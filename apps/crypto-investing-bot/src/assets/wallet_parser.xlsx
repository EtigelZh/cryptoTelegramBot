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" sheetId="1" r:id="rId4"/>
    <sheet state="visible" name="Справочник" sheetId="2" r:id="rId5"/>
    <sheet state="visible" name="Барабан" sheetId="3" r:id="rId6"/>
    <sheet state="visible" name="Исходник" sheetId="4" r:id="rId7"/>
  </sheets>
  <definedNames>
    <definedName hidden="1" localSheetId="2" name="_xlnm._FilterDatabase">'Барабан'!$A$1:$AL$1000</definedName>
  </definedNames>
  <calcPr/>
  <extLst>
    <ext uri="GoogleSheetsCustomDataVersion2">
      <go:sheetsCustomData xmlns:go="http://customooxmlschemas.google.com/" r:id="rId8" roundtripDataChecksum="i1j38uFXMl3vq9l7OZrVqbV+8EyDpY6i5fFLK0VdjJ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======
ID#AAABED-AsIs
    (2024-01-31 12:25:14)
Не показательный атрибут, надо попробовать средневзвешанное значение посчитать
	-Александр Брит
Кейс:
Ср.вход 1к
P&amp;L 49к
Ср.% 4,65%
	-Александр Брит</t>
      </text>
    </comment>
  </commentList>
  <extLst>
    <ext uri="GoogleSheetsCustomDataVersion2">
      <go:sheetsCustomData xmlns:go="http://customooxmlschemas.google.com/" r:id="rId1" roundtripDataSignature="AMtx7mgJb01F6Jscw/HkhgdbS0lluzhFVA=="/>
    </ext>
  </extLst>
</comments>
</file>

<file path=xl/sharedStrings.xml><?xml version="1.0" encoding="utf-8"?>
<sst xmlns="http://schemas.openxmlformats.org/spreadsheetml/2006/main" count="116" uniqueCount="92">
  <si>
    <t>Средний вход</t>
  </si>
  <si>
    <t>Средний срок, д</t>
  </si>
  <si>
    <t>Ср.комиссия</t>
  </si>
  <si>
    <t>Кошелек</t>
  </si>
  <si>
    <t>Последняя транзакция</t>
  </si>
  <si>
    <t>Тройная транзакция</t>
  </si>
  <si>
    <t>Последние "х" дней</t>
  </si>
  <si>
    <t>Win Rate R</t>
  </si>
  <si>
    <t>P&amp;L R</t>
  </si>
  <si>
    <t>Avarage R</t>
  </si>
  <si>
    <t>Сделок</t>
  </si>
  <si>
    <t>Win Rate Total</t>
  </si>
  <si>
    <t>P&amp;L Total</t>
  </si>
  <si>
    <t>Avarage Total</t>
  </si>
  <si>
    <t>Комиссий</t>
  </si>
  <si>
    <t>Тикеры</t>
  </si>
  <si>
    <t>Всего купили</t>
  </si>
  <si>
    <t>Всего продали</t>
  </si>
  <si>
    <t>Комиссия, usd</t>
  </si>
  <si>
    <t>Дельта</t>
  </si>
  <si>
    <t>Накопление, usd</t>
  </si>
  <si>
    <t>Сумма покупок, usd</t>
  </si>
  <si>
    <t>Сумма продаж, usd</t>
  </si>
  <si>
    <t>Дельта, usd</t>
  </si>
  <si>
    <t>Дельта, % usd</t>
  </si>
  <si>
    <t>Покупок</t>
  </si>
  <si>
    <t>Продаж</t>
  </si>
  <si>
    <t>Срок сделки, д</t>
  </si>
  <si>
    <t>Первая покупка</t>
  </si>
  <si>
    <t>Последняя продажа</t>
  </si>
  <si>
    <t>Исключить</t>
  </si>
  <si>
    <t>Уникальные тикеры</t>
  </si>
  <si>
    <t>Еще держит</t>
  </si>
  <si>
    <t>Текущий P&amp;L</t>
  </si>
  <si>
    <t>Timestamp</t>
  </si>
  <si>
    <t>Timestamp (х)</t>
  </si>
  <si>
    <t>Проверка даты</t>
  </si>
  <si>
    <t>ETH</t>
  </si>
  <si>
    <t>BNB</t>
  </si>
  <si>
    <t>BUSD</t>
  </si>
  <si>
    <t>Кошелек заработал больше $8к за 30 дней ?</t>
  </si>
  <si>
    <t>USDC</t>
  </si>
  <si>
    <t>Винрейт больше 45% за 30 дней?</t>
  </si>
  <si>
    <t>USDT</t>
  </si>
  <si>
    <t>Средняя прибыль в сделке больше 10% за 30 дней</t>
  </si>
  <si>
    <t>WETH</t>
  </si>
  <si>
    <t>Проторговано больше 5 монет за 30 дней</t>
  </si>
  <si>
    <t>BITCOIN</t>
  </si>
  <si>
    <t>Деньги есть на балансе?</t>
  </si>
  <si>
    <t>USDC.E</t>
  </si>
  <si>
    <t>Кошелек начал торговать/создан более недели назад?</t>
  </si>
  <si>
    <t>Кошелек в плюсе за последнюю неделю?</t>
  </si>
  <si>
    <t>Кошелек в основном  торгует токенами с ликвидностью выше $15к?</t>
  </si>
  <si>
    <t>У кошелька меньше 15% скам токенов?</t>
  </si>
  <si>
    <t>Вы бы успевали потвторять и зарабатывать вместе с ним?</t>
  </si>
  <si>
    <t>Date</t>
  </si>
  <si>
    <t>Time</t>
  </si>
  <si>
    <t>Transaction Type</t>
  </si>
  <si>
    <t>Status</t>
  </si>
  <si>
    <t>Chain</t>
  </si>
  <si>
    <t>Buy Amount</t>
  </si>
  <si>
    <t>Buy Amount (х1)</t>
  </si>
  <si>
    <t>Buy Amount (х)</t>
  </si>
  <si>
    <t>Buy Currency</t>
  </si>
  <si>
    <t>Buy Currency (х)</t>
  </si>
  <si>
    <t>Buy Currency Address</t>
  </si>
  <si>
    <t>Больший транзакции</t>
  </si>
  <si>
    <t>Buy Fiat Amount</t>
  </si>
  <si>
    <t>Buy Fiat Amount (х1)</t>
  </si>
  <si>
    <t>Buy Fiat Amount (х)</t>
  </si>
  <si>
    <t>Buy Fiat Currency</t>
  </si>
  <si>
    <t>Sell Amount</t>
  </si>
  <si>
    <t>Sell Amount (х1)</t>
  </si>
  <si>
    <t>Sell Amount (х)</t>
  </si>
  <si>
    <t>Sell Currency</t>
  </si>
  <si>
    <t>Sell Currency (х)</t>
  </si>
  <si>
    <t>Sell Currency Address</t>
  </si>
  <si>
    <t>Больший транзакции (sell)</t>
  </si>
  <si>
    <t>Sell Fiat Amount</t>
  </si>
  <si>
    <t>Sell Fiat Amount (х1)</t>
  </si>
  <si>
    <t>Sell Fiat Amount (х)</t>
  </si>
  <si>
    <t>Sell Fiat Currency</t>
  </si>
  <si>
    <t>Fee Amount</t>
  </si>
  <si>
    <t>Fee Amount (х)</t>
  </si>
  <si>
    <t>Fee Currency</t>
  </si>
  <si>
    <t>Fee Fiat Amount</t>
  </si>
  <si>
    <t>Fee Fiat Amount (х)</t>
  </si>
  <si>
    <t>Fee Fiat Currency</t>
  </si>
  <si>
    <t>Tx Hash</t>
  </si>
  <si>
    <t>Link</t>
  </si>
  <si>
    <t>Incoming Transfers JSON</t>
  </si>
  <si>
    <t>Outgoing Transfers 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</si>
</sst>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/m/yyyy"/>
    <numFmt numFmtId="166" formatCode="dd/mm/yyyy"/>
    <numFmt numFmtId="167" formatCode="d.m"/>
  </numFmts>
  <fonts count="9">
    <font>
      <sz val="10.0"/>
      <color rgb="FF000000"/>
      <name val="Arial"/>
      <scheme val="minor"/>
    </font>
    <font>
      <color theme="1"/>
      <name val="Arial"/>
    </font>
    <font>
      <color rgb="FFD9D9D9"/>
      <name val="Arial"/>
    </font>
    <font>
      <i/>
      <color theme="1"/>
      <name val="Arial"/>
    </font>
    <font>
      <b/>
      <color theme="1"/>
      <name val="Arial"/>
    </font>
    <font>
      <b/>
      <sz val="8.0"/>
      <color theme="1"/>
      <name val="Helvetica Neue"/>
    </font>
    <font/>
    <font>
      <b/>
      <sz val="11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7C73"/>
        <bgColor rgb="FFE67C73"/>
      </patternFill>
    </fill>
    <fill>
      <patternFill patternType="solid">
        <fgColor rgb="FFE6B8AF"/>
        <bgColor rgb="FFE6B8AF"/>
      </patternFill>
    </fill>
  </fills>
  <borders count="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0" xfId="0" applyFont="1"/>
    <xf borderId="0" fillId="0" fontId="3" numFmtId="2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0" xfId="0" applyAlignment="1" applyFont="1" applyNumberFormat="1">
      <alignment horizontal="right"/>
    </xf>
    <xf borderId="0" fillId="0" fontId="1" numFmtId="3" xfId="0" applyFont="1" applyNumberFormat="1"/>
    <xf borderId="0" fillId="0" fontId="4" numFmtId="4" xfId="0" applyFont="1" applyNumberFormat="1"/>
    <xf borderId="0" fillId="0" fontId="4" numFmtId="10" xfId="0" applyFont="1" applyNumberFormat="1"/>
    <xf borderId="0" fillId="0" fontId="4" numFmtId="10" xfId="0" applyAlignment="1" applyFont="1" applyNumberFormat="1">
      <alignment horizontal="right"/>
    </xf>
    <xf borderId="0" fillId="0" fontId="4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2" fontId="1" numFmtId="0" xfId="0" applyFill="1" applyFont="1"/>
    <xf borderId="0" fillId="3" fontId="1" numFmtId="164" xfId="0" applyFill="1" applyFont="1" applyNumberFormat="1"/>
    <xf borderId="1" fillId="2" fontId="5" numFmtId="0" xfId="0" applyAlignment="1" applyBorder="1" applyFont="1">
      <alignment vertical="bottom"/>
    </xf>
    <xf borderId="2" fillId="0" fontId="6" numFmtId="0" xfId="0" applyBorder="1" applyFont="1"/>
    <xf borderId="3" fillId="0" fontId="1" numFmtId="0" xfId="0" applyBorder="1" applyFont="1"/>
    <xf borderId="4" fillId="0" fontId="6" numFmtId="0" xfId="0" applyBorder="1" applyFont="1"/>
    <xf borderId="0" fillId="0" fontId="1" numFmtId="0" xfId="0" applyAlignment="1" applyFont="1">
      <alignment vertical="bottom"/>
    </xf>
    <xf borderId="0" fillId="4" fontId="7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Font="1"/>
    <xf borderId="0" fillId="3" fontId="1" numFmtId="0" xfId="0" applyFont="1"/>
    <xf borderId="0" fillId="5" fontId="1" numFmtId="0" xfId="0" applyFill="1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2"/>
      <c r="E1" s="2"/>
      <c r="F1" s="2"/>
      <c r="G1" s="4"/>
      <c r="H1" s="4"/>
      <c r="I1" s="5"/>
      <c r="J1" s="6"/>
      <c r="K1" s="5"/>
      <c r="L1" s="5"/>
      <c r="M1" s="1"/>
      <c r="N1" s="1"/>
      <c r="O1" s="7"/>
    </row>
    <row r="2" ht="15.75" customHeight="1">
      <c r="B2" s="2"/>
      <c r="C2" s="3"/>
      <c r="D2" s="2"/>
      <c r="E2" s="2"/>
      <c r="F2" s="2"/>
      <c r="G2" s="4" t="s">
        <v>0</v>
      </c>
      <c r="H2" s="4" t="str">
        <f>AVERAGE(G7:G1005)</f>
        <v>#N/A</v>
      </c>
      <c r="I2" s="5" t="s">
        <v>1</v>
      </c>
      <c r="J2" s="6" t="str">
        <f>AVERAGE(M7:M1005)</f>
        <v>#N/A</v>
      </c>
      <c r="K2" s="5" t="s">
        <v>2</v>
      </c>
      <c r="L2" s="4" t="str">
        <f>AVERAGE(D7:D1005)</f>
        <v>#N/A</v>
      </c>
      <c r="M2" s="1"/>
      <c r="N2" s="1"/>
      <c r="O2" s="7"/>
    </row>
    <row r="3" ht="15.75" customHeight="1">
      <c r="A3" s="1" t="s">
        <v>3</v>
      </c>
      <c r="B3" s="2" t="s">
        <v>4</v>
      </c>
      <c r="C3" s="2" t="s">
        <v>5</v>
      </c>
      <c r="D3" s="1" t="s">
        <v>6</v>
      </c>
      <c r="E3" s="2" t="s">
        <v>7</v>
      </c>
      <c r="F3" s="8" t="str">
        <f>COUNTIFS(F7:F1005,0,I7:I1005,"&gt;"&amp;0)/COUNTIF(F7:F1005,0)</f>
        <v>#DIV/0!</v>
      </c>
      <c r="G3" s="2" t="s">
        <v>8</v>
      </c>
      <c r="H3" s="2">
        <f>SUMIF(F7:F1005,0,I7:I1005)</f>
        <v>0</v>
      </c>
      <c r="I3" s="2" t="s">
        <v>9</v>
      </c>
      <c r="J3" s="9" t="str">
        <f>AVERAGEIF(F7:F1005,0,J7:J1005)</f>
        <v>#DIV/0!</v>
      </c>
      <c r="K3" s="1" t="s">
        <v>10</v>
      </c>
      <c r="L3" s="1">
        <f>COUNTA(A7:A1005)</f>
        <v>1</v>
      </c>
      <c r="M3" s="1"/>
      <c r="N3" s="1"/>
      <c r="O3" s="7"/>
    </row>
    <row r="4" ht="15.75" customHeight="1">
      <c r="A4" s="1"/>
      <c r="B4" s="7">
        <f>MAX('Барабан'!AJ:AJ)</f>
        <v>0</v>
      </c>
      <c r="C4" s="10">
        <f t="array" ref="C4">SUM(IF('Барабан'!AJ2:AJ1000&gt;TODAY()-30,IF(LEN('Барабан'!W2:W1000)&gt;90,1,0),0))</f>
        <v>0</v>
      </c>
      <c r="D4" s="1">
        <v>120.0</v>
      </c>
      <c r="E4" s="11" t="s">
        <v>11</v>
      </c>
      <c r="F4" s="12">
        <f>COUNTIF(I7:I1005,"&gt;"&amp;0)/L3</f>
        <v>0</v>
      </c>
      <c r="G4" s="11" t="s">
        <v>12</v>
      </c>
      <c r="H4" s="11" t="str">
        <f>SUM(I7:I1005)</f>
        <v>#N/A</v>
      </c>
      <c r="I4" s="11" t="s">
        <v>13</v>
      </c>
      <c r="J4" s="13" t="str">
        <f>AVERAGE(J7:J1005)</f>
        <v>#DIV/0!</v>
      </c>
      <c r="K4" s="14" t="s">
        <v>14</v>
      </c>
      <c r="L4" s="11" t="str">
        <f>SUM(D7:D1005)</f>
        <v>#N/A</v>
      </c>
      <c r="O4" s="7"/>
    </row>
    <row r="5" ht="15.75" customHeight="1">
      <c r="A5" s="1"/>
      <c r="B5" s="2"/>
      <c r="C5" s="2"/>
      <c r="D5" s="2"/>
      <c r="E5" s="2"/>
      <c r="F5" s="2"/>
      <c r="G5" s="2"/>
      <c r="H5" s="2"/>
      <c r="I5" s="2"/>
      <c r="J5" s="15"/>
      <c r="K5" s="1"/>
      <c r="L5" s="1"/>
      <c r="M5" s="1"/>
      <c r="N5" s="1"/>
      <c r="O5" s="7"/>
    </row>
    <row r="6" ht="15.75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15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7" t="s">
        <v>29</v>
      </c>
    </row>
    <row r="7" ht="15.75" customHeight="1">
      <c r="A7" s="1" t="str">
        <f>'Справочник'!E2</f>
        <v>#N/A</v>
      </c>
      <c r="B7" s="2" t="str">
        <f>IF(A7&gt;0,SUMIF('Барабан'!K:K,A7,'Барабан'!I:I),"")</f>
        <v>#N/A</v>
      </c>
      <c r="C7" s="2" t="str">
        <f>IF(A7&gt;0,SUMIF('Барабан'!V:V,A7,'Барабан'!T:T),"")</f>
        <v>#N/A</v>
      </c>
      <c r="D7" s="2" t="str">
        <f>IF(A7&gt;0,SUMIF('Барабан'!K:K,A7,'Барабан'!AG:AG)+SUMIF('Барабан'!V:V,A7,'Барабан'!AG:AG),"")</f>
        <v>#N/A</v>
      </c>
      <c r="E7" s="2" t="str">
        <f t="shared" ref="E7:E1005" si="1">IF(A7&gt;0,ROUND(B7-C7,0),"")</f>
        <v>#N/A</v>
      </c>
      <c r="F7" s="2" t="str">
        <f t="array" ref="F7">IFERROR(IF(E7=0,0,INDEX('Справочник'!G:G,MATCH(A7,'Справочник'!F:F,0))))</f>
        <v/>
      </c>
      <c r="G7" s="2" t="str">
        <f>IF(A7&gt;0,SUMIF('Барабан'!K:K,A7,'Барабан'!P:P),"")</f>
        <v>#N/A</v>
      </c>
      <c r="H7" s="2" t="str">
        <f>IF(A7&gt;0,SUMIF('Барабан'!V:V,A7,'Барабан'!AA:AA),"")</f>
        <v>#N/A</v>
      </c>
      <c r="I7" s="2" t="str">
        <f>IF(A7&gt;0,H7+F7-G7,"")</f>
        <v>#N/A</v>
      </c>
      <c r="J7" s="9" t="str">
        <f t="shared" ref="J7:J1005" si="2">IFERROR(IF(A7&gt;0,I7/G7,""),"–")</f>
        <v>–</v>
      </c>
      <c r="K7" s="1" t="str">
        <f>IF(A7&gt;0,COUNTIF('Барабан'!K:K,A7),"")</f>
        <v>#N/A</v>
      </c>
      <c r="L7" s="1" t="str">
        <f>IF(A7&gt;0,COUNTIF('Барабан'!V:V,A7),"")</f>
        <v>#N/A</v>
      </c>
      <c r="M7" s="1" t="str">
        <f t="shared" ref="M7:M1005" si="3">IF(A7&gt;0,IFERROR(O7-N7,TODAY()-N7),"")</f>
        <v>#N/A</v>
      </c>
      <c r="N7" s="7" t="str">
        <f>IFERROR(__xludf.DUMMYFUNCTION("IF(A7&gt;0,MIN(FILTER('Барабан'!AJ:AJ,'Барабан'!K:K=A7)),"""")"),"#N/A")</f>
        <v>#N/A</v>
      </c>
      <c r="O7" s="16" t="str">
        <f>IFERROR(__xludf.DUMMYFUNCTION("IF(A7&gt;0,IFERROR(MAX(FILTER('Барабан'!AJ:AJ,'Барабан'!V:V=A7)),""–""),"""")"),"#N/A")</f>
        <v>#N/A</v>
      </c>
    </row>
    <row r="8" ht="15.75" customHeight="1">
      <c r="A8" s="1" t="str">
        <f>'Справочник'!E3</f>
        <v/>
      </c>
      <c r="B8" s="2" t="str">
        <f>IF(A8&gt;0,SUMIF('Барабан'!K:K,A8,'Барабан'!I:I),"")</f>
        <v/>
      </c>
      <c r="C8" s="2" t="str">
        <f>IF(A8&gt;0,SUMIF('Барабан'!V:V,A8,'Барабан'!T:T),"")</f>
        <v/>
      </c>
      <c r="D8" s="2" t="str">
        <f>IF(A8&gt;0,SUMIF('Барабан'!K:K,A8,'Барабан'!AG:AG)+SUMIF('Барабан'!V:V,A8,'Барабан'!AG:AG),"")</f>
        <v/>
      </c>
      <c r="E8" s="2" t="str">
        <f t="shared" si="1"/>
        <v/>
      </c>
      <c r="F8" s="2" t="str">
        <f t="array" ref="F8">IFERROR(IF(E8=0,0,INDEX('Справочник'!G:G,MATCH(A8,'Справочник'!F:F,0))))</f>
        <v/>
      </c>
      <c r="G8" s="2" t="str">
        <f>IF(A8&gt;0,SUMIF('Барабан'!K:K,A8,'Барабан'!P:P),"")</f>
        <v/>
      </c>
      <c r="H8" s="2" t="str">
        <f>IF(A8&gt;0,SUMIF('Барабан'!V:V,A8,'Барабан'!AA:AA),"")</f>
        <v/>
      </c>
      <c r="I8" s="2" t="str">
        <f t="shared" ref="I8:I1005" si="4">IF(A8&gt;0,H8+F8-G8-D8,"")</f>
        <v/>
      </c>
      <c r="J8" s="9" t="str">
        <f t="shared" si="2"/>
        <v/>
      </c>
      <c r="K8" s="1" t="str">
        <f>IF(A8&gt;0,COUNTIF('Барабан'!K:K,A8),"")</f>
        <v/>
      </c>
      <c r="L8" s="1" t="str">
        <f>IF(A8&gt;0,COUNTIF('Барабан'!V:V,A8),"")</f>
        <v/>
      </c>
      <c r="M8" s="1" t="str">
        <f t="shared" si="3"/>
        <v/>
      </c>
      <c r="N8" s="7" t="str">
        <f>IFERROR(__xludf.DUMMYFUNCTION("IF(A8&gt;0,MIN(FILTER('Барабан'!AJ:AJ,'Барабан'!K:K=A8)),"""")"),"")</f>
        <v/>
      </c>
      <c r="O8" s="16" t="str">
        <f>IFERROR(__xludf.DUMMYFUNCTION("IF(A8&gt;0,IFERROR(MAX(FILTER('Барабан'!AJ:AJ,'Барабан'!V:V=A8)),""–""),"""")"),"")</f>
        <v/>
      </c>
    </row>
    <row r="9" ht="15.75" customHeight="1">
      <c r="A9" s="1" t="str">
        <f>'Справочник'!E4</f>
        <v/>
      </c>
      <c r="B9" s="2" t="str">
        <f>IF(A9&gt;0,SUMIF('Барабан'!K:K,A9,'Барабан'!I:I),"")</f>
        <v/>
      </c>
      <c r="C9" s="2" t="str">
        <f>IF(A9&gt;0,SUMIF('Барабан'!V:V,A9,'Барабан'!T:T),"")</f>
        <v/>
      </c>
      <c r="D9" s="2" t="str">
        <f>IF(A9&gt;0,SUMIF('Барабан'!K:K,A9,'Барабан'!AG:AG)+SUMIF('Барабан'!V:V,A9,'Барабан'!AG:AG),"")</f>
        <v/>
      </c>
      <c r="E9" s="2" t="str">
        <f t="shared" si="1"/>
        <v/>
      </c>
      <c r="F9" s="2" t="str">
        <f t="array" ref="F9">IFERROR(IF(E9=0,0,INDEX('Справочник'!G:G,MATCH(A9,'Справочник'!F:F,0))))</f>
        <v/>
      </c>
      <c r="G9" s="2" t="str">
        <f>IF(A9&gt;0,SUMIF('Барабан'!K:K,A9,'Барабан'!P:P),"")</f>
        <v/>
      </c>
      <c r="H9" s="2" t="str">
        <f>IF(A9&gt;0,SUMIF('Барабан'!V:V,A9,'Барабан'!AA:AA),"")</f>
        <v/>
      </c>
      <c r="I9" s="2" t="str">
        <f t="shared" si="4"/>
        <v/>
      </c>
      <c r="J9" s="9" t="str">
        <f t="shared" si="2"/>
        <v/>
      </c>
      <c r="K9" s="1" t="str">
        <f>IF(A9&gt;0,COUNTIF('Барабан'!K:K,A9),"")</f>
        <v/>
      </c>
      <c r="L9" s="1" t="str">
        <f>IF(A9&gt;0,COUNTIF('Барабан'!V:V,A9),"")</f>
        <v/>
      </c>
      <c r="M9" s="1" t="str">
        <f t="shared" si="3"/>
        <v/>
      </c>
      <c r="N9" s="7" t="str">
        <f>IFERROR(__xludf.DUMMYFUNCTION("IF(A9&gt;0,MIN(FILTER('Барабан'!AJ:AJ,'Барабан'!K:K=A9)),"""")"),"")</f>
        <v/>
      </c>
      <c r="O9" s="16" t="str">
        <f>IFERROR(__xludf.DUMMYFUNCTION("IF(A9&gt;0,IFERROR(MAX(FILTER('Барабан'!AJ:AJ,'Барабан'!V:V=A9)),""–""),"""")"),"")</f>
        <v/>
      </c>
    </row>
    <row r="10" ht="15.75" customHeight="1">
      <c r="A10" s="1" t="str">
        <f>'Справочник'!E5</f>
        <v/>
      </c>
      <c r="B10" s="2" t="str">
        <f>IF(A10&gt;0,SUMIF('Барабан'!K:K,A10,'Барабан'!I:I),"")</f>
        <v/>
      </c>
      <c r="C10" s="2" t="str">
        <f>IF(A10&gt;0,SUMIF('Барабан'!V:V,A10,'Барабан'!T:T),"")</f>
        <v/>
      </c>
      <c r="D10" s="2" t="str">
        <f>IF(A10&gt;0,SUMIF('Барабан'!K:K,A10,'Барабан'!AG:AG)+SUMIF('Барабан'!V:V,A10,'Барабан'!AG:AG),"")</f>
        <v/>
      </c>
      <c r="E10" s="2" t="str">
        <f t="shared" si="1"/>
        <v/>
      </c>
      <c r="F10" s="2" t="str">
        <f t="array" ref="F10">IFERROR(IF(E10=0,0,INDEX('Справочник'!G:G,MATCH(A10,'Справочник'!F:F,0))))</f>
        <v/>
      </c>
      <c r="G10" s="2" t="str">
        <f>IF(A10&gt;0,SUMIF('Барабан'!K:K,A10,'Барабан'!P:P),"")</f>
        <v/>
      </c>
      <c r="H10" s="2" t="str">
        <f>IF(A10&gt;0,SUMIF('Барабан'!V:V,A10,'Барабан'!AA:AA),"")</f>
        <v/>
      </c>
      <c r="I10" s="2" t="str">
        <f t="shared" si="4"/>
        <v/>
      </c>
      <c r="J10" s="9" t="str">
        <f t="shared" si="2"/>
        <v/>
      </c>
      <c r="K10" s="1" t="str">
        <f>IF(A10&gt;0,COUNTIF('Барабан'!K:K,A10),"")</f>
        <v/>
      </c>
      <c r="L10" s="1" t="str">
        <f>IF(A10&gt;0,COUNTIF('Барабан'!V:V,A10),"")</f>
        <v/>
      </c>
      <c r="M10" s="1" t="str">
        <f t="shared" si="3"/>
        <v/>
      </c>
      <c r="N10" s="7" t="str">
        <f>IFERROR(__xludf.DUMMYFUNCTION("IF(A10&gt;0,MIN(FILTER('Барабан'!AJ:AJ,'Барабан'!K:K=A10)),"""")"),"")</f>
        <v/>
      </c>
      <c r="O10" s="16" t="str">
        <f>IFERROR(__xludf.DUMMYFUNCTION("IF(A10&gt;0,IFERROR(MAX(FILTER('Барабан'!AJ:AJ,'Барабан'!V:V=A10)),""–""),"""")"),"")</f>
        <v/>
      </c>
    </row>
    <row r="11" ht="15.75" customHeight="1">
      <c r="A11" s="1" t="str">
        <f>'Справочник'!E6</f>
        <v/>
      </c>
      <c r="B11" s="2" t="str">
        <f>IF(A11&gt;0,SUMIF('Барабан'!K:K,A11,'Барабан'!I:I),"")</f>
        <v/>
      </c>
      <c r="C11" s="2" t="str">
        <f>IF(A11&gt;0,SUMIF('Барабан'!V:V,A11,'Барабан'!T:T),"")</f>
        <v/>
      </c>
      <c r="D11" s="2" t="str">
        <f>IF(A11&gt;0,SUMIF('Барабан'!K:K,A11,'Барабан'!AG:AG)+SUMIF('Барабан'!V:V,A11,'Барабан'!AG:AG),"")</f>
        <v/>
      </c>
      <c r="E11" s="2" t="str">
        <f t="shared" si="1"/>
        <v/>
      </c>
      <c r="F11" s="2" t="str">
        <f t="array" ref="F11">IFERROR(IF(E11=0,0,INDEX('Справочник'!G:G,MATCH(A11,'Справочник'!F:F,0))))</f>
        <v/>
      </c>
      <c r="G11" s="2" t="str">
        <f>IF(A11&gt;0,SUMIF('Барабан'!K:K,A11,'Барабан'!P:P),"")</f>
        <v/>
      </c>
      <c r="H11" s="2" t="str">
        <f>IF(A11&gt;0,SUMIF('Барабан'!V:V,A11,'Барабан'!AA:AA),"")</f>
        <v/>
      </c>
      <c r="I11" s="2" t="str">
        <f t="shared" si="4"/>
        <v/>
      </c>
      <c r="J11" s="9" t="str">
        <f t="shared" si="2"/>
        <v/>
      </c>
      <c r="K11" s="1" t="str">
        <f>IF(A11&gt;0,COUNTIF('Барабан'!K:K,A11),"")</f>
        <v/>
      </c>
      <c r="L11" s="1" t="str">
        <f>IF(A11&gt;0,COUNTIF('Барабан'!V:V,A11),"")</f>
        <v/>
      </c>
      <c r="M11" s="1" t="str">
        <f t="shared" si="3"/>
        <v/>
      </c>
      <c r="N11" s="7" t="str">
        <f>IFERROR(__xludf.DUMMYFUNCTION("IF(A11&gt;0,MIN(FILTER('Барабан'!AJ:AJ,'Барабан'!K:K=A11)),"""")"),"")</f>
        <v/>
      </c>
      <c r="O11" s="16" t="str">
        <f>IFERROR(__xludf.DUMMYFUNCTION("IF(A11&gt;0,IFERROR(MAX(FILTER('Барабан'!AJ:AJ,'Барабан'!V:V=A11)),""–""),"""")"),"")</f>
        <v/>
      </c>
    </row>
    <row r="12" ht="15.75" customHeight="1">
      <c r="A12" s="1" t="str">
        <f>'Справочник'!E7</f>
        <v/>
      </c>
      <c r="B12" s="2" t="str">
        <f>IF(A12&gt;0,SUMIF('Барабан'!K:K,A12,'Барабан'!I:I),"")</f>
        <v/>
      </c>
      <c r="C12" s="2" t="str">
        <f>IF(A12&gt;0,SUMIF('Барабан'!V:V,A12,'Барабан'!T:T),"")</f>
        <v/>
      </c>
      <c r="D12" s="2" t="str">
        <f>IF(A12&gt;0,SUMIF('Барабан'!K:K,A12,'Барабан'!AG:AG)+SUMIF('Барабан'!V:V,A12,'Барабан'!AG:AG),"")</f>
        <v/>
      </c>
      <c r="E12" s="2" t="str">
        <f t="shared" si="1"/>
        <v/>
      </c>
      <c r="F12" s="2" t="str">
        <f t="array" ref="F12">IFERROR(IF(E12=0,0,INDEX('Справочник'!G:G,MATCH(A12,'Справочник'!F:F,0))))</f>
        <v/>
      </c>
      <c r="G12" s="2" t="str">
        <f>IF(A12&gt;0,SUMIF('Барабан'!K:K,A12,'Барабан'!P:P),"")</f>
        <v/>
      </c>
      <c r="H12" s="2" t="str">
        <f>IF(A12&gt;0,SUMIF('Барабан'!V:V,A12,'Барабан'!AA:AA),"")</f>
        <v/>
      </c>
      <c r="I12" s="2" t="str">
        <f t="shared" si="4"/>
        <v/>
      </c>
      <c r="J12" s="9" t="str">
        <f t="shared" si="2"/>
        <v/>
      </c>
      <c r="K12" s="1" t="str">
        <f>IF(A12&gt;0,COUNTIF('Барабан'!K:K,A12),"")</f>
        <v/>
      </c>
      <c r="L12" s="1" t="str">
        <f>IF(A12&gt;0,COUNTIF('Барабан'!V:V,A12),"")</f>
        <v/>
      </c>
      <c r="M12" s="1" t="str">
        <f t="shared" si="3"/>
        <v/>
      </c>
      <c r="N12" s="7" t="str">
        <f>IFERROR(__xludf.DUMMYFUNCTION("IF(A12&gt;0,MIN(FILTER('Барабан'!AJ:AJ,'Барабан'!K:K=A12)),"""")"),"")</f>
        <v/>
      </c>
      <c r="O12" s="16" t="str">
        <f>IFERROR(__xludf.DUMMYFUNCTION("IF(A12&gt;0,IFERROR(MAX(FILTER('Барабан'!AJ:AJ,'Барабан'!V:V=A12)),""–""),"""")"),"")</f>
        <v/>
      </c>
    </row>
    <row r="13" ht="15.75" customHeight="1">
      <c r="A13" s="1" t="str">
        <f>'Справочник'!E8</f>
        <v/>
      </c>
      <c r="B13" s="2" t="str">
        <f>IF(A13&gt;0,SUMIF('Барабан'!K:K,A13,'Барабан'!I:I),"")</f>
        <v/>
      </c>
      <c r="C13" s="2" t="str">
        <f>IF(A13&gt;0,SUMIF('Барабан'!V:V,A13,'Барабан'!T:T),"")</f>
        <v/>
      </c>
      <c r="D13" s="2" t="str">
        <f>IF(A13&gt;0,SUMIF('Барабан'!K:K,A13,'Барабан'!AG:AG)+SUMIF('Барабан'!V:V,A13,'Барабан'!AG:AG),"")</f>
        <v/>
      </c>
      <c r="E13" s="2" t="str">
        <f t="shared" si="1"/>
        <v/>
      </c>
      <c r="F13" s="2" t="str">
        <f t="array" ref="F13">IFERROR(IF(E13=0,0,INDEX('Справочник'!G:G,MATCH(A13,'Справочник'!F:F,0))))</f>
        <v/>
      </c>
      <c r="G13" s="2" t="str">
        <f>IF(A13&gt;0,SUMIF('Барабан'!K:K,A13,'Барабан'!P:P),"")</f>
        <v/>
      </c>
      <c r="H13" s="2" t="str">
        <f>IF(A13&gt;0,SUMIF('Барабан'!V:V,A13,'Барабан'!AA:AA),"")</f>
        <v/>
      </c>
      <c r="I13" s="2" t="str">
        <f t="shared" si="4"/>
        <v/>
      </c>
      <c r="J13" s="9" t="str">
        <f t="shared" si="2"/>
        <v/>
      </c>
      <c r="K13" s="1" t="str">
        <f>IF(A13&gt;0,COUNTIF('Барабан'!K:K,A13),"")</f>
        <v/>
      </c>
      <c r="L13" s="1" t="str">
        <f>IF(A13&gt;0,COUNTIF('Барабан'!V:V,A13),"")</f>
        <v/>
      </c>
      <c r="M13" s="1" t="str">
        <f t="shared" si="3"/>
        <v/>
      </c>
      <c r="N13" s="7" t="str">
        <f>IFERROR(__xludf.DUMMYFUNCTION("IF(A13&gt;0,MIN(FILTER('Барабан'!AJ:AJ,'Барабан'!K:K=A13)),"""")"),"")</f>
        <v/>
      </c>
      <c r="O13" s="16" t="str">
        <f>IFERROR(__xludf.DUMMYFUNCTION("IF(A13&gt;0,IFERROR(MAX(FILTER('Барабан'!AJ:AJ,'Барабан'!V:V=A13)),""–""),"""")"),"")</f>
        <v/>
      </c>
    </row>
    <row r="14" ht="16.5" customHeight="1">
      <c r="A14" s="1" t="str">
        <f>'Справочник'!E9</f>
        <v/>
      </c>
      <c r="B14" s="2" t="str">
        <f>IF(A14&gt;0,SUMIF('Барабан'!K:K,A14,'Барабан'!I:I),"")</f>
        <v/>
      </c>
      <c r="C14" s="2" t="str">
        <f>IF(A14&gt;0,SUMIF('Барабан'!V:V,A14,'Барабан'!T:T),"")</f>
        <v/>
      </c>
      <c r="D14" s="2" t="str">
        <f>IF(A14&gt;0,SUMIF('Барабан'!K:K,A14,'Барабан'!AG:AG)+SUMIF('Барабан'!V:V,A14,'Барабан'!AG:AG),"")</f>
        <v/>
      </c>
      <c r="E14" s="2" t="str">
        <f t="shared" si="1"/>
        <v/>
      </c>
      <c r="F14" s="2" t="str">
        <f t="array" ref="F14">IFERROR(IF(E14=0,0,INDEX('Справочник'!G:G,MATCH(A14,'Справочник'!F:F,0))))</f>
        <v/>
      </c>
      <c r="G14" s="2" t="str">
        <f>IF(A14&gt;0,SUMIF('Барабан'!K:K,A14,'Барабан'!P:P),"")</f>
        <v/>
      </c>
      <c r="H14" s="2" t="str">
        <f>IF(A14&gt;0,SUMIF('Барабан'!V:V,A14,'Барабан'!AA:AA),"")</f>
        <v/>
      </c>
      <c r="I14" s="2" t="str">
        <f t="shared" si="4"/>
        <v/>
      </c>
      <c r="J14" s="9" t="str">
        <f t="shared" si="2"/>
        <v/>
      </c>
      <c r="K14" s="1" t="str">
        <f>IF(A14&gt;0,COUNTIF('Барабан'!K:K,A14),"")</f>
        <v/>
      </c>
      <c r="L14" s="1" t="str">
        <f>IF(A14&gt;0,COUNTIF('Барабан'!V:V,A14),"")</f>
        <v/>
      </c>
      <c r="M14" s="1" t="str">
        <f t="shared" si="3"/>
        <v/>
      </c>
      <c r="N14" s="7" t="str">
        <f>IFERROR(__xludf.DUMMYFUNCTION("IF(A14&gt;0,MIN(FILTER('Барабан'!AJ:AJ,'Барабан'!K:K=A14)),"""")"),"")</f>
        <v/>
      </c>
      <c r="O14" s="16" t="str">
        <f>IFERROR(__xludf.DUMMYFUNCTION("IF(A14&gt;0,IFERROR(MAX(FILTER('Барабан'!AJ:AJ,'Барабан'!V:V=A14)),""–""),"""")"),"")</f>
        <v/>
      </c>
    </row>
    <row r="15" ht="15.75" customHeight="1">
      <c r="A15" s="1" t="str">
        <f>'Справочник'!E10</f>
        <v/>
      </c>
      <c r="B15" s="2" t="str">
        <f>IF(A15&gt;0,SUMIF('Барабан'!K:K,A15,'Барабан'!I:I),"")</f>
        <v/>
      </c>
      <c r="C15" s="2" t="str">
        <f>IF(A15&gt;0,SUMIF('Барабан'!V:V,A15,'Барабан'!T:T),"")</f>
        <v/>
      </c>
      <c r="D15" s="2" t="str">
        <f>IF(A15&gt;0,SUMIF('Барабан'!K:K,A15,'Барабан'!AG:AG)+SUMIF('Барабан'!V:V,A15,'Барабан'!AG:AG),"")</f>
        <v/>
      </c>
      <c r="E15" s="2" t="str">
        <f t="shared" si="1"/>
        <v/>
      </c>
      <c r="F15" s="2" t="str">
        <f t="array" ref="F15">IFERROR(IF(E15=0,0,INDEX('Справочник'!G:G,MATCH(A15,'Справочник'!F:F,0))))</f>
        <v/>
      </c>
      <c r="G15" s="2" t="str">
        <f>IF(A15&gt;0,SUMIF('Барабан'!K:K,A15,'Барабан'!P:P),"")</f>
        <v/>
      </c>
      <c r="H15" s="2" t="str">
        <f>IF(A15&gt;0,SUMIF('Барабан'!V:V,A15,'Барабан'!AA:AA),"")</f>
        <v/>
      </c>
      <c r="I15" s="2" t="str">
        <f t="shared" si="4"/>
        <v/>
      </c>
      <c r="J15" s="9" t="str">
        <f t="shared" si="2"/>
        <v/>
      </c>
      <c r="K15" s="1" t="str">
        <f>IF(A15&gt;0,COUNTIF('Барабан'!K:K,A15),"")</f>
        <v/>
      </c>
      <c r="L15" s="1" t="str">
        <f>IF(A15&gt;0,COUNTIF('Барабан'!V:V,A15),"")</f>
        <v/>
      </c>
      <c r="M15" s="1" t="str">
        <f t="shared" si="3"/>
        <v/>
      </c>
      <c r="N15" s="7" t="str">
        <f>IFERROR(__xludf.DUMMYFUNCTION("IF(A15&gt;0,MIN(FILTER('Барабан'!AJ:AJ,'Барабан'!K:K=A15)),"""")"),"")</f>
        <v/>
      </c>
      <c r="O15" s="16" t="str">
        <f>IFERROR(__xludf.DUMMYFUNCTION("IF(A15&gt;0,IFERROR(MAX(FILTER('Барабан'!AJ:AJ,'Барабан'!V:V=A15)),""–""),"""")"),"")</f>
        <v/>
      </c>
    </row>
    <row r="16" ht="15.75" customHeight="1">
      <c r="A16" s="1" t="str">
        <f>'Справочник'!E11</f>
        <v/>
      </c>
      <c r="B16" s="2" t="str">
        <f>IF(A16&gt;0,SUMIF('Барабан'!K:K,A16,'Барабан'!I:I),"")</f>
        <v/>
      </c>
      <c r="C16" s="2" t="str">
        <f>IF(A16&gt;0,SUMIF('Барабан'!V:V,A16,'Барабан'!T:T),"")</f>
        <v/>
      </c>
      <c r="D16" s="2" t="str">
        <f>IF(A16&gt;0,SUMIF('Барабан'!K:K,A16,'Барабан'!AG:AG)+SUMIF('Барабан'!V:V,A16,'Барабан'!AG:AG),"")</f>
        <v/>
      </c>
      <c r="E16" s="2" t="str">
        <f t="shared" si="1"/>
        <v/>
      </c>
      <c r="F16" s="2" t="str">
        <f t="array" ref="F16">IFERROR(IF(E16=0,0,INDEX('Справочник'!G:G,MATCH(A16,'Справочник'!F:F,0))))</f>
        <v/>
      </c>
      <c r="G16" s="2" t="str">
        <f>IF(A16&gt;0,SUMIF('Барабан'!K:K,A16,'Барабан'!P:P),"")</f>
        <v/>
      </c>
      <c r="H16" s="2" t="str">
        <f>IF(A16&gt;0,SUMIF('Барабан'!V:V,A16,'Барабан'!AA:AA),"")</f>
        <v/>
      </c>
      <c r="I16" s="2" t="str">
        <f t="shared" si="4"/>
        <v/>
      </c>
      <c r="J16" s="9" t="str">
        <f t="shared" si="2"/>
        <v/>
      </c>
      <c r="K16" s="1" t="str">
        <f>IF(A16&gt;0,COUNTIF('Барабан'!K:K,A16),"")</f>
        <v/>
      </c>
      <c r="L16" s="1" t="str">
        <f>IF(A16&gt;0,COUNTIF('Барабан'!V:V,A16),"")</f>
        <v/>
      </c>
      <c r="M16" s="1" t="str">
        <f t="shared" si="3"/>
        <v/>
      </c>
      <c r="N16" s="7" t="str">
        <f>IFERROR(__xludf.DUMMYFUNCTION("IF(A16&gt;0,MIN(FILTER('Барабан'!AJ:AJ,'Барабан'!K:K=A16)),"""")"),"")</f>
        <v/>
      </c>
      <c r="O16" s="16" t="str">
        <f>IFERROR(__xludf.DUMMYFUNCTION("IF(A16&gt;0,IFERROR(MAX(FILTER('Барабан'!AJ:AJ,'Барабан'!V:V=A16)),""–""),"""")"),"")</f>
        <v/>
      </c>
    </row>
    <row r="17" ht="15.75" customHeight="1">
      <c r="A17" s="1" t="str">
        <f>'Справочник'!E12</f>
        <v/>
      </c>
      <c r="B17" s="2" t="str">
        <f>IF(A17&gt;0,SUMIF('Барабан'!K:K,A17,'Барабан'!I:I),"")</f>
        <v/>
      </c>
      <c r="C17" s="2" t="str">
        <f>IF(A17&gt;0,SUMIF('Барабан'!V:V,A17,'Барабан'!T:T),"")</f>
        <v/>
      </c>
      <c r="D17" s="2" t="str">
        <f>IF(A17&gt;0,SUMIF('Барабан'!K:K,A17,'Барабан'!AG:AG)+SUMIF('Барабан'!V:V,A17,'Барабан'!AG:AG),"")</f>
        <v/>
      </c>
      <c r="E17" s="2" t="str">
        <f t="shared" si="1"/>
        <v/>
      </c>
      <c r="F17" s="2" t="str">
        <f t="array" ref="F17">IFERROR(IF(E17=0,0,INDEX('Справочник'!G:G,MATCH(A17,'Справочник'!F:F,0))))</f>
        <v/>
      </c>
      <c r="G17" s="2" t="str">
        <f>IF(A17&gt;0,SUMIF('Барабан'!K:K,A17,'Барабан'!P:P),"")</f>
        <v/>
      </c>
      <c r="H17" s="2" t="str">
        <f>IF(A17&gt;0,SUMIF('Барабан'!V:V,A17,'Барабан'!AA:AA),"")</f>
        <v/>
      </c>
      <c r="I17" s="2" t="str">
        <f t="shared" si="4"/>
        <v/>
      </c>
      <c r="J17" s="9" t="str">
        <f t="shared" si="2"/>
        <v/>
      </c>
      <c r="K17" s="1" t="str">
        <f>IF(A17&gt;0,COUNTIF('Барабан'!K:K,A17),"")</f>
        <v/>
      </c>
      <c r="L17" s="1" t="str">
        <f>IF(A17&gt;0,COUNTIF('Барабан'!V:V,A17),"")</f>
        <v/>
      </c>
      <c r="M17" s="1" t="str">
        <f t="shared" si="3"/>
        <v/>
      </c>
      <c r="N17" s="7" t="str">
        <f>IFERROR(__xludf.DUMMYFUNCTION("IF(A17&gt;0,MIN(FILTER('Барабан'!AJ:AJ,'Барабан'!K:K=A17)),"""")"),"")</f>
        <v/>
      </c>
      <c r="O17" s="16" t="str">
        <f>IFERROR(__xludf.DUMMYFUNCTION("IF(A17&gt;0,IFERROR(MAX(FILTER('Барабан'!AJ:AJ,'Барабан'!V:V=A17)),""–""),"""")"),"")</f>
        <v/>
      </c>
    </row>
    <row r="18" ht="15.75" customHeight="1">
      <c r="A18" s="1" t="str">
        <f>'Справочник'!E13</f>
        <v/>
      </c>
      <c r="B18" s="2" t="str">
        <f>IF(A18&gt;0,SUMIF('Барабан'!K:K,A18,'Барабан'!I:I),"")</f>
        <v/>
      </c>
      <c r="C18" s="2" t="str">
        <f>IF(A18&gt;0,SUMIF('Барабан'!V:V,A18,'Барабан'!T:T),"")</f>
        <v/>
      </c>
      <c r="D18" s="2" t="str">
        <f>IF(A18&gt;0,SUMIF('Барабан'!K:K,A18,'Барабан'!AG:AG)+SUMIF('Барабан'!V:V,A18,'Барабан'!AG:AG),"")</f>
        <v/>
      </c>
      <c r="E18" s="2" t="str">
        <f t="shared" si="1"/>
        <v/>
      </c>
      <c r="F18" s="2" t="str">
        <f t="array" ref="F18">IFERROR(IF(E18=0,0,INDEX('Справочник'!G:G,MATCH(A18,'Справочник'!F:F,0))))</f>
        <v/>
      </c>
      <c r="G18" s="2" t="str">
        <f>IF(A18&gt;0,SUMIF('Барабан'!K:K,A18,'Барабан'!P:P),"")</f>
        <v/>
      </c>
      <c r="H18" s="2" t="str">
        <f>IF(A18&gt;0,SUMIF('Барабан'!V:V,A18,'Барабан'!AA:AA),"")</f>
        <v/>
      </c>
      <c r="I18" s="2" t="str">
        <f t="shared" si="4"/>
        <v/>
      </c>
      <c r="J18" s="9" t="str">
        <f t="shared" si="2"/>
        <v/>
      </c>
      <c r="K18" s="1" t="str">
        <f>IF(A18&gt;0,COUNTIF('Барабан'!K:K,A18),"")</f>
        <v/>
      </c>
      <c r="L18" s="1" t="str">
        <f>IF(A18&gt;0,COUNTIF('Барабан'!V:V,A18),"")</f>
        <v/>
      </c>
      <c r="M18" s="1" t="str">
        <f t="shared" si="3"/>
        <v/>
      </c>
      <c r="N18" s="1" t="str">
        <f>IFERROR(__xludf.DUMMYFUNCTION("IF(A18&gt;0,MIN(FILTER('Барабан'!AJ:AJ,'Барабан'!K:K=A18)),"""")"),"")</f>
        <v/>
      </c>
      <c r="O18" s="16" t="str">
        <f>IFERROR(__xludf.DUMMYFUNCTION("IF(A18&gt;0,IFERROR(MAX(FILTER('Барабан'!AJ:AJ,'Барабан'!V:V=A18)),""–""),"""")"),"")</f>
        <v/>
      </c>
    </row>
    <row r="19" ht="15.75" customHeight="1">
      <c r="A19" s="1" t="str">
        <f>'Справочник'!E14</f>
        <v/>
      </c>
      <c r="B19" s="2" t="str">
        <f>IF(A19&gt;0,SUMIF('Барабан'!K:K,A19,'Барабан'!I:I),"")</f>
        <v/>
      </c>
      <c r="C19" s="2" t="str">
        <f>IF(A19&gt;0,SUMIF('Барабан'!V:V,A19,'Барабан'!T:T),"")</f>
        <v/>
      </c>
      <c r="D19" s="2" t="str">
        <f>IF(A19&gt;0,SUMIF('Барабан'!K:K,A19,'Барабан'!AG:AG)+SUMIF('Барабан'!V:V,A19,'Барабан'!AG:AG),"")</f>
        <v/>
      </c>
      <c r="E19" s="2" t="str">
        <f t="shared" si="1"/>
        <v/>
      </c>
      <c r="F19" s="2" t="str">
        <f t="array" ref="F19">IFERROR(IF(E19=0,0,INDEX('Справочник'!G:G,MATCH(A19,'Справочник'!F:F,0))))</f>
        <v/>
      </c>
      <c r="G19" s="2" t="str">
        <f>IF(A19&gt;0,SUMIF('Барабан'!K:K,A19,'Барабан'!P:P),"")</f>
        <v/>
      </c>
      <c r="H19" s="2" t="str">
        <f>IF(A19&gt;0,SUMIF('Барабан'!V:V,A19,'Барабан'!AA:AA),"")</f>
        <v/>
      </c>
      <c r="I19" s="2" t="str">
        <f t="shared" si="4"/>
        <v/>
      </c>
      <c r="J19" s="9" t="str">
        <f t="shared" si="2"/>
        <v/>
      </c>
      <c r="K19" s="1" t="str">
        <f>IF(A19&gt;0,COUNTIF('Барабан'!K:K,A19),"")</f>
        <v/>
      </c>
      <c r="L19" s="1" t="str">
        <f>IF(A19&gt;0,COUNTIF('Барабан'!V:V,A19),"")</f>
        <v/>
      </c>
      <c r="M19" s="1" t="str">
        <f t="shared" si="3"/>
        <v/>
      </c>
      <c r="N19" s="1" t="str">
        <f>IFERROR(__xludf.DUMMYFUNCTION("IF(A19&gt;0,MIN(FILTER('Барабан'!AJ:AJ,'Барабан'!K:K=A19)),"""")"),"")</f>
        <v/>
      </c>
      <c r="O19" s="16" t="str">
        <f>IFERROR(__xludf.DUMMYFUNCTION("IF(A19&gt;0,IFERROR(MAX(FILTER('Барабан'!AJ:AJ,'Барабан'!V:V=A19)),""–""),"""")"),"")</f>
        <v/>
      </c>
    </row>
    <row r="20" ht="15.75" customHeight="1">
      <c r="A20" s="1" t="str">
        <f>'Справочник'!E15</f>
        <v/>
      </c>
      <c r="B20" s="2" t="str">
        <f>IF(A20&gt;0,SUMIF('Барабан'!K:K,A20,'Барабан'!I:I),"")</f>
        <v/>
      </c>
      <c r="C20" s="2" t="str">
        <f>IF(A20&gt;0,SUMIF('Барабан'!V:V,A20,'Барабан'!T:T),"")</f>
        <v/>
      </c>
      <c r="D20" s="2" t="str">
        <f>IF(A20&gt;0,SUMIF('Барабан'!K:K,A20,'Барабан'!AG:AG)+SUMIF('Барабан'!V:V,A20,'Барабан'!AG:AG),"")</f>
        <v/>
      </c>
      <c r="E20" s="2" t="str">
        <f t="shared" si="1"/>
        <v/>
      </c>
      <c r="F20" s="2" t="str">
        <f t="array" ref="F20">IFERROR(IF(E20=0,0,INDEX('Справочник'!G:G,MATCH(A20,'Справочник'!F:F,0))))</f>
        <v/>
      </c>
      <c r="G20" s="2" t="str">
        <f>IF(A20&gt;0,SUMIF('Барабан'!K:K,A20,'Барабан'!P:P),"")</f>
        <v/>
      </c>
      <c r="H20" s="2" t="str">
        <f>IF(A20&gt;0,SUMIF('Барабан'!V:V,A20,'Барабан'!AA:AA),"")</f>
        <v/>
      </c>
      <c r="I20" s="2" t="str">
        <f t="shared" si="4"/>
        <v/>
      </c>
      <c r="J20" s="9" t="str">
        <f t="shared" si="2"/>
        <v/>
      </c>
      <c r="K20" s="1" t="str">
        <f>IF(A20&gt;0,COUNTIF('Барабан'!K:K,A20),"")</f>
        <v/>
      </c>
      <c r="L20" s="1" t="str">
        <f>IF(A20&gt;0,COUNTIF('Барабан'!V:V,A20),"")</f>
        <v/>
      </c>
      <c r="M20" s="1" t="str">
        <f t="shared" si="3"/>
        <v/>
      </c>
      <c r="N20" s="1" t="str">
        <f>IFERROR(__xludf.DUMMYFUNCTION("IF(A20&gt;0,MIN(FILTER('Барабан'!AJ:AJ,'Барабан'!K:K=A20)),"""")"),"")</f>
        <v/>
      </c>
      <c r="O20" s="16" t="str">
        <f>IFERROR(__xludf.DUMMYFUNCTION("IF(A20&gt;0,IFERROR(MAX(FILTER('Барабан'!AJ:AJ,'Барабан'!V:V=A20)),""–""),"""")"),"")</f>
        <v/>
      </c>
    </row>
    <row r="21" ht="15.75" customHeight="1">
      <c r="A21" s="1" t="str">
        <f>'Справочник'!E16</f>
        <v/>
      </c>
      <c r="B21" s="2" t="str">
        <f>IF(A21&gt;0,SUMIF('Барабан'!K:K,A21,'Барабан'!I:I),"")</f>
        <v/>
      </c>
      <c r="C21" s="2" t="str">
        <f>IF(A21&gt;0,SUMIF('Барабан'!V:V,A21,'Барабан'!T:T),"")</f>
        <v/>
      </c>
      <c r="D21" s="2" t="str">
        <f>IF(A21&gt;0,SUMIF('Барабан'!K:K,A21,'Барабан'!AG:AG)+SUMIF('Барабан'!V:V,A21,'Барабан'!AG:AG),"")</f>
        <v/>
      </c>
      <c r="E21" s="2" t="str">
        <f t="shared" si="1"/>
        <v/>
      </c>
      <c r="F21" s="2" t="str">
        <f t="array" ref="F21">IFERROR(IF(E21=0,0,INDEX('Справочник'!G:G,MATCH(A21,'Справочник'!F:F,0))))</f>
        <v/>
      </c>
      <c r="G21" s="2" t="str">
        <f>IF(A21&gt;0,SUMIF('Барабан'!K:K,A21,'Барабан'!P:P),"")</f>
        <v/>
      </c>
      <c r="H21" s="2" t="str">
        <f>IF(A21&gt;0,SUMIF('Барабан'!V:V,A21,'Барабан'!AA:AA),"")</f>
        <v/>
      </c>
      <c r="I21" s="2" t="str">
        <f t="shared" si="4"/>
        <v/>
      </c>
      <c r="J21" s="9" t="str">
        <f t="shared" si="2"/>
        <v/>
      </c>
      <c r="K21" s="1" t="str">
        <f>IF(A21&gt;0,COUNTIF('Барабан'!K:K,A21),"")</f>
        <v/>
      </c>
      <c r="L21" s="1" t="str">
        <f>IF(A21&gt;0,COUNTIF('Барабан'!V:V,A21),"")</f>
        <v/>
      </c>
      <c r="M21" s="1" t="str">
        <f t="shared" si="3"/>
        <v/>
      </c>
      <c r="N21" s="1" t="str">
        <f>IFERROR(__xludf.DUMMYFUNCTION("IF(A21&gt;0,MIN(FILTER('Барабан'!AJ:AJ,'Барабан'!K:K=A21)),"""")"),"")</f>
        <v/>
      </c>
      <c r="O21" s="16" t="str">
        <f>IFERROR(__xludf.DUMMYFUNCTION("IF(A21&gt;0,IFERROR(MAX(FILTER('Барабан'!AJ:AJ,'Барабан'!V:V=A21)),""–""),"""")"),"")</f>
        <v/>
      </c>
    </row>
    <row r="22" ht="15.75" customHeight="1">
      <c r="A22" s="1" t="str">
        <f>'Справочник'!E17</f>
        <v/>
      </c>
      <c r="B22" s="2" t="str">
        <f>IF(A22&gt;0,SUMIF('Барабан'!K:K,A22,'Барабан'!I:I),"")</f>
        <v/>
      </c>
      <c r="C22" s="2" t="str">
        <f>IF(A22&gt;0,SUMIF('Барабан'!V:V,A22,'Барабан'!T:T),"")</f>
        <v/>
      </c>
      <c r="D22" s="2" t="str">
        <f>IF(A22&gt;0,SUMIF('Барабан'!K:K,A22,'Барабан'!AG:AG)+SUMIF('Барабан'!V:V,A22,'Барабан'!AG:AG),"")</f>
        <v/>
      </c>
      <c r="E22" s="2" t="str">
        <f t="shared" si="1"/>
        <v/>
      </c>
      <c r="F22" s="2" t="str">
        <f t="array" ref="F22">IFERROR(IF(E22=0,0,INDEX('Справочник'!G:G,MATCH(A22,'Справочник'!F:F,0))))</f>
        <v/>
      </c>
      <c r="G22" s="2" t="str">
        <f>IF(A22&gt;0,SUMIF('Барабан'!K:K,A22,'Барабан'!P:P),"")</f>
        <v/>
      </c>
      <c r="H22" s="2" t="str">
        <f>IF(A22&gt;0,SUMIF('Барабан'!V:V,A22,'Барабан'!AA:AA),"")</f>
        <v/>
      </c>
      <c r="I22" s="2" t="str">
        <f t="shared" si="4"/>
        <v/>
      </c>
      <c r="J22" s="9" t="str">
        <f t="shared" si="2"/>
        <v/>
      </c>
      <c r="K22" s="1" t="str">
        <f>IF(A22&gt;0,COUNTIF('Барабан'!K:K,A22),"")</f>
        <v/>
      </c>
      <c r="L22" s="1" t="str">
        <f>IF(A22&gt;0,COUNTIF('Барабан'!V:V,A22),"")</f>
        <v/>
      </c>
      <c r="M22" s="1" t="str">
        <f t="shared" si="3"/>
        <v/>
      </c>
      <c r="N22" s="1" t="str">
        <f>IFERROR(__xludf.DUMMYFUNCTION("IF(A22&gt;0,MIN(FILTER('Барабан'!AJ:AJ,'Барабан'!K:K=A22)),"""")"),"")</f>
        <v/>
      </c>
      <c r="O22" s="16" t="str">
        <f>IFERROR(__xludf.DUMMYFUNCTION("IF(A22&gt;0,IFERROR(MAX(FILTER('Барабан'!AJ:AJ,'Барабан'!V:V=A22)),""–""),"""")"),"")</f>
        <v/>
      </c>
    </row>
    <row r="23" ht="15.75" customHeight="1">
      <c r="A23" s="1" t="str">
        <f>'Справочник'!E18</f>
        <v/>
      </c>
      <c r="B23" s="2" t="str">
        <f>IF(A23&gt;0,SUMIF('Барабан'!K:K,A23,'Барабан'!I:I),"")</f>
        <v/>
      </c>
      <c r="C23" s="2" t="str">
        <f>IF(A23&gt;0,SUMIF('Барабан'!V:V,A23,'Барабан'!T:T),"")</f>
        <v/>
      </c>
      <c r="D23" s="2" t="str">
        <f>IF(A23&gt;0,SUMIF('Барабан'!K:K,A23,'Барабан'!AG:AG)+SUMIF('Барабан'!V:V,A23,'Барабан'!AG:AG),"")</f>
        <v/>
      </c>
      <c r="E23" s="2" t="str">
        <f t="shared" si="1"/>
        <v/>
      </c>
      <c r="F23" s="2" t="str">
        <f t="array" ref="F23">IFERROR(IF(E23=0,0,INDEX('Справочник'!G:G,MATCH(A23,'Справочник'!F:F,0))))</f>
        <v/>
      </c>
      <c r="G23" s="2" t="str">
        <f>IF(A23&gt;0,SUMIF('Барабан'!K:K,A23,'Барабан'!P:P),"")</f>
        <v/>
      </c>
      <c r="H23" s="2" t="str">
        <f>IF(A23&gt;0,SUMIF('Барабан'!V:V,A23,'Барабан'!AA:AA),"")</f>
        <v/>
      </c>
      <c r="I23" s="2" t="str">
        <f t="shared" si="4"/>
        <v/>
      </c>
      <c r="J23" s="9" t="str">
        <f t="shared" si="2"/>
        <v/>
      </c>
      <c r="K23" s="1" t="str">
        <f>IF(A23&gt;0,COUNTIF('Барабан'!K:K,A23),"")</f>
        <v/>
      </c>
      <c r="L23" s="1" t="str">
        <f>IF(A23&gt;0,COUNTIF('Барабан'!V:V,A23),"")</f>
        <v/>
      </c>
      <c r="M23" s="1" t="str">
        <f t="shared" si="3"/>
        <v/>
      </c>
      <c r="N23" s="1" t="str">
        <f>IFERROR(__xludf.DUMMYFUNCTION("IF(A23&gt;0,MIN(FILTER('Барабан'!AJ:AJ,'Барабан'!K:K=A23)),"""")"),"")</f>
        <v/>
      </c>
      <c r="O23" s="16" t="str">
        <f>IFERROR(__xludf.DUMMYFUNCTION("IF(A23&gt;0,IFERROR(MAX(FILTER('Барабан'!AJ:AJ,'Барабан'!V:V=A23)),""–""),"""")"),"")</f>
        <v/>
      </c>
    </row>
    <row r="24" ht="15.75" customHeight="1">
      <c r="A24" s="1" t="str">
        <f>'Справочник'!E19</f>
        <v/>
      </c>
      <c r="B24" s="2" t="str">
        <f>IF(A24&gt;0,SUMIF('Барабан'!K:K,A24,'Барабан'!I:I),"")</f>
        <v/>
      </c>
      <c r="C24" s="2" t="str">
        <f>IF(A24&gt;0,SUMIF('Барабан'!V:V,A24,'Барабан'!T:T),"")</f>
        <v/>
      </c>
      <c r="D24" s="2" t="str">
        <f>IF(A24&gt;0,SUMIF('Барабан'!K:K,A24,'Барабан'!AG:AG)+SUMIF('Барабан'!V:V,A24,'Барабан'!AG:AG),"")</f>
        <v/>
      </c>
      <c r="E24" s="2" t="str">
        <f t="shared" si="1"/>
        <v/>
      </c>
      <c r="F24" s="2" t="str">
        <f t="array" ref="F24">IFERROR(IF(E24=0,0,INDEX('Справочник'!G:G,MATCH(A24,'Справочник'!F:F,0))))</f>
        <v/>
      </c>
      <c r="G24" s="2" t="str">
        <f>IF(A24&gt;0,SUMIF('Барабан'!K:K,A24,'Барабан'!P:P),"")</f>
        <v/>
      </c>
      <c r="H24" s="2" t="str">
        <f>IF(A24&gt;0,SUMIF('Барабан'!V:V,A24,'Барабан'!AA:AA),"")</f>
        <v/>
      </c>
      <c r="I24" s="2" t="str">
        <f t="shared" si="4"/>
        <v/>
      </c>
      <c r="J24" s="9" t="str">
        <f t="shared" si="2"/>
        <v/>
      </c>
      <c r="K24" s="1" t="str">
        <f>IF(A24&gt;0,COUNTIF('Барабан'!K:K,A24),"")</f>
        <v/>
      </c>
      <c r="L24" s="1" t="str">
        <f>IF(A24&gt;0,COUNTIF('Барабан'!V:V,A24),"")</f>
        <v/>
      </c>
      <c r="M24" s="1" t="str">
        <f t="shared" si="3"/>
        <v/>
      </c>
      <c r="N24" s="1" t="str">
        <f>IFERROR(__xludf.DUMMYFUNCTION("IF(A24&gt;0,MIN(FILTER('Барабан'!AJ:AJ,'Барабан'!K:K=A24)),"""")"),"")</f>
        <v/>
      </c>
      <c r="O24" s="16" t="str">
        <f>IFERROR(__xludf.DUMMYFUNCTION("IF(A24&gt;0,IFERROR(MAX(FILTER('Барабан'!AJ:AJ,'Барабан'!V:V=A24)),""–""),"""")"),"")</f>
        <v/>
      </c>
    </row>
    <row r="25" ht="15.75" customHeight="1">
      <c r="A25" s="1" t="str">
        <f>'Справочник'!E20</f>
        <v/>
      </c>
      <c r="B25" s="2" t="str">
        <f>IF(A25&gt;0,SUMIF('Барабан'!K:K,A25,'Барабан'!I:I),"")</f>
        <v/>
      </c>
      <c r="C25" s="2" t="str">
        <f>IF(A25&gt;0,SUMIF('Барабан'!V:V,A25,'Барабан'!T:T),"")</f>
        <v/>
      </c>
      <c r="D25" s="2" t="str">
        <f>IF(A25&gt;0,SUMIF('Барабан'!K:K,A25,'Барабан'!AG:AG)+SUMIF('Барабан'!V:V,A25,'Барабан'!AG:AG),"")</f>
        <v/>
      </c>
      <c r="E25" s="2" t="str">
        <f t="shared" si="1"/>
        <v/>
      </c>
      <c r="F25" s="2" t="str">
        <f t="array" ref="F25">IFERROR(IF(E25=0,0,INDEX('Справочник'!G:G,MATCH(A25,'Справочник'!F:F,0))))</f>
        <v/>
      </c>
      <c r="G25" s="2" t="str">
        <f>IF(A25&gt;0,SUMIF('Барабан'!K:K,A25,'Барабан'!P:P),"")</f>
        <v/>
      </c>
      <c r="H25" s="2" t="str">
        <f>IF(A25&gt;0,SUMIF('Барабан'!V:V,A25,'Барабан'!AA:AA),"")</f>
        <v/>
      </c>
      <c r="I25" s="2" t="str">
        <f t="shared" si="4"/>
        <v/>
      </c>
      <c r="J25" s="9" t="str">
        <f t="shared" si="2"/>
        <v/>
      </c>
      <c r="K25" s="1" t="str">
        <f>IF(A25&gt;0,COUNTIF('Барабан'!K:K,A25),"")</f>
        <v/>
      </c>
      <c r="L25" s="1" t="str">
        <f>IF(A25&gt;0,COUNTIF('Барабан'!V:V,A25),"")</f>
        <v/>
      </c>
      <c r="M25" s="1" t="str">
        <f t="shared" si="3"/>
        <v/>
      </c>
      <c r="N25" s="1" t="str">
        <f>IFERROR(__xludf.DUMMYFUNCTION("IF(A25&gt;0,MIN(FILTER('Барабан'!AJ:AJ,'Барабан'!K:K=A25)),"""")"),"")</f>
        <v/>
      </c>
      <c r="O25" s="16" t="str">
        <f>IFERROR(__xludf.DUMMYFUNCTION("IF(A25&gt;0,IFERROR(MAX(FILTER('Барабан'!AJ:AJ,'Барабан'!V:V=A25)),""–""),"""")"),"")</f>
        <v/>
      </c>
    </row>
    <row r="26" ht="15.75" customHeight="1">
      <c r="A26" s="1" t="str">
        <f>'Справочник'!E21</f>
        <v/>
      </c>
      <c r="B26" s="2" t="str">
        <f>IF(A26&gt;0,SUMIF('Барабан'!K:K,A26,'Барабан'!I:I),"")</f>
        <v/>
      </c>
      <c r="C26" s="2" t="str">
        <f>IF(A26&gt;0,SUMIF('Барабан'!V:V,A26,'Барабан'!T:T),"")</f>
        <v/>
      </c>
      <c r="D26" s="2" t="str">
        <f>IF(A26&gt;0,SUMIF('Барабан'!K:K,A26,'Барабан'!AG:AG)+SUMIF('Барабан'!V:V,A26,'Барабан'!AG:AG),"")</f>
        <v/>
      </c>
      <c r="E26" s="2" t="str">
        <f t="shared" si="1"/>
        <v/>
      </c>
      <c r="F26" s="2" t="str">
        <f t="array" ref="F26">IFERROR(IF(E26=0,0,INDEX('Справочник'!G:G,MATCH(A26,'Справочник'!F:F,0))))</f>
        <v/>
      </c>
      <c r="G26" s="2" t="str">
        <f>IF(A26&gt;0,SUMIF('Барабан'!K:K,A26,'Барабан'!P:P),"")</f>
        <v/>
      </c>
      <c r="H26" s="2" t="str">
        <f>IF(A26&gt;0,SUMIF('Барабан'!V:V,A26,'Барабан'!AA:AA),"")</f>
        <v/>
      </c>
      <c r="I26" s="2" t="str">
        <f t="shared" si="4"/>
        <v/>
      </c>
      <c r="J26" s="9" t="str">
        <f t="shared" si="2"/>
        <v/>
      </c>
      <c r="K26" s="1" t="str">
        <f>IF(A26&gt;0,COUNTIF('Барабан'!K:K,A26),"")</f>
        <v/>
      </c>
      <c r="L26" s="1" t="str">
        <f>IF(A26&gt;0,COUNTIF('Барабан'!V:V,A26),"")</f>
        <v/>
      </c>
      <c r="M26" s="1" t="str">
        <f t="shared" si="3"/>
        <v/>
      </c>
      <c r="N26" s="1" t="str">
        <f>IFERROR(__xludf.DUMMYFUNCTION("IF(A26&gt;0,MIN(FILTER('Барабан'!AJ:AJ,'Барабан'!K:K=A26)),"""")"),"")</f>
        <v/>
      </c>
      <c r="O26" s="16" t="str">
        <f>IFERROR(__xludf.DUMMYFUNCTION("IF(A26&gt;0,IFERROR(MAX(FILTER('Барабан'!AJ:AJ,'Барабан'!V:V=A26)),""–""),"""")"),"")</f>
        <v/>
      </c>
    </row>
    <row r="27" ht="15.75" customHeight="1">
      <c r="A27" s="1" t="str">
        <f>'Справочник'!E22</f>
        <v/>
      </c>
      <c r="B27" s="2" t="str">
        <f>IF(A27&gt;0,SUMIF('Барабан'!K:K,A27,'Барабан'!I:I),"")</f>
        <v/>
      </c>
      <c r="C27" s="2" t="str">
        <f>IF(A27&gt;0,SUMIF('Барабан'!V:V,A27,'Барабан'!T:T),"")</f>
        <v/>
      </c>
      <c r="D27" s="2" t="str">
        <f>IF(A27&gt;0,SUMIF('Барабан'!K:K,A27,'Барабан'!AG:AG)+SUMIF('Барабан'!V:V,A27,'Барабан'!AG:AG),"")</f>
        <v/>
      </c>
      <c r="E27" s="2" t="str">
        <f t="shared" si="1"/>
        <v/>
      </c>
      <c r="F27" s="2" t="str">
        <f t="array" ref="F27">IFERROR(IF(E27=0,0,INDEX('Справочник'!G:G,MATCH(A27,'Справочник'!F:F,0))))</f>
        <v/>
      </c>
      <c r="G27" s="2" t="str">
        <f>IF(A27&gt;0,SUMIF('Барабан'!K:K,A27,'Барабан'!P:P),"")</f>
        <v/>
      </c>
      <c r="H27" s="2" t="str">
        <f>IF(A27&gt;0,SUMIF('Барабан'!V:V,A27,'Барабан'!AA:AA),"")</f>
        <v/>
      </c>
      <c r="I27" s="2" t="str">
        <f t="shared" si="4"/>
        <v/>
      </c>
      <c r="J27" s="9" t="str">
        <f t="shared" si="2"/>
        <v/>
      </c>
      <c r="K27" s="1" t="str">
        <f>IF(A27&gt;0,COUNTIF('Барабан'!K:K,A27),"")</f>
        <v/>
      </c>
      <c r="L27" s="1" t="str">
        <f>IF(A27&gt;0,COUNTIF('Барабан'!V:V,A27),"")</f>
        <v/>
      </c>
      <c r="M27" s="1" t="str">
        <f t="shared" si="3"/>
        <v/>
      </c>
      <c r="N27" s="1" t="str">
        <f>IFERROR(__xludf.DUMMYFUNCTION("IF(A27&gt;0,MIN(FILTER('Барабан'!AJ:AJ,'Барабан'!K:K=A27)),"""")"),"")</f>
        <v/>
      </c>
      <c r="O27" s="16" t="str">
        <f>IFERROR(__xludf.DUMMYFUNCTION("IF(A27&gt;0,IFERROR(MAX(FILTER('Барабан'!AJ:AJ,'Барабан'!V:V=A27)),""–""),"""")"),"")</f>
        <v/>
      </c>
    </row>
    <row r="28" ht="15.75" customHeight="1">
      <c r="A28" s="1" t="str">
        <f>'Справочник'!E23</f>
        <v/>
      </c>
      <c r="B28" s="2" t="str">
        <f>IF(A28&gt;0,SUMIF('Барабан'!K:K,A28,'Барабан'!I:I),"")</f>
        <v/>
      </c>
      <c r="C28" s="2" t="str">
        <f>IF(A28&gt;0,SUMIF('Барабан'!V:V,A28,'Барабан'!T:T),"")</f>
        <v/>
      </c>
      <c r="D28" s="2" t="str">
        <f>IF(A28&gt;0,SUMIF('Барабан'!K:K,A28,'Барабан'!AG:AG)+SUMIF('Барабан'!V:V,A28,'Барабан'!AG:AG),"")</f>
        <v/>
      </c>
      <c r="E28" s="2" t="str">
        <f t="shared" si="1"/>
        <v/>
      </c>
      <c r="F28" s="2" t="str">
        <f t="array" ref="F28">IFERROR(IF(E28=0,0,INDEX('Справочник'!G:G,MATCH(A28,'Справочник'!F:F,0))))</f>
        <v/>
      </c>
      <c r="G28" s="2" t="str">
        <f>IF(A28&gt;0,SUMIF('Барабан'!K:K,A28,'Барабан'!P:P),"")</f>
        <v/>
      </c>
      <c r="H28" s="2" t="str">
        <f>IF(A28&gt;0,SUMIF('Барабан'!V:V,A28,'Барабан'!AA:AA),"")</f>
        <v/>
      </c>
      <c r="I28" s="2" t="str">
        <f t="shared" si="4"/>
        <v/>
      </c>
      <c r="J28" s="9" t="str">
        <f t="shared" si="2"/>
        <v/>
      </c>
      <c r="K28" s="1" t="str">
        <f>IF(A28&gt;0,COUNTIF('Барабан'!K:K,A28),"")</f>
        <v/>
      </c>
      <c r="L28" s="1" t="str">
        <f>IF(A28&gt;0,COUNTIF('Барабан'!V:V,A28),"")</f>
        <v/>
      </c>
      <c r="M28" s="1" t="str">
        <f t="shared" si="3"/>
        <v/>
      </c>
      <c r="N28" s="1" t="str">
        <f>IFERROR(__xludf.DUMMYFUNCTION("IF(A28&gt;0,MIN(FILTER('Барабан'!AJ:AJ,'Барабан'!K:K=A28)),"""")"),"")</f>
        <v/>
      </c>
      <c r="O28" s="16" t="str">
        <f>IFERROR(__xludf.DUMMYFUNCTION("IF(A28&gt;0,IFERROR(MAX(FILTER('Барабан'!AJ:AJ,'Барабан'!V:V=A28)),""–""),"""")"),"")</f>
        <v/>
      </c>
    </row>
    <row r="29" ht="15.75" customHeight="1">
      <c r="A29" s="1" t="str">
        <f>'Справочник'!E24</f>
        <v/>
      </c>
      <c r="B29" s="2" t="str">
        <f>IF(A29&gt;0,SUMIF('Барабан'!K:K,A29,'Барабан'!I:I),"")</f>
        <v/>
      </c>
      <c r="C29" s="2" t="str">
        <f>IF(A29&gt;0,SUMIF('Барабан'!V:V,A29,'Барабан'!T:T),"")</f>
        <v/>
      </c>
      <c r="D29" s="2" t="str">
        <f>IF(A29&gt;0,SUMIF('Барабан'!K:K,A29,'Барабан'!AG:AG)+SUMIF('Барабан'!V:V,A29,'Барабан'!AG:AG),"")</f>
        <v/>
      </c>
      <c r="E29" s="2" t="str">
        <f t="shared" si="1"/>
        <v/>
      </c>
      <c r="F29" s="2" t="str">
        <f t="array" ref="F29">IFERROR(IF(E29=0,0,INDEX('Справочник'!G:G,MATCH(A29,'Справочник'!F:F,0))))</f>
        <v/>
      </c>
      <c r="G29" s="2" t="str">
        <f>IF(A29&gt;0,SUMIF('Барабан'!K:K,A29,'Барабан'!P:P),"")</f>
        <v/>
      </c>
      <c r="H29" s="2" t="str">
        <f>IF(A29&gt;0,SUMIF('Барабан'!V:V,A29,'Барабан'!AA:AA),"")</f>
        <v/>
      </c>
      <c r="I29" s="2" t="str">
        <f t="shared" si="4"/>
        <v/>
      </c>
      <c r="J29" s="9" t="str">
        <f t="shared" si="2"/>
        <v/>
      </c>
      <c r="K29" s="1" t="str">
        <f>IF(A29&gt;0,COUNTIF('Барабан'!K:K,A29),"")</f>
        <v/>
      </c>
      <c r="L29" s="1" t="str">
        <f>IF(A29&gt;0,COUNTIF('Барабан'!V:V,A29),"")</f>
        <v/>
      </c>
      <c r="M29" s="1" t="str">
        <f t="shared" si="3"/>
        <v/>
      </c>
      <c r="N29" s="1" t="str">
        <f>IFERROR(__xludf.DUMMYFUNCTION("IF(A29&gt;0,MIN(FILTER('Барабан'!AJ:AJ,'Барабан'!K:K=A29)),"""")"),"")</f>
        <v/>
      </c>
      <c r="O29" s="16" t="str">
        <f>IFERROR(__xludf.DUMMYFUNCTION("IF(A29&gt;0,IFERROR(MAX(FILTER('Барабан'!AJ:AJ,'Барабан'!V:V=A29)),""–""),"""")"),"")</f>
        <v/>
      </c>
    </row>
    <row r="30" ht="15.75" customHeight="1">
      <c r="A30" s="1" t="str">
        <f>'Справочник'!E25</f>
        <v/>
      </c>
      <c r="B30" s="2" t="str">
        <f>IF(A30&gt;0,SUMIF('Барабан'!K:K,A30,'Барабан'!I:I),"")</f>
        <v/>
      </c>
      <c r="C30" s="2" t="str">
        <f>IF(A30&gt;0,SUMIF('Барабан'!V:V,A30,'Барабан'!T:T),"")</f>
        <v/>
      </c>
      <c r="D30" s="2" t="str">
        <f>IF(A30&gt;0,SUMIF('Барабан'!K:K,A30,'Барабан'!AG:AG)+SUMIF('Барабан'!V:V,A30,'Барабан'!AG:AG),"")</f>
        <v/>
      </c>
      <c r="E30" s="2" t="str">
        <f t="shared" si="1"/>
        <v/>
      </c>
      <c r="F30" s="2" t="str">
        <f t="array" ref="F30">IFERROR(IF(E30=0,0,INDEX('Справочник'!G:G,MATCH(A30,'Справочник'!F:F,0))))</f>
        <v/>
      </c>
      <c r="G30" s="2" t="str">
        <f>IF(A30&gt;0,SUMIF('Барабан'!K:K,A30,'Барабан'!P:P),"")</f>
        <v/>
      </c>
      <c r="H30" s="2" t="str">
        <f>IF(A30&gt;0,SUMIF('Барабан'!V:V,A30,'Барабан'!AA:AA),"")</f>
        <v/>
      </c>
      <c r="I30" s="2" t="str">
        <f t="shared" si="4"/>
        <v/>
      </c>
      <c r="J30" s="9" t="str">
        <f t="shared" si="2"/>
        <v/>
      </c>
      <c r="K30" s="1" t="str">
        <f>IF(A30&gt;0,COUNTIF('Барабан'!K:K,A30),"")</f>
        <v/>
      </c>
      <c r="L30" s="1" t="str">
        <f>IF(A30&gt;0,COUNTIF('Барабан'!V:V,A30),"")</f>
        <v/>
      </c>
      <c r="M30" s="1" t="str">
        <f t="shared" si="3"/>
        <v/>
      </c>
      <c r="N30" s="1" t="str">
        <f>IFERROR(__xludf.DUMMYFUNCTION("IF(A30&gt;0,MIN(FILTER('Барабан'!AJ:AJ,'Барабан'!K:K=A30)),"""")"),"")</f>
        <v/>
      </c>
      <c r="O30" s="16" t="str">
        <f>IFERROR(__xludf.DUMMYFUNCTION("IF(A30&gt;0,IFERROR(MAX(FILTER('Барабан'!AJ:AJ,'Барабан'!V:V=A30)),""–""),"""")"),"")</f>
        <v/>
      </c>
    </row>
    <row r="31" ht="15.75" customHeight="1">
      <c r="A31" s="1" t="str">
        <f>'Справочник'!E26</f>
        <v/>
      </c>
      <c r="B31" s="2" t="str">
        <f>IF(A31&gt;0,SUMIF('Барабан'!K:K,A31,'Барабан'!I:I),"")</f>
        <v/>
      </c>
      <c r="C31" s="2" t="str">
        <f>IF(A31&gt;0,SUMIF('Барабан'!V:V,A31,'Барабан'!T:T),"")</f>
        <v/>
      </c>
      <c r="D31" s="2" t="str">
        <f>IF(A31&gt;0,SUMIF('Барабан'!K:K,A31,'Барабан'!AG:AG)+SUMIF('Барабан'!V:V,A31,'Барабан'!AG:AG),"")</f>
        <v/>
      </c>
      <c r="E31" s="2" t="str">
        <f t="shared" si="1"/>
        <v/>
      </c>
      <c r="F31" s="2" t="str">
        <f t="array" ref="F31">IFERROR(IF(E31=0,0,INDEX('Справочник'!G:G,MATCH(A31,'Справочник'!F:F,0))))</f>
        <v/>
      </c>
      <c r="G31" s="2" t="str">
        <f>IF(A31&gt;0,SUMIF('Барабан'!K:K,A31,'Барабан'!P:P),"")</f>
        <v/>
      </c>
      <c r="H31" s="2" t="str">
        <f>IF(A31&gt;0,SUMIF('Барабан'!V:V,A31,'Барабан'!AA:AA),"")</f>
        <v/>
      </c>
      <c r="I31" s="2" t="str">
        <f t="shared" si="4"/>
        <v/>
      </c>
      <c r="J31" s="9" t="str">
        <f t="shared" si="2"/>
        <v/>
      </c>
      <c r="K31" s="1" t="str">
        <f>IF(A31&gt;0,COUNTIF('Барабан'!K:K,A31),"")</f>
        <v/>
      </c>
      <c r="L31" s="1" t="str">
        <f>IF(A31&gt;0,COUNTIF('Барабан'!V:V,A31),"")</f>
        <v/>
      </c>
      <c r="M31" s="1" t="str">
        <f t="shared" si="3"/>
        <v/>
      </c>
      <c r="N31" s="1" t="str">
        <f>IFERROR(__xludf.DUMMYFUNCTION("IF(A31&gt;0,MIN(FILTER('Барабан'!AJ:AJ,'Барабан'!K:K=A31)),"""")"),"")</f>
        <v/>
      </c>
      <c r="O31" s="16" t="str">
        <f>IFERROR(__xludf.DUMMYFUNCTION("IF(A31&gt;0,IFERROR(MAX(FILTER('Барабан'!AJ:AJ,'Барабан'!V:V=A31)),""–""),"""")"),"")</f>
        <v/>
      </c>
    </row>
    <row r="32" ht="15.75" customHeight="1">
      <c r="A32" s="1" t="str">
        <f>'Справочник'!E27</f>
        <v/>
      </c>
      <c r="B32" s="2" t="str">
        <f>IF(A32&gt;0,SUMIF('Барабан'!K:K,A32,'Барабан'!I:I),"")</f>
        <v/>
      </c>
      <c r="C32" s="2" t="str">
        <f>IF(A32&gt;0,SUMIF('Барабан'!V:V,A32,'Барабан'!T:T),"")</f>
        <v/>
      </c>
      <c r="D32" s="2" t="str">
        <f>IF(A32&gt;0,SUMIF('Барабан'!K:K,A32,'Барабан'!AG:AG)+SUMIF('Барабан'!V:V,A32,'Барабан'!AG:AG),"")</f>
        <v/>
      </c>
      <c r="E32" s="2" t="str">
        <f t="shared" si="1"/>
        <v/>
      </c>
      <c r="F32" s="2" t="str">
        <f t="array" ref="F32">IFERROR(IF(E32=0,0,INDEX('Справочник'!G:G,MATCH(A32,'Справочник'!F:F,0))))</f>
        <v/>
      </c>
      <c r="G32" s="2" t="str">
        <f>IF(A32&gt;0,SUMIF('Барабан'!K:K,A32,'Барабан'!P:P),"")</f>
        <v/>
      </c>
      <c r="H32" s="2" t="str">
        <f>IF(A32&gt;0,SUMIF('Барабан'!V:V,A32,'Барабан'!AA:AA),"")</f>
        <v/>
      </c>
      <c r="I32" s="2" t="str">
        <f t="shared" si="4"/>
        <v/>
      </c>
      <c r="J32" s="9" t="str">
        <f t="shared" si="2"/>
        <v/>
      </c>
      <c r="K32" s="1" t="str">
        <f>IF(A32&gt;0,COUNTIF('Барабан'!K:K,A32),"")</f>
        <v/>
      </c>
      <c r="L32" s="1" t="str">
        <f>IF(A32&gt;0,COUNTIF('Барабан'!V:V,A32),"")</f>
        <v/>
      </c>
      <c r="M32" s="1" t="str">
        <f t="shared" si="3"/>
        <v/>
      </c>
      <c r="N32" s="1" t="str">
        <f>IFERROR(__xludf.DUMMYFUNCTION("IF(A32&gt;0,MIN(FILTER('Барабан'!AJ:AJ,'Барабан'!K:K=A32)),"""")"),"")</f>
        <v/>
      </c>
      <c r="O32" s="16" t="str">
        <f>IFERROR(__xludf.DUMMYFUNCTION("IF(A32&gt;0,IFERROR(MAX(FILTER('Барабан'!AJ:AJ,'Барабан'!V:V=A32)),""–""),"""")"),"")</f>
        <v/>
      </c>
    </row>
    <row r="33" ht="15.75" customHeight="1">
      <c r="A33" s="1" t="str">
        <f>'Справочник'!E28</f>
        <v/>
      </c>
      <c r="B33" s="2" t="str">
        <f>IF(A33&gt;0,SUMIF('Барабан'!K:K,A33,'Барабан'!I:I),"")</f>
        <v/>
      </c>
      <c r="C33" s="2" t="str">
        <f>IF(A33&gt;0,SUMIF('Барабан'!V:V,A33,'Барабан'!T:T),"")</f>
        <v/>
      </c>
      <c r="D33" s="2" t="str">
        <f>IF(A33&gt;0,SUMIF('Барабан'!K:K,A33,'Барабан'!AG:AG)+SUMIF('Барабан'!V:V,A33,'Барабан'!AG:AG),"")</f>
        <v/>
      </c>
      <c r="E33" s="2" t="str">
        <f t="shared" si="1"/>
        <v/>
      </c>
      <c r="F33" s="2" t="str">
        <f t="array" ref="F33">IFERROR(IF(E33=0,0,INDEX('Справочник'!G:G,MATCH(A33,'Справочник'!F:F,0))))</f>
        <v/>
      </c>
      <c r="G33" s="2" t="str">
        <f>IF(A33&gt;0,SUMIF('Барабан'!K:K,A33,'Барабан'!P:P),"")</f>
        <v/>
      </c>
      <c r="H33" s="2" t="str">
        <f>IF(A33&gt;0,SUMIF('Барабан'!V:V,A33,'Барабан'!AA:AA),"")</f>
        <v/>
      </c>
      <c r="I33" s="2" t="str">
        <f t="shared" si="4"/>
        <v/>
      </c>
      <c r="J33" s="9" t="str">
        <f t="shared" si="2"/>
        <v/>
      </c>
      <c r="K33" s="1" t="str">
        <f>IF(A33&gt;0,COUNTIF('Барабан'!K:K,A33),"")</f>
        <v/>
      </c>
      <c r="L33" s="1" t="str">
        <f>IF(A33&gt;0,COUNTIF('Барабан'!V:V,A33),"")</f>
        <v/>
      </c>
      <c r="M33" s="1" t="str">
        <f t="shared" si="3"/>
        <v/>
      </c>
      <c r="N33" s="1" t="str">
        <f>IFERROR(__xludf.DUMMYFUNCTION("IF(A33&gt;0,MIN(FILTER('Барабан'!AJ:AJ,'Барабан'!K:K=A33)),"""")"),"")</f>
        <v/>
      </c>
      <c r="O33" s="16" t="str">
        <f>IFERROR(__xludf.DUMMYFUNCTION("IF(A33&gt;0,IFERROR(MAX(FILTER('Барабан'!AJ:AJ,'Барабан'!V:V=A33)),""–""),"""")"),"")</f>
        <v/>
      </c>
    </row>
    <row r="34" ht="15.75" customHeight="1">
      <c r="A34" s="1" t="str">
        <f>'Справочник'!E29</f>
        <v/>
      </c>
      <c r="B34" s="2" t="str">
        <f>IF(A34&gt;0,SUMIF('Барабан'!K:K,A34,'Барабан'!I:I),"")</f>
        <v/>
      </c>
      <c r="C34" s="2" t="str">
        <f>IF(A34&gt;0,SUMIF('Барабан'!V:V,A34,'Барабан'!T:T),"")</f>
        <v/>
      </c>
      <c r="D34" s="2" t="str">
        <f>IF(A34&gt;0,SUMIF('Барабан'!K:K,A34,'Барабан'!AG:AG)+SUMIF('Барабан'!V:V,A34,'Барабан'!AG:AG),"")</f>
        <v/>
      </c>
      <c r="E34" s="2" t="str">
        <f t="shared" si="1"/>
        <v/>
      </c>
      <c r="F34" s="2" t="str">
        <f t="array" ref="F34">IFERROR(IF(E34=0,0,INDEX('Справочник'!G:G,MATCH(A34,'Справочник'!F:F,0))))</f>
        <v/>
      </c>
      <c r="G34" s="2" t="str">
        <f>IF(A34&gt;0,SUMIF('Барабан'!K:K,A34,'Барабан'!P:P),"")</f>
        <v/>
      </c>
      <c r="H34" s="2" t="str">
        <f>IF(A34&gt;0,SUMIF('Барабан'!V:V,A34,'Барабан'!AA:AA),"")</f>
        <v/>
      </c>
      <c r="I34" s="2" t="str">
        <f t="shared" si="4"/>
        <v/>
      </c>
      <c r="J34" s="9" t="str">
        <f t="shared" si="2"/>
        <v/>
      </c>
      <c r="K34" s="1" t="str">
        <f>IF(A34&gt;0,COUNTIF('Барабан'!K:K,A34),"")</f>
        <v/>
      </c>
      <c r="L34" s="1" t="str">
        <f>IF(A34&gt;0,COUNTIF('Барабан'!V:V,A34),"")</f>
        <v/>
      </c>
      <c r="M34" s="1" t="str">
        <f t="shared" si="3"/>
        <v/>
      </c>
      <c r="N34" s="1" t="str">
        <f>IFERROR(__xludf.DUMMYFUNCTION("IF(A34&gt;0,MIN(FILTER('Барабан'!AJ:AJ,'Барабан'!K:K=A34)),"""")"),"")</f>
        <v/>
      </c>
      <c r="O34" s="16" t="str">
        <f>IFERROR(__xludf.DUMMYFUNCTION("IF(A34&gt;0,IFERROR(MAX(FILTER('Барабан'!AJ:AJ,'Барабан'!V:V=A34)),""–""),"""")"),"")</f>
        <v/>
      </c>
    </row>
    <row r="35" ht="15.75" customHeight="1">
      <c r="A35" s="1" t="str">
        <f>'Справочник'!E30</f>
        <v/>
      </c>
      <c r="B35" s="2" t="str">
        <f>IF(A35&gt;0,SUMIF('Барабан'!K:K,A35,'Барабан'!I:I),"")</f>
        <v/>
      </c>
      <c r="C35" s="2" t="str">
        <f>IF(A35&gt;0,SUMIF('Барабан'!V:V,A35,'Барабан'!T:T),"")</f>
        <v/>
      </c>
      <c r="D35" s="2" t="str">
        <f>IF(A35&gt;0,SUMIF('Барабан'!K:K,A35,'Барабан'!AG:AG)+SUMIF('Барабан'!V:V,A35,'Барабан'!AG:AG),"")</f>
        <v/>
      </c>
      <c r="E35" s="2" t="str">
        <f t="shared" si="1"/>
        <v/>
      </c>
      <c r="F35" s="2" t="str">
        <f t="array" ref="F35">IFERROR(IF(E35=0,0,INDEX('Справочник'!G:G,MATCH(A35,'Справочник'!F:F,0))))</f>
        <v/>
      </c>
      <c r="G35" s="2" t="str">
        <f>IF(A35&gt;0,SUMIF('Барабан'!K:K,A35,'Барабан'!P:P),"")</f>
        <v/>
      </c>
      <c r="H35" s="2" t="str">
        <f>IF(A35&gt;0,SUMIF('Барабан'!V:V,A35,'Барабан'!AA:AA),"")</f>
        <v/>
      </c>
      <c r="I35" s="2" t="str">
        <f t="shared" si="4"/>
        <v/>
      </c>
      <c r="J35" s="9" t="str">
        <f t="shared" si="2"/>
        <v/>
      </c>
      <c r="K35" s="1" t="str">
        <f>IF(A35&gt;0,COUNTIF('Барабан'!K:K,A35),"")</f>
        <v/>
      </c>
      <c r="L35" s="1" t="str">
        <f>IF(A35&gt;0,COUNTIF('Барабан'!V:V,A35),"")</f>
        <v/>
      </c>
      <c r="M35" s="1" t="str">
        <f t="shared" si="3"/>
        <v/>
      </c>
      <c r="N35" s="1" t="str">
        <f>IFERROR(__xludf.DUMMYFUNCTION("IF(A35&gt;0,MIN(FILTER('Барабан'!AJ:AJ,'Барабан'!K:K=A35)),"""")"),"")</f>
        <v/>
      </c>
      <c r="O35" s="16" t="str">
        <f>IFERROR(__xludf.DUMMYFUNCTION("IF(A35&gt;0,IFERROR(MAX(FILTER('Барабан'!AJ:AJ,'Барабан'!V:V=A35)),""–""),"""")"),"")</f>
        <v/>
      </c>
    </row>
    <row r="36" ht="15.75" customHeight="1">
      <c r="A36" s="1" t="str">
        <f>'Справочник'!E31</f>
        <v/>
      </c>
      <c r="B36" s="2" t="str">
        <f>IF(A36&gt;0,SUMIF('Барабан'!K:K,A36,'Барабан'!I:I),"")</f>
        <v/>
      </c>
      <c r="C36" s="2" t="str">
        <f>IF(A36&gt;0,SUMIF('Барабан'!V:V,A36,'Барабан'!T:T),"")</f>
        <v/>
      </c>
      <c r="D36" s="2" t="str">
        <f>IF(A36&gt;0,SUMIF('Барабан'!K:K,A36,'Барабан'!AG:AG)+SUMIF('Барабан'!V:V,A36,'Барабан'!AG:AG),"")</f>
        <v/>
      </c>
      <c r="E36" s="2" t="str">
        <f t="shared" si="1"/>
        <v/>
      </c>
      <c r="F36" s="2" t="str">
        <f t="array" ref="F36">IFERROR(IF(E36=0,0,INDEX('Справочник'!G:G,MATCH(A36,'Справочник'!F:F,0))))</f>
        <v/>
      </c>
      <c r="G36" s="2" t="str">
        <f>IF(A36&gt;0,SUMIF('Барабан'!K:K,A36,'Барабан'!P:P),"")</f>
        <v/>
      </c>
      <c r="H36" s="2" t="str">
        <f>IF(A36&gt;0,SUMIF('Барабан'!V:V,A36,'Барабан'!AA:AA),"")</f>
        <v/>
      </c>
      <c r="I36" s="2" t="str">
        <f t="shared" si="4"/>
        <v/>
      </c>
      <c r="J36" s="9" t="str">
        <f t="shared" si="2"/>
        <v/>
      </c>
      <c r="K36" s="1" t="str">
        <f>IF(A36&gt;0,COUNTIF('Барабан'!K:K,A36),"")</f>
        <v/>
      </c>
      <c r="L36" s="1" t="str">
        <f>IF(A36&gt;0,COUNTIF('Барабан'!V:V,A36),"")</f>
        <v/>
      </c>
      <c r="M36" s="1" t="str">
        <f t="shared" si="3"/>
        <v/>
      </c>
      <c r="N36" s="1" t="str">
        <f>IFERROR(__xludf.DUMMYFUNCTION("IF(A36&gt;0,MIN(FILTER('Барабан'!AJ:AJ,'Барабан'!K:K=A36)),"""")"),"")</f>
        <v/>
      </c>
      <c r="O36" s="16" t="str">
        <f>IFERROR(__xludf.DUMMYFUNCTION("IF(A36&gt;0,IFERROR(MAX(FILTER('Барабан'!AJ:AJ,'Барабан'!V:V=A36)),""–""),"""")"),"")</f>
        <v/>
      </c>
    </row>
    <row r="37" ht="15.75" customHeight="1">
      <c r="A37" s="1" t="str">
        <f>'Справочник'!E32</f>
        <v/>
      </c>
      <c r="B37" s="2" t="str">
        <f>IF(A37&gt;0,SUMIF('Барабан'!K:K,A37,'Барабан'!I:I),"")</f>
        <v/>
      </c>
      <c r="C37" s="2" t="str">
        <f>IF(A37&gt;0,SUMIF('Барабан'!V:V,A37,'Барабан'!T:T),"")</f>
        <v/>
      </c>
      <c r="D37" s="2" t="str">
        <f>IF(A37&gt;0,SUMIF('Барабан'!K:K,A37,'Барабан'!AG:AG)+SUMIF('Барабан'!V:V,A37,'Барабан'!AG:AG),"")</f>
        <v/>
      </c>
      <c r="E37" s="2" t="str">
        <f t="shared" si="1"/>
        <v/>
      </c>
      <c r="F37" s="2" t="str">
        <f t="array" ref="F37">IFERROR(IF(E37=0,0,INDEX('Справочник'!G:G,MATCH(A37,'Справочник'!F:F,0))))</f>
        <v/>
      </c>
      <c r="G37" s="2" t="str">
        <f>IF(A37&gt;0,SUMIF('Барабан'!K:K,A37,'Барабан'!P:P),"")</f>
        <v/>
      </c>
      <c r="H37" s="2" t="str">
        <f>IF(A37&gt;0,SUMIF('Барабан'!V:V,A37,'Барабан'!AA:AA),"")</f>
        <v/>
      </c>
      <c r="I37" s="2" t="str">
        <f t="shared" si="4"/>
        <v/>
      </c>
      <c r="J37" s="9" t="str">
        <f t="shared" si="2"/>
        <v/>
      </c>
      <c r="K37" s="1" t="str">
        <f>IF(A37&gt;0,COUNTIF('Барабан'!K:K,A37),"")</f>
        <v/>
      </c>
      <c r="L37" s="1" t="str">
        <f>IF(A37&gt;0,COUNTIF('Барабан'!V:V,A37),"")</f>
        <v/>
      </c>
      <c r="M37" s="1" t="str">
        <f t="shared" si="3"/>
        <v/>
      </c>
      <c r="N37" s="1" t="str">
        <f>IFERROR(__xludf.DUMMYFUNCTION("IF(A37&gt;0,MIN(FILTER('Барабан'!AJ:AJ,'Барабан'!K:K=A37)),"""")"),"")</f>
        <v/>
      </c>
      <c r="O37" s="16" t="str">
        <f>IFERROR(__xludf.DUMMYFUNCTION("IF(A37&gt;0,IFERROR(MAX(FILTER('Барабан'!AJ:AJ,'Барабан'!V:V=A37)),""–""),"""")"),"")</f>
        <v/>
      </c>
    </row>
    <row r="38" ht="15.75" customHeight="1">
      <c r="A38" s="1" t="str">
        <f>'Справочник'!E33</f>
        <v/>
      </c>
      <c r="B38" s="2" t="str">
        <f>IF(A38&gt;0,SUMIF('Барабан'!K:K,A38,'Барабан'!I:I),"")</f>
        <v/>
      </c>
      <c r="C38" s="2" t="str">
        <f>IF(A38&gt;0,SUMIF('Барабан'!V:V,A38,'Барабан'!T:T),"")</f>
        <v/>
      </c>
      <c r="D38" s="2" t="str">
        <f>IF(A38&gt;0,SUMIF('Барабан'!K:K,A38,'Барабан'!AG:AG)+SUMIF('Барабан'!V:V,A38,'Барабан'!AG:AG),"")</f>
        <v/>
      </c>
      <c r="E38" s="2" t="str">
        <f t="shared" si="1"/>
        <v/>
      </c>
      <c r="F38" s="2" t="str">
        <f t="array" ref="F38">IFERROR(IF(E38=0,0,INDEX('Справочник'!G:G,MATCH(A38,'Справочник'!F:F,0))))</f>
        <v/>
      </c>
      <c r="G38" s="2" t="str">
        <f>IF(A38&gt;0,SUMIF('Барабан'!K:K,A38,'Барабан'!P:P),"")</f>
        <v/>
      </c>
      <c r="H38" s="2" t="str">
        <f>IF(A38&gt;0,SUMIF('Барабан'!V:V,A38,'Барабан'!AA:AA),"")</f>
        <v/>
      </c>
      <c r="I38" s="2" t="str">
        <f t="shared" si="4"/>
        <v/>
      </c>
      <c r="J38" s="9" t="str">
        <f t="shared" si="2"/>
        <v/>
      </c>
      <c r="K38" s="1" t="str">
        <f>IF(A38&gt;0,COUNTIF('Барабан'!K:K,A38),"")</f>
        <v/>
      </c>
      <c r="L38" s="1" t="str">
        <f>IF(A38&gt;0,COUNTIF('Барабан'!V:V,A38),"")</f>
        <v/>
      </c>
      <c r="M38" s="1" t="str">
        <f t="shared" si="3"/>
        <v/>
      </c>
      <c r="N38" s="1" t="str">
        <f>IFERROR(__xludf.DUMMYFUNCTION("IF(A38&gt;0,MIN(FILTER('Барабан'!AJ:AJ,'Барабан'!K:K=A38)),"""")"),"")</f>
        <v/>
      </c>
      <c r="O38" s="16" t="str">
        <f>IFERROR(__xludf.DUMMYFUNCTION("IF(A38&gt;0,IFERROR(MAX(FILTER('Барабан'!AJ:AJ,'Барабан'!V:V=A38)),""–""),"""")"),"")</f>
        <v/>
      </c>
    </row>
    <row r="39" ht="15.75" customHeight="1">
      <c r="A39" s="1" t="str">
        <f>'Справочник'!E34</f>
        <v/>
      </c>
      <c r="B39" s="2" t="str">
        <f>IF(A39&gt;0,SUMIF('Барабан'!K:K,A39,'Барабан'!I:I),"")</f>
        <v/>
      </c>
      <c r="C39" s="2" t="str">
        <f>IF(A39&gt;0,SUMIF('Барабан'!V:V,A39,'Барабан'!T:T),"")</f>
        <v/>
      </c>
      <c r="D39" s="2" t="str">
        <f>IF(A39&gt;0,SUMIF('Барабан'!K:K,A39,'Барабан'!AG:AG)+SUMIF('Барабан'!V:V,A39,'Барабан'!AG:AG),"")</f>
        <v/>
      </c>
      <c r="E39" s="2" t="str">
        <f t="shared" si="1"/>
        <v/>
      </c>
      <c r="F39" s="2" t="str">
        <f t="array" ref="F39">IFERROR(IF(E39=0,0,INDEX('Справочник'!G:G,MATCH(A39,'Справочник'!F:F,0))))</f>
        <v/>
      </c>
      <c r="G39" s="2" t="str">
        <f>IF(A39&gt;0,SUMIF('Барабан'!K:K,A39,'Барабан'!P:P),"")</f>
        <v/>
      </c>
      <c r="H39" s="2" t="str">
        <f>IF(A39&gt;0,SUMIF('Барабан'!V:V,A39,'Барабан'!AA:AA),"")</f>
        <v/>
      </c>
      <c r="I39" s="2" t="str">
        <f t="shared" si="4"/>
        <v/>
      </c>
      <c r="J39" s="9" t="str">
        <f t="shared" si="2"/>
        <v/>
      </c>
      <c r="K39" s="1" t="str">
        <f>IF(A39&gt;0,COUNTIF('Барабан'!K:K,A39),"")</f>
        <v/>
      </c>
      <c r="L39" s="1" t="str">
        <f>IF(A39&gt;0,COUNTIF('Барабан'!V:V,A39),"")</f>
        <v/>
      </c>
      <c r="M39" s="1" t="str">
        <f t="shared" si="3"/>
        <v/>
      </c>
      <c r="N39" s="1" t="str">
        <f>IFERROR(__xludf.DUMMYFUNCTION("IF(A39&gt;0,MIN(FILTER('Барабан'!AJ:AJ,'Барабан'!K:K=A39)),"""")"),"")</f>
        <v/>
      </c>
      <c r="O39" s="16" t="str">
        <f>IFERROR(__xludf.DUMMYFUNCTION("IF(A39&gt;0,IFERROR(MAX(FILTER('Барабан'!AJ:AJ,'Барабан'!V:V=A39)),""–""),"""")"),"")</f>
        <v/>
      </c>
    </row>
    <row r="40" ht="15.75" customHeight="1">
      <c r="A40" s="1" t="str">
        <f>'Справочник'!E35</f>
        <v/>
      </c>
      <c r="B40" s="2" t="str">
        <f>IF(A40&gt;0,SUMIF('Барабан'!K:K,A40,'Барабан'!I:I),"")</f>
        <v/>
      </c>
      <c r="C40" s="2" t="str">
        <f>IF(A40&gt;0,SUMIF('Барабан'!V:V,A40,'Барабан'!T:T),"")</f>
        <v/>
      </c>
      <c r="D40" s="2" t="str">
        <f>IF(A40&gt;0,SUMIF('Барабан'!K:K,A40,'Барабан'!AG:AG)+SUMIF('Барабан'!V:V,A40,'Барабан'!AG:AG),"")</f>
        <v/>
      </c>
      <c r="E40" s="2" t="str">
        <f t="shared" si="1"/>
        <v/>
      </c>
      <c r="F40" s="2" t="str">
        <f t="array" ref="F40">IFERROR(IF(E40=0,0,INDEX('Справочник'!G:G,MATCH(A40,'Справочник'!F:F,0))))</f>
        <v/>
      </c>
      <c r="G40" s="2" t="str">
        <f>IF(A40&gt;0,SUMIF('Барабан'!K:K,A40,'Барабан'!P:P),"")</f>
        <v/>
      </c>
      <c r="H40" s="2" t="str">
        <f>IF(A40&gt;0,SUMIF('Барабан'!V:V,A40,'Барабан'!AA:AA),"")</f>
        <v/>
      </c>
      <c r="I40" s="2" t="str">
        <f t="shared" si="4"/>
        <v/>
      </c>
      <c r="J40" s="9" t="str">
        <f t="shared" si="2"/>
        <v/>
      </c>
      <c r="K40" s="1" t="str">
        <f>IF(A40&gt;0,COUNTIF('Барабан'!K:K,A40),"")</f>
        <v/>
      </c>
      <c r="L40" s="1" t="str">
        <f>IF(A40&gt;0,COUNTIF('Барабан'!V:V,A40),"")</f>
        <v/>
      </c>
      <c r="M40" s="1" t="str">
        <f t="shared" si="3"/>
        <v/>
      </c>
      <c r="N40" s="1" t="str">
        <f>IFERROR(__xludf.DUMMYFUNCTION("IF(A40&gt;0,MIN(FILTER('Барабан'!AJ:AJ,'Барабан'!K:K=A40)),"""")"),"")</f>
        <v/>
      </c>
      <c r="O40" s="16" t="str">
        <f>IFERROR(__xludf.DUMMYFUNCTION("IF(A40&gt;0,IFERROR(MAX(FILTER('Барабан'!AJ:AJ,'Барабан'!V:V=A40)),""–""),"""")"),"")</f>
        <v/>
      </c>
    </row>
    <row r="41" ht="15.75" customHeight="1">
      <c r="A41" s="1" t="str">
        <f>'Справочник'!E36</f>
        <v/>
      </c>
      <c r="B41" s="2" t="str">
        <f>IF(A41&gt;0,SUMIF('Барабан'!K:K,A41,'Барабан'!I:I),"")</f>
        <v/>
      </c>
      <c r="C41" s="2" t="str">
        <f>IF(A41&gt;0,SUMIF('Барабан'!V:V,A41,'Барабан'!T:T),"")</f>
        <v/>
      </c>
      <c r="D41" s="2" t="str">
        <f>IF(A41&gt;0,SUMIF('Барабан'!K:K,A41,'Барабан'!AG:AG)+SUMIF('Барабан'!V:V,A41,'Барабан'!AG:AG),"")</f>
        <v/>
      </c>
      <c r="E41" s="2" t="str">
        <f t="shared" si="1"/>
        <v/>
      </c>
      <c r="F41" s="2" t="str">
        <f t="array" ref="F41">IFERROR(IF(E41=0,0,INDEX('Справочник'!G:G,MATCH(A41,'Справочник'!F:F,0))))</f>
        <v/>
      </c>
      <c r="G41" s="2" t="str">
        <f>IF(A41&gt;0,SUMIF('Барабан'!K:K,A41,'Барабан'!P:P),"")</f>
        <v/>
      </c>
      <c r="H41" s="2" t="str">
        <f>IF(A41&gt;0,SUMIF('Барабан'!V:V,A41,'Барабан'!AA:AA),"")</f>
        <v/>
      </c>
      <c r="I41" s="2" t="str">
        <f t="shared" si="4"/>
        <v/>
      </c>
      <c r="J41" s="9" t="str">
        <f t="shared" si="2"/>
        <v/>
      </c>
      <c r="K41" s="1" t="str">
        <f>IF(A41&gt;0,COUNTIF('Барабан'!K:K,A41),"")</f>
        <v/>
      </c>
      <c r="L41" s="1" t="str">
        <f>IF(A41&gt;0,COUNTIF('Барабан'!V:V,A41),"")</f>
        <v/>
      </c>
      <c r="M41" s="1" t="str">
        <f t="shared" si="3"/>
        <v/>
      </c>
      <c r="N41" s="1" t="str">
        <f>IFERROR(__xludf.DUMMYFUNCTION("IF(A41&gt;0,MIN(FILTER('Барабан'!AJ:AJ,'Барабан'!K:K=A41)),"""")"),"")</f>
        <v/>
      </c>
      <c r="O41" s="16" t="str">
        <f>IFERROR(__xludf.DUMMYFUNCTION("IF(A41&gt;0,IFERROR(MAX(FILTER('Барабан'!AJ:AJ,'Барабан'!V:V=A41)),""–""),"""")"),"")</f>
        <v/>
      </c>
    </row>
    <row r="42" ht="15.75" customHeight="1">
      <c r="A42" s="1" t="str">
        <f>'Справочник'!E37</f>
        <v/>
      </c>
      <c r="B42" s="2" t="str">
        <f>IF(A42&gt;0,SUMIF('Барабан'!K:K,A42,'Барабан'!I:I),"")</f>
        <v/>
      </c>
      <c r="C42" s="2" t="str">
        <f>IF(A42&gt;0,SUMIF('Барабан'!V:V,A42,'Барабан'!T:T),"")</f>
        <v/>
      </c>
      <c r="D42" s="2" t="str">
        <f>IF(A42&gt;0,SUMIF('Барабан'!K:K,A42,'Барабан'!AG:AG)+SUMIF('Барабан'!V:V,A42,'Барабан'!AG:AG),"")</f>
        <v/>
      </c>
      <c r="E42" s="2" t="str">
        <f t="shared" si="1"/>
        <v/>
      </c>
      <c r="F42" s="2" t="str">
        <f t="array" ref="F42">IFERROR(IF(E42=0,0,INDEX('Справочник'!G:G,MATCH(A42,'Справочник'!F:F,0))))</f>
        <v/>
      </c>
      <c r="G42" s="2" t="str">
        <f>IF(A42&gt;0,SUMIF('Барабан'!K:K,A42,'Барабан'!P:P),"")</f>
        <v/>
      </c>
      <c r="H42" s="2" t="str">
        <f>IF(A42&gt;0,SUMIF('Барабан'!V:V,A42,'Барабан'!AA:AA),"")</f>
        <v/>
      </c>
      <c r="I42" s="2" t="str">
        <f t="shared" si="4"/>
        <v/>
      </c>
      <c r="J42" s="9" t="str">
        <f t="shared" si="2"/>
        <v/>
      </c>
      <c r="K42" s="1" t="str">
        <f>IF(A42&gt;0,COUNTIF('Барабан'!K:K,A42),"")</f>
        <v/>
      </c>
      <c r="L42" s="1" t="str">
        <f>IF(A42&gt;0,COUNTIF('Барабан'!V:V,A42),"")</f>
        <v/>
      </c>
      <c r="M42" s="1" t="str">
        <f t="shared" si="3"/>
        <v/>
      </c>
      <c r="N42" s="1" t="str">
        <f>IFERROR(__xludf.DUMMYFUNCTION("IF(A42&gt;0,MIN(FILTER('Барабан'!AJ:AJ,'Барабан'!K:K=A42)),"""")"),"")</f>
        <v/>
      </c>
      <c r="O42" s="16" t="str">
        <f>IFERROR(__xludf.DUMMYFUNCTION("IF(A42&gt;0,IFERROR(MAX(FILTER('Барабан'!AJ:AJ,'Барабан'!V:V=A42)),""–""),"""")"),"")</f>
        <v/>
      </c>
    </row>
    <row r="43" ht="15.75" customHeight="1">
      <c r="A43" s="1" t="str">
        <f>'Справочник'!E38</f>
        <v/>
      </c>
      <c r="B43" s="2" t="str">
        <f>IF(A43&gt;0,SUMIF('Барабан'!K:K,A43,'Барабан'!I:I),"")</f>
        <v/>
      </c>
      <c r="C43" s="2" t="str">
        <f>IF(A43&gt;0,SUMIF('Барабан'!V:V,A43,'Барабан'!T:T),"")</f>
        <v/>
      </c>
      <c r="D43" s="2" t="str">
        <f>IF(A43&gt;0,SUMIF('Барабан'!K:K,A43,'Барабан'!AG:AG)+SUMIF('Барабан'!V:V,A43,'Барабан'!AG:AG),"")</f>
        <v/>
      </c>
      <c r="E43" s="2" t="str">
        <f t="shared" si="1"/>
        <v/>
      </c>
      <c r="F43" s="2" t="str">
        <f t="array" ref="F43">IFERROR(IF(E43=0,0,INDEX('Справочник'!G:G,MATCH(A43,'Справочник'!F:F,0))))</f>
        <v/>
      </c>
      <c r="G43" s="2" t="str">
        <f>IF(A43&gt;0,SUMIF('Барабан'!K:K,A43,'Барабан'!P:P),"")</f>
        <v/>
      </c>
      <c r="H43" s="2" t="str">
        <f>IF(A43&gt;0,SUMIF('Барабан'!V:V,A43,'Барабан'!AA:AA),"")</f>
        <v/>
      </c>
      <c r="I43" s="2" t="str">
        <f t="shared" si="4"/>
        <v/>
      </c>
      <c r="J43" s="9" t="str">
        <f t="shared" si="2"/>
        <v/>
      </c>
      <c r="K43" s="1" t="str">
        <f>IF(A43&gt;0,COUNTIF('Барабан'!K:K,A43),"")</f>
        <v/>
      </c>
      <c r="L43" s="1" t="str">
        <f>IF(A43&gt;0,COUNTIF('Барабан'!V:V,A43),"")</f>
        <v/>
      </c>
      <c r="M43" s="1" t="str">
        <f t="shared" si="3"/>
        <v/>
      </c>
      <c r="N43" s="1" t="str">
        <f>IFERROR(__xludf.DUMMYFUNCTION("IF(A43&gt;0,MIN(FILTER('Барабан'!AJ:AJ,'Барабан'!K:K=A43)),"""")"),"")</f>
        <v/>
      </c>
      <c r="O43" s="16" t="str">
        <f>IFERROR(__xludf.DUMMYFUNCTION("IF(A43&gt;0,IFERROR(MAX(FILTER('Барабан'!AJ:AJ,'Барабан'!V:V=A43)),""–""),"""")"),"")</f>
        <v/>
      </c>
    </row>
    <row r="44" ht="15.75" customHeight="1">
      <c r="A44" s="1" t="str">
        <f>'Справочник'!E39</f>
        <v/>
      </c>
      <c r="B44" s="2" t="str">
        <f>IF(A44&gt;0,SUMIF('Барабан'!K:K,A44,'Барабан'!I:I),"")</f>
        <v/>
      </c>
      <c r="C44" s="2" t="str">
        <f>IF(A44&gt;0,SUMIF('Барабан'!V:V,A44,'Барабан'!T:T),"")</f>
        <v/>
      </c>
      <c r="D44" s="2" t="str">
        <f>IF(A44&gt;0,SUMIF('Барабан'!K:K,A44,'Барабан'!AG:AG)+SUMIF('Барабан'!V:V,A44,'Барабан'!AG:AG),"")</f>
        <v/>
      </c>
      <c r="E44" s="2" t="str">
        <f t="shared" si="1"/>
        <v/>
      </c>
      <c r="F44" s="2" t="str">
        <f t="array" ref="F44">IFERROR(IF(E44=0,0,INDEX('Справочник'!G:G,MATCH(A44,'Справочник'!F:F,0))))</f>
        <v/>
      </c>
      <c r="G44" s="2" t="str">
        <f>IF(A44&gt;0,SUMIF('Барабан'!K:K,A44,'Барабан'!P:P),"")</f>
        <v/>
      </c>
      <c r="H44" s="2" t="str">
        <f>IF(A44&gt;0,SUMIF('Барабан'!V:V,A44,'Барабан'!AA:AA),"")</f>
        <v/>
      </c>
      <c r="I44" s="2" t="str">
        <f t="shared" si="4"/>
        <v/>
      </c>
      <c r="J44" s="9" t="str">
        <f t="shared" si="2"/>
        <v/>
      </c>
      <c r="K44" s="1" t="str">
        <f>IF(A44&gt;0,COUNTIF('Барабан'!K:K,A44),"")</f>
        <v/>
      </c>
      <c r="L44" s="1" t="str">
        <f>IF(A44&gt;0,COUNTIF('Барабан'!V:V,A44),"")</f>
        <v/>
      </c>
      <c r="M44" s="1" t="str">
        <f t="shared" si="3"/>
        <v/>
      </c>
      <c r="N44" s="1" t="str">
        <f>IFERROR(__xludf.DUMMYFUNCTION("IF(A44&gt;0,MIN(FILTER('Барабан'!AJ:AJ,'Барабан'!K:K=A44)),"""")"),"")</f>
        <v/>
      </c>
      <c r="O44" s="16" t="str">
        <f>IFERROR(__xludf.DUMMYFUNCTION("IF(A44&gt;0,IFERROR(MAX(FILTER('Барабан'!AJ:AJ,'Барабан'!V:V=A44)),""–""),"""")"),"")</f>
        <v/>
      </c>
    </row>
    <row r="45" ht="15.75" customHeight="1">
      <c r="A45" s="1" t="str">
        <f>'Справочник'!E40</f>
        <v/>
      </c>
      <c r="B45" s="2" t="str">
        <f>IF(A45&gt;0,SUMIF('Барабан'!K:K,A45,'Барабан'!I:I),"")</f>
        <v/>
      </c>
      <c r="C45" s="2" t="str">
        <f>IF(A45&gt;0,SUMIF('Барабан'!V:V,A45,'Барабан'!T:T),"")</f>
        <v/>
      </c>
      <c r="D45" s="2" t="str">
        <f>IF(A45&gt;0,SUMIF('Барабан'!K:K,A45,'Барабан'!AG:AG)+SUMIF('Барабан'!V:V,A45,'Барабан'!AG:AG),"")</f>
        <v/>
      </c>
      <c r="E45" s="2" t="str">
        <f t="shared" si="1"/>
        <v/>
      </c>
      <c r="F45" s="2" t="str">
        <f t="array" ref="F45">IFERROR(IF(E45=0,0,INDEX('Справочник'!G:G,MATCH(A45,'Справочник'!F:F,0))))</f>
        <v/>
      </c>
      <c r="G45" s="2" t="str">
        <f>IF(A45&gt;0,SUMIF('Барабан'!K:K,A45,'Барабан'!P:P),"")</f>
        <v/>
      </c>
      <c r="H45" s="2" t="str">
        <f>IF(A45&gt;0,SUMIF('Барабан'!V:V,A45,'Барабан'!AA:AA),"")</f>
        <v/>
      </c>
      <c r="I45" s="2" t="str">
        <f t="shared" si="4"/>
        <v/>
      </c>
      <c r="J45" s="9" t="str">
        <f t="shared" si="2"/>
        <v/>
      </c>
      <c r="K45" s="1" t="str">
        <f>IF(A45&gt;0,COUNTIF('Барабан'!K:K,A45),"")</f>
        <v/>
      </c>
      <c r="L45" s="1" t="str">
        <f>IF(A45&gt;0,COUNTIF('Барабан'!V:V,A45),"")</f>
        <v/>
      </c>
      <c r="M45" s="1" t="str">
        <f t="shared" si="3"/>
        <v/>
      </c>
      <c r="N45" s="1" t="str">
        <f>IFERROR(__xludf.DUMMYFUNCTION("IF(A45&gt;0,MIN(FILTER('Барабан'!AJ:AJ,'Барабан'!K:K=A45)),"""")"),"")</f>
        <v/>
      </c>
      <c r="O45" s="16" t="str">
        <f>IFERROR(__xludf.DUMMYFUNCTION("IF(A45&gt;0,IFERROR(MAX(FILTER('Барабан'!AJ:AJ,'Барабан'!V:V=A45)),""–""),"""")"),"")</f>
        <v/>
      </c>
    </row>
    <row r="46" ht="15.75" customHeight="1">
      <c r="A46" s="1" t="str">
        <f>'Справочник'!E41</f>
        <v/>
      </c>
      <c r="B46" s="2" t="str">
        <f>IF(A46&gt;0,SUMIF('Барабан'!K:K,A46,'Барабан'!I:I),"")</f>
        <v/>
      </c>
      <c r="C46" s="2" t="str">
        <f>IF(A46&gt;0,SUMIF('Барабан'!V:V,A46,'Барабан'!T:T),"")</f>
        <v/>
      </c>
      <c r="D46" s="2" t="str">
        <f>IF(A46&gt;0,SUMIF('Барабан'!K:K,A46,'Барабан'!AG:AG)+SUMIF('Барабан'!V:V,A46,'Барабан'!AG:AG),"")</f>
        <v/>
      </c>
      <c r="E46" s="2" t="str">
        <f t="shared" si="1"/>
        <v/>
      </c>
      <c r="F46" s="2" t="str">
        <f t="array" ref="F46">IFERROR(IF(E46=0,0,INDEX('Справочник'!G:G,MATCH(A46,'Справочник'!F:F,0))))</f>
        <v/>
      </c>
      <c r="G46" s="2" t="str">
        <f>IF(A46&gt;0,SUMIF('Барабан'!K:K,A46,'Барабан'!P:P),"")</f>
        <v/>
      </c>
      <c r="H46" s="2" t="str">
        <f>IF(A46&gt;0,SUMIF('Барабан'!V:V,A46,'Барабан'!AA:AA),"")</f>
        <v/>
      </c>
      <c r="I46" s="2" t="str">
        <f t="shared" si="4"/>
        <v/>
      </c>
      <c r="J46" s="9" t="str">
        <f t="shared" si="2"/>
        <v/>
      </c>
      <c r="K46" s="1" t="str">
        <f>IF(A46&gt;0,COUNTIF('Барабан'!K:K,A46),"")</f>
        <v/>
      </c>
      <c r="L46" s="1" t="str">
        <f>IF(A46&gt;0,COUNTIF('Барабан'!V:V,A46),"")</f>
        <v/>
      </c>
      <c r="M46" s="1" t="str">
        <f t="shared" si="3"/>
        <v/>
      </c>
      <c r="N46" s="1" t="str">
        <f>IFERROR(__xludf.DUMMYFUNCTION("IF(A46&gt;0,MIN(FILTER('Барабан'!AJ:AJ,'Барабан'!K:K=A46)),"""")"),"")</f>
        <v/>
      </c>
      <c r="O46" s="16" t="str">
        <f>IFERROR(__xludf.DUMMYFUNCTION("IF(A46&gt;0,IFERROR(MAX(FILTER('Барабан'!AJ:AJ,'Барабан'!V:V=A46)),""–""),"""")"),"")</f>
        <v/>
      </c>
    </row>
    <row r="47" ht="15.75" customHeight="1">
      <c r="A47" s="1" t="str">
        <f>'Справочник'!E42</f>
        <v/>
      </c>
      <c r="B47" s="2" t="str">
        <f>IF(A47&gt;0,SUMIF('Барабан'!K:K,A47,'Барабан'!I:I),"")</f>
        <v/>
      </c>
      <c r="C47" s="2" t="str">
        <f>IF(A47&gt;0,SUMIF('Барабан'!V:V,A47,'Барабан'!T:T),"")</f>
        <v/>
      </c>
      <c r="D47" s="2" t="str">
        <f>IF(A47&gt;0,SUMIF('Барабан'!K:K,A47,'Барабан'!AG:AG)+SUMIF('Барабан'!V:V,A47,'Барабан'!AG:AG),"")</f>
        <v/>
      </c>
      <c r="E47" s="2" t="str">
        <f t="shared" si="1"/>
        <v/>
      </c>
      <c r="F47" s="2" t="str">
        <f t="array" ref="F47">IFERROR(IF(E47=0,0,INDEX('Справочник'!G:G,MATCH(A47,'Справочник'!F:F,0))))</f>
        <v/>
      </c>
      <c r="G47" s="2" t="str">
        <f>IF(A47&gt;0,SUMIF('Барабан'!K:K,A47,'Барабан'!P:P),"")</f>
        <v/>
      </c>
      <c r="H47" s="2" t="str">
        <f>IF(A47&gt;0,SUMIF('Барабан'!V:V,A47,'Барабан'!AA:AA),"")</f>
        <v/>
      </c>
      <c r="I47" s="2" t="str">
        <f t="shared" si="4"/>
        <v/>
      </c>
      <c r="J47" s="9" t="str">
        <f t="shared" si="2"/>
        <v/>
      </c>
      <c r="K47" s="1" t="str">
        <f>IF(A47&gt;0,COUNTIF('Барабан'!K:K,A47),"")</f>
        <v/>
      </c>
      <c r="L47" s="1" t="str">
        <f>IF(A47&gt;0,COUNTIF('Барабан'!V:V,A47),"")</f>
        <v/>
      </c>
      <c r="M47" s="1" t="str">
        <f t="shared" si="3"/>
        <v/>
      </c>
      <c r="N47" s="1" t="str">
        <f>IFERROR(__xludf.DUMMYFUNCTION("IF(A47&gt;0,MIN(FILTER('Барабан'!AJ:AJ,'Барабан'!K:K=A47)),"""")"),"")</f>
        <v/>
      </c>
      <c r="O47" s="16" t="str">
        <f>IFERROR(__xludf.DUMMYFUNCTION("IF(A47&gt;0,IFERROR(MAX(FILTER('Барабан'!AJ:AJ,'Барабан'!V:V=A47)),""–""),"""")"),"")</f>
        <v/>
      </c>
    </row>
    <row r="48" ht="15.75" customHeight="1">
      <c r="A48" s="1" t="str">
        <f>'Справочник'!E43</f>
        <v/>
      </c>
      <c r="B48" s="2" t="str">
        <f>IF(A48&gt;0,SUMIF('Барабан'!K:K,A48,'Барабан'!I:I),"")</f>
        <v/>
      </c>
      <c r="C48" s="2" t="str">
        <f>IF(A48&gt;0,SUMIF('Барабан'!V:V,A48,'Барабан'!T:T),"")</f>
        <v/>
      </c>
      <c r="D48" s="2" t="str">
        <f>IF(A48&gt;0,SUMIF('Барабан'!K:K,A48,'Барабан'!AG:AG)+SUMIF('Барабан'!V:V,A48,'Барабан'!AG:AG),"")</f>
        <v/>
      </c>
      <c r="E48" s="2" t="str">
        <f t="shared" si="1"/>
        <v/>
      </c>
      <c r="F48" s="2" t="str">
        <f t="array" ref="F48">IFERROR(IF(E48=0,0,INDEX('Справочник'!G:G,MATCH(A48,'Справочник'!F:F,0))))</f>
        <v/>
      </c>
      <c r="G48" s="2" t="str">
        <f>IF(A48&gt;0,SUMIF('Барабан'!K:K,A48,'Барабан'!P:P),"")</f>
        <v/>
      </c>
      <c r="H48" s="2" t="str">
        <f>IF(A48&gt;0,SUMIF('Барабан'!V:V,A48,'Барабан'!AA:AA),"")</f>
        <v/>
      </c>
      <c r="I48" s="2" t="str">
        <f t="shared" si="4"/>
        <v/>
      </c>
      <c r="J48" s="9" t="str">
        <f t="shared" si="2"/>
        <v/>
      </c>
      <c r="K48" s="1" t="str">
        <f>IF(A48&gt;0,COUNTIF('Барабан'!K:K,A48),"")</f>
        <v/>
      </c>
      <c r="L48" s="1" t="str">
        <f>IF(A48&gt;0,COUNTIF('Барабан'!V:V,A48),"")</f>
        <v/>
      </c>
      <c r="M48" s="1" t="str">
        <f t="shared" si="3"/>
        <v/>
      </c>
      <c r="N48" s="1" t="str">
        <f>IFERROR(__xludf.DUMMYFUNCTION("IF(A48&gt;0,MIN(FILTER('Барабан'!AJ:AJ,'Барабан'!K:K=A48)),"""")"),"")</f>
        <v/>
      </c>
      <c r="O48" s="16" t="str">
        <f>IFERROR(__xludf.DUMMYFUNCTION("IF(A48&gt;0,IFERROR(MAX(FILTER('Барабан'!AJ:AJ,'Барабан'!V:V=A48)),""–""),"""")"),"")</f>
        <v/>
      </c>
    </row>
    <row r="49" ht="15.75" customHeight="1">
      <c r="A49" s="1" t="str">
        <f>'Справочник'!E44</f>
        <v/>
      </c>
      <c r="B49" s="2" t="str">
        <f>IF(A49&gt;0,SUMIF('Барабан'!K:K,A49,'Барабан'!I:I),"")</f>
        <v/>
      </c>
      <c r="C49" s="2" t="str">
        <f>IF(A49&gt;0,SUMIF('Барабан'!V:V,A49,'Барабан'!T:T),"")</f>
        <v/>
      </c>
      <c r="D49" s="2" t="str">
        <f>IF(A49&gt;0,SUMIF('Барабан'!K:K,A49,'Барабан'!AG:AG)+SUMIF('Барабан'!V:V,A49,'Барабан'!AG:AG),"")</f>
        <v/>
      </c>
      <c r="E49" s="2" t="str">
        <f t="shared" si="1"/>
        <v/>
      </c>
      <c r="F49" s="2" t="str">
        <f t="array" ref="F49">IFERROR(IF(E49=0,0,INDEX('Справочник'!G:G,MATCH(A49,'Справочник'!F:F,0))))</f>
        <v/>
      </c>
      <c r="G49" s="2" t="str">
        <f>IF(A49&gt;0,SUMIF('Барабан'!K:K,A49,'Барабан'!P:P),"")</f>
        <v/>
      </c>
      <c r="H49" s="2" t="str">
        <f>IF(A49&gt;0,SUMIF('Барабан'!V:V,A49,'Барабан'!AA:AA),"")</f>
        <v/>
      </c>
      <c r="I49" s="2" t="str">
        <f t="shared" si="4"/>
        <v/>
      </c>
      <c r="J49" s="9" t="str">
        <f t="shared" si="2"/>
        <v/>
      </c>
      <c r="K49" s="1" t="str">
        <f>IF(A49&gt;0,COUNTIF('Барабан'!K:K,A49),"")</f>
        <v/>
      </c>
      <c r="L49" s="1" t="str">
        <f>IF(A49&gt;0,COUNTIF('Барабан'!V:V,A49),"")</f>
        <v/>
      </c>
      <c r="M49" s="1" t="str">
        <f t="shared" si="3"/>
        <v/>
      </c>
      <c r="N49" s="1" t="str">
        <f>IFERROR(__xludf.DUMMYFUNCTION("IF(A49&gt;0,MIN(FILTER('Барабан'!AJ:AJ,'Барабан'!K:K=A49)),"""")"),"")</f>
        <v/>
      </c>
      <c r="O49" s="16" t="str">
        <f>IFERROR(__xludf.DUMMYFUNCTION("IF(A49&gt;0,IFERROR(MAX(FILTER('Барабан'!AJ:AJ,'Барабан'!V:V=A49)),""–""),"""")"),"")</f>
        <v/>
      </c>
    </row>
    <row r="50" ht="15.75" customHeight="1">
      <c r="A50" s="1" t="str">
        <f>'Справочник'!E45</f>
        <v/>
      </c>
      <c r="B50" s="2" t="str">
        <f>IF(A50&gt;0,SUMIF('Барабан'!K:K,A50,'Барабан'!I:I),"")</f>
        <v/>
      </c>
      <c r="C50" s="2" t="str">
        <f>IF(A50&gt;0,SUMIF('Барабан'!V:V,A50,'Барабан'!T:T),"")</f>
        <v/>
      </c>
      <c r="D50" s="2" t="str">
        <f>IF(A50&gt;0,SUMIF('Барабан'!K:K,A50,'Барабан'!AG:AG)+SUMIF('Барабан'!V:V,A50,'Барабан'!AG:AG),"")</f>
        <v/>
      </c>
      <c r="E50" s="2" t="str">
        <f t="shared" si="1"/>
        <v/>
      </c>
      <c r="F50" s="2" t="str">
        <f t="array" ref="F50">IFERROR(IF(E50=0,0,INDEX('Справочник'!G:G,MATCH(A50,'Справочник'!F:F,0))))</f>
        <v/>
      </c>
      <c r="G50" s="2" t="str">
        <f>IF(A50&gt;0,SUMIF('Барабан'!K:K,A50,'Барабан'!P:P),"")</f>
        <v/>
      </c>
      <c r="H50" s="2" t="str">
        <f>IF(A50&gt;0,SUMIF('Барабан'!V:V,A50,'Барабан'!AA:AA),"")</f>
        <v/>
      </c>
      <c r="I50" s="2" t="str">
        <f t="shared" si="4"/>
        <v/>
      </c>
      <c r="J50" s="9" t="str">
        <f t="shared" si="2"/>
        <v/>
      </c>
      <c r="K50" s="1" t="str">
        <f>IF(A50&gt;0,COUNTIF('Барабан'!K:K,A50),"")</f>
        <v/>
      </c>
      <c r="L50" s="1" t="str">
        <f>IF(A50&gt;0,COUNTIF('Барабан'!V:V,A50),"")</f>
        <v/>
      </c>
      <c r="M50" s="1" t="str">
        <f t="shared" si="3"/>
        <v/>
      </c>
      <c r="N50" s="1" t="str">
        <f>IFERROR(__xludf.DUMMYFUNCTION("IF(A50&gt;0,MIN(FILTER('Барабан'!AJ:AJ,'Барабан'!K:K=A50)),"""")"),"")</f>
        <v/>
      </c>
      <c r="O50" s="16" t="str">
        <f>IFERROR(__xludf.DUMMYFUNCTION("IF(A50&gt;0,IFERROR(MAX(FILTER('Барабан'!AJ:AJ,'Барабан'!V:V=A50)),""–""),"""")"),"")</f>
        <v/>
      </c>
    </row>
    <row r="51" ht="15.75" customHeight="1">
      <c r="A51" s="1" t="str">
        <f>'Справочник'!E46</f>
        <v/>
      </c>
      <c r="B51" s="2" t="str">
        <f>IF(A51&gt;0,SUMIF('Барабан'!K:K,A51,'Барабан'!I:I),"")</f>
        <v/>
      </c>
      <c r="C51" s="2" t="str">
        <f>IF(A51&gt;0,SUMIF('Барабан'!V:V,A51,'Барабан'!T:T),"")</f>
        <v/>
      </c>
      <c r="D51" s="2" t="str">
        <f>IF(A51&gt;0,SUMIF('Барабан'!K:K,A51,'Барабан'!AG:AG)+SUMIF('Барабан'!V:V,A51,'Барабан'!AG:AG),"")</f>
        <v/>
      </c>
      <c r="E51" s="2" t="str">
        <f t="shared" si="1"/>
        <v/>
      </c>
      <c r="F51" s="2" t="str">
        <f t="array" ref="F51">IFERROR(IF(E51=0,0,INDEX('Справочник'!G:G,MATCH(A51,'Справочник'!F:F,0))))</f>
        <v/>
      </c>
      <c r="G51" s="2" t="str">
        <f>IF(A51&gt;0,SUMIF('Барабан'!K:K,A51,'Барабан'!P:P),"")</f>
        <v/>
      </c>
      <c r="H51" s="2" t="str">
        <f>IF(A51&gt;0,SUMIF('Барабан'!V:V,A51,'Барабан'!AA:AA),"")</f>
        <v/>
      </c>
      <c r="I51" s="2" t="str">
        <f t="shared" si="4"/>
        <v/>
      </c>
      <c r="J51" s="9" t="str">
        <f t="shared" si="2"/>
        <v/>
      </c>
      <c r="K51" s="1" t="str">
        <f>IF(A51&gt;0,COUNTIF('Барабан'!K:K,A51),"")</f>
        <v/>
      </c>
      <c r="L51" s="1" t="str">
        <f>IF(A51&gt;0,COUNTIF('Барабан'!V:V,A51),"")</f>
        <v/>
      </c>
      <c r="M51" s="1" t="str">
        <f t="shared" si="3"/>
        <v/>
      </c>
      <c r="N51" s="1" t="str">
        <f>IFERROR(__xludf.DUMMYFUNCTION("IF(A51&gt;0,MIN(FILTER('Барабан'!AJ:AJ,'Барабан'!K:K=A51)),"""")"),"")</f>
        <v/>
      </c>
      <c r="O51" s="16" t="str">
        <f>IFERROR(__xludf.DUMMYFUNCTION("IF(A51&gt;0,IFERROR(MAX(FILTER('Барабан'!AJ:AJ,'Барабан'!V:V=A51)),""–""),"""")"),"")</f>
        <v/>
      </c>
    </row>
    <row r="52" ht="15.75" customHeight="1">
      <c r="A52" s="1" t="str">
        <f>'Справочник'!E47</f>
        <v/>
      </c>
      <c r="B52" s="2" t="str">
        <f>IF(A52&gt;0,SUMIF('Барабан'!K:K,A52,'Барабан'!I:I),"")</f>
        <v/>
      </c>
      <c r="C52" s="2" t="str">
        <f>IF(A52&gt;0,SUMIF('Барабан'!V:V,A52,'Барабан'!T:T),"")</f>
        <v/>
      </c>
      <c r="D52" s="2" t="str">
        <f>IF(A52&gt;0,SUMIF('Барабан'!K:K,A52,'Барабан'!AG:AG)+SUMIF('Барабан'!V:V,A52,'Барабан'!AG:AG),"")</f>
        <v/>
      </c>
      <c r="E52" s="2" t="str">
        <f t="shared" si="1"/>
        <v/>
      </c>
      <c r="F52" s="2" t="str">
        <f t="array" ref="F52">IFERROR(IF(E52=0,0,INDEX('Справочник'!G:G,MATCH(A52,'Справочник'!F:F,0))))</f>
        <v/>
      </c>
      <c r="G52" s="2" t="str">
        <f>IF(A52&gt;0,SUMIF('Барабан'!K:K,A52,'Барабан'!P:P),"")</f>
        <v/>
      </c>
      <c r="H52" s="2" t="str">
        <f>IF(A52&gt;0,SUMIF('Барабан'!V:V,A52,'Барабан'!AA:AA),"")</f>
        <v/>
      </c>
      <c r="I52" s="2" t="str">
        <f t="shared" si="4"/>
        <v/>
      </c>
      <c r="J52" s="9" t="str">
        <f t="shared" si="2"/>
        <v/>
      </c>
      <c r="K52" s="1" t="str">
        <f>IF(A52&gt;0,COUNTIF('Барабан'!K:K,A52),"")</f>
        <v/>
      </c>
      <c r="L52" s="1" t="str">
        <f>IF(A52&gt;0,COUNTIF('Барабан'!V:V,A52),"")</f>
        <v/>
      </c>
      <c r="M52" s="1" t="str">
        <f t="shared" si="3"/>
        <v/>
      </c>
      <c r="N52" s="1" t="str">
        <f>IFERROR(__xludf.DUMMYFUNCTION("IF(A52&gt;0,MIN(FILTER('Барабан'!AJ:AJ,'Барабан'!K:K=A52)),"""")"),"")</f>
        <v/>
      </c>
      <c r="O52" s="16" t="str">
        <f>IFERROR(__xludf.DUMMYFUNCTION("IF(A52&gt;0,IFERROR(MAX(FILTER('Барабан'!AJ:AJ,'Барабан'!V:V=A52)),""–""),"""")"),"")</f>
        <v/>
      </c>
    </row>
    <row r="53" ht="15.75" customHeight="1">
      <c r="A53" s="1" t="str">
        <f>'Справочник'!E48</f>
        <v/>
      </c>
      <c r="B53" s="2" t="str">
        <f>IF(A53&gt;0,SUMIF('Барабан'!K:K,A53,'Барабан'!I:I),"")</f>
        <v/>
      </c>
      <c r="C53" s="2" t="str">
        <f>IF(A53&gt;0,SUMIF('Барабан'!V:V,A53,'Барабан'!T:T),"")</f>
        <v/>
      </c>
      <c r="D53" s="2" t="str">
        <f>IF(A53&gt;0,SUMIF('Барабан'!K:K,A53,'Барабан'!AG:AG)+SUMIF('Барабан'!V:V,A53,'Барабан'!AG:AG),"")</f>
        <v/>
      </c>
      <c r="E53" s="2" t="str">
        <f t="shared" si="1"/>
        <v/>
      </c>
      <c r="F53" s="2" t="str">
        <f t="array" ref="F53">IFERROR(IF(E53=0,0,INDEX('Справочник'!G:G,MATCH(A53,'Справочник'!F:F,0))))</f>
        <v/>
      </c>
      <c r="G53" s="2" t="str">
        <f>IF(A53&gt;0,SUMIF('Барабан'!K:K,A53,'Барабан'!P:P),"")</f>
        <v/>
      </c>
      <c r="H53" s="2" t="str">
        <f>IF(A53&gt;0,SUMIF('Барабан'!V:V,A53,'Барабан'!AA:AA),"")</f>
        <v/>
      </c>
      <c r="I53" s="2" t="str">
        <f t="shared" si="4"/>
        <v/>
      </c>
      <c r="J53" s="9" t="str">
        <f t="shared" si="2"/>
        <v/>
      </c>
      <c r="K53" s="1" t="str">
        <f>IF(A53&gt;0,COUNTIF('Барабан'!K:K,A53),"")</f>
        <v/>
      </c>
      <c r="L53" s="1" t="str">
        <f>IF(A53&gt;0,COUNTIF('Барабан'!V:V,A53),"")</f>
        <v/>
      </c>
      <c r="M53" s="1" t="str">
        <f t="shared" si="3"/>
        <v/>
      </c>
      <c r="N53" s="1" t="str">
        <f>IFERROR(__xludf.DUMMYFUNCTION("IF(A53&gt;0,MIN(FILTER('Барабан'!AJ:AJ,'Барабан'!K:K=A53)),"""")"),"")</f>
        <v/>
      </c>
      <c r="O53" s="16" t="str">
        <f>IFERROR(__xludf.DUMMYFUNCTION("IF(A53&gt;0,IFERROR(MAX(FILTER('Барабан'!AJ:AJ,'Барабан'!V:V=A53)),""–""),"""")"),"")</f>
        <v/>
      </c>
    </row>
    <row r="54" ht="15.75" customHeight="1">
      <c r="A54" s="1" t="str">
        <f>'Справочник'!E49</f>
        <v/>
      </c>
      <c r="B54" s="2" t="str">
        <f>IF(A54&gt;0,SUMIF('Барабан'!K:K,A54,'Барабан'!I:I),"")</f>
        <v/>
      </c>
      <c r="C54" s="2" t="str">
        <f>IF(A54&gt;0,SUMIF('Барабан'!V:V,A54,'Барабан'!T:T),"")</f>
        <v/>
      </c>
      <c r="D54" s="2" t="str">
        <f>IF(A54&gt;0,SUMIF('Барабан'!K:K,A54,'Барабан'!AG:AG)+SUMIF('Барабан'!V:V,A54,'Барабан'!AG:AG),"")</f>
        <v/>
      </c>
      <c r="E54" s="2" t="str">
        <f t="shared" si="1"/>
        <v/>
      </c>
      <c r="F54" s="2" t="str">
        <f t="array" ref="F54">IFERROR(IF(E54=0,0,INDEX('Справочник'!G:G,MATCH(A54,'Справочник'!F:F,0))))</f>
        <v/>
      </c>
      <c r="G54" s="2" t="str">
        <f>IF(A54&gt;0,SUMIF('Барабан'!K:K,A54,'Барабан'!P:P),"")</f>
        <v/>
      </c>
      <c r="H54" s="2" t="str">
        <f>IF(A54&gt;0,SUMIF('Барабан'!V:V,A54,'Барабан'!AA:AA),"")</f>
        <v/>
      </c>
      <c r="I54" s="2" t="str">
        <f t="shared" si="4"/>
        <v/>
      </c>
      <c r="J54" s="9" t="str">
        <f t="shared" si="2"/>
        <v/>
      </c>
      <c r="K54" s="1" t="str">
        <f>IF(A54&gt;0,COUNTIF('Барабан'!K:K,A54),"")</f>
        <v/>
      </c>
      <c r="L54" s="1" t="str">
        <f>IF(A54&gt;0,COUNTIF('Барабан'!V:V,A54),"")</f>
        <v/>
      </c>
      <c r="M54" s="1" t="str">
        <f t="shared" si="3"/>
        <v/>
      </c>
      <c r="N54" s="1" t="str">
        <f>IFERROR(__xludf.DUMMYFUNCTION("IF(A54&gt;0,MIN(FILTER('Барабан'!AJ:AJ,'Барабан'!K:K=A54)),"""")"),"")</f>
        <v/>
      </c>
      <c r="O54" s="16" t="str">
        <f>IFERROR(__xludf.DUMMYFUNCTION("IF(A54&gt;0,IFERROR(MAX(FILTER('Барабан'!AJ:AJ,'Барабан'!V:V=A54)),""–""),"""")"),"")</f>
        <v/>
      </c>
    </row>
    <row r="55" ht="15.75" customHeight="1">
      <c r="A55" s="1" t="str">
        <f>'Справочник'!E50</f>
        <v/>
      </c>
      <c r="B55" s="2" t="str">
        <f>IF(A55&gt;0,SUMIF('Барабан'!K:K,A55,'Барабан'!I:I),"")</f>
        <v/>
      </c>
      <c r="C55" s="2" t="str">
        <f>IF(A55&gt;0,SUMIF('Барабан'!V:V,A55,'Барабан'!T:T),"")</f>
        <v/>
      </c>
      <c r="D55" s="2" t="str">
        <f>IF(A55&gt;0,SUMIF('Барабан'!K:K,A55,'Барабан'!AG:AG)+SUMIF('Барабан'!V:V,A55,'Барабан'!AG:AG),"")</f>
        <v/>
      </c>
      <c r="E55" s="2" t="str">
        <f t="shared" si="1"/>
        <v/>
      </c>
      <c r="F55" s="2" t="str">
        <f t="array" ref="F55">IFERROR(IF(E55=0,0,INDEX('Справочник'!G:G,MATCH(A55,'Справочник'!F:F,0))))</f>
        <v/>
      </c>
      <c r="G55" s="2" t="str">
        <f>IF(A55&gt;0,SUMIF('Барабан'!K:K,A55,'Барабан'!P:P),"")</f>
        <v/>
      </c>
      <c r="H55" s="2" t="str">
        <f>IF(A55&gt;0,SUMIF('Барабан'!V:V,A55,'Барабан'!AA:AA),"")</f>
        <v/>
      </c>
      <c r="I55" s="2" t="str">
        <f t="shared" si="4"/>
        <v/>
      </c>
      <c r="J55" s="9" t="str">
        <f t="shared" si="2"/>
        <v/>
      </c>
      <c r="K55" s="1" t="str">
        <f>IF(A55&gt;0,COUNTIF('Барабан'!K:K,A55),"")</f>
        <v/>
      </c>
      <c r="L55" s="1" t="str">
        <f>IF(A55&gt;0,COUNTIF('Барабан'!V:V,A55),"")</f>
        <v/>
      </c>
      <c r="M55" s="1" t="str">
        <f t="shared" si="3"/>
        <v/>
      </c>
      <c r="N55" s="1" t="str">
        <f>IFERROR(__xludf.DUMMYFUNCTION("IF(A55&gt;0,MIN(FILTER('Барабан'!AJ:AJ,'Барабан'!K:K=A55)),"""")"),"")</f>
        <v/>
      </c>
      <c r="O55" s="16" t="str">
        <f>IFERROR(__xludf.DUMMYFUNCTION("IF(A55&gt;0,IFERROR(MAX(FILTER('Барабан'!AJ:AJ,'Барабан'!V:V=A55)),""–""),"""")"),"")</f>
        <v/>
      </c>
    </row>
    <row r="56" ht="15.75" customHeight="1">
      <c r="A56" s="1" t="str">
        <f>'Справочник'!E51</f>
        <v/>
      </c>
      <c r="B56" s="2" t="str">
        <f>IF(A56&gt;0,SUMIF('Барабан'!K:K,A56,'Барабан'!I:I),"")</f>
        <v/>
      </c>
      <c r="C56" s="2" t="str">
        <f>IF(A56&gt;0,SUMIF('Барабан'!V:V,A56,'Барабан'!T:T),"")</f>
        <v/>
      </c>
      <c r="D56" s="2" t="str">
        <f>IF(A56&gt;0,SUMIF('Барабан'!K:K,A56,'Барабан'!AG:AG)+SUMIF('Барабан'!V:V,A56,'Барабан'!AG:AG),"")</f>
        <v/>
      </c>
      <c r="E56" s="2" t="str">
        <f t="shared" si="1"/>
        <v/>
      </c>
      <c r="F56" s="2" t="str">
        <f t="array" ref="F56">IFERROR(IF(E56=0,0,INDEX('Справочник'!G:G,MATCH(A56,'Справочник'!F:F,0))))</f>
        <v/>
      </c>
      <c r="G56" s="2" t="str">
        <f>IF(A56&gt;0,SUMIF('Барабан'!K:K,A56,'Барабан'!P:P),"")</f>
        <v/>
      </c>
      <c r="H56" s="2" t="str">
        <f>IF(A56&gt;0,SUMIF('Барабан'!V:V,A56,'Барабан'!AA:AA),"")</f>
        <v/>
      </c>
      <c r="I56" s="2" t="str">
        <f t="shared" si="4"/>
        <v/>
      </c>
      <c r="J56" s="9" t="str">
        <f t="shared" si="2"/>
        <v/>
      </c>
      <c r="K56" s="1" t="str">
        <f>IF(A56&gt;0,COUNTIF('Барабан'!K:K,A56),"")</f>
        <v/>
      </c>
      <c r="L56" s="1" t="str">
        <f>IF(A56&gt;0,COUNTIF('Барабан'!V:V,A56),"")</f>
        <v/>
      </c>
      <c r="M56" s="1" t="str">
        <f t="shared" si="3"/>
        <v/>
      </c>
      <c r="N56" s="1" t="str">
        <f>IFERROR(__xludf.DUMMYFUNCTION("IF(A56&gt;0,MIN(FILTER('Барабан'!AJ:AJ,'Барабан'!K:K=A56)),"""")"),"")</f>
        <v/>
      </c>
      <c r="O56" s="16" t="str">
        <f>IFERROR(__xludf.DUMMYFUNCTION("IF(A56&gt;0,IFERROR(MAX(FILTER('Барабан'!AJ:AJ,'Барабан'!V:V=A56)),""–""),"""")"),"")</f>
        <v/>
      </c>
    </row>
    <row r="57" ht="15.75" customHeight="1">
      <c r="A57" s="1" t="str">
        <f>'Справочник'!E52</f>
        <v/>
      </c>
      <c r="B57" s="2" t="str">
        <f>IF(A57&gt;0,SUMIF('Барабан'!K:K,A57,'Барабан'!I:I),"")</f>
        <v/>
      </c>
      <c r="C57" s="2" t="str">
        <f>IF(A57&gt;0,SUMIF('Барабан'!V:V,A57,'Барабан'!T:T),"")</f>
        <v/>
      </c>
      <c r="D57" s="2" t="str">
        <f>IF(A57&gt;0,SUMIF('Барабан'!K:K,A57,'Барабан'!AG:AG)+SUMIF('Барабан'!V:V,A57,'Барабан'!AG:AG),"")</f>
        <v/>
      </c>
      <c r="E57" s="2" t="str">
        <f t="shared" si="1"/>
        <v/>
      </c>
      <c r="F57" s="2" t="str">
        <f t="array" ref="F57">IFERROR(IF(E57=0,0,INDEX('Справочник'!G:G,MATCH(A57,'Справочник'!F:F,0))))</f>
        <v/>
      </c>
      <c r="G57" s="2" t="str">
        <f>IF(A57&gt;0,SUMIF('Барабан'!K:K,A57,'Барабан'!P:P),"")</f>
        <v/>
      </c>
      <c r="H57" s="2" t="str">
        <f>IF(A57&gt;0,SUMIF('Барабан'!V:V,A57,'Барабан'!AA:AA),"")</f>
        <v/>
      </c>
      <c r="I57" s="2" t="str">
        <f t="shared" si="4"/>
        <v/>
      </c>
      <c r="J57" s="9" t="str">
        <f t="shared" si="2"/>
        <v/>
      </c>
      <c r="K57" s="1" t="str">
        <f>IF(A57&gt;0,COUNTIF('Барабан'!K:K,A57),"")</f>
        <v/>
      </c>
      <c r="L57" s="1" t="str">
        <f>IF(A57&gt;0,COUNTIF('Барабан'!V:V,A57),"")</f>
        <v/>
      </c>
      <c r="M57" s="1" t="str">
        <f t="shared" si="3"/>
        <v/>
      </c>
      <c r="N57" s="1" t="str">
        <f>IFERROR(__xludf.DUMMYFUNCTION("IF(A57&gt;0,MIN(FILTER('Барабан'!AJ:AJ,'Барабан'!K:K=A57)),"""")"),"")</f>
        <v/>
      </c>
      <c r="O57" s="16" t="str">
        <f>IFERROR(__xludf.DUMMYFUNCTION("IF(A57&gt;0,IFERROR(MAX(FILTER('Барабан'!AJ:AJ,'Барабан'!V:V=A57)),""–""),"""")"),"")</f>
        <v/>
      </c>
    </row>
    <row r="58" ht="15.75" customHeight="1">
      <c r="A58" s="1" t="str">
        <f>'Справочник'!E53</f>
        <v/>
      </c>
      <c r="B58" s="2" t="str">
        <f>IF(A58&gt;0,SUMIF('Барабан'!K:K,A58,'Барабан'!I:I),"")</f>
        <v/>
      </c>
      <c r="C58" s="2" t="str">
        <f>IF(A58&gt;0,SUMIF('Барабан'!V:V,A58,'Барабан'!T:T),"")</f>
        <v/>
      </c>
      <c r="D58" s="2" t="str">
        <f>IF(A58&gt;0,SUMIF('Барабан'!K:K,A58,'Барабан'!AG:AG)+SUMIF('Барабан'!V:V,A58,'Барабан'!AG:AG),"")</f>
        <v/>
      </c>
      <c r="E58" s="2" t="str">
        <f t="shared" si="1"/>
        <v/>
      </c>
      <c r="F58" s="2" t="str">
        <f t="array" ref="F58">IFERROR(IF(E58=0,0,INDEX('Справочник'!G:G,MATCH(A58,'Справочник'!F:F,0))))</f>
        <v/>
      </c>
      <c r="G58" s="2" t="str">
        <f>IF(A58&gt;0,SUMIF('Барабан'!K:K,A58,'Барабан'!P:P),"")</f>
        <v/>
      </c>
      <c r="H58" s="2" t="str">
        <f>IF(A58&gt;0,SUMIF('Барабан'!V:V,A58,'Барабан'!AA:AA),"")</f>
        <v/>
      </c>
      <c r="I58" s="2" t="str">
        <f t="shared" si="4"/>
        <v/>
      </c>
      <c r="J58" s="9" t="str">
        <f t="shared" si="2"/>
        <v/>
      </c>
      <c r="K58" s="1" t="str">
        <f>IF(A58&gt;0,COUNTIF('Барабан'!K:K,A58),"")</f>
        <v/>
      </c>
      <c r="L58" s="1" t="str">
        <f>IF(A58&gt;0,COUNTIF('Барабан'!V:V,A58),"")</f>
        <v/>
      </c>
      <c r="M58" s="1" t="str">
        <f t="shared" si="3"/>
        <v/>
      </c>
      <c r="N58" s="1" t="str">
        <f>IFERROR(__xludf.DUMMYFUNCTION("IF(A58&gt;0,MIN(FILTER('Барабан'!AJ:AJ,'Барабан'!K:K=A58)),"""")"),"")</f>
        <v/>
      </c>
      <c r="O58" s="16" t="str">
        <f>IFERROR(__xludf.DUMMYFUNCTION("IF(A58&gt;0,IFERROR(MAX(FILTER('Барабан'!AJ:AJ,'Барабан'!V:V=A58)),""–""),"""")"),"")</f>
        <v/>
      </c>
    </row>
    <row r="59" ht="15.75" customHeight="1">
      <c r="A59" s="1" t="str">
        <f>'Справочник'!E54</f>
        <v/>
      </c>
      <c r="B59" s="2" t="str">
        <f>IF(A59&gt;0,SUMIF('Барабан'!K:K,A59,'Барабан'!I:I),"")</f>
        <v/>
      </c>
      <c r="C59" s="2" t="str">
        <f>IF(A59&gt;0,SUMIF('Барабан'!V:V,A59,'Барабан'!T:T),"")</f>
        <v/>
      </c>
      <c r="D59" s="2" t="str">
        <f>IF(A59&gt;0,SUMIF('Барабан'!K:K,A59,'Барабан'!AG:AG)+SUMIF('Барабан'!V:V,A59,'Барабан'!AG:AG),"")</f>
        <v/>
      </c>
      <c r="E59" s="2" t="str">
        <f t="shared" si="1"/>
        <v/>
      </c>
      <c r="F59" s="2" t="str">
        <f t="array" ref="F59">IFERROR(IF(E59=0,0,INDEX('Справочник'!G:G,MATCH(A59,'Справочник'!F:F,0))))</f>
        <v/>
      </c>
      <c r="G59" s="2" t="str">
        <f>IF(A59&gt;0,SUMIF('Барабан'!K:K,A59,'Барабан'!P:P),"")</f>
        <v/>
      </c>
      <c r="H59" s="2" t="str">
        <f>IF(A59&gt;0,SUMIF('Барабан'!V:V,A59,'Барабан'!AA:AA),"")</f>
        <v/>
      </c>
      <c r="I59" s="2" t="str">
        <f t="shared" si="4"/>
        <v/>
      </c>
      <c r="J59" s="9" t="str">
        <f t="shared" si="2"/>
        <v/>
      </c>
      <c r="K59" s="1" t="str">
        <f>IF(A59&gt;0,COUNTIF('Барабан'!K:K,A59),"")</f>
        <v/>
      </c>
      <c r="L59" s="1" t="str">
        <f>IF(A59&gt;0,COUNTIF('Барабан'!V:V,A59),"")</f>
        <v/>
      </c>
      <c r="M59" s="1" t="str">
        <f t="shared" si="3"/>
        <v/>
      </c>
      <c r="N59" s="1" t="str">
        <f>IFERROR(__xludf.DUMMYFUNCTION("IF(A59&gt;0,MIN(FILTER('Барабан'!AJ:AJ,'Барабан'!K:K=A59)),"""")"),"")</f>
        <v/>
      </c>
      <c r="O59" s="16" t="str">
        <f>IFERROR(__xludf.DUMMYFUNCTION("IF(A59&gt;0,IFERROR(MAX(FILTER('Барабан'!AJ:AJ,'Барабан'!V:V=A59)),""–""),"""")"),"")</f>
        <v/>
      </c>
    </row>
    <row r="60" ht="15.75" customHeight="1">
      <c r="A60" s="1" t="str">
        <f>'Справочник'!E55</f>
        <v/>
      </c>
      <c r="B60" s="2" t="str">
        <f>IF(A60&gt;0,SUMIF('Барабан'!K:K,A60,'Барабан'!I:I),"")</f>
        <v/>
      </c>
      <c r="C60" s="2" t="str">
        <f>IF(A60&gt;0,SUMIF('Барабан'!V:V,A60,'Барабан'!T:T),"")</f>
        <v/>
      </c>
      <c r="D60" s="2" t="str">
        <f>IF(A60&gt;0,SUMIF('Барабан'!K:K,A60,'Барабан'!AG:AG)+SUMIF('Барабан'!V:V,A60,'Барабан'!AG:AG),"")</f>
        <v/>
      </c>
      <c r="E60" s="2" t="str">
        <f t="shared" si="1"/>
        <v/>
      </c>
      <c r="F60" s="2" t="str">
        <f t="array" ref="F60">IFERROR(IF(E60=0,0,INDEX('Справочник'!G:G,MATCH(A60,'Справочник'!F:F,0))))</f>
        <v/>
      </c>
      <c r="G60" s="2" t="str">
        <f>IF(A60&gt;0,SUMIF('Барабан'!K:K,A60,'Барабан'!P:P),"")</f>
        <v/>
      </c>
      <c r="H60" s="2" t="str">
        <f>IF(A60&gt;0,SUMIF('Барабан'!V:V,A60,'Барабан'!AA:AA),"")</f>
        <v/>
      </c>
      <c r="I60" s="2" t="str">
        <f t="shared" si="4"/>
        <v/>
      </c>
      <c r="J60" s="9" t="str">
        <f t="shared" si="2"/>
        <v/>
      </c>
      <c r="K60" s="1" t="str">
        <f>IF(A60&gt;0,COUNTIF('Барабан'!K:K,A60),"")</f>
        <v/>
      </c>
      <c r="L60" s="1" t="str">
        <f>IF(A60&gt;0,COUNTIF('Барабан'!V:V,A60),"")</f>
        <v/>
      </c>
      <c r="M60" s="1" t="str">
        <f t="shared" si="3"/>
        <v/>
      </c>
      <c r="N60" s="1" t="str">
        <f>IFERROR(__xludf.DUMMYFUNCTION("IF(A60&gt;0,MIN(FILTER('Барабан'!AJ:AJ,'Барабан'!K:K=A60)),"""")"),"")</f>
        <v/>
      </c>
      <c r="O60" s="16" t="str">
        <f>IFERROR(__xludf.DUMMYFUNCTION("IF(A60&gt;0,IFERROR(MAX(FILTER('Барабан'!AJ:AJ,'Барабан'!V:V=A60)),""–""),"""")"),"")</f>
        <v/>
      </c>
    </row>
    <row r="61" ht="15.75" customHeight="1">
      <c r="A61" s="1" t="str">
        <f>'Справочник'!E56</f>
        <v/>
      </c>
      <c r="B61" s="2" t="str">
        <f>IF(A61&gt;0,SUMIF('Барабан'!K:K,A61,'Барабан'!I:I),"")</f>
        <v/>
      </c>
      <c r="C61" s="2" t="str">
        <f>IF(A61&gt;0,SUMIF('Барабан'!V:V,A61,'Барабан'!T:T),"")</f>
        <v/>
      </c>
      <c r="D61" s="2" t="str">
        <f>IF(A61&gt;0,SUMIF('Барабан'!K:K,A61,'Барабан'!AG:AG)+SUMIF('Барабан'!V:V,A61,'Барабан'!AG:AG),"")</f>
        <v/>
      </c>
      <c r="E61" s="2" t="str">
        <f t="shared" si="1"/>
        <v/>
      </c>
      <c r="F61" s="2" t="str">
        <f t="array" ref="F61">IFERROR(IF(E61=0,0,INDEX('Справочник'!G:G,MATCH(A61,'Справочник'!F:F,0))))</f>
        <v/>
      </c>
      <c r="G61" s="2" t="str">
        <f>IF(A61&gt;0,SUMIF('Барабан'!K:K,A61,'Барабан'!P:P),"")</f>
        <v/>
      </c>
      <c r="H61" s="2" t="str">
        <f>IF(A61&gt;0,SUMIF('Барабан'!V:V,A61,'Барабан'!AA:AA),"")</f>
        <v/>
      </c>
      <c r="I61" s="2" t="str">
        <f t="shared" si="4"/>
        <v/>
      </c>
      <c r="J61" s="9" t="str">
        <f t="shared" si="2"/>
        <v/>
      </c>
      <c r="K61" s="1" t="str">
        <f>IF(A61&gt;0,COUNTIF('Барабан'!K:K,A61),"")</f>
        <v/>
      </c>
      <c r="L61" s="1" t="str">
        <f>IF(A61&gt;0,COUNTIF('Барабан'!V:V,A61),"")</f>
        <v/>
      </c>
      <c r="M61" s="1" t="str">
        <f t="shared" si="3"/>
        <v/>
      </c>
      <c r="N61" s="1" t="str">
        <f>IFERROR(__xludf.DUMMYFUNCTION("IF(A61&gt;0,MIN(FILTER('Барабан'!AJ:AJ,'Барабан'!K:K=A61)),"""")"),"")</f>
        <v/>
      </c>
      <c r="O61" s="16" t="str">
        <f>IFERROR(__xludf.DUMMYFUNCTION("IF(A61&gt;0,IFERROR(MAX(FILTER('Барабан'!AJ:AJ,'Барабан'!V:V=A61)),""–""),"""")"),"")</f>
        <v/>
      </c>
    </row>
    <row r="62" ht="15.75" customHeight="1">
      <c r="A62" s="1" t="str">
        <f>'Справочник'!E57</f>
        <v/>
      </c>
      <c r="B62" s="2" t="str">
        <f>IF(A62&gt;0,SUMIF('Барабан'!K:K,A62,'Барабан'!I:I),"")</f>
        <v/>
      </c>
      <c r="C62" s="2" t="str">
        <f>IF(A62&gt;0,SUMIF('Барабан'!V:V,A62,'Барабан'!T:T),"")</f>
        <v/>
      </c>
      <c r="D62" s="2" t="str">
        <f>IF(A62&gt;0,SUMIF('Барабан'!K:K,A62,'Барабан'!AG:AG)+SUMIF('Барабан'!V:V,A62,'Барабан'!AG:AG),"")</f>
        <v/>
      </c>
      <c r="E62" s="2" t="str">
        <f t="shared" si="1"/>
        <v/>
      </c>
      <c r="F62" s="2" t="str">
        <f t="array" ref="F62">IFERROR(IF(E62=0,0,INDEX('Справочник'!G:G,MATCH(A62,'Справочник'!F:F,0))))</f>
        <v/>
      </c>
      <c r="G62" s="2" t="str">
        <f>IF(A62&gt;0,SUMIF('Барабан'!K:K,A62,'Барабан'!P:P),"")</f>
        <v/>
      </c>
      <c r="H62" s="2" t="str">
        <f>IF(A62&gt;0,SUMIF('Барабан'!V:V,A62,'Барабан'!AA:AA),"")</f>
        <v/>
      </c>
      <c r="I62" s="2" t="str">
        <f t="shared" si="4"/>
        <v/>
      </c>
      <c r="J62" s="9" t="str">
        <f t="shared" si="2"/>
        <v/>
      </c>
      <c r="K62" s="1" t="str">
        <f>IF(A62&gt;0,COUNTIF('Барабан'!K:K,A62),"")</f>
        <v/>
      </c>
      <c r="L62" s="1" t="str">
        <f>IF(A62&gt;0,COUNTIF('Барабан'!V:V,A62),"")</f>
        <v/>
      </c>
      <c r="M62" s="1" t="str">
        <f t="shared" si="3"/>
        <v/>
      </c>
      <c r="N62" s="1" t="str">
        <f>IFERROR(__xludf.DUMMYFUNCTION("IF(A62&gt;0,MIN(FILTER('Барабан'!AJ:AJ,'Барабан'!K:K=A62)),"""")"),"")</f>
        <v/>
      </c>
      <c r="O62" s="16" t="str">
        <f>IFERROR(__xludf.DUMMYFUNCTION("IF(A62&gt;0,IFERROR(MAX(FILTER('Барабан'!AJ:AJ,'Барабан'!V:V=A62)),""–""),"""")"),"")</f>
        <v/>
      </c>
    </row>
    <row r="63" ht="15.75" customHeight="1">
      <c r="A63" s="1" t="str">
        <f>'Справочник'!E58</f>
        <v/>
      </c>
      <c r="B63" s="2" t="str">
        <f>IF(A63&gt;0,SUMIF('Барабан'!K:K,A63,'Барабан'!I:I),"")</f>
        <v/>
      </c>
      <c r="C63" s="2" t="str">
        <f>IF(A63&gt;0,SUMIF('Барабан'!V:V,A63,'Барабан'!T:T),"")</f>
        <v/>
      </c>
      <c r="D63" s="2" t="str">
        <f>IF(A63&gt;0,SUMIF('Барабан'!K:K,A63,'Барабан'!AG:AG)+SUMIF('Барабан'!V:V,A63,'Барабан'!AG:AG),"")</f>
        <v/>
      </c>
      <c r="E63" s="2" t="str">
        <f t="shared" si="1"/>
        <v/>
      </c>
      <c r="F63" s="2" t="str">
        <f t="array" ref="F63">IFERROR(IF(E63=0,0,INDEX('Справочник'!G:G,MATCH(A63,'Справочник'!F:F,0))))</f>
        <v/>
      </c>
      <c r="G63" s="2" t="str">
        <f>IF(A63&gt;0,SUMIF('Барабан'!K:K,A63,'Барабан'!P:P),"")</f>
        <v/>
      </c>
      <c r="H63" s="2" t="str">
        <f>IF(A63&gt;0,SUMIF('Барабан'!V:V,A63,'Барабан'!AA:AA),"")</f>
        <v/>
      </c>
      <c r="I63" s="2" t="str">
        <f t="shared" si="4"/>
        <v/>
      </c>
      <c r="J63" s="9" t="str">
        <f t="shared" si="2"/>
        <v/>
      </c>
      <c r="K63" s="1" t="str">
        <f>IF(A63&gt;0,COUNTIF('Барабан'!K:K,A63),"")</f>
        <v/>
      </c>
      <c r="L63" s="1" t="str">
        <f>IF(A63&gt;0,COUNTIF('Барабан'!V:V,A63),"")</f>
        <v/>
      </c>
      <c r="M63" s="1" t="str">
        <f t="shared" si="3"/>
        <v/>
      </c>
      <c r="N63" s="1" t="str">
        <f>IFERROR(__xludf.DUMMYFUNCTION("IF(A63&gt;0,MIN(FILTER('Барабан'!AJ:AJ,'Барабан'!K:K=A63)),"""")"),"")</f>
        <v/>
      </c>
      <c r="O63" s="16" t="str">
        <f>IFERROR(__xludf.DUMMYFUNCTION("IF(A63&gt;0,IFERROR(MAX(FILTER('Барабан'!AJ:AJ,'Барабан'!V:V=A63)),""–""),"""")"),"")</f>
        <v/>
      </c>
    </row>
    <row r="64" ht="15.75" customHeight="1">
      <c r="A64" s="1" t="str">
        <f>'Справочник'!E59</f>
        <v/>
      </c>
      <c r="B64" s="2" t="str">
        <f>IF(A64&gt;0,SUMIF('Барабан'!K:K,A64,'Барабан'!I:I),"")</f>
        <v/>
      </c>
      <c r="C64" s="2" t="str">
        <f>IF(A64&gt;0,SUMIF('Барабан'!V:V,A64,'Барабан'!T:T),"")</f>
        <v/>
      </c>
      <c r="D64" s="2" t="str">
        <f>IF(A64&gt;0,SUMIF('Барабан'!K:K,A64,'Барабан'!AG:AG)+SUMIF('Барабан'!V:V,A64,'Барабан'!AG:AG),"")</f>
        <v/>
      </c>
      <c r="E64" s="2" t="str">
        <f t="shared" si="1"/>
        <v/>
      </c>
      <c r="F64" s="2" t="str">
        <f t="array" ref="F64">IFERROR(IF(E64=0,0,INDEX('Справочник'!G:G,MATCH(A64,'Справочник'!F:F,0))))</f>
        <v/>
      </c>
      <c r="G64" s="2" t="str">
        <f>IF(A64&gt;0,SUMIF('Барабан'!K:K,A64,'Барабан'!P:P),"")</f>
        <v/>
      </c>
      <c r="H64" s="2" t="str">
        <f>IF(A64&gt;0,SUMIF('Барабан'!V:V,A64,'Барабан'!AA:AA),"")</f>
        <v/>
      </c>
      <c r="I64" s="2" t="str">
        <f t="shared" si="4"/>
        <v/>
      </c>
      <c r="J64" s="9" t="str">
        <f t="shared" si="2"/>
        <v/>
      </c>
      <c r="K64" s="1" t="str">
        <f>IF(A64&gt;0,COUNTIF('Барабан'!K:K,A64),"")</f>
        <v/>
      </c>
      <c r="L64" s="1" t="str">
        <f>IF(A64&gt;0,COUNTIF('Барабан'!V:V,A64),"")</f>
        <v/>
      </c>
      <c r="M64" s="1" t="str">
        <f t="shared" si="3"/>
        <v/>
      </c>
      <c r="N64" s="1" t="str">
        <f>IFERROR(__xludf.DUMMYFUNCTION("IF(A64&gt;0,MIN(FILTER('Барабан'!AJ:AJ,'Барабан'!K:K=A64)),"""")"),"")</f>
        <v/>
      </c>
      <c r="O64" s="16" t="str">
        <f>IFERROR(__xludf.DUMMYFUNCTION("IF(A64&gt;0,IFERROR(MAX(FILTER('Барабан'!AJ:AJ,'Барабан'!V:V=A64)),""–""),"""")"),"")</f>
        <v/>
      </c>
    </row>
    <row r="65" ht="15.75" customHeight="1">
      <c r="A65" s="1" t="str">
        <f>'Справочник'!E60</f>
        <v/>
      </c>
      <c r="B65" s="2" t="str">
        <f>IF(A65&gt;0,SUMIF('Барабан'!K:K,A65,'Барабан'!I:I),"")</f>
        <v/>
      </c>
      <c r="C65" s="2" t="str">
        <f>IF(A65&gt;0,SUMIF('Барабан'!V:V,A65,'Барабан'!T:T),"")</f>
        <v/>
      </c>
      <c r="D65" s="2" t="str">
        <f>IF(A65&gt;0,SUMIF('Барабан'!K:K,A65,'Барабан'!AG:AG)+SUMIF('Барабан'!V:V,A65,'Барабан'!AG:AG),"")</f>
        <v/>
      </c>
      <c r="E65" s="2" t="str">
        <f t="shared" si="1"/>
        <v/>
      </c>
      <c r="F65" s="2" t="str">
        <f t="array" ref="F65">IFERROR(IF(E65=0,0,INDEX('Справочник'!G:G,MATCH(A65,'Справочник'!F:F,0))))</f>
        <v/>
      </c>
      <c r="G65" s="2" t="str">
        <f>IF(A65&gt;0,SUMIF('Барабан'!K:K,A65,'Барабан'!P:P),"")</f>
        <v/>
      </c>
      <c r="H65" s="2" t="str">
        <f>IF(A65&gt;0,SUMIF('Барабан'!V:V,A65,'Барабан'!AA:AA),"")</f>
        <v/>
      </c>
      <c r="I65" s="2" t="str">
        <f t="shared" si="4"/>
        <v/>
      </c>
      <c r="J65" s="9" t="str">
        <f t="shared" si="2"/>
        <v/>
      </c>
      <c r="K65" s="1" t="str">
        <f>IF(A65&gt;0,COUNTIF('Барабан'!K:K,A65),"")</f>
        <v/>
      </c>
      <c r="L65" s="1" t="str">
        <f>IF(A65&gt;0,COUNTIF('Барабан'!V:V,A65),"")</f>
        <v/>
      </c>
      <c r="M65" s="1" t="str">
        <f t="shared" si="3"/>
        <v/>
      </c>
      <c r="N65" s="1" t="str">
        <f>IFERROR(__xludf.DUMMYFUNCTION("IF(A65&gt;0,MIN(FILTER('Барабан'!AJ:AJ,'Барабан'!K:K=A65)),"""")"),"")</f>
        <v/>
      </c>
      <c r="O65" s="16" t="str">
        <f>IFERROR(__xludf.DUMMYFUNCTION("IF(A65&gt;0,IFERROR(MAX(FILTER('Барабан'!AJ:AJ,'Барабан'!V:V=A65)),""–""),"""")"),"")</f>
        <v/>
      </c>
    </row>
    <row r="66" ht="15.75" customHeight="1">
      <c r="A66" s="1" t="str">
        <f>'Справочник'!E61</f>
        <v/>
      </c>
      <c r="B66" s="2" t="str">
        <f>IF(A66&gt;0,SUMIF('Барабан'!K:K,A66,'Барабан'!I:I),"")</f>
        <v/>
      </c>
      <c r="C66" s="2" t="str">
        <f>IF(A66&gt;0,SUMIF('Барабан'!V:V,A66,'Барабан'!T:T),"")</f>
        <v/>
      </c>
      <c r="D66" s="2" t="str">
        <f>IF(A66&gt;0,SUMIF('Барабан'!K:K,A66,'Барабан'!AG:AG)+SUMIF('Барабан'!V:V,A66,'Барабан'!AG:AG),"")</f>
        <v/>
      </c>
      <c r="E66" s="2" t="str">
        <f t="shared" si="1"/>
        <v/>
      </c>
      <c r="F66" s="2" t="str">
        <f t="array" ref="F66">IFERROR(IF(E66=0,0,INDEX('Справочник'!G:G,MATCH(A66,'Справочник'!F:F,0))))</f>
        <v/>
      </c>
      <c r="G66" s="2" t="str">
        <f>IF(A66&gt;0,SUMIF('Барабан'!K:K,A66,'Барабан'!P:P),"")</f>
        <v/>
      </c>
      <c r="H66" s="2" t="str">
        <f>IF(A66&gt;0,SUMIF('Барабан'!V:V,A66,'Барабан'!AA:AA),"")</f>
        <v/>
      </c>
      <c r="I66" s="2" t="str">
        <f t="shared" si="4"/>
        <v/>
      </c>
      <c r="J66" s="9" t="str">
        <f t="shared" si="2"/>
        <v/>
      </c>
      <c r="K66" s="1" t="str">
        <f>IF(A66&gt;0,COUNTIF('Барабан'!K:K,A66),"")</f>
        <v/>
      </c>
      <c r="L66" s="1" t="str">
        <f>IF(A66&gt;0,COUNTIF('Барабан'!V:V,A66),"")</f>
        <v/>
      </c>
      <c r="M66" s="1" t="str">
        <f t="shared" si="3"/>
        <v/>
      </c>
      <c r="N66" s="1" t="str">
        <f>IFERROR(__xludf.DUMMYFUNCTION("IF(A66&gt;0,MIN(FILTER('Барабан'!AJ:AJ,'Барабан'!K:K=A66)),"""")"),"")</f>
        <v/>
      </c>
      <c r="O66" s="16" t="str">
        <f>IFERROR(__xludf.DUMMYFUNCTION("IF(A66&gt;0,IFERROR(MAX(FILTER('Барабан'!AJ:AJ,'Барабан'!V:V=A66)),""–""),"""")"),"")</f>
        <v/>
      </c>
    </row>
    <row r="67" ht="15.75" customHeight="1">
      <c r="A67" s="1" t="str">
        <f>'Справочник'!E62</f>
        <v/>
      </c>
      <c r="B67" s="2" t="str">
        <f>IF(A67&gt;0,SUMIF('Барабан'!K:K,A67,'Барабан'!I:I),"")</f>
        <v/>
      </c>
      <c r="C67" s="2" t="str">
        <f>IF(A67&gt;0,SUMIF('Барабан'!V:V,A67,'Барабан'!T:T),"")</f>
        <v/>
      </c>
      <c r="D67" s="2" t="str">
        <f>IF(A67&gt;0,SUMIF('Барабан'!K:K,A67,'Барабан'!AG:AG)+SUMIF('Барабан'!V:V,A67,'Барабан'!AG:AG),"")</f>
        <v/>
      </c>
      <c r="E67" s="2" t="str">
        <f t="shared" si="1"/>
        <v/>
      </c>
      <c r="F67" s="2" t="str">
        <f t="array" ref="F67">IFERROR(IF(E67=0,0,INDEX('Справочник'!G:G,MATCH(A67,'Справочник'!F:F,0))))</f>
        <v/>
      </c>
      <c r="G67" s="2" t="str">
        <f>IF(A67&gt;0,SUMIF('Барабан'!K:K,A67,'Барабан'!P:P),"")</f>
        <v/>
      </c>
      <c r="H67" s="2" t="str">
        <f>IF(A67&gt;0,SUMIF('Барабан'!V:V,A67,'Барабан'!AA:AA),"")</f>
        <v/>
      </c>
      <c r="I67" s="2" t="str">
        <f t="shared" si="4"/>
        <v/>
      </c>
      <c r="J67" s="9" t="str">
        <f t="shared" si="2"/>
        <v/>
      </c>
      <c r="K67" s="1" t="str">
        <f>IF(A67&gt;0,COUNTIF('Барабан'!K:K,A67),"")</f>
        <v/>
      </c>
      <c r="L67" s="1" t="str">
        <f>IF(A67&gt;0,COUNTIF('Барабан'!V:V,A67),"")</f>
        <v/>
      </c>
      <c r="M67" s="1" t="str">
        <f t="shared" si="3"/>
        <v/>
      </c>
      <c r="N67" s="1" t="str">
        <f>IFERROR(__xludf.DUMMYFUNCTION("IF(A67&gt;0,MIN(FILTER('Барабан'!AJ:AJ,'Барабан'!K:K=A67)),"""")"),"")</f>
        <v/>
      </c>
      <c r="O67" s="16" t="str">
        <f>IFERROR(__xludf.DUMMYFUNCTION("IF(A67&gt;0,IFERROR(MAX(FILTER('Барабан'!AJ:AJ,'Барабан'!V:V=A67)),""–""),"""")"),"")</f>
        <v/>
      </c>
    </row>
    <row r="68" ht="15.75" customHeight="1">
      <c r="A68" s="1" t="str">
        <f>'Справочник'!E63</f>
        <v/>
      </c>
      <c r="B68" s="2" t="str">
        <f>IF(A68&gt;0,SUMIF('Барабан'!K:K,A68,'Барабан'!I:I),"")</f>
        <v/>
      </c>
      <c r="C68" s="2" t="str">
        <f>IF(A68&gt;0,SUMIF('Барабан'!V:V,A68,'Барабан'!T:T),"")</f>
        <v/>
      </c>
      <c r="D68" s="2" t="str">
        <f>IF(A68&gt;0,SUMIF('Барабан'!K:K,A68,'Барабан'!AG:AG)+SUMIF('Барабан'!V:V,A68,'Барабан'!AG:AG),"")</f>
        <v/>
      </c>
      <c r="E68" s="2" t="str">
        <f t="shared" si="1"/>
        <v/>
      </c>
      <c r="F68" s="2" t="str">
        <f t="array" ref="F68">IFERROR(IF(E68=0,0,INDEX('Справочник'!G:G,MATCH(A68,'Справочник'!F:F,0))))</f>
        <v/>
      </c>
      <c r="G68" s="2" t="str">
        <f>IF(A68&gt;0,SUMIF('Барабан'!K:K,A68,'Барабан'!P:P),"")</f>
        <v/>
      </c>
      <c r="H68" s="2" t="str">
        <f>IF(A68&gt;0,SUMIF('Барабан'!V:V,A68,'Барабан'!AA:AA),"")</f>
        <v/>
      </c>
      <c r="I68" s="2" t="str">
        <f t="shared" si="4"/>
        <v/>
      </c>
      <c r="J68" s="9" t="str">
        <f t="shared" si="2"/>
        <v/>
      </c>
      <c r="K68" s="1" t="str">
        <f>IF(A68&gt;0,COUNTIF('Барабан'!K:K,A68),"")</f>
        <v/>
      </c>
      <c r="L68" s="1" t="str">
        <f>IF(A68&gt;0,COUNTIF('Барабан'!V:V,A68),"")</f>
        <v/>
      </c>
      <c r="M68" s="1" t="str">
        <f t="shared" si="3"/>
        <v/>
      </c>
      <c r="N68" s="1" t="str">
        <f>IFERROR(__xludf.DUMMYFUNCTION("IF(A68&gt;0,MIN(FILTER('Барабан'!AJ:AJ,'Барабан'!K:K=A68)),"""")"),"")</f>
        <v/>
      </c>
      <c r="O68" s="16" t="str">
        <f>IFERROR(__xludf.DUMMYFUNCTION("IF(A68&gt;0,IFERROR(MAX(FILTER('Барабан'!AJ:AJ,'Барабан'!V:V=A68)),""–""),"""")"),"")</f>
        <v/>
      </c>
    </row>
    <row r="69" ht="15.75" customHeight="1">
      <c r="A69" s="1" t="str">
        <f>'Справочник'!E64</f>
        <v/>
      </c>
      <c r="B69" s="2" t="str">
        <f>IF(A69&gt;0,SUMIF('Барабан'!K:K,A69,'Барабан'!I:I),"")</f>
        <v/>
      </c>
      <c r="C69" s="2" t="str">
        <f>IF(A69&gt;0,SUMIF('Барабан'!V:V,A69,'Барабан'!T:T),"")</f>
        <v/>
      </c>
      <c r="D69" s="2" t="str">
        <f>IF(A69&gt;0,SUMIF('Барабан'!K:K,A69,'Барабан'!AG:AG)+SUMIF('Барабан'!V:V,A69,'Барабан'!AG:AG),"")</f>
        <v/>
      </c>
      <c r="E69" s="2" t="str">
        <f t="shared" si="1"/>
        <v/>
      </c>
      <c r="F69" s="2" t="str">
        <f t="array" ref="F69">IFERROR(IF(E69=0,0,INDEX('Справочник'!G:G,MATCH(A69,'Справочник'!F:F,0))))</f>
        <v/>
      </c>
      <c r="G69" s="2" t="str">
        <f>IF(A69&gt;0,SUMIF('Барабан'!K:K,A69,'Барабан'!P:P),"")</f>
        <v/>
      </c>
      <c r="H69" s="2" t="str">
        <f>IF(A69&gt;0,SUMIF('Барабан'!V:V,A69,'Барабан'!AA:AA),"")</f>
        <v/>
      </c>
      <c r="I69" s="2" t="str">
        <f t="shared" si="4"/>
        <v/>
      </c>
      <c r="J69" s="9" t="str">
        <f t="shared" si="2"/>
        <v/>
      </c>
      <c r="K69" s="1" t="str">
        <f>IF(A69&gt;0,COUNTIF('Барабан'!K:K,A69),"")</f>
        <v/>
      </c>
      <c r="L69" s="1" t="str">
        <f>IF(A69&gt;0,COUNTIF('Барабан'!V:V,A69),"")</f>
        <v/>
      </c>
      <c r="M69" s="1" t="str">
        <f t="shared" si="3"/>
        <v/>
      </c>
      <c r="N69" s="1" t="str">
        <f>IFERROR(__xludf.DUMMYFUNCTION("IF(A69&gt;0,MIN(FILTER('Барабан'!AJ:AJ,'Барабан'!K:K=A69)),"""")"),"")</f>
        <v/>
      </c>
      <c r="O69" s="16" t="str">
        <f>IFERROR(__xludf.DUMMYFUNCTION("IF(A69&gt;0,IFERROR(MAX(FILTER('Барабан'!AJ:AJ,'Барабан'!V:V=A69)),""–""),"""")"),"")</f>
        <v/>
      </c>
    </row>
    <row r="70" ht="15.75" customHeight="1">
      <c r="A70" s="1" t="str">
        <f>'Справочник'!E65</f>
        <v/>
      </c>
      <c r="B70" s="2" t="str">
        <f>IF(A70&gt;0,SUMIF('Барабан'!K:K,A70,'Барабан'!I:I),"")</f>
        <v/>
      </c>
      <c r="C70" s="2" t="str">
        <f>IF(A70&gt;0,SUMIF('Барабан'!V:V,A70,'Барабан'!T:T),"")</f>
        <v/>
      </c>
      <c r="D70" s="2" t="str">
        <f>IF(A70&gt;0,SUMIF('Барабан'!K:K,A70,'Барабан'!AG:AG)+SUMIF('Барабан'!V:V,A70,'Барабан'!AG:AG),"")</f>
        <v/>
      </c>
      <c r="E70" s="2" t="str">
        <f t="shared" si="1"/>
        <v/>
      </c>
      <c r="F70" s="2" t="str">
        <f t="array" ref="F70">IFERROR(IF(E70=0,0,INDEX('Справочник'!G:G,MATCH(A70,'Справочник'!F:F,0))))</f>
        <v/>
      </c>
      <c r="G70" s="2" t="str">
        <f>IF(A70&gt;0,SUMIF('Барабан'!K:K,A70,'Барабан'!P:P),"")</f>
        <v/>
      </c>
      <c r="H70" s="2" t="str">
        <f>IF(A70&gt;0,SUMIF('Барабан'!V:V,A70,'Барабан'!AA:AA),"")</f>
        <v/>
      </c>
      <c r="I70" s="2" t="str">
        <f t="shared" si="4"/>
        <v/>
      </c>
      <c r="J70" s="9" t="str">
        <f t="shared" si="2"/>
        <v/>
      </c>
      <c r="K70" s="1" t="str">
        <f>IF(A70&gt;0,COUNTIF('Барабан'!K:K,A70),"")</f>
        <v/>
      </c>
      <c r="L70" s="1" t="str">
        <f>IF(A70&gt;0,COUNTIF('Барабан'!V:V,A70),"")</f>
        <v/>
      </c>
      <c r="M70" s="1" t="str">
        <f t="shared" si="3"/>
        <v/>
      </c>
      <c r="N70" s="1" t="str">
        <f>IFERROR(__xludf.DUMMYFUNCTION("IF(A70&gt;0,MIN(FILTER('Барабан'!AJ:AJ,'Барабан'!K:K=A70)),"""")"),"")</f>
        <v/>
      </c>
      <c r="O70" s="16" t="str">
        <f>IFERROR(__xludf.DUMMYFUNCTION("IF(A70&gt;0,IFERROR(MAX(FILTER('Барабан'!AJ:AJ,'Барабан'!V:V=A70)),""–""),"""")"),"")</f>
        <v/>
      </c>
    </row>
    <row r="71" ht="15.75" customHeight="1">
      <c r="A71" s="1" t="str">
        <f>'Справочник'!E66</f>
        <v/>
      </c>
      <c r="B71" s="2" t="str">
        <f>IF(A71&gt;0,SUMIF('Барабан'!K:K,A71,'Барабан'!I:I),"")</f>
        <v/>
      </c>
      <c r="C71" s="2" t="str">
        <f>IF(A71&gt;0,SUMIF('Барабан'!V:V,A71,'Барабан'!T:T),"")</f>
        <v/>
      </c>
      <c r="D71" s="2" t="str">
        <f>IF(A71&gt;0,SUMIF('Барабан'!K:K,A71,'Барабан'!AG:AG)+SUMIF('Барабан'!V:V,A71,'Барабан'!AG:AG),"")</f>
        <v/>
      </c>
      <c r="E71" s="2" t="str">
        <f t="shared" si="1"/>
        <v/>
      </c>
      <c r="F71" s="2" t="str">
        <f t="array" ref="F71">IFERROR(IF(E71=0,0,INDEX('Справочник'!G:G,MATCH(A71,'Справочник'!F:F,0))))</f>
        <v/>
      </c>
      <c r="G71" s="2" t="str">
        <f>IF(A71&gt;0,SUMIF('Барабан'!K:K,A71,'Барабан'!P:P),"")</f>
        <v/>
      </c>
      <c r="H71" s="2" t="str">
        <f>IF(A71&gt;0,SUMIF('Барабан'!V:V,A71,'Барабан'!AA:AA),"")</f>
        <v/>
      </c>
      <c r="I71" s="2" t="str">
        <f t="shared" si="4"/>
        <v/>
      </c>
      <c r="J71" s="9" t="str">
        <f t="shared" si="2"/>
        <v/>
      </c>
      <c r="K71" s="1" t="str">
        <f>IF(A71&gt;0,COUNTIF('Барабан'!K:K,A71),"")</f>
        <v/>
      </c>
      <c r="L71" s="1" t="str">
        <f>IF(A71&gt;0,COUNTIF('Барабан'!V:V,A71),"")</f>
        <v/>
      </c>
      <c r="M71" s="1" t="str">
        <f t="shared" si="3"/>
        <v/>
      </c>
      <c r="N71" s="1" t="str">
        <f>IFERROR(__xludf.DUMMYFUNCTION("IF(A71&gt;0,MIN(FILTER('Барабан'!AJ:AJ,'Барабан'!K:K=A71)),"""")"),"")</f>
        <v/>
      </c>
      <c r="O71" s="16" t="str">
        <f>IFERROR(__xludf.DUMMYFUNCTION("IF(A71&gt;0,IFERROR(MAX(FILTER('Барабан'!AJ:AJ,'Барабан'!V:V=A71)),""–""),"""")"),"")</f>
        <v/>
      </c>
    </row>
    <row r="72" ht="15.75" customHeight="1">
      <c r="A72" s="1" t="str">
        <f>'Справочник'!E67</f>
        <v/>
      </c>
      <c r="B72" s="2" t="str">
        <f>IF(A72&gt;0,SUMIF('Барабан'!K:K,A72,'Барабан'!I:I),"")</f>
        <v/>
      </c>
      <c r="C72" s="2" t="str">
        <f>IF(A72&gt;0,SUMIF('Барабан'!V:V,A72,'Барабан'!T:T),"")</f>
        <v/>
      </c>
      <c r="D72" s="2" t="str">
        <f>IF(A72&gt;0,SUMIF('Барабан'!K:K,A72,'Барабан'!AG:AG)+SUMIF('Барабан'!V:V,A72,'Барабан'!AG:AG),"")</f>
        <v/>
      </c>
      <c r="E72" s="2" t="str">
        <f t="shared" si="1"/>
        <v/>
      </c>
      <c r="F72" s="2" t="str">
        <f t="array" ref="F72">IFERROR(IF(E72=0,0,INDEX('Справочник'!G:G,MATCH(A72,'Справочник'!F:F,0))))</f>
        <v/>
      </c>
      <c r="G72" s="2" t="str">
        <f>IF(A72&gt;0,SUMIF('Барабан'!K:K,A72,'Барабан'!P:P),"")</f>
        <v/>
      </c>
      <c r="H72" s="2" t="str">
        <f>IF(A72&gt;0,SUMIF('Барабан'!V:V,A72,'Барабан'!AA:AA),"")</f>
        <v/>
      </c>
      <c r="I72" s="2" t="str">
        <f t="shared" si="4"/>
        <v/>
      </c>
      <c r="J72" s="9" t="str">
        <f t="shared" si="2"/>
        <v/>
      </c>
      <c r="K72" s="1" t="str">
        <f>IF(A72&gt;0,COUNTIF('Барабан'!K:K,A72),"")</f>
        <v/>
      </c>
      <c r="L72" s="1" t="str">
        <f>IF(A72&gt;0,COUNTIF('Барабан'!V:V,A72),"")</f>
        <v/>
      </c>
      <c r="M72" s="1" t="str">
        <f t="shared" si="3"/>
        <v/>
      </c>
      <c r="N72" s="1" t="str">
        <f>IFERROR(__xludf.DUMMYFUNCTION("IF(A72&gt;0,MIN(FILTER('Барабан'!AJ:AJ,'Барабан'!K:K=A72)),"""")"),"")</f>
        <v/>
      </c>
      <c r="O72" s="16" t="str">
        <f>IFERROR(__xludf.DUMMYFUNCTION("IF(A72&gt;0,IFERROR(MAX(FILTER('Барабан'!AJ:AJ,'Барабан'!V:V=A72)),""–""),"""")"),"")</f>
        <v/>
      </c>
    </row>
    <row r="73" ht="15.75" customHeight="1">
      <c r="A73" s="1" t="str">
        <f>'Справочник'!E68</f>
        <v/>
      </c>
      <c r="B73" s="2" t="str">
        <f>IF(A73&gt;0,SUMIF('Барабан'!K:K,A73,'Барабан'!I:I),"")</f>
        <v/>
      </c>
      <c r="C73" s="2" t="str">
        <f>IF(A73&gt;0,SUMIF('Барабан'!V:V,A73,'Барабан'!T:T),"")</f>
        <v/>
      </c>
      <c r="D73" s="2" t="str">
        <f>IF(A73&gt;0,SUMIF('Барабан'!K:K,A73,'Барабан'!AG:AG)+SUMIF('Барабан'!V:V,A73,'Барабан'!AG:AG),"")</f>
        <v/>
      </c>
      <c r="E73" s="2" t="str">
        <f t="shared" si="1"/>
        <v/>
      </c>
      <c r="F73" s="2" t="str">
        <f t="array" ref="F73">IFERROR(IF(E73=0,0,INDEX('Справочник'!G:G,MATCH(A73,'Справочник'!F:F,0))))</f>
        <v/>
      </c>
      <c r="G73" s="2" t="str">
        <f>IF(A73&gt;0,SUMIF('Барабан'!K:K,A73,'Барабан'!P:P),"")</f>
        <v/>
      </c>
      <c r="H73" s="2" t="str">
        <f>IF(A73&gt;0,SUMIF('Барабан'!V:V,A73,'Барабан'!AA:AA),"")</f>
        <v/>
      </c>
      <c r="I73" s="2" t="str">
        <f t="shared" si="4"/>
        <v/>
      </c>
      <c r="J73" s="9" t="str">
        <f t="shared" si="2"/>
        <v/>
      </c>
      <c r="K73" s="1" t="str">
        <f>IF(A73&gt;0,COUNTIF('Барабан'!K:K,A73),"")</f>
        <v/>
      </c>
      <c r="L73" s="1" t="str">
        <f>IF(A73&gt;0,COUNTIF('Барабан'!V:V,A73),"")</f>
        <v/>
      </c>
      <c r="M73" s="1" t="str">
        <f t="shared" si="3"/>
        <v/>
      </c>
      <c r="N73" s="1" t="str">
        <f>IFERROR(__xludf.DUMMYFUNCTION("IF(A73&gt;0,MIN(FILTER('Барабан'!AJ:AJ,'Барабан'!K:K=A73)),"""")"),"")</f>
        <v/>
      </c>
      <c r="O73" s="16" t="str">
        <f>IFERROR(__xludf.DUMMYFUNCTION("IF(A73&gt;0,IFERROR(MAX(FILTER('Барабан'!AJ:AJ,'Барабан'!V:V=A73)),""–""),"""")"),"")</f>
        <v/>
      </c>
    </row>
    <row r="74" ht="15.75" customHeight="1">
      <c r="A74" s="1" t="str">
        <f>'Справочник'!E69</f>
        <v/>
      </c>
      <c r="B74" s="2" t="str">
        <f>IF(A74&gt;0,SUMIF('Барабан'!K:K,A74,'Барабан'!I:I),"")</f>
        <v/>
      </c>
      <c r="C74" s="2" t="str">
        <f>IF(A74&gt;0,SUMIF('Барабан'!V:V,A74,'Барабан'!T:T),"")</f>
        <v/>
      </c>
      <c r="D74" s="2" t="str">
        <f>IF(A74&gt;0,SUMIF('Барабан'!K:K,A74,'Барабан'!AG:AG)+SUMIF('Барабан'!V:V,A74,'Барабан'!AG:AG),"")</f>
        <v/>
      </c>
      <c r="E74" s="2" t="str">
        <f t="shared" si="1"/>
        <v/>
      </c>
      <c r="F74" s="2" t="str">
        <f t="array" ref="F74">IFERROR(IF(E74=0,0,INDEX('Справочник'!G:G,MATCH(A74,'Справочник'!F:F,0))))</f>
        <v/>
      </c>
      <c r="G74" s="2" t="str">
        <f>IF(A74&gt;0,SUMIF('Барабан'!K:K,A74,'Барабан'!P:P),"")</f>
        <v/>
      </c>
      <c r="H74" s="2" t="str">
        <f>IF(A74&gt;0,SUMIF('Барабан'!V:V,A74,'Барабан'!AA:AA),"")</f>
        <v/>
      </c>
      <c r="I74" s="2" t="str">
        <f t="shared" si="4"/>
        <v/>
      </c>
      <c r="J74" s="9" t="str">
        <f t="shared" si="2"/>
        <v/>
      </c>
      <c r="K74" s="1" t="str">
        <f>IF(A74&gt;0,COUNTIF('Барабан'!K:K,A74),"")</f>
        <v/>
      </c>
      <c r="L74" s="1" t="str">
        <f>IF(A74&gt;0,COUNTIF('Барабан'!V:V,A74),"")</f>
        <v/>
      </c>
      <c r="M74" s="1" t="str">
        <f t="shared" si="3"/>
        <v/>
      </c>
      <c r="N74" s="1" t="str">
        <f>IFERROR(__xludf.DUMMYFUNCTION("IF(A74&gt;0,MIN(FILTER('Барабан'!AJ:AJ,'Барабан'!K:K=A74)),"""")"),"")</f>
        <v/>
      </c>
      <c r="O74" s="16" t="str">
        <f>IFERROR(__xludf.DUMMYFUNCTION("IF(A74&gt;0,IFERROR(MAX(FILTER('Барабан'!AJ:AJ,'Барабан'!V:V=A74)),""–""),"""")"),"")</f>
        <v/>
      </c>
    </row>
    <row r="75" ht="15.75" customHeight="1">
      <c r="A75" s="1" t="str">
        <f>'Справочник'!E70</f>
        <v/>
      </c>
      <c r="B75" s="2" t="str">
        <f>IF(A75&gt;0,SUMIF('Барабан'!K:K,A75,'Барабан'!I:I),"")</f>
        <v/>
      </c>
      <c r="C75" s="2" t="str">
        <f>IF(A75&gt;0,SUMIF('Барабан'!V:V,A75,'Барабан'!T:T),"")</f>
        <v/>
      </c>
      <c r="D75" s="2" t="str">
        <f>IF(A75&gt;0,SUMIF('Барабан'!K:K,A75,'Барабан'!AG:AG)+SUMIF('Барабан'!V:V,A75,'Барабан'!AG:AG),"")</f>
        <v/>
      </c>
      <c r="E75" s="2" t="str">
        <f t="shared" si="1"/>
        <v/>
      </c>
      <c r="F75" s="2" t="str">
        <f t="array" ref="F75">IFERROR(IF(E75=0,0,INDEX('Справочник'!G:G,MATCH(A75,'Справочник'!F:F,0))))</f>
        <v/>
      </c>
      <c r="G75" s="2" t="str">
        <f>IF(A75&gt;0,SUMIF('Барабан'!K:K,A75,'Барабан'!P:P),"")</f>
        <v/>
      </c>
      <c r="H75" s="2" t="str">
        <f>IF(A75&gt;0,SUMIF('Барабан'!V:V,A75,'Барабан'!AA:AA),"")</f>
        <v/>
      </c>
      <c r="I75" s="2" t="str">
        <f t="shared" si="4"/>
        <v/>
      </c>
      <c r="J75" s="9" t="str">
        <f t="shared" si="2"/>
        <v/>
      </c>
      <c r="K75" s="1" t="str">
        <f>IF(A75&gt;0,COUNTIF('Барабан'!K:K,A75),"")</f>
        <v/>
      </c>
      <c r="L75" s="1" t="str">
        <f>IF(A75&gt;0,COUNTIF('Барабан'!V:V,A75),"")</f>
        <v/>
      </c>
      <c r="M75" s="1" t="str">
        <f t="shared" si="3"/>
        <v/>
      </c>
      <c r="N75" s="1" t="str">
        <f>IFERROR(__xludf.DUMMYFUNCTION("IF(A75&gt;0,MIN(FILTER('Барабан'!AJ:AJ,'Барабан'!K:K=A75)),"""")"),"")</f>
        <v/>
      </c>
      <c r="O75" s="16" t="str">
        <f>IFERROR(__xludf.DUMMYFUNCTION("IF(A75&gt;0,IFERROR(MAX(FILTER('Барабан'!AJ:AJ,'Барабан'!V:V=A75)),""–""),"""")"),"")</f>
        <v/>
      </c>
    </row>
    <row r="76" ht="15.75" customHeight="1">
      <c r="A76" s="1" t="str">
        <f>'Справочник'!E71</f>
        <v/>
      </c>
      <c r="B76" s="2" t="str">
        <f>IF(A76&gt;0,SUMIF('Барабан'!K:K,A76,'Барабан'!I:I),"")</f>
        <v/>
      </c>
      <c r="C76" s="2" t="str">
        <f>IF(A76&gt;0,SUMIF('Барабан'!V:V,A76,'Барабан'!T:T),"")</f>
        <v/>
      </c>
      <c r="D76" s="2" t="str">
        <f>IF(A76&gt;0,SUMIF('Барабан'!K:K,A76,'Барабан'!AG:AG)+SUMIF('Барабан'!V:V,A76,'Барабан'!AG:AG),"")</f>
        <v/>
      </c>
      <c r="E76" s="2" t="str">
        <f t="shared" si="1"/>
        <v/>
      </c>
      <c r="F76" s="2" t="str">
        <f t="array" ref="F76">IFERROR(IF(E76=0,0,INDEX('Справочник'!G:G,MATCH(A76,'Справочник'!F:F,0))))</f>
        <v/>
      </c>
      <c r="G76" s="2" t="str">
        <f>IF(A76&gt;0,SUMIF('Барабан'!K:K,A76,'Барабан'!P:P),"")</f>
        <v/>
      </c>
      <c r="H76" s="2" t="str">
        <f>IF(A76&gt;0,SUMIF('Барабан'!V:V,A76,'Барабан'!AA:AA),"")</f>
        <v/>
      </c>
      <c r="I76" s="2" t="str">
        <f t="shared" si="4"/>
        <v/>
      </c>
      <c r="J76" s="9" t="str">
        <f t="shared" si="2"/>
        <v/>
      </c>
      <c r="K76" s="1" t="str">
        <f>IF(A76&gt;0,COUNTIF('Барабан'!K:K,A76),"")</f>
        <v/>
      </c>
      <c r="L76" s="1" t="str">
        <f>IF(A76&gt;0,COUNTIF('Барабан'!V:V,A76),"")</f>
        <v/>
      </c>
      <c r="M76" s="1" t="str">
        <f t="shared" si="3"/>
        <v/>
      </c>
      <c r="N76" s="1" t="str">
        <f>IFERROR(__xludf.DUMMYFUNCTION("IF(A76&gt;0,MIN(FILTER('Барабан'!AJ:AJ,'Барабан'!K:K=A76)),"""")"),"")</f>
        <v/>
      </c>
      <c r="O76" s="16" t="str">
        <f>IFERROR(__xludf.DUMMYFUNCTION("IF(A76&gt;0,IFERROR(MAX(FILTER('Барабан'!AJ:AJ,'Барабан'!V:V=A76)),""–""),"""")"),"")</f>
        <v/>
      </c>
    </row>
    <row r="77" ht="15.75" customHeight="1">
      <c r="A77" s="1" t="str">
        <f>'Справочник'!E72</f>
        <v/>
      </c>
      <c r="B77" s="2" t="str">
        <f>IF(A77&gt;0,SUMIF('Барабан'!K:K,A77,'Барабан'!I:I),"")</f>
        <v/>
      </c>
      <c r="C77" s="2" t="str">
        <f>IF(A77&gt;0,SUMIF('Барабан'!V:V,A77,'Барабан'!T:T),"")</f>
        <v/>
      </c>
      <c r="D77" s="2" t="str">
        <f>IF(A77&gt;0,SUMIF('Барабан'!K:K,A77,'Барабан'!AG:AG)+SUMIF('Барабан'!V:V,A77,'Барабан'!AG:AG),"")</f>
        <v/>
      </c>
      <c r="E77" s="2" t="str">
        <f t="shared" si="1"/>
        <v/>
      </c>
      <c r="F77" s="2" t="str">
        <f t="array" ref="F77">IFERROR(IF(E77=0,0,INDEX('Справочник'!G:G,MATCH(A77,'Справочник'!F:F,0))))</f>
        <v/>
      </c>
      <c r="G77" s="2" t="str">
        <f>IF(A77&gt;0,SUMIF('Барабан'!K:K,A77,'Барабан'!P:P),"")</f>
        <v/>
      </c>
      <c r="H77" s="2" t="str">
        <f>IF(A77&gt;0,SUMIF('Барабан'!V:V,A77,'Барабан'!AA:AA),"")</f>
        <v/>
      </c>
      <c r="I77" s="2" t="str">
        <f t="shared" si="4"/>
        <v/>
      </c>
      <c r="J77" s="9" t="str">
        <f t="shared" si="2"/>
        <v/>
      </c>
      <c r="K77" s="1" t="str">
        <f>IF(A77&gt;0,COUNTIF('Барабан'!K:K,A77),"")</f>
        <v/>
      </c>
      <c r="L77" s="1" t="str">
        <f>IF(A77&gt;0,COUNTIF('Барабан'!V:V,A77),"")</f>
        <v/>
      </c>
      <c r="M77" s="1" t="str">
        <f t="shared" si="3"/>
        <v/>
      </c>
      <c r="N77" s="1" t="str">
        <f>IFERROR(__xludf.DUMMYFUNCTION("IF(A77&gt;0,MIN(FILTER('Барабан'!AJ:AJ,'Барабан'!K:K=A77)),"""")"),"")</f>
        <v/>
      </c>
      <c r="O77" s="16" t="str">
        <f>IFERROR(__xludf.DUMMYFUNCTION("IF(A77&gt;0,IFERROR(MAX(FILTER('Барабан'!AJ:AJ,'Барабан'!V:V=A77)),""–""),"""")"),"")</f>
        <v/>
      </c>
    </row>
    <row r="78" ht="15.75" customHeight="1">
      <c r="A78" s="1" t="str">
        <f>'Справочник'!E73</f>
        <v/>
      </c>
      <c r="B78" s="2" t="str">
        <f>IF(A78&gt;0,SUMIF('Барабан'!K:K,A78,'Барабан'!I:I),"")</f>
        <v/>
      </c>
      <c r="C78" s="2" t="str">
        <f>IF(A78&gt;0,SUMIF('Барабан'!V:V,A78,'Барабан'!T:T),"")</f>
        <v/>
      </c>
      <c r="D78" s="2" t="str">
        <f>IF(A78&gt;0,SUMIF('Барабан'!K:K,A78,'Барабан'!AG:AG)+SUMIF('Барабан'!V:V,A78,'Барабан'!AG:AG),"")</f>
        <v/>
      </c>
      <c r="E78" s="2" t="str">
        <f t="shared" si="1"/>
        <v/>
      </c>
      <c r="F78" s="2" t="str">
        <f t="array" ref="F78">IFERROR(IF(E78=0,0,INDEX('Справочник'!G:G,MATCH(A78,'Справочник'!F:F,0))))</f>
        <v/>
      </c>
      <c r="G78" s="2" t="str">
        <f>IF(A78&gt;0,SUMIF('Барабан'!K:K,A78,'Барабан'!P:P),"")</f>
        <v/>
      </c>
      <c r="H78" s="2" t="str">
        <f>IF(A78&gt;0,SUMIF('Барабан'!V:V,A78,'Барабан'!AA:AA),"")</f>
        <v/>
      </c>
      <c r="I78" s="2" t="str">
        <f t="shared" si="4"/>
        <v/>
      </c>
      <c r="J78" s="9" t="str">
        <f t="shared" si="2"/>
        <v/>
      </c>
      <c r="K78" s="1" t="str">
        <f>IF(A78&gt;0,COUNTIF('Барабан'!K:K,A78),"")</f>
        <v/>
      </c>
      <c r="L78" s="1" t="str">
        <f>IF(A78&gt;0,COUNTIF('Барабан'!V:V,A78),"")</f>
        <v/>
      </c>
      <c r="M78" s="1" t="str">
        <f t="shared" si="3"/>
        <v/>
      </c>
      <c r="N78" s="1" t="str">
        <f>IFERROR(__xludf.DUMMYFUNCTION("IF(A78&gt;0,MIN(FILTER('Барабан'!AJ:AJ,'Барабан'!K:K=A78)),"""")"),"")</f>
        <v/>
      </c>
      <c r="O78" s="16" t="str">
        <f>IFERROR(__xludf.DUMMYFUNCTION("IF(A78&gt;0,IFERROR(MAX(FILTER('Барабан'!AJ:AJ,'Барабан'!V:V=A78)),""–""),"""")"),"")</f>
        <v/>
      </c>
    </row>
    <row r="79" ht="15.75" customHeight="1">
      <c r="A79" s="1" t="str">
        <f>'Справочник'!E74</f>
        <v/>
      </c>
      <c r="B79" s="2" t="str">
        <f>IF(A79&gt;0,SUMIF('Барабан'!K:K,A79,'Барабан'!I:I),"")</f>
        <v/>
      </c>
      <c r="C79" s="2" t="str">
        <f>IF(A79&gt;0,SUMIF('Барабан'!V:V,A79,'Барабан'!T:T),"")</f>
        <v/>
      </c>
      <c r="D79" s="2" t="str">
        <f>IF(A79&gt;0,SUMIF('Барабан'!K:K,A79,'Барабан'!AG:AG)+SUMIF('Барабан'!V:V,A79,'Барабан'!AG:AG),"")</f>
        <v/>
      </c>
      <c r="E79" s="2" t="str">
        <f t="shared" si="1"/>
        <v/>
      </c>
      <c r="F79" s="2" t="str">
        <f t="array" ref="F79">IFERROR(IF(E79=0,0,INDEX('Справочник'!G:G,MATCH(A79,'Справочник'!F:F,0))))</f>
        <v/>
      </c>
      <c r="G79" s="2" t="str">
        <f>IF(A79&gt;0,SUMIF('Барабан'!K:K,A79,'Барабан'!P:P),"")</f>
        <v/>
      </c>
      <c r="H79" s="2" t="str">
        <f>IF(A79&gt;0,SUMIF('Барабан'!V:V,A79,'Барабан'!AA:AA),"")</f>
        <v/>
      </c>
      <c r="I79" s="2" t="str">
        <f t="shared" si="4"/>
        <v/>
      </c>
      <c r="J79" s="9" t="str">
        <f t="shared" si="2"/>
        <v/>
      </c>
      <c r="K79" s="1" t="str">
        <f>IF(A79&gt;0,COUNTIF('Барабан'!K:K,A79),"")</f>
        <v/>
      </c>
      <c r="L79" s="1" t="str">
        <f>IF(A79&gt;0,COUNTIF('Барабан'!V:V,A79),"")</f>
        <v/>
      </c>
      <c r="M79" s="1" t="str">
        <f t="shared" si="3"/>
        <v/>
      </c>
      <c r="N79" s="1" t="str">
        <f>IFERROR(__xludf.DUMMYFUNCTION("IF(A79&gt;0,MIN(FILTER('Барабан'!AJ:AJ,'Барабан'!K:K=A79)),"""")"),"")</f>
        <v/>
      </c>
      <c r="O79" s="16" t="str">
        <f>IFERROR(__xludf.DUMMYFUNCTION("IF(A79&gt;0,IFERROR(MAX(FILTER('Барабан'!AJ:AJ,'Барабан'!V:V=A79)),""–""),"""")"),"")</f>
        <v/>
      </c>
    </row>
    <row r="80" ht="15.75" customHeight="1">
      <c r="A80" s="1" t="str">
        <f>'Справочник'!E75</f>
        <v/>
      </c>
      <c r="B80" s="2" t="str">
        <f>IF(A80&gt;0,SUMIF('Барабан'!K:K,A80,'Барабан'!I:I),"")</f>
        <v/>
      </c>
      <c r="C80" s="2" t="str">
        <f>IF(A80&gt;0,SUMIF('Барабан'!V:V,A80,'Барабан'!T:T),"")</f>
        <v/>
      </c>
      <c r="D80" s="2" t="str">
        <f>IF(A80&gt;0,SUMIF('Барабан'!K:K,A80,'Барабан'!AG:AG)+SUMIF('Барабан'!V:V,A80,'Барабан'!AG:AG),"")</f>
        <v/>
      </c>
      <c r="E80" s="2" t="str">
        <f t="shared" si="1"/>
        <v/>
      </c>
      <c r="F80" s="2" t="str">
        <f t="array" ref="F80">IFERROR(IF(E80=0,0,INDEX('Справочник'!G:G,MATCH(A80,'Справочник'!F:F,0))))</f>
        <v/>
      </c>
      <c r="G80" s="2" t="str">
        <f>IF(A80&gt;0,SUMIF('Барабан'!K:K,A80,'Барабан'!P:P),"")</f>
        <v/>
      </c>
      <c r="H80" s="2" t="str">
        <f>IF(A80&gt;0,SUMIF('Барабан'!V:V,A80,'Барабан'!AA:AA),"")</f>
        <v/>
      </c>
      <c r="I80" s="2" t="str">
        <f t="shared" si="4"/>
        <v/>
      </c>
      <c r="J80" s="9" t="str">
        <f t="shared" si="2"/>
        <v/>
      </c>
      <c r="K80" s="1" t="str">
        <f>IF(A80&gt;0,COUNTIF('Барабан'!K:K,A80),"")</f>
        <v/>
      </c>
      <c r="L80" s="1" t="str">
        <f>IF(A80&gt;0,COUNTIF('Барабан'!V:V,A80),"")</f>
        <v/>
      </c>
      <c r="M80" s="1" t="str">
        <f t="shared" si="3"/>
        <v/>
      </c>
      <c r="N80" s="1" t="str">
        <f>IFERROR(__xludf.DUMMYFUNCTION("IF(A80&gt;0,MIN(FILTER('Барабан'!AJ:AJ,'Барабан'!K:K=A80)),"""")"),"")</f>
        <v/>
      </c>
      <c r="O80" s="16" t="str">
        <f>IFERROR(__xludf.DUMMYFUNCTION("IF(A80&gt;0,IFERROR(MAX(FILTER('Барабан'!AJ:AJ,'Барабан'!V:V=A80)),""–""),"""")"),"")</f>
        <v/>
      </c>
    </row>
    <row r="81" ht="15.75" customHeight="1">
      <c r="A81" s="1" t="str">
        <f>'Справочник'!E76</f>
        <v/>
      </c>
      <c r="B81" s="2" t="str">
        <f>IF(A81&gt;0,SUMIF('Барабан'!K:K,A81,'Барабан'!I:I),"")</f>
        <v/>
      </c>
      <c r="C81" s="2" t="str">
        <f>IF(A81&gt;0,SUMIF('Барабан'!V:V,A81,'Барабан'!T:T),"")</f>
        <v/>
      </c>
      <c r="D81" s="2" t="str">
        <f>IF(A81&gt;0,SUMIF('Барабан'!K:K,A81,'Барабан'!AG:AG)+SUMIF('Барабан'!V:V,A81,'Барабан'!AG:AG),"")</f>
        <v/>
      </c>
      <c r="E81" s="2" t="str">
        <f t="shared" si="1"/>
        <v/>
      </c>
      <c r="F81" s="2" t="str">
        <f t="array" ref="F81">IFERROR(IF(E81=0,0,INDEX('Справочник'!G:G,MATCH(A81,'Справочник'!F:F,0))))</f>
        <v/>
      </c>
      <c r="G81" s="2" t="str">
        <f>IF(A81&gt;0,SUMIF('Барабан'!K:K,A81,'Барабан'!P:P),"")</f>
        <v/>
      </c>
      <c r="H81" s="2" t="str">
        <f>IF(A81&gt;0,SUMIF('Барабан'!V:V,A81,'Барабан'!AA:AA),"")</f>
        <v/>
      </c>
      <c r="I81" s="2" t="str">
        <f t="shared" si="4"/>
        <v/>
      </c>
      <c r="J81" s="9" t="str">
        <f t="shared" si="2"/>
        <v/>
      </c>
      <c r="K81" s="1" t="str">
        <f>IF(A81&gt;0,COUNTIF('Барабан'!K:K,A81),"")</f>
        <v/>
      </c>
      <c r="L81" s="1" t="str">
        <f>IF(A81&gt;0,COUNTIF('Барабан'!V:V,A81),"")</f>
        <v/>
      </c>
      <c r="M81" s="1" t="str">
        <f t="shared" si="3"/>
        <v/>
      </c>
      <c r="N81" s="1" t="str">
        <f>IFERROR(__xludf.DUMMYFUNCTION("IF(A81&gt;0,MIN(FILTER('Барабан'!AJ:AJ,'Барабан'!K:K=A81)),"""")"),"")</f>
        <v/>
      </c>
      <c r="O81" s="16" t="str">
        <f>IFERROR(__xludf.DUMMYFUNCTION("IF(A81&gt;0,IFERROR(MAX(FILTER('Барабан'!AJ:AJ,'Барабан'!V:V=A81)),""–""),"""")"),"")</f>
        <v/>
      </c>
    </row>
    <row r="82" ht="15.75" customHeight="1">
      <c r="A82" s="1" t="str">
        <f>'Справочник'!E77</f>
        <v/>
      </c>
      <c r="B82" s="2" t="str">
        <f>IF(A82&gt;0,SUMIF('Барабан'!K:K,A82,'Барабан'!I:I),"")</f>
        <v/>
      </c>
      <c r="C82" s="2" t="str">
        <f>IF(A82&gt;0,SUMIF('Барабан'!V:V,A82,'Барабан'!T:T),"")</f>
        <v/>
      </c>
      <c r="D82" s="2" t="str">
        <f>IF(A82&gt;0,SUMIF('Барабан'!K:K,A82,'Барабан'!AG:AG)+SUMIF('Барабан'!V:V,A82,'Барабан'!AG:AG),"")</f>
        <v/>
      </c>
      <c r="E82" s="2" t="str">
        <f t="shared" si="1"/>
        <v/>
      </c>
      <c r="F82" s="2" t="str">
        <f t="array" ref="F82">IFERROR(IF(E82=0,0,INDEX('Справочник'!G:G,MATCH(A82,'Справочник'!F:F,0))))</f>
        <v/>
      </c>
      <c r="G82" s="2" t="str">
        <f>IF(A82&gt;0,SUMIF('Барабан'!K:K,A82,'Барабан'!P:P),"")</f>
        <v/>
      </c>
      <c r="H82" s="2" t="str">
        <f>IF(A82&gt;0,SUMIF('Барабан'!V:V,A82,'Барабан'!AA:AA),"")</f>
        <v/>
      </c>
      <c r="I82" s="2" t="str">
        <f t="shared" si="4"/>
        <v/>
      </c>
      <c r="J82" s="9" t="str">
        <f t="shared" si="2"/>
        <v/>
      </c>
      <c r="K82" s="1" t="str">
        <f>IF(A82&gt;0,COUNTIF('Барабан'!K:K,A82),"")</f>
        <v/>
      </c>
      <c r="L82" s="1" t="str">
        <f>IF(A82&gt;0,COUNTIF('Барабан'!V:V,A82),"")</f>
        <v/>
      </c>
      <c r="M82" s="1" t="str">
        <f t="shared" si="3"/>
        <v/>
      </c>
      <c r="N82" s="1" t="str">
        <f>IFERROR(__xludf.DUMMYFUNCTION("IF(A82&gt;0,MIN(FILTER('Барабан'!AJ:AJ,'Барабан'!K:K=A82)),"""")"),"")</f>
        <v/>
      </c>
      <c r="O82" s="16" t="str">
        <f>IFERROR(__xludf.DUMMYFUNCTION("IF(A82&gt;0,IFERROR(MAX(FILTER('Барабан'!AJ:AJ,'Барабан'!V:V=A82)),""–""),"""")"),"")</f>
        <v/>
      </c>
    </row>
    <row r="83" ht="15.75" customHeight="1">
      <c r="A83" s="1" t="str">
        <f>'Справочник'!E78</f>
        <v/>
      </c>
      <c r="B83" s="2" t="str">
        <f>IF(A83&gt;0,SUMIF('Барабан'!K:K,A83,'Барабан'!I:I),"")</f>
        <v/>
      </c>
      <c r="C83" s="2" t="str">
        <f>IF(A83&gt;0,SUMIF('Барабан'!V:V,A83,'Барабан'!T:T),"")</f>
        <v/>
      </c>
      <c r="D83" s="2" t="str">
        <f>IF(A83&gt;0,SUMIF('Барабан'!K:K,A83,'Барабан'!AG:AG)+SUMIF('Барабан'!V:V,A83,'Барабан'!AG:AG),"")</f>
        <v/>
      </c>
      <c r="E83" s="2" t="str">
        <f t="shared" si="1"/>
        <v/>
      </c>
      <c r="F83" s="2" t="str">
        <f t="array" ref="F83">IFERROR(IF(E83=0,0,INDEX('Справочник'!G:G,MATCH(A83,'Справочник'!F:F,0))))</f>
        <v/>
      </c>
      <c r="G83" s="2" t="str">
        <f>IF(A83&gt;0,SUMIF('Барабан'!K:K,A83,'Барабан'!P:P),"")</f>
        <v/>
      </c>
      <c r="H83" s="2" t="str">
        <f>IF(A83&gt;0,SUMIF('Барабан'!V:V,A83,'Барабан'!AA:AA),"")</f>
        <v/>
      </c>
      <c r="I83" s="2" t="str">
        <f t="shared" si="4"/>
        <v/>
      </c>
      <c r="J83" s="9" t="str">
        <f t="shared" si="2"/>
        <v/>
      </c>
      <c r="K83" s="1" t="str">
        <f>IF(A83&gt;0,COUNTIF('Барабан'!K:K,A83),"")</f>
        <v/>
      </c>
      <c r="L83" s="1" t="str">
        <f>IF(A83&gt;0,COUNTIF('Барабан'!V:V,A83),"")</f>
        <v/>
      </c>
      <c r="M83" s="1" t="str">
        <f t="shared" si="3"/>
        <v/>
      </c>
      <c r="N83" s="1" t="str">
        <f>IFERROR(__xludf.DUMMYFUNCTION("IF(A83&gt;0,MIN(FILTER('Барабан'!AJ:AJ,'Барабан'!K:K=A83)),"""")"),"")</f>
        <v/>
      </c>
      <c r="O83" s="16" t="str">
        <f>IFERROR(__xludf.DUMMYFUNCTION("IF(A83&gt;0,IFERROR(MAX(FILTER('Барабан'!AJ:AJ,'Барабан'!V:V=A83)),""–""),"""")"),"")</f>
        <v/>
      </c>
    </row>
    <row r="84" ht="15.75" customHeight="1">
      <c r="A84" s="1" t="str">
        <f>'Справочник'!E79</f>
        <v/>
      </c>
      <c r="B84" s="2" t="str">
        <f>IF(A84&gt;0,SUMIF('Барабан'!K:K,A84,'Барабан'!I:I),"")</f>
        <v/>
      </c>
      <c r="C84" s="2" t="str">
        <f>IF(A84&gt;0,SUMIF('Барабан'!V:V,A84,'Барабан'!T:T),"")</f>
        <v/>
      </c>
      <c r="D84" s="2" t="str">
        <f>IF(A84&gt;0,SUMIF('Барабан'!K:K,A84,'Барабан'!AG:AG)+SUMIF('Барабан'!V:V,A84,'Барабан'!AG:AG),"")</f>
        <v/>
      </c>
      <c r="E84" s="2" t="str">
        <f t="shared" si="1"/>
        <v/>
      </c>
      <c r="F84" s="2" t="str">
        <f t="array" ref="F84">IFERROR(IF(E84=0,0,INDEX('Справочник'!G:G,MATCH(A84,'Справочник'!F:F,0))))</f>
        <v/>
      </c>
      <c r="G84" s="2" t="str">
        <f>IF(A84&gt;0,SUMIF('Барабан'!K:K,A84,'Барабан'!P:P),"")</f>
        <v/>
      </c>
      <c r="H84" s="2" t="str">
        <f>IF(A84&gt;0,SUMIF('Барабан'!V:V,A84,'Барабан'!AA:AA),"")</f>
        <v/>
      </c>
      <c r="I84" s="2" t="str">
        <f t="shared" si="4"/>
        <v/>
      </c>
      <c r="J84" s="9" t="str">
        <f t="shared" si="2"/>
        <v/>
      </c>
      <c r="K84" s="1" t="str">
        <f>IF(A84&gt;0,COUNTIF('Барабан'!K:K,A84),"")</f>
        <v/>
      </c>
      <c r="L84" s="1" t="str">
        <f>IF(A84&gt;0,COUNTIF('Барабан'!V:V,A84),"")</f>
        <v/>
      </c>
      <c r="M84" s="1" t="str">
        <f t="shared" si="3"/>
        <v/>
      </c>
      <c r="N84" s="1" t="str">
        <f>IFERROR(__xludf.DUMMYFUNCTION("IF(A84&gt;0,MIN(FILTER('Барабан'!AJ:AJ,'Барабан'!K:K=A84)),"""")"),"")</f>
        <v/>
      </c>
      <c r="O84" s="16" t="str">
        <f>IFERROR(__xludf.DUMMYFUNCTION("IF(A84&gt;0,IFERROR(MAX(FILTER('Барабан'!AJ:AJ,'Барабан'!V:V=A84)),""–""),"""")"),"")</f>
        <v/>
      </c>
    </row>
    <row r="85" ht="15.75" customHeight="1">
      <c r="A85" s="1" t="str">
        <f>'Справочник'!E80</f>
        <v/>
      </c>
      <c r="B85" s="2" t="str">
        <f>IF(A85&gt;0,SUMIF('Барабан'!K:K,A85,'Барабан'!I:I),"")</f>
        <v/>
      </c>
      <c r="C85" s="2" t="str">
        <f>IF(A85&gt;0,SUMIF('Барабан'!V:V,A85,'Барабан'!T:T),"")</f>
        <v/>
      </c>
      <c r="D85" s="2" t="str">
        <f>IF(A85&gt;0,SUMIF('Барабан'!K:K,A85,'Барабан'!AG:AG)+SUMIF('Барабан'!V:V,A85,'Барабан'!AG:AG),"")</f>
        <v/>
      </c>
      <c r="E85" s="2" t="str">
        <f t="shared" si="1"/>
        <v/>
      </c>
      <c r="F85" s="2" t="str">
        <f t="array" ref="F85">IFERROR(IF(E85=0,0,INDEX('Справочник'!G:G,MATCH(A85,'Справочник'!F:F,0))))</f>
        <v/>
      </c>
      <c r="G85" s="2" t="str">
        <f>IF(A85&gt;0,SUMIF('Барабан'!K:K,A85,'Барабан'!P:P),"")</f>
        <v/>
      </c>
      <c r="H85" s="2" t="str">
        <f>IF(A85&gt;0,SUMIF('Барабан'!V:V,A85,'Барабан'!AA:AA),"")</f>
        <v/>
      </c>
      <c r="I85" s="2" t="str">
        <f t="shared" si="4"/>
        <v/>
      </c>
      <c r="J85" s="9" t="str">
        <f t="shared" si="2"/>
        <v/>
      </c>
      <c r="K85" s="1" t="str">
        <f>IF(A85&gt;0,COUNTIF('Барабан'!K:K,A85),"")</f>
        <v/>
      </c>
      <c r="L85" s="1" t="str">
        <f>IF(A85&gt;0,COUNTIF('Барабан'!V:V,A85),"")</f>
        <v/>
      </c>
      <c r="M85" s="1" t="str">
        <f t="shared" si="3"/>
        <v/>
      </c>
      <c r="N85" s="1" t="str">
        <f>IFERROR(__xludf.DUMMYFUNCTION("IF(A85&gt;0,MIN(FILTER('Барабан'!AJ:AJ,'Барабан'!K:K=A85)),"""")"),"")</f>
        <v/>
      </c>
      <c r="O85" s="16" t="str">
        <f>IFERROR(__xludf.DUMMYFUNCTION("IF(A85&gt;0,IFERROR(MAX(FILTER('Барабан'!AJ:AJ,'Барабан'!V:V=A85)),""–""),"""")"),"")</f>
        <v/>
      </c>
    </row>
    <row r="86" ht="15.75" customHeight="1">
      <c r="A86" s="1" t="str">
        <f>'Справочник'!E81</f>
        <v/>
      </c>
      <c r="B86" s="2" t="str">
        <f>IF(A86&gt;0,SUMIF('Барабан'!K:K,A86,'Барабан'!I:I),"")</f>
        <v/>
      </c>
      <c r="C86" s="2" t="str">
        <f>IF(A86&gt;0,SUMIF('Барабан'!V:V,A86,'Барабан'!T:T),"")</f>
        <v/>
      </c>
      <c r="D86" s="2" t="str">
        <f>IF(A86&gt;0,SUMIF('Барабан'!K:K,A86,'Барабан'!AG:AG)+SUMIF('Барабан'!V:V,A86,'Барабан'!AG:AG),"")</f>
        <v/>
      </c>
      <c r="E86" s="2" t="str">
        <f t="shared" si="1"/>
        <v/>
      </c>
      <c r="F86" s="2" t="str">
        <f t="array" ref="F86">IFERROR(IF(E86=0,0,INDEX('Справочник'!G:G,MATCH(A86,'Справочник'!F:F,0))))</f>
        <v/>
      </c>
      <c r="G86" s="2" t="str">
        <f>IF(A86&gt;0,SUMIF('Барабан'!K:K,A86,'Барабан'!P:P),"")</f>
        <v/>
      </c>
      <c r="H86" s="2" t="str">
        <f>IF(A86&gt;0,SUMIF('Барабан'!V:V,A86,'Барабан'!AA:AA),"")</f>
        <v/>
      </c>
      <c r="I86" s="2" t="str">
        <f t="shared" si="4"/>
        <v/>
      </c>
      <c r="J86" s="9" t="str">
        <f t="shared" si="2"/>
        <v/>
      </c>
      <c r="K86" s="1" t="str">
        <f>IF(A86&gt;0,COUNTIF('Барабан'!K:K,A86),"")</f>
        <v/>
      </c>
      <c r="L86" s="1" t="str">
        <f>IF(A86&gt;0,COUNTIF('Барабан'!V:V,A86),"")</f>
        <v/>
      </c>
      <c r="M86" s="1" t="str">
        <f t="shared" si="3"/>
        <v/>
      </c>
      <c r="N86" s="1" t="str">
        <f>IFERROR(__xludf.DUMMYFUNCTION("IF(A86&gt;0,MIN(FILTER('Барабан'!AJ:AJ,'Барабан'!K:K=A86)),"""")"),"")</f>
        <v/>
      </c>
      <c r="O86" s="16" t="str">
        <f>IFERROR(__xludf.DUMMYFUNCTION("IF(A86&gt;0,IFERROR(MAX(FILTER('Барабан'!AJ:AJ,'Барабан'!V:V=A86)),""–""),"""")"),"")</f>
        <v/>
      </c>
    </row>
    <row r="87" ht="15.75" customHeight="1">
      <c r="A87" s="1" t="str">
        <f>'Справочник'!E82</f>
        <v/>
      </c>
      <c r="B87" s="2" t="str">
        <f>IF(A87&gt;0,SUMIF('Барабан'!K:K,A87,'Барабан'!I:I),"")</f>
        <v/>
      </c>
      <c r="C87" s="2" t="str">
        <f>IF(A87&gt;0,SUMIF('Барабан'!V:V,A87,'Барабан'!T:T),"")</f>
        <v/>
      </c>
      <c r="D87" s="2" t="str">
        <f>IF(A87&gt;0,SUMIF('Барабан'!K:K,A87,'Барабан'!AG:AG)+SUMIF('Барабан'!V:V,A87,'Барабан'!AG:AG),"")</f>
        <v/>
      </c>
      <c r="E87" s="2" t="str">
        <f t="shared" si="1"/>
        <v/>
      </c>
      <c r="F87" s="2" t="str">
        <f t="array" ref="F87">IFERROR(IF(E87=0,0,INDEX('Справочник'!G:G,MATCH(A87,'Справочник'!F:F,0))))</f>
        <v/>
      </c>
      <c r="G87" s="2" t="str">
        <f>IF(A87&gt;0,SUMIF('Барабан'!K:K,A87,'Барабан'!P:P),"")</f>
        <v/>
      </c>
      <c r="H87" s="2" t="str">
        <f>IF(A87&gt;0,SUMIF('Барабан'!V:V,A87,'Барабан'!AA:AA),"")</f>
        <v/>
      </c>
      <c r="I87" s="2" t="str">
        <f t="shared" si="4"/>
        <v/>
      </c>
      <c r="J87" s="9" t="str">
        <f t="shared" si="2"/>
        <v/>
      </c>
      <c r="K87" s="1" t="str">
        <f>IF(A87&gt;0,COUNTIF('Барабан'!K:K,A87),"")</f>
        <v/>
      </c>
      <c r="L87" s="1" t="str">
        <f>IF(A87&gt;0,COUNTIF('Барабан'!V:V,A87),"")</f>
        <v/>
      </c>
      <c r="M87" s="1" t="str">
        <f t="shared" si="3"/>
        <v/>
      </c>
      <c r="N87" s="1" t="str">
        <f>IFERROR(__xludf.DUMMYFUNCTION("IF(A87&gt;0,MIN(FILTER('Барабан'!AJ:AJ,'Барабан'!K:K=A87)),"""")"),"")</f>
        <v/>
      </c>
      <c r="O87" s="16" t="str">
        <f>IFERROR(__xludf.DUMMYFUNCTION("IF(A87&gt;0,IFERROR(MAX(FILTER('Барабан'!AJ:AJ,'Барабан'!V:V=A87)),""–""),"""")"),"")</f>
        <v/>
      </c>
    </row>
    <row r="88" ht="15.75" customHeight="1">
      <c r="A88" s="1" t="str">
        <f>'Справочник'!E83</f>
        <v/>
      </c>
      <c r="B88" s="2" t="str">
        <f>IF(A88&gt;0,SUMIF('Барабан'!K:K,A88,'Барабан'!I:I),"")</f>
        <v/>
      </c>
      <c r="C88" s="2" t="str">
        <f>IF(A88&gt;0,SUMIF('Барабан'!V:V,A88,'Барабан'!T:T),"")</f>
        <v/>
      </c>
      <c r="D88" s="2" t="str">
        <f>IF(A88&gt;0,SUMIF('Барабан'!K:K,A88,'Барабан'!AG:AG)+SUMIF('Барабан'!V:V,A88,'Барабан'!AG:AG),"")</f>
        <v/>
      </c>
      <c r="E88" s="2" t="str">
        <f t="shared" si="1"/>
        <v/>
      </c>
      <c r="F88" s="2" t="str">
        <f t="array" ref="F88">IFERROR(IF(E88=0,0,INDEX('Справочник'!G:G,MATCH(A88,'Справочник'!F:F,0))))</f>
        <v/>
      </c>
      <c r="G88" s="2" t="str">
        <f>IF(A88&gt;0,SUMIF('Барабан'!K:K,A88,'Барабан'!P:P),"")</f>
        <v/>
      </c>
      <c r="H88" s="2" t="str">
        <f>IF(A88&gt;0,SUMIF('Барабан'!V:V,A88,'Барабан'!AA:AA),"")</f>
        <v/>
      </c>
      <c r="I88" s="2" t="str">
        <f t="shared" si="4"/>
        <v/>
      </c>
      <c r="J88" s="9" t="str">
        <f t="shared" si="2"/>
        <v/>
      </c>
      <c r="K88" s="1" t="str">
        <f>IF(A88&gt;0,COUNTIF('Барабан'!K:K,A88),"")</f>
        <v/>
      </c>
      <c r="L88" s="1" t="str">
        <f>IF(A88&gt;0,COUNTIF('Барабан'!V:V,A88),"")</f>
        <v/>
      </c>
      <c r="M88" s="1" t="str">
        <f t="shared" si="3"/>
        <v/>
      </c>
      <c r="N88" s="1" t="str">
        <f>IFERROR(__xludf.DUMMYFUNCTION("IF(A88&gt;0,MIN(FILTER('Барабан'!AJ:AJ,'Барабан'!K:K=A88)),"""")"),"")</f>
        <v/>
      </c>
      <c r="O88" s="16" t="str">
        <f>IFERROR(__xludf.DUMMYFUNCTION("IF(A88&gt;0,IFERROR(MAX(FILTER('Барабан'!AJ:AJ,'Барабан'!V:V=A88)),""–""),"""")"),"")</f>
        <v/>
      </c>
    </row>
    <row r="89" ht="15.75" customHeight="1">
      <c r="A89" s="1" t="str">
        <f>'Справочник'!E84</f>
        <v/>
      </c>
      <c r="B89" s="2" t="str">
        <f>IF(A89&gt;0,SUMIF('Барабан'!K:K,A89,'Барабан'!I:I),"")</f>
        <v/>
      </c>
      <c r="C89" s="2" t="str">
        <f>IF(A89&gt;0,SUMIF('Барабан'!V:V,A89,'Барабан'!T:T),"")</f>
        <v/>
      </c>
      <c r="D89" s="2" t="str">
        <f>IF(A89&gt;0,SUMIF('Барабан'!K:K,A89,'Барабан'!AG:AG)+SUMIF('Барабан'!V:V,A89,'Барабан'!AG:AG),"")</f>
        <v/>
      </c>
      <c r="E89" s="2" t="str">
        <f t="shared" si="1"/>
        <v/>
      </c>
      <c r="F89" s="2" t="str">
        <f t="array" ref="F89">IFERROR(IF(E89=0,0,INDEX('Справочник'!G:G,MATCH(A89,'Справочник'!F:F,0))))</f>
        <v/>
      </c>
      <c r="G89" s="2" t="str">
        <f>IF(A89&gt;0,SUMIF('Барабан'!K:K,A89,'Барабан'!P:P),"")</f>
        <v/>
      </c>
      <c r="H89" s="2" t="str">
        <f>IF(A89&gt;0,SUMIF('Барабан'!V:V,A89,'Барабан'!AA:AA),"")</f>
        <v/>
      </c>
      <c r="I89" s="2" t="str">
        <f t="shared" si="4"/>
        <v/>
      </c>
      <c r="J89" s="9" t="str">
        <f t="shared" si="2"/>
        <v/>
      </c>
      <c r="K89" s="1" t="str">
        <f>IF(A89&gt;0,COUNTIF('Барабан'!K:K,A89),"")</f>
        <v/>
      </c>
      <c r="L89" s="1" t="str">
        <f>IF(A89&gt;0,COUNTIF('Барабан'!V:V,A89),"")</f>
        <v/>
      </c>
      <c r="M89" s="1" t="str">
        <f t="shared" si="3"/>
        <v/>
      </c>
      <c r="N89" s="1" t="str">
        <f>IFERROR(__xludf.DUMMYFUNCTION("IF(A89&gt;0,MIN(FILTER('Барабан'!AJ:AJ,'Барабан'!K:K=A89)),"""")"),"")</f>
        <v/>
      </c>
      <c r="O89" s="16" t="str">
        <f>IFERROR(__xludf.DUMMYFUNCTION("IF(A89&gt;0,IFERROR(MAX(FILTER('Барабан'!AJ:AJ,'Барабан'!V:V=A89)),""–""),"""")"),"")</f>
        <v/>
      </c>
    </row>
    <row r="90" ht="15.75" customHeight="1">
      <c r="A90" s="1" t="str">
        <f>'Справочник'!E85</f>
        <v/>
      </c>
      <c r="B90" s="2" t="str">
        <f>IF(A90&gt;0,SUMIF('Барабан'!K:K,A90,'Барабан'!I:I),"")</f>
        <v/>
      </c>
      <c r="C90" s="2" t="str">
        <f>IF(A90&gt;0,SUMIF('Барабан'!V:V,A90,'Барабан'!T:T),"")</f>
        <v/>
      </c>
      <c r="D90" s="2" t="str">
        <f>IF(A90&gt;0,SUMIF('Барабан'!K:K,A90,'Барабан'!AG:AG)+SUMIF('Барабан'!V:V,A90,'Барабан'!AG:AG),"")</f>
        <v/>
      </c>
      <c r="E90" s="2" t="str">
        <f t="shared" si="1"/>
        <v/>
      </c>
      <c r="F90" s="2" t="str">
        <f t="array" ref="F90">IFERROR(IF(E90=0,0,INDEX('Справочник'!G:G,MATCH(A90,'Справочник'!F:F,0))))</f>
        <v/>
      </c>
      <c r="G90" s="2" t="str">
        <f>IF(A90&gt;0,SUMIF('Барабан'!K:K,A90,'Барабан'!P:P),"")</f>
        <v/>
      </c>
      <c r="H90" s="2" t="str">
        <f>IF(A90&gt;0,SUMIF('Барабан'!V:V,A90,'Барабан'!AA:AA),"")</f>
        <v/>
      </c>
      <c r="I90" s="2" t="str">
        <f t="shared" si="4"/>
        <v/>
      </c>
      <c r="J90" s="9" t="str">
        <f t="shared" si="2"/>
        <v/>
      </c>
      <c r="K90" s="1" t="str">
        <f>IF(A90&gt;0,COUNTIF('Барабан'!K:K,A90),"")</f>
        <v/>
      </c>
      <c r="L90" s="1" t="str">
        <f>IF(A90&gt;0,COUNTIF('Барабан'!V:V,A90),"")</f>
        <v/>
      </c>
      <c r="M90" s="1" t="str">
        <f t="shared" si="3"/>
        <v/>
      </c>
      <c r="N90" s="1" t="str">
        <f>IFERROR(__xludf.DUMMYFUNCTION("IF(A90&gt;0,MIN(FILTER('Барабан'!AJ:AJ,'Барабан'!K:K=A90)),"""")"),"")</f>
        <v/>
      </c>
      <c r="O90" s="16" t="str">
        <f>IFERROR(__xludf.DUMMYFUNCTION("IF(A90&gt;0,IFERROR(MAX(FILTER('Барабан'!AJ:AJ,'Барабан'!V:V=A90)),""–""),"""")"),"")</f>
        <v/>
      </c>
    </row>
    <row r="91" ht="15.75" customHeight="1">
      <c r="A91" s="1" t="str">
        <f>'Справочник'!E86</f>
        <v/>
      </c>
      <c r="B91" s="2" t="str">
        <f>IF(A91&gt;0,SUMIF('Барабан'!K:K,A91,'Барабан'!I:I),"")</f>
        <v/>
      </c>
      <c r="C91" s="2" t="str">
        <f>IF(A91&gt;0,SUMIF('Барабан'!V:V,A91,'Барабан'!T:T),"")</f>
        <v/>
      </c>
      <c r="D91" s="2" t="str">
        <f>IF(A91&gt;0,SUMIF('Барабан'!K:K,A91,'Барабан'!AG:AG)+SUMIF('Барабан'!V:V,A91,'Барабан'!AG:AG),"")</f>
        <v/>
      </c>
      <c r="E91" s="2" t="str">
        <f t="shared" si="1"/>
        <v/>
      </c>
      <c r="F91" s="2" t="str">
        <f t="array" ref="F91">IFERROR(IF(E91=0,0,INDEX('Справочник'!G:G,MATCH(A91,'Справочник'!F:F,0))))</f>
        <v/>
      </c>
      <c r="G91" s="2" t="str">
        <f>IF(A91&gt;0,SUMIF('Барабан'!K:K,A91,'Барабан'!P:P),"")</f>
        <v/>
      </c>
      <c r="H91" s="2" t="str">
        <f>IF(A91&gt;0,SUMIF('Барабан'!V:V,A91,'Барабан'!AA:AA),"")</f>
        <v/>
      </c>
      <c r="I91" s="2" t="str">
        <f t="shared" si="4"/>
        <v/>
      </c>
      <c r="J91" s="9" t="str">
        <f t="shared" si="2"/>
        <v/>
      </c>
      <c r="K91" s="1" t="str">
        <f>IF(A91&gt;0,COUNTIF('Барабан'!K:K,A91),"")</f>
        <v/>
      </c>
      <c r="L91" s="1" t="str">
        <f>IF(A91&gt;0,COUNTIF('Барабан'!V:V,A91),"")</f>
        <v/>
      </c>
      <c r="M91" s="1" t="str">
        <f t="shared" si="3"/>
        <v/>
      </c>
      <c r="N91" s="1" t="str">
        <f>IFERROR(__xludf.DUMMYFUNCTION("IF(A91&gt;0,MIN(FILTER('Барабан'!AJ:AJ,'Барабан'!K:K=A91)),"""")"),"")</f>
        <v/>
      </c>
      <c r="O91" s="16" t="str">
        <f>IFERROR(__xludf.DUMMYFUNCTION("IF(A91&gt;0,IFERROR(MAX(FILTER('Барабан'!AJ:AJ,'Барабан'!V:V=A91)),""–""),"""")"),"")</f>
        <v/>
      </c>
    </row>
    <row r="92" ht="15.75" customHeight="1">
      <c r="A92" s="1" t="str">
        <f>'Справочник'!E87</f>
        <v/>
      </c>
      <c r="B92" s="2" t="str">
        <f>IF(A92&gt;0,SUMIF('Барабан'!K:K,A92,'Барабан'!I:I),"")</f>
        <v/>
      </c>
      <c r="C92" s="2" t="str">
        <f>IF(A92&gt;0,SUMIF('Барабан'!V:V,A92,'Барабан'!T:T),"")</f>
        <v/>
      </c>
      <c r="D92" s="2" t="str">
        <f>IF(A92&gt;0,SUMIF('Барабан'!K:K,A92,'Барабан'!AG:AG)+SUMIF('Барабан'!V:V,A92,'Барабан'!AG:AG),"")</f>
        <v/>
      </c>
      <c r="E92" s="2" t="str">
        <f t="shared" si="1"/>
        <v/>
      </c>
      <c r="F92" s="2" t="str">
        <f t="array" ref="F92">IFERROR(IF(E92=0,0,INDEX('Справочник'!G:G,MATCH(A92,'Справочник'!F:F,0))))</f>
        <v/>
      </c>
      <c r="G92" s="2" t="str">
        <f>IF(A92&gt;0,SUMIF('Барабан'!K:K,A92,'Барабан'!P:P),"")</f>
        <v/>
      </c>
      <c r="H92" s="2" t="str">
        <f>IF(A92&gt;0,SUMIF('Барабан'!V:V,A92,'Барабан'!AA:AA),"")</f>
        <v/>
      </c>
      <c r="I92" s="2" t="str">
        <f t="shared" si="4"/>
        <v/>
      </c>
      <c r="J92" s="9" t="str">
        <f t="shared" si="2"/>
        <v/>
      </c>
      <c r="K92" s="1" t="str">
        <f>IF(A92&gt;0,COUNTIF('Барабан'!K:K,A92),"")</f>
        <v/>
      </c>
      <c r="L92" s="1" t="str">
        <f>IF(A92&gt;0,COUNTIF('Барабан'!V:V,A92),"")</f>
        <v/>
      </c>
      <c r="M92" s="1" t="str">
        <f t="shared" si="3"/>
        <v/>
      </c>
      <c r="N92" s="1" t="str">
        <f>IFERROR(__xludf.DUMMYFUNCTION("IF(A92&gt;0,MIN(FILTER('Барабан'!AJ:AJ,'Барабан'!K:K=A92)),"""")"),"")</f>
        <v/>
      </c>
      <c r="O92" s="16" t="str">
        <f>IFERROR(__xludf.DUMMYFUNCTION("IF(A92&gt;0,IFERROR(MAX(FILTER('Барабан'!AJ:AJ,'Барабан'!V:V=A92)),""–""),"""")"),"")</f>
        <v/>
      </c>
    </row>
    <row r="93" ht="15.75" customHeight="1">
      <c r="A93" s="1" t="str">
        <f>'Справочник'!E88</f>
        <v/>
      </c>
      <c r="B93" s="2" t="str">
        <f>IF(A93&gt;0,SUMIF('Барабан'!K:K,A93,'Барабан'!I:I),"")</f>
        <v/>
      </c>
      <c r="C93" s="2" t="str">
        <f>IF(A93&gt;0,SUMIF('Барабан'!V:V,A93,'Барабан'!T:T),"")</f>
        <v/>
      </c>
      <c r="D93" s="2" t="str">
        <f>IF(A93&gt;0,SUMIF('Барабан'!K:K,A93,'Барабан'!AG:AG)+SUMIF('Барабан'!V:V,A93,'Барабан'!AG:AG),"")</f>
        <v/>
      </c>
      <c r="E93" s="2" t="str">
        <f t="shared" si="1"/>
        <v/>
      </c>
      <c r="F93" s="2" t="str">
        <f t="array" ref="F93">IFERROR(IF(E93=0,0,INDEX('Справочник'!G:G,MATCH(A93,'Справочник'!F:F,0))))</f>
        <v/>
      </c>
      <c r="G93" s="2" t="str">
        <f>IF(A93&gt;0,SUMIF('Барабан'!K:K,A93,'Барабан'!P:P),"")</f>
        <v/>
      </c>
      <c r="H93" s="2" t="str">
        <f>IF(A93&gt;0,SUMIF('Барабан'!V:V,A93,'Барабан'!AA:AA),"")</f>
        <v/>
      </c>
      <c r="I93" s="2" t="str">
        <f t="shared" si="4"/>
        <v/>
      </c>
      <c r="J93" s="9" t="str">
        <f t="shared" si="2"/>
        <v/>
      </c>
      <c r="K93" s="1" t="str">
        <f>IF(A93&gt;0,COUNTIF('Барабан'!K:K,A93),"")</f>
        <v/>
      </c>
      <c r="L93" s="1" t="str">
        <f>IF(A93&gt;0,COUNTIF('Барабан'!V:V,A93),"")</f>
        <v/>
      </c>
      <c r="M93" s="1" t="str">
        <f t="shared" si="3"/>
        <v/>
      </c>
      <c r="N93" s="1" t="str">
        <f>IFERROR(__xludf.DUMMYFUNCTION("IF(A93&gt;0,MIN(FILTER('Барабан'!AJ:AJ,'Барабан'!K:K=A93)),"""")"),"")</f>
        <v/>
      </c>
      <c r="O93" s="16" t="str">
        <f>IFERROR(__xludf.DUMMYFUNCTION("IF(A93&gt;0,IFERROR(MAX(FILTER('Барабан'!AJ:AJ,'Барабан'!V:V=A93)),""–""),"""")"),"")</f>
        <v/>
      </c>
    </row>
    <row r="94" ht="15.75" customHeight="1">
      <c r="A94" s="1" t="str">
        <f>'Справочник'!E89</f>
        <v/>
      </c>
      <c r="B94" s="2" t="str">
        <f>IF(A94&gt;0,SUMIF('Барабан'!K:K,A94,'Барабан'!I:I),"")</f>
        <v/>
      </c>
      <c r="C94" s="2" t="str">
        <f>IF(A94&gt;0,SUMIF('Барабан'!V:V,A94,'Барабан'!T:T),"")</f>
        <v/>
      </c>
      <c r="D94" s="2" t="str">
        <f>IF(A94&gt;0,SUMIF('Барабан'!K:K,A94,'Барабан'!AG:AG)+SUMIF('Барабан'!V:V,A94,'Барабан'!AG:AG),"")</f>
        <v/>
      </c>
      <c r="E94" s="2" t="str">
        <f t="shared" si="1"/>
        <v/>
      </c>
      <c r="F94" s="2" t="str">
        <f t="array" ref="F94">IFERROR(IF(E94=0,0,INDEX('Справочник'!G:G,MATCH(A94,'Справочник'!F:F,0))))</f>
        <v/>
      </c>
      <c r="G94" s="2" t="str">
        <f>IF(A94&gt;0,SUMIF('Барабан'!K:K,A94,'Барабан'!P:P),"")</f>
        <v/>
      </c>
      <c r="H94" s="2" t="str">
        <f>IF(A94&gt;0,SUMIF('Барабан'!V:V,A94,'Барабан'!AA:AA),"")</f>
        <v/>
      </c>
      <c r="I94" s="2" t="str">
        <f t="shared" si="4"/>
        <v/>
      </c>
      <c r="J94" s="9" t="str">
        <f t="shared" si="2"/>
        <v/>
      </c>
      <c r="K94" s="1" t="str">
        <f>IF(A94&gt;0,COUNTIF('Барабан'!K:K,A94),"")</f>
        <v/>
      </c>
      <c r="L94" s="1" t="str">
        <f>IF(A94&gt;0,COUNTIF('Барабан'!V:V,A94),"")</f>
        <v/>
      </c>
      <c r="M94" s="1" t="str">
        <f t="shared" si="3"/>
        <v/>
      </c>
      <c r="N94" s="1" t="str">
        <f>IFERROR(__xludf.DUMMYFUNCTION("IF(A94&gt;0,MIN(FILTER('Барабан'!AJ:AJ,'Барабан'!K:K=A94)),"""")"),"")</f>
        <v/>
      </c>
      <c r="O94" s="16" t="str">
        <f>IFERROR(__xludf.DUMMYFUNCTION("IF(A94&gt;0,IFERROR(MAX(FILTER('Барабан'!AJ:AJ,'Барабан'!V:V=A94)),""–""),"""")"),"")</f>
        <v/>
      </c>
    </row>
    <row r="95" ht="15.75" customHeight="1">
      <c r="A95" s="1" t="str">
        <f>'Справочник'!E90</f>
        <v/>
      </c>
      <c r="B95" s="2" t="str">
        <f>IF(A95&gt;0,SUMIF('Барабан'!K:K,A95,'Барабан'!I:I),"")</f>
        <v/>
      </c>
      <c r="C95" s="2" t="str">
        <f>IF(A95&gt;0,SUMIF('Барабан'!V:V,A95,'Барабан'!T:T),"")</f>
        <v/>
      </c>
      <c r="D95" s="2" t="str">
        <f>IF(A95&gt;0,SUMIF('Барабан'!K:K,A95,'Барабан'!AG:AG)+SUMIF('Барабан'!V:V,A95,'Барабан'!AG:AG),"")</f>
        <v/>
      </c>
      <c r="E95" s="2" t="str">
        <f t="shared" si="1"/>
        <v/>
      </c>
      <c r="F95" s="2" t="str">
        <f t="array" ref="F95">IFERROR(IF(E95=0,0,INDEX('Справочник'!G:G,MATCH(A95,'Справочник'!F:F,0))))</f>
        <v/>
      </c>
      <c r="G95" s="2" t="str">
        <f>IF(A95&gt;0,SUMIF('Барабан'!K:K,A95,'Барабан'!P:P),"")</f>
        <v/>
      </c>
      <c r="H95" s="2" t="str">
        <f>IF(A95&gt;0,SUMIF('Барабан'!V:V,A95,'Барабан'!AA:AA),"")</f>
        <v/>
      </c>
      <c r="I95" s="2" t="str">
        <f t="shared" si="4"/>
        <v/>
      </c>
      <c r="J95" s="9" t="str">
        <f t="shared" si="2"/>
        <v/>
      </c>
      <c r="K95" s="1" t="str">
        <f>IF(A95&gt;0,COUNTIF('Барабан'!K:K,A95),"")</f>
        <v/>
      </c>
      <c r="L95" s="1" t="str">
        <f>IF(A95&gt;0,COUNTIF('Барабан'!V:V,A95),"")</f>
        <v/>
      </c>
      <c r="M95" s="1" t="str">
        <f t="shared" si="3"/>
        <v/>
      </c>
      <c r="N95" s="1" t="str">
        <f>IFERROR(__xludf.DUMMYFUNCTION("IF(A95&gt;0,MIN(FILTER('Барабан'!AJ:AJ,'Барабан'!K:K=A95)),"""")"),"")</f>
        <v/>
      </c>
      <c r="O95" s="16" t="str">
        <f>IFERROR(__xludf.DUMMYFUNCTION("IF(A95&gt;0,IFERROR(MAX(FILTER('Барабан'!AJ:AJ,'Барабан'!V:V=A95)),""–""),"""")"),"")</f>
        <v/>
      </c>
    </row>
    <row r="96" ht="15.75" customHeight="1">
      <c r="A96" s="1" t="str">
        <f>'Справочник'!E91</f>
        <v/>
      </c>
      <c r="B96" s="2" t="str">
        <f>IF(A96&gt;0,SUMIF('Барабан'!K:K,A96,'Барабан'!I:I),"")</f>
        <v/>
      </c>
      <c r="C96" s="2" t="str">
        <f>IF(A96&gt;0,SUMIF('Барабан'!V:V,A96,'Барабан'!T:T),"")</f>
        <v/>
      </c>
      <c r="D96" s="2" t="str">
        <f>IF(A96&gt;0,SUMIF('Барабан'!K:K,A96,'Барабан'!AG:AG)+SUMIF('Барабан'!V:V,A96,'Барабан'!AG:AG),"")</f>
        <v/>
      </c>
      <c r="E96" s="2" t="str">
        <f t="shared" si="1"/>
        <v/>
      </c>
      <c r="F96" s="2" t="str">
        <f t="array" ref="F96">IFERROR(IF(E96=0,0,INDEX('Справочник'!G:G,MATCH(A96,'Справочник'!F:F,0))))</f>
        <v/>
      </c>
      <c r="G96" s="2" t="str">
        <f>IF(A96&gt;0,SUMIF('Барабан'!K:K,A96,'Барабан'!P:P),"")</f>
        <v/>
      </c>
      <c r="H96" s="2" t="str">
        <f>IF(A96&gt;0,SUMIF('Барабан'!V:V,A96,'Барабан'!AA:AA),"")</f>
        <v/>
      </c>
      <c r="I96" s="2" t="str">
        <f t="shared" si="4"/>
        <v/>
      </c>
      <c r="J96" s="9" t="str">
        <f t="shared" si="2"/>
        <v/>
      </c>
      <c r="K96" s="1" t="str">
        <f>IF(A96&gt;0,COUNTIF('Барабан'!K:K,A96),"")</f>
        <v/>
      </c>
      <c r="L96" s="1" t="str">
        <f>IF(A96&gt;0,COUNTIF('Барабан'!V:V,A96),"")</f>
        <v/>
      </c>
      <c r="M96" s="1" t="str">
        <f t="shared" si="3"/>
        <v/>
      </c>
      <c r="N96" s="1" t="str">
        <f>IFERROR(__xludf.DUMMYFUNCTION("IF(A96&gt;0,MIN(FILTER('Барабан'!AJ:AJ,'Барабан'!K:K=A96)),"""")"),"")</f>
        <v/>
      </c>
      <c r="O96" s="16" t="str">
        <f>IFERROR(__xludf.DUMMYFUNCTION("IF(A96&gt;0,IFERROR(MAX(FILTER('Барабан'!AJ:AJ,'Барабан'!V:V=A96)),""–""),"""")"),"")</f>
        <v/>
      </c>
    </row>
    <row r="97" ht="15.75" customHeight="1">
      <c r="A97" s="1" t="str">
        <f>'Справочник'!E92</f>
        <v/>
      </c>
      <c r="B97" s="2" t="str">
        <f>IF(A97&gt;0,SUMIF('Барабан'!K:K,A97,'Барабан'!I:I),"")</f>
        <v/>
      </c>
      <c r="C97" s="2" t="str">
        <f>IF(A97&gt;0,SUMIF('Барабан'!V:V,A97,'Барабан'!T:T),"")</f>
        <v/>
      </c>
      <c r="D97" s="2" t="str">
        <f>IF(A97&gt;0,SUMIF('Барабан'!K:K,A97,'Барабан'!AG:AG)+SUMIF('Барабан'!V:V,A97,'Барабан'!AG:AG),"")</f>
        <v/>
      </c>
      <c r="E97" s="2" t="str">
        <f t="shared" si="1"/>
        <v/>
      </c>
      <c r="F97" s="2" t="str">
        <f t="array" ref="F97">IFERROR(IF(E97=0,0,INDEX('Справочник'!G:G,MATCH(A97,'Справочник'!F:F,0))))</f>
        <v/>
      </c>
      <c r="G97" s="2" t="str">
        <f>IF(A97&gt;0,SUMIF('Барабан'!K:K,A97,'Барабан'!P:P),"")</f>
        <v/>
      </c>
      <c r="H97" s="2" t="str">
        <f>IF(A97&gt;0,SUMIF('Барабан'!V:V,A97,'Барабан'!AA:AA),"")</f>
        <v/>
      </c>
      <c r="I97" s="2" t="str">
        <f t="shared" si="4"/>
        <v/>
      </c>
      <c r="J97" s="9" t="str">
        <f t="shared" si="2"/>
        <v/>
      </c>
      <c r="K97" s="1" t="str">
        <f>IF(A97&gt;0,COUNTIF('Барабан'!K:K,A97),"")</f>
        <v/>
      </c>
      <c r="L97" s="1" t="str">
        <f>IF(A97&gt;0,COUNTIF('Барабан'!V:V,A97),"")</f>
        <v/>
      </c>
      <c r="M97" s="1" t="str">
        <f t="shared" si="3"/>
        <v/>
      </c>
      <c r="N97" s="1" t="str">
        <f>IFERROR(__xludf.DUMMYFUNCTION("IF(A97&gt;0,MIN(FILTER('Барабан'!AJ:AJ,'Барабан'!K:K=A97)),"""")"),"")</f>
        <v/>
      </c>
      <c r="O97" s="16" t="str">
        <f>IFERROR(__xludf.DUMMYFUNCTION("IF(A97&gt;0,IFERROR(MAX(FILTER('Барабан'!AJ:AJ,'Барабан'!V:V=A97)),""–""),"""")"),"")</f>
        <v/>
      </c>
    </row>
    <row r="98" ht="15.75" customHeight="1">
      <c r="A98" s="1" t="str">
        <f>'Справочник'!E93</f>
        <v/>
      </c>
      <c r="B98" s="2" t="str">
        <f>IF(A98&gt;0,SUMIF('Барабан'!K:K,A98,'Барабан'!I:I),"")</f>
        <v/>
      </c>
      <c r="C98" s="2" t="str">
        <f>IF(A98&gt;0,SUMIF('Барабан'!V:V,A98,'Барабан'!T:T),"")</f>
        <v/>
      </c>
      <c r="D98" s="2" t="str">
        <f>IF(A98&gt;0,SUMIF('Барабан'!K:K,A98,'Барабан'!AG:AG)+SUMIF('Барабан'!V:V,A98,'Барабан'!AG:AG),"")</f>
        <v/>
      </c>
      <c r="E98" s="2" t="str">
        <f t="shared" si="1"/>
        <v/>
      </c>
      <c r="F98" s="2" t="str">
        <f t="array" ref="F98">IFERROR(IF(E98=0,0,INDEX('Справочник'!G:G,MATCH(A98,'Справочник'!F:F,0))))</f>
        <v/>
      </c>
      <c r="G98" s="2" t="str">
        <f>IF(A98&gt;0,SUMIF('Барабан'!K:K,A98,'Барабан'!P:P),"")</f>
        <v/>
      </c>
      <c r="H98" s="2" t="str">
        <f>IF(A98&gt;0,SUMIF('Барабан'!V:V,A98,'Барабан'!AA:AA),"")</f>
        <v/>
      </c>
      <c r="I98" s="2" t="str">
        <f t="shared" si="4"/>
        <v/>
      </c>
      <c r="J98" s="9" t="str">
        <f t="shared" si="2"/>
        <v/>
      </c>
      <c r="K98" s="1" t="str">
        <f>IF(A98&gt;0,COUNTIF('Барабан'!K:K,A98),"")</f>
        <v/>
      </c>
      <c r="L98" s="1" t="str">
        <f>IF(A98&gt;0,COUNTIF('Барабан'!V:V,A98),"")</f>
        <v/>
      </c>
      <c r="M98" s="1" t="str">
        <f t="shared" si="3"/>
        <v/>
      </c>
      <c r="N98" s="1" t="str">
        <f>IFERROR(__xludf.DUMMYFUNCTION("IF(A98&gt;0,MIN(FILTER('Барабан'!AJ:AJ,'Барабан'!K:K=A98)),"""")"),"")</f>
        <v/>
      </c>
      <c r="O98" s="16" t="str">
        <f>IFERROR(__xludf.DUMMYFUNCTION("IF(A98&gt;0,IFERROR(MAX(FILTER('Барабан'!AJ:AJ,'Барабан'!V:V=A98)),""–""),"""")"),"")</f>
        <v/>
      </c>
    </row>
    <row r="99" ht="15.75" customHeight="1">
      <c r="A99" s="1" t="str">
        <f>'Справочник'!E94</f>
        <v/>
      </c>
      <c r="B99" s="2" t="str">
        <f>IF(A99&gt;0,SUMIF('Барабан'!K:K,A99,'Барабан'!I:I),"")</f>
        <v/>
      </c>
      <c r="C99" s="2" t="str">
        <f>IF(A99&gt;0,SUMIF('Барабан'!V:V,A99,'Барабан'!T:T),"")</f>
        <v/>
      </c>
      <c r="D99" s="2" t="str">
        <f>IF(A99&gt;0,SUMIF('Барабан'!K:K,A99,'Барабан'!AG:AG)+SUMIF('Барабан'!V:V,A99,'Барабан'!AG:AG),"")</f>
        <v/>
      </c>
      <c r="E99" s="2" t="str">
        <f t="shared" si="1"/>
        <v/>
      </c>
      <c r="F99" s="2" t="str">
        <f t="array" ref="F99">IFERROR(IF(E99=0,0,INDEX('Справочник'!G:G,MATCH(A99,'Справочник'!F:F,0))))</f>
        <v/>
      </c>
      <c r="G99" s="2" t="str">
        <f>IF(A99&gt;0,SUMIF('Барабан'!K:K,A99,'Барабан'!P:P),"")</f>
        <v/>
      </c>
      <c r="H99" s="2" t="str">
        <f>IF(A99&gt;0,SUMIF('Барабан'!V:V,A99,'Барабан'!AA:AA),"")</f>
        <v/>
      </c>
      <c r="I99" s="2" t="str">
        <f t="shared" si="4"/>
        <v/>
      </c>
      <c r="J99" s="9" t="str">
        <f t="shared" si="2"/>
        <v/>
      </c>
      <c r="K99" s="1" t="str">
        <f>IF(A99&gt;0,COUNTIF('Барабан'!K:K,A99),"")</f>
        <v/>
      </c>
      <c r="L99" s="1" t="str">
        <f>IF(A99&gt;0,COUNTIF('Барабан'!V:V,A99),"")</f>
        <v/>
      </c>
      <c r="M99" s="1" t="str">
        <f t="shared" si="3"/>
        <v/>
      </c>
      <c r="N99" s="1" t="str">
        <f>IFERROR(__xludf.DUMMYFUNCTION("IF(A99&gt;0,MIN(FILTER('Барабан'!AJ:AJ,'Барабан'!K:K=A99)),"""")"),"")</f>
        <v/>
      </c>
      <c r="O99" s="16" t="str">
        <f>IFERROR(__xludf.DUMMYFUNCTION("IF(A99&gt;0,IFERROR(MAX(FILTER('Барабан'!AJ:AJ,'Барабан'!V:V=A99)),""–""),"""")"),"")</f>
        <v/>
      </c>
    </row>
    <row r="100" ht="15.75" customHeight="1">
      <c r="A100" s="1" t="str">
        <f>'Справочник'!E95</f>
        <v/>
      </c>
      <c r="B100" s="2" t="str">
        <f>IF(A100&gt;0,SUMIF('Барабан'!K:K,A100,'Барабан'!I:I),"")</f>
        <v/>
      </c>
      <c r="C100" s="2" t="str">
        <f>IF(A100&gt;0,SUMIF('Барабан'!V:V,A100,'Барабан'!T:T),"")</f>
        <v/>
      </c>
      <c r="D100" s="2" t="str">
        <f>IF(A100&gt;0,SUMIF('Барабан'!K:K,A100,'Барабан'!AG:AG)+SUMIF('Барабан'!V:V,A100,'Барабан'!AG:AG),"")</f>
        <v/>
      </c>
      <c r="E100" s="2" t="str">
        <f t="shared" si="1"/>
        <v/>
      </c>
      <c r="F100" s="2" t="str">
        <f t="array" ref="F100">IFERROR(IF(E100=0,0,INDEX('Справочник'!G:G,MATCH(A100,'Справочник'!F:F,0))))</f>
        <v/>
      </c>
      <c r="G100" s="2" t="str">
        <f>IF(A100&gt;0,SUMIF('Барабан'!K:K,A100,'Барабан'!P:P),"")</f>
        <v/>
      </c>
      <c r="H100" s="2" t="str">
        <f>IF(A100&gt;0,SUMIF('Барабан'!V:V,A100,'Барабан'!AA:AA),"")</f>
        <v/>
      </c>
      <c r="I100" s="2" t="str">
        <f t="shared" si="4"/>
        <v/>
      </c>
      <c r="J100" s="9" t="str">
        <f t="shared" si="2"/>
        <v/>
      </c>
      <c r="K100" s="1" t="str">
        <f>IF(A100&gt;0,COUNTIF('Барабан'!K:K,A100),"")</f>
        <v/>
      </c>
      <c r="L100" s="1" t="str">
        <f>IF(A100&gt;0,COUNTIF('Барабан'!V:V,A100),"")</f>
        <v/>
      </c>
      <c r="M100" s="1" t="str">
        <f t="shared" si="3"/>
        <v/>
      </c>
      <c r="N100" s="1" t="str">
        <f>IFERROR(__xludf.DUMMYFUNCTION("IF(A100&gt;0,MIN(FILTER('Барабан'!AJ:AJ,'Барабан'!K:K=A100)),"""")"),"")</f>
        <v/>
      </c>
      <c r="O100" s="16" t="str">
        <f>IFERROR(__xludf.DUMMYFUNCTION("IF(A100&gt;0,IFERROR(MAX(FILTER('Барабан'!AJ:AJ,'Барабан'!V:V=A100)),""–""),"""")"),"")</f>
        <v/>
      </c>
    </row>
    <row r="101" ht="15.75" customHeight="1">
      <c r="A101" s="1" t="str">
        <f>'Справочник'!E96</f>
        <v/>
      </c>
      <c r="B101" s="2" t="str">
        <f>IF(A101&gt;0,SUMIF('Барабан'!K:K,A101,'Барабан'!I:I),"")</f>
        <v/>
      </c>
      <c r="C101" s="2" t="str">
        <f>IF(A101&gt;0,SUMIF('Барабан'!V:V,A101,'Барабан'!T:T),"")</f>
        <v/>
      </c>
      <c r="D101" s="2" t="str">
        <f>IF(A101&gt;0,SUMIF('Барабан'!K:K,A101,'Барабан'!AG:AG)+SUMIF('Барабан'!V:V,A101,'Барабан'!AG:AG),"")</f>
        <v/>
      </c>
      <c r="E101" s="2" t="str">
        <f t="shared" si="1"/>
        <v/>
      </c>
      <c r="F101" s="2" t="str">
        <f t="array" ref="F101">IFERROR(IF(E101=0,0,INDEX('Справочник'!G:G,MATCH(A101,'Справочник'!F:F,0))))</f>
        <v/>
      </c>
      <c r="G101" s="2" t="str">
        <f>IF(A101&gt;0,SUMIF('Барабан'!K:K,A101,'Барабан'!P:P),"")</f>
        <v/>
      </c>
      <c r="H101" s="2" t="str">
        <f>IF(A101&gt;0,SUMIF('Барабан'!V:V,A101,'Барабан'!AA:AA),"")</f>
        <v/>
      </c>
      <c r="I101" s="2" t="str">
        <f t="shared" si="4"/>
        <v/>
      </c>
      <c r="J101" s="9" t="str">
        <f t="shared" si="2"/>
        <v/>
      </c>
      <c r="K101" s="1" t="str">
        <f>IF(A101&gt;0,COUNTIF('Барабан'!K:K,A101),"")</f>
        <v/>
      </c>
      <c r="L101" s="1" t="str">
        <f>IF(A101&gt;0,COUNTIF('Барабан'!V:V,A101),"")</f>
        <v/>
      </c>
      <c r="M101" s="1" t="str">
        <f t="shared" si="3"/>
        <v/>
      </c>
      <c r="N101" s="1" t="str">
        <f>IFERROR(__xludf.DUMMYFUNCTION("IF(A101&gt;0,MIN(FILTER('Барабан'!AJ:AJ,'Барабан'!K:K=A101)),"""")"),"")</f>
        <v/>
      </c>
      <c r="O101" s="16" t="str">
        <f>IFERROR(__xludf.DUMMYFUNCTION("IF(A101&gt;0,IFERROR(MAX(FILTER('Барабан'!AJ:AJ,'Барабан'!V:V=A101)),""–""),"""")"),"")</f>
        <v/>
      </c>
    </row>
    <row r="102" ht="15.75" customHeight="1">
      <c r="A102" s="1" t="str">
        <f>'Справочник'!E97</f>
        <v/>
      </c>
      <c r="B102" s="2" t="str">
        <f>IF(A102&gt;0,SUMIF('Барабан'!K:K,A102,'Барабан'!I:I),"")</f>
        <v/>
      </c>
      <c r="C102" s="2" t="str">
        <f>IF(A102&gt;0,SUMIF('Барабан'!V:V,A102,'Барабан'!T:T),"")</f>
        <v/>
      </c>
      <c r="D102" s="2" t="str">
        <f>IF(A102&gt;0,SUMIF('Барабан'!K:K,A102,'Барабан'!AG:AG)+SUMIF('Барабан'!V:V,A102,'Барабан'!AG:AG),"")</f>
        <v/>
      </c>
      <c r="E102" s="2" t="str">
        <f t="shared" si="1"/>
        <v/>
      </c>
      <c r="F102" s="2" t="str">
        <f t="array" ref="F102">IFERROR(IF(E102=0,0,INDEX('Справочник'!G:G,MATCH(A102,'Справочник'!F:F,0))))</f>
        <v/>
      </c>
      <c r="G102" s="2" t="str">
        <f>IF(A102&gt;0,SUMIF('Барабан'!K:K,A102,'Барабан'!P:P),"")</f>
        <v/>
      </c>
      <c r="H102" s="2" t="str">
        <f>IF(A102&gt;0,SUMIF('Барабан'!V:V,A102,'Барабан'!AA:AA),"")</f>
        <v/>
      </c>
      <c r="I102" s="2" t="str">
        <f t="shared" si="4"/>
        <v/>
      </c>
      <c r="J102" s="9" t="str">
        <f t="shared" si="2"/>
        <v/>
      </c>
      <c r="K102" s="1" t="str">
        <f>IF(A102&gt;0,COUNTIF('Барабан'!K:K,A102),"")</f>
        <v/>
      </c>
      <c r="L102" s="1" t="str">
        <f>IF(A102&gt;0,COUNTIF('Барабан'!V:V,A102),"")</f>
        <v/>
      </c>
      <c r="M102" s="1" t="str">
        <f t="shared" si="3"/>
        <v/>
      </c>
      <c r="N102" s="1" t="str">
        <f>IFERROR(__xludf.DUMMYFUNCTION("IF(A102&gt;0,MIN(FILTER('Барабан'!AJ:AJ,'Барабан'!K:K=A102)),"""")"),"")</f>
        <v/>
      </c>
      <c r="O102" s="16" t="str">
        <f>IFERROR(__xludf.DUMMYFUNCTION("IF(A102&gt;0,IFERROR(MAX(FILTER('Барабан'!AJ:AJ,'Барабан'!V:V=A102)),""–""),"""")"),"")</f>
        <v/>
      </c>
    </row>
    <row r="103" ht="15.75" customHeight="1">
      <c r="A103" s="1" t="str">
        <f>'Справочник'!E98</f>
        <v/>
      </c>
      <c r="B103" s="2" t="str">
        <f>IF(A103&gt;0,SUMIF('Барабан'!K:K,A103,'Барабан'!I:I),"")</f>
        <v/>
      </c>
      <c r="C103" s="2" t="str">
        <f>IF(A103&gt;0,SUMIF('Барабан'!V:V,A103,'Барабан'!T:T),"")</f>
        <v/>
      </c>
      <c r="D103" s="2" t="str">
        <f>IF(A103&gt;0,SUMIF('Барабан'!K:K,A103,'Барабан'!AG:AG)+SUMIF('Барабан'!V:V,A103,'Барабан'!AG:AG),"")</f>
        <v/>
      </c>
      <c r="E103" s="2" t="str">
        <f t="shared" si="1"/>
        <v/>
      </c>
      <c r="F103" s="2" t="str">
        <f t="array" ref="F103">IFERROR(IF(E103=0,0,INDEX('Справочник'!G:G,MATCH(A103,'Справочник'!F:F,0))))</f>
        <v/>
      </c>
      <c r="G103" s="2" t="str">
        <f>IF(A103&gt;0,SUMIF('Барабан'!K:K,A103,'Барабан'!P:P),"")</f>
        <v/>
      </c>
      <c r="H103" s="2" t="str">
        <f>IF(A103&gt;0,SUMIF('Барабан'!V:V,A103,'Барабан'!AA:AA),"")</f>
        <v/>
      </c>
      <c r="I103" s="2" t="str">
        <f t="shared" si="4"/>
        <v/>
      </c>
      <c r="J103" s="9" t="str">
        <f t="shared" si="2"/>
        <v/>
      </c>
      <c r="K103" s="1" t="str">
        <f>IF(A103&gt;0,COUNTIF('Барабан'!K:K,A103),"")</f>
        <v/>
      </c>
      <c r="L103" s="1" t="str">
        <f>IF(A103&gt;0,COUNTIF('Барабан'!V:V,A103),"")</f>
        <v/>
      </c>
      <c r="M103" s="1" t="str">
        <f t="shared" si="3"/>
        <v/>
      </c>
      <c r="N103" s="1" t="str">
        <f>IFERROR(__xludf.DUMMYFUNCTION("IF(A103&gt;0,MIN(FILTER('Барабан'!AJ:AJ,'Барабан'!K:K=A103)),"""")"),"")</f>
        <v/>
      </c>
      <c r="O103" s="16" t="str">
        <f>IFERROR(__xludf.DUMMYFUNCTION("IF(A103&gt;0,IFERROR(MAX(FILTER('Барабан'!AJ:AJ,'Барабан'!V:V=A103)),""–""),"""")"),"")</f>
        <v/>
      </c>
    </row>
    <row r="104" ht="15.75" customHeight="1">
      <c r="A104" s="1" t="str">
        <f>'Справочник'!E99</f>
        <v/>
      </c>
      <c r="B104" s="2" t="str">
        <f>IF(A104&gt;0,SUMIF('Барабан'!K:K,A104,'Барабан'!I:I),"")</f>
        <v/>
      </c>
      <c r="C104" s="2" t="str">
        <f>IF(A104&gt;0,SUMIF('Барабан'!V:V,A104,'Барабан'!T:T),"")</f>
        <v/>
      </c>
      <c r="D104" s="2" t="str">
        <f>IF(A104&gt;0,SUMIF('Барабан'!K:K,A104,'Барабан'!AG:AG)+SUMIF('Барабан'!V:V,A104,'Барабан'!AG:AG),"")</f>
        <v/>
      </c>
      <c r="E104" s="2" t="str">
        <f t="shared" si="1"/>
        <v/>
      </c>
      <c r="F104" s="2" t="str">
        <f t="array" ref="F104">IFERROR(IF(E104=0,0,INDEX('Справочник'!G:G,MATCH(A104,'Справочник'!F:F,0))))</f>
        <v/>
      </c>
      <c r="G104" s="2" t="str">
        <f>IF(A104&gt;0,SUMIF('Барабан'!K:K,A104,'Барабан'!P:P),"")</f>
        <v/>
      </c>
      <c r="H104" s="2" t="str">
        <f>IF(A104&gt;0,SUMIF('Барабан'!V:V,A104,'Барабан'!AA:AA),"")</f>
        <v/>
      </c>
      <c r="I104" s="2" t="str">
        <f t="shared" si="4"/>
        <v/>
      </c>
      <c r="J104" s="9" t="str">
        <f t="shared" si="2"/>
        <v/>
      </c>
      <c r="K104" s="1" t="str">
        <f>IF(A104&gt;0,COUNTIF('Барабан'!K:K,A104),"")</f>
        <v/>
      </c>
      <c r="L104" s="1" t="str">
        <f>IF(A104&gt;0,COUNTIF('Барабан'!V:V,A104),"")</f>
        <v/>
      </c>
      <c r="M104" s="1" t="str">
        <f t="shared" si="3"/>
        <v/>
      </c>
      <c r="N104" s="1" t="str">
        <f>IFERROR(__xludf.DUMMYFUNCTION("IF(A104&gt;0,MIN(FILTER('Барабан'!AJ:AJ,'Барабан'!K:K=A104)),"""")"),"")</f>
        <v/>
      </c>
      <c r="O104" s="16" t="str">
        <f>IFERROR(__xludf.DUMMYFUNCTION("IF(A104&gt;0,IFERROR(MAX(FILTER('Барабан'!AJ:AJ,'Барабан'!V:V=A104)),""–""),"""")"),"")</f>
        <v/>
      </c>
    </row>
    <row r="105" ht="15.75" customHeight="1">
      <c r="A105" s="1" t="str">
        <f>'Справочник'!E100</f>
        <v/>
      </c>
      <c r="B105" s="2" t="str">
        <f>IF(A105&gt;0,SUMIF('Барабан'!K:K,A105,'Барабан'!I:I),"")</f>
        <v/>
      </c>
      <c r="C105" s="2" t="str">
        <f>IF(A105&gt;0,SUMIF('Барабан'!V:V,A105,'Барабан'!T:T),"")</f>
        <v/>
      </c>
      <c r="D105" s="2" t="str">
        <f>IF(A105&gt;0,SUMIF('Барабан'!K:K,A105,'Барабан'!AG:AG)+SUMIF('Барабан'!V:V,A105,'Барабан'!AG:AG),"")</f>
        <v/>
      </c>
      <c r="E105" s="2" t="str">
        <f t="shared" si="1"/>
        <v/>
      </c>
      <c r="F105" s="2" t="str">
        <f t="array" ref="F105">IFERROR(IF(E105=0,0,INDEX('Справочник'!G:G,MATCH(A105,'Справочник'!F:F,0))))</f>
        <v/>
      </c>
      <c r="G105" s="2" t="str">
        <f>IF(A105&gt;0,SUMIF('Барабан'!K:K,A105,'Барабан'!P:P),"")</f>
        <v/>
      </c>
      <c r="H105" s="2" t="str">
        <f>IF(A105&gt;0,SUMIF('Барабан'!V:V,A105,'Барабан'!AA:AA),"")</f>
        <v/>
      </c>
      <c r="I105" s="2" t="str">
        <f t="shared" si="4"/>
        <v/>
      </c>
      <c r="J105" s="9" t="str">
        <f t="shared" si="2"/>
        <v/>
      </c>
      <c r="K105" s="1" t="str">
        <f>IF(A105&gt;0,COUNTIF('Барабан'!K:K,A105),"")</f>
        <v/>
      </c>
      <c r="L105" s="1" t="str">
        <f>IF(A105&gt;0,COUNTIF('Барабан'!V:V,A105),"")</f>
        <v/>
      </c>
      <c r="M105" s="1" t="str">
        <f t="shared" si="3"/>
        <v/>
      </c>
      <c r="N105" s="1" t="str">
        <f>IFERROR(__xludf.DUMMYFUNCTION("IF(A105&gt;0,MIN(FILTER('Барабан'!AJ:AJ,'Барабан'!K:K=A105)),"""")"),"")</f>
        <v/>
      </c>
      <c r="O105" s="16" t="str">
        <f>IFERROR(__xludf.DUMMYFUNCTION("IF(A105&gt;0,IFERROR(MAX(FILTER('Барабан'!AJ:AJ,'Барабан'!V:V=A105)),""–""),"""")"),"")</f>
        <v/>
      </c>
    </row>
    <row r="106" ht="15.75" customHeight="1">
      <c r="A106" s="1" t="str">
        <f>'Справочник'!E101</f>
        <v/>
      </c>
      <c r="B106" s="2" t="str">
        <f>IF(A106&gt;0,SUMIF('Барабан'!K:K,A106,'Барабан'!I:I),"")</f>
        <v/>
      </c>
      <c r="C106" s="2" t="str">
        <f>IF(A106&gt;0,SUMIF('Барабан'!V:V,A106,'Барабан'!T:T),"")</f>
        <v/>
      </c>
      <c r="D106" s="2" t="str">
        <f>IF(A106&gt;0,SUMIF('Барабан'!K:K,A106,'Барабан'!AG:AG)+SUMIF('Барабан'!V:V,A106,'Барабан'!AG:AG),"")</f>
        <v/>
      </c>
      <c r="E106" s="2" t="str">
        <f t="shared" si="1"/>
        <v/>
      </c>
      <c r="F106" s="2" t="str">
        <f t="array" ref="F106">IFERROR(IF(E106=0,0,INDEX('Справочник'!G:G,MATCH(A106,'Справочник'!F:F,0))))</f>
        <v/>
      </c>
      <c r="G106" s="2" t="str">
        <f>IF(A106&gt;0,SUMIF('Барабан'!K:K,A106,'Барабан'!P:P),"")</f>
        <v/>
      </c>
      <c r="H106" s="2" t="str">
        <f>IF(A106&gt;0,SUMIF('Барабан'!V:V,A106,'Барабан'!AA:AA),"")</f>
        <v/>
      </c>
      <c r="I106" s="2" t="str">
        <f t="shared" si="4"/>
        <v/>
      </c>
      <c r="J106" s="9" t="str">
        <f t="shared" si="2"/>
        <v/>
      </c>
      <c r="K106" s="1" t="str">
        <f>IF(A106&gt;0,COUNTIF('Барабан'!K:K,A106),"")</f>
        <v/>
      </c>
      <c r="L106" s="1" t="str">
        <f>IF(A106&gt;0,COUNTIF('Барабан'!V:V,A106),"")</f>
        <v/>
      </c>
      <c r="M106" s="1" t="str">
        <f t="shared" si="3"/>
        <v/>
      </c>
      <c r="N106" s="1" t="str">
        <f>IFERROR(__xludf.DUMMYFUNCTION("IF(A106&gt;0,MIN(FILTER('Барабан'!AJ:AJ,'Барабан'!K:K=A106)),"""")"),"")</f>
        <v/>
      </c>
      <c r="O106" s="16" t="str">
        <f>IFERROR(__xludf.DUMMYFUNCTION("IF(A106&gt;0,IFERROR(MAX(FILTER('Барабан'!AJ:AJ,'Барабан'!V:V=A106)),""–""),"""")"),"")</f>
        <v/>
      </c>
    </row>
    <row r="107" ht="15.75" customHeight="1">
      <c r="A107" s="1" t="str">
        <f>'Справочник'!E102</f>
        <v/>
      </c>
      <c r="B107" s="2" t="str">
        <f>IF(A107&gt;0,SUMIF('Барабан'!K:K,A107,'Барабан'!I:I),"")</f>
        <v/>
      </c>
      <c r="C107" s="2" t="str">
        <f>IF(A107&gt;0,SUMIF('Барабан'!V:V,A107,'Барабан'!T:T),"")</f>
        <v/>
      </c>
      <c r="D107" s="2" t="str">
        <f>IF(A107&gt;0,SUMIF('Барабан'!K:K,A107,'Барабан'!AG:AG)+SUMIF('Барабан'!V:V,A107,'Барабан'!AG:AG),"")</f>
        <v/>
      </c>
      <c r="E107" s="2" t="str">
        <f t="shared" si="1"/>
        <v/>
      </c>
      <c r="F107" s="2" t="str">
        <f t="array" ref="F107">IFERROR(IF(E107=0,0,INDEX('Справочник'!G:G,MATCH(A107,'Справочник'!F:F,0))))</f>
        <v/>
      </c>
      <c r="G107" s="2" t="str">
        <f>IF(A107&gt;0,SUMIF('Барабан'!K:K,A107,'Барабан'!P:P),"")</f>
        <v/>
      </c>
      <c r="H107" s="2" t="str">
        <f>IF(A107&gt;0,SUMIF('Барабан'!V:V,A107,'Барабан'!AA:AA),"")</f>
        <v/>
      </c>
      <c r="I107" s="2" t="str">
        <f t="shared" si="4"/>
        <v/>
      </c>
      <c r="J107" s="9" t="str">
        <f t="shared" si="2"/>
        <v/>
      </c>
      <c r="K107" s="1" t="str">
        <f>IF(A107&gt;0,COUNTIF('Барабан'!K:K,A107),"")</f>
        <v/>
      </c>
      <c r="L107" s="1" t="str">
        <f>IF(A107&gt;0,COUNTIF('Барабан'!V:V,A107),"")</f>
        <v/>
      </c>
      <c r="M107" s="1" t="str">
        <f t="shared" si="3"/>
        <v/>
      </c>
      <c r="N107" s="1" t="str">
        <f>IFERROR(__xludf.DUMMYFUNCTION("IF(A107&gt;0,MIN(FILTER('Барабан'!AJ:AJ,'Барабан'!K:K=A107)),"""")"),"")</f>
        <v/>
      </c>
      <c r="O107" s="16" t="str">
        <f>IFERROR(__xludf.DUMMYFUNCTION("IF(A107&gt;0,IFERROR(MAX(FILTER('Барабан'!AJ:AJ,'Барабан'!V:V=A107)),""–""),"""")"),"")</f>
        <v/>
      </c>
    </row>
    <row r="108" ht="15.75" customHeight="1">
      <c r="A108" s="1" t="str">
        <f>'Справочник'!E103</f>
        <v/>
      </c>
      <c r="B108" s="2" t="str">
        <f>IF(A108&gt;0,SUMIF('Барабан'!K:K,A108,'Барабан'!I:I),"")</f>
        <v/>
      </c>
      <c r="C108" s="2" t="str">
        <f>IF(A108&gt;0,SUMIF('Барабан'!V:V,A108,'Барабан'!T:T),"")</f>
        <v/>
      </c>
      <c r="D108" s="2" t="str">
        <f>IF(A108&gt;0,SUMIF('Барабан'!K:K,A108,'Барабан'!AG:AG)+SUMIF('Барабан'!V:V,A108,'Барабан'!AG:AG),"")</f>
        <v/>
      </c>
      <c r="E108" s="2" t="str">
        <f t="shared" si="1"/>
        <v/>
      </c>
      <c r="F108" s="2" t="str">
        <f t="array" ref="F108">IFERROR(IF(E108=0,0,INDEX('Справочник'!G:G,MATCH(A108,'Справочник'!F:F,0))))</f>
        <v/>
      </c>
      <c r="G108" s="2" t="str">
        <f>IF(A108&gt;0,SUMIF('Барабан'!K:K,A108,'Барабан'!P:P),"")</f>
        <v/>
      </c>
      <c r="H108" s="2" t="str">
        <f>IF(A108&gt;0,SUMIF('Барабан'!V:V,A108,'Барабан'!AA:AA),"")</f>
        <v/>
      </c>
      <c r="I108" s="2" t="str">
        <f t="shared" si="4"/>
        <v/>
      </c>
      <c r="J108" s="9" t="str">
        <f t="shared" si="2"/>
        <v/>
      </c>
      <c r="K108" s="1" t="str">
        <f>IF(A108&gt;0,COUNTIF('Барабан'!K:K,A108),"")</f>
        <v/>
      </c>
      <c r="L108" s="1" t="str">
        <f>IF(A108&gt;0,COUNTIF('Барабан'!V:V,A108),"")</f>
        <v/>
      </c>
      <c r="M108" s="1" t="str">
        <f t="shared" si="3"/>
        <v/>
      </c>
      <c r="N108" s="1" t="str">
        <f>IFERROR(__xludf.DUMMYFUNCTION("IF(A108&gt;0,MIN(FILTER('Барабан'!AJ:AJ,'Барабан'!K:K=A108)),"""")"),"")</f>
        <v/>
      </c>
      <c r="O108" s="16" t="str">
        <f>IFERROR(__xludf.DUMMYFUNCTION("IF(A108&gt;0,IFERROR(MAX(FILTER('Барабан'!AJ:AJ,'Барабан'!V:V=A108)),""–""),"""")"),"")</f>
        <v/>
      </c>
    </row>
    <row r="109" ht="15.75" customHeight="1">
      <c r="A109" s="1" t="str">
        <f>'Справочник'!E104</f>
        <v/>
      </c>
      <c r="B109" s="2" t="str">
        <f>IF(A109&gt;0,SUMIF('Барабан'!K:K,A109,'Барабан'!I:I),"")</f>
        <v/>
      </c>
      <c r="C109" s="2" t="str">
        <f>IF(A109&gt;0,SUMIF('Барабан'!V:V,A109,'Барабан'!T:T),"")</f>
        <v/>
      </c>
      <c r="D109" s="2" t="str">
        <f>IF(A109&gt;0,SUMIF('Барабан'!K:K,A109,'Барабан'!AG:AG)+SUMIF('Барабан'!V:V,A109,'Барабан'!AG:AG),"")</f>
        <v/>
      </c>
      <c r="E109" s="2" t="str">
        <f t="shared" si="1"/>
        <v/>
      </c>
      <c r="F109" s="2" t="str">
        <f t="array" ref="F109">IFERROR(IF(E109=0,0,INDEX('Справочник'!G:G,MATCH(A109,'Справочник'!F:F,0))))</f>
        <v/>
      </c>
      <c r="G109" s="2" t="str">
        <f>IF(A109&gt;0,SUMIF('Барабан'!K:K,A109,'Барабан'!P:P),"")</f>
        <v/>
      </c>
      <c r="H109" s="2" t="str">
        <f>IF(A109&gt;0,SUMIF('Барабан'!V:V,A109,'Барабан'!AA:AA),"")</f>
        <v/>
      </c>
      <c r="I109" s="2" t="str">
        <f t="shared" si="4"/>
        <v/>
      </c>
      <c r="J109" s="9" t="str">
        <f t="shared" si="2"/>
        <v/>
      </c>
      <c r="K109" s="1" t="str">
        <f>IF(A109&gt;0,COUNTIF('Барабан'!K:K,A109),"")</f>
        <v/>
      </c>
      <c r="L109" s="1" t="str">
        <f>IF(A109&gt;0,COUNTIF('Барабан'!V:V,A109),"")</f>
        <v/>
      </c>
      <c r="M109" s="1" t="str">
        <f t="shared" si="3"/>
        <v/>
      </c>
      <c r="N109" s="1" t="str">
        <f>IFERROR(__xludf.DUMMYFUNCTION("IF(A109&gt;0,MIN(FILTER('Барабан'!AJ:AJ,'Барабан'!K:K=A109)),"""")"),"")</f>
        <v/>
      </c>
      <c r="O109" s="16" t="str">
        <f>IFERROR(__xludf.DUMMYFUNCTION("IF(A109&gt;0,IFERROR(MAX(FILTER('Барабан'!AJ:AJ,'Барабан'!V:V=A109)),""–""),"""")"),"")</f>
        <v/>
      </c>
    </row>
    <row r="110" ht="15.75" customHeight="1">
      <c r="A110" s="1" t="str">
        <f>'Справочник'!E105</f>
        <v/>
      </c>
      <c r="B110" s="2" t="str">
        <f>IF(A110&gt;0,SUMIF('Барабан'!K:K,A110,'Барабан'!I:I),"")</f>
        <v/>
      </c>
      <c r="C110" s="2" t="str">
        <f>IF(A110&gt;0,SUMIF('Барабан'!V:V,A110,'Барабан'!T:T),"")</f>
        <v/>
      </c>
      <c r="D110" s="2" t="str">
        <f>IF(A110&gt;0,SUMIF('Барабан'!K:K,A110,'Барабан'!AG:AG)+SUMIF('Барабан'!V:V,A110,'Барабан'!AG:AG),"")</f>
        <v/>
      </c>
      <c r="E110" s="2" t="str">
        <f t="shared" si="1"/>
        <v/>
      </c>
      <c r="F110" s="2" t="str">
        <f t="array" ref="F110">IFERROR(IF(E110=0,0,INDEX('Справочник'!G:G,MATCH(A110,'Справочник'!F:F,0))))</f>
        <v/>
      </c>
      <c r="G110" s="2" t="str">
        <f>IF(A110&gt;0,SUMIF('Барабан'!K:K,A110,'Барабан'!P:P),"")</f>
        <v/>
      </c>
      <c r="H110" s="2" t="str">
        <f>IF(A110&gt;0,SUMIF('Барабан'!V:V,A110,'Барабан'!AA:AA),"")</f>
        <v/>
      </c>
      <c r="I110" s="2" t="str">
        <f t="shared" si="4"/>
        <v/>
      </c>
      <c r="J110" s="9" t="str">
        <f t="shared" si="2"/>
        <v/>
      </c>
      <c r="K110" s="1" t="str">
        <f>IF(A110&gt;0,COUNTIF('Барабан'!K:K,A110),"")</f>
        <v/>
      </c>
      <c r="L110" s="1" t="str">
        <f>IF(A110&gt;0,COUNTIF('Барабан'!V:V,A110),"")</f>
        <v/>
      </c>
      <c r="M110" s="1" t="str">
        <f t="shared" si="3"/>
        <v/>
      </c>
      <c r="N110" s="1" t="str">
        <f>IFERROR(__xludf.DUMMYFUNCTION("IF(A110&gt;0,MIN(FILTER('Барабан'!AJ:AJ,'Барабан'!K:K=A110)),"""")"),"")</f>
        <v/>
      </c>
      <c r="O110" s="16" t="str">
        <f>IFERROR(__xludf.DUMMYFUNCTION("IF(A110&gt;0,IFERROR(MAX(FILTER('Барабан'!AJ:AJ,'Барабан'!V:V=A110)),""–""),"""")"),"")</f>
        <v/>
      </c>
    </row>
    <row r="111" ht="15.75" customHeight="1">
      <c r="A111" s="1" t="str">
        <f>'Справочник'!E106</f>
        <v/>
      </c>
      <c r="B111" s="2" t="str">
        <f>IF(A111&gt;0,SUMIF('Барабан'!K:K,A111,'Барабан'!I:I),"")</f>
        <v/>
      </c>
      <c r="C111" s="2" t="str">
        <f>IF(A111&gt;0,SUMIF('Барабан'!V:V,A111,'Барабан'!T:T),"")</f>
        <v/>
      </c>
      <c r="D111" s="2" t="str">
        <f>IF(A111&gt;0,SUMIF('Барабан'!K:K,A111,'Барабан'!AG:AG)+SUMIF('Барабан'!V:V,A111,'Барабан'!AG:AG),"")</f>
        <v/>
      </c>
      <c r="E111" s="2" t="str">
        <f t="shared" si="1"/>
        <v/>
      </c>
      <c r="F111" s="2" t="str">
        <f t="array" ref="F111">IFERROR(IF(E111=0,0,INDEX('Справочник'!G:G,MATCH(A111,'Справочник'!F:F,0))))</f>
        <v/>
      </c>
      <c r="G111" s="2" t="str">
        <f>IF(A111&gt;0,SUMIF('Барабан'!K:K,A111,'Барабан'!P:P),"")</f>
        <v/>
      </c>
      <c r="H111" s="2" t="str">
        <f>IF(A111&gt;0,SUMIF('Барабан'!V:V,A111,'Барабан'!AA:AA),"")</f>
        <v/>
      </c>
      <c r="I111" s="2" t="str">
        <f t="shared" si="4"/>
        <v/>
      </c>
      <c r="J111" s="9" t="str">
        <f t="shared" si="2"/>
        <v/>
      </c>
      <c r="K111" s="1" t="str">
        <f>IF(A111&gt;0,COUNTIF('Барабан'!K:K,A111),"")</f>
        <v/>
      </c>
      <c r="L111" s="1" t="str">
        <f>IF(A111&gt;0,COUNTIF('Барабан'!V:V,A111),"")</f>
        <v/>
      </c>
      <c r="M111" s="1" t="str">
        <f t="shared" si="3"/>
        <v/>
      </c>
      <c r="N111" s="1" t="str">
        <f>IFERROR(__xludf.DUMMYFUNCTION("IF(A111&gt;0,MIN(FILTER('Барабан'!AJ:AJ,'Барабан'!K:K=A111)),"""")"),"")</f>
        <v/>
      </c>
      <c r="O111" s="16" t="str">
        <f>IFERROR(__xludf.DUMMYFUNCTION("IF(A111&gt;0,IFERROR(MAX(FILTER('Барабан'!AJ:AJ,'Барабан'!V:V=A111)),""–""),"""")"),"")</f>
        <v/>
      </c>
    </row>
    <row r="112" ht="15.75" customHeight="1">
      <c r="A112" s="1" t="str">
        <f>'Справочник'!E107</f>
        <v/>
      </c>
      <c r="B112" s="2" t="str">
        <f>IF(A112&gt;0,SUMIF('Барабан'!K:K,A112,'Барабан'!I:I),"")</f>
        <v/>
      </c>
      <c r="C112" s="2" t="str">
        <f>IF(A112&gt;0,SUMIF('Барабан'!V:V,A112,'Барабан'!T:T),"")</f>
        <v/>
      </c>
      <c r="D112" s="2" t="str">
        <f>IF(A112&gt;0,SUMIF('Барабан'!K:K,A112,'Барабан'!AG:AG)+SUMIF('Барабан'!V:V,A112,'Барабан'!AG:AG),"")</f>
        <v/>
      </c>
      <c r="E112" s="2" t="str">
        <f t="shared" si="1"/>
        <v/>
      </c>
      <c r="F112" s="2" t="str">
        <f t="array" ref="F112">IFERROR(IF(E112=0,0,INDEX('Справочник'!G:G,MATCH(A112,'Справочник'!F:F,0))))</f>
        <v/>
      </c>
      <c r="G112" s="2" t="str">
        <f>IF(A112&gt;0,SUMIF('Барабан'!K:K,A112,'Барабан'!P:P),"")</f>
        <v/>
      </c>
      <c r="H112" s="2" t="str">
        <f>IF(A112&gt;0,SUMIF('Барабан'!V:V,A112,'Барабан'!AA:AA),"")</f>
        <v/>
      </c>
      <c r="I112" s="2" t="str">
        <f t="shared" si="4"/>
        <v/>
      </c>
      <c r="J112" s="9" t="str">
        <f t="shared" si="2"/>
        <v/>
      </c>
      <c r="K112" s="1" t="str">
        <f>IF(A112&gt;0,COUNTIF('Барабан'!K:K,A112),"")</f>
        <v/>
      </c>
      <c r="L112" s="1" t="str">
        <f>IF(A112&gt;0,COUNTIF('Барабан'!V:V,A112),"")</f>
        <v/>
      </c>
      <c r="M112" s="1" t="str">
        <f t="shared" si="3"/>
        <v/>
      </c>
      <c r="N112" s="1" t="str">
        <f>IFERROR(__xludf.DUMMYFUNCTION("IF(A112&gt;0,MIN(FILTER('Барабан'!AJ:AJ,'Барабан'!K:K=A112)),"""")"),"")</f>
        <v/>
      </c>
      <c r="O112" s="16" t="str">
        <f>IFERROR(__xludf.DUMMYFUNCTION("IF(A112&gt;0,IFERROR(MAX(FILTER('Барабан'!AJ:AJ,'Барабан'!V:V=A112)),""–""),"""")"),"")</f>
        <v/>
      </c>
    </row>
    <row r="113" ht="15.75" customHeight="1">
      <c r="A113" s="1" t="str">
        <f>'Справочник'!E108</f>
        <v/>
      </c>
      <c r="B113" s="2" t="str">
        <f>IF(A113&gt;0,SUMIF('Барабан'!K:K,A113,'Барабан'!I:I),"")</f>
        <v/>
      </c>
      <c r="C113" s="2" t="str">
        <f>IF(A113&gt;0,SUMIF('Барабан'!V:V,A113,'Барабан'!T:T),"")</f>
        <v/>
      </c>
      <c r="D113" s="2" t="str">
        <f>IF(A113&gt;0,SUMIF('Барабан'!K:K,A113,'Барабан'!AG:AG)+SUMIF('Барабан'!V:V,A113,'Барабан'!AG:AG),"")</f>
        <v/>
      </c>
      <c r="E113" s="2" t="str">
        <f t="shared" si="1"/>
        <v/>
      </c>
      <c r="F113" s="2" t="str">
        <f t="array" ref="F113">IFERROR(IF(E113=0,0,INDEX('Справочник'!G:G,MATCH(A113,'Справочник'!F:F,0))))</f>
        <v/>
      </c>
      <c r="G113" s="2" t="str">
        <f>IF(A113&gt;0,SUMIF('Барабан'!K:K,A113,'Барабан'!P:P),"")</f>
        <v/>
      </c>
      <c r="H113" s="2" t="str">
        <f>IF(A113&gt;0,SUMIF('Барабан'!V:V,A113,'Барабан'!AA:AA),"")</f>
        <v/>
      </c>
      <c r="I113" s="2" t="str">
        <f t="shared" si="4"/>
        <v/>
      </c>
      <c r="J113" s="9" t="str">
        <f t="shared" si="2"/>
        <v/>
      </c>
      <c r="K113" s="1" t="str">
        <f>IF(A113&gt;0,COUNTIF('Барабан'!K:K,A113),"")</f>
        <v/>
      </c>
      <c r="L113" s="1" t="str">
        <f>IF(A113&gt;0,COUNTIF('Барабан'!V:V,A113),"")</f>
        <v/>
      </c>
      <c r="M113" s="1" t="str">
        <f t="shared" si="3"/>
        <v/>
      </c>
      <c r="N113" s="1" t="str">
        <f>IFERROR(__xludf.DUMMYFUNCTION("IF(A113&gt;0,MIN(FILTER('Барабан'!AJ:AJ,'Барабан'!K:K=A113)),"""")"),"")</f>
        <v/>
      </c>
      <c r="O113" s="16" t="str">
        <f>IFERROR(__xludf.DUMMYFUNCTION("IF(A113&gt;0,IFERROR(MAX(FILTER('Барабан'!AJ:AJ,'Барабан'!V:V=A113)),""–""),"""")"),"")</f>
        <v/>
      </c>
    </row>
    <row r="114" ht="15.75" customHeight="1">
      <c r="A114" s="1" t="str">
        <f>'Справочник'!E109</f>
        <v/>
      </c>
      <c r="B114" s="2" t="str">
        <f>IF(A114&gt;0,SUMIF('Барабан'!K:K,A114,'Барабан'!I:I),"")</f>
        <v/>
      </c>
      <c r="C114" s="2" t="str">
        <f>IF(A114&gt;0,SUMIF('Барабан'!V:V,A114,'Барабан'!T:T),"")</f>
        <v/>
      </c>
      <c r="D114" s="2" t="str">
        <f>IF(A114&gt;0,SUMIF('Барабан'!K:K,A114,'Барабан'!AG:AG)+SUMIF('Барабан'!V:V,A114,'Барабан'!AG:AG),"")</f>
        <v/>
      </c>
      <c r="E114" s="2" t="str">
        <f t="shared" si="1"/>
        <v/>
      </c>
      <c r="F114" s="2" t="str">
        <f t="array" ref="F114">IFERROR(IF(E114=0,0,INDEX('Справочник'!G:G,MATCH(A114,'Справочник'!F:F,0))))</f>
        <v/>
      </c>
      <c r="G114" s="2" t="str">
        <f>IF(A114&gt;0,SUMIF('Барабан'!K:K,A114,'Барабан'!P:P),"")</f>
        <v/>
      </c>
      <c r="H114" s="2" t="str">
        <f>IF(A114&gt;0,SUMIF('Барабан'!V:V,A114,'Барабан'!AA:AA),"")</f>
        <v/>
      </c>
      <c r="I114" s="2" t="str">
        <f t="shared" si="4"/>
        <v/>
      </c>
      <c r="J114" s="9" t="str">
        <f t="shared" si="2"/>
        <v/>
      </c>
      <c r="K114" s="1" t="str">
        <f>IF(A114&gt;0,COUNTIF('Барабан'!K:K,A114),"")</f>
        <v/>
      </c>
      <c r="L114" s="1" t="str">
        <f>IF(A114&gt;0,COUNTIF('Барабан'!V:V,A114),"")</f>
        <v/>
      </c>
      <c r="M114" s="1" t="str">
        <f t="shared" si="3"/>
        <v/>
      </c>
      <c r="N114" s="1" t="str">
        <f>IFERROR(__xludf.DUMMYFUNCTION("IF(A114&gt;0,MIN(FILTER('Барабан'!AJ:AJ,'Барабан'!K:K=A114)),"""")"),"")</f>
        <v/>
      </c>
      <c r="O114" s="16" t="str">
        <f>IFERROR(__xludf.DUMMYFUNCTION("IF(A114&gt;0,IFERROR(MAX(FILTER('Барабан'!AJ:AJ,'Барабан'!V:V=A114)),""–""),"""")"),"")</f>
        <v/>
      </c>
    </row>
    <row r="115" ht="15.75" customHeight="1">
      <c r="A115" s="1" t="str">
        <f>'Справочник'!E110</f>
        <v/>
      </c>
      <c r="B115" s="2" t="str">
        <f>IF(A115&gt;0,SUMIF('Барабан'!K:K,A115,'Барабан'!I:I),"")</f>
        <v/>
      </c>
      <c r="C115" s="2" t="str">
        <f>IF(A115&gt;0,SUMIF('Барабан'!V:V,A115,'Барабан'!T:T),"")</f>
        <v/>
      </c>
      <c r="D115" s="2" t="str">
        <f>IF(A115&gt;0,SUMIF('Барабан'!K:K,A115,'Барабан'!AG:AG)+SUMIF('Барабан'!V:V,A115,'Барабан'!AG:AG),"")</f>
        <v/>
      </c>
      <c r="E115" s="2" t="str">
        <f t="shared" si="1"/>
        <v/>
      </c>
      <c r="F115" s="2" t="str">
        <f t="array" ref="F115">IFERROR(IF(E115=0,0,INDEX('Справочник'!G:G,MATCH(A115,'Справочник'!F:F,0))))</f>
        <v/>
      </c>
      <c r="G115" s="2" t="str">
        <f>IF(A115&gt;0,SUMIF('Барабан'!K:K,A115,'Барабан'!P:P),"")</f>
        <v/>
      </c>
      <c r="H115" s="2" t="str">
        <f>IF(A115&gt;0,SUMIF('Барабан'!V:V,A115,'Барабан'!AA:AA),"")</f>
        <v/>
      </c>
      <c r="I115" s="2" t="str">
        <f t="shared" si="4"/>
        <v/>
      </c>
      <c r="J115" s="9" t="str">
        <f t="shared" si="2"/>
        <v/>
      </c>
      <c r="K115" s="1" t="str">
        <f>IF(A115&gt;0,COUNTIF('Барабан'!K:K,A115),"")</f>
        <v/>
      </c>
      <c r="L115" s="1" t="str">
        <f>IF(A115&gt;0,COUNTIF('Барабан'!V:V,A115),"")</f>
        <v/>
      </c>
      <c r="M115" s="1" t="str">
        <f t="shared" si="3"/>
        <v/>
      </c>
      <c r="N115" s="1" t="str">
        <f>IFERROR(__xludf.DUMMYFUNCTION("IF(A115&gt;0,MIN(FILTER('Барабан'!AJ:AJ,'Барабан'!K:K=A115)),"""")"),"")</f>
        <v/>
      </c>
      <c r="O115" s="16" t="str">
        <f>IFERROR(__xludf.DUMMYFUNCTION("IF(A115&gt;0,IFERROR(MAX(FILTER('Барабан'!AJ:AJ,'Барабан'!V:V=A115)),""–""),"""")"),"")</f>
        <v/>
      </c>
    </row>
    <row r="116" ht="15.75" customHeight="1">
      <c r="A116" s="1" t="str">
        <f>'Справочник'!E111</f>
        <v/>
      </c>
      <c r="B116" s="2" t="str">
        <f>IF(A116&gt;0,SUMIF('Барабан'!K:K,A116,'Барабан'!I:I),"")</f>
        <v/>
      </c>
      <c r="C116" s="2" t="str">
        <f>IF(A116&gt;0,SUMIF('Барабан'!V:V,A116,'Барабан'!T:T),"")</f>
        <v/>
      </c>
      <c r="D116" s="2" t="str">
        <f>IF(A116&gt;0,SUMIF('Барабан'!K:K,A116,'Барабан'!AG:AG)+SUMIF('Барабан'!V:V,A116,'Барабан'!AG:AG),"")</f>
        <v/>
      </c>
      <c r="E116" s="2" t="str">
        <f t="shared" si="1"/>
        <v/>
      </c>
      <c r="F116" s="2" t="str">
        <f t="array" ref="F116">IFERROR(IF(E116=0,0,INDEX('Справочник'!G:G,MATCH(A116,'Справочник'!F:F,0))))</f>
        <v/>
      </c>
      <c r="G116" s="2" t="str">
        <f>IF(A116&gt;0,SUMIF('Барабан'!K:K,A116,'Барабан'!P:P),"")</f>
        <v/>
      </c>
      <c r="H116" s="2" t="str">
        <f>IF(A116&gt;0,SUMIF('Барабан'!V:V,A116,'Барабан'!AA:AA),"")</f>
        <v/>
      </c>
      <c r="I116" s="2" t="str">
        <f t="shared" si="4"/>
        <v/>
      </c>
      <c r="J116" s="9" t="str">
        <f t="shared" si="2"/>
        <v/>
      </c>
      <c r="K116" s="1" t="str">
        <f>IF(A116&gt;0,COUNTIF('Барабан'!K:K,A116),"")</f>
        <v/>
      </c>
      <c r="L116" s="1" t="str">
        <f>IF(A116&gt;0,COUNTIF('Барабан'!V:V,A116),"")</f>
        <v/>
      </c>
      <c r="M116" s="1" t="str">
        <f t="shared" si="3"/>
        <v/>
      </c>
      <c r="N116" s="1" t="str">
        <f>IFERROR(__xludf.DUMMYFUNCTION("IF(A116&gt;0,MIN(FILTER('Барабан'!AJ:AJ,'Барабан'!K:K=A116)),"""")"),"")</f>
        <v/>
      </c>
      <c r="O116" s="16" t="str">
        <f>IFERROR(__xludf.DUMMYFUNCTION("IF(A116&gt;0,IFERROR(MAX(FILTER('Барабан'!AJ:AJ,'Барабан'!V:V=A116)),""–""),"""")"),"")</f>
        <v/>
      </c>
    </row>
    <row r="117" ht="15.75" customHeight="1">
      <c r="A117" s="1" t="str">
        <f>'Справочник'!E112</f>
        <v/>
      </c>
      <c r="B117" s="2" t="str">
        <f>IF(A117&gt;0,SUMIF('Барабан'!K:K,A117,'Барабан'!I:I),"")</f>
        <v/>
      </c>
      <c r="C117" s="2" t="str">
        <f>IF(A117&gt;0,SUMIF('Барабан'!V:V,A117,'Барабан'!T:T),"")</f>
        <v/>
      </c>
      <c r="D117" s="2" t="str">
        <f>IF(A117&gt;0,SUMIF('Барабан'!K:K,A117,'Барабан'!AG:AG)+SUMIF('Барабан'!V:V,A117,'Барабан'!AG:AG),"")</f>
        <v/>
      </c>
      <c r="E117" s="2" t="str">
        <f t="shared" si="1"/>
        <v/>
      </c>
      <c r="F117" s="2" t="str">
        <f t="array" ref="F117">IFERROR(IF(E117=0,0,INDEX('Справочник'!G:G,MATCH(A117,'Справочник'!F:F,0))))</f>
        <v/>
      </c>
      <c r="G117" s="2" t="str">
        <f>IF(A117&gt;0,SUMIF('Барабан'!K:K,A117,'Барабан'!P:P),"")</f>
        <v/>
      </c>
      <c r="H117" s="2" t="str">
        <f>IF(A117&gt;0,SUMIF('Барабан'!V:V,A117,'Барабан'!AA:AA),"")</f>
        <v/>
      </c>
      <c r="I117" s="2" t="str">
        <f t="shared" si="4"/>
        <v/>
      </c>
      <c r="J117" s="9" t="str">
        <f t="shared" si="2"/>
        <v/>
      </c>
      <c r="K117" s="1" t="str">
        <f>IF(A117&gt;0,COUNTIF('Барабан'!K:K,A117),"")</f>
        <v/>
      </c>
      <c r="L117" s="1" t="str">
        <f>IF(A117&gt;0,COUNTIF('Барабан'!V:V,A117),"")</f>
        <v/>
      </c>
      <c r="M117" s="1" t="str">
        <f t="shared" si="3"/>
        <v/>
      </c>
      <c r="N117" s="1" t="str">
        <f>IFERROR(__xludf.DUMMYFUNCTION("IF(A117&gt;0,MIN(FILTER('Барабан'!AJ:AJ,'Барабан'!K:K=A117)),"""")"),"")</f>
        <v/>
      </c>
      <c r="O117" s="16" t="str">
        <f>IFERROR(__xludf.DUMMYFUNCTION("IF(A117&gt;0,IFERROR(MAX(FILTER('Барабан'!AJ:AJ,'Барабан'!V:V=A117)),""–""),"""")"),"")</f>
        <v/>
      </c>
    </row>
    <row r="118" ht="15.75" customHeight="1">
      <c r="A118" s="1" t="str">
        <f>'Справочник'!E113</f>
        <v/>
      </c>
      <c r="B118" s="2" t="str">
        <f>IF(A118&gt;0,SUMIF('Барабан'!K:K,A118,'Барабан'!I:I),"")</f>
        <v/>
      </c>
      <c r="C118" s="2" t="str">
        <f>IF(A118&gt;0,SUMIF('Барабан'!V:V,A118,'Барабан'!T:T),"")</f>
        <v/>
      </c>
      <c r="D118" s="2" t="str">
        <f>IF(A118&gt;0,SUMIF('Барабан'!K:K,A118,'Барабан'!AG:AG)+SUMIF('Барабан'!V:V,A118,'Барабан'!AG:AG),"")</f>
        <v/>
      </c>
      <c r="E118" s="2" t="str">
        <f t="shared" si="1"/>
        <v/>
      </c>
      <c r="F118" s="2" t="str">
        <f t="array" ref="F118">IFERROR(IF(E118=0,0,INDEX('Справочник'!G:G,MATCH(A118,'Справочник'!F:F,0))))</f>
        <v/>
      </c>
      <c r="G118" s="2" t="str">
        <f>IF(A118&gt;0,SUMIF('Барабан'!K:K,A118,'Барабан'!P:P),"")</f>
        <v/>
      </c>
      <c r="H118" s="2" t="str">
        <f>IF(A118&gt;0,SUMIF('Барабан'!V:V,A118,'Барабан'!AA:AA),"")</f>
        <v/>
      </c>
      <c r="I118" s="2" t="str">
        <f t="shared" si="4"/>
        <v/>
      </c>
      <c r="J118" s="9" t="str">
        <f t="shared" si="2"/>
        <v/>
      </c>
      <c r="K118" s="1" t="str">
        <f>IF(A118&gt;0,COUNTIF('Барабан'!K:K,A118),"")</f>
        <v/>
      </c>
      <c r="L118" s="1" t="str">
        <f>IF(A118&gt;0,COUNTIF('Барабан'!V:V,A118),"")</f>
        <v/>
      </c>
      <c r="M118" s="1" t="str">
        <f t="shared" si="3"/>
        <v/>
      </c>
      <c r="N118" s="1" t="str">
        <f>IFERROR(__xludf.DUMMYFUNCTION("IF(A118&gt;0,MIN(FILTER('Барабан'!AJ:AJ,'Барабан'!K:K=A118)),"""")"),"")</f>
        <v/>
      </c>
      <c r="O118" s="16" t="str">
        <f>IFERROR(__xludf.DUMMYFUNCTION("IF(A118&gt;0,IFERROR(MAX(FILTER('Барабан'!AJ:AJ,'Барабан'!V:V=A118)),""–""),"""")"),"")</f>
        <v/>
      </c>
    </row>
    <row r="119" ht="15.75" customHeight="1">
      <c r="A119" s="1" t="str">
        <f>'Справочник'!E114</f>
        <v/>
      </c>
      <c r="B119" s="2" t="str">
        <f>IF(A119&gt;0,SUMIF('Барабан'!K:K,A119,'Барабан'!I:I),"")</f>
        <v/>
      </c>
      <c r="C119" s="2" t="str">
        <f>IF(A119&gt;0,SUMIF('Барабан'!V:V,A119,'Барабан'!T:T),"")</f>
        <v/>
      </c>
      <c r="D119" s="2" t="str">
        <f>IF(A119&gt;0,SUMIF('Барабан'!K:K,A119,'Барабан'!AG:AG)+SUMIF('Барабан'!V:V,A119,'Барабан'!AG:AG),"")</f>
        <v/>
      </c>
      <c r="E119" s="2" t="str">
        <f t="shared" si="1"/>
        <v/>
      </c>
      <c r="F119" s="2" t="str">
        <f t="array" ref="F119">IFERROR(IF(E119=0,0,INDEX('Справочник'!G:G,MATCH(A119,'Справочник'!F:F,0))))</f>
        <v/>
      </c>
      <c r="G119" s="2" t="str">
        <f>IF(A119&gt;0,SUMIF('Барабан'!K:K,A119,'Барабан'!P:P),"")</f>
        <v/>
      </c>
      <c r="H119" s="2" t="str">
        <f>IF(A119&gt;0,SUMIF('Барабан'!V:V,A119,'Барабан'!AA:AA),"")</f>
        <v/>
      </c>
      <c r="I119" s="2" t="str">
        <f t="shared" si="4"/>
        <v/>
      </c>
      <c r="J119" s="9" t="str">
        <f t="shared" si="2"/>
        <v/>
      </c>
      <c r="K119" s="1" t="str">
        <f>IF(A119&gt;0,COUNTIF('Барабан'!K:K,A119),"")</f>
        <v/>
      </c>
      <c r="L119" s="1" t="str">
        <f>IF(A119&gt;0,COUNTIF('Барабан'!V:V,A119),"")</f>
        <v/>
      </c>
      <c r="M119" s="1" t="str">
        <f t="shared" si="3"/>
        <v/>
      </c>
      <c r="N119" s="1" t="str">
        <f>IFERROR(__xludf.DUMMYFUNCTION("IF(A119&gt;0,MIN(FILTER('Барабан'!AJ:AJ,'Барабан'!K:K=A119)),"""")"),"")</f>
        <v/>
      </c>
      <c r="O119" s="16" t="str">
        <f>IFERROR(__xludf.DUMMYFUNCTION("IF(A119&gt;0,IFERROR(MAX(FILTER('Барабан'!AJ:AJ,'Барабан'!V:V=A119)),""–""),"""")"),"")</f>
        <v/>
      </c>
    </row>
    <row r="120" ht="15.75" customHeight="1">
      <c r="A120" s="1" t="str">
        <f>'Справочник'!E115</f>
        <v/>
      </c>
      <c r="B120" s="2" t="str">
        <f>IF(A120&gt;0,SUMIF('Барабан'!K:K,A120,'Барабан'!I:I),"")</f>
        <v/>
      </c>
      <c r="C120" s="2" t="str">
        <f>IF(A120&gt;0,SUMIF('Барабан'!V:V,A120,'Барабан'!T:T),"")</f>
        <v/>
      </c>
      <c r="D120" s="2" t="str">
        <f>IF(A120&gt;0,SUMIF('Барабан'!K:K,A120,'Барабан'!AG:AG)+SUMIF('Барабан'!V:V,A120,'Барабан'!AG:AG),"")</f>
        <v/>
      </c>
      <c r="E120" s="2" t="str">
        <f t="shared" si="1"/>
        <v/>
      </c>
      <c r="F120" s="2" t="str">
        <f t="array" ref="F120">IFERROR(IF(E120=0,0,INDEX('Справочник'!G:G,MATCH(A120,'Справочник'!F:F,0))))</f>
        <v/>
      </c>
      <c r="G120" s="2" t="str">
        <f>IF(A120&gt;0,SUMIF('Барабан'!K:K,A120,'Барабан'!P:P),"")</f>
        <v/>
      </c>
      <c r="H120" s="2" t="str">
        <f>IF(A120&gt;0,SUMIF('Барабан'!V:V,A120,'Барабан'!AA:AA),"")</f>
        <v/>
      </c>
      <c r="I120" s="2" t="str">
        <f t="shared" si="4"/>
        <v/>
      </c>
      <c r="J120" s="9" t="str">
        <f t="shared" si="2"/>
        <v/>
      </c>
      <c r="K120" s="1" t="str">
        <f>IF(A120&gt;0,COUNTIF('Барабан'!K:K,A120),"")</f>
        <v/>
      </c>
      <c r="L120" s="1" t="str">
        <f>IF(A120&gt;0,COUNTIF('Барабан'!V:V,A120),"")</f>
        <v/>
      </c>
      <c r="M120" s="1" t="str">
        <f t="shared" si="3"/>
        <v/>
      </c>
      <c r="N120" s="1" t="str">
        <f>IFERROR(__xludf.DUMMYFUNCTION("IF(A120&gt;0,MIN(FILTER('Барабан'!AJ:AJ,'Барабан'!K:K=A120)),"""")"),"")</f>
        <v/>
      </c>
      <c r="O120" s="16" t="str">
        <f>IFERROR(__xludf.DUMMYFUNCTION("IF(A120&gt;0,IFERROR(MAX(FILTER('Барабан'!AJ:AJ,'Барабан'!V:V=A120)),""–""),"""")"),"")</f>
        <v/>
      </c>
    </row>
    <row r="121" ht="15.75" customHeight="1">
      <c r="A121" s="1" t="str">
        <f>'Справочник'!E116</f>
        <v/>
      </c>
      <c r="B121" s="2" t="str">
        <f>IF(A121&gt;0,SUMIF('Барабан'!K:K,A121,'Барабан'!I:I),"")</f>
        <v/>
      </c>
      <c r="C121" s="2" t="str">
        <f>IF(A121&gt;0,SUMIF('Барабан'!V:V,A121,'Барабан'!T:T),"")</f>
        <v/>
      </c>
      <c r="D121" s="2" t="str">
        <f>IF(A121&gt;0,SUMIF('Барабан'!K:K,A121,'Барабан'!AG:AG)+SUMIF('Барабан'!V:V,A121,'Барабан'!AG:AG),"")</f>
        <v/>
      </c>
      <c r="E121" s="2" t="str">
        <f t="shared" si="1"/>
        <v/>
      </c>
      <c r="F121" s="2" t="str">
        <f t="array" ref="F121">IFERROR(IF(E121=0,0,INDEX('Справочник'!G:G,MATCH(A121,'Справочник'!F:F,0))))</f>
        <v/>
      </c>
      <c r="G121" s="2" t="str">
        <f>IF(A121&gt;0,SUMIF('Барабан'!K:K,A121,'Барабан'!P:P),"")</f>
        <v/>
      </c>
      <c r="H121" s="2" t="str">
        <f>IF(A121&gt;0,SUMIF('Барабан'!V:V,A121,'Барабан'!AA:AA),"")</f>
        <v/>
      </c>
      <c r="I121" s="2" t="str">
        <f t="shared" si="4"/>
        <v/>
      </c>
      <c r="J121" s="9" t="str">
        <f t="shared" si="2"/>
        <v/>
      </c>
      <c r="K121" s="1" t="str">
        <f>IF(A121&gt;0,COUNTIF('Барабан'!K:K,A121),"")</f>
        <v/>
      </c>
      <c r="L121" s="1" t="str">
        <f>IF(A121&gt;0,COUNTIF('Барабан'!V:V,A121),"")</f>
        <v/>
      </c>
      <c r="M121" s="1" t="str">
        <f t="shared" si="3"/>
        <v/>
      </c>
      <c r="N121" s="1" t="str">
        <f>IFERROR(__xludf.DUMMYFUNCTION("IF(A121&gt;0,MIN(FILTER('Барабан'!AJ:AJ,'Барабан'!K:K=A121)),"""")"),"")</f>
        <v/>
      </c>
      <c r="O121" s="16" t="str">
        <f>IFERROR(__xludf.DUMMYFUNCTION("IF(A121&gt;0,IFERROR(MAX(FILTER('Барабан'!AJ:AJ,'Барабан'!V:V=A121)),""–""),"""")"),"")</f>
        <v/>
      </c>
    </row>
    <row r="122" ht="15.75" customHeight="1">
      <c r="A122" s="1" t="str">
        <f>'Справочник'!E117</f>
        <v/>
      </c>
      <c r="B122" s="2" t="str">
        <f>IF(A122&gt;0,SUMIF('Барабан'!K:K,A122,'Барабан'!I:I),"")</f>
        <v/>
      </c>
      <c r="C122" s="2" t="str">
        <f>IF(A122&gt;0,SUMIF('Барабан'!V:V,A122,'Барабан'!T:T),"")</f>
        <v/>
      </c>
      <c r="D122" s="2" t="str">
        <f>IF(A122&gt;0,SUMIF('Барабан'!K:K,A122,'Барабан'!AG:AG)+SUMIF('Барабан'!V:V,A122,'Барабан'!AG:AG),"")</f>
        <v/>
      </c>
      <c r="E122" s="2" t="str">
        <f t="shared" si="1"/>
        <v/>
      </c>
      <c r="F122" s="2" t="str">
        <f t="array" ref="F122">IFERROR(IF(E122=0,0,INDEX('Справочник'!G:G,MATCH(A122,'Справочник'!F:F,0))))</f>
        <v/>
      </c>
      <c r="G122" s="2" t="str">
        <f>IF(A122&gt;0,SUMIF('Барабан'!K:K,A122,'Барабан'!P:P),"")</f>
        <v/>
      </c>
      <c r="H122" s="2" t="str">
        <f>IF(A122&gt;0,SUMIF('Барабан'!V:V,A122,'Барабан'!AA:AA),"")</f>
        <v/>
      </c>
      <c r="I122" s="2" t="str">
        <f t="shared" si="4"/>
        <v/>
      </c>
      <c r="J122" s="9" t="str">
        <f t="shared" si="2"/>
        <v/>
      </c>
      <c r="K122" s="1" t="str">
        <f>IF(A122&gt;0,COUNTIF('Барабан'!K:K,A122),"")</f>
        <v/>
      </c>
      <c r="L122" s="1" t="str">
        <f>IF(A122&gt;0,COUNTIF('Барабан'!V:V,A122),"")</f>
        <v/>
      </c>
      <c r="M122" s="1" t="str">
        <f t="shared" si="3"/>
        <v/>
      </c>
      <c r="N122" s="1" t="str">
        <f>IFERROR(__xludf.DUMMYFUNCTION("IF(A122&gt;0,MIN(FILTER('Барабан'!AJ:AJ,'Барабан'!K:K=A122)),"""")"),"")</f>
        <v/>
      </c>
      <c r="O122" s="16" t="str">
        <f>IFERROR(__xludf.DUMMYFUNCTION("IF(A122&gt;0,IFERROR(MAX(FILTER('Барабан'!AJ:AJ,'Барабан'!V:V=A122)),""–""),"""")"),"")</f>
        <v/>
      </c>
    </row>
    <row r="123" ht="15.75" customHeight="1">
      <c r="A123" s="1" t="str">
        <f>'Справочник'!E118</f>
        <v/>
      </c>
      <c r="B123" s="2" t="str">
        <f>IF(A123&gt;0,SUMIF('Барабан'!K:K,A123,'Барабан'!I:I),"")</f>
        <v/>
      </c>
      <c r="C123" s="2" t="str">
        <f>IF(A123&gt;0,SUMIF('Барабан'!V:V,A123,'Барабан'!T:T),"")</f>
        <v/>
      </c>
      <c r="D123" s="2" t="str">
        <f>IF(A123&gt;0,SUMIF('Барабан'!K:K,A123,'Барабан'!AG:AG)+SUMIF('Барабан'!V:V,A123,'Барабан'!AG:AG),"")</f>
        <v/>
      </c>
      <c r="E123" s="2" t="str">
        <f t="shared" si="1"/>
        <v/>
      </c>
      <c r="F123" s="2" t="str">
        <f t="array" ref="F123">IFERROR(IF(E123=0,0,INDEX('Справочник'!G:G,MATCH(A123,'Справочник'!F:F,0))))</f>
        <v/>
      </c>
      <c r="G123" s="2" t="str">
        <f>IF(A123&gt;0,SUMIF('Барабан'!K:K,A123,'Барабан'!P:P),"")</f>
        <v/>
      </c>
      <c r="H123" s="2" t="str">
        <f>IF(A123&gt;0,SUMIF('Барабан'!V:V,A123,'Барабан'!AA:AA),"")</f>
        <v/>
      </c>
      <c r="I123" s="2" t="str">
        <f t="shared" si="4"/>
        <v/>
      </c>
      <c r="J123" s="9" t="str">
        <f t="shared" si="2"/>
        <v/>
      </c>
      <c r="K123" s="1" t="str">
        <f>IF(A123&gt;0,COUNTIF('Барабан'!K:K,A123),"")</f>
        <v/>
      </c>
      <c r="L123" s="1" t="str">
        <f>IF(A123&gt;0,COUNTIF('Барабан'!V:V,A123),"")</f>
        <v/>
      </c>
      <c r="M123" s="1" t="str">
        <f t="shared" si="3"/>
        <v/>
      </c>
      <c r="N123" s="1" t="str">
        <f>IFERROR(__xludf.DUMMYFUNCTION("IF(A123&gt;0,MIN(FILTER('Барабан'!AJ:AJ,'Барабан'!K:K=A123)),"""")"),"")</f>
        <v/>
      </c>
      <c r="O123" s="16" t="str">
        <f>IFERROR(__xludf.DUMMYFUNCTION("IF(A123&gt;0,IFERROR(MAX(FILTER('Барабан'!AJ:AJ,'Барабан'!V:V=A123)),""–""),"""")"),"")</f>
        <v/>
      </c>
    </row>
    <row r="124" ht="15.75" customHeight="1">
      <c r="A124" s="1" t="str">
        <f>'Справочник'!E119</f>
        <v/>
      </c>
      <c r="B124" s="2" t="str">
        <f>IF(A124&gt;0,SUMIF('Барабан'!K:K,A124,'Барабан'!I:I),"")</f>
        <v/>
      </c>
      <c r="C124" s="2" t="str">
        <f>IF(A124&gt;0,SUMIF('Барабан'!V:V,A124,'Барабан'!T:T),"")</f>
        <v/>
      </c>
      <c r="D124" s="2" t="str">
        <f>IF(A124&gt;0,SUMIF('Барабан'!K:K,A124,'Барабан'!AG:AG)+SUMIF('Барабан'!V:V,A124,'Барабан'!AG:AG),"")</f>
        <v/>
      </c>
      <c r="E124" s="2" t="str">
        <f t="shared" si="1"/>
        <v/>
      </c>
      <c r="F124" s="2" t="str">
        <f t="array" ref="F124">IFERROR(IF(E124=0,0,INDEX('Справочник'!G:G,MATCH(A124,'Справочник'!F:F,0))))</f>
        <v/>
      </c>
      <c r="G124" s="2" t="str">
        <f>IF(A124&gt;0,SUMIF('Барабан'!K:K,A124,'Барабан'!P:P),"")</f>
        <v/>
      </c>
      <c r="H124" s="2" t="str">
        <f>IF(A124&gt;0,SUMIF('Барабан'!V:V,A124,'Барабан'!AA:AA),"")</f>
        <v/>
      </c>
      <c r="I124" s="2" t="str">
        <f t="shared" si="4"/>
        <v/>
      </c>
      <c r="J124" s="9" t="str">
        <f t="shared" si="2"/>
        <v/>
      </c>
      <c r="K124" s="1" t="str">
        <f>IF(A124&gt;0,COUNTIF('Барабан'!K:K,A124),"")</f>
        <v/>
      </c>
      <c r="L124" s="1" t="str">
        <f>IF(A124&gt;0,COUNTIF('Барабан'!V:V,A124),"")</f>
        <v/>
      </c>
      <c r="M124" s="1" t="str">
        <f t="shared" si="3"/>
        <v/>
      </c>
      <c r="N124" s="1" t="str">
        <f>IFERROR(__xludf.DUMMYFUNCTION("IF(A124&gt;0,MIN(FILTER('Барабан'!AJ:AJ,'Барабан'!K:K=A124)),"""")"),"")</f>
        <v/>
      </c>
      <c r="O124" s="16" t="str">
        <f>IFERROR(__xludf.DUMMYFUNCTION("IF(A124&gt;0,IFERROR(MAX(FILTER('Барабан'!AJ:AJ,'Барабан'!V:V=A124)),""–""),"""")"),"")</f>
        <v/>
      </c>
    </row>
    <row r="125" ht="15.75" customHeight="1">
      <c r="A125" s="1" t="str">
        <f>'Справочник'!E120</f>
        <v/>
      </c>
      <c r="B125" s="2" t="str">
        <f>IF(A125&gt;0,SUMIF('Барабан'!K:K,A125,'Барабан'!I:I),"")</f>
        <v/>
      </c>
      <c r="C125" s="2" t="str">
        <f>IF(A125&gt;0,SUMIF('Барабан'!V:V,A125,'Барабан'!T:T),"")</f>
        <v/>
      </c>
      <c r="D125" s="2" t="str">
        <f>IF(A125&gt;0,SUMIF('Барабан'!K:K,A125,'Барабан'!AG:AG)+SUMIF('Барабан'!V:V,A125,'Барабан'!AG:AG),"")</f>
        <v/>
      </c>
      <c r="E125" s="2" t="str">
        <f t="shared" si="1"/>
        <v/>
      </c>
      <c r="F125" s="2" t="str">
        <f t="array" ref="F125">IFERROR(IF(E125=0,0,INDEX('Справочник'!G:G,MATCH(A125,'Справочник'!F:F,0))))</f>
        <v/>
      </c>
      <c r="G125" s="2" t="str">
        <f>IF(A125&gt;0,SUMIF('Барабан'!K:K,A125,'Барабан'!P:P),"")</f>
        <v/>
      </c>
      <c r="H125" s="2" t="str">
        <f>IF(A125&gt;0,SUMIF('Барабан'!V:V,A125,'Барабан'!AA:AA),"")</f>
        <v/>
      </c>
      <c r="I125" s="2" t="str">
        <f t="shared" si="4"/>
        <v/>
      </c>
      <c r="J125" s="9" t="str">
        <f t="shared" si="2"/>
        <v/>
      </c>
      <c r="K125" s="1" t="str">
        <f>IF(A125&gt;0,COUNTIF('Барабан'!K:K,A125),"")</f>
        <v/>
      </c>
      <c r="L125" s="1" t="str">
        <f>IF(A125&gt;0,COUNTIF('Барабан'!V:V,A125),"")</f>
        <v/>
      </c>
      <c r="M125" s="1" t="str">
        <f t="shared" si="3"/>
        <v/>
      </c>
      <c r="N125" s="1" t="str">
        <f>IFERROR(__xludf.DUMMYFUNCTION("IF(A125&gt;0,MIN(FILTER('Барабан'!AJ:AJ,'Барабан'!K:K=A125)),"""")"),"")</f>
        <v/>
      </c>
      <c r="O125" s="16" t="str">
        <f>IFERROR(__xludf.DUMMYFUNCTION("IF(A125&gt;0,IFERROR(MAX(FILTER('Барабан'!AJ:AJ,'Барабан'!V:V=A125)),""–""),"""")"),"")</f>
        <v/>
      </c>
    </row>
    <row r="126" ht="15.75" customHeight="1">
      <c r="A126" s="1" t="str">
        <f>'Справочник'!E121</f>
        <v/>
      </c>
      <c r="B126" s="2" t="str">
        <f>IF(A126&gt;0,SUMIF('Барабан'!K:K,A126,'Барабан'!I:I),"")</f>
        <v/>
      </c>
      <c r="C126" s="2" t="str">
        <f>IF(A126&gt;0,SUMIF('Барабан'!V:V,A126,'Барабан'!T:T),"")</f>
        <v/>
      </c>
      <c r="D126" s="2" t="str">
        <f>IF(A126&gt;0,SUMIF('Барабан'!K:K,A126,'Барабан'!AG:AG)+SUMIF('Барабан'!V:V,A126,'Барабан'!AG:AG),"")</f>
        <v/>
      </c>
      <c r="E126" s="2" t="str">
        <f t="shared" si="1"/>
        <v/>
      </c>
      <c r="F126" s="2" t="str">
        <f t="array" ref="F126">IFERROR(IF(E126=0,0,INDEX('Справочник'!G:G,MATCH(A126,'Справочник'!F:F,0))))</f>
        <v/>
      </c>
      <c r="G126" s="2" t="str">
        <f>IF(A126&gt;0,SUMIF('Барабан'!K:K,A126,'Барабан'!P:P),"")</f>
        <v/>
      </c>
      <c r="H126" s="2" t="str">
        <f>IF(A126&gt;0,SUMIF('Барабан'!V:V,A126,'Барабан'!AA:AA),"")</f>
        <v/>
      </c>
      <c r="I126" s="2" t="str">
        <f t="shared" si="4"/>
        <v/>
      </c>
      <c r="J126" s="9" t="str">
        <f t="shared" si="2"/>
        <v/>
      </c>
      <c r="K126" s="1" t="str">
        <f>IF(A126&gt;0,COUNTIF('Барабан'!K:K,A126),"")</f>
        <v/>
      </c>
      <c r="L126" s="1" t="str">
        <f>IF(A126&gt;0,COUNTIF('Барабан'!V:V,A126),"")</f>
        <v/>
      </c>
      <c r="M126" s="1" t="str">
        <f t="shared" si="3"/>
        <v/>
      </c>
      <c r="N126" s="1" t="str">
        <f>IFERROR(__xludf.DUMMYFUNCTION("IF(A126&gt;0,MIN(FILTER('Барабан'!AJ:AJ,'Барабан'!K:K=A126)),"""")"),"")</f>
        <v/>
      </c>
      <c r="O126" s="16" t="str">
        <f>IFERROR(__xludf.DUMMYFUNCTION("IF(A126&gt;0,IFERROR(MAX(FILTER('Барабан'!AJ:AJ,'Барабан'!V:V=A126)),""–""),"""")"),"")</f>
        <v/>
      </c>
    </row>
    <row r="127" ht="15.75" customHeight="1">
      <c r="A127" s="1" t="str">
        <f>'Справочник'!E122</f>
        <v/>
      </c>
      <c r="B127" s="2" t="str">
        <f>IF(A127&gt;0,SUMIF('Барабан'!K:K,A127,'Барабан'!I:I),"")</f>
        <v/>
      </c>
      <c r="C127" s="2" t="str">
        <f>IF(A127&gt;0,SUMIF('Барабан'!V:V,A127,'Барабан'!T:T),"")</f>
        <v/>
      </c>
      <c r="D127" s="2" t="str">
        <f>IF(A127&gt;0,SUMIF('Барабан'!K:K,A127,'Барабан'!AG:AG)+SUMIF('Барабан'!V:V,A127,'Барабан'!AG:AG),"")</f>
        <v/>
      </c>
      <c r="E127" s="2" t="str">
        <f t="shared" si="1"/>
        <v/>
      </c>
      <c r="F127" s="2" t="str">
        <f t="array" ref="F127">IFERROR(IF(E127=0,0,INDEX('Справочник'!G:G,MATCH(A127,'Справочник'!F:F,0))))</f>
        <v/>
      </c>
      <c r="G127" s="2" t="str">
        <f>IF(A127&gt;0,SUMIF('Барабан'!K:K,A127,'Барабан'!P:P),"")</f>
        <v/>
      </c>
      <c r="H127" s="2" t="str">
        <f>IF(A127&gt;0,SUMIF('Барабан'!V:V,A127,'Барабан'!AA:AA),"")</f>
        <v/>
      </c>
      <c r="I127" s="2" t="str">
        <f t="shared" si="4"/>
        <v/>
      </c>
      <c r="J127" s="9" t="str">
        <f t="shared" si="2"/>
        <v/>
      </c>
      <c r="K127" s="1" t="str">
        <f>IF(A127&gt;0,COUNTIF('Барабан'!K:K,A127),"")</f>
        <v/>
      </c>
      <c r="L127" s="1" t="str">
        <f>IF(A127&gt;0,COUNTIF('Барабан'!V:V,A127),"")</f>
        <v/>
      </c>
      <c r="M127" s="1" t="str">
        <f t="shared" si="3"/>
        <v/>
      </c>
      <c r="N127" s="1" t="str">
        <f>IFERROR(__xludf.DUMMYFUNCTION("IF(A127&gt;0,MIN(FILTER('Барабан'!AJ:AJ,'Барабан'!K:K=A127)),"""")"),"")</f>
        <v/>
      </c>
      <c r="O127" s="16" t="str">
        <f>IFERROR(__xludf.DUMMYFUNCTION("IF(A127&gt;0,IFERROR(MAX(FILTER('Барабан'!AJ:AJ,'Барабан'!V:V=A127)),""–""),"""")"),"")</f>
        <v/>
      </c>
    </row>
    <row r="128" ht="15.75" customHeight="1">
      <c r="A128" s="1" t="str">
        <f>'Справочник'!E123</f>
        <v/>
      </c>
      <c r="B128" s="2" t="str">
        <f>IF(A128&gt;0,SUMIF('Барабан'!K:K,A128,'Барабан'!I:I),"")</f>
        <v/>
      </c>
      <c r="C128" s="2" t="str">
        <f>IF(A128&gt;0,SUMIF('Барабан'!V:V,A128,'Барабан'!T:T),"")</f>
        <v/>
      </c>
      <c r="D128" s="2" t="str">
        <f>IF(A128&gt;0,SUMIF('Барабан'!K:K,A128,'Барабан'!AG:AG)+SUMIF('Барабан'!V:V,A128,'Барабан'!AG:AG),"")</f>
        <v/>
      </c>
      <c r="E128" s="2" t="str">
        <f t="shared" si="1"/>
        <v/>
      </c>
      <c r="F128" s="2" t="str">
        <f t="array" ref="F128">IFERROR(IF(E128=0,0,INDEX('Справочник'!G:G,MATCH(A128,'Справочник'!F:F,0))))</f>
        <v/>
      </c>
      <c r="G128" s="2" t="str">
        <f>IF(A128&gt;0,SUMIF('Барабан'!K:K,A128,'Барабан'!P:P),"")</f>
        <v/>
      </c>
      <c r="H128" s="2" t="str">
        <f>IF(A128&gt;0,SUMIF('Барабан'!V:V,A128,'Барабан'!AA:AA),"")</f>
        <v/>
      </c>
      <c r="I128" s="2" t="str">
        <f t="shared" si="4"/>
        <v/>
      </c>
      <c r="J128" s="9" t="str">
        <f t="shared" si="2"/>
        <v/>
      </c>
      <c r="K128" s="1" t="str">
        <f>IF(A128&gt;0,COUNTIF('Барабан'!K:K,A128),"")</f>
        <v/>
      </c>
      <c r="L128" s="1" t="str">
        <f>IF(A128&gt;0,COUNTIF('Барабан'!V:V,A128),"")</f>
        <v/>
      </c>
      <c r="M128" s="1" t="str">
        <f t="shared" si="3"/>
        <v/>
      </c>
      <c r="N128" s="1" t="str">
        <f>IFERROR(__xludf.DUMMYFUNCTION("IF(A128&gt;0,MIN(FILTER('Барабан'!AJ:AJ,'Барабан'!K:K=A128)),"""")"),"")</f>
        <v/>
      </c>
      <c r="O128" s="16" t="str">
        <f>IFERROR(__xludf.DUMMYFUNCTION("IF(A128&gt;0,IFERROR(MAX(FILTER('Барабан'!AJ:AJ,'Барабан'!V:V=A128)),""–""),"""")"),"")</f>
        <v/>
      </c>
    </row>
    <row r="129" ht="15.75" customHeight="1">
      <c r="A129" s="1" t="str">
        <f>'Справочник'!E124</f>
        <v/>
      </c>
      <c r="B129" s="2" t="str">
        <f>IF(A129&gt;0,SUMIF('Барабан'!K:K,A129,'Барабан'!I:I),"")</f>
        <v/>
      </c>
      <c r="C129" s="2" t="str">
        <f>IF(A129&gt;0,SUMIF('Барабан'!V:V,A129,'Барабан'!T:T),"")</f>
        <v/>
      </c>
      <c r="D129" s="2" t="str">
        <f>IF(A129&gt;0,SUMIF('Барабан'!K:K,A129,'Барабан'!AG:AG)+SUMIF('Барабан'!V:V,A129,'Барабан'!AG:AG),"")</f>
        <v/>
      </c>
      <c r="E129" s="2" t="str">
        <f t="shared" si="1"/>
        <v/>
      </c>
      <c r="F129" s="2" t="str">
        <f t="array" ref="F129">IFERROR(IF(E129=0,0,INDEX('Справочник'!G:G,MATCH(A129,'Справочник'!F:F,0))))</f>
        <v/>
      </c>
      <c r="G129" s="2" t="str">
        <f>IF(A129&gt;0,SUMIF('Барабан'!K:K,A129,'Барабан'!P:P),"")</f>
        <v/>
      </c>
      <c r="H129" s="2" t="str">
        <f>IF(A129&gt;0,SUMIF('Барабан'!V:V,A129,'Барабан'!AA:AA),"")</f>
        <v/>
      </c>
      <c r="I129" s="2" t="str">
        <f t="shared" si="4"/>
        <v/>
      </c>
      <c r="J129" s="9" t="str">
        <f t="shared" si="2"/>
        <v/>
      </c>
      <c r="K129" s="1" t="str">
        <f>IF(A129&gt;0,COUNTIF('Барабан'!K:K,A129),"")</f>
        <v/>
      </c>
      <c r="L129" s="1" t="str">
        <f>IF(A129&gt;0,COUNTIF('Барабан'!V:V,A129),"")</f>
        <v/>
      </c>
      <c r="M129" s="1" t="str">
        <f t="shared" si="3"/>
        <v/>
      </c>
      <c r="N129" s="1" t="str">
        <f>IFERROR(__xludf.DUMMYFUNCTION("IF(A129&gt;0,MIN(FILTER('Барабан'!AJ:AJ,'Барабан'!K:K=A129)),"""")"),"")</f>
        <v/>
      </c>
      <c r="O129" s="16" t="str">
        <f>IFERROR(__xludf.DUMMYFUNCTION("IF(A129&gt;0,IFERROR(MAX(FILTER('Барабан'!AJ:AJ,'Барабан'!V:V=A129)),""–""),"""")"),"")</f>
        <v/>
      </c>
    </row>
    <row r="130" ht="15.75" customHeight="1">
      <c r="A130" s="1" t="str">
        <f>'Справочник'!E125</f>
        <v/>
      </c>
      <c r="B130" s="2" t="str">
        <f>IF(A130&gt;0,SUMIF('Барабан'!K:K,A130,'Барабан'!I:I),"")</f>
        <v/>
      </c>
      <c r="C130" s="2" t="str">
        <f>IF(A130&gt;0,SUMIF('Барабан'!V:V,A130,'Барабан'!T:T),"")</f>
        <v/>
      </c>
      <c r="D130" s="2" t="str">
        <f>IF(A130&gt;0,SUMIF('Барабан'!K:K,A130,'Барабан'!AG:AG)+SUMIF('Барабан'!V:V,A130,'Барабан'!AG:AG),"")</f>
        <v/>
      </c>
      <c r="E130" s="2" t="str">
        <f t="shared" si="1"/>
        <v/>
      </c>
      <c r="F130" s="2" t="str">
        <f t="array" ref="F130">IFERROR(IF(E130=0,0,INDEX('Справочник'!G:G,MATCH(A130,'Справочник'!F:F,0))))</f>
        <v/>
      </c>
      <c r="G130" s="2" t="str">
        <f>IF(A130&gt;0,SUMIF('Барабан'!K:K,A130,'Барабан'!P:P),"")</f>
        <v/>
      </c>
      <c r="H130" s="2" t="str">
        <f>IF(A130&gt;0,SUMIF('Барабан'!V:V,A130,'Барабан'!AA:AA),"")</f>
        <v/>
      </c>
      <c r="I130" s="2" t="str">
        <f t="shared" si="4"/>
        <v/>
      </c>
      <c r="J130" s="9" t="str">
        <f t="shared" si="2"/>
        <v/>
      </c>
      <c r="K130" s="1" t="str">
        <f>IF(A130&gt;0,COUNTIF('Барабан'!K:K,A130),"")</f>
        <v/>
      </c>
      <c r="L130" s="1" t="str">
        <f>IF(A130&gt;0,COUNTIF('Барабан'!V:V,A130),"")</f>
        <v/>
      </c>
      <c r="M130" s="1" t="str">
        <f t="shared" si="3"/>
        <v/>
      </c>
      <c r="N130" s="1" t="str">
        <f>IFERROR(__xludf.DUMMYFUNCTION("IF(A130&gt;0,MIN(FILTER('Барабан'!AJ:AJ,'Барабан'!K:K=A130)),"""")"),"")</f>
        <v/>
      </c>
      <c r="O130" s="16" t="str">
        <f>IFERROR(__xludf.DUMMYFUNCTION("IF(A130&gt;0,IFERROR(MAX(FILTER('Барабан'!AJ:AJ,'Барабан'!V:V=A130)),""–""),"""")"),"")</f>
        <v/>
      </c>
    </row>
    <row r="131" ht="15.75" customHeight="1">
      <c r="A131" s="1" t="str">
        <f>'Справочник'!E126</f>
        <v/>
      </c>
      <c r="B131" s="2" t="str">
        <f>IF(A131&gt;0,SUMIF('Барабан'!K:K,A131,'Барабан'!I:I),"")</f>
        <v/>
      </c>
      <c r="C131" s="2" t="str">
        <f>IF(A131&gt;0,SUMIF('Барабан'!V:V,A131,'Барабан'!T:T),"")</f>
        <v/>
      </c>
      <c r="D131" s="2" t="str">
        <f>IF(A131&gt;0,SUMIF('Барабан'!K:K,A131,'Барабан'!AG:AG)+SUMIF('Барабан'!V:V,A131,'Барабан'!AG:AG),"")</f>
        <v/>
      </c>
      <c r="E131" s="2" t="str">
        <f t="shared" si="1"/>
        <v/>
      </c>
      <c r="F131" s="2" t="str">
        <f t="array" ref="F131">IFERROR(IF(E131=0,0,INDEX('Справочник'!G:G,MATCH(A131,'Справочник'!F:F,0))))</f>
        <v/>
      </c>
      <c r="G131" s="2" t="str">
        <f>IF(A131&gt;0,SUMIF('Барабан'!K:K,A131,'Барабан'!P:P),"")</f>
        <v/>
      </c>
      <c r="H131" s="2" t="str">
        <f>IF(A131&gt;0,SUMIF('Барабан'!V:V,A131,'Барабан'!AA:AA),"")</f>
        <v/>
      </c>
      <c r="I131" s="2" t="str">
        <f t="shared" si="4"/>
        <v/>
      </c>
      <c r="J131" s="9" t="str">
        <f t="shared" si="2"/>
        <v/>
      </c>
      <c r="K131" s="1" t="str">
        <f>IF(A131&gt;0,COUNTIF('Барабан'!K:K,A131),"")</f>
        <v/>
      </c>
      <c r="L131" s="1" t="str">
        <f>IF(A131&gt;0,COUNTIF('Барабан'!V:V,A131),"")</f>
        <v/>
      </c>
      <c r="M131" s="1" t="str">
        <f t="shared" si="3"/>
        <v/>
      </c>
      <c r="N131" s="1" t="str">
        <f>IFERROR(__xludf.DUMMYFUNCTION("IF(A131&gt;0,MIN(FILTER('Барабан'!AJ:AJ,'Барабан'!K:K=A131)),"""")"),"")</f>
        <v/>
      </c>
      <c r="O131" s="16" t="str">
        <f>IFERROR(__xludf.DUMMYFUNCTION("IF(A131&gt;0,IFERROR(MAX(FILTER('Барабан'!AJ:AJ,'Барабан'!V:V=A131)),""–""),"""")"),"")</f>
        <v/>
      </c>
    </row>
    <row r="132" ht="15.75" customHeight="1">
      <c r="A132" s="1" t="str">
        <f>'Справочник'!E127</f>
        <v/>
      </c>
      <c r="B132" s="2" t="str">
        <f>IF(A132&gt;0,SUMIF('Барабан'!K:K,A132,'Барабан'!I:I),"")</f>
        <v/>
      </c>
      <c r="C132" s="2" t="str">
        <f>IF(A132&gt;0,SUMIF('Барабан'!V:V,A132,'Барабан'!T:T),"")</f>
        <v/>
      </c>
      <c r="D132" s="2" t="str">
        <f>IF(A132&gt;0,SUMIF('Барабан'!K:K,A132,'Барабан'!AG:AG)+SUMIF('Барабан'!V:V,A132,'Барабан'!AG:AG),"")</f>
        <v/>
      </c>
      <c r="E132" s="2" t="str">
        <f t="shared" si="1"/>
        <v/>
      </c>
      <c r="F132" s="2" t="str">
        <f t="array" ref="F132">IFERROR(IF(E132=0,0,INDEX('Справочник'!G:G,MATCH(A132,'Справочник'!F:F,0))))</f>
        <v/>
      </c>
      <c r="G132" s="2" t="str">
        <f>IF(A132&gt;0,SUMIF('Барабан'!K:K,A132,'Барабан'!P:P),"")</f>
        <v/>
      </c>
      <c r="H132" s="2" t="str">
        <f>IF(A132&gt;0,SUMIF('Барабан'!V:V,A132,'Барабан'!AA:AA),"")</f>
        <v/>
      </c>
      <c r="I132" s="2" t="str">
        <f t="shared" si="4"/>
        <v/>
      </c>
      <c r="J132" s="9" t="str">
        <f t="shared" si="2"/>
        <v/>
      </c>
      <c r="K132" s="1" t="str">
        <f>IF(A132&gt;0,COUNTIF('Барабан'!K:K,A132),"")</f>
        <v/>
      </c>
      <c r="L132" s="1" t="str">
        <f>IF(A132&gt;0,COUNTIF('Барабан'!V:V,A132),"")</f>
        <v/>
      </c>
      <c r="M132" s="1" t="str">
        <f t="shared" si="3"/>
        <v/>
      </c>
      <c r="N132" s="1" t="str">
        <f>IFERROR(__xludf.DUMMYFUNCTION("IF(A132&gt;0,MIN(FILTER('Барабан'!AJ:AJ,'Барабан'!K:K=A132)),"""")"),"")</f>
        <v/>
      </c>
      <c r="O132" s="16" t="str">
        <f>IFERROR(__xludf.DUMMYFUNCTION("IF(A132&gt;0,IFERROR(MAX(FILTER('Барабан'!AJ:AJ,'Барабан'!V:V=A132)),""–""),"""")"),"")</f>
        <v/>
      </c>
    </row>
    <row r="133" ht="15.75" customHeight="1">
      <c r="A133" s="1" t="str">
        <f>'Справочник'!E128</f>
        <v/>
      </c>
      <c r="B133" s="2" t="str">
        <f>IF(A133&gt;0,SUMIF('Барабан'!K:K,A133,'Барабан'!I:I),"")</f>
        <v/>
      </c>
      <c r="C133" s="2" t="str">
        <f>IF(A133&gt;0,SUMIF('Барабан'!V:V,A133,'Барабан'!T:T),"")</f>
        <v/>
      </c>
      <c r="D133" s="2" t="str">
        <f>IF(A133&gt;0,SUMIF('Барабан'!K:K,A133,'Барабан'!AG:AG)+SUMIF('Барабан'!V:V,A133,'Барабан'!AG:AG),"")</f>
        <v/>
      </c>
      <c r="E133" s="2" t="str">
        <f t="shared" si="1"/>
        <v/>
      </c>
      <c r="F133" s="2" t="str">
        <f t="array" ref="F133">IFERROR(IF(E133=0,0,INDEX('Справочник'!G:G,MATCH(A133,'Справочник'!F:F,0))))</f>
        <v/>
      </c>
      <c r="G133" s="2" t="str">
        <f>IF(A133&gt;0,SUMIF('Барабан'!K:K,A133,'Барабан'!P:P),"")</f>
        <v/>
      </c>
      <c r="H133" s="2" t="str">
        <f>IF(A133&gt;0,SUMIF('Барабан'!V:V,A133,'Барабан'!AA:AA),"")</f>
        <v/>
      </c>
      <c r="I133" s="2" t="str">
        <f t="shared" si="4"/>
        <v/>
      </c>
      <c r="J133" s="9" t="str">
        <f t="shared" si="2"/>
        <v/>
      </c>
      <c r="K133" s="1" t="str">
        <f>IF(A133&gt;0,COUNTIF('Барабан'!K:K,A133),"")</f>
        <v/>
      </c>
      <c r="L133" s="1" t="str">
        <f>IF(A133&gt;0,COUNTIF('Барабан'!V:V,A133),"")</f>
        <v/>
      </c>
      <c r="M133" s="1" t="str">
        <f t="shared" si="3"/>
        <v/>
      </c>
      <c r="N133" s="1" t="str">
        <f>IFERROR(__xludf.DUMMYFUNCTION("IF(A133&gt;0,MIN(FILTER('Барабан'!AJ:AJ,'Барабан'!K:K=A133)),"""")"),"")</f>
        <v/>
      </c>
      <c r="O133" s="16" t="str">
        <f>IFERROR(__xludf.DUMMYFUNCTION("IF(A133&gt;0,IFERROR(MAX(FILTER('Барабан'!AJ:AJ,'Барабан'!V:V=A133)),""–""),"""")"),"")</f>
        <v/>
      </c>
    </row>
    <row r="134" ht="15.75" customHeight="1">
      <c r="A134" s="1" t="str">
        <f>'Справочник'!E129</f>
        <v/>
      </c>
      <c r="B134" s="2" t="str">
        <f>IF(A134&gt;0,SUMIF('Барабан'!K:K,A134,'Барабан'!I:I),"")</f>
        <v/>
      </c>
      <c r="C134" s="2" t="str">
        <f>IF(A134&gt;0,SUMIF('Барабан'!V:V,A134,'Барабан'!T:T),"")</f>
        <v/>
      </c>
      <c r="D134" s="2" t="str">
        <f>IF(A134&gt;0,SUMIF('Барабан'!K:K,A134,'Барабан'!AG:AG)+SUMIF('Барабан'!V:V,A134,'Барабан'!AG:AG),"")</f>
        <v/>
      </c>
      <c r="E134" s="2" t="str">
        <f t="shared" si="1"/>
        <v/>
      </c>
      <c r="F134" s="2" t="str">
        <f t="array" ref="F134">IFERROR(IF(E134=0,0,INDEX('Справочник'!G:G,MATCH(A134,'Справочник'!F:F,0))))</f>
        <v/>
      </c>
      <c r="G134" s="2" t="str">
        <f>IF(A134&gt;0,SUMIF('Барабан'!K:K,A134,'Барабан'!P:P),"")</f>
        <v/>
      </c>
      <c r="H134" s="2" t="str">
        <f>IF(A134&gt;0,SUMIF('Барабан'!V:V,A134,'Барабан'!AA:AA),"")</f>
        <v/>
      </c>
      <c r="I134" s="2" t="str">
        <f t="shared" si="4"/>
        <v/>
      </c>
      <c r="J134" s="9" t="str">
        <f t="shared" si="2"/>
        <v/>
      </c>
      <c r="K134" s="1" t="str">
        <f>IF(A134&gt;0,COUNTIF('Барабан'!K:K,A134),"")</f>
        <v/>
      </c>
      <c r="L134" s="1" t="str">
        <f>IF(A134&gt;0,COUNTIF('Барабан'!V:V,A134),"")</f>
        <v/>
      </c>
      <c r="M134" s="1" t="str">
        <f t="shared" si="3"/>
        <v/>
      </c>
      <c r="N134" s="1" t="str">
        <f>IFERROR(__xludf.DUMMYFUNCTION("IF(A134&gt;0,MIN(FILTER('Барабан'!AJ:AJ,'Барабан'!K:K=A134)),"""")"),"")</f>
        <v/>
      </c>
      <c r="O134" s="16" t="str">
        <f>IFERROR(__xludf.DUMMYFUNCTION("IF(A134&gt;0,IFERROR(MAX(FILTER('Барабан'!AJ:AJ,'Барабан'!V:V=A134)),""–""),"""")"),"")</f>
        <v/>
      </c>
    </row>
    <row r="135" ht="15.75" customHeight="1">
      <c r="A135" s="1" t="str">
        <f>'Справочник'!E130</f>
        <v/>
      </c>
      <c r="B135" s="2" t="str">
        <f>IF(A135&gt;0,SUMIF('Барабан'!K:K,A135,'Барабан'!I:I),"")</f>
        <v/>
      </c>
      <c r="C135" s="2" t="str">
        <f>IF(A135&gt;0,SUMIF('Барабан'!V:V,A135,'Барабан'!T:T),"")</f>
        <v/>
      </c>
      <c r="D135" s="2" t="str">
        <f>IF(A135&gt;0,SUMIF('Барабан'!K:K,A135,'Барабан'!AG:AG)+SUMIF('Барабан'!V:V,A135,'Барабан'!AG:AG),"")</f>
        <v/>
      </c>
      <c r="E135" s="2" t="str">
        <f t="shared" si="1"/>
        <v/>
      </c>
      <c r="F135" s="2" t="str">
        <f t="array" ref="F135">IFERROR(IF(E135=0,0,INDEX('Справочник'!G:G,MATCH(A135,'Справочник'!F:F,0))))</f>
        <v/>
      </c>
      <c r="G135" s="2" t="str">
        <f>IF(A135&gt;0,SUMIF('Барабан'!K:K,A135,'Барабан'!P:P),"")</f>
        <v/>
      </c>
      <c r="H135" s="2" t="str">
        <f>IF(A135&gt;0,SUMIF('Барабан'!V:V,A135,'Барабан'!AA:AA),"")</f>
        <v/>
      </c>
      <c r="I135" s="2" t="str">
        <f t="shared" si="4"/>
        <v/>
      </c>
      <c r="J135" s="9" t="str">
        <f t="shared" si="2"/>
        <v/>
      </c>
      <c r="K135" s="1" t="str">
        <f>IF(A135&gt;0,COUNTIF('Барабан'!K:K,A135),"")</f>
        <v/>
      </c>
      <c r="L135" s="1" t="str">
        <f>IF(A135&gt;0,COUNTIF('Барабан'!V:V,A135),"")</f>
        <v/>
      </c>
      <c r="M135" s="1" t="str">
        <f t="shared" si="3"/>
        <v/>
      </c>
      <c r="N135" s="1" t="str">
        <f>IFERROR(__xludf.DUMMYFUNCTION("IF(A135&gt;0,MIN(FILTER('Барабан'!AJ:AJ,'Барабан'!K:K=A135)),"""")"),"")</f>
        <v/>
      </c>
      <c r="O135" s="16" t="str">
        <f>IFERROR(__xludf.DUMMYFUNCTION("IF(A135&gt;0,IFERROR(MAX(FILTER('Барабан'!AJ:AJ,'Барабан'!V:V=A135)),""–""),"""")"),"")</f>
        <v/>
      </c>
    </row>
    <row r="136" ht="15.75" customHeight="1">
      <c r="A136" s="1" t="str">
        <f>'Справочник'!E131</f>
        <v/>
      </c>
      <c r="B136" s="2" t="str">
        <f>IF(A136&gt;0,SUMIF('Барабан'!K:K,A136,'Барабан'!I:I),"")</f>
        <v/>
      </c>
      <c r="C136" s="2" t="str">
        <f>IF(A136&gt;0,SUMIF('Барабан'!V:V,A136,'Барабан'!T:T),"")</f>
        <v/>
      </c>
      <c r="D136" s="2" t="str">
        <f>IF(A136&gt;0,SUMIF('Барабан'!K:K,A136,'Барабан'!AG:AG)+SUMIF('Барабан'!V:V,A136,'Барабан'!AG:AG),"")</f>
        <v/>
      </c>
      <c r="E136" s="2" t="str">
        <f t="shared" si="1"/>
        <v/>
      </c>
      <c r="F136" s="2" t="str">
        <f t="array" ref="F136">IFERROR(IF(E136=0,0,INDEX('Справочник'!G:G,MATCH(A136,'Справочник'!F:F,0))))</f>
        <v/>
      </c>
      <c r="G136" s="2" t="str">
        <f>IF(A136&gt;0,SUMIF('Барабан'!K:K,A136,'Барабан'!P:P),"")</f>
        <v/>
      </c>
      <c r="H136" s="2" t="str">
        <f>IF(A136&gt;0,SUMIF('Барабан'!V:V,A136,'Барабан'!AA:AA),"")</f>
        <v/>
      </c>
      <c r="I136" s="2" t="str">
        <f t="shared" si="4"/>
        <v/>
      </c>
      <c r="J136" s="9" t="str">
        <f t="shared" si="2"/>
        <v/>
      </c>
      <c r="K136" s="1" t="str">
        <f>IF(A136&gt;0,COUNTIF('Барабан'!K:K,A136),"")</f>
        <v/>
      </c>
      <c r="L136" s="1" t="str">
        <f>IF(A136&gt;0,COUNTIF('Барабан'!V:V,A136),"")</f>
        <v/>
      </c>
      <c r="M136" s="1" t="str">
        <f t="shared" si="3"/>
        <v/>
      </c>
      <c r="N136" s="1" t="str">
        <f>IFERROR(__xludf.DUMMYFUNCTION("IF(A136&gt;0,MIN(FILTER('Барабан'!AJ:AJ,'Барабан'!K:K=A136)),"""")"),"")</f>
        <v/>
      </c>
      <c r="O136" s="16" t="str">
        <f>IFERROR(__xludf.DUMMYFUNCTION("IF(A136&gt;0,IFERROR(MAX(FILTER('Барабан'!AJ:AJ,'Барабан'!V:V=A136)),""–""),"""")"),"")</f>
        <v/>
      </c>
    </row>
    <row r="137" ht="15.75" customHeight="1">
      <c r="A137" s="1" t="str">
        <f>'Справочник'!E132</f>
        <v/>
      </c>
      <c r="B137" s="2" t="str">
        <f>IF(A137&gt;0,SUMIF('Барабан'!K:K,A137,'Барабан'!I:I),"")</f>
        <v/>
      </c>
      <c r="C137" s="2" t="str">
        <f>IF(A137&gt;0,SUMIF('Барабан'!V:V,A137,'Барабан'!T:T),"")</f>
        <v/>
      </c>
      <c r="D137" s="2" t="str">
        <f>IF(A137&gt;0,SUMIF('Барабан'!K:K,A137,'Барабан'!AG:AG)+SUMIF('Барабан'!V:V,A137,'Барабан'!AG:AG),"")</f>
        <v/>
      </c>
      <c r="E137" s="2" t="str">
        <f t="shared" si="1"/>
        <v/>
      </c>
      <c r="F137" s="2" t="str">
        <f t="array" ref="F137">IFERROR(IF(E137=0,0,INDEX('Справочник'!G:G,MATCH(A137,'Справочник'!F:F,0))))</f>
        <v/>
      </c>
      <c r="G137" s="2" t="str">
        <f>IF(A137&gt;0,SUMIF('Барабан'!K:K,A137,'Барабан'!P:P),"")</f>
        <v/>
      </c>
      <c r="H137" s="2" t="str">
        <f>IF(A137&gt;0,SUMIF('Барабан'!V:V,A137,'Барабан'!AA:AA),"")</f>
        <v/>
      </c>
      <c r="I137" s="2" t="str">
        <f t="shared" si="4"/>
        <v/>
      </c>
      <c r="J137" s="9" t="str">
        <f t="shared" si="2"/>
        <v/>
      </c>
      <c r="K137" s="1" t="str">
        <f>IF(A137&gt;0,COUNTIF('Барабан'!K:K,A137),"")</f>
        <v/>
      </c>
      <c r="L137" s="1" t="str">
        <f>IF(A137&gt;0,COUNTIF('Барабан'!V:V,A137),"")</f>
        <v/>
      </c>
      <c r="M137" s="1" t="str">
        <f t="shared" si="3"/>
        <v/>
      </c>
      <c r="N137" s="1" t="str">
        <f>IFERROR(__xludf.DUMMYFUNCTION("IF(A137&gt;0,MIN(FILTER('Барабан'!AJ:AJ,'Барабан'!K:K=A137)),"""")"),"")</f>
        <v/>
      </c>
      <c r="O137" s="16" t="str">
        <f>IFERROR(__xludf.DUMMYFUNCTION("IF(A137&gt;0,IFERROR(MAX(FILTER('Барабан'!AJ:AJ,'Барабан'!V:V=A137)),""–""),"""")"),"")</f>
        <v/>
      </c>
    </row>
    <row r="138" ht="15.75" customHeight="1">
      <c r="A138" s="1" t="str">
        <f>'Справочник'!E133</f>
        <v/>
      </c>
      <c r="B138" s="2" t="str">
        <f>IF(A138&gt;0,SUMIF('Барабан'!K:K,A138,'Барабан'!I:I),"")</f>
        <v/>
      </c>
      <c r="C138" s="2" t="str">
        <f>IF(A138&gt;0,SUMIF('Барабан'!V:V,A138,'Барабан'!T:T),"")</f>
        <v/>
      </c>
      <c r="D138" s="2" t="str">
        <f>IF(A138&gt;0,SUMIF('Барабан'!K:K,A138,'Барабан'!AG:AG)+SUMIF('Барабан'!V:V,A138,'Барабан'!AG:AG),"")</f>
        <v/>
      </c>
      <c r="E138" s="2" t="str">
        <f t="shared" si="1"/>
        <v/>
      </c>
      <c r="F138" s="2" t="str">
        <f t="array" ref="F138">IFERROR(IF(E138=0,0,INDEX('Справочник'!G:G,MATCH(A138,'Справочник'!F:F,0))))</f>
        <v/>
      </c>
      <c r="G138" s="2" t="str">
        <f>IF(A138&gt;0,SUMIF('Барабан'!K:K,A138,'Барабан'!P:P),"")</f>
        <v/>
      </c>
      <c r="H138" s="2" t="str">
        <f>IF(A138&gt;0,SUMIF('Барабан'!V:V,A138,'Барабан'!AA:AA),"")</f>
        <v/>
      </c>
      <c r="I138" s="2" t="str">
        <f t="shared" si="4"/>
        <v/>
      </c>
      <c r="J138" s="9" t="str">
        <f t="shared" si="2"/>
        <v/>
      </c>
      <c r="K138" s="1" t="str">
        <f>IF(A138&gt;0,COUNTIF('Барабан'!K:K,A138),"")</f>
        <v/>
      </c>
      <c r="L138" s="1" t="str">
        <f>IF(A138&gt;0,COUNTIF('Барабан'!V:V,A138),"")</f>
        <v/>
      </c>
      <c r="M138" s="1" t="str">
        <f t="shared" si="3"/>
        <v/>
      </c>
      <c r="N138" s="1" t="str">
        <f>IFERROR(__xludf.DUMMYFUNCTION("IF(A138&gt;0,MIN(FILTER('Барабан'!AJ:AJ,'Барабан'!K:K=A138)),"""")"),"")</f>
        <v/>
      </c>
      <c r="O138" s="16" t="str">
        <f>IFERROR(__xludf.DUMMYFUNCTION("IF(A138&gt;0,IFERROR(MAX(FILTER('Барабан'!AJ:AJ,'Барабан'!V:V=A138)),""–""),"""")"),"")</f>
        <v/>
      </c>
    </row>
    <row r="139" ht="15.75" customHeight="1">
      <c r="A139" s="1" t="str">
        <f>'Справочник'!E134</f>
        <v/>
      </c>
      <c r="B139" s="2" t="str">
        <f>IF(A139&gt;0,SUMIF('Барабан'!K:K,A139,'Барабан'!I:I),"")</f>
        <v/>
      </c>
      <c r="C139" s="2" t="str">
        <f>IF(A139&gt;0,SUMIF('Барабан'!V:V,A139,'Барабан'!T:T),"")</f>
        <v/>
      </c>
      <c r="D139" s="2" t="str">
        <f>IF(A139&gt;0,SUMIF('Барабан'!K:K,A139,'Барабан'!AG:AG)+SUMIF('Барабан'!V:V,A139,'Барабан'!AG:AG),"")</f>
        <v/>
      </c>
      <c r="E139" s="2" t="str">
        <f t="shared" si="1"/>
        <v/>
      </c>
      <c r="F139" s="2" t="str">
        <f t="array" ref="F139">IFERROR(IF(E139=0,0,INDEX('Справочник'!G:G,MATCH(A139,'Справочник'!F:F,0))))</f>
        <v/>
      </c>
      <c r="G139" s="2" t="str">
        <f>IF(A139&gt;0,SUMIF('Барабан'!K:K,A139,'Барабан'!P:P),"")</f>
        <v/>
      </c>
      <c r="H139" s="2" t="str">
        <f>IF(A139&gt;0,SUMIF('Барабан'!V:V,A139,'Барабан'!AA:AA),"")</f>
        <v/>
      </c>
      <c r="I139" s="2" t="str">
        <f t="shared" si="4"/>
        <v/>
      </c>
      <c r="J139" s="9" t="str">
        <f t="shared" si="2"/>
        <v/>
      </c>
      <c r="K139" s="1" t="str">
        <f>IF(A139&gt;0,COUNTIF('Барабан'!K:K,A139),"")</f>
        <v/>
      </c>
      <c r="L139" s="1" t="str">
        <f>IF(A139&gt;0,COUNTIF('Барабан'!V:V,A139),"")</f>
        <v/>
      </c>
      <c r="M139" s="1" t="str">
        <f t="shared" si="3"/>
        <v/>
      </c>
      <c r="N139" s="1" t="str">
        <f>IFERROR(__xludf.DUMMYFUNCTION("IF(A139&gt;0,MIN(FILTER('Барабан'!AJ:AJ,'Барабан'!K:K=A139)),"""")"),"")</f>
        <v/>
      </c>
      <c r="O139" s="16" t="str">
        <f>IFERROR(__xludf.DUMMYFUNCTION("IF(A139&gt;0,IFERROR(MAX(FILTER('Барабан'!AJ:AJ,'Барабан'!V:V=A139)),""–""),"""")"),"")</f>
        <v/>
      </c>
    </row>
    <row r="140" ht="15.75" customHeight="1">
      <c r="A140" s="1" t="str">
        <f>'Справочник'!E135</f>
        <v/>
      </c>
      <c r="B140" s="2" t="str">
        <f>IF(A140&gt;0,SUMIF('Барабан'!K:K,A140,'Барабан'!I:I),"")</f>
        <v/>
      </c>
      <c r="C140" s="2" t="str">
        <f>IF(A140&gt;0,SUMIF('Барабан'!V:V,A140,'Барабан'!T:T),"")</f>
        <v/>
      </c>
      <c r="D140" s="2" t="str">
        <f>IF(A140&gt;0,SUMIF('Барабан'!K:K,A140,'Барабан'!AG:AG)+SUMIF('Барабан'!V:V,A140,'Барабан'!AG:AG),"")</f>
        <v/>
      </c>
      <c r="E140" s="2" t="str">
        <f t="shared" si="1"/>
        <v/>
      </c>
      <c r="F140" s="2" t="str">
        <f t="array" ref="F140">IFERROR(IF(E140=0,0,INDEX('Справочник'!G:G,MATCH(A140,'Справочник'!F:F,0))))</f>
        <v/>
      </c>
      <c r="G140" s="2" t="str">
        <f>IF(A140&gt;0,SUMIF('Барабан'!K:K,A140,'Барабан'!P:P),"")</f>
        <v/>
      </c>
      <c r="H140" s="2" t="str">
        <f>IF(A140&gt;0,SUMIF('Барабан'!V:V,A140,'Барабан'!AA:AA),"")</f>
        <v/>
      </c>
      <c r="I140" s="2" t="str">
        <f t="shared" si="4"/>
        <v/>
      </c>
      <c r="J140" s="9" t="str">
        <f t="shared" si="2"/>
        <v/>
      </c>
      <c r="K140" s="1" t="str">
        <f>IF(A140&gt;0,COUNTIF('Барабан'!K:K,A140),"")</f>
        <v/>
      </c>
      <c r="L140" s="1" t="str">
        <f>IF(A140&gt;0,COUNTIF('Барабан'!V:V,A140),"")</f>
        <v/>
      </c>
      <c r="M140" s="1" t="str">
        <f t="shared" si="3"/>
        <v/>
      </c>
      <c r="N140" s="1" t="str">
        <f>IFERROR(__xludf.DUMMYFUNCTION("IF(A140&gt;0,MIN(FILTER('Барабан'!AJ:AJ,'Барабан'!K:K=A140)),"""")"),"")</f>
        <v/>
      </c>
      <c r="O140" s="16" t="str">
        <f>IFERROR(__xludf.DUMMYFUNCTION("IF(A140&gt;0,IFERROR(MAX(FILTER('Барабан'!AJ:AJ,'Барабан'!V:V=A140)),""–""),"""")"),"")</f>
        <v/>
      </c>
    </row>
    <row r="141" ht="15.75" customHeight="1">
      <c r="A141" s="1" t="str">
        <f>'Справочник'!E136</f>
        <v/>
      </c>
      <c r="B141" s="2" t="str">
        <f>IF(A141&gt;0,SUMIF('Барабан'!K:K,A141,'Барабан'!I:I),"")</f>
        <v/>
      </c>
      <c r="C141" s="2" t="str">
        <f>IF(A141&gt;0,SUMIF('Барабан'!V:V,A141,'Барабан'!T:T),"")</f>
        <v/>
      </c>
      <c r="D141" s="2" t="str">
        <f>IF(A141&gt;0,SUMIF('Барабан'!K:K,A141,'Барабан'!AG:AG)+SUMIF('Барабан'!V:V,A141,'Барабан'!AG:AG),"")</f>
        <v/>
      </c>
      <c r="E141" s="2" t="str">
        <f t="shared" si="1"/>
        <v/>
      </c>
      <c r="F141" s="2" t="str">
        <f t="array" ref="F141">IFERROR(IF(E141=0,0,INDEX('Справочник'!G:G,MATCH(A141,'Справочник'!F:F,0))))</f>
        <v/>
      </c>
      <c r="G141" s="2" t="str">
        <f>IF(A141&gt;0,SUMIF('Барабан'!K:K,A141,'Барабан'!P:P),"")</f>
        <v/>
      </c>
      <c r="H141" s="2" t="str">
        <f>IF(A141&gt;0,SUMIF('Барабан'!V:V,A141,'Барабан'!AA:AA),"")</f>
        <v/>
      </c>
      <c r="I141" s="2" t="str">
        <f t="shared" si="4"/>
        <v/>
      </c>
      <c r="J141" s="9" t="str">
        <f t="shared" si="2"/>
        <v/>
      </c>
      <c r="K141" s="1" t="str">
        <f>IF(A141&gt;0,COUNTIF('Барабан'!K:K,A141),"")</f>
        <v/>
      </c>
      <c r="L141" s="1" t="str">
        <f>IF(A141&gt;0,COUNTIF('Барабан'!V:V,A141),"")</f>
        <v/>
      </c>
      <c r="M141" s="1" t="str">
        <f t="shared" si="3"/>
        <v/>
      </c>
      <c r="N141" s="1" t="str">
        <f>IFERROR(__xludf.DUMMYFUNCTION("IF(A141&gt;0,MIN(FILTER('Барабан'!AJ:AJ,'Барабан'!K:K=A141)),"""")"),"")</f>
        <v/>
      </c>
      <c r="O141" s="16" t="str">
        <f>IFERROR(__xludf.DUMMYFUNCTION("IF(A141&gt;0,IFERROR(MAX(FILTER('Барабан'!AJ:AJ,'Барабан'!V:V=A141)),""–""),"""")"),"")</f>
        <v/>
      </c>
    </row>
    <row r="142" ht="15.75" customHeight="1">
      <c r="A142" s="1" t="str">
        <f>'Справочник'!E137</f>
        <v/>
      </c>
      <c r="B142" s="2" t="str">
        <f>IF(A142&gt;0,SUMIF('Барабан'!K:K,A142,'Барабан'!I:I),"")</f>
        <v/>
      </c>
      <c r="C142" s="2" t="str">
        <f>IF(A142&gt;0,SUMIF('Барабан'!V:V,A142,'Барабан'!T:T),"")</f>
        <v/>
      </c>
      <c r="D142" s="2" t="str">
        <f>IF(A142&gt;0,SUMIF('Барабан'!K:K,A142,'Барабан'!AG:AG)+SUMIF('Барабан'!V:V,A142,'Барабан'!AG:AG),"")</f>
        <v/>
      </c>
      <c r="E142" s="2" t="str">
        <f t="shared" si="1"/>
        <v/>
      </c>
      <c r="F142" s="2" t="str">
        <f t="array" ref="F142">IFERROR(IF(E142=0,0,INDEX('Справочник'!G:G,MATCH(A142,'Справочник'!F:F,0))))</f>
        <v/>
      </c>
      <c r="G142" s="2" t="str">
        <f>IF(A142&gt;0,SUMIF('Барабан'!K:K,A142,'Барабан'!P:P),"")</f>
        <v/>
      </c>
      <c r="H142" s="2" t="str">
        <f>IF(A142&gt;0,SUMIF('Барабан'!V:V,A142,'Барабан'!AA:AA),"")</f>
        <v/>
      </c>
      <c r="I142" s="2" t="str">
        <f t="shared" si="4"/>
        <v/>
      </c>
      <c r="J142" s="9" t="str">
        <f t="shared" si="2"/>
        <v/>
      </c>
      <c r="K142" s="1" t="str">
        <f>IF(A142&gt;0,COUNTIF('Барабан'!K:K,A142),"")</f>
        <v/>
      </c>
      <c r="L142" s="1" t="str">
        <f>IF(A142&gt;0,COUNTIF('Барабан'!V:V,A142),"")</f>
        <v/>
      </c>
      <c r="M142" s="1" t="str">
        <f t="shared" si="3"/>
        <v/>
      </c>
      <c r="N142" s="1" t="str">
        <f>IFERROR(__xludf.DUMMYFUNCTION("IF(A142&gt;0,MIN(FILTER('Барабан'!AJ:AJ,'Барабан'!K:K=A142)),"""")"),"")</f>
        <v/>
      </c>
      <c r="O142" s="16" t="str">
        <f>IFERROR(__xludf.DUMMYFUNCTION("IF(A142&gt;0,IFERROR(MAX(FILTER('Барабан'!AJ:AJ,'Барабан'!V:V=A142)),""–""),"""")"),"")</f>
        <v/>
      </c>
    </row>
    <row r="143" ht="15.75" customHeight="1">
      <c r="A143" s="1" t="str">
        <f>'Справочник'!E138</f>
        <v/>
      </c>
      <c r="B143" s="2" t="str">
        <f>IF(A143&gt;0,SUMIF('Барабан'!K:K,A143,'Барабан'!I:I),"")</f>
        <v/>
      </c>
      <c r="C143" s="2" t="str">
        <f>IF(A143&gt;0,SUMIF('Барабан'!V:V,A143,'Барабан'!T:T),"")</f>
        <v/>
      </c>
      <c r="D143" s="2" t="str">
        <f>IF(A143&gt;0,SUMIF('Барабан'!K:K,A143,'Барабан'!AG:AG)+SUMIF('Барабан'!V:V,A143,'Барабан'!AG:AG),"")</f>
        <v/>
      </c>
      <c r="E143" s="2" t="str">
        <f t="shared" si="1"/>
        <v/>
      </c>
      <c r="F143" s="2" t="str">
        <f t="array" ref="F143">IFERROR(IF(E143=0,0,INDEX('Справочник'!G:G,MATCH(A143,'Справочник'!F:F,0))))</f>
        <v/>
      </c>
      <c r="G143" s="2" t="str">
        <f>IF(A143&gt;0,SUMIF('Барабан'!K:K,A143,'Барабан'!P:P),"")</f>
        <v/>
      </c>
      <c r="H143" s="2" t="str">
        <f>IF(A143&gt;0,SUMIF('Барабан'!V:V,A143,'Барабан'!AA:AA),"")</f>
        <v/>
      </c>
      <c r="I143" s="2" t="str">
        <f t="shared" si="4"/>
        <v/>
      </c>
      <c r="J143" s="9" t="str">
        <f t="shared" si="2"/>
        <v/>
      </c>
      <c r="K143" s="1" t="str">
        <f>IF(A143&gt;0,COUNTIF('Барабан'!K:K,A143),"")</f>
        <v/>
      </c>
      <c r="L143" s="1" t="str">
        <f>IF(A143&gt;0,COUNTIF('Барабан'!V:V,A143),"")</f>
        <v/>
      </c>
      <c r="M143" s="1" t="str">
        <f t="shared" si="3"/>
        <v/>
      </c>
      <c r="N143" s="1" t="str">
        <f>IFERROR(__xludf.DUMMYFUNCTION("IF(A143&gt;0,MIN(FILTER('Барабан'!AJ:AJ,'Барабан'!K:K=A143)),"""")"),"")</f>
        <v/>
      </c>
      <c r="O143" s="16" t="str">
        <f>IFERROR(__xludf.DUMMYFUNCTION("IF(A143&gt;0,IFERROR(MAX(FILTER('Барабан'!AJ:AJ,'Барабан'!V:V=A143)),""–""),"""")"),"")</f>
        <v/>
      </c>
    </row>
    <row r="144" ht="15.75" customHeight="1">
      <c r="A144" s="1" t="str">
        <f>'Справочник'!E139</f>
        <v/>
      </c>
      <c r="B144" s="2" t="str">
        <f>IF(A144&gt;0,SUMIF('Барабан'!K:K,A144,'Барабан'!I:I),"")</f>
        <v/>
      </c>
      <c r="C144" s="2" t="str">
        <f>IF(A144&gt;0,SUMIF('Барабан'!V:V,A144,'Барабан'!T:T),"")</f>
        <v/>
      </c>
      <c r="D144" s="2" t="str">
        <f>IF(A144&gt;0,SUMIF('Барабан'!K:K,A144,'Барабан'!AG:AG)+SUMIF('Барабан'!V:V,A144,'Барабан'!AG:AG),"")</f>
        <v/>
      </c>
      <c r="E144" s="2" t="str">
        <f t="shared" si="1"/>
        <v/>
      </c>
      <c r="F144" s="2" t="str">
        <f t="array" ref="F144">IFERROR(IF(E144=0,0,INDEX('Справочник'!G:G,MATCH(A144,'Справочник'!F:F,0))))</f>
        <v/>
      </c>
      <c r="G144" s="2" t="str">
        <f>IF(A144&gt;0,SUMIF('Барабан'!K:K,A144,'Барабан'!P:P),"")</f>
        <v/>
      </c>
      <c r="H144" s="2" t="str">
        <f>IF(A144&gt;0,SUMIF('Барабан'!V:V,A144,'Барабан'!AA:AA),"")</f>
        <v/>
      </c>
      <c r="I144" s="2" t="str">
        <f t="shared" si="4"/>
        <v/>
      </c>
      <c r="J144" s="9" t="str">
        <f t="shared" si="2"/>
        <v/>
      </c>
      <c r="K144" s="1" t="str">
        <f>IF(A144&gt;0,COUNTIF('Барабан'!K:K,A144),"")</f>
        <v/>
      </c>
      <c r="L144" s="1" t="str">
        <f>IF(A144&gt;0,COUNTIF('Барабан'!V:V,A144),"")</f>
        <v/>
      </c>
      <c r="M144" s="1" t="str">
        <f t="shared" si="3"/>
        <v/>
      </c>
      <c r="N144" s="1" t="str">
        <f>IFERROR(__xludf.DUMMYFUNCTION("IF(A144&gt;0,MIN(FILTER('Барабан'!AJ:AJ,'Барабан'!K:K=A144)),"""")"),"")</f>
        <v/>
      </c>
      <c r="O144" s="16" t="str">
        <f>IFERROR(__xludf.DUMMYFUNCTION("IF(A144&gt;0,IFERROR(MAX(FILTER('Барабан'!AJ:AJ,'Барабан'!V:V=A144)),""–""),"""")"),"")</f>
        <v/>
      </c>
    </row>
    <row r="145" ht="15.75" customHeight="1">
      <c r="A145" s="1" t="str">
        <f>'Справочник'!E140</f>
        <v/>
      </c>
      <c r="B145" s="2" t="str">
        <f>IF(A145&gt;0,SUMIF('Барабан'!K:K,A145,'Барабан'!I:I),"")</f>
        <v/>
      </c>
      <c r="C145" s="2" t="str">
        <f>IF(A145&gt;0,SUMIF('Барабан'!V:V,A145,'Барабан'!T:T),"")</f>
        <v/>
      </c>
      <c r="D145" s="2" t="str">
        <f>IF(A145&gt;0,SUMIF('Барабан'!K:K,A145,'Барабан'!AG:AG)+SUMIF('Барабан'!V:V,A145,'Барабан'!AG:AG),"")</f>
        <v/>
      </c>
      <c r="E145" s="2" t="str">
        <f t="shared" si="1"/>
        <v/>
      </c>
      <c r="F145" s="2" t="str">
        <f t="array" ref="F145">IFERROR(IF(E145=0,0,INDEX('Справочник'!G:G,MATCH(A145,'Справочник'!F:F,0))))</f>
        <v/>
      </c>
      <c r="G145" s="2" t="str">
        <f>IF(A145&gt;0,SUMIF('Барабан'!K:K,A145,'Барабан'!P:P),"")</f>
        <v/>
      </c>
      <c r="H145" s="2" t="str">
        <f>IF(A145&gt;0,SUMIF('Барабан'!V:V,A145,'Барабан'!AA:AA),"")</f>
        <v/>
      </c>
      <c r="I145" s="2" t="str">
        <f t="shared" si="4"/>
        <v/>
      </c>
      <c r="J145" s="9" t="str">
        <f t="shared" si="2"/>
        <v/>
      </c>
      <c r="K145" s="1" t="str">
        <f>IF(A145&gt;0,COUNTIF('Барабан'!K:K,A145),"")</f>
        <v/>
      </c>
      <c r="L145" s="1" t="str">
        <f>IF(A145&gt;0,COUNTIF('Барабан'!V:V,A145),"")</f>
        <v/>
      </c>
      <c r="M145" s="1" t="str">
        <f t="shared" si="3"/>
        <v/>
      </c>
      <c r="N145" s="1" t="str">
        <f>IFERROR(__xludf.DUMMYFUNCTION("IF(A145&gt;0,MIN(FILTER('Барабан'!AJ:AJ,'Барабан'!K:K=A145)),"""")"),"")</f>
        <v/>
      </c>
      <c r="O145" s="16" t="str">
        <f>IFERROR(__xludf.DUMMYFUNCTION("IF(A145&gt;0,IFERROR(MAX(FILTER('Барабан'!AJ:AJ,'Барабан'!V:V=A145)),""–""),"""")"),"")</f>
        <v/>
      </c>
    </row>
    <row r="146" ht="15.75" customHeight="1">
      <c r="A146" s="1" t="str">
        <f>'Справочник'!E141</f>
        <v/>
      </c>
      <c r="B146" s="2" t="str">
        <f>IF(A146&gt;0,SUMIF('Барабан'!K:K,A146,'Барабан'!I:I),"")</f>
        <v/>
      </c>
      <c r="C146" s="2" t="str">
        <f>IF(A146&gt;0,SUMIF('Барабан'!V:V,A146,'Барабан'!T:T),"")</f>
        <v/>
      </c>
      <c r="D146" s="2" t="str">
        <f>IF(A146&gt;0,SUMIF('Барабан'!K:K,A146,'Барабан'!AG:AG)+SUMIF('Барабан'!V:V,A146,'Барабан'!AG:AG),"")</f>
        <v/>
      </c>
      <c r="E146" s="2" t="str">
        <f t="shared" si="1"/>
        <v/>
      </c>
      <c r="F146" s="2" t="str">
        <f t="array" ref="F146">IFERROR(IF(E146=0,0,INDEX('Справочник'!G:G,MATCH(A146,'Справочник'!F:F,0))))</f>
        <v/>
      </c>
      <c r="G146" s="2" t="str">
        <f>IF(A146&gt;0,SUMIF('Барабан'!K:K,A146,'Барабан'!P:P),"")</f>
        <v/>
      </c>
      <c r="H146" s="2" t="str">
        <f>IF(A146&gt;0,SUMIF('Барабан'!V:V,A146,'Барабан'!AA:AA),"")</f>
        <v/>
      </c>
      <c r="I146" s="2" t="str">
        <f t="shared" si="4"/>
        <v/>
      </c>
      <c r="J146" s="9" t="str">
        <f t="shared" si="2"/>
        <v/>
      </c>
      <c r="K146" s="1" t="str">
        <f>IF(A146&gt;0,COUNTIF('Барабан'!K:K,A146),"")</f>
        <v/>
      </c>
      <c r="L146" s="1" t="str">
        <f>IF(A146&gt;0,COUNTIF('Барабан'!V:V,A146),"")</f>
        <v/>
      </c>
      <c r="M146" s="1" t="str">
        <f t="shared" si="3"/>
        <v/>
      </c>
      <c r="N146" s="1" t="str">
        <f>IFERROR(__xludf.DUMMYFUNCTION("IF(A146&gt;0,MIN(FILTER('Барабан'!AJ:AJ,'Барабан'!K:K=A146)),"""")"),"")</f>
        <v/>
      </c>
      <c r="O146" s="16" t="str">
        <f>IFERROR(__xludf.DUMMYFUNCTION("IF(A146&gt;0,IFERROR(MAX(FILTER('Барабан'!AJ:AJ,'Барабан'!V:V=A146)),""–""),"""")"),"")</f>
        <v/>
      </c>
    </row>
    <row r="147" ht="15.75" customHeight="1">
      <c r="A147" s="1" t="str">
        <f>'Справочник'!E142</f>
        <v/>
      </c>
      <c r="B147" s="2" t="str">
        <f>IF(A147&gt;0,SUMIF('Барабан'!K:K,A147,'Барабан'!I:I),"")</f>
        <v/>
      </c>
      <c r="C147" s="2" t="str">
        <f>IF(A147&gt;0,SUMIF('Барабан'!V:V,A147,'Барабан'!T:T),"")</f>
        <v/>
      </c>
      <c r="D147" s="2" t="str">
        <f>IF(A147&gt;0,SUMIF('Барабан'!K:K,A147,'Барабан'!AG:AG)+SUMIF('Барабан'!V:V,A147,'Барабан'!AG:AG),"")</f>
        <v/>
      </c>
      <c r="E147" s="2" t="str">
        <f t="shared" si="1"/>
        <v/>
      </c>
      <c r="F147" s="2" t="str">
        <f t="array" ref="F147">IFERROR(IF(E147=0,0,INDEX('Справочник'!G:G,MATCH(A147,'Справочник'!F:F,0))))</f>
        <v/>
      </c>
      <c r="G147" s="2" t="str">
        <f>IF(A147&gt;0,SUMIF('Барабан'!K:K,A147,'Барабан'!P:P),"")</f>
        <v/>
      </c>
      <c r="H147" s="2" t="str">
        <f>IF(A147&gt;0,SUMIF('Барабан'!V:V,A147,'Барабан'!AA:AA),"")</f>
        <v/>
      </c>
      <c r="I147" s="2" t="str">
        <f t="shared" si="4"/>
        <v/>
      </c>
      <c r="J147" s="9" t="str">
        <f t="shared" si="2"/>
        <v/>
      </c>
      <c r="K147" s="1" t="str">
        <f>IF(A147&gt;0,COUNTIF('Барабан'!K:K,A147),"")</f>
        <v/>
      </c>
      <c r="L147" s="1" t="str">
        <f>IF(A147&gt;0,COUNTIF('Барабан'!V:V,A147),"")</f>
        <v/>
      </c>
      <c r="M147" s="1" t="str">
        <f t="shared" si="3"/>
        <v/>
      </c>
      <c r="N147" s="1" t="str">
        <f>IFERROR(__xludf.DUMMYFUNCTION("IF(A147&gt;0,MIN(FILTER('Барабан'!AJ:AJ,'Барабан'!K:K=A147)),"""")"),"")</f>
        <v/>
      </c>
      <c r="O147" s="16" t="str">
        <f>IFERROR(__xludf.DUMMYFUNCTION("IF(A147&gt;0,IFERROR(MAX(FILTER('Барабан'!AJ:AJ,'Барабан'!V:V=A147)),""–""),"""")"),"")</f>
        <v/>
      </c>
    </row>
    <row r="148" ht="15.75" customHeight="1">
      <c r="A148" s="1" t="str">
        <f>'Справочник'!E143</f>
        <v/>
      </c>
      <c r="B148" s="2" t="str">
        <f>IF(A148&gt;0,SUMIF('Барабан'!K:K,A148,'Барабан'!I:I),"")</f>
        <v/>
      </c>
      <c r="C148" s="2" t="str">
        <f>IF(A148&gt;0,SUMIF('Барабан'!V:V,A148,'Барабан'!T:T),"")</f>
        <v/>
      </c>
      <c r="D148" s="2" t="str">
        <f>IF(A148&gt;0,SUMIF('Барабан'!K:K,A148,'Барабан'!AG:AG)+SUMIF('Барабан'!V:V,A148,'Барабан'!AG:AG),"")</f>
        <v/>
      </c>
      <c r="E148" s="2" t="str">
        <f t="shared" si="1"/>
        <v/>
      </c>
      <c r="F148" s="2" t="str">
        <f t="array" ref="F148">IFERROR(IF(E148=0,0,INDEX('Справочник'!G:G,MATCH(A148,'Справочник'!F:F,0))))</f>
        <v/>
      </c>
      <c r="G148" s="2" t="str">
        <f>IF(A148&gt;0,SUMIF('Барабан'!K:K,A148,'Барабан'!P:P),"")</f>
        <v/>
      </c>
      <c r="H148" s="2" t="str">
        <f>IF(A148&gt;0,SUMIF('Барабан'!V:V,A148,'Барабан'!AA:AA),"")</f>
        <v/>
      </c>
      <c r="I148" s="2" t="str">
        <f t="shared" si="4"/>
        <v/>
      </c>
      <c r="J148" s="9" t="str">
        <f t="shared" si="2"/>
        <v/>
      </c>
      <c r="K148" s="1" t="str">
        <f>IF(A148&gt;0,COUNTIF('Барабан'!K:K,A148),"")</f>
        <v/>
      </c>
      <c r="L148" s="1" t="str">
        <f>IF(A148&gt;0,COUNTIF('Барабан'!V:V,A148),"")</f>
        <v/>
      </c>
      <c r="M148" s="1" t="str">
        <f t="shared" si="3"/>
        <v/>
      </c>
      <c r="N148" s="1" t="str">
        <f>IFERROR(__xludf.DUMMYFUNCTION("IF(A148&gt;0,MIN(FILTER('Барабан'!AJ:AJ,'Барабан'!K:K=A148)),"""")"),"")</f>
        <v/>
      </c>
      <c r="O148" s="16" t="str">
        <f>IFERROR(__xludf.DUMMYFUNCTION("IF(A148&gt;0,IFERROR(MAX(FILTER('Барабан'!AJ:AJ,'Барабан'!V:V=A148)),""–""),"""")"),"")</f>
        <v/>
      </c>
    </row>
    <row r="149" ht="15.75" customHeight="1">
      <c r="A149" s="1" t="str">
        <f>'Справочник'!E144</f>
        <v/>
      </c>
      <c r="B149" s="2" t="str">
        <f>IF(A149&gt;0,SUMIF('Барабан'!K:K,A149,'Барабан'!I:I),"")</f>
        <v/>
      </c>
      <c r="C149" s="2" t="str">
        <f>IF(A149&gt;0,SUMIF('Барабан'!V:V,A149,'Барабан'!T:T),"")</f>
        <v/>
      </c>
      <c r="D149" s="2" t="str">
        <f>IF(A149&gt;0,SUMIF('Барабан'!K:K,A149,'Барабан'!AG:AG)+SUMIF('Барабан'!V:V,A149,'Барабан'!AG:AG),"")</f>
        <v/>
      </c>
      <c r="E149" s="2" t="str">
        <f t="shared" si="1"/>
        <v/>
      </c>
      <c r="F149" s="2" t="str">
        <f t="array" ref="F149">IFERROR(IF(E149=0,0,INDEX('Справочник'!G:G,MATCH(A149,'Справочник'!F:F,0))))</f>
        <v/>
      </c>
      <c r="G149" s="2" t="str">
        <f>IF(A149&gt;0,SUMIF('Барабан'!K:K,A149,'Барабан'!P:P),"")</f>
        <v/>
      </c>
      <c r="H149" s="2" t="str">
        <f>IF(A149&gt;0,SUMIF('Барабан'!V:V,A149,'Барабан'!AA:AA),"")</f>
        <v/>
      </c>
      <c r="I149" s="2" t="str">
        <f t="shared" si="4"/>
        <v/>
      </c>
      <c r="J149" s="9" t="str">
        <f t="shared" si="2"/>
        <v/>
      </c>
      <c r="K149" s="1" t="str">
        <f>IF(A149&gt;0,COUNTIF('Барабан'!K:K,A149),"")</f>
        <v/>
      </c>
      <c r="L149" s="1" t="str">
        <f>IF(A149&gt;0,COUNTIF('Барабан'!V:V,A149),"")</f>
        <v/>
      </c>
      <c r="M149" s="1" t="str">
        <f t="shared" si="3"/>
        <v/>
      </c>
      <c r="N149" s="1" t="str">
        <f>IFERROR(__xludf.DUMMYFUNCTION("IF(A149&gt;0,MIN(FILTER('Барабан'!AJ:AJ,'Барабан'!K:K=A149)),"""")"),"")</f>
        <v/>
      </c>
      <c r="O149" s="16" t="str">
        <f>IFERROR(__xludf.DUMMYFUNCTION("IF(A149&gt;0,IFERROR(MAX(FILTER('Барабан'!AJ:AJ,'Барабан'!V:V=A149)),""–""),"""")"),"")</f>
        <v/>
      </c>
    </row>
    <row r="150" ht="15.75" customHeight="1">
      <c r="A150" s="1" t="str">
        <f>'Справочник'!E145</f>
        <v/>
      </c>
      <c r="B150" s="2" t="str">
        <f>IF(A150&gt;0,SUMIF('Барабан'!K:K,A150,'Барабан'!I:I),"")</f>
        <v/>
      </c>
      <c r="C150" s="2" t="str">
        <f>IF(A150&gt;0,SUMIF('Барабан'!V:V,A150,'Барабан'!T:T),"")</f>
        <v/>
      </c>
      <c r="D150" s="2" t="str">
        <f>IF(A150&gt;0,SUMIF('Барабан'!K:K,A150,'Барабан'!AG:AG)+SUMIF('Барабан'!V:V,A150,'Барабан'!AG:AG),"")</f>
        <v/>
      </c>
      <c r="E150" s="2" t="str">
        <f t="shared" si="1"/>
        <v/>
      </c>
      <c r="F150" s="2" t="str">
        <f t="array" ref="F150">IFERROR(IF(E150=0,0,INDEX('Справочник'!G:G,MATCH(A150,'Справочник'!F:F,0))))</f>
        <v/>
      </c>
      <c r="G150" s="2" t="str">
        <f>IF(A150&gt;0,SUMIF('Барабан'!K:K,A150,'Барабан'!P:P),"")</f>
        <v/>
      </c>
      <c r="H150" s="2" t="str">
        <f>IF(A150&gt;0,SUMIF('Барабан'!V:V,A150,'Барабан'!AA:AA),"")</f>
        <v/>
      </c>
      <c r="I150" s="2" t="str">
        <f t="shared" si="4"/>
        <v/>
      </c>
      <c r="J150" s="9" t="str">
        <f t="shared" si="2"/>
        <v/>
      </c>
      <c r="K150" s="1" t="str">
        <f>IF(A150&gt;0,COUNTIF('Барабан'!K:K,A150),"")</f>
        <v/>
      </c>
      <c r="L150" s="1" t="str">
        <f>IF(A150&gt;0,COUNTIF('Барабан'!V:V,A150),"")</f>
        <v/>
      </c>
      <c r="M150" s="1" t="str">
        <f t="shared" si="3"/>
        <v/>
      </c>
      <c r="N150" s="1" t="str">
        <f>IFERROR(__xludf.DUMMYFUNCTION("IF(A150&gt;0,MIN(FILTER('Барабан'!AJ:AJ,'Барабан'!K:K=A150)),"""")"),"")</f>
        <v/>
      </c>
      <c r="O150" s="16" t="str">
        <f>IFERROR(__xludf.DUMMYFUNCTION("IF(A150&gt;0,IFERROR(MAX(FILTER('Барабан'!AJ:AJ,'Барабан'!V:V=A150)),""–""),"""")"),"")</f>
        <v/>
      </c>
    </row>
    <row r="151" ht="15.75" customHeight="1">
      <c r="A151" s="1" t="str">
        <f>'Справочник'!E146</f>
        <v/>
      </c>
      <c r="B151" s="2" t="str">
        <f>IF(A151&gt;0,SUMIF('Барабан'!K:K,A151,'Барабан'!I:I),"")</f>
        <v/>
      </c>
      <c r="C151" s="2" t="str">
        <f>IF(A151&gt;0,SUMIF('Барабан'!V:V,A151,'Барабан'!T:T),"")</f>
        <v/>
      </c>
      <c r="D151" s="2" t="str">
        <f>IF(A151&gt;0,SUMIF('Барабан'!K:K,A151,'Барабан'!AG:AG)+SUMIF('Барабан'!V:V,A151,'Барабан'!AG:AG),"")</f>
        <v/>
      </c>
      <c r="E151" s="2" t="str">
        <f t="shared" si="1"/>
        <v/>
      </c>
      <c r="F151" s="2" t="str">
        <f t="array" ref="F151">IFERROR(IF(E151=0,0,INDEX('Справочник'!G:G,MATCH(A151,'Справочник'!F:F,0))))</f>
        <v/>
      </c>
      <c r="G151" s="2" t="str">
        <f>IF(A151&gt;0,SUMIF('Барабан'!K:K,A151,'Барабан'!P:P),"")</f>
        <v/>
      </c>
      <c r="H151" s="2" t="str">
        <f>IF(A151&gt;0,SUMIF('Барабан'!V:V,A151,'Барабан'!AA:AA),"")</f>
        <v/>
      </c>
      <c r="I151" s="2" t="str">
        <f t="shared" si="4"/>
        <v/>
      </c>
      <c r="J151" s="9" t="str">
        <f t="shared" si="2"/>
        <v/>
      </c>
      <c r="K151" s="1" t="str">
        <f>IF(A151&gt;0,COUNTIF('Барабан'!K:K,A151),"")</f>
        <v/>
      </c>
      <c r="L151" s="1" t="str">
        <f>IF(A151&gt;0,COUNTIF('Барабан'!V:V,A151),"")</f>
        <v/>
      </c>
      <c r="M151" s="1" t="str">
        <f t="shared" si="3"/>
        <v/>
      </c>
      <c r="N151" s="1" t="str">
        <f>IFERROR(__xludf.DUMMYFUNCTION("IF(A151&gt;0,MIN(FILTER('Барабан'!AJ:AJ,'Барабан'!K:K=A151)),"""")"),"")</f>
        <v/>
      </c>
      <c r="O151" s="16" t="str">
        <f>IFERROR(__xludf.DUMMYFUNCTION("IF(A151&gt;0,IFERROR(MAX(FILTER('Барабан'!AJ:AJ,'Барабан'!V:V=A151)),""–""),"""")"),"")</f>
        <v/>
      </c>
    </row>
    <row r="152" ht="15.75" customHeight="1">
      <c r="A152" s="1" t="str">
        <f>'Справочник'!E147</f>
        <v/>
      </c>
      <c r="B152" s="2" t="str">
        <f>IF(A152&gt;0,SUMIF('Барабан'!K:K,A152,'Барабан'!I:I),"")</f>
        <v/>
      </c>
      <c r="C152" s="2" t="str">
        <f>IF(A152&gt;0,SUMIF('Барабан'!V:V,A152,'Барабан'!T:T),"")</f>
        <v/>
      </c>
      <c r="D152" s="2" t="str">
        <f>IF(A152&gt;0,SUMIF('Барабан'!K:K,A152,'Барабан'!AG:AG)+SUMIF('Барабан'!V:V,A152,'Барабан'!AG:AG),"")</f>
        <v/>
      </c>
      <c r="E152" s="2" t="str">
        <f t="shared" si="1"/>
        <v/>
      </c>
      <c r="F152" s="2" t="str">
        <f t="array" ref="F152">IFERROR(IF(E152=0,0,INDEX('Справочник'!G:G,MATCH(A152,'Справочник'!F:F,0))))</f>
        <v/>
      </c>
      <c r="G152" s="2" t="str">
        <f>IF(A152&gt;0,SUMIF('Барабан'!K:K,A152,'Барабан'!P:P),"")</f>
        <v/>
      </c>
      <c r="H152" s="2" t="str">
        <f>IF(A152&gt;0,SUMIF('Барабан'!V:V,A152,'Барабан'!AA:AA),"")</f>
        <v/>
      </c>
      <c r="I152" s="2" t="str">
        <f t="shared" si="4"/>
        <v/>
      </c>
      <c r="J152" s="9" t="str">
        <f t="shared" si="2"/>
        <v/>
      </c>
      <c r="K152" s="1" t="str">
        <f>IF(A152&gt;0,COUNTIF('Барабан'!K:K,A152),"")</f>
        <v/>
      </c>
      <c r="L152" s="1" t="str">
        <f>IF(A152&gt;0,COUNTIF('Барабан'!V:V,A152),"")</f>
        <v/>
      </c>
      <c r="M152" s="1" t="str">
        <f t="shared" si="3"/>
        <v/>
      </c>
      <c r="N152" s="1" t="str">
        <f>IFERROR(__xludf.DUMMYFUNCTION("IF(A152&gt;0,MIN(FILTER('Барабан'!AJ:AJ,'Барабан'!K:K=A152)),"""")"),"")</f>
        <v/>
      </c>
      <c r="O152" s="16" t="str">
        <f>IFERROR(__xludf.DUMMYFUNCTION("IF(A152&gt;0,IFERROR(MAX(FILTER('Барабан'!AJ:AJ,'Барабан'!V:V=A152)),""–""),"""")"),"")</f>
        <v/>
      </c>
    </row>
    <row r="153" ht="15.75" customHeight="1">
      <c r="A153" s="1" t="str">
        <f>'Справочник'!E148</f>
        <v/>
      </c>
      <c r="B153" s="2" t="str">
        <f>IF(A153&gt;0,SUMIF('Барабан'!K:K,A153,'Барабан'!I:I),"")</f>
        <v/>
      </c>
      <c r="C153" s="2" t="str">
        <f>IF(A153&gt;0,SUMIF('Барабан'!V:V,A153,'Барабан'!T:T),"")</f>
        <v/>
      </c>
      <c r="D153" s="2" t="str">
        <f>IF(A153&gt;0,SUMIF('Барабан'!K:K,A153,'Барабан'!AG:AG)+SUMIF('Барабан'!V:V,A153,'Барабан'!AG:AG),"")</f>
        <v/>
      </c>
      <c r="E153" s="2" t="str">
        <f t="shared" si="1"/>
        <v/>
      </c>
      <c r="F153" s="2" t="str">
        <f t="array" ref="F153">IFERROR(IF(E153=0,0,INDEX('Справочник'!G:G,MATCH(A153,'Справочник'!F:F,0))))</f>
        <v/>
      </c>
      <c r="G153" s="2" t="str">
        <f>IF(A153&gt;0,SUMIF('Барабан'!K:K,A153,'Барабан'!P:P),"")</f>
        <v/>
      </c>
      <c r="H153" s="2" t="str">
        <f>IF(A153&gt;0,SUMIF('Барабан'!V:V,A153,'Барабан'!AA:AA),"")</f>
        <v/>
      </c>
      <c r="I153" s="2" t="str">
        <f t="shared" si="4"/>
        <v/>
      </c>
      <c r="J153" s="9" t="str">
        <f t="shared" si="2"/>
        <v/>
      </c>
      <c r="K153" s="1" t="str">
        <f>IF(A153&gt;0,COUNTIF('Барабан'!K:K,A153),"")</f>
        <v/>
      </c>
      <c r="L153" s="1" t="str">
        <f>IF(A153&gt;0,COUNTIF('Барабан'!V:V,A153),"")</f>
        <v/>
      </c>
      <c r="M153" s="1" t="str">
        <f t="shared" si="3"/>
        <v/>
      </c>
      <c r="N153" s="1" t="str">
        <f>IFERROR(__xludf.DUMMYFUNCTION("IF(A153&gt;0,MIN(FILTER('Барабан'!AJ:AJ,'Барабан'!K:K=A153)),"""")"),"")</f>
        <v/>
      </c>
      <c r="O153" s="16" t="str">
        <f>IFERROR(__xludf.DUMMYFUNCTION("IF(A153&gt;0,IFERROR(MAX(FILTER('Барабан'!AJ:AJ,'Барабан'!V:V=A153)),""–""),"""")"),"")</f>
        <v/>
      </c>
    </row>
    <row r="154" ht="15.75" customHeight="1">
      <c r="A154" s="1" t="str">
        <f>'Справочник'!E149</f>
        <v/>
      </c>
      <c r="B154" s="2" t="str">
        <f>IF(A154&gt;0,SUMIF('Барабан'!K:K,A154,'Барабан'!I:I),"")</f>
        <v/>
      </c>
      <c r="C154" s="2" t="str">
        <f>IF(A154&gt;0,SUMIF('Барабан'!V:V,A154,'Барабан'!T:T),"")</f>
        <v/>
      </c>
      <c r="D154" s="2" t="str">
        <f>IF(A154&gt;0,SUMIF('Барабан'!K:K,A154,'Барабан'!AG:AG)+SUMIF('Барабан'!V:V,A154,'Барабан'!AG:AG),"")</f>
        <v/>
      </c>
      <c r="E154" s="2" t="str">
        <f t="shared" si="1"/>
        <v/>
      </c>
      <c r="F154" s="2" t="str">
        <f t="array" ref="F154">IFERROR(IF(E154=0,0,INDEX('Справочник'!G:G,MATCH(A154,'Справочник'!F:F,0))))</f>
        <v/>
      </c>
      <c r="G154" s="2" t="str">
        <f>IF(A154&gt;0,SUMIF('Барабан'!K:K,A154,'Барабан'!P:P),"")</f>
        <v/>
      </c>
      <c r="H154" s="2" t="str">
        <f>IF(A154&gt;0,SUMIF('Барабан'!V:V,A154,'Барабан'!AA:AA),"")</f>
        <v/>
      </c>
      <c r="I154" s="2" t="str">
        <f t="shared" si="4"/>
        <v/>
      </c>
      <c r="J154" s="9" t="str">
        <f t="shared" si="2"/>
        <v/>
      </c>
      <c r="K154" s="1" t="str">
        <f>IF(A154&gt;0,COUNTIF('Барабан'!K:K,A154),"")</f>
        <v/>
      </c>
      <c r="L154" s="1" t="str">
        <f>IF(A154&gt;0,COUNTIF('Барабан'!V:V,A154),"")</f>
        <v/>
      </c>
      <c r="M154" s="1" t="str">
        <f t="shared" si="3"/>
        <v/>
      </c>
      <c r="N154" s="1" t="str">
        <f>IFERROR(__xludf.DUMMYFUNCTION("IF(A154&gt;0,MIN(FILTER('Барабан'!AJ:AJ,'Барабан'!K:K=A154)),"""")"),"")</f>
        <v/>
      </c>
      <c r="O154" s="16" t="str">
        <f>IFERROR(__xludf.DUMMYFUNCTION("IF(A154&gt;0,IFERROR(MAX(FILTER('Барабан'!AJ:AJ,'Барабан'!V:V=A154)),""–""),"""")"),"")</f>
        <v/>
      </c>
    </row>
    <row r="155" ht="15.75" customHeight="1">
      <c r="A155" s="1" t="str">
        <f>'Справочник'!E150</f>
        <v/>
      </c>
      <c r="B155" s="2" t="str">
        <f>IF(A155&gt;0,SUMIF('Барабан'!K:K,A155,'Барабан'!I:I),"")</f>
        <v/>
      </c>
      <c r="C155" s="2" t="str">
        <f>IF(A155&gt;0,SUMIF('Барабан'!V:V,A155,'Барабан'!T:T),"")</f>
        <v/>
      </c>
      <c r="D155" s="2" t="str">
        <f>IF(A155&gt;0,SUMIF('Барабан'!K:K,A155,'Барабан'!AG:AG)+SUMIF('Барабан'!V:V,A155,'Барабан'!AG:AG),"")</f>
        <v/>
      </c>
      <c r="E155" s="2" t="str">
        <f t="shared" si="1"/>
        <v/>
      </c>
      <c r="F155" s="2" t="str">
        <f t="array" ref="F155">IFERROR(IF(E155=0,0,INDEX('Справочник'!G:G,MATCH(A155,'Справочник'!F:F,0))))</f>
        <v/>
      </c>
      <c r="G155" s="2" t="str">
        <f>IF(A155&gt;0,SUMIF('Барабан'!K:K,A155,'Барабан'!P:P),"")</f>
        <v/>
      </c>
      <c r="H155" s="2" t="str">
        <f>IF(A155&gt;0,SUMIF('Барабан'!V:V,A155,'Барабан'!AA:AA),"")</f>
        <v/>
      </c>
      <c r="I155" s="2" t="str">
        <f t="shared" si="4"/>
        <v/>
      </c>
      <c r="J155" s="9" t="str">
        <f t="shared" si="2"/>
        <v/>
      </c>
      <c r="K155" s="1" t="str">
        <f>IF(A155&gt;0,COUNTIF('Барабан'!K:K,A155),"")</f>
        <v/>
      </c>
      <c r="L155" s="1" t="str">
        <f>IF(A155&gt;0,COUNTIF('Барабан'!V:V,A155),"")</f>
        <v/>
      </c>
      <c r="M155" s="1" t="str">
        <f t="shared" si="3"/>
        <v/>
      </c>
      <c r="N155" s="1" t="str">
        <f>IFERROR(__xludf.DUMMYFUNCTION("IF(A155&gt;0,MIN(FILTER('Барабан'!AJ:AJ,'Барабан'!K:K=A155)),"""")"),"")</f>
        <v/>
      </c>
      <c r="O155" s="16" t="str">
        <f>IFERROR(__xludf.DUMMYFUNCTION("IF(A155&gt;0,IFERROR(MAX(FILTER('Барабан'!AJ:AJ,'Барабан'!V:V=A155)),""–""),"""")"),"")</f>
        <v/>
      </c>
    </row>
    <row r="156" ht="15.75" customHeight="1">
      <c r="A156" s="1" t="str">
        <f>'Справочник'!E151</f>
        <v/>
      </c>
      <c r="B156" s="2" t="str">
        <f>IF(A156&gt;0,SUMIF('Барабан'!K:K,A156,'Барабан'!I:I),"")</f>
        <v/>
      </c>
      <c r="C156" s="2" t="str">
        <f>IF(A156&gt;0,SUMIF('Барабан'!V:V,A156,'Барабан'!T:T),"")</f>
        <v/>
      </c>
      <c r="D156" s="2" t="str">
        <f>IF(A156&gt;0,SUMIF('Барабан'!K:K,A156,'Барабан'!AG:AG)+SUMIF('Барабан'!V:V,A156,'Барабан'!AG:AG),"")</f>
        <v/>
      </c>
      <c r="E156" s="2" t="str">
        <f t="shared" si="1"/>
        <v/>
      </c>
      <c r="F156" s="2" t="str">
        <f t="array" ref="F156">IFERROR(IF(E156=0,0,INDEX('Справочник'!G:G,MATCH(A156,'Справочник'!F:F,0))))</f>
        <v/>
      </c>
      <c r="G156" s="2" t="str">
        <f>IF(A156&gt;0,SUMIF('Барабан'!K:K,A156,'Барабан'!P:P),"")</f>
        <v/>
      </c>
      <c r="H156" s="2" t="str">
        <f>IF(A156&gt;0,SUMIF('Барабан'!V:V,A156,'Барабан'!AA:AA),"")</f>
        <v/>
      </c>
      <c r="I156" s="2" t="str">
        <f t="shared" si="4"/>
        <v/>
      </c>
      <c r="J156" s="9" t="str">
        <f t="shared" si="2"/>
        <v/>
      </c>
      <c r="K156" s="1" t="str">
        <f>IF(A156&gt;0,COUNTIF('Барабан'!K:K,A156),"")</f>
        <v/>
      </c>
      <c r="L156" s="1" t="str">
        <f>IF(A156&gt;0,COUNTIF('Барабан'!V:V,A156),"")</f>
        <v/>
      </c>
      <c r="M156" s="1" t="str">
        <f t="shared" si="3"/>
        <v/>
      </c>
      <c r="N156" s="1" t="str">
        <f>IFERROR(__xludf.DUMMYFUNCTION("IF(A156&gt;0,MIN(FILTER('Барабан'!AJ:AJ,'Барабан'!K:K=A156)),"""")"),"")</f>
        <v/>
      </c>
      <c r="O156" s="16" t="str">
        <f>IFERROR(__xludf.DUMMYFUNCTION("IF(A156&gt;0,IFERROR(MAX(FILTER('Барабан'!AJ:AJ,'Барабан'!V:V=A156)),""–""),"""")"),"")</f>
        <v/>
      </c>
    </row>
    <row r="157" ht="15.75" customHeight="1">
      <c r="A157" s="1" t="str">
        <f>'Справочник'!E152</f>
        <v/>
      </c>
      <c r="B157" s="2" t="str">
        <f>IF(A157&gt;0,SUMIF('Барабан'!K:K,A157,'Барабан'!I:I),"")</f>
        <v/>
      </c>
      <c r="C157" s="2" t="str">
        <f>IF(A157&gt;0,SUMIF('Барабан'!V:V,A157,'Барабан'!T:T),"")</f>
        <v/>
      </c>
      <c r="D157" s="2" t="str">
        <f>IF(A157&gt;0,SUMIF('Барабан'!K:K,A157,'Барабан'!AG:AG)+SUMIF('Барабан'!V:V,A157,'Барабан'!AG:AG),"")</f>
        <v/>
      </c>
      <c r="E157" s="2" t="str">
        <f t="shared" si="1"/>
        <v/>
      </c>
      <c r="F157" s="2" t="str">
        <f t="array" ref="F157">IFERROR(IF(E157=0,0,INDEX('Справочник'!G:G,MATCH(A157,'Справочник'!F:F,0))))</f>
        <v/>
      </c>
      <c r="G157" s="2" t="str">
        <f>IF(A157&gt;0,SUMIF('Барабан'!K:K,A157,'Барабан'!P:P),"")</f>
        <v/>
      </c>
      <c r="H157" s="2" t="str">
        <f>IF(A157&gt;0,SUMIF('Барабан'!V:V,A157,'Барабан'!AA:AA),"")</f>
        <v/>
      </c>
      <c r="I157" s="2" t="str">
        <f t="shared" si="4"/>
        <v/>
      </c>
      <c r="J157" s="9" t="str">
        <f t="shared" si="2"/>
        <v/>
      </c>
      <c r="K157" s="1" t="str">
        <f>IF(A157&gt;0,COUNTIF('Барабан'!K:K,A157),"")</f>
        <v/>
      </c>
      <c r="L157" s="1" t="str">
        <f>IF(A157&gt;0,COUNTIF('Барабан'!V:V,A157),"")</f>
        <v/>
      </c>
      <c r="M157" s="1" t="str">
        <f t="shared" si="3"/>
        <v/>
      </c>
      <c r="N157" s="1" t="str">
        <f>IFERROR(__xludf.DUMMYFUNCTION("IF(A157&gt;0,MIN(FILTER('Барабан'!AJ:AJ,'Барабан'!K:K=A157)),"""")"),"")</f>
        <v/>
      </c>
      <c r="O157" s="16" t="str">
        <f>IFERROR(__xludf.DUMMYFUNCTION("IF(A157&gt;0,IFERROR(MAX(FILTER('Барабан'!AJ:AJ,'Барабан'!V:V=A157)),""–""),"""")"),"")</f>
        <v/>
      </c>
    </row>
    <row r="158" ht="15.75" customHeight="1">
      <c r="A158" s="1" t="str">
        <f>'Справочник'!E153</f>
        <v/>
      </c>
      <c r="B158" s="2" t="str">
        <f>IF(A158&gt;0,SUMIF('Барабан'!K:K,A158,'Барабан'!I:I),"")</f>
        <v/>
      </c>
      <c r="C158" s="2" t="str">
        <f>IF(A158&gt;0,SUMIF('Барабан'!V:V,A158,'Барабан'!T:T),"")</f>
        <v/>
      </c>
      <c r="D158" s="2" t="str">
        <f>IF(A158&gt;0,SUMIF('Барабан'!K:K,A158,'Барабан'!AG:AG)+SUMIF('Барабан'!V:V,A158,'Барабан'!AG:AG),"")</f>
        <v/>
      </c>
      <c r="E158" s="2" t="str">
        <f t="shared" si="1"/>
        <v/>
      </c>
      <c r="F158" s="2" t="str">
        <f t="array" ref="F158">IFERROR(IF(E158=0,0,INDEX('Справочник'!G:G,MATCH(A158,'Справочник'!F:F,0))))</f>
        <v/>
      </c>
      <c r="G158" s="2" t="str">
        <f>IF(A158&gt;0,SUMIF('Барабан'!K:K,A158,'Барабан'!P:P),"")</f>
        <v/>
      </c>
      <c r="H158" s="2" t="str">
        <f>IF(A158&gt;0,SUMIF('Барабан'!V:V,A158,'Барабан'!AA:AA),"")</f>
        <v/>
      </c>
      <c r="I158" s="2" t="str">
        <f t="shared" si="4"/>
        <v/>
      </c>
      <c r="J158" s="9" t="str">
        <f t="shared" si="2"/>
        <v/>
      </c>
      <c r="K158" s="1" t="str">
        <f>IF(A158&gt;0,COUNTIF('Барабан'!K:K,A158),"")</f>
        <v/>
      </c>
      <c r="L158" s="1" t="str">
        <f>IF(A158&gt;0,COUNTIF('Барабан'!V:V,A158),"")</f>
        <v/>
      </c>
      <c r="M158" s="1" t="str">
        <f t="shared" si="3"/>
        <v/>
      </c>
      <c r="N158" s="1" t="str">
        <f>IFERROR(__xludf.DUMMYFUNCTION("IF(A158&gt;0,MIN(FILTER('Барабан'!AJ:AJ,'Барабан'!K:K=A158)),"""")"),"")</f>
        <v/>
      </c>
      <c r="O158" s="16" t="str">
        <f>IFERROR(__xludf.DUMMYFUNCTION("IF(A158&gt;0,IFERROR(MAX(FILTER('Барабан'!AJ:AJ,'Барабан'!V:V=A158)),""–""),"""")"),"")</f>
        <v/>
      </c>
    </row>
    <row r="159" ht="15.75" customHeight="1">
      <c r="A159" s="1" t="str">
        <f>'Справочник'!E154</f>
        <v/>
      </c>
      <c r="B159" s="2" t="str">
        <f>IF(A159&gt;0,SUMIF('Барабан'!K:K,A159,'Барабан'!I:I),"")</f>
        <v/>
      </c>
      <c r="C159" s="2" t="str">
        <f>IF(A159&gt;0,SUMIF('Барабан'!V:V,A159,'Барабан'!T:T),"")</f>
        <v/>
      </c>
      <c r="D159" s="2" t="str">
        <f>IF(A159&gt;0,SUMIF('Барабан'!K:K,A159,'Барабан'!AG:AG)+SUMIF('Барабан'!V:V,A159,'Барабан'!AG:AG),"")</f>
        <v/>
      </c>
      <c r="E159" s="2" t="str">
        <f t="shared" si="1"/>
        <v/>
      </c>
      <c r="F159" s="2" t="str">
        <f t="array" ref="F159">IFERROR(IF(E159=0,0,INDEX('Справочник'!G:G,MATCH(A159,'Справочник'!F:F,0))))</f>
        <v/>
      </c>
      <c r="G159" s="2" t="str">
        <f>IF(A159&gt;0,SUMIF('Барабан'!K:K,A159,'Барабан'!P:P),"")</f>
        <v/>
      </c>
      <c r="H159" s="2" t="str">
        <f>IF(A159&gt;0,SUMIF('Барабан'!V:V,A159,'Барабан'!AA:AA),"")</f>
        <v/>
      </c>
      <c r="I159" s="2" t="str">
        <f t="shared" si="4"/>
        <v/>
      </c>
      <c r="J159" s="9" t="str">
        <f t="shared" si="2"/>
        <v/>
      </c>
      <c r="K159" s="1" t="str">
        <f>IF(A159&gt;0,COUNTIF('Барабан'!K:K,A159),"")</f>
        <v/>
      </c>
      <c r="L159" s="1" t="str">
        <f>IF(A159&gt;0,COUNTIF('Барабан'!V:V,A159),"")</f>
        <v/>
      </c>
      <c r="M159" s="1" t="str">
        <f t="shared" si="3"/>
        <v/>
      </c>
      <c r="N159" s="1" t="str">
        <f>IFERROR(__xludf.DUMMYFUNCTION("IF(A159&gt;0,MIN(FILTER('Барабан'!AJ:AJ,'Барабан'!K:K=A159)),"""")"),"")</f>
        <v/>
      </c>
      <c r="O159" s="16" t="str">
        <f>IFERROR(__xludf.DUMMYFUNCTION("IF(A159&gt;0,IFERROR(MAX(FILTER('Барабан'!AJ:AJ,'Барабан'!V:V=A159)),""–""),"""")"),"")</f>
        <v/>
      </c>
    </row>
    <row r="160" ht="15.75" customHeight="1">
      <c r="A160" s="1" t="str">
        <f>'Справочник'!E155</f>
        <v/>
      </c>
      <c r="B160" s="2" t="str">
        <f>IF(A160&gt;0,SUMIF('Барабан'!K:K,A160,'Барабан'!I:I),"")</f>
        <v/>
      </c>
      <c r="C160" s="2" t="str">
        <f>IF(A160&gt;0,SUMIF('Барабан'!V:V,A160,'Барабан'!T:T),"")</f>
        <v/>
      </c>
      <c r="D160" s="2" t="str">
        <f>IF(A160&gt;0,SUMIF('Барабан'!K:K,A160,'Барабан'!AG:AG)+SUMIF('Барабан'!V:V,A160,'Барабан'!AG:AG),"")</f>
        <v/>
      </c>
      <c r="E160" s="2" t="str">
        <f t="shared" si="1"/>
        <v/>
      </c>
      <c r="F160" s="2" t="str">
        <f t="array" ref="F160">IFERROR(IF(E160=0,0,INDEX('Справочник'!G:G,MATCH(A160,'Справочник'!F:F,0))))</f>
        <v/>
      </c>
      <c r="G160" s="2" t="str">
        <f>IF(A160&gt;0,SUMIF('Барабан'!K:K,A160,'Барабан'!P:P),"")</f>
        <v/>
      </c>
      <c r="H160" s="2" t="str">
        <f>IF(A160&gt;0,SUMIF('Барабан'!V:V,A160,'Барабан'!AA:AA),"")</f>
        <v/>
      </c>
      <c r="I160" s="2" t="str">
        <f t="shared" si="4"/>
        <v/>
      </c>
      <c r="J160" s="9" t="str">
        <f t="shared" si="2"/>
        <v/>
      </c>
      <c r="K160" s="1" t="str">
        <f>IF(A160&gt;0,COUNTIF('Барабан'!K:K,A160),"")</f>
        <v/>
      </c>
      <c r="L160" s="1" t="str">
        <f>IF(A160&gt;0,COUNTIF('Барабан'!V:V,A160),"")</f>
        <v/>
      </c>
      <c r="M160" s="1" t="str">
        <f t="shared" si="3"/>
        <v/>
      </c>
      <c r="N160" s="1" t="str">
        <f>IFERROR(__xludf.DUMMYFUNCTION("IF(A160&gt;0,MIN(FILTER('Барабан'!AJ:AJ,'Барабан'!K:K=A160)),"""")"),"")</f>
        <v/>
      </c>
      <c r="O160" s="16" t="str">
        <f>IFERROR(__xludf.DUMMYFUNCTION("IF(A160&gt;0,IFERROR(MAX(FILTER('Барабан'!AJ:AJ,'Барабан'!V:V=A160)),""–""),"""")"),"")</f>
        <v/>
      </c>
    </row>
    <row r="161" ht="15.75" customHeight="1">
      <c r="A161" s="1" t="str">
        <f>'Справочник'!E156</f>
        <v/>
      </c>
      <c r="B161" s="2" t="str">
        <f>IF(A161&gt;0,SUMIF('Барабан'!K:K,A161,'Барабан'!I:I),"")</f>
        <v/>
      </c>
      <c r="C161" s="2" t="str">
        <f>IF(A161&gt;0,SUMIF('Барабан'!V:V,A161,'Барабан'!T:T),"")</f>
        <v/>
      </c>
      <c r="D161" s="2" t="str">
        <f>IF(A161&gt;0,SUMIF('Барабан'!K:K,A161,'Барабан'!AG:AG)+SUMIF('Барабан'!V:V,A161,'Барабан'!AG:AG),"")</f>
        <v/>
      </c>
      <c r="E161" s="2" t="str">
        <f t="shared" si="1"/>
        <v/>
      </c>
      <c r="F161" s="2" t="str">
        <f t="array" ref="F161">IFERROR(IF(E161=0,0,INDEX('Справочник'!G:G,MATCH(A161,'Справочник'!F:F,0))))</f>
        <v/>
      </c>
      <c r="G161" s="2" t="str">
        <f>IF(A161&gt;0,SUMIF('Барабан'!K:K,A161,'Барабан'!P:P),"")</f>
        <v/>
      </c>
      <c r="H161" s="2" t="str">
        <f>IF(A161&gt;0,SUMIF('Барабан'!V:V,A161,'Барабан'!AA:AA),"")</f>
        <v/>
      </c>
      <c r="I161" s="2" t="str">
        <f t="shared" si="4"/>
        <v/>
      </c>
      <c r="J161" s="9" t="str">
        <f t="shared" si="2"/>
        <v/>
      </c>
      <c r="K161" s="1" t="str">
        <f>IF(A161&gt;0,COUNTIF('Барабан'!K:K,A161),"")</f>
        <v/>
      </c>
      <c r="L161" s="1" t="str">
        <f>IF(A161&gt;0,COUNTIF('Барабан'!V:V,A161),"")</f>
        <v/>
      </c>
      <c r="M161" s="1" t="str">
        <f t="shared" si="3"/>
        <v/>
      </c>
      <c r="N161" s="1" t="str">
        <f>IFERROR(__xludf.DUMMYFUNCTION("IF(A161&gt;0,MIN(FILTER('Барабан'!AJ:AJ,'Барабан'!K:K=A161)),"""")"),"")</f>
        <v/>
      </c>
      <c r="O161" s="16" t="str">
        <f>IFERROR(__xludf.DUMMYFUNCTION("IF(A161&gt;0,IFERROR(MAX(FILTER('Барабан'!AJ:AJ,'Барабан'!V:V=A161)),""–""),"""")"),"")</f>
        <v/>
      </c>
    </row>
    <row r="162" ht="15.75" customHeight="1">
      <c r="A162" s="1" t="str">
        <f>'Справочник'!E157</f>
        <v/>
      </c>
      <c r="B162" s="2" t="str">
        <f>IF(A162&gt;0,SUMIF('Барабан'!K:K,A162,'Барабан'!I:I),"")</f>
        <v/>
      </c>
      <c r="C162" s="2" t="str">
        <f>IF(A162&gt;0,SUMIF('Барабан'!V:V,A162,'Барабан'!T:T),"")</f>
        <v/>
      </c>
      <c r="D162" s="2" t="str">
        <f>IF(A162&gt;0,SUMIF('Барабан'!K:K,A162,'Барабан'!AG:AG)+SUMIF('Барабан'!V:V,A162,'Барабан'!AG:AG),"")</f>
        <v/>
      </c>
      <c r="E162" s="2" t="str">
        <f t="shared" si="1"/>
        <v/>
      </c>
      <c r="F162" s="2" t="str">
        <f t="array" ref="F162">IFERROR(IF(E162=0,0,INDEX('Справочник'!G:G,MATCH(A162,'Справочник'!F:F,0))))</f>
        <v/>
      </c>
      <c r="G162" s="2" t="str">
        <f>IF(A162&gt;0,SUMIF('Барабан'!K:K,A162,'Барабан'!P:P),"")</f>
        <v/>
      </c>
      <c r="H162" s="2" t="str">
        <f>IF(A162&gt;0,SUMIF('Барабан'!V:V,A162,'Барабан'!AA:AA),"")</f>
        <v/>
      </c>
      <c r="I162" s="2" t="str">
        <f t="shared" si="4"/>
        <v/>
      </c>
      <c r="J162" s="9" t="str">
        <f t="shared" si="2"/>
        <v/>
      </c>
      <c r="K162" s="1" t="str">
        <f>IF(A162&gt;0,COUNTIF('Барабан'!K:K,A162),"")</f>
        <v/>
      </c>
      <c r="L162" s="1" t="str">
        <f>IF(A162&gt;0,COUNTIF('Барабан'!V:V,A162),"")</f>
        <v/>
      </c>
      <c r="M162" s="1" t="str">
        <f t="shared" si="3"/>
        <v/>
      </c>
      <c r="N162" s="1" t="str">
        <f>IFERROR(__xludf.DUMMYFUNCTION("IF(A162&gt;0,MIN(FILTER('Барабан'!AJ:AJ,'Барабан'!K:K=A162)),"""")"),"")</f>
        <v/>
      </c>
      <c r="O162" s="16" t="str">
        <f>IFERROR(__xludf.DUMMYFUNCTION("IF(A162&gt;0,IFERROR(MAX(FILTER('Барабан'!AJ:AJ,'Барабан'!V:V=A162)),""–""),"""")"),"")</f>
        <v/>
      </c>
    </row>
    <row r="163" ht="15.75" customHeight="1">
      <c r="A163" s="1" t="str">
        <f>'Справочник'!E158</f>
        <v/>
      </c>
      <c r="B163" s="2" t="str">
        <f>IF(A163&gt;0,SUMIF('Барабан'!K:K,A163,'Барабан'!I:I),"")</f>
        <v/>
      </c>
      <c r="C163" s="2" t="str">
        <f>IF(A163&gt;0,SUMIF('Барабан'!V:V,A163,'Барабан'!T:T),"")</f>
        <v/>
      </c>
      <c r="D163" s="2" t="str">
        <f>IF(A163&gt;0,SUMIF('Барабан'!K:K,A163,'Барабан'!AG:AG)+SUMIF('Барабан'!V:V,A163,'Барабан'!AG:AG),"")</f>
        <v/>
      </c>
      <c r="E163" s="2" t="str">
        <f t="shared" si="1"/>
        <v/>
      </c>
      <c r="F163" s="2" t="str">
        <f t="array" ref="F163">IFERROR(IF(E163=0,0,INDEX('Справочник'!G:G,MATCH(A163,'Справочник'!F:F,0))))</f>
        <v/>
      </c>
      <c r="G163" s="2" t="str">
        <f>IF(A163&gt;0,SUMIF('Барабан'!K:K,A163,'Барабан'!P:P),"")</f>
        <v/>
      </c>
      <c r="H163" s="2" t="str">
        <f>IF(A163&gt;0,SUMIF('Барабан'!V:V,A163,'Барабан'!AA:AA),"")</f>
        <v/>
      </c>
      <c r="I163" s="2" t="str">
        <f t="shared" si="4"/>
        <v/>
      </c>
      <c r="J163" s="9" t="str">
        <f t="shared" si="2"/>
        <v/>
      </c>
      <c r="K163" s="1" t="str">
        <f>IF(A163&gt;0,COUNTIF('Барабан'!K:K,A163),"")</f>
        <v/>
      </c>
      <c r="L163" s="1" t="str">
        <f>IF(A163&gt;0,COUNTIF('Барабан'!V:V,A163),"")</f>
        <v/>
      </c>
      <c r="M163" s="1" t="str">
        <f t="shared" si="3"/>
        <v/>
      </c>
      <c r="N163" s="1" t="str">
        <f>IFERROR(__xludf.DUMMYFUNCTION("IF(A163&gt;0,MIN(FILTER('Барабан'!AJ:AJ,'Барабан'!K:K=A163)),"""")"),"")</f>
        <v/>
      </c>
      <c r="O163" s="16" t="str">
        <f>IFERROR(__xludf.DUMMYFUNCTION("IF(A163&gt;0,IFERROR(MAX(FILTER('Барабан'!AJ:AJ,'Барабан'!V:V=A163)),""–""),"""")"),"")</f>
        <v/>
      </c>
    </row>
    <row r="164" ht="15.75" customHeight="1">
      <c r="A164" s="1" t="str">
        <f>'Справочник'!E159</f>
        <v/>
      </c>
      <c r="B164" s="2" t="str">
        <f>IF(A164&gt;0,SUMIF('Барабан'!K:K,A164,'Барабан'!I:I),"")</f>
        <v/>
      </c>
      <c r="C164" s="2" t="str">
        <f>IF(A164&gt;0,SUMIF('Барабан'!V:V,A164,'Барабан'!T:T),"")</f>
        <v/>
      </c>
      <c r="D164" s="2" t="str">
        <f>IF(A164&gt;0,SUMIF('Барабан'!K:K,A164,'Барабан'!AG:AG)+SUMIF('Барабан'!V:V,A164,'Барабан'!AG:AG),"")</f>
        <v/>
      </c>
      <c r="E164" s="2" t="str">
        <f t="shared" si="1"/>
        <v/>
      </c>
      <c r="F164" s="2" t="str">
        <f t="array" ref="F164">IFERROR(IF(E164=0,0,INDEX('Справочник'!G:G,MATCH(A164,'Справочник'!F:F,0))))</f>
        <v/>
      </c>
      <c r="G164" s="2" t="str">
        <f>IF(A164&gt;0,SUMIF('Барабан'!K:K,A164,'Барабан'!P:P),"")</f>
        <v/>
      </c>
      <c r="H164" s="2" t="str">
        <f>IF(A164&gt;0,SUMIF('Барабан'!V:V,A164,'Барабан'!AA:AA),"")</f>
        <v/>
      </c>
      <c r="I164" s="2" t="str">
        <f t="shared" si="4"/>
        <v/>
      </c>
      <c r="J164" s="9" t="str">
        <f t="shared" si="2"/>
        <v/>
      </c>
      <c r="K164" s="1" t="str">
        <f>IF(A164&gt;0,COUNTIF('Барабан'!K:K,A164),"")</f>
        <v/>
      </c>
      <c r="L164" s="1" t="str">
        <f>IF(A164&gt;0,COUNTIF('Барабан'!V:V,A164),"")</f>
        <v/>
      </c>
      <c r="M164" s="1" t="str">
        <f t="shared" si="3"/>
        <v/>
      </c>
      <c r="N164" s="1" t="str">
        <f>IFERROR(__xludf.DUMMYFUNCTION("IF(A164&gt;0,MIN(FILTER('Барабан'!AJ:AJ,'Барабан'!K:K=A164)),"""")"),"")</f>
        <v/>
      </c>
      <c r="O164" s="16" t="str">
        <f>IFERROR(__xludf.DUMMYFUNCTION("IF(A164&gt;0,IFERROR(MAX(FILTER('Барабан'!AJ:AJ,'Барабан'!V:V=A164)),""–""),"""")"),"")</f>
        <v/>
      </c>
    </row>
    <row r="165" ht="15.75" customHeight="1">
      <c r="A165" s="1" t="str">
        <f>'Справочник'!E160</f>
        <v/>
      </c>
      <c r="B165" s="2" t="str">
        <f>IF(A165&gt;0,SUMIF('Барабан'!K:K,A165,'Барабан'!I:I),"")</f>
        <v/>
      </c>
      <c r="C165" s="2" t="str">
        <f>IF(A165&gt;0,SUMIF('Барабан'!V:V,A165,'Барабан'!T:T),"")</f>
        <v/>
      </c>
      <c r="D165" s="2" t="str">
        <f>IF(A165&gt;0,SUMIF('Барабан'!K:K,A165,'Барабан'!AG:AG)+SUMIF('Барабан'!V:V,A165,'Барабан'!AG:AG),"")</f>
        <v/>
      </c>
      <c r="E165" s="2" t="str">
        <f t="shared" si="1"/>
        <v/>
      </c>
      <c r="F165" s="2" t="str">
        <f t="array" ref="F165">IFERROR(IF(E165=0,0,INDEX('Справочник'!G:G,MATCH(A165,'Справочник'!F:F,0))))</f>
        <v/>
      </c>
      <c r="G165" s="2" t="str">
        <f>IF(A165&gt;0,SUMIF('Барабан'!K:K,A165,'Барабан'!P:P),"")</f>
        <v/>
      </c>
      <c r="H165" s="2" t="str">
        <f>IF(A165&gt;0,SUMIF('Барабан'!V:V,A165,'Барабан'!AA:AA),"")</f>
        <v/>
      </c>
      <c r="I165" s="2" t="str">
        <f t="shared" si="4"/>
        <v/>
      </c>
      <c r="J165" s="9" t="str">
        <f t="shared" si="2"/>
        <v/>
      </c>
      <c r="K165" s="1" t="str">
        <f>IF(A165&gt;0,COUNTIF('Барабан'!K:K,A165),"")</f>
        <v/>
      </c>
      <c r="L165" s="1" t="str">
        <f>IF(A165&gt;0,COUNTIF('Барабан'!V:V,A165),"")</f>
        <v/>
      </c>
      <c r="M165" s="1" t="str">
        <f t="shared" si="3"/>
        <v/>
      </c>
      <c r="N165" s="1" t="str">
        <f>IFERROR(__xludf.DUMMYFUNCTION("IF(A165&gt;0,MIN(FILTER('Барабан'!AJ:AJ,'Барабан'!K:K=A165)),"""")"),"")</f>
        <v/>
      </c>
      <c r="O165" s="16" t="str">
        <f>IFERROR(__xludf.DUMMYFUNCTION("IF(A165&gt;0,IFERROR(MAX(FILTER('Барабан'!AJ:AJ,'Барабан'!V:V=A165)),""–""),"""")"),"")</f>
        <v/>
      </c>
    </row>
    <row r="166" ht="15.75" customHeight="1">
      <c r="A166" s="1" t="str">
        <f>'Справочник'!E161</f>
        <v/>
      </c>
      <c r="B166" s="2" t="str">
        <f>IF(A166&gt;0,SUMIF('Барабан'!K:K,A166,'Барабан'!I:I),"")</f>
        <v/>
      </c>
      <c r="C166" s="2" t="str">
        <f>IF(A166&gt;0,SUMIF('Барабан'!V:V,A166,'Барабан'!T:T),"")</f>
        <v/>
      </c>
      <c r="D166" s="2" t="str">
        <f>IF(A166&gt;0,SUMIF('Барабан'!K:K,A166,'Барабан'!AG:AG)+SUMIF('Барабан'!V:V,A166,'Барабан'!AG:AG),"")</f>
        <v/>
      </c>
      <c r="E166" s="2" t="str">
        <f t="shared" si="1"/>
        <v/>
      </c>
      <c r="F166" s="2" t="str">
        <f t="array" ref="F166">IFERROR(IF(E166=0,0,INDEX('Справочник'!G:G,MATCH(A166,'Справочник'!F:F,0))))</f>
        <v/>
      </c>
      <c r="G166" s="2" t="str">
        <f>IF(A166&gt;0,SUMIF('Барабан'!K:K,A166,'Барабан'!P:P),"")</f>
        <v/>
      </c>
      <c r="H166" s="2" t="str">
        <f>IF(A166&gt;0,SUMIF('Барабан'!V:V,A166,'Барабан'!AA:AA),"")</f>
        <v/>
      </c>
      <c r="I166" s="2" t="str">
        <f t="shared" si="4"/>
        <v/>
      </c>
      <c r="J166" s="9" t="str">
        <f t="shared" si="2"/>
        <v/>
      </c>
      <c r="K166" s="1" t="str">
        <f>IF(A166&gt;0,COUNTIF('Барабан'!K:K,A166),"")</f>
        <v/>
      </c>
      <c r="L166" s="1" t="str">
        <f>IF(A166&gt;0,COUNTIF('Барабан'!V:V,A166),"")</f>
        <v/>
      </c>
      <c r="M166" s="1" t="str">
        <f t="shared" si="3"/>
        <v/>
      </c>
      <c r="N166" s="1" t="str">
        <f>IFERROR(__xludf.DUMMYFUNCTION("IF(A166&gt;0,MIN(FILTER('Барабан'!AJ:AJ,'Барабан'!K:K=A166)),"""")"),"")</f>
        <v/>
      </c>
      <c r="O166" s="16" t="str">
        <f>IFERROR(__xludf.DUMMYFUNCTION("IF(A166&gt;0,IFERROR(MAX(FILTER('Барабан'!AJ:AJ,'Барабан'!V:V=A166)),""–""),"""")"),"")</f>
        <v/>
      </c>
    </row>
    <row r="167" ht="15.75" customHeight="1">
      <c r="A167" s="1" t="str">
        <f>'Справочник'!E162</f>
        <v/>
      </c>
      <c r="B167" s="2" t="str">
        <f>IF(A167&gt;0,SUMIF('Барабан'!K:K,A167,'Барабан'!I:I),"")</f>
        <v/>
      </c>
      <c r="C167" s="2" t="str">
        <f>IF(A167&gt;0,SUMIF('Барабан'!V:V,A167,'Барабан'!T:T),"")</f>
        <v/>
      </c>
      <c r="D167" s="2" t="str">
        <f>IF(A167&gt;0,SUMIF('Барабан'!K:K,A167,'Барабан'!AG:AG)+SUMIF('Барабан'!V:V,A167,'Барабан'!AG:AG),"")</f>
        <v/>
      </c>
      <c r="E167" s="2" t="str">
        <f t="shared" si="1"/>
        <v/>
      </c>
      <c r="F167" s="2" t="str">
        <f t="array" ref="F167">IFERROR(IF(E167=0,0,INDEX('Справочник'!G:G,MATCH(A167,'Справочник'!F:F,0))))</f>
        <v/>
      </c>
      <c r="G167" s="2" t="str">
        <f>IF(A167&gt;0,SUMIF('Барабан'!K:K,A167,'Барабан'!P:P),"")</f>
        <v/>
      </c>
      <c r="H167" s="2" t="str">
        <f>IF(A167&gt;0,SUMIF('Барабан'!V:V,A167,'Барабан'!AA:AA),"")</f>
        <v/>
      </c>
      <c r="I167" s="2" t="str">
        <f t="shared" si="4"/>
        <v/>
      </c>
      <c r="J167" s="9" t="str">
        <f t="shared" si="2"/>
        <v/>
      </c>
      <c r="K167" s="1" t="str">
        <f>IF(A167&gt;0,COUNTIF('Барабан'!K:K,A167),"")</f>
        <v/>
      </c>
      <c r="L167" s="1" t="str">
        <f>IF(A167&gt;0,COUNTIF('Барабан'!V:V,A167),"")</f>
        <v/>
      </c>
      <c r="M167" s="1" t="str">
        <f t="shared" si="3"/>
        <v/>
      </c>
      <c r="N167" s="1" t="str">
        <f>IFERROR(__xludf.DUMMYFUNCTION("IF(A167&gt;0,MIN(FILTER('Барабан'!AJ:AJ,'Барабан'!K:K=A167)),"""")"),"")</f>
        <v/>
      </c>
      <c r="O167" s="16" t="str">
        <f>IFERROR(__xludf.DUMMYFUNCTION("IF(A167&gt;0,IFERROR(MAX(FILTER('Барабан'!AJ:AJ,'Барабан'!V:V=A167)),""–""),"""")"),"")</f>
        <v/>
      </c>
    </row>
    <row r="168" ht="15.75" customHeight="1">
      <c r="A168" s="1" t="str">
        <f>'Справочник'!E163</f>
        <v/>
      </c>
      <c r="B168" s="2" t="str">
        <f>IF(A168&gt;0,SUMIF('Барабан'!K:K,A168,'Барабан'!I:I),"")</f>
        <v/>
      </c>
      <c r="C168" s="2" t="str">
        <f>IF(A168&gt;0,SUMIF('Барабан'!V:V,A168,'Барабан'!T:T),"")</f>
        <v/>
      </c>
      <c r="D168" s="2" t="str">
        <f>IF(A168&gt;0,SUMIF('Барабан'!K:K,A168,'Барабан'!AG:AG)+SUMIF('Барабан'!V:V,A168,'Барабан'!AG:AG),"")</f>
        <v/>
      </c>
      <c r="E168" s="2" t="str">
        <f t="shared" si="1"/>
        <v/>
      </c>
      <c r="F168" s="2" t="str">
        <f t="array" ref="F168">IFERROR(IF(E168=0,0,INDEX('Справочник'!G:G,MATCH(A168,'Справочник'!F:F,0))))</f>
        <v/>
      </c>
      <c r="G168" s="2" t="str">
        <f>IF(A168&gt;0,SUMIF('Барабан'!K:K,A168,'Барабан'!P:P),"")</f>
        <v/>
      </c>
      <c r="H168" s="2" t="str">
        <f>IF(A168&gt;0,SUMIF('Барабан'!V:V,A168,'Барабан'!AA:AA),"")</f>
        <v/>
      </c>
      <c r="I168" s="2" t="str">
        <f t="shared" si="4"/>
        <v/>
      </c>
      <c r="J168" s="9" t="str">
        <f t="shared" si="2"/>
        <v/>
      </c>
      <c r="K168" s="1" t="str">
        <f>IF(A168&gt;0,COUNTIF('Барабан'!K:K,A168),"")</f>
        <v/>
      </c>
      <c r="L168" s="1" t="str">
        <f>IF(A168&gt;0,COUNTIF('Барабан'!V:V,A168),"")</f>
        <v/>
      </c>
      <c r="M168" s="1" t="str">
        <f t="shared" si="3"/>
        <v/>
      </c>
      <c r="N168" s="1" t="str">
        <f>IFERROR(__xludf.DUMMYFUNCTION("IF(A168&gt;0,MIN(FILTER('Барабан'!AJ:AJ,'Барабан'!K:K=A168)),"""")"),"")</f>
        <v/>
      </c>
      <c r="O168" s="16" t="str">
        <f>IFERROR(__xludf.DUMMYFUNCTION("IF(A168&gt;0,IFERROR(MAX(FILTER('Барабан'!AJ:AJ,'Барабан'!V:V=A168)),""–""),"""")"),"")</f>
        <v/>
      </c>
    </row>
    <row r="169" ht="15.75" customHeight="1">
      <c r="A169" s="1" t="str">
        <f>'Справочник'!E164</f>
        <v/>
      </c>
      <c r="B169" s="2" t="str">
        <f>IF(A169&gt;0,SUMIF('Барабан'!K:K,A169,'Барабан'!I:I),"")</f>
        <v/>
      </c>
      <c r="C169" s="2" t="str">
        <f>IF(A169&gt;0,SUMIF('Барабан'!V:V,A169,'Барабан'!T:T),"")</f>
        <v/>
      </c>
      <c r="D169" s="2" t="str">
        <f>IF(A169&gt;0,SUMIF('Барабан'!K:K,A169,'Барабан'!AG:AG)+SUMIF('Барабан'!V:V,A169,'Барабан'!AG:AG),"")</f>
        <v/>
      </c>
      <c r="E169" s="2" t="str">
        <f t="shared" si="1"/>
        <v/>
      </c>
      <c r="F169" s="2" t="str">
        <f t="array" ref="F169">IFERROR(IF(E169=0,0,INDEX('Справочник'!G:G,MATCH(A169,'Справочник'!F:F,0))))</f>
        <v/>
      </c>
      <c r="G169" s="2" t="str">
        <f>IF(A169&gt;0,SUMIF('Барабан'!K:K,A169,'Барабан'!P:P),"")</f>
        <v/>
      </c>
      <c r="H169" s="2" t="str">
        <f>IF(A169&gt;0,SUMIF('Барабан'!V:V,A169,'Барабан'!AA:AA),"")</f>
        <v/>
      </c>
      <c r="I169" s="2" t="str">
        <f t="shared" si="4"/>
        <v/>
      </c>
      <c r="J169" s="9" t="str">
        <f t="shared" si="2"/>
        <v/>
      </c>
      <c r="K169" s="1" t="str">
        <f>IF(A169&gt;0,COUNTIF('Барабан'!K:K,A169),"")</f>
        <v/>
      </c>
      <c r="L169" s="1" t="str">
        <f>IF(A169&gt;0,COUNTIF('Барабан'!V:V,A169),"")</f>
        <v/>
      </c>
      <c r="M169" s="1" t="str">
        <f t="shared" si="3"/>
        <v/>
      </c>
      <c r="N169" s="1" t="str">
        <f>IFERROR(__xludf.DUMMYFUNCTION("IF(A169&gt;0,MIN(FILTER('Барабан'!AJ:AJ,'Барабан'!K:K=A169)),"""")"),"")</f>
        <v/>
      </c>
      <c r="O169" s="16" t="str">
        <f>IFERROR(__xludf.DUMMYFUNCTION("IF(A169&gt;0,IFERROR(MAX(FILTER('Барабан'!AJ:AJ,'Барабан'!V:V=A169)),""–""),"""")"),"")</f>
        <v/>
      </c>
    </row>
    <row r="170" ht="15.75" customHeight="1">
      <c r="A170" s="1" t="str">
        <f>'Справочник'!E165</f>
        <v/>
      </c>
      <c r="B170" s="2" t="str">
        <f>IF(A170&gt;0,SUMIF('Барабан'!K:K,A170,'Барабан'!I:I),"")</f>
        <v/>
      </c>
      <c r="C170" s="2" t="str">
        <f>IF(A170&gt;0,SUMIF('Барабан'!V:V,A170,'Барабан'!T:T),"")</f>
        <v/>
      </c>
      <c r="D170" s="2" t="str">
        <f>IF(A170&gt;0,SUMIF('Барабан'!K:K,A170,'Барабан'!AG:AG)+SUMIF('Барабан'!V:V,A170,'Барабан'!AG:AG),"")</f>
        <v/>
      </c>
      <c r="E170" s="2" t="str">
        <f t="shared" si="1"/>
        <v/>
      </c>
      <c r="F170" s="2" t="str">
        <f t="array" ref="F170">IFERROR(IF(E170=0,0,INDEX('Справочник'!G:G,MATCH(A170,'Справочник'!F:F,0))))</f>
        <v/>
      </c>
      <c r="G170" s="2" t="str">
        <f>IF(A170&gt;0,SUMIF('Барабан'!K:K,A170,'Барабан'!P:P),"")</f>
        <v/>
      </c>
      <c r="H170" s="2" t="str">
        <f>IF(A170&gt;0,SUMIF('Барабан'!V:V,A170,'Барабан'!AA:AA),"")</f>
        <v/>
      </c>
      <c r="I170" s="2" t="str">
        <f t="shared" si="4"/>
        <v/>
      </c>
      <c r="J170" s="9" t="str">
        <f t="shared" si="2"/>
        <v/>
      </c>
      <c r="K170" s="1" t="str">
        <f>IF(A170&gt;0,COUNTIF('Барабан'!K:K,A170),"")</f>
        <v/>
      </c>
      <c r="L170" s="1" t="str">
        <f>IF(A170&gt;0,COUNTIF('Барабан'!V:V,A170),"")</f>
        <v/>
      </c>
      <c r="M170" s="1" t="str">
        <f t="shared" si="3"/>
        <v/>
      </c>
      <c r="N170" s="1" t="str">
        <f>IFERROR(__xludf.DUMMYFUNCTION("IF(A170&gt;0,MIN(FILTER('Барабан'!AJ:AJ,'Барабан'!K:K=A170)),"""")"),"")</f>
        <v/>
      </c>
      <c r="O170" s="16" t="str">
        <f>IFERROR(__xludf.DUMMYFUNCTION("IF(A170&gt;0,IFERROR(MAX(FILTER('Барабан'!AJ:AJ,'Барабан'!V:V=A170)),""–""),"""")"),"")</f>
        <v/>
      </c>
    </row>
    <row r="171" ht="15.75" customHeight="1">
      <c r="A171" s="1" t="str">
        <f>'Справочник'!E166</f>
        <v/>
      </c>
      <c r="B171" s="2" t="str">
        <f>IF(A171&gt;0,SUMIF('Барабан'!K:K,A171,'Барабан'!I:I),"")</f>
        <v/>
      </c>
      <c r="C171" s="2" t="str">
        <f>IF(A171&gt;0,SUMIF('Барабан'!V:V,A171,'Барабан'!T:T),"")</f>
        <v/>
      </c>
      <c r="D171" s="2" t="str">
        <f>IF(A171&gt;0,SUMIF('Барабан'!K:K,A171,'Барабан'!AG:AG)+SUMIF('Барабан'!V:V,A171,'Барабан'!AG:AG),"")</f>
        <v/>
      </c>
      <c r="E171" s="2" t="str">
        <f t="shared" si="1"/>
        <v/>
      </c>
      <c r="F171" s="2" t="str">
        <f t="array" ref="F171">IFERROR(IF(E171=0,0,INDEX('Справочник'!G:G,MATCH(A171,'Справочник'!F:F,0))))</f>
        <v/>
      </c>
      <c r="G171" s="2" t="str">
        <f>IF(A171&gt;0,SUMIF('Барабан'!K:K,A171,'Барабан'!P:P),"")</f>
        <v/>
      </c>
      <c r="H171" s="2" t="str">
        <f>IF(A171&gt;0,SUMIF('Барабан'!V:V,A171,'Барабан'!AA:AA),"")</f>
        <v/>
      </c>
      <c r="I171" s="2" t="str">
        <f t="shared" si="4"/>
        <v/>
      </c>
      <c r="J171" s="9" t="str">
        <f t="shared" si="2"/>
        <v/>
      </c>
      <c r="K171" s="1" t="str">
        <f>IF(A171&gt;0,COUNTIF('Барабан'!K:K,A171),"")</f>
        <v/>
      </c>
      <c r="L171" s="1" t="str">
        <f>IF(A171&gt;0,COUNTIF('Барабан'!V:V,A171),"")</f>
        <v/>
      </c>
      <c r="M171" s="1" t="str">
        <f t="shared" si="3"/>
        <v/>
      </c>
      <c r="N171" s="1" t="str">
        <f>IFERROR(__xludf.DUMMYFUNCTION("IF(A171&gt;0,MIN(FILTER('Барабан'!AJ:AJ,'Барабан'!K:K=A171)),"""")"),"")</f>
        <v/>
      </c>
      <c r="O171" s="16" t="str">
        <f>IFERROR(__xludf.DUMMYFUNCTION("IF(A171&gt;0,IFERROR(MAX(FILTER('Барабан'!AJ:AJ,'Барабан'!V:V=A171)),""–""),"""")"),"")</f>
        <v/>
      </c>
    </row>
    <row r="172" ht="15.75" customHeight="1">
      <c r="A172" s="1" t="str">
        <f>'Справочник'!E167</f>
        <v/>
      </c>
      <c r="B172" s="2" t="str">
        <f>IF(A172&gt;0,SUMIF('Барабан'!K:K,A172,'Барабан'!I:I),"")</f>
        <v/>
      </c>
      <c r="C172" s="2" t="str">
        <f>IF(A172&gt;0,SUMIF('Барабан'!V:V,A172,'Барабан'!T:T),"")</f>
        <v/>
      </c>
      <c r="D172" s="2" t="str">
        <f>IF(A172&gt;0,SUMIF('Барабан'!K:K,A172,'Барабан'!AG:AG)+SUMIF('Барабан'!V:V,A172,'Барабан'!AG:AG),"")</f>
        <v/>
      </c>
      <c r="E172" s="2" t="str">
        <f t="shared" si="1"/>
        <v/>
      </c>
      <c r="F172" s="2" t="str">
        <f t="array" ref="F172">IFERROR(IF(E172=0,0,INDEX('Справочник'!G:G,MATCH(A172,'Справочник'!F:F,0))))</f>
        <v/>
      </c>
      <c r="G172" s="2" t="str">
        <f>IF(A172&gt;0,SUMIF('Барабан'!K:K,A172,'Барабан'!P:P),"")</f>
        <v/>
      </c>
      <c r="H172" s="2" t="str">
        <f>IF(A172&gt;0,SUMIF('Барабан'!V:V,A172,'Барабан'!AA:AA),"")</f>
        <v/>
      </c>
      <c r="I172" s="2" t="str">
        <f t="shared" si="4"/>
        <v/>
      </c>
      <c r="J172" s="9" t="str">
        <f t="shared" si="2"/>
        <v/>
      </c>
      <c r="K172" s="1" t="str">
        <f>IF(A172&gt;0,COUNTIF('Барабан'!K:K,A172),"")</f>
        <v/>
      </c>
      <c r="L172" s="1" t="str">
        <f>IF(A172&gt;0,COUNTIF('Барабан'!V:V,A172),"")</f>
        <v/>
      </c>
      <c r="M172" s="1" t="str">
        <f t="shared" si="3"/>
        <v/>
      </c>
      <c r="N172" s="1" t="str">
        <f>IFERROR(__xludf.DUMMYFUNCTION("IF(A172&gt;0,MIN(FILTER('Барабан'!AJ:AJ,'Барабан'!K:K=A172)),"""")"),"")</f>
        <v/>
      </c>
      <c r="O172" s="16" t="str">
        <f>IFERROR(__xludf.DUMMYFUNCTION("IF(A172&gt;0,IFERROR(MAX(FILTER('Барабан'!AJ:AJ,'Барабан'!V:V=A172)),""–""),"""")"),"")</f>
        <v/>
      </c>
    </row>
    <row r="173" ht="15.75" customHeight="1">
      <c r="A173" s="1" t="str">
        <f>'Справочник'!E168</f>
        <v/>
      </c>
      <c r="B173" s="2" t="str">
        <f>IF(A173&gt;0,SUMIF('Барабан'!K:K,A173,'Барабан'!I:I),"")</f>
        <v/>
      </c>
      <c r="C173" s="2" t="str">
        <f>IF(A173&gt;0,SUMIF('Барабан'!V:V,A173,'Барабан'!T:T),"")</f>
        <v/>
      </c>
      <c r="D173" s="2" t="str">
        <f>IF(A173&gt;0,SUMIF('Барабан'!K:K,A173,'Барабан'!AG:AG)+SUMIF('Барабан'!V:V,A173,'Барабан'!AG:AG),"")</f>
        <v/>
      </c>
      <c r="E173" s="2" t="str">
        <f t="shared" si="1"/>
        <v/>
      </c>
      <c r="F173" s="2" t="str">
        <f t="array" ref="F173">IFERROR(IF(E173=0,0,INDEX('Справочник'!G:G,MATCH(A173,'Справочник'!F:F,0))))</f>
        <v/>
      </c>
      <c r="G173" s="2" t="str">
        <f>IF(A173&gt;0,SUMIF('Барабан'!K:K,A173,'Барабан'!P:P),"")</f>
        <v/>
      </c>
      <c r="H173" s="2" t="str">
        <f>IF(A173&gt;0,SUMIF('Барабан'!V:V,A173,'Барабан'!AA:AA),"")</f>
        <v/>
      </c>
      <c r="I173" s="2" t="str">
        <f t="shared" si="4"/>
        <v/>
      </c>
      <c r="J173" s="9" t="str">
        <f t="shared" si="2"/>
        <v/>
      </c>
      <c r="K173" s="1" t="str">
        <f>IF(A173&gt;0,COUNTIF('Барабан'!K:K,A173),"")</f>
        <v/>
      </c>
      <c r="L173" s="1" t="str">
        <f>IF(A173&gt;0,COUNTIF('Барабан'!V:V,A173),"")</f>
        <v/>
      </c>
      <c r="M173" s="1" t="str">
        <f t="shared" si="3"/>
        <v/>
      </c>
      <c r="N173" s="1" t="str">
        <f>IFERROR(__xludf.DUMMYFUNCTION("IF(A173&gt;0,MIN(FILTER('Барабан'!AJ:AJ,'Барабан'!K:K=A173)),"""")"),"")</f>
        <v/>
      </c>
      <c r="O173" s="16" t="str">
        <f>IFERROR(__xludf.DUMMYFUNCTION("IF(A173&gt;0,IFERROR(MAX(FILTER('Барабан'!AJ:AJ,'Барабан'!V:V=A173)),""–""),"""")"),"")</f>
        <v/>
      </c>
    </row>
    <row r="174" ht="15.75" customHeight="1">
      <c r="A174" s="1" t="str">
        <f>'Справочник'!E169</f>
        <v/>
      </c>
      <c r="B174" s="2" t="str">
        <f>IF(A174&gt;0,SUMIF('Барабан'!K:K,A174,'Барабан'!I:I),"")</f>
        <v/>
      </c>
      <c r="C174" s="2" t="str">
        <f>IF(A174&gt;0,SUMIF('Барабан'!V:V,A174,'Барабан'!T:T),"")</f>
        <v/>
      </c>
      <c r="D174" s="2" t="str">
        <f>IF(A174&gt;0,SUMIF('Барабан'!K:K,A174,'Барабан'!AG:AG)+SUMIF('Барабан'!V:V,A174,'Барабан'!AG:AG),"")</f>
        <v/>
      </c>
      <c r="E174" s="2" t="str">
        <f t="shared" si="1"/>
        <v/>
      </c>
      <c r="F174" s="2" t="str">
        <f t="array" ref="F174">IFERROR(IF(E174=0,0,INDEX('Справочник'!G:G,MATCH(A174,'Справочник'!F:F,0))))</f>
        <v/>
      </c>
      <c r="G174" s="2" t="str">
        <f>IF(A174&gt;0,SUMIF('Барабан'!K:K,A174,'Барабан'!P:P),"")</f>
        <v/>
      </c>
      <c r="H174" s="2" t="str">
        <f>IF(A174&gt;0,SUMIF('Барабан'!V:V,A174,'Барабан'!AA:AA),"")</f>
        <v/>
      </c>
      <c r="I174" s="2" t="str">
        <f t="shared" si="4"/>
        <v/>
      </c>
      <c r="J174" s="9" t="str">
        <f t="shared" si="2"/>
        <v/>
      </c>
      <c r="K174" s="1" t="str">
        <f>IF(A174&gt;0,COUNTIF('Барабан'!K:K,A174),"")</f>
        <v/>
      </c>
      <c r="L174" s="1" t="str">
        <f>IF(A174&gt;0,COUNTIF('Барабан'!V:V,A174),"")</f>
        <v/>
      </c>
      <c r="M174" s="1" t="str">
        <f t="shared" si="3"/>
        <v/>
      </c>
      <c r="N174" s="1" t="str">
        <f>IFERROR(__xludf.DUMMYFUNCTION("IF(A174&gt;0,MIN(FILTER('Барабан'!AJ:AJ,'Барабан'!K:K=A174)),"""")"),"")</f>
        <v/>
      </c>
      <c r="O174" s="16" t="str">
        <f>IFERROR(__xludf.DUMMYFUNCTION("IF(A174&gt;0,IFERROR(MAX(FILTER('Барабан'!AJ:AJ,'Барабан'!V:V=A174)),""–""),"""")"),"")</f>
        <v/>
      </c>
    </row>
    <row r="175" ht="15.75" customHeight="1">
      <c r="A175" s="1" t="str">
        <f>'Справочник'!E170</f>
        <v/>
      </c>
      <c r="B175" s="2" t="str">
        <f>IF(A175&gt;0,SUMIF('Барабан'!K:K,A175,'Барабан'!I:I),"")</f>
        <v/>
      </c>
      <c r="C175" s="2" t="str">
        <f>IF(A175&gt;0,SUMIF('Барабан'!V:V,A175,'Барабан'!T:T),"")</f>
        <v/>
      </c>
      <c r="D175" s="2" t="str">
        <f>IF(A175&gt;0,SUMIF('Барабан'!K:K,A175,'Барабан'!AG:AG)+SUMIF('Барабан'!V:V,A175,'Барабан'!AG:AG),"")</f>
        <v/>
      </c>
      <c r="E175" s="2" t="str">
        <f t="shared" si="1"/>
        <v/>
      </c>
      <c r="F175" s="2" t="str">
        <f t="array" ref="F175">IFERROR(IF(E175=0,0,INDEX('Справочник'!G:G,MATCH(A175,'Справочник'!F:F,0))))</f>
        <v/>
      </c>
      <c r="G175" s="2" t="str">
        <f>IF(A175&gt;0,SUMIF('Барабан'!K:K,A175,'Барабан'!P:P),"")</f>
        <v/>
      </c>
      <c r="H175" s="2" t="str">
        <f>IF(A175&gt;0,SUMIF('Барабан'!V:V,A175,'Барабан'!AA:AA),"")</f>
        <v/>
      </c>
      <c r="I175" s="2" t="str">
        <f t="shared" si="4"/>
        <v/>
      </c>
      <c r="J175" s="9" t="str">
        <f t="shared" si="2"/>
        <v/>
      </c>
      <c r="K175" s="1" t="str">
        <f>IF(A175&gt;0,COUNTIF('Барабан'!K:K,A175),"")</f>
        <v/>
      </c>
      <c r="L175" s="1" t="str">
        <f>IF(A175&gt;0,COUNTIF('Барабан'!V:V,A175),"")</f>
        <v/>
      </c>
      <c r="M175" s="1" t="str">
        <f t="shared" si="3"/>
        <v/>
      </c>
      <c r="N175" s="1" t="str">
        <f>IFERROR(__xludf.DUMMYFUNCTION("IF(A175&gt;0,MIN(FILTER('Барабан'!AJ:AJ,'Барабан'!K:K=A175)),"""")"),"")</f>
        <v/>
      </c>
      <c r="O175" s="16" t="str">
        <f>IFERROR(__xludf.DUMMYFUNCTION("IF(A175&gt;0,IFERROR(MAX(FILTER('Барабан'!AJ:AJ,'Барабан'!V:V=A175)),""–""),"""")"),"")</f>
        <v/>
      </c>
    </row>
    <row r="176" ht="15.75" customHeight="1">
      <c r="A176" s="1" t="str">
        <f>'Справочник'!E171</f>
        <v/>
      </c>
      <c r="B176" s="2" t="str">
        <f>IF(A176&gt;0,SUMIF('Барабан'!K:K,A176,'Барабан'!I:I),"")</f>
        <v/>
      </c>
      <c r="C176" s="2" t="str">
        <f>IF(A176&gt;0,SUMIF('Барабан'!V:V,A176,'Барабан'!T:T),"")</f>
        <v/>
      </c>
      <c r="D176" s="2" t="str">
        <f>IF(A176&gt;0,SUMIF('Барабан'!K:K,A176,'Барабан'!AG:AG)+SUMIF('Барабан'!V:V,A176,'Барабан'!AG:AG),"")</f>
        <v/>
      </c>
      <c r="E176" s="2" t="str">
        <f t="shared" si="1"/>
        <v/>
      </c>
      <c r="F176" s="2" t="str">
        <f t="array" ref="F176">IFERROR(IF(E176=0,0,INDEX('Справочник'!G:G,MATCH(A176,'Справочник'!F:F,0))))</f>
        <v/>
      </c>
      <c r="G176" s="2" t="str">
        <f>IF(A176&gt;0,SUMIF('Барабан'!K:K,A176,'Барабан'!P:P),"")</f>
        <v/>
      </c>
      <c r="H176" s="2" t="str">
        <f>IF(A176&gt;0,SUMIF('Барабан'!V:V,A176,'Барабан'!AA:AA),"")</f>
        <v/>
      </c>
      <c r="I176" s="2" t="str">
        <f t="shared" si="4"/>
        <v/>
      </c>
      <c r="J176" s="9" t="str">
        <f t="shared" si="2"/>
        <v/>
      </c>
      <c r="K176" s="1" t="str">
        <f>IF(A176&gt;0,COUNTIF('Барабан'!K:K,A176),"")</f>
        <v/>
      </c>
      <c r="L176" s="1" t="str">
        <f>IF(A176&gt;0,COUNTIF('Барабан'!V:V,A176),"")</f>
        <v/>
      </c>
      <c r="M176" s="1" t="str">
        <f t="shared" si="3"/>
        <v/>
      </c>
      <c r="N176" s="1" t="str">
        <f>IFERROR(__xludf.DUMMYFUNCTION("IF(A176&gt;0,MIN(FILTER('Барабан'!AJ:AJ,'Барабан'!K:K=A176)),"""")"),"")</f>
        <v/>
      </c>
      <c r="O176" s="16" t="str">
        <f>IFERROR(__xludf.DUMMYFUNCTION("IF(A176&gt;0,IFERROR(MAX(FILTER('Барабан'!AJ:AJ,'Барабан'!V:V=A176)),""–""),"""")"),"")</f>
        <v/>
      </c>
    </row>
    <row r="177" ht="15.75" customHeight="1">
      <c r="A177" s="1" t="str">
        <f>'Справочник'!E172</f>
        <v/>
      </c>
      <c r="B177" s="2" t="str">
        <f>IF(A177&gt;0,SUMIF('Барабан'!K:K,A177,'Барабан'!I:I),"")</f>
        <v/>
      </c>
      <c r="C177" s="2" t="str">
        <f>IF(A177&gt;0,SUMIF('Барабан'!V:V,A177,'Барабан'!T:T),"")</f>
        <v/>
      </c>
      <c r="D177" s="2" t="str">
        <f>IF(A177&gt;0,SUMIF('Барабан'!K:K,A177,'Барабан'!AG:AG)+SUMIF('Барабан'!V:V,A177,'Барабан'!AG:AG),"")</f>
        <v/>
      </c>
      <c r="E177" s="2" t="str">
        <f t="shared" si="1"/>
        <v/>
      </c>
      <c r="F177" s="2" t="str">
        <f t="array" ref="F177">IFERROR(IF(E177=0,0,INDEX('Справочник'!G:G,MATCH(A177,'Справочник'!F:F,0))))</f>
        <v/>
      </c>
      <c r="G177" s="2" t="str">
        <f>IF(A177&gt;0,SUMIF('Барабан'!K:K,A177,'Барабан'!P:P),"")</f>
        <v/>
      </c>
      <c r="H177" s="2" t="str">
        <f>IF(A177&gt;0,SUMIF('Барабан'!V:V,A177,'Барабан'!AA:AA),"")</f>
        <v/>
      </c>
      <c r="I177" s="2" t="str">
        <f t="shared" si="4"/>
        <v/>
      </c>
      <c r="J177" s="9" t="str">
        <f t="shared" si="2"/>
        <v/>
      </c>
      <c r="K177" s="1" t="str">
        <f>IF(A177&gt;0,COUNTIF('Барабан'!K:K,A177),"")</f>
        <v/>
      </c>
      <c r="L177" s="1" t="str">
        <f>IF(A177&gt;0,COUNTIF('Барабан'!V:V,A177),"")</f>
        <v/>
      </c>
      <c r="M177" s="1" t="str">
        <f t="shared" si="3"/>
        <v/>
      </c>
      <c r="N177" s="1" t="str">
        <f>IFERROR(__xludf.DUMMYFUNCTION("IF(A177&gt;0,MIN(FILTER('Барабан'!AJ:AJ,'Барабан'!K:K=A177)),"""")"),"")</f>
        <v/>
      </c>
      <c r="O177" s="16" t="str">
        <f>IFERROR(__xludf.DUMMYFUNCTION("IF(A177&gt;0,IFERROR(MAX(FILTER('Барабан'!AJ:AJ,'Барабан'!V:V=A177)),""–""),"""")"),"")</f>
        <v/>
      </c>
    </row>
    <row r="178" ht="15.75" customHeight="1">
      <c r="A178" s="1" t="str">
        <f>'Справочник'!E173</f>
        <v/>
      </c>
      <c r="B178" s="2" t="str">
        <f>IF(A178&gt;0,SUMIF('Барабан'!K:K,A178,'Барабан'!I:I),"")</f>
        <v/>
      </c>
      <c r="C178" s="2" t="str">
        <f>IF(A178&gt;0,SUMIF('Барабан'!V:V,A178,'Барабан'!T:T),"")</f>
        <v/>
      </c>
      <c r="D178" s="2" t="str">
        <f>IF(A178&gt;0,SUMIF('Барабан'!K:K,A178,'Барабан'!AG:AG)+SUMIF('Барабан'!V:V,A178,'Барабан'!AG:AG),"")</f>
        <v/>
      </c>
      <c r="E178" s="2" t="str">
        <f t="shared" si="1"/>
        <v/>
      </c>
      <c r="F178" s="2" t="str">
        <f t="array" ref="F178">IFERROR(IF(E178=0,0,INDEX('Справочник'!G:G,MATCH(A178,'Справочник'!F:F,0))))</f>
        <v/>
      </c>
      <c r="G178" s="2" t="str">
        <f>IF(A178&gt;0,SUMIF('Барабан'!K:K,A178,'Барабан'!P:P),"")</f>
        <v/>
      </c>
      <c r="H178" s="2" t="str">
        <f>IF(A178&gt;0,SUMIF('Барабан'!V:V,A178,'Барабан'!AA:AA),"")</f>
        <v/>
      </c>
      <c r="I178" s="2" t="str">
        <f t="shared" si="4"/>
        <v/>
      </c>
      <c r="J178" s="9" t="str">
        <f t="shared" si="2"/>
        <v/>
      </c>
      <c r="K178" s="1" t="str">
        <f>IF(A178&gt;0,COUNTIF('Барабан'!K:K,A178),"")</f>
        <v/>
      </c>
      <c r="L178" s="1" t="str">
        <f>IF(A178&gt;0,COUNTIF('Барабан'!V:V,A178),"")</f>
        <v/>
      </c>
      <c r="M178" s="1" t="str">
        <f t="shared" si="3"/>
        <v/>
      </c>
      <c r="N178" s="1" t="str">
        <f>IFERROR(__xludf.DUMMYFUNCTION("IF(A178&gt;0,MIN(FILTER('Барабан'!AJ:AJ,'Барабан'!K:K=A178)),"""")"),"")</f>
        <v/>
      </c>
      <c r="O178" s="16" t="str">
        <f>IFERROR(__xludf.DUMMYFUNCTION("IF(A178&gt;0,IFERROR(MAX(FILTER('Барабан'!AJ:AJ,'Барабан'!V:V=A178)),""–""),"""")"),"")</f>
        <v/>
      </c>
    </row>
    <row r="179" ht="15.75" customHeight="1">
      <c r="A179" s="1" t="str">
        <f>'Справочник'!E174</f>
        <v/>
      </c>
      <c r="B179" s="2" t="str">
        <f>IF(A179&gt;0,SUMIF('Барабан'!K:K,A179,'Барабан'!I:I),"")</f>
        <v/>
      </c>
      <c r="C179" s="2" t="str">
        <f>IF(A179&gt;0,SUMIF('Барабан'!V:V,A179,'Барабан'!T:T),"")</f>
        <v/>
      </c>
      <c r="D179" s="2" t="str">
        <f>IF(A179&gt;0,SUMIF('Барабан'!K:K,A179,'Барабан'!AG:AG)+SUMIF('Барабан'!V:V,A179,'Барабан'!AG:AG),"")</f>
        <v/>
      </c>
      <c r="E179" s="2" t="str">
        <f t="shared" si="1"/>
        <v/>
      </c>
      <c r="F179" s="2" t="str">
        <f t="array" ref="F179">IFERROR(IF(E179=0,0,INDEX('Справочник'!G:G,MATCH(A179,'Справочник'!F:F,0))))</f>
        <v/>
      </c>
      <c r="G179" s="2" t="str">
        <f>IF(A179&gt;0,SUMIF('Барабан'!K:K,A179,'Барабан'!P:P),"")</f>
        <v/>
      </c>
      <c r="H179" s="2" t="str">
        <f>IF(A179&gt;0,SUMIF('Барабан'!V:V,A179,'Барабан'!AA:AA),"")</f>
        <v/>
      </c>
      <c r="I179" s="2" t="str">
        <f t="shared" si="4"/>
        <v/>
      </c>
      <c r="J179" s="9" t="str">
        <f t="shared" si="2"/>
        <v/>
      </c>
      <c r="K179" s="1" t="str">
        <f>IF(A179&gt;0,COUNTIF('Барабан'!K:K,A179),"")</f>
        <v/>
      </c>
      <c r="L179" s="1" t="str">
        <f>IF(A179&gt;0,COUNTIF('Барабан'!V:V,A179),"")</f>
        <v/>
      </c>
      <c r="M179" s="1" t="str">
        <f t="shared" si="3"/>
        <v/>
      </c>
      <c r="N179" s="1" t="str">
        <f>IFERROR(__xludf.DUMMYFUNCTION("IF(A179&gt;0,MIN(FILTER('Барабан'!AJ:AJ,'Барабан'!K:K=A179)),"""")"),"")</f>
        <v/>
      </c>
      <c r="O179" s="16" t="str">
        <f>IFERROR(__xludf.DUMMYFUNCTION("IF(A179&gt;0,IFERROR(MAX(FILTER('Барабан'!AJ:AJ,'Барабан'!V:V=A179)),""–""),"""")"),"")</f>
        <v/>
      </c>
    </row>
    <row r="180" ht="15.75" customHeight="1">
      <c r="A180" s="1" t="str">
        <f>'Справочник'!E175</f>
        <v/>
      </c>
      <c r="B180" s="2" t="str">
        <f>IF(A180&gt;0,SUMIF('Барабан'!K:K,A180,'Барабан'!I:I),"")</f>
        <v/>
      </c>
      <c r="C180" s="2" t="str">
        <f>IF(A180&gt;0,SUMIF('Барабан'!V:V,A180,'Барабан'!T:T),"")</f>
        <v/>
      </c>
      <c r="D180" s="2" t="str">
        <f>IF(A180&gt;0,SUMIF('Барабан'!K:K,A180,'Барабан'!AG:AG)+SUMIF('Барабан'!V:V,A180,'Барабан'!AG:AG),"")</f>
        <v/>
      </c>
      <c r="E180" s="2" t="str">
        <f t="shared" si="1"/>
        <v/>
      </c>
      <c r="F180" s="2" t="str">
        <f t="array" ref="F180">IFERROR(IF(E180=0,0,INDEX('Справочник'!G:G,MATCH(A180,'Справочник'!F:F,0))))</f>
        <v/>
      </c>
      <c r="G180" s="2" t="str">
        <f>IF(A180&gt;0,SUMIF('Барабан'!K:K,A180,'Барабан'!P:P),"")</f>
        <v/>
      </c>
      <c r="H180" s="2" t="str">
        <f>IF(A180&gt;0,SUMIF('Барабан'!V:V,A180,'Барабан'!AA:AA),"")</f>
        <v/>
      </c>
      <c r="I180" s="2" t="str">
        <f t="shared" si="4"/>
        <v/>
      </c>
      <c r="J180" s="9" t="str">
        <f t="shared" si="2"/>
        <v/>
      </c>
      <c r="K180" s="1" t="str">
        <f>IF(A180&gt;0,COUNTIF('Барабан'!K:K,A180),"")</f>
        <v/>
      </c>
      <c r="L180" s="1" t="str">
        <f>IF(A180&gt;0,COUNTIF('Барабан'!V:V,A180),"")</f>
        <v/>
      </c>
      <c r="M180" s="1" t="str">
        <f t="shared" si="3"/>
        <v/>
      </c>
      <c r="N180" s="1" t="str">
        <f>IFERROR(__xludf.DUMMYFUNCTION("IF(A180&gt;0,MIN(FILTER('Барабан'!AJ:AJ,'Барабан'!K:K=A180)),"""")"),"")</f>
        <v/>
      </c>
      <c r="O180" s="16" t="str">
        <f>IFERROR(__xludf.DUMMYFUNCTION("IF(A180&gt;0,IFERROR(MAX(FILTER('Барабан'!AJ:AJ,'Барабан'!V:V=A180)),""–""),"""")"),"")</f>
        <v/>
      </c>
    </row>
    <row r="181" ht="15.75" customHeight="1">
      <c r="A181" s="1" t="str">
        <f>'Справочник'!E176</f>
        <v/>
      </c>
      <c r="B181" s="2" t="str">
        <f>IF(A181&gt;0,SUMIF('Барабан'!K:K,A181,'Барабан'!I:I),"")</f>
        <v/>
      </c>
      <c r="C181" s="2" t="str">
        <f>IF(A181&gt;0,SUMIF('Барабан'!V:V,A181,'Барабан'!T:T),"")</f>
        <v/>
      </c>
      <c r="D181" s="2" t="str">
        <f>IF(A181&gt;0,SUMIF('Барабан'!K:K,A181,'Барабан'!AG:AG)+SUMIF('Барабан'!V:V,A181,'Барабан'!AG:AG),"")</f>
        <v/>
      </c>
      <c r="E181" s="2" t="str">
        <f t="shared" si="1"/>
        <v/>
      </c>
      <c r="F181" s="2" t="str">
        <f t="array" ref="F181">IFERROR(IF(E181=0,0,INDEX('Справочник'!G:G,MATCH(A181,'Справочник'!F:F,0))))</f>
        <v/>
      </c>
      <c r="G181" s="2" t="str">
        <f>IF(A181&gt;0,SUMIF('Барабан'!K:K,A181,'Барабан'!P:P),"")</f>
        <v/>
      </c>
      <c r="H181" s="2" t="str">
        <f>IF(A181&gt;0,SUMIF('Барабан'!V:V,A181,'Барабан'!AA:AA),"")</f>
        <v/>
      </c>
      <c r="I181" s="2" t="str">
        <f t="shared" si="4"/>
        <v/>
      </c>
      <c r="J181" s="9" t="str">
        <f t="shared" si="2"/>
        <v/>
      </c>
      <c r="K181" s="1" t="str">
        <f>IF(A181&gt;0,COUNTIF('Барабан'!K:K,A181),"")</f>
        <v/>
      </c>
      <c r="L181" s="1" t="str">
        <f>IF(A181&gt;0,COUNTIF('Барабан'!V:V,A181),"")</f>
        <v/>
      </c>
      <c r="M181" s="1" t="str">
        <f t="shared" si="3"/>
        <v/>
      </c>
      <c r="N181" s="1" t="str">
        <f>IFERROR(__xludf.DUMMYFUNCTION("IF(A181&gt;0,MIN(FILTER('Барабан'!AJ:AJ,'Барабан'!K:K=A181)),"""")"),"")</f>
        <v/>
      </c>
      <c r="O181" s="16" t="str">
        <f>IFERROR(__xludf.DUMMYFUNCTION("IF(A181&gt;0,IFERROR(MAX(FILTER('Барабан'!AJ:AJ,'Барабан'!V:V=A181)),""–""),"""")"),"")</f>
        <v/>
      </c>
    </row>
    <row r="182" ht="15.75" customHeight="1">
      <c r="A182" s="1" t="str">
        <f>'Справочник'!E177</f>
        <v/>
      </c>
      <c r="B182" s="2" t="str">
        <f>IF(A182&gt;0,SUMIF('Барабан'!K:K,A182,'Барабан'!I:I),"")</f>
        <v/>
      </c>
      <c r="C182" s="2" t="str">
        <f>IF(A182&gt;0,SUMIF('Барабан'!V:V,A182,'Барабан'!T:T),"")</f>
        <v/>
      </c>
      <c r="D182" s="2" t="str">
        <f>IF(A182&gt;0,SUMIF('Барабан'!K:K,A182,'Барабан'!AG:AG)+SUMIF('Барабан'!V:V,A182,'Барабан'!AG:AG),"")</f>
        <v/>
      </c>
      <c r="E182" s="2" t="str">
        <f t="shared" si="1"/>
        <v/>
      </c>
      <c r="F182" s="2" t="str">
        <f t="array" ref="F182">IFERROR(IF(E182=0,0,INDEX('Справочник'!G:G,MATCH(A182,'Справочник'!F:F,0))))</f>
        <v/>
      </c>
      <c r="G182" s="2" t="str">
        <f>IF(A182&gt;0,SUMIF('Барабан'!K:K,A182,'Барабан'!P:P),"")</f>
        <v/>
      </c>
      <c r="H182" s="2" t="str">
        <f>IF(A182&gt;0,SUMIF('Барабан'!V:V,A182,'Барабан'!AA:AA),"")</f>
        <v/>
      </c>
      <c r="I182" s="2" t="str">
        <f t="shared" si="4"/>
        <v/>
      </c>
      <c r="J182" s="9" t="str">
        <f t="shared" si="2"/>
        <v/>
      </c>
      <c r="K182" s="1" t="str">
        <f>IF(A182&gt;0,COUNTIF('Барабан'!K:K,A182),"")</f>
        <v/>
      </c>
      <c r="L182" s="1" t="str">
        <f>IF(A182&gt;0,COUNTIF('Барабан'!V:V,A182),"")</f>
        <v/>
      </c>
      <c r="M182" s="1" t="str">
        <f t="shared" si="3"/>
        <v/>
      </c>
      <c r="N182" s="1" t="str">
        <f>IFERROR(__xludf.DUMMYFUNCTION("IF(A182&gt;0,MIN(FILTER('Барабан'!AJ:AJ,'Барабан'!K:K=A182)),"""")"),"")</f>
        <v/>
      </c>
      <c r="O182" s="16" t="str">
        <f>IFERROR(__xludf.DUMMYFUNCTION("IF(A182&gt;0,IFERROR(MAX(FILTER('Барабан'!AJ:AJ,'Барабан'!V:V=A182)),""–""),"""")"),"")</f>
        <v/>
      </c>
    </row>
    <row r="183" ht="15.75" customHeight="1">
      <c r="A183" s="1" t="str">
        <f>'Справочник'!E178</f>
        <v/>
      </c>
      <c r="B183" s="2" t="str">
        <f>IF(A183&gt;0,SUMIF('Барабан'!K:K,A183,'Барабан'!I:I),"")</f>
        <v/>
      </c>
      <c r="C183" s="2" t="str">
        <f>IF(A183&gt;0,SUMIF('Барабан'!V:V,A183,'Барабан'!T:T),"")</f>
        <v/>
      </c>
      <c r="D183" s="2" t="str">
        <f>IF(A183&gt;0,SUMIF('Барабан'!K:K,A183,'Барабан'!AG:AG)+SUMIF('Барабан'!V:V,A183,'Барабан'!AG:AG),"")</f>
        <v/>
      </c>
      <c r="E183" s="2" t="str">
        <f t="shared" si="1"/>
        <v/>
      </c>
      <c r="F183" s="2" t="str">
        <f t="array" ref="F183">IFERROR(IF(E183=0,0,INDEX('Справочник'!G:G,MATCH(A183,'Справочник'!F:F,0))))</f>
        <v/>
      </c>
      <c r="G183" s="2" t="str">
        <f>IF(A183&gt;0,SUMIF('Барабан'!K:K,A183,'Барабан'!P:P),"")</f>
        <v/>
      </c>
      <c r="H183" s="2" t="str">
        <f>IF(A183&gt;0,SUMIF('Барабан'!V:V,A183,'Барабан'!AA:AA),"")</f>
        <v/>
      </c>
      <c r="I183" s="2" t="str">
        <f t="shared" si="4"/>
        <v/>
      </c>
      <c r="J183" s="9" t="str">
        <f t="shared" si="2"/>
        <v/>
      </c>
      <c r="K183" s="1" t="str">
        <f>IF(A183&gt;0,COUNTIF('Барабан'!K:K,A183),"")</f>
        <v/>
      </c>
      <c r="L183" s="1" t="str">
        <f>IF(A183&gt;0,COUNTIF('Барабан'!V:V,A183),"")</f>
        <v/>
      </c>
      <c r="M183" s="1" t="str">
        <f t="shared" si="3"/>
        <v/>
      </c>
      <c r="N183" s="1" t="str">
        <f>IFERROR(__xludf.DUMMYFUNCTION("IF(A183&gt;0,MIN(FILTER('Барабан'!AJ:AJ,'Барабан'!K:K=A183)),"""")"),"")</f>
        <v/>
      </c>
      <c r="O183" s="16" t="str">
        <f>IFERROR(__xludf.DUMMYFUNCTION("IF(A183&gt;0,IFERROR(MAX(FILTER('Барабан'!AJ:AJ,'Барабан'!V:V=A183)),""–""),"""")"),"")</f>
        <v/>
      </c>
    </row>
    <row r="184" ht="15.75" customHeight="1">
      <c r="A184" s="1" t="str">
        <f>'Справочник'!E179</f>
        <v/>
      </c>
      <c r="B184" s="2" t="str">
        <f>IF(A184&gt;0,SUMIF('Барабан'!K:K,A184,'Барабан'!I:I),"")</f>
        <v/>
      </c>
      <c r="C184" s="2" t="str">
        <f>IF(A184&gt;0,SUMIF('Барабан'!V:V,A184,'Барабан'!T:T),"")</f>
        <v/>
      </c>
      <c r="D184" s="2" t="str">
        <f>IF(A184&gt;0,SUMIF('Барабан'!K:K,A184,'Барабан'!AG:AG)+SUMIF('Барабан'!V:V,A184,'Барабан'!AG:AG),"")</f>
        <v/>
      </c>
      <c r="E184" s="2" t="str">
        <f t="shared" si="1"/>
        <v/>
      </c>
      <c r="F184" s="2" t="str">
        <f t="array" ref="F184">IFERROR(IF(E184=0,0,INDEX('Справочник'!G:G,MATCH(A184,'Справочник'!F:F,0))))</f>
        <v/>
      </c>
      <c r="G184" s="2" t="str">
        <f>IF(A184&gt;0,SUMIF('Барабан'!K:K,A184,'Барабан'!P:P),"")</f>
        <v/>
      </c>
      <c r="H184" s="2" t="str">
        <f>IF(A184&gt;0,SUMIF('Барабан'!V:V,A184,'Барабан'!AA:AA),"")</f>
        <v/>
      </c>
      <c r="I184" s="2" t="str">
        <f t="shared" si="4"/>
        <v/>
      </c>
      <c r="J184" s="9" t="str">
        <f t="shared" si="2"/>
        <v/>
      </c>
      <c r="K184" s="1" t="str">
        <f>IF(A184&gt;0,COUNTIF('Барабан'!K:K,A184),"")</f>
        <v/>
      </c>
      <c r="L184" s="1" t="str">
        <f>IF(A184&gt;0,COUNTIF('Барабан'!V:V,A184),"")</f>
        <v/>
      </c>
      <c r="M184" s="1" t="str">
        <f t="shared" si="3"/>
        <v/>
      </c>
      <c r="N184" s="1" t="str">
        <f>IFERROR(__xludf.DUMMYFUNCTION("IF(A184&gt;0,MIN(FILTER('Барабан'!AJ:AJ,'Барабан'!K:K=A184)),"""")"),"")</f>
        <v/>
      </c>
      <c r="O184" s="16" t="str">
        <f>IFERROR(__xludf.DUMMYFUNCTION("IF(A184&gt;0,IFERROR(MAX(FILTER('Барабан'!AJ:AJ,'Барабан'!V:V=A184)),""–""),"""")"),"")</f>
        <v/>
      </c>
    </row>
    <row r="185" ht="15.75" customHeight="1">
      <c r="A185" s="1" t="str">
        <f>'Справочник'!E180</f>
        <v/>
      </c>
      <c r="B185" s="2" t="str">
        <f>IF(A185&gt;0,SUMIF('Барабан'!K:K,A185,'Барабан'!I:I),"")</f>
        <v/>
      </c>
      <c r="C185" s="2" t="str">
        <f>IF(A185&gt;0,SUMIF('Барабан'!V:V,A185,'Барабан'!T:T),"")</f>
        <v/>
      </c>
      <c r="D185" s="2" t="str">
        <f>IF(A185&gt;0,SUMIF('Барабан'!K:K,A185,'Барабан'!AG:AG)+SUMIF('Барабан'!V:V,A185,'Барабан'!AG:AG),"")</f>
        <v/>
      </c>
      <c r="E185" s="2" t="str">
        <f t="shared" si="1"/>
        <v/>
      </c>
      <c r="F185" s="2" t="str">
        <f t="array" ref="F185">IFERROR(IF(E185=0,0,INDEX('Справочник'!G:G,MATCH(A185,'Справочник'!F:F,0))))</f>
        <v/>
      </c>
      <c r="G185" s="2" t="str">
        <f>IF(A185&gt;0,SUMIF('Барабан'!K:K,A185,'Барабан'!P:P),"")</f>
        <v/>
      </c>
      <c r="H185" s="2" t="str">
        <f>IF(A185&gt;0,SUMIF('Барабан'!V:V,A185,'Барабан'!AA:AA),"")</f>
        <v/>
      </c>
      <c r="I185" s="2" t="str">
        <f t="shared" si="4"/>
        <v/>
      </c>
      <c r="J185" s="9" t="str">
        <f t="shared" si="2"/>
        <v/>
      </c>
      <c r="K185" s="1" t="str">
        <f>IF(A185&gt;0,COUNTIF('Барабан'!K:K,A185),"")</f>
        <v/>
      </c>
      <c r="L185" s="1" t="str">
        <f>IF(A185&gt;0,COUNTIF('Барабан'!V:V,A185),"")</f>
        <v/>
      </c>
      <c r="M185" s="1" t="str">
        <f t="shared" si="3"/>
        <v/>
      </c>
      <c r="N185" s="1" t="str">
        <f>IFERROR(__xludf.DUMMYFUNCTION("IF(A185&gt;0,MIN(FILTER('Барабан'!AJ:AJ,'Барабан'!K:K=A185)),"""")"),"")</f>
        <v/>
      </c>
      <c r="O185" s="16" t="str">
        <f>IFERROR(__xludf.DUMMYFUNCTION("IF(A185&gt;0,IFERROR(MAX(FILTER('Барабан'!AJ:AJ,'Барабан'!V:V=A185)),""–""),"""")"),"")</f>
        <v/>
      </c>
    </row>
    <row r="186" ht="15.75" customHeight="1">
      <c r="A186" s="1" t="str">
        <f>'Справочник'!E181</f>
        <v/>
      </c>
      <c r="B186" s="2" t="str">
        <f>IF(A186&gt;0,SUMIF('Барабан'!K:K,A186,'Барабан'!I:I),"")</f>
        <v/>
      </c>
      <c r="C186" s="2" t="str">
        <f>IF(A186&gt;0,SUMIF('Барабан'!V:V,A186,'Барабан'!T:T),"")</f>
        <v/>
      </c>
      <c r="D186" s="2" t="str">
        <f>IF(A186&gt;0,SUMIF('Барабан'!K:K,A186,'Барабан'!AG:AG)+SUMIF('Барабан'!V:V,A186,'Барабан'!AG:AG),"")</f>
        <v/>
      </c>
      <c r="E186" s="2" t="str">
        <f t="shared" si="1"/>
        <v/>
      </c>
      <c r="F186" s="2" t="str">
        <f t="array" ref="F186">IFERROR(IF(E186=0,0,INDEX('Справочник'!G:G,MATCH(A186,'Справочник'!F:F,0))))</f>
        <v/>
      </c>
      <c r="G186" s="2" t="str">
        <f>IF(A186&gt;0,SUMIF('Барабан'!K:K,A186,'Барабан'!P:P),"")</f>
        <v/>
      </c>
      <c r="H186" s="2" t="str">
        <f>IF(A186&gt;0,SUMIF('Барабан'!V:V,A186,'Барабан'!AA:AA),"")</f>
        <v/>
      </c>
      <c r="I186" s="2" t="str">
        <f t="shared" si="4"/>
        <v/>
      </c>
      <c r="J186" s="9" t="str">
        <f t="shared" si="2"/>
        <v/>
      </c>
      <c r="K186" s="1" t="str">
        <f>IF(A186&gt;0,COUNTIF('Барабан'!K:K,A186),"")</f>
        <v/>
      </c>
      <c r="L186" s="1" t="str">
        <f>IF(A186&gt;0,COUNTIF('Барабан'!V:V,A186),"")</f>
        <v/>
      </c>
      <c r="M186" s="1" t="str">
        <f t="shared" si="3"/>
        <v/>
      </c>
      <c r="N186" s="1" t="str">
        <f>IFERROR(__xludf.DUMMYFUNCTION("IF(A186&gt;0,MIN(FILTER('Барабан'!AJ:AJ,'Барабан'!K:K=A186)),"""")"),"")</f>
        <v/>
      </c>
      <c r="O186" s="16" t="str">
        <f>IFERROR(__xludf.DUMMYFUNCTION("IF(A186&gt;0,IFERROR(MAX(FILTER('Барабан'!AJ:AJ,'Барабан'!V:V=A186)),""–""),"""")"),"")</f>
        <v/>
      </c>
    </row>
    <row r="187" ht="15.75" customHeight="1">
      <c r="A187" s="1" t="str">
        <f>'Справочник'!E182</f>
        <v/>
      </c>
      <c r="B187" s="2" t="str">
        <f>IF(A187&gt;0,SUMIF('Барабан'!K:K,A187,'Барабан'!I:I),"")</f>
        <v/>
      </c>
      <c r="C187" s="2" t="str">
        <f>IF(A187&gt;0,SUMIF('Барабан'!V:V,A187,'Барабан'!T:T),"")</f>
        <v/>
      </c>
      <c r="D187" s="2" t="str">
        <f>IF(A187&gt;0,SUMIF('Барабан'!K:K,A187,'Барабан'!AG:AG)+SUMIF('Барабан'!V:V,A187,'Барабан'!AG:AG),"")</f>
        <v/>
      </c>
      <c r="E187" s="2" t="str">
        <f t="shared" si="1"/>
        <v/>
      </c>
      <c r="F187" s="2" t="str">
        <f t="array" ref="F187">IFERROR(IF(E187=0,0,INDEX('Справочник'!G:G,MATCH(A187,'Справочник'!F:F,0))))</f>
        <v/>
      </c>
      <c r="G187" s="2" t="str">
        <f>IF(A187&gt;0,SUMIF('Барабан'!K:K,A187,'Барабан'!P:P),"")</f>
        <v/>
      </c>
      <c r="H187" s="2" t="str">
        <f>IF(A187&gt;0,SUMIF('Барабан'!V:V,A187,'Барабан'!AA:AA),"")</f>
        <v/>
      </c>
      <c r="I187" s="2" t="str">
        <f t="shared" si="4"/>
        <v/>
      </c>
      <c r="J187" s="9" t="str">
        <f t="shared" si="2"/>
        <v/>
      </c>
      <c r="K187" s="1" t="str">
        <f>IF(A187&gt;0,COUNTIF('Барабан'!K:K,A187),"")</f>
        <v/>
      </c>
      <c r="L187" s="1" t="str">
        <f>IF(A187&gt;0,COUNTIF('Барабан'!V:V,A187),"")</f>
        <v/>
      </c>
      <c r="M187" s="1" t="str">
        <f t="shared" si="3"/>
        <v/>
      </c>
      <c r="N187" s="1" t="str">
        <f>IFERROR(__xludf.DUMMYFUNCTION("IF(A187&gt;0,MIN(FILTER('Барабан'!AJ:AJ,'Барабан'!K:K=A187)),"""")"),"")</f>
        <v/>
      </c>
      <c r="O187" s="16" t="str">
        <f>IFERROR(__xludf.DUMMYFUNCTION("IF(A187&gt;0,IFERROR(MAX(FILTER('Барабан'!AJ:AJ,'Барабан'!V:V=A187)),""–""),"""")"),"")</f>
        <v/>
      </c>
    </row>
    <row r="188" ht="15.75" customHeight="1">
      <c r="A188" s="1" t="str">
        <f>'Справочник'!E183</f>
        <v/>
      </c>
      <c r="B188" s="2" t="str">
        <f>IF(A188&gt;0,SUMIF('Барабан'!K:K,A188,'Барабан'!I:I),"")</f>
        <v/>
      </c>
      <c r="C188" s="2" t="str">
        <f>IF(A188&gt;0,SUMIF('Барабан'!V:V,A188,'Барабан'!T:T),"")</f>
        <v/>
      </c>
      <c r="D188" s="2" t="str">
        <f>IF(A188&gt;0,SUMIF('Барабан'!K:K,A188,'Барабан'!AG:AG)+SUMIF('Барабан'!V:V,A188,'Барабан'!AG:AG),"")</f>
        <v/>
      </c>
      <c r="E188" s="2" t="str">
        <f t="shared" si="1"/>
        <v/>
      </c>
      <c r="F188" s="2" t="str">
        <f t="array" ref="F188">IFERROR(IF(E188=0,0,INDEX('Справочник'!G:G,MATCH(A188,'Справочник'!F:F,0))))</f>
        <v/>
      </c>
      <c r="G188" s="2" t="str">
        <f>IF(A188&gt;0,SUMIF('Барабан'!K:K,A188,'Барабан'!P:P),"")</f>
        <v/>
      </c>
      <c r="H188" s="2" t="str">
        <f>IF(A188&gt;0,SUMIF('Барабан'!V:V,A188,'Барабан'!AA:AA),"")</f>
        <v/>
      </c>
      <c r="I188" s="2" t="str">
        <f t="shared" si="4"/>
        <v/>
      </c>
      <c r="J188" s="9" t="str">
        <f t="shared" si="2"/>
        <v/>
      </c>
      <c r="K188" s="1" t="str">
        <f>IF(A188&gt;0,COUNTIF('Барабан'!K:K,A188),"")</f>
        <v/>
      </c>
      <c r="L188" s="1" t="str">
        <f>IF(A188&gt;0,COUNTIF('Барабан'!V:V,A188),"")</f>
        <v/>
      </c>
      <c r="M188" s="1" t="str">
        <f t="shared" si="3"/>
        <v/>
      </c>
      <c r="N188" s="1" t="str">
        <f>IFERROR(__xludf.DUMMYFUNCTION("IF(A188&gt;0,MIN(FILTER('Барабан'!AJ:AJ,'Барабан'!K:K=A188)),"""")"),"")</f>
        <v/>
      </c>
      <c r="O188" s="16" t="str">
        <f>IFERROR(__xludf.DUMMYFUNCTION("IF(A188&gt;0,IFERROR(MAX(FILTER('Барабан'!AJ:AJ,'Барабан'!V:V=A188)),""–""),"""")"),"")</f>
        <v/>
      </c>
    </row>
    <row r="189" ht="15.75" customHeight="1">
      <c r="A189" s="1" t="str">
        <f>'Справочник'!E184</f>
        <v/>
      </c>
      <c r="B189" s="2" t="str">
        <f>IF(A189&gt;0,SUMIF('Барабан'!K:K,A189,'Барабан'!I:I),"")</f>
        <v/>
      </c>
      <c r="C189" s="2" t="str">
        <f>IF(A189&gt;0,SUMIF('Барабан'!V:V,A189,'Барабан'!T:T),"")</f>
        <v/>
      </c>
      <c r="D189" s="2" t="str">
        <f>IF(A189&gt;0,SUMIF('Барабан'!K:K,A189,'Барабан'!AG:AG)+SUMIF('Барабан'!V:V,A189,'Барабан'!AG:AG),"")</f>
        <v/>
      </c>
      <c r="E189" s="2" t="str">
        <f t="shared" si="1"/>
        <v/>
      </c>
      <c r="F189" s="2" t="str">
        <f t="array" ref="F189">IFERROR(IF(E189=0,0,INDEX('Справочник'!G:G,MATCH(A189,'Справочник'!F:F,0))))</f>
        <v/>
      </c>
      <c r="G189" s="2" t="str">
        <f>IF(A189&gt;0,SUMIF('Барабан'!K:K,A189,'Барабан'!P:P),"")</f>
        <v/>
      </c>
      <c r="H189" s="2" t="str">
        <f>IF(A189&gt;0,SUMIF('Барабан'!V:V,A189,'Барабан'!AA:AA),"")</f>
        <v/>
      </c>
      <c r="I189" s="2" t="str">
        <f t="shared" si="4"/>
        <v/>
      </c>
      <c r="J189" s="9" t="str">
        <f t="shared" si="2"/>
        <v/>
      </c>
      <c r="K189" s="1" t="str">
        <f>IF(A189&gt;0,COUNTIF('Барабан'!K:K,A189),"")</f>
        <v/>
      </c>
      <c r="L189" s="1" t="str">
        <f>IF(A189&gt;0,COUNTIF('Барабан'!V:V,A189),"")</f>
        <v/>
      </c>
      <c r="M189" s="1" t="str">
        <f t="shared" si="3"/>
        <v/>
      </c>
      <c r="N189" s="1" t="str">
        <f>IFERROR(__xludf.DUMMYFUNCTION("IF(A189&gt;0,MIN(FILTER('Барабан'!AJ:AJ,'Барабан'!K:K=A189)),"""")"),"")</f>
        <v/>
      </c>
      <c r="O189" s="16" t="str">
        <f>IFERROR(__xludf.DUMMYFUNCTION("IF(A189&gt;0,IFERROR(MAX(FILTER('Барабан'!AJ:AJ,'Барабан'!V:V=A189)),""–""),"""")"),"")</f>
        <v/>
      </c>
    </row>
    <row r="190" ht="15.75" customHeight="1">
      <c r="A190" s="1" t="str">
        <f>'Справочник'!E185</f>
        <v/>
      </c>
      <c r="B190" s="2" t="str">
        <f>IF(A190&gt;0,SUMIF('Барабан'!K:K,A190,'Барабан'!I:I),"")</f>
        <v/>
      </c>
      <c r="C190" s="2" t="str">
        <f>IF(A190&gt;0,SUMIF('Барабан'!V:V,A190,'Барабан'!T:T),"")</f>
        <v/>
      </c>
      <c r="D190" s="2" t="str">
        <f>IF(A190&gt;0,SUMIF('Барабан'!K:K,A190,'Барабан'!AG:AG)+SUMIF('Барабан'!V:V,A190,'Барабан'!AG:AG),"")</f>
        <v/>
      </c>
      <c r="E190" s="2" t="str">
        <f t="shared" si="1"/>
        <v/>
      </c>
      <c r="F190" s="2" t="str">
        <f t="array" ref="F190">IFERROR(IF(E190=0,0,INDEX('Справочник'!G:G,MATCH(A190,'Справочник'!F:F,0))))</f>
        <v/>
      </c>
      <c r="G190" s="2" t="str">
        <f>IF(A190&gt;0,SUMIF('Барабан'!K:K,A190,'Барабан'!P:P),"")</f>
        <v/>
      </c>
      <c r="H190" s="2" t="str">
        <f>IF(A190&gt;0,SUMIF('Барабан'!V:V,A190,'Барабан'!AA:AA),"")</f>
        <v/>
      </c>
      <c r="I190" s="2" t="str">
        <f t="shared" si="4"/>
        <v/>
      </c>
      <c r="J190" s="9" t="str">
        <f t="shared" si="2"/>
        <v/>
      </c>
      <c r="K190" s="1" t="str">
        <f>IF(A190&gt;0,COUNTIF('Барабан'!K:K,A190),"")</f>
        <v/>
      </c>
      <c r="L190" s="1" t="str">
        <f>IF(A190&gt;0,COUNTIF('Барабан'!V:V,A190),"")</f>
        <v/>
      </c>
      <c r="M190" s="1" t="str">
        <f t="shared" si="3"/>
        <v/>
      </c>
      <c r="N190" s="1" t="str">
        <f>IFERROR(__xludf.DUMMYFUNCTION("IF(A190&gt;0,MIN(FILTER('Барабан'!AJ:AJ,'Барабан'!K:K=A190)),"""")"),"")</f>
        <v/>
      </c>
      <c r="O190" s="16" t="str">
        <f>IFERROR(__xludf.DUMMYFUNCTION("IF(A190&gt;0,IFERROR(MAX(FILTER('Барабан'!AJ:AJ,'Барабан'!V:V=A190)),""–""),"""")"),"")</f>
        <v/>
      </c>
    </row>
    <row r="191" ht="15.75" customHeight="1">
      <c r="A191" s="1" t="str">
        <f>'Справочник'!E186</f>
        <v/>
      </c>
      <c r="B191" s="2" t="str">
        <f>IF(A191&gt;0,SUMIF('Барабан'!K:K,A191,'Барабан'!I:I),"")</f>
        <v/>
      </c>
      <c r="C191" s="2" t="str">
        <f>IF(A191&gt;0,SUMIF('Барабан'!V:V,A191,'Барабан'!T:T),"")</f>
        <v/>
      </c>
      <c r="D191" s="2" t="str">
        <f>IF(A191&gt;0,SUMIF('Барабан'!K:K,A191,'Барабан'!AG:AG)+SUMIF('Барабан'!V:V,A191,'Барабан'!AG:AG),"")</f>
        <v/>
      </c>
      <c r="E191" s="2" t="str">
        <f t="shared" si="1"/>
        <v/>
      </c>
      <c r="F191" s="2" t="str">
        <f t="array" ref="F191">IFERROR(IF(E191=0,0,INDEX('Справочник'!G:G,MATCH(A191,'Справочник'!F:F,0))))</f>
        <v/>
      </c>
      <c r="G191" s="2" t="str">
        <f>IF(A191&gt;0,SUMIF('Барабан'!K:K,A191,'Барабан'!P:P),"")</f>
        <v/>
      </c>
      <c r="H191" s="2" t="str">
        <f>IF(A191&gt;0,SUMIF('Барабан'!V:V,A191,'Барабан'!AA:AA),"")</f>
        <v/>
      </c>
      <c r="I191" s="2" t="str">
        <f t="shared" si="4"/>
        <v/>
      </c>
      <c r="J191" s="9" t="str">
        <f t="shared" si="2"/>
        <v/>
      </c>
      <c r="K191" s="1" t="str">
        <f>IF(A191&gt;0,COUNTIF('Барабан'!K:K,A191),"")</f>
        <v/>
      </c>
      <c r="L191" s="1" t="str">
        <f>IF(A191&gt;0,COUNTIF('Барабан'!V:V,A191),"")</f>
        <v/>
      </c>
      <c r="M191" s="1" t="str">
        <f t="shared" si="3"/>
        <v/>
      </c>
      <c r="N191" s="1" t="str">
        <f>IFERROR(__xludf.DUMMYFUNCTION("IF(A191&gt;0,MIN(FILTER('Барабан'!AJ:AJ,'Барабан'!K:K=A191)),"""")"),"")</f>
        <v/>
      </c>
      <c r="O191" s="16" t="str">
        <f>IFERROR(__xludf.DUMMYFUNCTION("IF(A191&gt;0,IFERROR(MAX(FILTER('Барабан'!AJ:AJ,'Барабан'!V:V=A191)),""–""),"""")"),"")</f>
        <v/>
      </c>
    </row>
    <row r="192" ht="15.75" customHeight="1">
      <c r="A192" s="1" t="str">
        <f>'Справочник'!E187</f>
        <v/>
      </c>
      <c r="B192" s="2" t="str">
        <f>IF(A192&gt;0,SUMIF('Барабан'!K:K,A192,'Барабан'!I:I),"")</f>
        <v/>
      </c>
      <c r="C192" s="2" t="str">
        <f>IF(A192&gt;0,SUMIF('Барабан'!V:V,A192,'Барабан'!T:T),"")</f>
        <v/>
      </c>
      <c r="D192" s="2" t="str">
        <f>IF(A192&gt;0,SUMIF('Барабан'!K:K,A192,'Барабан'!AG:AG)+SUMIF('Барабан'!V:V,A192,'Барабан'!AG:AG),"")</f>
        <v/>
      </c>
      <c r="E192" s="2" t="str">
        <f t="shared" si="1"/>
        <v/>
      </c>
      <c r="F192" s="2" t="str">
        <f t="array" ref="F192">IFERROR(IF(E192=0,0,INDEX('Справочник'!G:G,MATCH(A192,'Справочник'!F:F,0))))</f>
        <v/>
      </c>
      <c r="G192" s="2" t="str">
        <f>IF(A192&gt;0,SUMIF('Барабан'!K:K,A192,'Барабан'!P:P),"")</f>
        <v/>
      </c>
      <c r="H192" s="2" t="str">
        <f>IF(A192&gt;0,SUMIF('Барабан'!V:V,A192,'Барабан'!AA:AA),"")</f>
        <v/>
      </c>
      <c r="I192" s="2" t="str">
        <f t="shared" si="4"/>
        <v/>
      </c>
      <c r="J192" s="9" t="str">
        <f t="shared" si="2"/>
        <v/>
      </c>
      <c r="K192" s="1" t="str">
        <f>IF(A192&gt;0,COUNTIF('Барабан'!K:K,A192),"")</f>
        <v/>
      </c>
      <c r="L192" s="1" t="str">
        <f>IF(A192&gt;0,COUNTIF('Барабан'!V:V,A192),"")</f>
        <v/>
      </c>
      <c r="M192" s="1" t="str">
        <f t="shared" si="3"/>
        <v/>
      </c>
      <c r="N192" s="1" t="str">
        <f>IFERROR(__xludf.DUMMYFUNCTION("IF(A192&gt;0,MIN(FILTER('Барабан'!AJ:AJ,'Барабан'!K:K=A192)),"""")"),"")</f>
        <v/>
      </c>
      <c r="O192" s="16" t="str">
        <f>IFERROR(__xludf.DUMMYFUNCTION("IF(A192&gt;0,IFERROR(MAX(FILTER('Барабан'!AJ:AJ,'Барабан'!V:V=A192)),""–""),"""")"),"")</f>
        <v/>
      </c>
    </row>
    <row r="193" ht="15.75" customHeight="1">
      <c r="A193" s="1" t="str">
        <f>'Справочник'!E188</f>
        <v/>
      </c>
      <c r="B193" s="2" t="str">
        <f>IF(A193&gt;0,SUMIF('Барабан'!K:K,A193,'Барабан'!I:I),"")</f>
        <v/>
      </c>
      <c r="C193" s="2" t="str">
        <f>IF(A193&gt;0,SUMIF('Барабан'!V:V,A193,'Барабан'!T:T),"")</f>
        <v/>
      </c>
      <c r="D193" s="2" t="str">
        <f>IF(A193&gt;0,SUMIF('Барабан'!K:K,A193,'Барабан'!AG:AG)+SUMIF('Барабан'!V:V,A193,'Барабан'!AG:AG),"")</f>
        <v/>
      </c>
      <c r="E193" s="2" t="str">
        <f t="shared" si="1"/>
        <v/>
      </c>
      <c r="F193" s="2" t="str">
        <f t="array" ref="F193">IFERROR(IF(E193=0,0,INDEX('Справочник'!G:G,MATCH(A193,'Справочник'!F:F,0))))</f>
        <v/>
      </c>
      <c r="G193" s="2" t="str">
        <f>IF(A193&gt;0,SUMIF('Барабан'!K:K,A193,'Барабан'!P:P),"")</f>
        <v/>
      </c>
      <c r="H193" s="2" t="str">
        <f>IF(A193&gt;0,SUMIF('Барабан'!V:V,A193,'Барабан'!AA:AA),"")</f>
        <v/>
      </c>
      <c r="I193" s="2" t="str">
        <f t="shared" si="4"/>
        <v/>
      </c>
      <c r="J193" s="9" t="str">
        <f t="shared" si="2"/>
        <v/>
      </c>
      <c r="K193" s="1" t="str">
        <f>IF(A193&gt;0,COUNTIF('Барабан'!K:K,A193),"")</f>
        <v/>
      </c>
      <c r="L193" s="1" t="str">
        <f>IF(A193&gt;0,COUNTIF('Барабан'!V:V,A193),"")</f>
        <v/>
      </c>
      <c r="M193" s="1" t="str">
        <f t="shared" si="3"/>
        <v/>
      </c>
      <c r="N193" s="1" t="str">
        <f>IFERROR(__xludf.DUMMYFUNCTION("IF(A193&gt;0,MIN(FILTER('Барабан'!AJ:AJ,'Барабан'!K:K=A193)),"""")"),"")</f>
        <v/>
      </c>
      <c r="O193" s="16" t="str">
        <f>IFERROR(__xludf.DUMMYFUNCTION("IF(A193&gt;0,IFERROR(MAX(FILTER('Барабан'!AJ:AJ,'Барабан'!V:V=A193)),""–""),"""")"),"")</f>
        <v/>
      </c>
    </row>
    <row r="194" ht="15.75" customHeight="1">
      <c r="A194" s="1" t="str">
        <f>'Справочник'!E189</f>
        <v/>
      </c>
      <c r="B194" s="2" t="str">
        <f>IF(A194&gt;0,SUMIF('Барабан'!K:K,A194,'Барабан'!I:I),"")</f>
        <v/>
      </c>
      <c r="C194" s="2" t="str">
        <f>IF(A194&gt;0,SUMIF('Барабан'!V:V,A194,'Барабан'!T:T),"")</f>
        <v/>
      </c>
      <c r="D194" s="2" t="str">
        <f>IF(A194&gt;0,SUMIF('Барабан'!K:K,A194,'Барабан'!AG:AG)+SUMIF('Барабан'!V:V,A194,'Барабан'!AG:AG),"")</f>
        <v/>
      </c>
      <c r="E194" s="2" t="str">
        <f t="shared" si="1"/>
        <v/>
      </c>
      <c r="F194" s="2" t="str">
        <f t="array" ref="F194">IFERROR(IF(E194=0,0,INDEX('Справочник'!G:G,MATCH(A194,'Справочник'!F:F,0))))</f>
        <v/>
      </c>
      <c r="G194" s="2" t="str">
        <f>IF(A194&gt;0,SUMIF('Барабан'!K:K,A194,'Барабан'!P:P),"")</f>
        <v/>
      </c>
      <c r="H194" s="2" t="str">
        <f>IF(A194&gt;0,SUMIF('Барабан'!V:V,A194,'Барабан'!AA:AA),"")</f>
        <v/>
      </c>
      <c r="I194" s="2" t="str">
        <f t="shared" si="4"/>
        <v/>
      </c>
      <c r="J194" s="9" t="str">
        <f t="shared" si="2"/>
        <v/>
      </c>
      <c r="K194" s="1" t="str">
        <f>IF(A194&gt;0,COUNTIF('Барабан'!K:K,A194),"")</f>
        <v/>
      </c>
      <c r="L194" s="1" t="str">
        <f>IF(A194&gt;0,COUNTIF('Барабан'!V:V,A194),"")</f>
        <v/>
      </c>
      <c r="M194" s="1" t="str">
        <f t="shared" si="3"/>
        <v/>
      </c>
      <c r="N194" s="1" t="str">
        <f>IFERROR(__xludf.DUMMYFUNCTION("IF(A194&gt;0,MIN(FILTER('Барабан'!AJ:AJ,'Барабан'!K:K=A194)),"""")"),"")</f>
        <v/>
      </c>
      <c r="O194" s="16" t="str">
        <f>IFERROR(__xludf.DUMMYFUNCTION("IF(A194&gt;0,IFERROR(MAX(FILTER('Барабан'!AJ:AJ,'Барабан'!V:V=A194)),""–""),"""")"),"")</f>
        <v/>
      </c>
    </row>
    <row r="195" ht="15.75" customHeight="1">
      <c r="A195" s="1" t="str">
        <f>'Справочник'!E190</f>
        <v/>
      </c>
      <c r="B195" s="2" t="str">
        <f>IF(A195&gt;0,SUMIF('Барабан'!K:K,A195,'Барабан'!I:I),"")</f>
        <v/>
      </c>
      <c r="C195" s="2" t="str">
        <f>IF(A195&gt;0,SUMIF('Барабан'!V:V,A195,'Барабан'!T:T),"")</f>
        <v/>
      </c>
      <c r="D195" s="2" t="str">
        <f>IF(A195&gt;0,SUMIF('Барабан'!K:K,A195,'Барабан'!AG:AG)+SUMIF('Барабан'!V:V,A195,'Барабан'!AG:AG),"")</f>
        <v/>
      </c>
      <c r="E195" s="2" t="str">
        <f t="shared" si="1"/>
        <v/>
      </c>
      <c r="F195" s="2" t="str">
        <f t="array" ref="F195">IFERROR(IF(E195=0,0,INDEX('Справочник'!G:G,MATCH(A195,'Справочник'!F:F,0))))</f>
        <v/>
      </c>
      <c r="G195" s="2" t="str">
        <f>IF(A195&gt;0,SUMIF('Барабан'!K:K,A195,'Барабан'!P:P),"")</f>
        <v/>
      </c>
      <c r="H195" s="2" t="str">
        <f>IF(A195&gt;0,SUMIF('Барабан'!V:V,A195,'Барабан'!AA:AA),"")</f>
        <v/>
      </c>
      <c r="I195" s="2" t="str">
        <f t="shared" si="4"/>
        <v/>
      </c>
      <c r="J195" s="9" t="str">
        <f t="shared" si="2"/>
        <v/>
      </c>
      <c r="K195" s="1" t="str">
        <f>IF(A195&gt;0,COUNTIF('Барабан'!K:K,A195),"")</f>
        <v/>
      </c>
      <c r="L195" s="1" t="str">
        <f>IF(A195&gt;0,COUNTIF('Барабан'!V:V,A195),"")</f>
        <v/>
      </c>
      <c r="M195" s="1" t="str">
        <f t="shared" si="3"/>
        <v/>
      </c>
      <c r="N195" s="1" t="str">
        <f>IFERROR(__xludf.DUMMYFUNCTION("IF(A195&gt;0,MIN(FILTER('Барабан'!AJ:AJ,'Барабан'!K:K=A195)),"""")"),"")</f>
        <v/>
      </c>
      <c r="O195" s="16" t="str">
        <f>IFERROR(__xludf.DUMMYFUNCTION("IF(A195&gt;0,IFERROR(MAX(FILTER('Барабан'!AJ:AJ,'Барабан'!V:V=A195)),""–""),"""")"),"")</f>
        <v/>
      </c>
    </row>
    <row r="196" ht="15.75" customHeight="1">
      <c r="A196" s="1" t="str">
        <f>'Справочник'!E191</f>
        <v/>
      </c>
      <c r="B196" s="2" t="str">
        <f>IF(A196&gt;0,SUMIF('Барабан'!K:K,A196,'Барабан'!I:I),"")</f>
        <v/>
      </c>
      <c r="C196" s="2" t="str">
        <f>IF(A196&gt;0,SUMIF('Барабан'!V:V,A196,'Барабан'!T:T),"")</f>
        <v/>
      </c>
      <c r="D196" s="2" t="str">
        <f>IF(A196&gt;0,SUMIF('Барабан'!K:K,A196,'Барабан'!AG:AG)+SUMIF('Барабан'!V:V,A196,'Барабан'!AG:AG),"")</f>
        <v/>
      </c>
      <c r="E196" s="2" t="str">
        <f t="shared" si="1"/>
        <v/>
      </c>
      <c r="F196" s="2" t="str">
        <f t="array" ref="F196">IFERROR(IF(E196=0,0,INDEX('Справочник'!G:G,MATCH(A196,'Справочник'!F:F,0))))</f>
        <v/>
      </c>
      <c r="G196" s="2" t="str">
        <f>IF(A196&gt;0,SUMIF('Барабан'!K:K,A196,'Барабан'!P:P),"")</f>
        <v/>
      </c>
      <c r="H196" s="2" t="str">
        <f>IF(A196&gt;0,SUMIF('Барабан'!V:V,A196,'Барабан'!AA:AA),"")</f>
        <v/>
      </c>
      <c r="I196" s="2" t="str">
        <f t="shared" si="4"/>
        <v/>
      </c>
      <c r="J196" s="9" t="str">
        <f t="shared" si="2"/>
        <v/>
      </c>
      <c r="K196" s="1" t="str">
        <f>IF(A196&gt;0,COUNTIF('Барабан'!K:K,A196),"")</f>
        <v/>
      </c>
      <c r="L196" s="1" t="str">
        <f>IF(A196&gt;0,COUNTIF('Барабан'!V:V,A196),"")</f>
        <v/>
      </c>
      <c r="M196" s="1" t="str">
        <f t="shared" si="3"/>
        <v/>
      </c>
      <c r="N196" s="1" t="str">
        <f>IFERROR(__xludf.DUMMYFUNCTION("IF(A196&gt;0,MIN(FILTER('Барабан'!AJ:AJ,'Барабан'!K:K=A196)),"""")"),"")</f>
        <v/>
      </c>
      <c r="O196" s="16" t="str">
        <f>IFERROR(__xludf.DUMMYFUNCTION("IF(A196&gt;0,IFERROR(MAX(FILTER('Барабан'!AJ:AJ,'Барабан'!V:V=A196)),""–""),"""")"),"")</f>
        <v/>
      </c>
    </row>
    <row r="197" ht="15.75" customHeight="1">
      <c r="A197" s="1" t="str">
        <f>'Справочник'!E192</f>
        <v/>
      </c>
      <c r="B197" s="2" t="str">
        <f>IF(A197&gt;0,SUMIF('Барабан'!K:K,A197,'Барабан'!I:I),"")</f>
        <v/>
      </c>
      <c r="C197" s="2" t="str">
        <f>IF(A197&gt;0,SUMIF('Барабан'!V:V,A197,'Барабан'!T:T),"")</f>
        <v/>
      </c>
      <c r="D197" s="2" t="str">
        <f>IF(A197&gt;0,SUMIF('Барабан'!K:K,A197,'Барабан'!AG:AG)+SUMIF('Барабан'!V:V,A197,'Барабан'!AG:AG),"")</f>
        <v/>
      </c>
      <c r="E197" s="2" t="str">
        <f t="shared" si="1"/>
        <v/>
      </c>
      <c r="F197" s="2" t="str">
        <f t="array" ref="F197">IFERROR(IF(E197=0,0,INDEX('Справочник'!G:G,MATCH(A197,'Справочник'!F:F,0))))</f>
        <v/>
      </c>
      <c r="G197" s="2" t="str">
        <f>IF(A197&gt;0,SUMIF('Барабан'!K:K,A197,'Барабан'!P:P),"")</f>
        <v/>
      </c>
      <c r="H197" s="2" t="str">
        <f>IF(A197&gt;0,SUMIF('Барабан'!V:V,A197,'Барабан'!AA:AA),"")</f>
        <v/>
      </c>
      <c r="I197" s="2" t="str">
        <f t="shared" si="4"/>
        <v/>
      </c>
      <c r="J197" s="9" t="str">
        <f t="shared" si="2"/>
        <v/>
      </c>
      <c r="K197" s="1" t="str">
        <f>IF(A197&gt;0,COUNTIF('Барабан'!K:K,A197),"")</f>
        <v/>
      </c>
      <c r="L197" s="1" t="str">
        <f>IF(A197&gt;0,COUNTIF('Барабан'!V:V,A197),"")</f>
        <v/>
      </c>
      <c r="M197" s="1" t="str">
        <f t="shared" si="3"/>
        <v/>
      </c>
      <c r="N197" s="1" t="str">
        <f>IFERROR(__xludf.DUMMYFUNCTION("IF(A197&gt;0,MIN(FILTER('Барабан'!AJ:AJ,'Барабан'!K:K=A197)),"""")"),"")</f>
        <v/>
      </c>
      <c r="O197" s="16" t="str">
        <f>IFERROR(__xludf.DUMMYFUNCTION("IF(A197&gt;0,IFERROR(MAX(FILTER('Барабан'!AJ:AJ,'Барабан'!V:V=A197)),""–""),"""")"),"")</f>
        <v/>
      </c>
    </row>
    <row r="198" ht="15.75" customHeight="1">
      <c r="A198" s="1" t="str">
        <f>'Справочник'!E193</f>
        <v/>
      </c>
      <c r="B198" s="2" t="str">
        <f>IF(A198&gt;0,SUMIF('Барабан'!K:K,A198,'Барабан'!I:I),"")</f>
        <v/>
      </c>
      <c r="C198" s="2" t="str">
        <f>IF(A198&gt;0,SUMIF('Барабан'!V:V,A198,'Барабан'!T:T),"")</f>
        <v/>
      </c>
      <c r="D198" s="2" t="str">
        <f>IF(A198&gt;0,SUMIF('Барабан'!K:K,A198,'Барабан'!AG:AG)+SUMIF('Барабан'!V:V,A198,'Барабан'!AG:AG),"")</f>
        <v/>
      </c>
      <c r="E198" s="2" t="str">
        <f t="shared" si="1"/>
        <v/>
      </c>
      <c r="F198" s="2" t="str">
        <f t="array" ref="F198">IFERROR(IF(E198=0,0,INDEX('Справочник'!G:G,MATCH(A198,'Справочник'!F:F,0))))</f>
        <v/>
      </c>
      <c r="G198" s="2" t="str">
        <f>IF(A198&gt;0,SUMIF('Барабан'!K:K,A198,'Барабан'!P:P),"")</f>
        <v/>
      </c>
      <c r="H198" s="2" t="str">
        <f>IF(A198&gt;0,SUMIF('Барабан'!V:V,A198,'Барабан'!AA:AA),"")</f>
        <v/>
      </c>
      <c r="I198" s="2" t="str">
        <f t="shared" si="4"/>
        <v/>
      </c>
      <c r="J198" s="9" t="str">
        <f t="shared" si="2"/>
        <v/>
      </c>
      <c r="K198" s="1" t="str">
        <f>IF(A198&gt;0,COUNTIF('Барабан'!K:K,A198),"")</f>
        <v/>
      </c>
      <c r="L198" s="1" t="str">
        <f>IF(A198&gt;0,COUNTIF('Барабан'!V:V,A198),"")</f>
        <v/>
      </c>
      <c r="M198" s="1" t="str">
        <f t="shared" si="3"/>
        <v/>
      </c>
      <c r="N198" s="1" t="str">
        <f>IFERROR(__xludf.DUMMYFUNCTION("IF(A198&gt;0,MIN(FILTER('Барабан'!AJ:AJ,'Барабан'!K:K=A198)),"""")"),"")</f>
        <v/>
      </c>
      <c r="O198" s="16" t="str">
        <f>IFERROR(__xludf.DUMMYFUNCTION("IF(A198&gt;0,IFERROR(MAX(FILTER('Барабан'!AJ:AJ,'Барабан'!V:V=A198)),""–""),"""")"),"")</f>
        <v/>
      </c>
    </row>
    <row r="199" ht="15.75" customHeight="1">
      <c r="A199" s="1" t="str">
        <f>'Справочник'!E194</f>
        <v/>
      </c>
      <c r="B199" s="2" t="str">
        <f>IF(A199&gt;0,SUMIF('Барабан'!K:K,A199,'Барабан'!I:I),"")</f>
        <v/>
      </c>
      <c r="C199" s="2" t="str">
        <f>IF(A199&gt;0,SUMIF('Барабан'!V:V,A199,'Барабан'!T:T),"")</f>
        <v/>
      </c>
      <c r="D199" s="2" t="str">
        <f>IF(A199&gt;0,SUMIF('Барабан'!K:K,A199,'Барабан'!AG:AG)+SUMIF('Барабан'!V:V,A199,'Барабан'!AG:AG),"")</f>
        <v/>
      </c>
      <c r="E199" s="2" t="str">
        <f t="shared" si="1"/>
        <v/>
      </c>
      <c r="F199" s="2" t="str">
        <f t="array" ref="F199">IFERROR(IF(E199=0,0,INDEX('Справочник'!G:G,MATCH(A199,'Справочник'!F:F,0))))</f>
        <v/>
      </c>
      <c r="G199" s="2" t="str">
        <f>IF(A199&gt;0,SUMIF('Барабан'!K:K,A199,'Барабан'!P:P),"")</f>
        <v/>
      </c>
      <c r="H199" s="2" t="str">
        <f>IF(A199&gt;0,SUMIF('Барабан'!V:V,A199,'Барабан'!AA:AA),"")</f>
        <v/>
      </c>
      <c r="I199" s="2" t="str">
        <f t="shared" si="4"/>
        <v/>
      </c>
      <c r="J199" s="9" t="str">
        <f t="shared" si="2"/>
        <v/>
      </c>
      <c r="K199" s="1" t="str">
        <f>IF(A199&gt;0,COUNTIF('Барабан'!K:K,A199),"")</f>
        <v/>
      </c>
      <c r="L199" s="1" t="str">
        <f>IF(A199&gt;0,COUNTIF('Барабан'!V:V,A199),"")</f>
        <v/>
      </c>
      <c r="M199" s="1" t="str">
        <f t="shared" si="3"/>
        <v/>
      </c>
      <c r="N199" s="1" t="str">
        <f>IFERROR(__xludf.DUMMYFUNCTION("IF(A199&gt;0,MIN(FILTER('Барабан'!AJ:AJ,'Барабан'!K:K=A199)),"""")"),"")</f>
        <v/>
      </c>
      <c r="O199" s="16" t="str">
        <f>IFERROR(__xludf.DUMMYFUNCTION("IF(A199&gt;0,IFERROR(MAX(FILTER('Барабан'!AJ:AJ,'Барабан'!V:V=A199)),""–""),"""")"),"")</f>
        <v/>
      </c>
    </row>
    <row r="200" ht="15.75" customHeight="1">
      <c r="A200" s="1" t="str">
        <f>'Справочник'!E195</f>
        <v/>
      </c>
      <c r="B200" s="2" t="str">
        <f>IF(A200&gt;0,SUMIF('Барабан'!K:K,A200,'Барабан'!I:I),"")</f>
        <v/>
      </c>
      <c r="C200" s="2" t="str">
        <f>IF(A200&gt;0,SUMIF('Барабан'!V:V,A200,'Барабан'!T:T),"")</f>
        <v/>
      </c>
      <c r="D200" s="2" t="str">
        <f>IF(A200&gt;0,SUMIF('Барабан'!K:K,A200,'Барабан'!AG:AG)+SUMIF('Барабан'!V:V,A200,'Барабан'!AG:AG),"")</f>
        <v/>
      </c>
      <c r="E200" s="2" t="str">
        <f t="shared" si="1"/>
        <v/>
      </c>
      <c r="F200" s="2" t="str">
        <f t="array" ref="F200">IFERROR(IF(E200=0,0,INDEX('Справочник'!G:G,MATCH(A200,'Справочник'!F:F,0))))</f>
        <v/>
      </c>
      <c r="G200" s="2" t="str">
        <f>IF(A200&gt;0,SUMIF('Барабан'!K:K,A200,'Барабан'!P:P),"")</f>
        <v/>
      </c>
      <c r="H200" s="2" t="str">
        <f>IF(A200&gt;0,SUMIF('Барабан'!V:V,A200,'Барабан'!AA:AA),"")</f>
        <v/>
      </c>
      <c r="I200" s="2" t="str">
        <f t="shared" si="4"/>
        <v/>
      </c>
      <c r="J200" s="9" t="str">
        <f t="shared" si="2"/>
        <v/>
      </c>
      <c r="K200" s="1" t="str">
        <f>IF(A200&gt;0,COUNTIF('Барабан'!K:K,A200),"")</f>
        <v/>
      </c>
      <c r="L200" s="1" t="str">
        <f>IF(A200&gt;0,COUNTIF('Барабан'!V:V,A200),"")</f>
        <v/>
      </c>
      <c r="M200" s="1" t="str">
        <f t="shared" si="3"/>
        <v/>
      </c>
      <c r="N200" s="1" t="str">
        <f>IFERROR(__xludf.DUMMYFUNCTION("IF(A200&gt;0,MIN(FILTER('Барабан'!AJ:AJ,'Барабан'!K:K=A200)),"""")"),"")</f>
        <v/>
      </c>
      <c r="O200" s="16" t="str">
        <f>IFERROR(__xludf.DUMMYFUNCTION("IF(A200&gt;0,IFERROR(MAX(FILTER('Барабан'!AJ:AJ,'Барабан'!V:V=A200)),""–""),"""")"),"")</f>
        <v/>
      </c>
    </row>
    <row r="201" ht="15.75" customHeight="1">
      <c r="A201" s="1" t="str">
        <f>'Справочник'!E196</f>
        <v/>
      </c>
      <c r="B201" s="2" t="str">
        <f>IF(A201&gt;0,SUMIF('Барабан'!K:K,A201,'Барабан'!I:I),"")</f>
        <v/>
      </c>
      <c r="C201" s="2" t="str">
        <f>IF(A201&gt;0,SUMIF('Барабан'!V:V,A201,'Барабан'!T:T),"")</f>
        <v/>
      </c>
      <c r="D201" s="2" t="str">
        <f>IF(A201&gt;0,SUMIF('Барабан'!K:K,A201,'Барабан'!AG:AG)+SUMIF('Барабан'!V:V,A201,'Барабан'!AG:AG),"")</f>
        <v/>
      </c>
      <c r="E201" s="2" t="str">
        <f t="shared" si="1"/>
        <v/>
      </c>
      <c r="F201" s="2" t="str">
        <f t="array" ref="F201">IFERROR(IF(E201=0,0,INDEX('Справочник'!G:G,MATCH(A201,'Справочник'!F:F,0))))</f>
        <v/>
      </c>
      <c r="G201" s="2" t="str">
        <f>IF(A201&gt;0,SUMIF('Барабан'!K:K,A201,'Барабан'!P:P),"")</f>
        <v/>
      </c>
      <c r="H201" s="2" t="str">
        <f>IF(A201&gt;0,SUMIF('Барабан'!V:V,A201,'Барабан'!AA:AA),"")</f>
        <v/>
      </c>
      <c r="I201" s="2" t="str">
        <f t="shared" si="4"/>
        <v/>
      </c>
      <c r="J201" s="9" t="str">
        <f t="shared" si="2"/>
        <v/>
      </c>
      <c r="K201" s="1" t="str">
        <f>IF(A201&gt;0,COUNTIF('Барабан'!K:K,A201),"")</f>
        <v/>
      </c>
      <c r="L201" s="1" t="str">
        <f>IF(A201&gt;0,COUNTIF('Барабан'!V:V,A201),"")</f>
        <v/>
      </c>
      <c r="M201" s="1" t="str">
        <f t="shared" si="3"/>
        <v/>
      </c>
      <c r="N201" s="1" t="str">
        <f>IFERROR(__xludf.DUMMYFUNCTION("IF(A201&gt;0,MIN(FILTER('Барабан'!AJ:AJ,'Барабан'!K:K=A201)),"""")"),"")</f>
        <v/>
      </c>
      <c r="O201" s="16" t="str">
        <f>IFERROR(__xludf.DUMMYFUNCTION("IF(A201&gt;0,IFERROR(MAX(FILTER('Барабан'!AJ:AJ,'Барабан'!V:V=A201)),""–""),"""")"),"")</f>
        <v/>
      </c>
    </row>
    <row r="202" ht="15.75" customHeight="1">
      <c r="A202" s="1" t="str">
        <f>'Справочник'!E197</f>
        <v/>
      </c>
      <c r="B202" s="2" t="str">
        <f>IF(A202&gt;0,SUMIF('Барабан'!K:K,A202,'Барабан'!I:I),"")</f>
        <v/>
      </c>
      <c r="C202" s="2" t="str">
        <f>IF(A202&gt;0,SUMIF('Барабан'!V:V,A202,'Барабан'!T:T),"")</f>
        <v/>
      </c>
      <c r="D202" s="2" t="str">
        <f>IF(A202&gt;0,SUMIF('Барабан'!K:K,A202,'Барабан'!AG:AG)+SUMIF('Барабан'!V:V,A202,'Барабан'!AG:AG),"")</f>
        <v/>
      </c>
      <c r="E202" s="2" t="str">
        <f t="shared" si="1"/>
        <v/>
      </c>
      <c r="F202" s="2" t="str">
        <f t="array" ref="F202">IFERROR(IF(E202=0,0,INDEX('Справочник'!G:G,MATCH(A202,'Справочник'!F:F,0))))</f>
        <v/>
      </c>
      <c r="G202" s="2" t="str">
        <f>IF(A202&gt;0,SUMIF('Барабан'!K:K,A202,'Барабан'!P:P),"")</f>
        <v/>
      </c>
      <c r="H202" s="2" t="str">
        <f>IF(A202&gt;0,SUMIF('Барабан'!V:V,A202,'Барабан'!AA:AA),"")</f>
        <v/>
      </c>
      <c r="I202" s="2" t="str">
        <f t="shared" si="4"/>
        <v/>
      </c>
      <c r="J202" s="9" t="str">
        <f t="shared" si="2"/>
        <v/>
      </c>
      <c r="K202" s="1" t="str">
        <f>IF(A202&gt;0,COUNTIF('Барабан'!K:K,A202),"")</f>
        <v/>
      </c>
      <c r="L202" s="1" t="str">
        <f>IF(A202&gt;0,COUNTIF('Барабан'!V:V,A202),"")</f>
        <v/>
      </c>
      <c r="M202" s="1" t="str">
        <f t="shared" si="3"/>
        <v/>
      </c>
      <c r="N202" s="1" t="str">
        <f>IFERROR(__xludf.DUMMYFUNCTION("IF(A202&gt;0,MIN(FILTER('Барабан'!AJ:AJ,'Барабан'!K:K=A202)),"""")"),"")</f>
        <v/>
      </c>
      <c r="O202" s="16" t="str">
        <f>IFERROR(__xludf.DUMMYFUNCTION("IF(A202&gt;0,IFERROR(MAX(FILTER('Барабан'!AJ:AJ,'Барабан'!V:V=A202)),""–""),"""")"),"")</f>
        <v/>
      </c>
    </row>
    <row r="203" ht="15.75" customHeight="1">
      <c r="A203" s="1" t="str">
        <f>'Справочник'!E198</f>
        <v/>
      </c>
      <c r="B203" s="2" t="str">
        <f>IF(A203&gt;0,SUMIF('Барабан'!K:K,A203,'Барабан'!I:I),"")</f>
        <v/>
      </c>
      <c r="C203" s="2" t="str">
        <f>IF(A203&gt;0,SUMIF('Барабан'!V:V,A203,'Барабан'!T:T),"")</f>
        <v/>
      </c>
      <c r="D203" s="2" t="str">
        <f>IF(A203&gt;0,SUMIF('Барабан'!K:K,A203,'Барабан'!AG:AG)+SUMIF('Барабан'!V:V,A203,'Барабан'!AG:AG),"")</f>
        <v/>
      </c>
      <c r="E203" s="2" t="str">
        <f t="shared" si="1"/>
        <v/>
      </c>
      <c r="F203" s="2" t="str">
        <f t="array" ref="F203">IFERROR(IF(E203=0,0,INDEX('Справочник'!G:G,MATCH(A203,'Справочник'!F:F,0))))</f>
        <v/>
      </c>
      <c r="G203" s="2" t="str">
        <f>IF(A203&gt;0,SUMIF('Барабан'!K:K,A203,'Барабан'!P:P),"")</f>
        <v/>
      </c>
      <c r="H203" s="2" t="str">
        <f>IF(A203&gt;0,SUMIF('Барабан'!V:V,A203,'Барабан'!AA:AA),"")</f>
        <v/>
      </c>
      <c r="I203" s="2" t="str">
        <f t="shared" si="4"/>
        <v/>
      </c>
      <c r="J203" s="9" t="str">
        <f t="shared" si="2"/>
        <v/>
      </c>
      <c r="K203" s="1" t="str">
        <f>IF(A203&gt;0,COUNTIF('Барабан'!K:K,A203),"")</f>
        <v/>
      </c>
      <c r="L203" s="1" t="str">
        <f>IF(A203&gt;0,COUNTIF('Барабан'!V:V,A203),"")</f>
        <v/>
      </c>
      <c r="M203" s="1" t="str">
        <f t="shared" si="3"/>
        <v/>
      </c>
      <c r="N203" s="1" t="str">
        <f>IFERROR(__xludf.DUMMYFUNCTION("IF(A203&gt;0,MIN(FILTER('Барабан'!AJ:AJ,'Барабан'!K:K=A203)),"""")"),"")</f>
        <v/>
      </c>
      <c r="O203" s="16" t="str">
        <f>IFERROR(__xludf.DUMMYFUNCTION("IF(A203&gt;0,IFERROR(MAX(FILTER('Барабан'!AJ:AJ,'Барабан'!V:V=A203)),""–""),"""")"),"")</f>
        <v/>
      </c>
    </row>
    <row r="204" ht="15.75" customHeight="1">
      <c r="A204" s="1" t="str">
        <f>'Справочник'!E199</f>
        <v/>
      </c>
      <c r="B204" s="2" t="str">
        <f>IF(A204&gt;0,SUMIF('Барабан'!K:K,A204,'Барабан'!I:I),"")</f>
        <v/>
      </c>
      <c r="C204" s="2" t="str">
        <f>IF(A204&gt;0,SUMIF('Барабан'!V:V,A204,'Барабан'!T:T),"")</f>
        <v/>
      </c>
      <c r="D204" s="2" t="str">
        <f>IF(A204&gt;0,SUMIF('Барабан'!K:K,A204,'Барабан'!AG:AG)+SUMIF('Барабан'!V:V,A204,'Барабан'!AG:AG),"")</f>
        <v/>
      </c>
      <c r="E204" s="2" t="str">
        <f t="shared" si="1"/>
        <v/>
      </c>
      <c r="F204" s="2" t="str">
        <f t="array" ref="F204">IFERROR(IF(E204=0,0,INDEX('Справочник'!G:G,MATCH(A204,'Справочник'!F:F,0))))</f>
        <v/>
      </c>
      <c r="G204" s="2" t="str">
        <f>IF(A204&gt;0,SUMIF('Барабан'!K:K,A204,'Барабан'!P:P),"")</f>
        <v/>
      </c>
      <c r="H204" s="2" t="str">
        <f>IF(A204&gt;0,SUMIF('Барабан'!V:V,A204,'Барабан'!AA:AA),"")</f>
        <v/>
      </c>
      <c r="I204" s="2" t="str">
        <f t="shared" si="4"/>
        <v/>
      </c>
      <c r="J204" s="9" t="str">
        <f t="shared" si="2"/>
        <v/>
      </c>
      <c r="K204" s="1" t="str">
        <f>IF(A204&gt;0,COUNTIF('Барабан'!K:K,A204),"")</f>
        <v/>
      </c>
      <c r="L204" s="1" t="str">
        <f>IF(A204&gt;0,COUNTIF('Барабан'!V:V,A204),"")</f>
        <v/>
      </c>
      <c r="M204" s="1" t="str">
        <f t="shared" si="3"/>
        <v/>
      </c>
      <c r="N204" s="1" t="str">
        <f>IFERROR(__xludf.DUMMYFUNCTION("IF(A204&gt;0,MIN(FILTER('Барабан'!AJ:AJ,'Барабан'!K:K=A204)),"""")"),"")</f>
        <v/>
      </c>
      <c r="O204" s="16" t="str">
        <f>IFERROR(__xludf.DUMMYFUNCTION("IF(A204&gt;0,IFERROR(MAX(FILTER('Барабан'!AJ:AJ,'Барабан'!V:V=A204)),""–""),"""")"),"")</f>
        <v/>
      </c>
    </row>
    <row r="205" ht="15.75" customHeight="1">
      <c r="A205" s="1" t="str">
        <f>'Справочник'!E200</f>
        <v/>
      </c>
      <c r="B205" s="2" t="str">
        <f>IF(A205&gt;0,SUMIF('Барабан'!K:K,A205,'Барабан'!I:I),"")</f>
        <v/>
      </c>
      <c r="C205" s="2" t="str">
        <f>IF(A205&gt;0,SUMIF('Барабан'!V:V,A205,'Барабан'!T:T),"")</f>
        <v/>
      </c>
      <c r="D205" s="2" t="str">
        <f>IF(A205&gt;0,SUMIF('Барабан'!K:K,A205,'Барабан'!AG:AG)+SUMIF('Барабан'!V:V,A205,'Барабан'!AG:AG),"")</f>
        <v/>
      </c>
      <c r="E205" s="2" t="str">
        <f t="shared" si="1"/>
        <v/>
      </c>
      <c r="F205" s="2" t="str">
        <f t="array" ref="F205">IFERROR(IF(E205=0,0,INDEX('Справочник'!G:G,MATCH(A205,'Справочник'!F:F,0))))</f>
        <v/>
      </c>
      <c r="G205" s="2" t="str">
        <f>IF(A205&gt;0,SUMIF('Барабан'!K:K,A205,'Барабан'!P:P),"")</f>
        <v/>
      </c>
      <c r="H205" s="2" t="str">
        <f>IF(A205&gt;0,SUMIF('Барабан'!V:V,A205,'Барабан'!AA:AA),"")</f>
        <v/>
      </c>
      <c r="I205" s="2" t="str">
        <f t="shared" si="4"/>
        <v/>
      </c>
      <c r="J205" s="9" t="str">
        <f t="shared" si="2"/>
        <v/>
      </c>
      <c r="K205" s="1" t="str">
        <f>IF(A205&gt;0,COUNTIF('Барабан'!K:K,A205),"")</f>
        <v/>
      </c>
      <c r="L205" s="1" t="str">
        <f>IF(A205&gt;0,COUNTIF('Барабан'!V:V,A205),"")</f>
        <v/>
      </c>
      <c r="M205" s="1" t="str">
        <f t="shared" si="3"/>
        <v/>
      </c>
      <c r="N205" s="1" t="str">
        <f>IFERROR(__xludf.DUMMYFUNCTION("IF(A205&gt;0,MIN(FILTER('Барабан'!AJ:AJ,'Барабан'!K:K=A205)),"""")"),"")</f>
        <v/>
      </c>
      <c r="O205" s="16" t="str">
        <f>IFERROR(__xludf.DUMMYFUNCTION("IF(A205&gt;0,IFERROR(MAX(FILTER('Барабан'!AJ:AJ,'Барабан'!V:V=A205)),""–""),"""")"),"")</f>
        <v/>
      </c>
    </row>
    <row r="206" ht="15.75" customHeight="1">
      <c r="A206" s="1" t="str">
        <f>'Справочник'!E201</f>
        <v/>
      </c>
      <c r="B206" s="2" t="str">
        <f>IF(A206&gt;0,SUMIF('Барабан'!K:K,A206,'Барабан'!I:I),"")</f>
        <v/>
      </c>
      <c r="C206" s="2" t="str">
        <f>IF(A206&gt;0,SUMIF('Барабан'!V:V,A206,'Барабан'!T:T),"")</f>
        <v/>
      </c>
      <c r="D206" s="2" t="str">
        <f>IF(A206&gt;0,SUMIF('Барабан'!K:K,A206,'Барабан'!AG:AG)+SUMIF('Барабан'!V:V,A206,'Барабан'!AG:AG),"")</f>
        <v/>
      </c>
      <c r="E206" s="2" t="str">
        <f t="shared" si="1"/>
        <v/>
      </c>
      <c r="F206" s="2" t="str">
        <f t="array" ref="F206">IFERROR(IF(E206=0,0,INDEX('Справочник'!G:G,MATCH(A206,'Справочник'!F:F,0))))</f>
        <v/>
      </c>
      <c r="G206" s="2" t="str">
        <f>IF(A206&gt;0,SUMIF('Барабан'!K:K,A206,'Барабан'!P:P),"")</f>
        <v/>
      </c>
      <c r="H206" s="2" t="str">
        <f>IF(A206&gt;0,SUMIF('Барабан'!V:V,A206,'Барабан'!AA:AA),"")</f>
        <v/>
      </c>
      <c r="I206" s="2" t="str">
        <f t="shared" si="4"/>
        <v/>
      </c>
      <c r="J206" s="9" t="str">
        <f t="shared" si="2"/>
        <v/>
      </c>
      <c r="K206" s="1" t="str">
        <f>IF(A206&gt;0,COUNTIF('Барабан'!K:K,A206),"")</f>
        <v/>
      </c>
      <c r="L206" s="1" t="str">
        <f>IF(A206&gt;0,COUNTIF('Барабан'!V:V,A206),"")</f>
        <v/>
      </c>
      <c r="M206" s="1" t="str">
        <f t="shared" si="3"/>
        <v/>
      </c>
      <c r="N206" s="1" t="str">
        <f>IFERROR(__xludf.DUMMYFUNCTION("IF(A206&gt;0,MIN(FILTER('Барабан'!AJ:AJ,'Барабан'!K:K=A206)),"""")"),"")</f>
        <v/>
      </c>
      <c r="O206" s="16" t="str">
        <f>IFERROR(__xludf.DUMMYFUNCTION("IF(A206&gt;0,IFERROR(MAX(FILTER('Барабан'!AJ:AJ,'Барабан'!V:V=A206)),""–""),"""")"),"")</f>
        <v/>
      </c>
    </row>
    <row r="207" ht="15.75" customHeight="1">
      <c r="A207" s="1" t="str">
        <f>'Справочник'!E202</f>
        <v/>
      </c>
      <c r="B207" s="2" t="str">
        <f>IF(A207&gt;0,SUMIF('Барабан'!K:K,A207,'Барабан'!I:I),"")</f>
        <v/>
      </c>
      <c r="C207" s="2" t="str">
        <f>IF(A207&gt;0,SUMIF('Барабан'!V:V,A207,'Барабан'!T:T),"")</f>
        <v/>
      </c>
      <c r="D207" s="2" t="str">
        <f>IF(A207&gt;0,SUMIF('Барабан'!K:K,A207,'Барабан'!AG:AG)+SUMIF('Барабан'!V:V,A207,'Барабан'!AG:AG),"")</f>
        <v/>
      </c>
      <c r="E207" s="2" t="str">
        <f t="shared" si="1"/>
        <v/>
      </c>
      <c r="F207" s="2" t="str">
        <f t="array" ref="F207">IFERROR(IF(E207=0,0,INDEX('Справочник'!G:G,MATCH(A207,'Справочник'!F:F,0))))</f>
        <v/>
      </c>
      <c r="G207" s="2" t="str">
        <f>IF(A207&gt;0,SUMIF('Барабан'!K:K,A207,'Барабан'!P:P),"")</f>
        <v/>
      </c>
      <c r="H207" s="2" t="str">
        <f>IF(A207&gt;0,SUMIF('Барабан'!V:V,A207,'Барабан'!AA:AA),"")</f>
        <v/>
      </c>
      <c r="I207" s="2" t="str">
        <f t="shared" si="4"/>
        <v/>
      </c>
      <c r="J207" s="9" t="str">
        <f t="shared" si="2"/>
        <v/>
      </c>
      <c r="K207" s="1" t="str">
        <f>IF(A207&gt;0,COUNTIF('Барабан'!K:K,A207),"")</f>
        <v/>
      </c>
      <c r="L207" s="1" t="str">
        <f>IF(A207&gt;0,COUNTIF('Барабан'!V:V,A207),"")</f>
        <v/>
      </c>
      <c r="M207" s="1" t="str">
        <f t="shared" si="3"/>
        <v/>
      </c>
      <c r="N207" s="1" t="str">
        <f>IFERROR(__xludf.DUMMYFUNCTION("IF(A207&gt;0,MIN(FILTER('Барабан'!AJ:AJ,'Барабан'!K:K=A207)),"""")"),"")</f>
        <v/>
      </c>
      <c r="O207" s="16" t="str">
        <f>IFERROR(__xludf.DUMMYFUNCTION("IF(A207&gt;0,IFERROR(MAX(FILTER('Барабан'!AJ:AJ,'Барабан'!V:V=A207)),""–""),"""")"),"")</f>
        <v/>
      </c>
    </row>
    <row r="208" ht="15.75" customHeight="1">
      <c r="A208" s="1" t="str">
        <f>'Справочник'!E203</f>
        <v/>
      </c>
      <c r="B208" s="2" t="str">
        <f>IF(A208&gt;0,SUMIF('Барабан'!K:K,A208,'Барабан'!I:I),"")</f>
        <v/>
      </c>
      <c r="C208" s="2" t="str">
        <f>IF(A208&gt;0,SUMIF('Барабан'!V:V,A208,'Барабан'!T:T),"")</f>
        <v/>
      </c>
      <c r="D208" s="2" t="str">
        <f>IF(A208&gt;0,SUMIF('Барабан'!K:K,A208,'Барабан'!AG:AG)+SUMIF('Барабан'!V:V,A208,'Барабан'!AG:AG),"")</f>
        <v/>
      </c>
      <c r="E208" s="2" t="str">
        <f t="shared" si="1"/>
        <v/>
      </c>
      <c r="F208" s="2" t="str">
        <f t="array" ref="F208">IFERROR(IF(E208=0,0,INDEX('Справочник'!G:G,MATCH(A208,'Справочник'!F:F,0))))</f>
        <v/>
      </c>
      <c r="G208" s="2" t="str">
        <f>IF(A208&gt;0,SUMIF('Барабан'!K:K,A208,'Барабан'!P:P),"")</f>
        <v/>
      </c>
      <c r="H208" s="2" t="str">
        <f>IF(A208&gt;0,SUMIF('Барабан'!V:V,A208,'Барабан'!AA:AA),"")</f>
        <v/>
      </c>
      <c r="I208" s="2" t="str">
        <f t="shared" si="4"/>
        <v/>
      </c>
      <c r="J208" s="9" t="str">
        <f t="shared" si="2"/>
        <v/>
      </c>
      <c r="K208" s="1" t="str">
        <f>IF(A208&gt;0,COUNTIF('Барабан'!K:K,A208),"")</f>
        <v/>
      </c>
      <c r="L208" s="1" t="str">
        <f>IF(A208&gt;0,COUNTIF('Барабан'!V:V,A208),"")</f>
        <v/>
      </c>
      <c r="M208" s="1" t="str">
        <f t="shared" si="3"/>
        <v/>
      </c>
      <c r="N208" s="1" t="str">
        <f>IFERROR(__xludf.DUMMYFUNCTION("IF(A208&gt;0,MIN(FILTER('Барабан'!AJ:AJ,'Барабан'!K:K=A208)),"""")"),"")</f>
        <v/>
      </c>
      <c r="O208" s="16" t="str">
        <f>IFERROR(__xludf.DUMMYFUNCTION("IF(A208&gt;0,IFERROR(MAX(FILTER('Барабан'!AJ:AJ,'Барабан'!V:V=A208)),""–""),"""")"),"")</f>
        <v/>
      </c>
    </row>
    <row r="209" ht="15.75" customHeight="1">
      <c r="A209" s="1" t="str">
        <f>'Справочник'!E204</f>
        <v/>
      </c>
      <c r="B209" s="2" t="str">
        <f>IF(A209&gt;0,SUMIF('Барабан'!K:K,A209,'Барабан'!I:I),"")</f>
        <v/>
      </c>
      <c r="C209" s="2" t="str">
        <f>IF(A209&gt;0,SUMIF('Барабан'!V:V,A209,'Барабан'!T:T),"")</f>
        <v/>
      </c>
      <c r="D209" s="2" t="str">
        <f>IF(A209&gt;0,SUMIF('Барабан'!K:K,A209,'Барабан'!AG:AG)+SUMIF('Барабан'!V:V,A209,'Барабан'!AG:AG),"")</f>
        <v/>
      </c>
      <c r="E209" s="2" t="str">
        <f t="shared" si="1"/>
        <v/>
      </c>
      <c r="F209" s="2" t="str">
        <f t="array" ref="F209">IFERROR(IF(E209=0,0,INDEX('Справочник'!G:G,MATCH(A209,'Справочник'!F:F,0))))</f>
        <v/>
      </c>
      <c r="G209" s="2" t="str">
        <f>IF(A209&gt;0,SUMIF('Барабан'!K:K,A209,'Барабан'!P:P),"")</f>
        <v/>
      </c>
      <c r="H209" s="2" t="str">
        <f>IF(A209&gt;0,SUMIF('Барабан'!V:V,A209,'Барабан'!AA:AA),"")</f>
        <v/>
      </c>
      <c r="I209" s="2" t="str">
        <f t="shared" si="4"/>
        <v/>
      </c>
      <c r="J209" s="9" t="str">
        <f t="shared" si="2"/>
        <v/>
      </c>
      <c r="K209" s="1" t="str">
        <f>IF(A209&gt;0,COUNTIF('Барабан'!K:K,A209),"")</f>
        <v/>
      </c>
      <c r="L209" s="1" t="str">
        <f>IF(A209&gt;0,COUNTIF('Барабан'!V:V,A209),"")</f>
        <v/>
      </c>
      <c r="M209" s="1" t="str">
        <f t="shared" si="3"/>
        <v/>
      </c>
      <c r="N209" s="1" t="str">
        <f>IFERROR(__xludf.DUMMYFUNCTION("IF(A209&gt;0,MIN(FILTER('Барабан'!AJ:AJ,'Барабан'!K:K=A209)),"""")"),"")</f>
        <v/>
      </c>
      <c r="O209" s="16" t="str">
        <f>IFERROR(__xludf.DUMMYFUNCTION("IF(A209&gt;0,IFERROR(MAX(FILTER('Барабан'!AJ:AJ,'Барабан'!V:V=A209)),""–""),"""")"),"")</f>
        <v/>
      </c>
    </row>
    <row r="210" ht="15.75" customHeight="1">
      <c r="A210" s="1" t="str">
        <f>'Справочник'!E205</f>
        <v/>
      </c>
      <c r="B210" s="2" t="str">
        <f>IF(A210&gt;0,SUMIF('Барабан'!K:K,A210,'Барабан'!I:I),"")</f>
        <v/>
      </c>
      <c r="C210" s="2" t="str">
        <f>IF(A210&gt;0,SUMIF('Барабан'!V:V,A210,'Барабан'!T:T),"")</f>
        <v/>
      </c>
      <c r="D210" s="2" t="str">
        <f>IF(A210&gt;0,SUMIF('Барабан'!K:K,A210,'Барабан'!AG:AG)+SUMIF('Барабан'!V:V,A210,'Барабан'!AG:AG),"")</f>
        <v/>
      </c>
      <c r="E210" s="2" t="str">
        <f t="shared" si="1"/>
        <v/>
      </c>
      <c r="F210" s="2" t="str">
        <f t="array" ref="F210">IFERROR(IF(E210=0,0,INDEX('Справочник'!G:G,MATCH(A210,'Справочник'!F:F,0))))</f>
        <v/>
      </c>
      <c r="G210" s="2" t="str">
        <f>IF(A210&gt;0,SUMIF('Барабан'!K:K,A210,'Барабан'!P:P),"")</f>
        <v/>
      </c>
      <c r="H210" s="2" t="str">
        <f>IF(A210&gt;0,SUMIF('Барабан'!V:V,A210,'Барабан'!AA:AA),"")</f>
        <v/>
      </c>
      <c r="I210" s="2" t="str">
        <f t="shared" si="4"/>
        <v/>
      </c>
      <c r="J210" s="9" t="str">
        <f t="shared" si="2"/>
        <v/>
      </c>
      <c r="K210" s="1" t="str">
        <f>IF(A210&gt;0,COUNTIF('Барабан'!K:K,A210),"")</f>
        <v/>
      </c>
      <c r="L210" s="1" t="str">
        <f>IF(A210&gt;0,COUNTIF('Барабан'!V:V,A210),"")</f>
        <v/>
      </c>
      <c r="M210" s="1" t="str">
        <f t="shared" si="3"/>
        <v/>
      </c>
      <c r="N210" s="1" t="str">
        <f>IFERROR(__xludf.DUMMYFUNCTION("IF(A210&gt;0,MIN(FILTER('Барабан'!AJ:AJ,'Барабан'!K:K=A210)),"""")"),"")</f>
        <v/>
      </c>
      <c r="O210" s="16" t="str">
        <f>IFERROR(__xludf.DUMMYFUNCTION("IF(A210&gt;0,IFERROR(MAX(FILTER('Барабан'!AJ:AJ,'Барабан'!V:V=A210)),""–""),"""")"),"")</f>
        <v/>
      </c>
    </row>
    <row r="211" ht="15.75" customHeight="1">
      <c r="A211" s="1" t="str">
        <f>'Справочник'!E206</f>
        <v/>
      </c>
      <c r="B211" s="2" t="str">
        <f>IF(A211&gt;0,SUMIF('Барабан'!K:K,A211,'Барабан'!I:I),"")</f>
        <v/>
      </c>
      <c r="C211" s="2" t="str">
        <f>IF(A211&gt;0,SUMIF('Барабан'!V:V,A211,'Барабан'!T:T),"")</f>
        <v/>
      </c>
      <c r="D211" s="2" t="str">
        <f>IF(A211&gt;0,SUMIF('Барабан'!K:K,A211,'Барабан'!AG:AG)+SUMIF('Барабан'!V:V,A211,'Барабан'!AG:AG),"")</f>
        <v/>
      </c>
      <c r="E211" s="2" t="str">
        <f t="shared" si="1"/>
        <v/>
      </c>
      <c r="F211" s="2" t="str">
        <f t="array" ref="F211">IFERROR(IF(E211=0,0,INDEX('Справочник'!G:G,MATCH(A211,'Справочник'!F:F,0))))</f>
        <v/>
      </c>
      <c r="G211" s="2" t="str">
        <f>IF(A211&gt;0,SUMIF('Барабан'!K:K,A211,'Барабан'!P:P),"")</f>
        <v/>
      </c>
      <c r="H211" s="2" t="str">
        <f>IF(A211&gt;0,SUMIF('Барабан'!V:V,A211,'Барабан'!AA:AA),"")</f>
        <v/>
      </c>
      <c r="I211" s="2" t="str">
        <f t="shared" si="4"/>
        <v/>
      </c>
      <c r="J211" s="9" t="str">
        <f t="shared" si="2"/>
        <v/>
      </c>
      <c r="K211" s="1" t="str">
        <f>IF(A211&gt;0,COUNTIF('Барабан'!K:K,A211),"")</f>
        <v/>
      </c>
      <c r="L211" s="1" t="str">
        <f>IF(A211&gt;0,COUNTIF('Барабан'!V:V,A211),"")</f>
        <v/>
      </c>
      <c r="M211" s="1" t="str">
        <f t="shared" si="3"/>
        <v/>
      </c>
      <c r="N211" s="1" t="str">
        <f>IFERROR(__xludf.DUMMYFUNCTION("IF(A211&gt;0,MIN(FILTER('Барабан'!AJ:AJ,'Барабан'!K:K=A211)),"""")"),"")</f>
        <v/>
      </c>
      <c r="O211" s="16" t="str">
        <f>IFERROR(__xludf.DUMMYFUNCTION("IF(A211&gt;0,IFERROR(MAX(FILTER('Барабан'!AJ:AJ,'Барабан'!V:V=A211)),""–""),"""")"),"")</f>
        <v/>
      </c>
    </row>
    <row r="212" ht="15.75" customHeight="1">
      <c r="A212" s="1" t="str">
        <f>'Справочник'!E207</f>
        <v/>
      </c>
      <c r="B212" s="2" t="str">
        <f>IF(A212&gt;0,SUMIF('Барабан'!K:K,A212,'Барабан'!I:I),"")</f>
        <v/>
      </c>
      <c r="C212" s="2" t="str">
        <f>IF(A212&gt;0,SUMIF('Барабан'!V:V,A212,'Барабан'!T:T),"")</f>
        <v/>
      </c>
      <c r="D212" s="2" t="str">
        <f>IF(A212&gt;0,SUMIF('Барабан'!K:K,A212,'Барабан'!AG:AG)+SUMIF('Барабан'!V:V,A212,'Барабан'!AG:AG),"")</f>
        <v/>
      </c>
      <c r="E212" s="2" t="str">
        <f t="shared" si="1"/>
        <v/>
      </c>
      <c r="F212" s="2" t="str">
        <f t="array" ref="F212">IFERROR(IF(E212=0,0,INDEX('Справочник'!G:G,MATCH(A212,'Справочник'!F:F,0))))</f>
        <v/>
      </c>
      <c r="G212" s="2" t="str">
        <f>IF(A212&gt;0,SUMIF('Барабан'!K:K,A212,'Барабан'!P:P),"")</f>
        <v/>
      </c>
      <c r="H212" s="2" t="str">
        <f>IF(A212&gt;0,SUMIF('Барабан'!V:V,A212,'Барабан'!AA:AA),"")</f>
        <v/>
      </c>
      <c r="I212" s="2" t="str">
        <f t="shared" si="4"/>
        <v/>
      </c>
      <c r="J212" s="9" t="str">
        <f t="shared" si="2"/>
        <v/>
      </c>
      <c r="K212" s="1" t="str">
        <f>IF(A212&gt;0,COUNTIF('Барабан'!K:K,A212),"")</f>
        <v/>
      </c>
      <c r="L212" s="1" t="str">
        <f>IF(A212&gt;0,COUNTIF('Барабан'!V:V,A212),"")</f>
        <v/>
      </c>
      <c r="M212" s="1" t="str">
        <f t="shared" si="3"/>
        <v/>
      </c>
      <c r="N212" s="1" t="str">
        <f>IFERROR(__xludf.DUMMYFUNCTION("IF(A212&gt;0,MIN(FILTER('Барабан'!AJ:AJ,'Барабан'!K:K=A212)),"""")"),"")</f>
        <v/>
      </c>
      <c r="O212" s="16" t="str">
        <f>IFERROR(__xludf.DUMMYFUNCTION("IF(A212&gt;0,IFERROR(MAX(FILTER('Барабан'!AJ:AJ,'Барабан'!V:V=A212)),""–""),"""")"),"")</f>
        <v/>
      </c>
    </row>
    <row r="213" ht="15.75" customHeight="1">
      <c r="A213" s="1" t="str">
        <f>'Справочник'!E208</f>
        <v/>
      </c>
      <c r="B213" s="2" t="str">
        <f>IF(A213&gt;0,SUMIF('Барабан'!K:K,A213,'Барабан'!I:I),"")</f>
        <v/>
      </c>
      <c r="C213" s="2" t="str">
        <f>IF(A213&gt;0,SUMIF('Барабан'!V:V,A213,'Барабан'!T:T),"")</f>
        <v/>
      </c>
      <c r="D213" s="2" t="str">
        <f>IF(A213&gt;0,SUMIF('Барабан'!K:K,A213,'Барабан'!AG:AG)+SUMIF('Барабан'!V:V,A213,'Барабан'!AG:AG),"")</f>
        <v/>
      </c>
      <c r="E213" s="2" t="str">
        <f t="shared" si="1"/>
        <v/>
      </c>
      <c r="F213" s="2" t="str">
        <f t="array" ref="F213">IFERROR(IF(E213=0,0,INDEX('Справочник'!G:G,MATCH(A213,'Справочник'!F:F,0))))</f>
        <v/>
      </c>
      <c r="G213" s="2" t="str">
        <f>IF(A213&gt;0,SUMIF('Барабан'!K:K,A213,'Барабан'!P:P),"")</f>
        <v/>
      </c>
      <c r="H213" s="2" t="str">
        <f>IF(A213&gt;0,SUMIF('Барабан'!V:V,A213,'Барабан'!AA:AA),"")</f>
        <v/>
      </c>
      <c r="I213" s="2" t="str">
        <f t="shared" si="4"/>
        <v/>
      </c>
      <c r="J213" s="9" t="str">
        <f t="shared" si="2"/>
        <v/>
      </c>
      <c r="K213" s="1" t="str">
        <f>IF(A213&gt;0,COUNTIF('Барабан'!K:K,A213),"")</f>
        <v/>
      </c>
      <c r="L213" s="1" t="str">
        <f>IF(A213&gt;0,COUNTIF('Барабан'!V:V,A213),"")</f>
        <v/>
      </c>
      <c r="M213" s="1" t="str">
        <f t="shared" si="3"/>
        <v/>
      </c>
      <c r="N213" s="1" t="str">
        <f>IFERROR(__xludf.DUMMYFUNCTION("IF(A213&gt;0,MIN(FILTER('Барабан'!AJ:AJ,'Барабан'!K:K=A213)),"""")"),"")</f>
        <v/>
      </c>
      <c r="O213" s="16" t="str">
        <f>IFERROR(__xludf.DUMMYFUNCTION("IF(A213&gt;0,IFERROR(MAX(FILTER('Барабан'!AJ:AJ,'Барабан'!V:V=A213)),""–""),"""")"),"")</f>
        <v/>
      </c>
    </row>
    <row r="214" ht="15.75" customHeight="1">
      <c r="A214" s="1" t="str">
        <f>'Справочник'!E209</f>
        <v/>
      </c>
      <c r="B214" s="2" t="str">
        <f>IF(A214&gt;0,SUMIF('Барабан'!K:K,A214,'Барабан'!I:I),"")</f>
        <v/>
      </c>
      <c r="C214" s="2" t="str">
        <f>IF(A214&gt;0,SUMIF('Барабан'!V:V,A214,'Барабан'!T:T),"")</f>
        <v/>
      </c>
      <c r="D214" s="2" t="str">
        <f>IF(A214&gt;0,SUMIF('Барабан'!K:K,A214,'Барабан'!AG:AG)+SUMIF('Барабан'!V:V,A214,'Барабан'!AG:AG),"")</f>
        <v/>
      </c>
      <c r="E214" s="2" t="str">
        <f t="shared" si="1"/>
        <v/>
      </c>
      <c r="F214" s="2" t="str">
        <f t="array" ref="F214">IFERROR(IF(E214=0,0,INDEX('Справочник'!G:G,MATCH(A214,'Справочник'!F:F,0))))</f>
        <v/>
      </c>
      <c r="G214" s="2" t="str">
        <f>IF(A214&gt;0,SUMIF('Барабан'!K:K,A214,'Барабан'!P:P),"")</f>
        <v/>
      </c>
      <c r="H214" s="2" t="str">
        <f>IF(A214&gt;0,SUMIF('Барабан'!V:V,A214,'Барабан'!AA:AA),"")</f>
        <v/>
      </c>
      <c r="I214" s="2" t="str">
        <f t="shared" si="4"/>
        <v/>
      </c>
      <c r="J214" s="9" t="str">
        <f t="shared" si="2"/>
        <v/>
      </c>
      <c r="K214" s="1" t="str">
        <f>IF(A214&gt;0,COUNTIF('Барабан'!K:K,A214),"")</f>
        <v/>
      </c>
      <c r="L214" s="1" t="str">
        <f>IF(A214&gt;0,COUNTIF('Барабан'!V:V,A214),"")</f>
        <v/>
      </c>
      <c r="M214" s="1" t="str">
        <f t="shared" si="3"/>
        <v/>
      </c>
      <c r="N214" s="1" t="str">
        <f>IFERROR(__xludf.DUMMYFUNCTION("IF(A214&gt;0,MIN(FILTER('Барабан'!AJ:AJ,'Барабан'!K:K=A214)),"""")"),"")</f>
        <v/>
      </c>
      <c r="O214" s="16" t="str">
        <f>IFERROR(__xludf.DUMMYFUNCTION("IF(A214&gt;0,IFERROR(MAX(FILTER('Барабан'!AJ:AJ,'Барабан'!V:V=A214)),""–""),"""")"),"")</f>
        <v/>
      </c>
    </row>
    <row r="215" ht="15.75" customHeight="1">
      <c r="A215" s="1" t="str">
        <f>'Справочник'!E210</f>
        <v/>
      </c>
      <c r="B215" s="2" t="str">
        <f>IF(A215&gt;0,SUMIF('Барабан'!K:K,A215,'Барабан'!I:I),"")</f>
        <v/>
      </c>
      <c r="C215" s="2" t="str">
        <f>IF(A215&gt;0,SUMIF('Барабан'!V:V,A215,'Барабан'!T:T),"")</f>
        <v/>
      </c>
      <c r="D215" s="2" t="str">
        <f>IF(A215&gt;0,SUMIF('Барабан'!K:K,A215,'Барабан'!AG:AG)+SUMIF('Барабан'!V:V,A215,'Барабан'!AG:AG),"")</f>
        <v/>
      </c>
      <c r="E215" s="2" t="str">
        <f t="shared" si="1"/>
        <v/>
      </c>
      <c r="F215" s="2" t="str">
        <f t="array" ref="F215">IFERROR(IF(E215=0,0,INDEX('Справочник'!G:G,MATCH(A215,'Справочник'!F:F,0))))</f>
        <v/>
      </c>
      <c r="G215" s="2" t="str">
        <f>IF(A215&gt;0,SUMIF('Барабан'!K:K,A215,'Барабан'!P:P),"")</f>
        <v/>
      </c>
      <c r="H215" s="2" t="str">
        <f>IF(A215&gt;0,SUMIF('Барабан'!V:V,A215,'Барабан'!AA:AA),"")</f>
        <v/>
      </c>
      <c r="I215" s="2" t="str">
        <f t="shared" si="4"/>
        <v/>
      </c>
      <c r="J215" s="9" t="str">
        <f t="shared" si="2"/>
        <v/>
      </c>
      <c r="K215" s="1" t="str">
        <f>IF(A215&gt;0,COUNTIF('Барабан'!K:K,A215),"")</f>
        <v/>
      </c>
      <c r="L215" s="1" t="str">
        <f>IF(A215&gt;0,COUNTIF('Барабан'!V:V,A215),"")</f>
        <v/>
      </c>
      <c r="M215" s="1" t="str">
        <f t="shared" si="3"/>
        <v/>
      </c>
      <c r="N215" s="1" t="str">
        <f>IFERROR(__xludf.DUMMYFUNCTION("IF(A215&gt;0,MIN(FILTER('Барабан'!AJ:AJ,'Барабан'!K:K=A215)),"""")"),"")</f>
        <v/>
      </c>
      <c r="O215" s="16" t="str">
        <f>IFERROR(__xludf.DUMMYFUNCTION("IF(A215&gt;0,IFERROR(MAX(FILTER('Барабан'!AJ:AJ,'Барабан'!V:V=A215)),""–""),"""")"),"")</f>
        <v/>
      </c>
    </row>
    <row r="216" ht="15.75" customHeight="1">
      <c r="A216" s="1" t="str">
        <f>'Справочник'!E211</f>
        <v/>
      </c>
      <c r="B216" s="2" t="str">
        <f>IF(A216&gt;0,SUMIF('Барабан'!K:K,A216,'Барабан'!I:I),"")</f>
        <v/>
      </c>
      <c r="C216" s="2" t="str">
        <f>IF(A216&gt;0,SUMIF('Барабан'!V:V,A216,'Барабан'!T:T),"")</f>
        <v/>
      </c>
      <c r="D216" s="2" t="str">
        <f>IF(A216&gt;0,SUMIF('Барабан'!K:K,A216,'Барабан'!AG:AG)+SUMIF('Барабан'!V:V,A216,'Барабан'!AG:AG),"")</f>
        <v/>
      </c>
      <c r="E216" s="2" t="str">
        <f t="shared" si="1"/>
        <v/>
      </c>
      <c r="F216" s="2" t="str">
        <f t="array" ref="F216">IFERROR(IF(E216=0,0,INDEX('Справочник'!G:G,MATCH(A216,'Справочник'!F:F,0))))</f>
        <v/>
      </c>
      <c r="G216" s="2" t="str">
        <f>IF(A216&gt;0,SUMIF('Барабан'!K:K,A216,'Барабан'!P:P),"")</f>
        <v/>
      </c>
      <c r="H216" s="2" t="str">
        <f>IF(A216&gt;0,SUMIF('Барабан'!V:V,A216,'Барабан'!AA:AA),"")</f>
        <v/>
      </c>
      <c r="I216" s="2" t="str">
        <f t="shared" si="4"/>
        <v/>
      </c>
      <c r="J216" s="9" t="str">
        <f t="shared" si="2"/>
        <v/>
      </c>
      <c r="K216" s="1" t="str">
        <f>IF(A216&gt;0,COUNTIF('Барабан'!K:K,A216),"")</f>
        <v/>
      </c>
      <c r="L216" s="1" t="str">
        <f>IF(A216&gt;0,COUNTIF('Барабан'!V:V,A216),"")</f>
        <v/>
      </c>
      <c r="M216" s="1" t="str">
        <f t="shared" si="3"/>
        <v/>
      </c>
      <c r="N216" s="1" t="str">
        <f>IFERROR(__xludf.DUMMYFUNCTION("IF(A216&gt;0,MIN(FILTER('Барабан'!AJ:AJ,'Барабан'!K:K=A216)),"""")"),"")</f>
        <v/>
      </c>
      <c r="O216" s="16" t="str">
        <f>IFERROR(__xludf.DUMMYFUNCTION("IF(A216&gt;0,IFERROR(MAX(FILTER('Барабан'!AJ:AJ,'Барабан'!V:V=A216)),""–""),"""")"),"")</f>
        <v/>
      </c>
    </row>
    <row r="217" ht="15.75" customHeight="1">
      <c r="A217" s="1" t="str">
        <f>'Справочник'!E212</f>
        <v/>
      </c>
      <c r="B217" s="2" t="str">
        <f>IF(A217&gt;0,SUMIF('Барабан'!K:K,A217,'Барабан'!I:I),"")</f>
        <v/>
      </c>
      <c r="C217" s="2" t="str">
        <f>IF(A217&gt;0,SUMIF('Барабан'!V:V,A217,'Барабан'!T:T),"")</f>
        <v/>
      </c>
      <c r="D217" s="2" t="str">
        <f>IF(A217&gt;0,SUMIF('Барабан'!K:K,A217,'Барабан'!AG:AG)+SUMIF('Барабан'!V:V,A217,'Барабан'!AG:AG),"")</f>
        <v/>
      </c>
      <c r="E217" s="2" t="str">
        <f t="shared" si="1"/>
        <v/>
      </c>
      <c r="F217" s="2" t="str">
        <f t="array" ref="F217">IFERROR(IF(E217=0,0,INDEX('Справочник'!G:G,MATCH(A217,'Справочник'!F:F,0))))</f>
        <v/>
      </c>
      <c r="G217" s="2" t="str">
        <f>IF(A217&gt;0,SUMIF('Барабан'!K:K,A217,'Барабан'!P:P),"")</f>
        <v/>
      </c>
      <c r="H217" s="2" t="str">
        <f>IF(A217&gt;0,SUMIF('Барабан'!V:V,A217,'Барабан'!AA:AA),"")</f>
        <v/>
      </c>
      <c r="I217" s="2" t="str">
        <f t="shared" si="4"/>
        <v/>
      </c>
      <c r="J217" s="9" t="str">
        <f t="shared" si="2"/>
        <v/>
      </c>
      <c r="K217" s="1" t="str">
        <f>IF(A217&gt;0,COUNTIF('Барабан'!K:K,A217),"")</f>
        <v/>
      </c>
      <c r="L217" s="1" t="str">
        <f>IF(A217&gt;0,COUNTIF('Барабан'!V:V,A217),"")</f>
        <v/>
      </c>
      <c r="M217" s="1" t="str">
        <f t="shared" si="3"/>
        <v/>
      </c>
      <c r="N217" s="1" t="str">
        <f>IFERROR(__xludf.DUMMYFUNCTION("IF(A217&gt;0,MIN(FILTER('Барабан'!AJ:AJ,'Барабан'!K:K=A217)),"""")"),"")</f>
        <v/>
      </c>
      <c r="O217" s="16" t="str">
        <f>IFERROR(__xludf.DUMMYFUNCTION("IF(A217&gt;0,IFERROR(MAX(FILTER('Барабан'!AJ:AJ,'Барабан'!V:V=A217)),""–""),"""")"),"")</f>
        <v/>
      </c>
    </row>
    <row r="218" ht="15.75" customHeight="1">
      <c r="A218" s="1" t="str">
        <f>'Справочник'!E213</f>
        <v/>
      </c>
      <c r="B218" s="2" t="str">
        <f>IF(A218&gt;0,SUMIF('Барабан'!K:K,A218,'Барабан'!I:I),"")</f>
        <v/>
      </c>
      <c r="C218" s="2" t="str">
        <f>IF(A218&gt;0,SUMIF('Барабан'!V:V,A218,'Барабан'!T:T),"")</f>
        <v/>
      </c>
      <c r="D218" s="2" t="str">
        <f>IF(A218&gt;0,SUMIF('Барабан'!K:K,A218,'Барабан'!AG:AG)+SUMIF('Барабан'!V:V,A218,'Барабан'!AG:AG),"")</f>
        <v/>
      </c>
      <c r="E218" s="2" t="str">
        <f t="shared" si="1"/>
        <v/>
      </c>
      <c r="F218" s="2" t="str">
        <f t="array" ref="F218">IFERROR(IF(E218=0,0,INDEX('Справочник'!G:G,MATCH(A218,'Справочник'!F:F,0))))</f>
        <v/>
      </c>
      <c r="G218" s="2" t="str">
        <f>IF(A218&gt;0,SUMIF('Барабан'!K:K,A218,'Барабан'!P:P),"")</f>
        <v/>
      </c>
      <c r="H218" s="2" t="str">
        <f>IF(A218&gt;0,SUMIF('Барабан'!V:V,A218,'Барабан'!AA:AA),"")</f>
        <v/>
      </c>
      <c r="I218" s="2" t="str">
        <f t="shared" si="4"/>
        <v/>
      </c>
      <c r="J218" s="9" t="str">
        <f t="shared" si="2"/>
        <v/>
      </c>
      <c r="K218" s="1" t="str">
        <f>IF(A218&gt;0,COUNTIF('Барабан'!K:K,A218),"")</f>
        <v/>
      </c>
      <c r="L218" s="1" t="str">
        <f>IF(A218&gt;0,COUNTIF('Барабан'!V:V,A218),"")</f>
        <v/>
      </c>
      <c r="M218" s="1" t="str">
        <f t="shared" si="3"/>
        <v/>
      </c>
      <c r="N218" s="1" t="str">
        <f>IFERROR(__xludf.DUMMYFUNCTION("IF(A218&gt;0,MIN(FILTER('Барабан'!AJ:AJ,'Барабан'!K:K=A218)),"""")"),"")</f>
        <v/>
      </c>
      <c r="O218" s="16" t="str">
        <f>IFERROR(__xludf.DUMMYFUNCTION("IF(A218&gt;0,IFERROR(MAX(FILTER('Барабан'!AJ:AJ,'Барабан'!V:V=A218)),""–""),"""")"),"")</f>
        <v/>
      </c>
    </row>
    <row r="219" ht="15.75" customHeight="1">
      <c r="A219" s="1" t="str">
        <f>'Справочник'!E214</f>
        <v/>
      </c>
      <c r="B219" s="2" t="str">
        <f>IF(A219&gt;0,SUMIF('Барабан'!K:K,A219,'Барабан'!I:I),"")</f>
        <v/>
      </c>
      <c r="C219" s="2" t="str">
        <f>IF(A219&gt;0,SUMIF('Барабан'!V:V,A219,'Барабан'!T:T),"")</f>
        <v/>
      </c>
      <c r="D219" s="2" t="str">
        <f>IF(A219&gt;0,SUMIF('Барабан'!K:K,A219,'Барабан'!AG:AG)+SUMIF('Барабан'!V:V,A219,'Барабан'!AG:AG),"")</f>
        <v/>
      </c>
      <c r="E219" s="2" t="str">
        <f t="shared" si="1"/>
        <v/>
      </c>
      <c r="F219" s="2" t="str">
        <f t="array" ref="F219">IFERROR(IF(E219=0,0,INDEX('Справочник'!G:G,MATCH(A219,'Справочник'!F:F,0))))</f>
        <v/>
      </c>
      <c r="G219" s="2" t="str">
        <f>IF(A219&gt;0,SUMIF('Барабан'!K:K,A219,'Барабан'!P:P),"")</f>
        <v/>
      </c>
      <c r="H219" s="2" t="str">
        <f>IF(A219&gt;0,SUMIF('Барабан'!V:V,A219,'Барабан'!AA:AA),"")</f>
        <v/>
      </c>
      <c r="I219" s="2" t="str">
        <f t="shared" si="4"/>
        <v/>
      </c>
      <c r="J219" s="9" t="str">
        <f t="shared" si="2"/>
        <v/>
      </c>
      <c r="K219" s="1" t="str">
        <f>IF(A219&gt;0,COUNTIF('Барабан'!K:K,A219),"")</f>
        <v/>
      </c>
      <c r="L219" s="1" t="str">
        <f>IF(A219&gt;0,COUNTIF('Барабан'!V:V,A219),"")</f>
        <v/>
      </c>
      <c r="M219" s="1" t="str">
        <f t="shared" si="3"/>
        <v/>
      </c>
      <c r="N219" s="1" t="str">
        <f>IFERROR(__xludf.DUMMYFUNCTION("IF(A219&gt;0,MIN(FILTER('Барабан'!AJ:AJ,'Барабан'!K:K=A219)),"""")"),"")</f>
        <v/>
      </c>
      <c r="O219" s="16" t="str">
        <f>IFERROR(__xludf.DUMMYFUNCTION("IF(A219&gt;0,IFERROR(MAX(FILTER('Барабан'!AJ:AJ,'Барабан'!V:V=A219)),""–""),"""")"),"")</f>
        <v/>
      </c>
    </row>
    <row r="220" ht="15.75" customHeight="1">
      <c r="A220" s="1" t="str">
        <f>'Справочник'!E215</f>
        <v/>
      </c>
      <c r="B220" s="2" t="str">
        <f>IF(A220&gt;0,SUMIF('Барабан'!K:K,A220,'Барабан'!I:I),"")</f>
        <v/>
      </c>
      <c r="C220" s="2" t="str">
        <f>IF(A220&gt;0,SUMIF('Барабан'!V:V,A220,'Барабан'!T:T),"")</f>
        <v/>
      </c>
      <c r="D220" s="2" t="str">
        <f>IF(A220&gt;0,SUMIF('Барабан'!K:K,A220,'Барабан'!AG:AG)+SUMIF('Барабан'!V:V,A220,'Барабан'!AG:AG),"")</f>
        <v/>
      </c>
      <c r="E220" s="2" t="str">
        <f t="shared" si="1"/>
        <v/>
      </c>
      <c r="F220" s="2" t="str">
        <f t="array" ref="F220">IFERROR(IF(E220=0,0,INDEX('Справочник'!G:G,MATCH(A220,'Справочник'!F:F,0))))</f>
        <v/>
      </c>
      <c r="G220" s="2" t="str">
        <f>IF(A220&gt;0,SUMIF('Барабан'!K:K,A220,'Барабан'!P:P),"")</f>
        <v/>
      </c>
      <c r="H220" s="2" t="str">
        <f>IF(A220&gt;0,SUMIF('Барабан'!V:V,A220,'Барабан'!AA:AA),"")</f>
        <v/>
      </c>
      <c r="I220" s="2" t="str">
        <f t="shared" si="4"/>
        <v/>
      </c>
      <c r="J220" s="9" t="str">
        <f t="shared" si="2"/>
        <v/>
      </c>
      <c r="K220" s="1" t="str">
        <f>IF(A220&gt;0,COUNTIF('Барабан'!K:K,A220),"")</f>
        <v/>
      </c>
      <c r="L220" s="1" t="str">
        <f>IF(A220&gt;0,COUNTIF('Барабан'!V:V,A220),"")</f>
        <v/>
      </c>
      <c r="M220" s="1" t="str">
        <f t="shared" si="3"/>
        <v/>
      </c>
      <c r="N220" s="1" t="str">
        <f>IFERROR(__xludf.DUMMYFUNCTION("IF(A220&gt;0,MIN(FILTER('Барабан'!AJ:AJ,'Барабан'!K:K=A220)),"""")"),"")</f>
        <v/>
      </c>
      <c r="O220" s="16" t="str">
        <f>IFERROR(__xludf.DUMMYFUNCTION("IF(A220&gt;0,IFERROR(MAX(FILTER('Барабан'!AJ:AJ,'Барабан'!V:V=A220)),""–""),"""")"),"")</f>
        <v/>
      </c>
    </row>
    <row r="221" ht="15.75" customHeight="1">
      <c r="A221" s="1" t="str">
        <f>'Справочник'!E216</f>
        <v/>
      </c>
      <c r="B221" s="2" t="str">
        <f>IF(A221&gt;0,SUMIF('Барабан'!K:K,A221,'Барабан'!I:I),"")</f>
        <v/>
      </c>
      <c r="C221" s="2" t="str">
        <f>IF(A221&gt;0,SUMIF('Барабан'!V:V,A221,'Барабан'!T:T),"")</f>
        <v/>
      </c>
      <c r="D221" s="2" t="str">
        <f>IF(A221&gt;0,SUMIF('Барабан'!K:K,A221,'Барабан'!AG:AG)+SUMIF('Барабан'!V:V,A221,'Барабан'!AG:AG),"")</f>
        <v/>
      </c>
      <c r="E221" s="2" t="str">
        <f t="shared" si="1"/>
        <v/>
      </c>
      <c r="F221" s="2" t="str">
        <f t="array" ref="F221">IFERROR(IF(E221=0,0,INDEX('Справочник'!G:G,MATCH(A221,'Справочник'!F:F,0))))</f>
        <v/>
      </c>
      <c r="G221" s="2" t="str">
        <f>IF(A221&gt;0,SUMIF('Барабан'!K:K,A221,'Барабан'!P:P),"")</f>
        <v/>
      </c>
      <c r="H221" s="2" t="str">
        <f>IF(A221&gt;0,SUMIF('Барабан'!V:V,A221,'Барабан'!AA:AA),"")</f>
        <v/>
      </c>
      <c r="I221" s="2" t="str">
        <f t="shared" si="4"/>
        <v/>
      </c>
      <c r="J221" s="9" t="str">
        <f t="shared" si="2"/>
        <v/>
      </c>
      <c r="K221" s="1" t="str">
        <f>IF(A221&gt;0,COUNTIF('Барабан'!K:K,A221),"")</f>
        <v/>
      </c>
      <c r="L221" s="1" t="str">
        <f>IF(A221&gt;0,COUNTIF('Барабан'!V:V,A221),"")</f>
        <v/>
      </c>
      <c r="M221" s="1" t="str">
        <f t="shared" si="3"/>
        <v/>
      </c>
      <c r="N221" s="1" t="str">
        <f>IFERROR(__xludf.DUMMYFUNCTION("IF(A221&gt;0,MIN(FILTER('Барабан'!AJ:AJ,'Барабан'!K:K=A221)),"""")"),"")</f>
        <v/>
      </c>
      <c r="O221" s="16" t="str">
        <f>IFERROR(__xludf.DUMMYFUNCTION("IF(A221&gt;0,IFERROR(MAX(FILTER('Барабан'!AJ:AJ,'Барабан'!V:V=A221)),""–""),"""")"),"")</f>
        <v/>
      </c>
    </row>
    <row r="222" ht="15.75" customHeight="1">
      <c r="A222" s="1" t="str">
        <f>'Справочник'!E217</f>
        <v/>
      </c>
      <c r="B222" s="2" t="str">
        <f>IF(A222&gt;0,SUMIF('Барабан'!K:K,A222,'Барабан'!I:I),"")</f>
        <v/>
      </c>
      <c r="C222" s="2" t="str">
        <f>IF(A222&gt;0,SUMIF('Барабан'!V:V,A222,'Барабан'!T:T),"")</f>
        <v/>
      </c>
      <c r="D222" s="2" t="str">
        <f>IF(A222&gt;0,SUMIF('Барабан'!K:K,A222,'Барабан'!AG:AG)+SUMIF('Барабан'!V:V,A222,'Барабан'!AG:AG),"")</f>
        <v/>
      </c>
      <c r="E222" s="2" t="str">
        <f t="shared" si="1"/>
        <v/>
      </c>
      <c r="F222" s="2" t="str">
        <f t="array" ref="F222">IFERROR(IF(E222=0,0,INDEX('Справочник'!G:G,MATCH(A222,'Справочник'!F:F,0))))</f>
        <v/>
      </c>
      <c r="G222" s="2" t="str">
        <f>IF(A222&gt;0,SUMIF('Барабан'!K:K,A222,'Барабан'!P:P),"")</f>
        <v/>
      </c>
      <c r="H222" s="2" t="str">
        <f>IF(A222&gt;0,SUMIF('Барабан'!V:V,A222,'Барабан'!AA:AA),"")</f>
        <v/>
      </c>
      <c r="I222" s="2" t="str">
        <f t="shared" si="4"/>
        <v/>
      </c>
      <c r="J222" s="9" t="str">
        <f t="shared" si="2"/>
        <v/>
      </c>
      <c r="K222" s="1" t="str">
        <f>IF(A222&gt;0,COUNTIF('Барабан'!K:K,A222),"")</f>
        <v/>
      </c>
      <c r="L222" s="1" t="str">
        <f>IF(A222&gt;0,COUNTIF('Барабан'!V:V,A222),"")</f>
        <v/>
      </c>
      <c r="M222" s="1" t="str">
        <f t="shared" si="3"/>
        <v/>
      </c>
      <c r="N222" s="1" t="str">
        <f>IFERROR(__xludf.DUMMYFUNCTION("IF(A222&gt;0,MIN(FILTER('Барабан'!AJ:AJ,'Барабан'!K:K=A222)),"""")"),"")</f>
        <v/>
      </c>
      <c r="O222" s="16" t="str">
        <f>IFERROR(__xludf.DUMMYFUNCTION("IF(A222&gt;0,IFERROR(MAX(FILTER('Барабан'!AJ:AJ,'Барабан'!V:V=A222)),""–""),"""")"),"")</f>
        <v/>
      </c>
    </row>
    <row r="223" ht="15.75" customHeight="1">
      <c r="A223" s="1" t="str">
        <f>'Справочник'!E218</f>
        <v/>
      </c>
      <c r="B223" s="2" t="str">
        <f>IF(A223&gt;0,SUMIF('Барабан'!K:K,A223,'Барабан'!I:I),"")</f>
        <v/>
      </c>
      <c r="C223" s="2" t="str">
        <f>IF(A223&gt;0,SUMIF('Барабан'!V:V,A223,'Барабан'!T:T),"")</f>
        <v/>
      </c>
      <c r="D223" s="2" t="str">
        <f>IF(A223&gt;0,SUMIF('Барабан'!K:K,A223,'Барабан'!AG:AG)+SUMIF('Барабан'!V:V,A223,'Барабан'!AG:AG),"")</f>
        <v/>
      </c>
      <c r="E223" s="2" t="str">
        <f t="shared" si="1"/>
        <v/>
      </c>
      <c r="F223" s="2" t="str">
        <f t="array" ref="F223">IFERROR(IF(E223=0,0,INDEX('Справочник'!G:G,MATCH(A223,'Справочник'!F:F,0))))</f>
        <v/>
      </c>
      <c r="G223" s="2" t="str">
        <f>IF(A223&gt;0,SUMIF('Барабан'!K:K,A223,'Барабан'!P:P),"")</f>
        <v/>
      </c>
      <c r="H223" s="2" t="str">
        <f>IF(A223&gt;0,SUMIF('Барабан'!V:V,A223,'Барабан'!AA:AA),"")</f>
        <v/>
      </c>
      <c r="I223" s="2" t="str">
        <f t="shared" si="4"/>
        <v/>
      </c>
      <c r="J223" s="9" t="str">
        <f t="shared" si="2"/>
        <v/>
      </c>
      <c r="K223" s="1" t="str">
        <f>IF(A223&gt;0,COUNTIF('Барабан'!K:K,A223),"")</f>
        <v/>
      </c>
      <c r="L223" s="1" t="str">
        <f>IF(A223&gt;0,COUNTIF('Барабан'!V:V,A223),"")</f>
        <v/>
      </c>
      <c r="M223" s="1" t="str">
        <f t="shared" si="3"/>
        <v/>
      </c>
      <c r="N223" s="1" t="str">
        <f>IFERROR(__xludf.DUMMYFUNCTION("IF(A223&gt;0,MIN(FILTER('Барабан'!AJ:AJ,'Барабан'!K:K=A223)),"""")"),"")</f>
        <v/>
      </c>
      <c r="O223" s="16" t="str">
        <f>IFERROR(__xludf.DUMMYFUNCTION("IF(A223&gt;0,IFERROR(MAX(FILTER('Барабан'!AJ:AJ,'Барабан'!V:V=A223)),""–""),"""")"),"")</f>
        <v/>
      </c>
    </row>
    <row r="224" ht="15.75" customHeight="1">
      <c r="A224" s="1" t="str">
        <f>'Справочник'!E219</f>
        <v/>
      </c>
      <c r="B224" s="2" t="str">
        <f>IF(A224&gt;0,SUMIF('Барабан'!K:K,A224,'Барабан'!I:I),"")</f>
        <v/>
      </c>
      <c r="C224" s="2" t="str">
        <f>IF(A224&gt;0,SUMIF('Барабан'!V:V,A224,'Барабан'!T:T),"")</f>
        <v/>
      </c>
      <c r="D224" s="2" t="str">
        <f>IF(A224&gt;0,SUMIF('Барабан'!K:K,A224,'Барабан'!AG:AG)+SUMIF('Барабан'!V:V,A224,'Барабан'!AG:AG),"")</f>
        <v/>
      </c>
      <c r="E224" s="2" t="str">
        <f t="shared" si="1"/>
        <v/>
      </c>
      <c r="F224" s="2" t="str">
        <f t="array" ref="F224">IFERROR(IF(E224=0,0,INDEX('Справочник'!G:G,MATCH(A224,'Справочник'!F:F,0))))</f>
        <v/>
      </c>
      <c r="G224" s="2" t="str">
        <f>IF(A224&gt;0,SUMIF('Барабан'!K:K,A224,'Барабан'!P:P),"")</f>
        <v/>
      </c>
      <c r="H224" s="2" t="str">
        <f>IF(A224&gt;0,SUMIF('Барабан'!V:V,A224,'Барабан'!AA:AA),"")</f>
        <v/>
      </c>
      <c r="I224" s="2" t="str">
        <f t="shared" si="4"/>
        <v/>
      </c>
      <c r="J224" s="9" t="str">
        <f t="shared" si="2"/>
        <v/>
      </c>
      <c r="K224" s="1" t="str">
        <f>IF(A224&gt;0,COUNTIF('Барабан'!K:K,A224),"")</f>
        <v/>
      </c>
      <c r="L224" s="1" t="str">
        <f>IF(A224&gt;0,COUNTIF('Барабан'!V:V,A224),"")</f>
        <v/>
      </c>
      <c r="M224" s="1" t="str">
        <f t="shared" si="3"/>
        <v/>
      </c>
      <c r="N224" s="1" t="str">
        <f>IFERROR(__xludf.DUMMYFUNCTION("IF(A224&gt;0,MIN(FILTER('Барабан'!AJ:AJ,'Барабан'!K:K=A224)),"""")"),"")</f>
        <v/>
      </c>
      <c r="O224" s="16" t="str">
        <f>IFERROR(__xludf.DUMMYFUNCTION("IF(A224&gt;0,IFERROR(MAX(FILTER('Барабан'!AJ:AJ,'Барабан'!V:V=A224)),""–""),"""")"),"")</f>
        <v/>
      </c>
    </row>
    <row r="225" ht="15.75" customHeight="1">
      <c r="A225" s="1" t="str">
        <f>'Справочник'!E220</f>
        <v/>
      </c>
      <c r="B225" s="2" t="str">
        <f>IF(A225&gt;0,SUMIF('Барабан'!K:K,A225,'Барабан'!I:I),"")</f>
        <v/>
      </c>
      <c r="C225" s="2" t="str">
        <f>IF(A225&gt;0,SUMIF('Барабан'!V:V,A225,'Барабан'!T:T),"")</f>
        <v/>
      </c>
      <c r="D225" s="2" t="str">
        <f>IF(A225&gt;0,SUMIF('Барабан'!K:K,A225,'Барабан'!AG:AG)+SUMIF('Барабан'!V:V,A225,'Барабан'!AG:AG),"")</f>
        <v/>
      </c>
      <c r="E225" s="2" t="str">
        <f t="shared" si="1"/>
        <v/>
      </c>
      <c r="F225" s="2" t="str">
        <f t="array" ref="F225">IFERROR(IF(E225=0,0,INDEX('Справочник'!G:G,MATCH(A225,'Справочник'!F:F,0))))</f>
        <v/>
      </c>
      <c r="G225" s="2" t="str">
        <f>IF(A225&gt;0,SUMIF('Барабан'!K:K,A225,'Барабан'!P:P),"")</f>
        <v/>
      </c>
      <c r="H225" s="2" t="str">
        <f>IF(A225&gt;0,SUMIF('Барабан'!V:V,A225,'Барабан'!AA:AA),"")</f>
        <v/>
      </c>
      <c r="I225" s="2" t="str">
        <f t="shared" si="4"/>
        <v/>
      </c>
      <c r="J225" s="9" t="str">
        <f t="shared" si="2"/>
        <v/>
      </c>
      <c r="K225" s="1" t="str">
        <f>IF(A225&gt;0,COUNTIF('Барабан'!K:K,A225),"")</f>
        <v/>
      </c>
      <c r="L225" s="1" t="str">
        <f>IF(A225&gt;0,COUNTIF('Барабан'!V:V,A225),"")</f>
        <v/>
      </c>
      <c r="M225" s="1" t="str">
        <f t="shared" si="3"/>
        <v/>
      </c>
      <c r="N225" s="1" t="str">
        <f>IFERROR(__xludf.DUMMYFUNCTION("IF(A225&gt;0,MIN(FILTER('Барабан'!AJ:AJ,'Барабан'!K:K=A225)),"""")"),"")</f>
        <v/>
      </c>
      <c r="O225" s="16" t="str">
        <f>IFERROR(__xludf.DUMMYFUNCTION("IF(A225&gt;0,IFERROR(MAX(FILTER('Барабан'!AJ:AJ,'Барабан'!V:V=A225)),""–""),"""")"),"")</f>
        <v/>
      </c>
    </row>
    <row r="226" ht="15.75" customHeight="1">
      <c r="A226" s="1" t="str">
        <f>'Справочник'!E221</f>
        <v/>
      </c>
      <c r="B226" s="2" t="str">
        <f>IF(A226&gt;0,SUMIF('Барабан'!K:K,A226,'Барабан'!I:I),"")</f>
        <v/>
      </c>
      <c r="C226" s="2" t="str">
        <f>IF(A226&gt;0,SUMIF('Барабан'!V:V,A226,'Барабан'!T:T),"")</f>
        <v/>
      </c>
      <c r="D226" s="2" t="str">
        <f>IF(A226&gt;0,SUMIF('Барабан'!K:K,A226,'Барабан'!AG:AG)+SUMIF('Барабан'!V:V,A226,'Барабан'!AG:AG),"")</f>
        <v/>
      </c>
      <c r="E226" s="2" t="str">
        <f t="shared" si="1"/>
        <v/>
      </c>
      <c r="F226" s="2" t="str">
        <f t="array" ref="F226">IFERROR(IF(E226=0,0,INDEX('Справочник'!G:G,MATCH(A226,'Справочник'!F:F,0))))</f>
        <v/>
      </c>
      <c r="G226" s="2" t="str">
        <f>IF(A226&gt;0,SUMIF('Барабан'!K:K,A226,'Барабан'!P:P),"")</f>
        <v/>
      </c>
      <c r="H226" s="2" t="str">
        <f>IF(A226&gt;0,SUMIF('Барабан'!V:V,A226,'Барабан'!AA:AA),"")</f>
        <v/>
      </c>
      <c r="I226" s="2" t="str">
        <f t="shared" si="4"/>
        <v/>
      </c>
      <c r="J226" s="9" t="str">
        <f t="shared" si="2"/>
        <v/>
      </c>
      <c r="K226" s="1" t="str">
        <f>IF(A226&gt;0,COUNTIF('Барабан'!K:K,A226),"")</f>
        <v/>
      </c>
      <c r="L226" s="1" t="str">
        <f>IF(A226&gt;0,COUNTIF('Барабан'!V:V,A226),"")</f>
        <v/>
      </c>
      <c r="M226" s="1" t="str">
        <f t="shared" si="3"/>
        <v/>
      </c>
      <c r="N226" s="1" t="str">
        <f>IFERROR(__xludf.DUMMYFUNCTION("IF(A226&gt;0,MIN(FILTER('Барабан'!AJ:AJ,'Барабан'!K:K=A226)),"""")"),"")</f>
        <v/>
      </c>
      <c r="O226" s="16" t="str">
        <f>IFERROR(__xludf.DUMMYFUNCTION("IF(A226&gt;0,IFERROR(MAX(FILTER('Барабан'!AJ:AJ,'Барабан'!V:V=A226)),""–""),"""")"),"")</f>
        <v/>
      </c>
    </row>
    <row r="227" ht="15.75" customHeight="1">
      <c r="A227" s="1" t="str">
        <f>'Справочник'!E222</f>
        <v/>
      </c>
      <c r="B227" s="2" t="str">
        <f>IF(A227&gt;0,SUMIF('Барабан'!K:K,A227,'Барабан'!I:I),"")</f>
        <v/>
      </c>
      <c r="C227" s="2" t="str">
        <f>IF(A227&gt;0,SUMIF('Барабан'!V:V,A227,'Барабан'!T:T),"")</f>
        <v/>
      </c>
      <c r="D227" s="2" t="str">
        <f>IF(A227&gt;0,SUMIF('Барабан'!K:K,A227,'Барабан'!AG:AG)+SUMIF('Барабан'!V:V,A227,'Барабан'!AG:AG),"")</f>
        <v/>
      </c>
      <c r="E227" s="2" t="str">
        <f t="shared" si="1"/>
        <v/>
      </c>
      <c r="F227" s="2" t="str">
        <f t="array" ref="F227">IFERROR(IF(E227=0,0,INDEX('Справочник'!G:G,MATCH(A227,'Справочник'!F:F,0))))</f>
        <v/>
      </c>
      <c r="G227" s="2" t="str">
        <f>IF(A227&gt;0,SUMIF('Барабан'!K:K,A227,'Барабан'!P:P),"")</f>
        <v/>
      </c>
      <c r="H227" s="2" t="str">
        <f>IF(A227&gt;0,SUMIF('Барабан'!V:V,A227,'Барабан'!AA:AA),"")</f>
        <v/>
      </c>
      <c r="I227" s="2" t="str">
        <f t="shared" si="4"/>
        <v/>
      </c>
      <c r="J227" s="9" t="str">
        <f t="shared" si="2"/>
        <v/>
      </c>
      <c r="K227" s="1" t="str">
        <f>IF(A227&gt;0,COUNTIF('Барабан'!K:K,A227),"")</f>
        <v/>
      </c>
      <c r="L227" s="1" t="str">
        <f>IF(A227&gt;0,COUNTIF('Барабан'!V:V,A227),"")</f>
        <v/>
      </c>
      <c r="M227" s="1" t="str">
        <f t="shared" si="3"/>
        <v/>
      </c>
      <c r="N227" s="1" t="str">
        <f>IFERROR(__xludf.DUMMYFUNCTION("IF(A227&gt;0,MIN(FILTER('Барабан'!AJ:AJ,'Барабан'!K:K=A227)),"""")"),"")</f>
        <v/>
      </c>
      <c r="O227" s="16" t="str">
        <f>IFERROR(__xludf.DUMMYFUNCTION("IF(A227&gt;0,IFERROR(MAX(FILTER('Барабан'!AJ:AJ,'Барабан'!V:V=A227)),""–""),"""")"),"")</f>
        <v/>
      </c>
    </row>
    <row r="228" ht="15.75" customHeight="1">
      <c r="A228" s="1" t="str">
        <f>'Справочник'!E223</f>
        <v/>
      </c>
      <c r="B228" s="2" t="str">
        <f>IF(A228&gt;0,SUMIF('Барабан'!K:K,A228,'Барабан'!I:I),"")</f>
        <v/>
      </c>
      <c r="C228" s="2" t="str">
        <f>IF(A228&gt;0,SUMIF('Барабан'!V:V,A228,'Барабан'!T:T),"")</f>
        <v/>
      </c>
      <c r="D228" s="2" t="str">
        <f>IF(A228&gt;0,SUMIF('Барабан'!K:K,A228,'Барабан'!AG:AG)+SUMIF('Барабан'!V:V,A228,'Барабан'!AG:AG),"")</f>
        <v/>
      </c>
      <c r="E228" s="2" t="str">
        <f t="shared" si="1"/>
        <v/>
      </c>
      <c r="F228" s="2" t="str">
        <f t="array" ref="F228">IFERROR(IF(E228=0,0,INDEX('Справочник'!G:G,MATCH(A228,'Справочник'!F:F,0))))</f>
        <v/>
      </c>
      <c r="G228" s="2" t="str">
        <f>IF(A228&gt;0,SUMIF('Барабан'!K:K,A228,'Барабан'!P:P),"")</f>
        <v/>
      </c>
      <c r="H228" s="2" t="str">
        <f>IF(A228&gt;0,SUMIF('Барабан'!V:V,A228,'Барабан'!AA:AA),"")</f>
        <v/>
      </c>
      <c r="I228" s="2" t="str">
        <f t="shared" si="4"/>
        <v/>
      </c>
      <c r="J228" s="9" t="str">
        <f t="shared" si="2"/>
        <v/>
      </c>
      <c r="K228" s="1" t="str">
        <f>IF(A228&gt;0,COUNTIF('Барабан'!K:K,A228),"")</f>
        <v/>
      </c>
      <c r="L228" s="1" t="str">
        <f>IF(A228&gt;0,COUNTIF('Барабан'!V:V,A228),"")</f>
        <v/>
      </c>
      <c r="M228" s="1" t="str">
        <f t="shared" si="3"/>
        <v/>
      </c>
      <c r="N228" s="1" t="str">
        <f>IFERROR(__xludf.DUMMYFUNCTION("IF(A228&gt;0,MIN(FILTER('Барабан'!AJ:AJ,'Барабан'!K:K=A228)),"""")"),"")</f>
        <v/>
      </c>
      <c r="O228" s="16" t="str">
        <f>IFERROR(__xludf.DUMMYFUNCTION("IF(A228&gt;0,IFERROR(MAX(FILTER('Барабан'!AJ:AJ,'Барабан'!V:V=A228)),""–""),"""")"),"")</f>
        <v/>
      </c>
    </row>
    <row r="229" ht="15.75" customHeight="1">
      <c r="A229" s="1" t="str">
        <f>'Справочник'!E224</f>
        <v/>
      </c>
      <c r="B229" s="2" t="str">
        <f>IF(A229&gt;0,SUMIF('Барабан'!K:K,A229,'Барабан'!I:I),"")</f>
        <v/>
      </c>
      <c r="C229" s="2" t="str">
        <f>IF(A229&gt;0,SUMIF('Барабан'!V:V,A229,'Барабан'!T:T),"")</f>
        <v/>
      </c>
      <c r="D229" s="2" t="str">
        <f>IF(A229&gt;0,SUMIF('Барабан'!K:K,A229,'Барабан'!AG:AG)+SUMIF('Барабан'!V:V,A229,'Барабан'!AG:AG),"")</f>
        <v/>
      </c>
      <c r="E229" s="2" t="str">
        <f t="shared" si="1"/>
        <v/>
      </c>
      <c r="F229" s="2" t="str">
        <f t="array" ref="F229">IFERROR(IF(E229=0,0,INDEX('Справочник'!G:G,MATCH(A229,'Справочник'!F:F,0))))</f>
        <v/>
      </c>
      <c r="G229" s="2" t="str">
        <f>IF(A229&gt;0,SUMIF('Барабан'!K:K,A229,'Барабан'!P:P),"")</f>
        <v/>
      </c>
      <c r="H229" s="2" t="str">
        <f>IF(A229&gt;0,SUMIF('Барабан'!V:V,A229,'Барабан'!AA:AA),"")</f>
        <v/>
      </c>
      <c r="I229" s="2" t="str">
        <f t="shared" si="4"/>
        <v/>
      </c>
      <c r="J229" s="9" t="str">
        <f t="shared" si="2"/>
        <v/>
      </c>
      <c r="K229" s="1" t="str">
        <f>IF(A229&gt;0,COUNTIF('Барабан'!K:K,A229),"")</f>
        <v/>
      </c>
      <c r="L229" s="1" t="str">
        <f>IF(A229&gt;0,COUNTIF('Барабан'!V:V,A229),"")</f>
        <v/>
      </c>
      <c r="M229" s="1" t="str">
        <f t="shared" si="3"/>
        <v/>
      </c>
      <c r="N229" s="1" t="str">
        <f>IFERROR(__xludf.DUMMYFUNCTION("IF(A229&gt;0,MIN(FILTER('Барабан'!AJ:AJ,'Барабан'!K:K=A229)),"""")"),"")</f>
        <v/>
      </c>
      <c r="O229" s="16" t="str">
        <f>IFERROR(__xludf.DUMMYFUNCTION("IF(A229&gt;0,IFERROR(MAX(FILTER('Барабан'!AJ:AJ,'Барабан'!V:V=A229)),""–""),"""")"),"")</f>
        <v/>
      </c>
    </row>
    <row r="230" ht="15.75" customHeight="1">
      <c r="A230" s="1" t="str">
        <f>'Справочник'!E225</f>
        <v/>
      </c>
      <c r="B230" s="2" t="str">
        <f>IF(A230&gt;0,SUMIF('Барабан'!K:K,A230,'Барабан'!I:I),"")</f>
        <v/>
      </c>
      <c r="C230" s="2" t="str">
        <f>IF(A230&gt;0,SUMIF('Барабан'!V:V,A230,'Барабан'!T:T),"")</f>
        <v/>
      </c>
      <c r="D230" s="2" t="str">
        <f>IF(A230&gt;0,SUMIF('Барабан'!K:K,A230,'Барабан'!AG:AG)+SUMIF('Барабан'!V:V,A230,'Барабан'!AG:AG),"")</f>
        <v/>
      </c>
      <c r="E230" s="2" t="str">
        <f t="shared" si="1"/>
        <v/>
      </c>
      <c r="F230" s="2" t="str">
        <f t="array" ref="F230">IFERROR(IF(E230=0,0,INDEX('Справочник'!G:G,MATCH(A230,'Справочник'!F:F,0))))</f>
        <v/>
      </c>
      <c r="G230" s="2" t="str">
        <f>IF(A230&gt;0,SUMIF('Барабан'!K:K,A230,'Барабан'!P:P),"")</f>
        <v/>
      </c>
      <c r="H230" s="2" t="str">
        <f>IF(A230&gt;0,SUMIF('Барабан'!V:V,A230,'Барабан'!AA:AA),"")</f>
        <v/>
      </c>
      <c r="I230" s="2" t="str">
        <f t="shared" si="4"/>
        <v/>
      </c>
      <c r="J230" s="9" t="str">
        <f t="shared" si="2"/>
        <v/>
      </c>
      <c r="K230" s="1" t="str">
        <f>IF(A230&gt;0,COUNTIF('Барабан'!K:K,A230),"")</f>
        <v/>
      </c>
      <c r="L230" s="1" t="str">
        <f>IF(A230&gt;0,COUNTIF('Барабан'!V:V,A230),"")</f>
        <v/>
      </c>
      <c r="M230" s="1" t="str">
        <f t="shared" si="3"/>
        <v/>
      </c>
      <c r="N230" s="1" t="str">
        <f>IFERROR(__xludf.DUMMYFUNCTION("IF(A230&gt;0,MIN(FILTER('Барабан'!AJ:AJ,'Барабан'!K:K=A230)),"""")"),"")</f>
        <v/>
      </c>
      <c r="O230" s="16" t="str">
        <f>IFERROR(__xludf.DUMMYFUNCTION("IF(A230&gt;0,IFERROR(MAX(FILTER('Барабан'!AJ:AJ,'Барабан'!V:V=A230)),""–""),"""")"),"")</f>
        <v/>
      </c>
    </row>
    <row r="231" ht="15.75" customHeight="1">
      <c r="A231" s="1" t="str">
        <f>'Справочник'!E226</f>
        <v/>
      </c>
      <c r="B231" s="2" t="str">
        <f>IF(A231&gt;0,SUMIF('Барабан'!K:K,A231,'Барабан'!I:I),"")</f>
        <v/>
      </c>
      <c r="C231" s="2" t="str">
        <f>IF(A231&gt;0,SUMIF('Барабан'!V:V,A231,'Барабан'!T:T),"")</f>
        <v/>
      </c>
      <c r="D231" s="2" t="str">
        <f>IF(A231&gt;0,SUMIF('Барабан'!K:K,A231,'Барабан'!AG:AG)+SUMIF('Барабан'!V:V,A231,'Барабан'!AG:AG),"")</f>
        <v/>
      </c>
      <c r="E231" s="2" t="str">
        <f t="shared" si="1"/>
        <v/>
      </c>
      <c r="F231" s="2" t="str">
        <f t="array" ref="F231">IFERROR(IF(E231=0,0,INDEX('Справочник'!G:G,MATCH(A231,'Справочник'!F:F,0))))</f>
        <v/>
      </c>
      <c r="G231" s="2" t="str">
        <f>IF(A231&gt;0,SUMIF('Барабан'!K:K,A231,'Барабан'!P:P),"")</f>
        <v/>
      </c>
      <c r="H231" s="2" t="str">
        <f>IF(A231&gt;0,SUMIF('Барабан'!V:V,A231,'Барабан'!AA:AA),"")</f>
        <v/>
      </c>
      <c r="I231" s="2" t="str">
        <f t="shared" si="4"/>
        <v/>
      </c>
      <c r="J231" s="9" t="str">
        <f t="shared" si="2"/>
        <v/>
      </c>
      <c r="K231" s="1" t="str">
        <f>IF(A231&gt;0,COUNTIF('Барабан'!K:K,A231),"")</f>
        <v/>
      </c>
      <c r="L231" s="1" t="str">
        <f>IF(A231&gt;0,COUNTIF('Барабан'!V:V,A231),"")</f>
        <v/>
      </c>
      <c r="M231" s="1" t="str">
        <f t="shared" si="3"/>
        <v/>
      </c>
      <c r="N231" s="1" t="str">
        <f>IFERROR(__xludf.DUMMYFUNCTION("IF(A231&gt;0,MIN(FILTER('Барабан'!AJ:AJ,'Барабан'!K:K=A231)),"""")"),"")</f>
        <v/>
      </c>
      <c r="O231" s="16" t="str">
        <f>IFERROR(__xludf.DUMMYFUNCTION("IF(A231&gt;0,IFERROR(MAX(FILTER('Барабан'!AJ:AJ,'Барабан'!V:V=A231)),""–""),"""")"),"")</f>
        <v/>
      </c>
    </row>
    <row r="232" ht="15.75" customHeight="1">
      <c r="A232" s="1" t="str">
        <f>'Справочник'!E227</f>
        <v/>
      </c>
      <c r="B232" s="2" t="str">
        <f>IF(A232&gt;0,SUMIF('Барабан'!K:K,A232,'Барабан'!I:I),"")</f>
        <v/>
      </c>
      <c r="C232" s="2" t="str">
        <f>IF(A232&gt;0,SUMIF('Барабан'!V:V,A232,'Барабан'!T:T),"")</f>
        <v/>
      </c>
      <c r="D232" s="2" t="str">
        <f>IF(A232&gt;0,SUMIF('Барабан'!K:K,A232,'Барабан'!AG:AG)+SUMIF('Барабан'!V:V,A232,'Барабан'!AG:AG),"")</f>
        <v/>
      </c>
      <c r="E232" s="2" t="str">
        <f t="shared" si="1"/>
        <v/>
      </c>
      <c r="F232" s="2" t="str">
        <f t="array" ref="F232">IFERROR(IF(E232=0,0,INDEX('Справочник'!G:G,MATCH(A232,'Справочник'!F:F,0))))</f>
        <v/>
      </c>
      <c r="G232" s="2" t="str">
        <f>IF(A232&gt;0,SUMIF('Барабан'!K:K,A232,'Барабан'!P:P),"")</f>
        <v/>
      </c>
      <c r="H232" s="2" t="str">
        <f>IF(A232&gt;0,SUMIF('Барабан'!V:V,A232,'Барабан'!AA:AA),"")</f>
        <v/>
      </c>
      <c r="I232" s="2" t="str">
        <f t="shared" si="4"/>
        <v/>
      </c>
      <c r="J232" s="9" t="str">
        <f t="shared" si="2"/>
        <v/>
      </c>
      <c r="K232" s="1" t="str">
        <f>IF(A232&gt;0,COUNTIF('Барабан'!K:K,A232),"")</f>
        <v/>
      </c>
      <c r="L232" s="1" t="str">
        <f>IF(A232&gt;0,COUNTIF('Барабан'!V:V,A232),"")</f>
        <v/>
      </c>
      <c r="M232" s="1" t="str">
        <f t="shared" si="3"/>
        <v/>
      </c>
      <c r="N232" s="1" t="str">
        <f>IFERROR(__xludf.DUMMYFUNCTION("IF(A232&gt;0,MIN(FILTER('Барабан'!AJ:AJ,'Барабан'!K:K=A232)),"""")"),"")</f>
        <v/>
      </c>
      <c r="O232" s="16" t="str">
        <f>IFERROR(__xludf.DUMMYFUNCTION("IF(A232&gt;0,IFERROR(MAX(FILTER('Барабан'!AJ:AJ,'Барабан'!V:V=A232)),""–""),"""")"),"")</f>
        <v/>
      </c>
    </row>
    <row r="233" ht="15.75" customHeight="1">
      <c r="A233" s="1" t="str">
        <f>'Справочник'!E228</f>
        <v/>
      </c>
      <c r="B233" s="2" t="str">
        <f>IF(A233&gt;0,SUMIF('Барабан'!K:K,A233,'Барабан'!I:I),"")</f>
        <v/>
      </c>
      <c r="C233" s="2" t="str">
        <f>IF(A233&gt;0,SUMIF('Барабан'!V:V,A233,'Барабан'!T:T),"")</f>
        <v/>
      </c>
      <c r="D233" s="2" t="str">
        <f>IF(A233&gt;0,SUMIF('Барабан'!K:K,A233,'Барабан'!AG:AG)+SUMIF('Барабан'!V:V,A233,'Барабан'!AG:AG),"")</f>
        <v/>
      </c>
      <c r="E233" s="2" t="str">
        <f t="shared" si="1"/>
        <v/>
      </c>
      <c r="F233" s="2" t="str">
        <f t="array" ref="F233">IFERROR(IF(E233=0,0,INDEX('Справочник'!G:G,MATCH(A233,'Справочник'!F:F,0))))</f>
        <v/>
      </c>
      <c r="G233" s="2" t="str">
        <f>IF(A233&gt;0,SUMIF('Барабан'!K:K,A233,'Барабан'!P:P),"")</f>
        <v/>
      </c>
      <c r="H233" s="2" t="str">
        <f>IF(A233&gt;0,SUMIF('Барабан'!V:V,A233,'Барабан'!AA:AA),"")</f>
        <v/>
      </c>
      <c r="I233" s="2" t="str">
        <f t="shared" si="4"/>
        <v/>
      </c>
      <c r="J233" s="9" t="str">
        <f t="shared" si="2"/>
        <v/>
      </c>
      <c r="K233" s="1" t="str">
        <f>IF(A233&gt;0,COUNTIF('Барабан'!K:K,A233),"")</f>
        <v/>
      </c>
      <c r="L233" s="1" t="str">
        <f>IF(A233&gt;0,COUNTIF('Барабан'!V:V,A233),"")</f>
        <v/>
      </c>
      <c r="M233" s="1" t="str">
        <f t="shared" si="3"/>
        <v/>
      </c>
      <c r="N233" s="1" t="str">
        <f>IFERROR(__xludf.DUMMYFUNCTION("IF(A233&gt;0,MIN(FILTER('Барабан'!AJ:AJ,'Барабан'!K:K=A233)),"""")"),"")</f>
        <v/>
      </c>
      <c r="O233" s="16" t="str">
        <f>IFERROR(__xludf.DUMMYFUNCTION("IF(A233&gt;0,IFERROR(MAX(FILTER('Барабан'!AJ:AJ,'Барабан'!V:V=A233)),""–""),"""")"),"")</f>
        <v/>
      </c>
    </row>
    <row r="234" ht="15.75" customHeight="1">
      <c r="A234" s="1" t="str">
        <f>'Справочник'!E229</f>
        <v/>
      </c>
      <c r="B234" s="2" t="str">
        <f>IF(A234&gt;0,SUMIF('Барабан'!K:K,A234,'Барабан'!I:I),"")</f>
        <v/>
      </c>
      <c r="C234" s="2" t="str">
        <f>IF(A234&gt;0,SUMIF('Барабан'!V:V,A234,'Барабан'!T:T),"")</f>
        <v/>
      </c>
      <c r="D234" s="2" t="str">
        <f>IF(A234&gt;0,SUMIF('Барабан'!K:K,A234,'Барабан'!AG:AG)+SUMIF('Барабан'!V:V,A234,'Барабан'!AG:AG),"")</f>
        <v/>
      </c>
      <c r="E234" s="2" t="str">
        <f t="shared" si="1"/>
        <v/>
      </c>
      <c r="F234" s="2" t="str">
        <f t="array" ref="F234">IFERROR(IF(E234=0,0,INDEX('Справочник'!G:G,MATCH(A234,'Справочник'!F:F,0))))</f>
        <v/>
      </c>
      <c r="G234" s="2" t="str">
        <f>IF(A234&gt;0,SUMIF('Барабан'!K:K,A234,'Барабан'!P:P),"")</f>
        <v/>
      </c>
      <c r="H234" s="2" t="str">
        <f>IF(A234&gt;0,SUMIF('Барабан'!V:V,A234,'Барабан'!AA:AA),"")</f>
        <v/>
      </c>
      <c r="I234" s="2" t="str">
        <f t="shared" si="4"/>
        <v/>
      </c>
      <c r="J234" s="9" t="str">
        <f t="shared" si="2"/>
        <v/>
      </c>
      <c r="K234" s="1" t="str">
        <f>IF(A234&gt;0,COUNTIF('Барабан'!K:K,A234),"")</f>
        <v/>
      </c>
      <c r="L234" s="1" t="str">
        <f>IF(A234&gt;0,COUNTIF('Барабан'!V:V,A234),"")</f>
        <v/>
      </c>
      <c r="M234" s="1" t="str">
        <f t="shared" si="3"/>
        <v/>
      </c>
      <c r="N234" s="1" t="str">
        <f>IFERROR(__xludf.DUMMYFUNCTION("IF(A234&gt;0,MIN(FILTER('Барабан'!AJ:AJ,'Барабан'!K:K=A234)),"""")"),"")</f>
        <v/>
      </c>
      <c r="O234" s="16" t="str">
        <f>IFERROR(__xludf.DUMMYFUNCTION("IF(A234&gt;0,IFERROR(MAX(FILTER('Барабан'!AJ:AJ,'Барабан'!V:V=A234)),""–""),"""")"),"")</f>
        <v/>
      </c>
    </row>
    <row r="235" ht="15.75" customHeight="1">
      <c r="A235" s="1" t="str">
        <f>'Справочник'!E230</f>
        <v/>
      </c>
      <c r="B235" s="2" t="str">
        <f>IF(A235&gt;0,SUMIF('Барабан'!K:K,A235,'Барабан'!I:I),"")</f>
        <v/>
      </c>
      <c r="C235" s="2" t="str">
        <f>IF(A235&gt;0,SUMIF('Барабан'!V:V,A235,'Барабан'!T:T),"")</f>
        <v/>
      </c>
      <c r="D235" s="2" t="str">
        <f>IF(A235&gt;0,SUMIF('Барабан'!K:K,A235,'Барабан'!AG:AG)+SUMIF('Барабан'!V:V,A235,'Барабан'!AG:AG),"")</f>
        <v/>
      </c>
      <c r="E235" s="2" t="str">
        <f t="shared" si="1"/>
        <v/>
      </c>
      <c r="F235" s="2" t="str">
        <f t="array" ref="F235">IFERROR(IF(E235=0,0,INDEX('Справочник'!G:G,MATCH(A235,'Справочник'!F:F,0))))</f>
        <v/>
      </c>
      <c r="G235" s="2" t="str">
        <f>IF(A235&gt;0,SUMIF('Барабан'!K:K,A235,'Барабан'!P:P),"")</f>
        <v/>
      </c>
      <c r="H235" s="2" t="str">
        <f>IF(A235&gt;0,SUMIF('Барабан'!V:V,A235,'Барабан'!AA:AA),"")</f>
        <v/>
      </c>
      <c r="I235" s="2" t="str">
        <f t="shared" si="4"/>
        <v/>
      </c>
      <c r="J235" s="9" t="str">
        <f t="shared" si="2"/>
        <v/>
      </c>
      <c r="K235" s="1" t="str">
        <f>IF(A235&gt;0,COUNTIF('Барабан'!K:K,A235),"")</f>
        <v/>
      </c>
      <c r="L235" s="1" t="str">
        <f>IF(A235&gt;0,COUNTIF('Барабан'!V:V,A235),"")</f>
        <v/>
      </c>
      <c r="M235" s="1" t="str">
        <f t="shared" si="3"/>
        <v/>
      </c>
      <c r="N235" s="1" t="str">
        <f>IFERROR(__xludf.DUMMYFUNCTION("IF(A235&gt;0,MIN(FILTER('Барабан'!AJ:AJ,'Барабан'!K:K=A235)),"""")"),"")</f>
        <v/>
      </c>
      <c r="O235" s="16" t="str">
        <f>IFERROR(__xludf.DUMMYFUNCTION("IF(A235&gt;0,IFERROR(MAX(FILTER('Барабан'!AJ:AJ,'Барабан'!V:V=A235)),""–""),"""")"),"")</f>
        <v/>
      </c>
    </row>
    <row r="236" ht="15.75" customHeight="1">
      <c r="A236" s="1" t="str">
        <f>'Справочник'!E231</f>
        <v/>
      </c>
      <c r="B236" s="2" t="str">
        <f>IF(A236&gt;0,SUMIF('Барабан'!K:K,A236,'Барабан'!I:I),"")</f>
        <v/>
      </c>
      <c r="C236" s="2" t="str">
        <f>IF(A236&gt;0,SUMIF('Барабан'!V:V,A236,'Барабан'!T:T),"")</f>
        <v/>
      </c>
      <c r="D236" s="2" t="str">
        <f>IF(A236&gt;0,SUMIF('Барабан'!K:K,A236,'Барабан'!AG:AG)+SUMIF('Барабан'!V:V,A236,'Барабан'!AG:AG),"")</f>
        <v/>
      </c>
      <c r="E236" s="2" t="str">
        <f t="shared" si="1"/>
        <v/>
      </c>
      <c r="F236" s="2" t="str">
        <f t="array" ref="F236">IFERROR(IF(E236=0,0,INDEX('Справочник'!G:G,MATCH(A236,'Справочник'!F:F,0))))</f>
        <v/>
      </c>
      <c r="G236" s="2" t="str">
        <f>IF(A236&gt;0,SUMIF('Барабан'!K:K,A236,'Барабан'!P:P),"")</f>
        <v/>
      </c>
      <c r="H236" s="2" t="str">
        <f>IF(A236&gt;0,SUMIF('Барабан'!V:V,A236,'Барабан'!AA:AA),"")</f>
        <v/>
      </c>
      <c r="I236" s="2" t="str">
        <f t="shared" si="4"/>
        <v/>
      </c>
      <c r="J236" s="9" t="str">
        <f t="shared" si="2"/>
        <v/>
      </c>
      <c r="K236" s="1" t="str">
        <f>IF(A236&gt;0,COUNTIF('Барабан'!K:K,A236),"")</f>
        <v/>
      </c>
      <c r="L236" s="1" t="str">
        <f>IF(A236&gt;0,COUNTIF('Барабан'!V:V,A236),"")</f>
        <v/>
      </c>
      <c r="M236" s="1" t="str">
        <f t="shared" si="3"/>
        <v/>
      </c>
      <c r="N236" s="1" t="str">
        <f>IFERROR(__xludf.DUMMYFUNCTION("IF(A236&gt;0,MIN(FILTER('Барабан'!AJ:AJ,'Барабан'!K:K=A236)),"""")"),"")</f>
        <v/>
      </c>
      <c r="O236" s="16" t="str">
        <f>IFERROR(__xludf.DUMMYFUNCTION("IF(A236&gt;0,IFERROR(MAX(FILTER('Барабан'!AJ:AJ,'Барабан'!V:V=A236)),""–""),"""")"),"")</f>
        <v/>
      </c>
    </row>
    <row r="237" ht="15.75" customHeight="1">
      <c r="A237" s="1" t="str">
        <f>'Справочник'!E232</f>
        <v/>
      </c>
      <c r="B237" s="2" t="str">
        <f>IF(A237&gt;0,SUMIF('Барабан'!K:K,A237,'Барабан'!I:I),"")</f>
        <v/>
      </c>
      <c r="C237" s="2" t="str">
        <f>IF(A237&gt;0,SUMIF('Барабан'!V:V,A237,'Барабан'!T:T),"")</f>
        <v/>
      </c>
      <c r="D237" s="2" t="str">
        <f>IF(A237&gt;0,SUMIF('Барабан'!K:K,A237,'Барабан'!AG:AG)+SUMIF('Барабан'!V:V,A237,'Барабан'!AG:AG),"")</f>
        <v/>
      </c>
      <c r="E237" s="2" t="str">
        <f t="shared" si="1"/>
        <v/>
      </c>
      <c r="F237" s="2" t="str">
        <f t="array" ref="F237">IFERROR(IF(E237=0,0,INDEX('Справочник'!G:G,MATCH(A237,'Справочник'!F:F,0))))</f>
        <v/>
      </c>
      <c r="G237" s="2" t="str">
        <f>IF(A237&gt;0,SUMIF('Барабан'!K:K,A237,'Барабан'!P:P),"")</f>
        <v/>
      </c>
      <c r="H237" s="2" t="str">
        <f>IF(A237&gt;0,SUMIF('Барабан'!V:V,A237,'Барабан'!AA:AA),"")</f>
        <v/>
      </c>
      <c r="I237" s="2" t="str">
        <f t="shared" si="4"/>
        <v/>
      </c>
      <c r="J237" s="9" t="str">
        <f t="shared" si="2"/>
        <v/>
      </c>
      <c r="K237" s="1" t="str">
        <f>IF(A237&gt;0,COUNTIF('Барабан'!K:K,A237),"")</f>
        <v/>
      </c>
      <c r="L237" s="1" t="str">
        <f>IF(A237&gt;0,COUNTIF('Барабан'!V:V,A237),"")</f>
        <v/>
      </c>
      <c r="M237" s="1" t="str">
        <f t="shared" si="3"/>
        <v/>
      </c>
      <c r="N237" s="1" t="str">
        <f>IFERROR(__xludf.DUMMYFUNCTION("IF(A237&gt;0,MIN(FILTER('Барабан'!AJ:AJ,'Барабан'!K:K=A237)),"""")"),"")</f>
        <v/>
      </c>
      <c r="O237" s="16" t="str">
        <f>IFERROR(__xludf.DUMMYFUNCTION("IF(A237&gt;0,IFERROR(MAX(FILTER('Барабан'!AJ:AJ,'Барабан'!V:V=A237)),""–""),"""")"),"")</f>
        <v/>
      </c>
    </row>
    <row r="238" ht="15.75" customHeight="1">
      <c r="A238" s="1" t="str">
        <f>'Справочник'!E233</f>
        <v/>
      </c>
      <c r="B238" s="2" t="str">
        <f>IF(A238&gt;0,SUMIF('Барабан'!K:K,A238,'Барабан'!I:I),"")</f>
        <v/>
      </c>
      <c r="C238" s="2" t="str">
        <f>IF(A238&gt;0,SUMIF('Барабан'!V:V,A238,'Барабан'!T:T),"")</f>
        <v/>
      </c>
      <c r="D238" s="2" t="str">
        <f>IF(A238&gt;0,SUMIF('Барабан'!K:K,A238,'Барабан'!AG:AG)+SUMIF('Барабан'!V:V,A238,'Барабан'!AG:AG),"")</f>
        <v/>
      </c>
      <c r="E238" s="2" t="str">
        <f t="shared" si="1"/>
        <v/>
      </c>
      <c r="F238" s="2" t="str">
        <f t="array" ref="F238">IFERROR(IF(E238=0,0,INDEX('Справочник'!G:G,MATCH(A238,'Справочник'!F:F,0))))</f>
        <v/>
      </c>
      <c r="G238" s="2" t="str">
        <f>IF(A238&gt;0,SUMIF('Барабан'!K:K,A238,'Барабан'!P:P),"")</f>
        <v/>
      </c>
      <c r="H238" s="2" t="str">
        <f>IF(A238&gt;0,SUMIF('Барабан'!V:V,A238,'Барабан'!AA:AA),"")</f>
        <v/>
      </c>
      <c r="I238" s="2" t="str">
        <f t="shared" si="4"/>
        <v/>
      </c>
      <c r="J238" s="9" t="str">
        <f t="shared" si="2"/>
        <v/>
      </c>
      <c r="K238" s="1" t="str">
        <f>IF(A238&gt;0,COUNTIF('Барабан'!K:K,A238),"")</f>
        <v/>
      </c>
      <c r="L238" s="1" t="str">
        <f>IF(A238&gt;0,COUNTIF('Барабан'!V:V,A238),"")</f>
        <v/>
      </c>
      <c r="M238" s="1" t="str">
        <f t="shared" si="3"/>
        <v/>
      </c>
      <c r="N238" s="1" t="str">
        <f>IFERROR(__xludf.DUMMYFUNCTION("IF(A238&gt;0,MIN(FILTER('Барабан'!AJ:AJ,'Барабан'!K:K=A238)),"""")"),"")</f>
        <v/>
      </c>
      <c r="O238" s="16" t="str">
        <f>IFERROR(__xludf.DUMMYFUNCTION("IF(A238&gt;0,IFERROR(MAX(FILTER('Барабан'!AJ:AJ,'Барабан'!V:V=A238)),""–""),"""")"),"")</f>
        <v/>
      </c>
    </row>
    <row r="239" ht="15.75" customHeight="1">
      <c r="A239" s="1" t="str">
        <f>'Справочник'!E234</f>
        <v/>
      </c>
      <c r="B239" s="2" t="str">
        <f>IF(A239&gt;0,SUMIF('Барабан'!K:K,A239,'Барабан'!I:I),"")</f>
        <v/>
      </c>
      <c r="C239" s="2" t="str">
        <f>IF(A239&gt;0,SUMIF('Барабан'!V:V,A239,'Барабан'!T:T),"")</f>
        <v/>
      </c>
      <c r="D239" s="2" t="str">
        <f>IF(A239&gt;0,SUMIF('Барабан'!K:K,A239,'Барабан'!AG:AG)+SUMIF('Барабан'!V:V,A239,'Барабан'!AG:AG),"")</f>
        <v/>
      </c>
      <c r="E239" s="2" t="str">
        <f t="shared" si="1"/>
        <v/>
      </c>
      <c r="F239" s="2" t="str">
        <f t="array" ref="F239">IFERROR(IF(E239=0,0,INDEX('Справочник'!G:G,MATCH(A239,'Справочник'!F:F,0))))</f>
        <v/>
      </c>
      <c r="G239" s="2" t="str">
        <f>IF(A239&gt;0,SUMIF('Барабан'!K:K,A239,'Барабан'!P:P),"")</f>
        <v/>
      </c>
      <c r="H239" s="2" t="str">
        <f>IF(A239&gt;0,SUMIF('Барабан'!V:V,A239,'Барабан'!AA:AA),"")</f>
        <v/>
      </c>
      <c r="I239" s="2" t="str">
        <f t="shared" si="4"/>
        <v/>
      </c>
      <c r="J239" s="9" t="str">
        <f t="shared" si="2"/>
        <v/>
      </c>
      <c r="K239" s="1" t="str">
        <f>IF(A239&gt;0,COUNTIF('Барабан'!K:K,A239),"")</f>
        <v/>
      </c>
      <c r="L239" s="1" t="str">
        <f>IF(A239&gt;0,COUNTIF('Барабан'!V:V,A239),"")</f>
        <v/>
      </c>
      <c r="M239" s="1" t="str">
        <f t="shared" si="3"/>
        <v/>
      </c>
      <c r="N239" s="1" t="str">
        <f>IFERROR(__xludf.DUMMYFUNCTION("IF(A239&gt;0,MIN(FILTER('Барабан'!AJ:AJ,'Барабан'!K:K=A239)),"""")"),"")</f>
        <v/>
      </c>
      <c r="O239" s="16" t="str">
        <f>IFERROR(__xludf.DUMMYFUNCTION("IF(A239&gt;0,IFERROR(MAX(FILTER('Барабан'!AJ:AJ,'Барабан'!V:V=A239)),""–""),"""")"),"")</f>
        <v/>
      </c>
    </row>
    <row r="240" ht="15.75" customHeight="1">
      <c r="A240" s="1" t="str">
        <f>'Справочник'!E235</f>
        <v/>
      </c>
      <c r="B240" s="2" t="str">
        <f>IF(A240&gt;0,SUMIF('Барабан'!K:K,A240,'Барабан'!I:I),"")</f>
        <v/>
      </c>
      <c r="C240" s="2" t="str">
        <f>IF(A240&gt;0,SUMIF('Барабан'!V:V,A240,'Барабан'!T:T),"")</f>
        <v/>
      </c>
      <c r="D240" s="2" t="str">
        <f>IF(A240&gt;0,SUMIF('Барабан'!K:K,A240,'Барабан'!AG:AG)+SUMIF('Барабан'!V:V,A240,'Барабан'!AG:AG),"")</f>
        <v/>
      </c>
      <c r="E240" s="2" t="str">
        <f t="shared" si="1"/>
        <v/>
      </c>
      <c r="F240" s="2" t="str">
        <f t="array" ref="F240">IFERROR(IF(E240=0,0,INDEX('Справочник'!G:G,MATCH(A240,'Справочник'!F:F,0))))</f>
        <v/>
      </c>
      <c r="G240" s="2" t="str">
        <f>IF(A240&gt;0,SUMIF('Барабан'!K:K,A240,'Барабан'!P:P),"")</f>
        <v/>
      </c>
      <c r="H240" s="2" t="str">
        <f>IF(A240&gt;0,SUMIF('Барабан'!V:V,A240,'Барабан'!AA:AA),"")</f>
        <v/>
      </c>
      <c r="I240" s="2" t="str">
        <f t="shared" si="4"/>
        <v/>
      </c>
      <c r="J240" s="9" t="str">
        <f t="shared" si="2"/>
        <v/>
      </c>
      <c r="K240" s="1" t="str">
        <f>IF(A240&gt;0,COUNTIF('Барабан'!K:K,A240),"")</f>
        <v/>
      </c>
      <c r="L240" s="1" t="str">
        <f>IF(A240&gt;0,COUNTIF('Барабан'!V:V,A240),"")</f>
        <v/>
      </c>
      <c r="M240" s="1" t="str">
        <f t="shared" si="3"/>
        <v/>
      </c>
      <c r="N240" s="1" t="str">
        <f>IFERROR(__xludf.DUMMYFUNCTION("IF(A240&gt;0,MIN(FILTER('Барабан'!AJ:AJ,'Барабан'!K:K=A240)),"""")"),"")</f>
        <v/>
      </c>
      <c r="O240" s="16" t="str">
        <f>IFERROR(__xludf.DUMMYFUNCTION("IF(A240&gt;0,IFERROR(MAX(FILTER('Барабан'!AJ:AJ,'Барабан'!V:V=A240)),""–""),"""")"),"")</f>
        <v/>
      </c>
    </row>
    <row r="241" ht="15.75" customHeight="1">
      <c r="A241" s="1" t="str">
        <f>'Справочник'!E236</f>
        <v/>
      </c>
      <c r="B241" s="2" t="str">
        <f>IF(A241&gt;0,SUMIF('Барабан'!K:K,A241,'Барабан'!I:I),"")</f>
        <v/>
      </c>
      <c r="C241" s="2" t="str">
        <f>IF(A241&gt;0,SUMIF('Барабан'!V:V,A241,'Барабан'!T:T),"")</f>
        <v/>
      </c>
      <c r="D241" s="2" t="str">
        <f>IF(A241&gt;0,SUMIF('Барабан'!K:K,A241,'Барабан'!AG:AG)+SUMIF('Барабан'!V:V,A241,'Барабан'!AG:AG),"")</f>
        <v/>
      </c>
      <c r="E241" s="2" t="str">
        <f t="shared" si="1"/>
        <v/>
      </c>
      <c r="F241" s="2" t="str">
        <f t="array" ref="F241">IFERROR(IF(E241=0,0,INDEX('Справочник'!G:G,MATCH(A241,'Справочник'!F:F,0))))</f>
        <v/>
      </c>
      <c r="G241" s="2" t="str">
        <f>IF(A241&gt;0,SUMIF('Барабан'!K:K,A241,'Барабан'!P:P),"")</f>
        <v/>
      </c>
      <c r="H241" s="2" t="str">
        <f>IF(A241&gt;0,SUMIF('Барабан'!V:V,A241,'Барабан'!AA:AA),"")</f>
        <v/>
      </c>
      <c r="I241" s="2" t="str">
        <f t="shared" si="4"/>
        <v/>
      </c>
      <c r="J241" s="9" t="str">
        <f t="shared" si="2"/>
        <v/>
      </c>
      <c r="K241" s="1" t="str">
        <f>IF(A241&gt;0,COUNTIF('Барабан'!K:K,A241),"")</f>
        <v/>
      </c>
      <c r="L241" s="1" t="str">
        <f>IF(A241&gt;0,COUNTIF('Барабан'!V:V,A241),"")</f>
        <v/>
      </c>
      <c r="M241" s="1" t="str">
        <f t="shared" si="3"/>
        <v/>
      </c>
      <c r="N241" s="1" t="str">
        <f>IFERROR(__xludf.DUMMYFUNCTION("IF(A241&gt;0,MIN(FILTER('Барабан'!AJ:AJ,'Барабан'!K:K=A241)),"""")"),"")</f>
        <v/>
      </c>
      <c r="O241" s="16" t="str">
        <f>IFERROR(__xludf.DUMMYFUNCTION("IF(A241&gt;0,IFERROR(MAX(FILTER('Барабан'!AJ:AJ,'Барабан'!V:V=A241)),""–""),"""")"),"")</f>
        <v/>
      </c>
    </row>
    <row r="242" ht="15.75" customHeight="1">
      <c r="A242" s="1" t="str">
        <f>'Справочник'!E237</f>
        <v/>
      </c>
      <c r="B242" s="2" t="str">
        <f>IF(A242&gt;0,SUMIF('Барабан'!K:K,A242,'Барабан'!I:I),"")</f>
        <v/>
      </c>
      <c r="C242" s="2" t="str">
        <f>IF(A242&gt;0,SUMIF('Барабан'!V:V,A242,'Барабан'!T:T),"")</f>
        <v/>
      </c>
      <c r="D242" s="2" t="str">
        <f>IF(A242&gt;0,SUMIF('Барабан'!K:K,A242,'Барабан'!AG:AG)+SUMIF('Барабан'!V:V,A242,'Барабан'!AG:AG),"")</f>
        <v/>
      </c>
      <c r="E242" s="2" t="str">
        <f t="shared" si="1"/>
        <v/>
      </c>
      <c r="F242" s="2" t="str">
        <f t="array" ref="F242">IFERROR(IF(E242=0,0,INDEX('Справочник'!G:G,MATCH(A242,'Справочник'!F:F,0))))</f>
        <v/>
      </c>
      <c r="G242" s="2" t="str">
        <f>IF(A242&gt;0,SUMIF('Барабан'!K:K,A242,'Барабан'!P:P),"")</f>
        <v/>
      </c>
      <c r="H242" s="2" t="str">
        <f>IF(A242&gt;0,SUMIF('Барабан'!V:V,A242,'Барабан'!AA:AA),"")</f>
        <v/>
      </c>
      <c r="I242" s="2" t="str">
        <f t="shared" si="4"/>
        <v/>
      </c>
      <c r="J242" s="9" t="str">
        <f t="shared" si="2"/>
        <v/>
      </c>
      <c r="K242" s="1" t="str">
        <f>IF(A242&gt;0,COUNTIF('Барабан'!K:K,A242),"")</f>
        <v/>
      </c>
      <c r="L242" s="1" t="str">
        <f>IF(A242&gt;0,COUNTIF('Барабан'!V:V,A242),"")</f>
        <v/>
      </c>
      <c r="M242" s="1" t="str">
        <f t="shared" si="3"/>
        <v/>
      </c>
      <c r="N242" s="1" t="str">
        <f>IFERROR(__xludf.DUMMYFUNCTION("IF(A242&gt;0,MIN(FILTER('Барабан'!AJ:AJ,'Барабан'!K:K=A242)),"""")"),"")</f>
        <v/>
      </c>
      <c r="O242" s="16" t="str">
        <f>IFERROR(__xludf.DUMMYFUNCTION("IF(A242&gt;0,IFERROR(MAX(FILTER('Барабан'!AJ:AJ,'Барабан'!V:V=A242)),""–""),"""")"),"")</f>
        <v/>
      </c>
    </row>
    <row r="243" ht="15.75" customHeight="1">
      <c r="A243" s="1" t="str">
        <f>'Справочник'!E238</f>
        <v/>
      </c>
      <c r="B243" s="2" t="str">
        <f>IF(A243&gt;0,SUMIF('Барабан'!K:K,A243,'Барабан'!I:I),"")</f>
        <v/>
      </c>
      <c r="C243" s="2" t="str">
        <f>IF(A243&gt;0,SUMIF('Барабан'!V:V,A243,'Барабан'!T:T),"")</f>
        <v/>
      </c>
      <c r="D243" s="2" t="str">
        <f>IF(A243&gt;0,SUMIF('Барабан'!K:K,A243,'Барабан'!AG:AG)+SUMIF('Барабан'!V:V,A243,'Барабан'!AG:AG),"")</f>
        <v/>
      </c>
      <c r="E243" s="2" t="str">
        <f t="shared" si="1"/>
        <v/>
      </c>
      <c r="F243" s="2" t="str">
        <f t="array" ref="F243">IFERROR(IF(E243=0,0,INDEX('Справочник'!G:G,MATCH(A243,'Справочник'!F:F,0))))</f>
        <v/>
      </c>
      <c r="G243" s="2" t="str">
        <f>IF(A243&gt;0,SUMIF('Барабан'!K:K,A243,'Барабан'!P:P),"")</f>
        <v/>
      </c>
      <c r="H243" s="2" t="str">
        <f>IF(A243&gt;0,SUMIF('Барабан'!V:V,A243,'Барабан'!AA:AA),"")</f>
        <v/>
      </c>
      <c r="I243" s="2" t="str">
        <f t="shared" si="4"/>
        <v/>
      </c>
      <c r="J243" s="9" t="str">
        <f t="shared" si="2"/>
        <v/>
      </c>
      <c r="K243" s="1" t="str">
        <f>IF(A243&gt;0,COUNTIF('Барабан'!K:K,A243),"")</f>
        <v/>
      </c>
      <c r="L243" s="1" t="str">
        <f>IF(A243&gt;0,COUNTIF('Барабан'!V:V,A243),"")</f>
        <v/>
      </c>
      <c r="M243" s="1" t="str">
        <f t="shared" si="3"/>
        <v/>
      </c>
      <c r="N243" s="1" t="str">
        <f>IFERROR(__xludf.DUMMYFUNCTION("IF(A243&gt;0,MIN(FILTER('Барабан'!AJ:AJ,'Барабан'!K:K=A243)),"""")"),"")</f>
        <v/>
      </c>
      <c r="O243" s="16" t="str">
        <f>IFERROR(__xludf.DUMMYFUNCTION("IF(A243&gt;0,IFERROR(MAX(FILTER('Барабан'!AJ:AJ,'Барабан'!V:V=A243)),""–""),"""")"),"")</f>
        <v/>
      </c>
    </row>
    <row r="244" ht="15.75" customHeight="1">
      <c r="A244" s="1" t="str">
        <f>'Справочник'!E239</f>
        <v/>
      </c>
      <c r="B244" s="2" t="str">
        <f>IF(A244&gt;0,SUMIF('Барабан'!K:K,A244,'Барабан'!I:I),"")</f>
        <v/>
      </c>
      <c r="C244" s="2" t="str">
        <f>IF(A244&gt;0,SUMIF('Барабан'!V:V,A244,'Барабан'!T:T),"")</f>
        <v/>
      </c>
      <c r="D244" s="2" t="str">
        <f>IF(A244&gt;0,SUMIF('Барабан'!K:K,A244,'Барабан'!AG:AG)+SUMIF('Барабан'!V:V,A244,'Барабан'!AG:AG),"")</f>
        <v/>
      </c>
      <c r="E244" s="2" t="str">
        <f t="shared" si="1"/>
        <v/>
      </c>
      <c r="F244" s="2" t="str">
        <f t="array" ref="F244">IFERROR(IF(E244=0,0,INDEX('Справочник'!G:G,MATCH(A244,'Справочник'!F:F,0))))</f>
        <v/>
      </c>
      <c r="G244" s="2" t="str">
        <f>IF(A244&gt;0,SUMIF('Барабан'!K:K,A244,'Барабан'!P:P),"")</f>
        <v/>
      </c>
      <c r="H244" s="2" t="str">
        <f>IF(A244&gt;0,SUMIF('Барабан'!V:V,A244,'Барабан'!AA:AA),"")</f>
        <v/>
      </c>
      <c r="I244" s="2" t="str">
        <f t="shared" si="4"/>
        <v/>
      </c>
      <c r="J244" s="9" t="str">
        <f t="shared" si="2"/>
        <v/>
      </c>
      <c r="K244" s="1" t="str">
        <f>IF(A244&gt;0,COUNTIF('Барабан'!K:K,A244),"")</f>
        <v/>
      </c>
      <c r="L244" s="1" t="str">
        <f>IF(A244&gt;0,COUNTIF('Барабан'!V:V,A244),"")</f>
        <v/>
      </c>
      <c r="M244" s="1" t="str">
        <f t="shared" si="3"/>
        <v/>
      </c>
      <c r="N244" s="1" t="str">
        <f>IFERROR(__xludf.DUMMYFUNCTION("IF(A244&gt;0,MIN(FILTER('Барабан'!AJ:AJ,'Барабан'!K:K=A244)),"""")"),"")</f>
        <v/>
      </c>
      <c r="O244" s="16" t="str">
        <f>IFERROR(__xludf.DUMMYFUNCTION("IF(A244&gt;0,IFERROR(MAX(FILTER('Барабан'!AJ:AJ,'Барабан'!V:V=A244)),""–""),"""")"),"")</f>
        <v/>
      </c>
    </row>
    <row r="245" ht="15.75" customHeight="1">
      <c r="A245" s="1" t="str">
        <f>'Справочник'!E240</f>
        <v/>
      </c>
      <c r="B245" s="2" t="str">
        <f>IF(A245&gt;0,SUMIF('Барабан'!K:K,A245,'Барабан'!I:I),"")</f>
        <v/>
      </c>
      <c r="C245" s="2" t="str">
        <f>IF(A245&gt;0,SUMIF('Барабан'!V:V,A245,'Барабан'!T:T),"")</f>
        <v/>
      </c>
      <c r="D245" s="2" t="str">
        <f>IF(A245&gt;0,SUMIF('Барабан'!K:K,A245,'Барабан'!AG:AG)+SUMIF('Барабан'!V:V,A245,'Барабан'!AG:AG),"")</f>
        <v/>
      </c>
      <c r="E245" s="2" t="str">
        <f t="shared" si="1"/>
        <v/>
      </c>
      <c r="F245" s="2" t="str">
        <f t="array" ref="F245">IFERROR(IF(E245=0,0,INDEX('Справочник'!G:G,MATCH(A245,'Справочник'!F:F,0))))</f>
        <v/>
      </c>
      <c r="G245" s="2" t="str">
        <f>IF(A245&gt;0,SUMIF('Барабан'!K:K,A245,'Барабан'!P:P),"")</f>
        <v/>
      </c>
      <c r="H245" s="2" t="str">
        <f>IF(A245&gt;0,SUMIF('Барабан'!V:V,A245,'Барабан'!AA:AA),"")</f>
        <v/>
      </c>
      <c r="I245" s="2" t="str">
        <f t="shared" si="4"/>
        <v/>
      </c>
      <c r="J245" s="9" t="str">
        <f t="shared" si="2"/>
        <v/>
      </c>
      <c r="K245" s="1" t="str">
        <f>IF(A245&gt;0,COUNTIF('Барабан'!K:K,A245),"")</f>
        <v/>
      </c>
      <c r="L245" s="1" t="str">
        <f>IF(A245&gt;0,COUNTIF('Барабан'!V:V,A245),"")</f>
        <v/>
      </c>
      <c r="M245" s="1" t="str">
        <f t="shared" si="3"/>
        <v/>
      </c>
      <c r="N245" s="1" t="str">
        <f>IFERROR(__xludf.DUMMYFUNCTION("IF(A245&gt;0,MIN(FILTER('Барабан'!AJ:AJ,'Барабан'!K:K=A245)),"""")"),"")</f>
        <v/>
      </c>
      <c r="O245" s="16" t="str">
        <f>IFERROR(__xludf.DUMMYFUNCTION("IF(A245&gt;0,IFERROR(MAX(FILTER('Барабан'!AJ:AJ,'Барабан'!V:V=A245)),""–""),"""")"),"")</f>
        <v/>
      </c>
    </row>
    <row r="246" ht="15.75" customHeight="1">
      <c r="A246" s="1" t="str">
        <f>'Справочник'!E241</f>
        <v/>
      </c>
      <c r="B246" s="2" t="str">
        <f>IF(A246&gt;0,SUMIF('Барабан'!K:K,A246,'Барабан'!I:I),"")</f>
        <v/>
      </c>
      <c r="C246" s="2" t="str">
        <f>IF(A246&gt;0,SUMIF('Барабан'!V:V,A246,'Барабан'!T:T),"")</f>
        <v/>
      </c>
      <c r="D246" s="2" t="str">
        <f>IF(A246&gt;0,SUMIF('Барабан'!K:K,A246,'Барабан'!AG:AG)+SUMIF('Барабан'!V:V,A246,'Барабан'!AG:AG),"")</f>
        <v/>
      </c>
      <c r="E246" s="2" t="str">
        <f t="shared" si="1"/>
        <v/>
      </c>
      <c r="F246" s="2" t="str">
        <f t="array" ref="F246">IFERROR(IF(E246=0,0,INDEX('Справочник'!G:G,MATCH(A246,'Справочник'!F:F,0))))</f>
        <v/>
      </c>
      <c r="G246" s="2" t="str">
        <f>IF(A246&gt;0,SUMIF('Барабан'!K:K,A246,'Барабан'!P:P),"")</f>
        <v/>
      </c>
      <c r="H246" s="2" t="str">
        <f>IF(A246&gt;0,SUMIF('Барабан'!V:V,A246,'Барабан'!AA:AA),"")</f>
        <v/>
      </c>
      <c r="I246" s="2" t="str">
        <f t="shared" si="4"/>
        <v/>
      </c>
      <c r="J246" s="9" t="str">
        <f t="shared" si="2"/>
        <v/>
      </c>
      <c r="K246" s="1" t="str">
        <f>IF(A246&gt;0,COUNTIF('Барабан'!K:K,A246),"")</f>
        <v/>
      </c>
      <c r="L246" s="1" t="str">
        <f>IF(A246&gt;0,COUNTIF('Барабан'!V:V,A246),"")</f>
        <v/>
      </c>
      <c r="M246" s="1" t="str">
        <f t="shared" si="3"/>
        <v/>
      </c>
      <c r="N246" s="1" t="str">
        <f>IFERROR(__xludf.DUMMYFUNCTION("IF(A246&gt;0,MIN(FILTER('Барабан'!AJ:AJ,'Барабан'!K:K=A246)),"""")"),"")</f>
        <v/>
      </c>
      <c r="O246" s="16" t="str">
        <f>IFERROR(__xludf.DUMMYFUNCTION("IF(A246&gt;0,IFERROR(MAX(FILTER('Барабан'!AJ:AJ,'Барабан'!V:V=A246)),""–""),"""")"),"")</f>
        <v/>
      </c>
    </row>
    <row r="247" ht="15.75" customHeight="1">
      <c r="A247" s="1" t="str">
        <f>'Справочник'!E242</f>
        <v/>
      </c>
      <c r="B247" s="2" t="str">
        <f>IF(A247&gt;0,SUMIF('Барабан'!K:K,A247,'Барабан'!I:I),"")</f>
        <v/>
      </c>
      <c r="C247" s="2" t="str">
        <f>IF(A247&gt;0,SUMIF('Барабан'!V:V,A247,'Барабан'!T:T),"")</f>
        <v/>
      </c>
      <c r="D247" s="2" t="str">
        <f>IF(A247&gt;0,SUMIF('Барабан'!K:K,A247,'Барабан'!AG:AG)+SUMIF('Барабан'!V:V,A247,'Барабан'!AG:AG),"")</f>
        <v/>
      </c>
      <c r="E247" s="2" t="str">
        <f t="shared" si="1"/>
        <v/>
      </c>
      <c r="F247" s="2" t="str">
        <f t="array" ref="F247">IFERROR(IF(E247=0,0,INDEX('Справочник'!G:G,MATCH(A247,'Справочник'!F:F,0))))</f>
        <v/>
      </c>
      <c r="G247" s="2" t="str">
        <f>IF(A247&gt;0,SUMIF('Барабан'!K:K,A247,'Барабан'!P:P),"")</f>
        <v/>
      </c>
      <c r="H247" s="2" t="str">
        <f>IF(A247&gt;0,SUMIF('Барабан'!V:V,A247,'Барабан'!AA:AA),"")</f>
        <v/>
      </c>
      <c r="I247" s="2" t="str">
        <f t="shared" si="4"/>
        <v/>
      </c>
      <c r="J247" s="9" t="str">
        <f t="shared" si="2"/>
        <v/>
      </c>
      <c r="K247" s="1" t="str">
        <f>IF(A247&gt;0,COUNTIF('Барабан'!K:K,A247),"")</f>
        <v/>
      </c>
      <c r="L247" s="1" t="str">
        <f>IF(A247&gt;0,COUNTIF('Барабан'!V:V,A247),"")</f>
        <v/>
      </c>
      <c r="M247" s="1" t="str">
        <f t="shared" si="3"/>
        <v/>
      </c>
      <c r="N247" s="1" t="str">
        <f>IFERROR(__xludf.DUMMYFUNCTION("IF(A247&gt;0,MIN(FILTER('Барабан'!AJ:AJ,'Барабан'!K:K=A247)),"""")"),"")</f>
        <v/>
      </c>
      <c r="O247" s="16" t="str">
        <f>IFERROR(__xludf.DUMMYFUNCTION("IF(A247&gt;0,IFERROR(MAX(FILTER('Барабан'!AJ:AJ,'Барабан'!V:V=A247)),""–""),"""")"),"")</f>
        <v/>
      </c>
    </row>
    <row r="248" ht="15.75" customHeight="1">
      <c r="A248" s="1" t="str">
        <f>'Справочник'!E243</f>
        <v/>
      </c>
      <c r="B248" s="2" t="str">
        <f>IF(A248&gt;0,SUMIF('Барабан'!K:K,A248,'Барабан'!I:I),"")</f>
        <v/>
      </c>
      <c r="C248" s="2" t="str">
        <f>IF(A248&gt;0,SUMIF('Барабан'!V:V,A248,'Барабан'!T:T),"")</f>
        <v/>
      </c>
      <c r="D248" s="2" t="str">
        <f>IF(A248&gt;0,SUMIF('Барабан'!K:K,A248,'Барабан'!AG:AG)+SUMIF('Барабан'!V:V,A248,'Барабан'!AG:AG),"")</f>
        <v/>
      </c>
      <c r="E248" s="2" t="str">
        <f t="shared" si="1"/>
        <v/>
      </c>
      <c r="F248" s="2" t="str">
        <f t="array" ref="F248">IFERROR(IF(E248=0,0,INDEX('Справочник'!G:G,MATCH(A248,'Справочник'!F:F,0))))</f>
        <v/>
      </c>
      <c r="G248" s="2" t="str">
        <f>IF(A248&gt;0,SUMIF('Барабан'!K:K,A248,'Барабан'!P:P),"")</f>
        <v/>
      </c>
      <c r="H248" s="2" t="str">
        <f>IF(A248&gt;0,SUMIF('Барабан'!V:V,A248,'Барабан'!AA:AA),"")</f>
        <v/>
      </c>
      <c r="I248" s="2" t="str">
        <f t="shared" si="4"/>
        <v/>
      </c>
      <c r="J248" s="9" t="str">
        <f t="shared" si="2"/>
        <v/>
      </c>
      <c r="K248" s="1" t="str">
        <f>IF(A248&gt;0,COUNTIF('Барабан'!K:K,A248),"")</f>
        <v/>
      </c>
      <c r="L248" s="1" t="str">
        <f>IF(A248&gt;0,COUNTIF('Барабан'!V:V,A248),"")</f>
        <v/>
      </c>
      <c r="M248" s="1" t="str">
        <f t="shared" si="3"/>
        <v/>
      </c>
      <c r="N248" s="1" t="str">
        <f>IFERROR(__xludf.DUMMYFUNCTION("IF(A248&gt;0,MIN(FILTER('Барабан'!AJ:AJ,'Барабан'!K:K=A248)),"""")"),"")</f>
        <v/>
      </c>
      <c r="O248" s="16" t="str">
        <f>IFERROR(__xludf.DUMMYFUNCTION("IF(A248&gt;0,IFERROR(MAX(FILTER('Барабан'!AJ:AJ,'Барабан'!V:V=A248)),""–""),"""")"),"")</f>
        <v/>
      </c>
    </row>
    <row r="249" ht="15.75" customHeight="1">
      <c r="A249" s="1" t="str">
        <f>'Справочник'!E244</f>
        <v/>
      </c>
      <c r="B249" s="2" t="str">
        <f>IF(A249&gt;0,SUMIF('Барабан'!K:K,A249,'Барабан'!I:I),"")</f>
        <v/>
      </c>
      <c r="C249" s="2" t="str">
        <f>IF(A249&gt;0,SUMIF('Барабан'!V:V,A249,'Барабан'!T:T),"")</f>
        <v/>
      </c>
      <c r="D249" s="2" t="str">
        <f>IF(A249&gt;0,SUMIF('Барабан'!K:K,A249,'Барабан'!AG:AG)+SUMIF('Барабан'!V:V,A249,'Барабан'!AG:AG),"")</f>
        <v/>
      </c>
      <c r="E249" s="2" t="str">
        <f t="shared" si="1"/>
        <v/>
      </c>
      <c r="F249" s="2" t="str">
        <f t="array" ref="F249">IFERROR(IF(E249=0,0,INDEX('Справочник'!G:G,MATCH(A249,'Справочник'!F:F,0))))</f>
        <v/>
      </c>
      <c r="G249" s="2" t="str">
        <f>IF(A249&gt;0,SUMIF('Барабан'!K:K,A249,'Барабан'!P:P),"")</f>
        <v/>
      </c>
      <c r="H249" s="2" t="str">
        <f>IF(A249&gt;0,SUMIF('Барабан'!V:V,A249,'Барабан'!AA:AA),"")</f>
        <v/>
      </c>
      <c r="I249" s="2" t="str">
        <f t="shared" si="4"/>
        <v/>
      </c>
      <c r="J249" s="9" t="str">
        <f t="shared" si="2"/>
        <v/>
      </c>
      <c r="K249" s="1" t="str">
        <f>IF(A249&gt;0,COUNTIF('Барабан'!K:K,A249),"")</f>
        <v/>
      </c>
      <c r="L249" s="1" t="str">
        <f>IF(A249&gt;0,COUNTIF('Барабан'!V:V,A249),"")</f>
        <v/>
      </c>
      <c r="M249" s="1" t="str">
        <f t="shared" si="3"/>
        <v/>
      </c>
      <c r="N249" s="1" t="str">
        <f>IFERROR(__xludf.DUMMYFUNCTION("IF(A249&gt;0,MIN(FILTER('Барабан'!AJ:AJ,'Барабан'!K:K=A249)),"""")"),"")</f>
        <v/>
      </c>
      <c r="O249" s="16" t="str">
        <f>IFERROR(__xludf.DUMMYFUNCTION("IF(A249&gt;0,IFERROR(MAX(FILTER('Барабан'!AJ:AJ,'Барабан'!V:V=A249)),""–""),"""")"),"")</f>
        <v/>
      </c>
    </row>
    <row r="250" ht="15.75" customHeight="1">
      <c r="A250" s="1" t="str">
        <f>'Справочник'!E245</f>
        <v/>
      </c>
      <c r="B250" s="2" t="str">
        <f>IF(A250&gt;0,SUMIF('Барабан'!K:K,A250,'Барабан'!I:I),"")</f>
        <v/>
      </c>
      <c r="C250" s="2" t="str">
        <f>IF(A250&gt;0,SUMIF('Барабан'!V:V,A250,'Барабан'!T:T),"")</f>
        <v/>
      </c>
      <c r="D250" s="2" t="str">
        <f>IF(A250&gt;0,SUMIF('Барабан'!K:K,A250,'Барабан'!AG:AG)+SUMIF('Барабан'!V:V,A250,'Барабан'!AG:AG),"")</f>
        <v/>
      </c>
      <c r="E250" s="2" t="str">
        <f t="shared" si="1"/>
        <v/>
      </c>
      <c r="F250" s="2" t="str">
        <f t="array" ref="F250">IFERROR(IF(E250=0,0,INDEX('Справочник'!G:G,MATCH(A250,'Справочник'!F:F,0))))</f>
        <v/>
      </c>
      <c r="G250" s="2" t="str">
        <f>IF(A250&gt;0,SUMIF('Барабан'!K:K,A250,'Барабан'!P:P),"")</f>
        <v/>
      </c>
      <c r="H250" s="2" t="str">
        <f>IF(A250&gt;0,SUMIF('Барабан'!V:V,A250,'Барабан'!AA:AA),"")</f>
        <v/>
      </c>
      <c r="I250" s="2" t="str">
        <f t="shared" si="4"/>
        <v/>
      </c>
      <c r="J250" s="9" t="str">
        <f t="shared" si="2"/>
        <v/>
      </c>
      <c r="K250" s="1" t="str">
        <f>IF(A250&gt;0,COUNTIF('Барабан'!K:K,A250),"")</f>
        <v/>
      </c>
      <c r="L250" s="1" t="str">
        <f>IF(A250&gt;0,COUNTIF('Барабан'!V:V,A250),"")</f>
        <v/>
      </c>
      <c r="M250" s="1" t="str">
        <f t="shared" si="3"/>
        <v/>
      </c>
      <c r="N250" s="1" t="str">
        <f>IFERROR(__xludf.DUMMYFUNCTION("IF(A250&gt;0,MIN(FILTER('Барабан'!AJ:AJ,'Барабан'!K:K=A250)),"""")"),"")</f>
        <v/>
      </c>
      <c r="O250" s="16" t="str">
        <f>IFERROR(__xludf.DUMMYFUNCTION("IF(A250&gt;0,IFERROR(MAX(FILTER('Барабан'!AJ:AJ,'Барабан'!V:V=A250)),""–""),"""")"),"")</f>
        <v/>
      </c>
    </row>
    <row r="251" ht="15.75" customHeight="1">
      <c r="A251" s="1" t="str">
        <f>'Справочник'!E246</f>
        <v/>
      </c>
      <c r="B251" s="2" t="str">
        <f>IF(A251&gt;0,SUMIF('Барабан'!K:K,A251,'Барабан'!I:I),"")</f>
        <v/>
      </c>
      <c r="C251" s="2" t="str">
        <f>IF(A251&gt;0,SUMIF('Барабан'!V:V,A251,'Барабан'!T:T),"")</f>
        <v/>
      </c>
      <c r="D251" s="2" t="str">
        <f>IF(A251&gt;0,SUMIF('Барабан'!K:K,A251,'Барабан'!AG:AG)+SUMIF('Барабан'!V:V,A251,'Барабан'!AG:AG),"")</f>
        <v/>
      </c>
      <c r="E251" s="2" t="str">
        <f t="shared" si="1"/>
        <v/>
      </c>
      <c r="F251" s="2" t="str">
        <f t="array" ref="F251">IFERROR(IF(E251=0,0,INDEX('Справочник'!G:G,MATCH(A251,'Справочник'!F:F,0))))</f>
        <v/>
      </c>
      <c r="G251" s="2" t="str">
        <f>IF(A251&gt;0,SUMIF('Барабан'!K:K,A251,'Барабан'!P:P),"")</f>
        <v/>
      </c>
      <c r="H251" s="2" t="str">
        <f>IF(A251&gt;0,SUMIF('Барабан'!V:V,A251,'Барабан'!AA:AA),"")</f>
        <v/>
      </c>
      <c r="I251" s="2" t="str">
        <f t="shared" si="4"/>
        <v/>
      </c>
      <c r="J251" s="9" t="str">
        <f t="shared" si="2"/>
        <v/>
      </c>
      <c r="K251" s="1" t="str">
        <f>IF(A251&gt;0,COUNTIF('Барабан'!K:K,A251),"")</f>
        <v/>
      </c>
      <c r="L251" s="1" t="str">
        <f>IF(A251&gt;0,COUNTIF('Барабан'!V:V,A251),"")</f>
        <v/>
      </c>
      <c r="M251" s="1" t="str">
        <f t="shared" si="3"/>
        <v/>
      </c>
      <c r="N251" s="1" t="str">
        <f>IFERROR(__xludf.DUMMYFUNCTION("IF(A251&gt;0,MIN(FILTER('Барабан'!AJ:AJ,'Барабан'!K:K=A251)),"""")"),"")</f>
        <v/>
      </c>
      <c r="O251" s="16" t="str">
        <f>IFERROR(__xludf.DUMMYFUNCTION("IF(A251&gt;0,IFERROR(MAX(FILTER('Барабан'!AJ:AJ,'Барабан'!V:V=A251)),""–""),"""")"),"")</f>
        <v/>
      </c>
    </row>
    <row r="252" ht="15.75" customHeight="1">
      <c r="A252" s="1" t="str">
        <f>'Справочник'!E247</f>
        <v/>
      </c>
      <c r="B252" s="2" t="str">
        <f>IF(A252&gt;0,SUMIF('Барабан'!K:K,A252,'Барабан'!I:I),"")</f>
        <v/>
      </c>
      <c r="C252" s="2" t="str">
        <f>IF(A252&gt;0,SUMIF('Барабан'!V:V,A252,'Барабан'!T:T),"")</f>
        <v/>
      </c>
      <c r="D252" s="2" t="str">
        <f>IF(A252&gt;0,SUMIF('Барабан'!K:K,A252,'Барабан'!AG:AG)+SUMIF('Барабан'!V:V,A252,'Барабан'!AG:AG),"")</f>
        <v/>
      </c>
      <c r="E252" s="2" t="str">
        <f t="shared" si="1"/>
        <v/>
      </c>
      <c r="F252" s="2" t="str">
        <f t="array" ref="F252">IFERROR(IF(E252=0,0,INDEX('Справочник'!G:G,MATCH(A252,'Справочник'!F:F,0))))</f>
        <v/>
      </c>
      <c r="G252" s="2" t="str">
        <f>IF(A252&gt;0,SUMIF('Барабан'!K:K,A252,'Барабан'!P:P),"")</f>
        <v/>
      </c>
      <c r="H252" s="2" t="str">
        <f>IF(A252&gt;0,SUMIF('Барабан'!V:V,A252,'Барабан'!AA:AA),"")</f>
        <v/>
      </c>
      <c r="I252" s="2" t="str">
        <f t="shared" si="4"/>
        <v/>
      </c>
      <c r="J252" s="9" t="str">
        <f t="shared" si="2"/>
        <v/>
      </c>
      <c r="K252" s="1" t="str">
        <f>IF(A252&gt;0,COUNTIF('Барабан'!K:K,A252),"")</f>
        <v/>
      </c>
      <c r="L252" s="1" t="str">
        <f>IF(A252&gt;0,COUNTIF('Барабан'!V:V,A252),"")</f>
        <v/>
      </c>
      <c r="M252" s="1" t="str">
        <f t="shared" si="3"/>
        <v/>
      </c>
      <c r="N252" s="1" t="str">
        <f>IFERROR(__xludf.DUMMYFUNCTION("IF(A252&gt;0,MIN(FILTER('Барабан'!AJ:AJ,'Барабан'!K:K=A252)),"""")"),"")</f>
        <v/>
      </c>
      <c r="O252" s="16" t="str">
        <f>IFERROR(__xludf.DUMMYFUNCTION("IF(A252&gt;0,IFERROR(MAX(FILTER('Барабан'!AJ:AJ,'Барабан'!V:V=A252)),""–""),"""")"),"")</f>
        <v/>
      </c>
    </row>
    <row r="253" ht="15.75" customHeight="1">
      <c r="A253" s="1" t="str">
        <f>'Справочник'!E248</f>
        <v/>
      </c>
      <c r="B253" s="2" t="str">
        <f>IF(A253&gt;0,SUMIF('Барабан'!K:K,A253,'Барабан'!I:I),"")</f>
        <v/>
      </c>
      <c r="C253" s="2" t="str">
        <f>IF(A253&gt;0,SUMIF('Барабан'!V:V,A253,'Барабан'!T:T),"")</f>
        <v/>
      </c>
      <c r="D253" s="2" t="str">
        <f>IF(A253&gt;0,SUMIF('Барабан'!K:K,A253,'Барабан'!AG:AG)+SUMIF('Барабан'!V:V,A253,'Барабан'!AG:AG),"")</f>
        <v/>
      </c>
      <c r="E253" s="2" t="str">
        <f t="shared" si="1"/>
        <v/>
      </c>
      <c r="F253" s="2" t="str">
        <f t="array" ref="F253">IFERROR(IF(E253=0,0,INDEX('Справочник'!G:G,MATCH(A253,'Справочник'!F:F,0))))</f>
        <v/>
      </c>
      <c r="G253" s="2" t="str">
        <f>IF(A253&gt;0,SUMIF('Барабан'!K:K,A253,'Барабан'!P:P),"")</f>
        <v/>
      </c>
      <c r="H253" s="2" t="str">
        <f>IF(A253&gt;0,SUMIF('Барабан'!V:V,A253,'Барабан'!AA:AA),"")</f>
        <v/>
      </c>
      <c r="I253" s="2" t="str">
        <f t="shared" si="4"/>
        <v/>
      </c>
      <c r="J253" s="9" t="str">
        <f t="shared" si="2"/>
        <v/>
      </c>
      <c r="K253" s="1" t="str">
        <f>IF(A253&gt;0,COUNTIF('Барабан'!K:K,A253),"")</f>
        <v/>
      </c>
      <c r="L253" s="1" t="str">
        <f>IF(A253&gt;0,COUNTIF('Барабан'!V:V,A253),"")</f>
        <v/>
      </c>
      <c r="M253" s="1" t="str">
        <f t="shared" si="3"/>
        <v/>
      </c>
      <c r="N253" s="1" t="str">
        <f>IFERROR(__xludf.DUMMYFUNCTION("IF(A253&gt;0,MIN(FILTER('Барабан'!AJ:AJ,'Барабан'!K:K=A253)),"""")"),"")</f>
        <v/>
      </c>
      <c r="O253" s="16" t="str">
        <f>IFERROR(__xludf.DUMMYFUNCTION("IF(A253&gt;0,IFERROR(MAX(FILTER('Барабан'!AJ:AJ,'Барабан'!V:V=A253)),""–""),"""")"),"")</f>
        <v/>
      </c>
    </row>
    <row r="254" ht="15.75" customHeight="1">
      <c r="A254" s="1" t="str">
        <f>'Справочник'!E249</f>
        <v/>
      </c>
      <c r="B254" s="2" t="str">
        <f>IF(A254&gt;0,SUMIF('Барабан'!K:K,A254,'Барабан'!I:I),"")</f>
        <v/>
      </c>
      <c r="C254" s="2" t="str">
        <f>IF(A254&gt;0,SUMIF('Барабан'!V:V,A254,'Барабан'!T:T),"")</f>
        <v/>
      </c>
      <c r="D254" s="2" t="str">
        <f>IF(A254&gt;0,SUMIF('Барабан'!K:K,A254,'Барабан'!AG:AG)+SUMIF('Барабан'!V:V,A254,'Барабан'!AG:AG),"")</f>
        <v/>
      </c>
      <c r="E254" s="2" t="str">
        <f t="shared" si="1"/>
        <v/>
      </c>
      <c r="F254" s="2" t="str">
        <f t="array" ref="F254">IFERROR(IF(E254=0,0,INDEX('Справочник'!G:G,MATCH(A254,'Справочник'!F:F,0))))</f>
        <v/>
      </c>
      <c r="G254" s="2" t="str">
        <f>IF(A254&gt;0,SUMIF('Барабан'!K:K,A254,'Барабан'!P:P),"")</f>
        <v/>
      </c>
      <c r="H254" s="2" t="str">
        <f>IF(A254&gt;0,SUMIF('Барабан'!V:V,A254,'Барабан'!AA:AA),"")</f>
        <v/>
      </c>
      <c r="I254" s="2" t="str">
        <f t="shared" si="4"/>
        <v/>
      </c>
      <c r="J254" s="9" t="str">
        <f t="shared" si="2"/>
        <v/>
      </c>
      <c r="K254" s="1" t="str">
        <f>IF(A254&gt;0,COUNTIF('Барабан'!K:K,A254),"")</f>
        <v/>
      </c>
      <c r="L254" s="1" t="str">
        <f>IF(A254&gt;0,COUNTIF('Барабан'!V:V,A254),"")</f>
        <v/>
      </c>
      <c r="M254" s="1" t="str">
        <f t="shared" si="3"/>
        <v/>
      </c>
      <c r="N254" s="1" t="str">
        <f>IFERROR(__xludf.DUMMYFUNCTION("IF(A254&gt;0,MIN(FILTER('Барабан'!AJ:AJ,'Барабан'!K:K=A254)),"""")"),"")</f>
        <v/>
      </c>
      <c r="O254" s="16" t="str">
        <f>IFERROR(__xludf.DUMMYFUNCTION("IF(A254&gt;0,IFERROR(MAX(FILTER('Барабан'!AJ:AJ,'Барабан'!V:V=A254)),""–""),"""")"),"")</f>
        <v/>
      </c>
    </row>
    <row r="255" ht="15.75" customHeight="1">
      <c r="A255" s="1" t="str">
        <f>'Справочник'!E250</f>
        <v/>
      </c>
      <c r="B255" s="2" t="str">
        <f>IF(A255&gt;0,SUMIF('Барабан'!K:K,A255,'Барабан'!I:I),"")</f>
        <v/>
      </c>
      <c r="C255" s="2" t="str">
        <f>IF(A255&gt;0,SUMIF('Барабан'!V:V,A255,'Барабан'!T:T),"")</f>
        <v/>
      </c>
      <c r="D255" s="2" t="str">
        <f>IF(A255&gt;0,SUMIF('Барабан'!K:K,A255,'Барабан'!AG:AG)+SUMIF('Барабан'!V:V,A255,'Барабан'!AG:AG),"")</f>
        <v/>
      </c>
      <c r="E255" s="2" t="str">
        <f t="shared" si="1"/>
        <v/>
      </c>
      <c r="F255" s="2" t="str">
        <f t="array" ref="F255">IFERROR(IF(E255=0,0,INDEX('Справочник'!G:G,MATCH(A255,'Справочник'!F:F,0))))</f>
        <v/>
      </c>
      <c r="G255" s="2" t="str">
        <f>IF(A255&gt;0,SUMIF('Барабан'!K:K,A255,'Барабан'!P:P),"")</f>
        <v/>
      </c>
      <c r="H255" s="2" t="str">
        <f>IF(A255&gt;0,SUMIF('Барабан'!V:V,A255,'Барабан'!AA:AA),"")</f>
        <v/>
      </c>
      <c r="I255" s="2" t="str">
        <f t="shared" si="4"/>
        <v/>
      </c>
      <c r="J255" s="9" t="str">
        <f t="shared" si="2"/>
        <v/>
      </c>
      <c r="K255" s="1" t="str">
        <f>IF(A255&gt;0,COUNTIF('Барабан'!K:K,A255),"")</f>
        <v/>
      </c>
      <c r="L255" s="1" t="str">
        <f>IF(A255&gt;0,COUNTIF('Барабан'!V:V,A255),"")</f>
        <v/>
      </c>
      <c r="M255" s="1" t="str">
        <f t="shared" si="3"/>
        <v/>
      </c>
      <c r="N255" s="1" t="str">
        <f>IFERROR(__xludf.DUMMYFUNCTION("IF(A255&gt;0,MIN(FILTER('Барабан'!AJ:AJ,'Барабан'!K:K=A255)),"""")"),"")</f>
        <v/>
      </c>
      <c r="O255" s="16" t="str">
        <f>IFERROR(__xludf.DUMMYFUNCTION("IF(A255&gt;0,IFERROR(MAX(FILTER('Барабан'!AJ:AJ,'Барабан'!V:V=A255)),""–""),"""")"),"")</f>
        <v/>
      </c>
    </row>
    <row r="256" ht="15.75" customHeight="1">
      <c r="A256" s="1" t="str">
        <f>'Справочник'!E251</f>
        <v/>
      </c>
      <c r="B256" s="2" t="str">
        <f>IF(A256&gt;0,SUMIF('Барабан'!K:K,A256,'Барабан'!I:I),"")</f>
        <v/>
      </c>
      <c r="C256" s="2" t="str">
        <f>IF(A256&gt;0,SUMIF('Барабан'!V:V,A256,'Барабан'!T:T),"")</f>
        <v/>
      </c>
      <c r="D256" s="2" t="str">
        <f>IF(A256&gt;0,SUMIF('Барабан'!K:K,A256,'Барабан'!AG:AG)+SUMIF('Барабан'!V:V,A256,'Барабан'!AG:AG),"")</f>
        <v/>
      </c>
      <c r="E256" s="2" t="str">
        <f t="shared" si="1"/>
        <v/>
      </c>
      <c r="F256" s="2" t="str">
        <f t="array" ref="F256">IFERROR(IF(E256=0,0,INDEX('Справочник'!G:G,MATCH(A256,'Справочник'!F:F,0))))</f>
        <v/>
      </c>
      <c r="G256" s="2" t="str">
        <f>IF(A256&gt;0,SUMIF('Барабан'!K:K,A256,'Барабан'!P:P),"")</f>
        <v/>
      </c>
      <c r="H256" s="2" t="str">
        <f>IF(A256&gt;0,SUMIF('Барабан'!V:V,A256,'Барабан'!AA:AA),"")</f>
        <v/>
      </c>
      <c r="I256" s="2" t="str">
        <f t="shared" si="4"/>
        <v/>
      </c>
      <c r="J256" s="9" t="str">
        <f t="shared" si="2"/>
        <v/>
      </c>
      <c r="K256" s="1" t="str">
        <f>IF(A256&gt;0,COUNTIF('Барабан'!K:K,A256),"")</f>
        <v/>
      </c>
      <c r="L256" s="1" t="str">
        <f>IF(A256&gt;0,COUNTIF('Барабан'!V:V,A256),"")</f>
        <v/>
      </c>
      <c r="M256" s="1" t="str">
        <f t="shared" si="3"/>
        <v/>
      </c>
      <c r="N256" s="1" t="str">
        <f>IFERROR(__xludf.DUMMYFUNCTION("IF(A256&gt;0,MIN(FILTER('Барабан'!AJ:AJ,'Барабан'!K:K=A256)),"""")"),"")</f>
        <v/>
      </c>
      <c r="O256" s="16" t="str">
        <f>IFERROR(__xludf.DUMMYFUNCTION("IF(A256&gt;0,IFERROR(MAX(FILTER('Барабан'!AJ:AJ,'Барабан'!V:V=A256)),""–""),"""")"),"")</f>
        <v/>
      </c>
    </row>
    <row r="257" ht="15.75" customHeight="1">
      <c r="A257" s="1" t="str">
        <f>'Справочник'!E252</f>
        <v/>
      </c>
      <c r="B257" s="2" t="str">
        <f>IF(A257&gt;0,SUMIF('Барабан'!K:K,A257,'Барабан'!I:I),"")</f>
        <v/>
      </c>
      <c r="C257" s="2" t="str">
        <f>IF(A257&gt;0,SUMIF('Барабан'!V:V,A257,'Барабан'!T:T),"")</f>
        <v/>
      </c>
      <c r="D257" s="2" t="str">
        <f>IF(A257&gt;0,SUMIF('Барабан'!K:K,A257,'Барабан'!AG:AG)+SUMIF('Барабан'!V:V,A257,'Барабан'!AG:AG),"")</f>
        <v/>
      </c>
      <c r="E257" s="2" t="str">
        <f t="shared" si="1"/>
        <v/>
      </c>
      <c r="F257" s="2" t="str">
        <f t="array" ref="F257">IFERROR(IF(E257=0,0,INDEX('Справочник'!G:G,MATCH(A257,'Справочник'!F:F,0))))</f>
        <v/>
      </c>
      <c r="G257" s="2" t="str">
        <f>IF(A257&gt;0,SUMIF('Барабан'!K:K,A257,'Барабан'!P:P),"")</f>
        <v/>
      </c>
      <c r="H257" s="2" t="str">
        <f>IF(A257&gt;0,SUMIF('Барабан'!V:V,A257,'Барабан'!AA:AA),"")</f>
        <v/>
      </c>
      <c r="I257" s="2" t="str">
        <f t="shared" si="4"/>
        <v/>
      </c>
      <c r="J257" s="9" t="str">
        <f t="shared" si="2"/>
        <v/>
      </c>
      <c r="K257" s="1" t="str">
        <f>IF(A257&gt;0,COUNTIF('Барабан'!K:K,A257),"")</f>
        <v/>
      </c>
      <c r="L257" s="1" t="str">
        <f>IF(A257&gt;0,COUNTIF('Барабан'!V:V,A257),"")</f>
        <v/>
      </c>
      <c r="M257" s="1" t="str">
        <f t="shared" si="3"/>
        <v/>
      </c>
      <c r="N257" s="1" t="str">
        <f>IFERROR(__xludf.DUMMYFUNCTION("IF(A257&gt;0,MIN(FILTER('Барабан'!AJ:AJ,'Барабан'!K:K=A257)),"""")"),"")</f>
        <v/>
      </c>
      <c r="O257" s="16" t="str">
        <f>IFERROR(__xludf.DUMMYFUNCTION("IF(A257&gt;0,IFERROR(MAX(FILTER('Барабан'!AJ:AJ,'Барабан'!V:V=A257)),""–""),"""")"),"")</f>
        <v/>
      </c>
    </row>
    <row r="258" ht="15.75" customHeight="1">
      <c r="A258" s="1" t="str">
        <f>'Справочник'!E253</f>
        <v/>
      </c>
      <c r="B258" s="2" t="str">
        <f>IF(A258&gt;0,SUMIF('Барабан'!K:K,A258,'Барабан'!I:I),"")</f>
        <v/>
      </c>
      <c r="C258" s="2" t="str">
        <f>IF(A258&gt;0,SUMIF('Барабан'!V:V,A258,'Барабан'!T:T),"")</f>
        <v/>
      </c>
      <c r="D258" s="2" t="str">
        <f>IF(A258&gt;0,SUMIF('Барабан'!K:K,A258,'Барабан'!AG:AG)+SUMIF('Барабан'!V:V,A258,'Барабан'!AG:AG),"")</f>
        <v/>
      </c>
      <c r="E258" s="2" t="str">
        <f t="shared" si="1"/>
        <v/>
      </c>
      <c r="F258" s="2" t="str">
        <f t="array" ref="F258">IFERROR(IF(E258=0,0,INDEX('Справочник'!G:G,MATCH(A258,'Справочник'!F:F,0))))</f>
        <v/>
      </c>
      <c r="G258" s="2" t="str">
        <f>IF(A258&gt;0,SUMIF('Барабан'!K:K,A258,'Барабан'!P:P),"")</f>
        <v/>
      </c>
      <c r="H258" s="2" t="str">
        <f>IF(A258&gt;0,SUMIF('Барабан'!V:V,A258,'Барабан'!AA:AA),"")</f>
        <v/>
      </c>
      <c r="I258" s="2" t="str">
        <f t="shared" si="4"/>
        <v/>
      </c>
      <c r="J258" s="9" t="str">
        <f t="shared" si="2"/>
        <v/>
      </c>
      <c r="K258" s="1" t="str">
        <f>IF(A258&gt;0,COUNTIF('Барабан'!K:K,A258),"")</f>
        <v/>
      </c>
      <c r="L258" s="1" t="str">
        <f>IF(A258&gt;0,COUNTIF('Барабан'!V:V,A258),"")</f>
        <v/>
      </c>
      <c r="M258" s="1" t="str">
        <f t="shared" si="3"/>
        <v/>
      </c>
      <c r="N258" s="1" t="str">
        <f>IFERROR(__xludf.DUMMYFUNCTION("IF(A258&gt;0,MIN(FILTER('Барабан'!AJ:AJ,'Барабан'!K:K=A258)),"""")"),"")</f>
        <v/>
      </c>
      <c r="O258" s="16" t="str">
        <f>IFERROR(__xludf.DUMMYFUNCTION("IF(A258&gt;0,IFERROR(MAX(FILTER('Барабан'!AJ:AJ,'Барабан'!V:V=A258)),""–""),"""")"),"")</f>
        <v/>
      </c>
    </row>
    <row r="259" ht="15.75" customHeight="1">
      <c r="A259" s="1" t="str">
        <f>'Справочник'!E254</f>
        <v/>
      </c>
      <c r="B259" s="2" t="str">
        <f>IF(A259&gt;0,SUMIF('Барабан'!K:K,A259,'Барабан'!I:I),"")</f>
        <v/>
      </c>
      <c r="C259" s="2" t="str">
        <f>IF(A259&gt;0,SUMIF('Барабан'!V:V,A259,'Барабан'!T:T),"")</f>
        <v/>
      </c>
      <c r="D259" s="2" t="str">
        <f>IF(A259&gt;0,SUMIF('Барабан'!K:K,A259,'Барабан'!AG:AG)+SUMIF('Барабан'!V:V,A259,'Барабан'!AG:AG),"")</f>
        <v/>
      </c>
      <c r="E259" s="2" t="str">
        <f t="shared" si="1"/>
        <v/>
      </c>
      <c r="F259" s="2" t="str">
        <f t="array" ref="F259">IFERROR(IF(E259=0,0,INDEX('Справочник'!G:G,MATCH(A259,'Справочник'!F:F,0))))</f>
        <v/>
      </c>
      <c r="G259" s="2" t="str">
        <f>IF(A259&gt;0,SUMIF('Барабан'!K:K,A259,'Барабан'!P:P),"")</f>
        <v/>
      </c>
      <c r="H259" s="2" t="str">
        <f>IF(A259&gt;0,SUMIF('Барабан'!V:V,A259,'Барабан'!AA:AA),"")</f>
        <v/>
      </c>
      <c r="I259" s="2" t="str">
        <f t="shared" si="4"/>
        <v/>
      </c>
      <c r="J259" s="9" t="str">
        <f t="shared" si="2"/>
        <v/>
      </c>
      <c r="K259" s="1" t="str">
        <f>IF(A259&gt;0,COUNTIF('Барабан'!K:K,A259),"")</f>
        <v/>
      </c>
      <c r="L259" s="1" t="str">
        <f>IF(A259&gt;0,COUNTIF('Барабан'!V:V,A259),"")</f>
        <v/>
      </c>
      <c r="M259" s="1" t="str">
        <f t="shared" si="3"/>
        <v/>
      </c>
      <c r="N259" s="1" t="str">
        <f>IFERROR(__xludf.DUMMYFUNCTION("IF(A259&gt;0,MIN(FILTER('Барабан'!AJ:AJ,'Барабан'!K:K=A259)),"""")"),"")</f>
        <v/>
      </c>
      <c r="O259" s="16" t="str">
        <f>IFERROR(__xludf.DUMMYFUNCTION("IF(A259&gt;0,IFERROR(MAX(FILTER('Барабан'!AJ:AJ,'Барабан'!V:V=A259)),""–""),"""")"),"")</f>
        <v/>
      </c>
    </row>
    <row r="260" ht="15.75" customHeight="1">
      <c r="A260" s="1" t="str">
        <f>'Справочник'!E255</f>
        <v/>
      </c>
      <c r="B260" s="2" t="str">
        <f>IF(A260&gt;0,SUMIF('Барабан'!K:K,A260,'Барабан'!I:I),"")</f>
        <v/>
      </c>
      <c r="C260" s="2" t="str">
        <f>IF(A260&gt;0,SUMIF('Барабан'!V:V,A260,'Барабан'!T:T),"")</f>
        <v/>
      </c>
      <c r="D260" s="2" t="str">
        <f>IF(A260&gt;0,SUMIF('Барабан'!K:K,A260,'Барабан'!AG:AG)+SUMIF('Барабан'!V:V,A260,'Барабан'!AG:AG),"")</f>
        <v/>
      </c>
      <c r="E260" s="2" t="str">
        <f t="shared" si="1"/>
        <v/>
      </c>
      <c r="F260" s="2" t="str">
        <f t="array" ref="F260">IFERROR(IF(E260=0,0,INDEX('Справочник'!G:G,MATCH(A260,'Справочник'!F:F,0))))</f>
        <v/>
      </c>
      <c r="G260" s="2" t="str">
        <f>IF(A260&gt;0,SUMIF('Барабан'!K:K,A260,'Барабан'!P:P),"")</f>
        <v/>
      </c>
      <c r="H260" s="2" t="str">
        <f>IF(A260&gt;0,SUMIF('Барабан'!V:V,A260,'Барабан'!AA:AA),"")</f>
        <v/>
      </c>
      <c r="I260" s="2" t="str">
        <f t="shared" si="4"/>
        <v/>
      </c>
      <c r="J260" s="9" t="str">
        <f t="shared" si="2"/>
        <v/>
      </c>
      <c r="K260" s="1" t="str">
        <f>IF(A260&gt;0,COUNTIF('Барабан'!K:K,A260),"")</f>
        <v/>
      </c>
      <c r="L260" s="1" t="str">
        <f>IF(A260&gt;0,COUNTIF('Барабан'!V:V,A260),"")</f>
        <v/>
      </c>
      <c r="M260" s="1" t="str">
        <f t="shared" si="3"/>
        <v/>
      </c>
      <c r="N260" s="1" t="str">
        <f>IFERROR(__xludf.DUMMYFUNCTION("IF(A260&gt;0,MIN(FILTER('Барабан'!AJ:AJ,'Барабан'!K:K=A260)),"""")"),"")</f>
        <v/>
      </c>
      <c r="O260" s="16" t="str">
        <f>IFERROR(__xludf.DUMMYFUNCTION("IF(A260&gt;0,IFERROR(MAX(FILTER('Барабан'!AJ:AJ,'Барабан'!V:V=A260)),""–""),"""")"),"")</f>
        <v/>
      </c>
    </row>
    <row r="261" ht="15.75" customHeight="1">
      <c r="A261" s="1" t="str">
        <f>'Справочник'!E256</f>
        <v/>
      </c>
      <c r="B261" s="2" t="str">
        <f>IF(A261&gt;0,SUMIF('Барабан'!K:K,A261,'Барабан'!I:I),"")</f>
        <v/>
      </c>
      <c r="C261" s="2" t="str">
        <f>IF(A261&gt;0,SUMIF('Барабан'!V:V,A261,'Барабан'!T:T),"")</f>
        <v/>
      </c>
      <c r="D261" s="2" t="str">
        <f>IF(A261&gt;0,SUMIF('Барабан'!K:K,A261,'Барабан'!AG:AG)+SUMIF('Барабан'!V:V,A261,'Барабан'!AG:AG),"")</f>
        <v/>
      </c>
      <c r="E261" s="2" t="str">
        <f t="shared" si="1"/>
        <v/>
      </c>
      <c r="F261" s="2" t="str">
        <f t="array" ref="F261">IFERROR(IF(E261=0,0,INDEX('Справочник'!G:G,MATCH(A261,'Справочник'!F:F,0))))</f>
        <v/>
      </c>
      <c r="G261" s="2" t="str">
        <f>IF(A261&gt;0,SUMIF('Барабан'!K:K,A261,'Барабан'!P:P),"")</f>
        <v/>
      </c>
      <c r="H261" s="2" t="str">
        <f>IF(A261&gt;0,SUMIF('Барабан'!V:V,A261,'Барабан'!AA:AA),"")</f>
        <v/>
      </c>
      <c r="I261" s="2" t="str">
        <f t="shared" si="4"/>
        <v/>
      </c>
      <c r="J261" s="9" t="str">
        <f t="shared" si="2"/>
        <v/>
      </c>
      <c r="K261" s="1" t="str">
        <f>IF(A261&gt;0,COUNTIF('Барабан'!K:K,A261),"")</f>
        <v/>
      </c>
      <c r="L261" s="1" t="str">
        <f>IF(A261&gt;0,COUNTIF('Барабан'!V:V,A261),"")</f>
        <v/>
      </c>
      <c r="M261" s="1" t="str">
        <f t="shared" si="3"/>
        <v/>
      </c>
      <c r="N261" s="1" t="str">
        <f>IFERROR(__xludf.DUMMYFUNCTION("IF(A261&gt;0,MIN(FILTER('Барабан'!AJ:AJ,'Барабан'!K:K=A261)),"""")"),"")</f>
        <v/>
      </c>
      <c r="O261" s="16" t="str">
        <f>IFERROR(__xludf.DUMMYFUNCTION("IF(A261&gt;0,IFERROR(MAX(FILTER('Барабан'!AJ:AJ,'Барабан'!V:V=A261)),""–""),"""")"),"")</f>
        <v/>
      </c>
    </row>
    <row r="262" ht="15.75" customHeight="1">
      <c r="A262" s="1" t="str">
        <f>'Справочник'!E257</f>
        <v/>
      </c>
      <c r="B262" s="2" t="str">
        <f>IF(A262&gt;0,SUMIF('Барабан'!K:K,A262,'Барабан'!I:I),"")</f>
        <v/>
      </c>
      <c r="C262" s="2" t="str">
        <f>IF(A262&gt;0,SUMIF('Барабан'!V:V,A262,'Барабан'!T:T),"")</f>
        <v/>
      </c>
      <c r="D262" s="2" t="str">
        <f>IF(A262&gt;0,SUMIF('Барабан'!K:K,A262,'Барабан'!AG:AG)+SUMIF('Барабан'!V:V,A262,'Барабан'!AG:AG),"")</f>
        <v/>
      </c>
      <c r="E262" s="2" t="str">
        <f t="shared" si="1"/>
        <v/>
      </c>
      <c r="F262" s="2" t="str">
        <f t="array" ref="F262">IFERROR(IF(E262=0,0,INDEX('Справочник'!G:G,MATCH(A262,'Справочник'!F:F,0))))</f>
        <v/>
      </c>
      <c r="G262" s="2" t="str">
        <f>IF(A262&gt;0,SUMIF('Барабан'!K:K,A262,'Барабан'!P:P),"")</f>
        <v/>
      </c>
      <c r="H262" s="2" t="str">
        <f>IF(A262&gt;0,SUMIF('Барабан'!V:V,A262,'Барабан'!AA:AA),"")</f>
        <v/>
      </c>
      <c r="I262" s="2" t="str">
        <f t="shared" si="4"/>
        <v/>
      </c>
      <c r="J262" s="9" t="str">
        <f t="shared" si="2"/>
        <v/>
      </c>
      <c r="K262" s="1" t="str">
        <f>IF(A262&gt;0,COUNTIF('Барабан'!K:K,A262),"")</f>
        <v/>
      </c>
      <c r="L262" s="1" t="str">
        <f>IF(A262&gt;0,COUNTIF('Барабан'!V:V,A262),"")</f>
        <v/>
      </c>
      <c r="M262" s="1" t="str">
        <f t="shared" si="3"/>
        <v/>
      </c>
      <c r="N262" s="1" t="str">
        <f>IFERROR(__xludf.DUMMYFUNCTION("IF(A262&gt;0,MIN(FILTER('Барабан'!AJ:AJ,'Барабан'!K:K=A262)),"""")"),"")</f>
        <v/>
      </c>
      <c r="O262" s="16" t="str">
        <f>IFERROR(__xludf.DUMMYFUNCTION("IF(A262&gt;0,IFERROR(MAX(FILTER('Барабан'!AJ:AJ,'Барабан'!V:V=A262)),""–""),"""")"),"")</f>
        <v/>
      </c>
    </row>
    <row r="263" ht="15.75" customHeight="1">
      <c r="A263" s="1" t="str">
        <f>'Справочник'!E258</f>
        <v/>
      </c>
      <c r="B263" s="2" t="str">
        <f>IF(A263&gt;0,SUMIF('Барабан'!K:K,A263,'Барабан'!I:I),"")</f>
        <v/>
      </c>
      <c r="C263" s="2" t="str">
        <f>IF(A263&gt;0,SUMIF('Барабан'!V:V,A263,'Барабан'!T:T),"")</f>
        <v/>
      </c>
      <c r="D263" s="2" t="str">
        <f>IF(A263&gt;0,SUMIF('Барабан'!K:K,A263,'Барабан'!AG:AG)+SUMIF('Барабан'!V:V,A263,'Барабан'!AG:AG),"")</f>
        <v/>
      </c>
      <c r="E263" s="2" t="str">
        <f t="shared" si="1"/>
        <v/>
      </c>
      <c r="F263" s="2" t="str">
        <f t="array" ref="F263">IFERROR(IF(E263=0,0,INDEX('Справочник'!G:G,MATCH(A263,'Справочник'!F:F,0))))</f>
        <v/>
      </c>
      <c r="G263" s="2" t="str">
        <f>IF(A263&gt;0,SUMIF('Барабан'!K:K,A263,'Барабан'!P:P),"")</f>
        <v/>
      </c>
      <c r="H263" s="2" t="str">
        <f>IF(A263&gt;0,SUMIF('Барабан'!V:V,A263,'Барабан'!AA:AA),"")</f>
        <v/>
      </c>
      <c r="I263" s="2" t="str">
        <f t="shared" si="4"/>
        <v/>
      </c>
      <c r="J263" s="9" t="str">
        <f t="shared" si="2"/>
        <v/>
      </c>
      <c r="K263" s="1" t="str">
        <f>IF(A263&gt;0,COUNTIF('Барабан'!K:K,A263),"")</f>
        <v/>
      </c>
      <c r="L263" s="1" t="str">
        <f>IF(A263&gt;0,COUNTIF('Барабан'!V:V,A263),"")</f>
        <v/>
      </c>
      <c r="M263" s="1" t="str">
        <f t="shared" si="3"/>
        <v/>
      </c>
      <c r="N263" s="1" t="str">
        <f>IFERROR(__xludf.DUMMYFUNCTION("IF(A263&gt;0,MIN(FILTER('Барабан'!AJ:AJ,'Барабан'!K:K=A263)),"""")"),"")</f>
        <v/>
      </c>
      <c r="O263" s="16" t="str">
        <f>IFERROR(__xludf.DUMMYFUNCTION("IF(A263&gt;0,IFERROR(MAX(FILTER('Барабан'!AJ:AJ,'Барабан'!V:V=A263)),""–""),"""")"),"")</f>
        <v/>
      </c>
    </row>
    <row r="264" ht="15.75" customHeight="1">
      <c r="A264" s="1" t="str">
        <f>'Справочник'!E259</f>
        <v/>
      </c>
      <c r="B264" s="2" t="str">
        <f>IF(A264&gt;0,SUMIF('Барабан'!K:K,A264,'Барабан'!I:I),"")</f>
        <v/>
      </c>
      <c r="C264" s="2" t="str">
        <f>IF(A264&gt;0,SUMIF('Барабан'!V:V,A264,'Барабан'!T:T),"")</f>
        <v/>
      </c>
      <c r="D264" s="2" t="str">
        <f>IF(A264&gt;0,SUMIF('Барабан'!K:K,A264,'Барабан'!AG:AG)+SUMIF('Барабан'!V:V,A264,'Барабан'!AG:AG),"")</f>
        <v/>
      </c>
      <c r="E264" s="2" t="str">
        <f t="shared" si="1"/>
        <v/>
      </c>
      <c r="F264" s="2" t="str">
        <f t="array" ref="F264">IFERROR(IF(E264=0,0,INDEX('Справочник'!G:G,MATCH(A264,'Справочник'!F:F,0))))</f>
        <v/>
      </c>
      <c r="G264" s="2" t="str">
        <f>IF(A264&gt;0,SUMIF('Барабан'!K:K,A264,'Барабан'!P:P),"")</f>
        <v/>
      </c>
      <c r="H264" s="2" t="str">
        <f>IF(A264&gt;0,SUMIF('Барабан'!V:V,A264,'Барабан'!AA:AA),"")</f>
        <v/>
      </c>
      <c r="I264" s="2" t="str">
        <f t="shared" si="4"/>
        <v/>
      </c>
      <c r="J264" s="9" t="str">
        <f t="shared" si="2"/>
        <v/>
      </c>
      <c r="K264" s="1" t="str">
        <f>IF(A264&gt;0,COUNTIF('Барабан'!K:K,A264),"")</f>
        <v/>
      </c>
      <c r="L264" s="1" t="str">
        <f>IF(A264&gt;0,COUNTIF('Барабан'!V:V,A264),"")</f>
        <v/>
      </c>
      <c r="M264" s="1" t="str">
        <f t="shared" si="3"/>
        <v/>
      </c>
      <c r="N264" s="1" t="str">
        <f>IFERROR(__xludf.DUMMYFUNCTION("IF(A264&gt;0,MIN(FILTER('Барабан'!AJ:AJ,'Барабан'!K:K=A264)),"""")"),"")</f>
        <v/>
      </c>
      <c r="O264" s="16" t="str">
        <f>IFERROR(__xludf.DUMMYFUNCTION("IF(A264&gt;0,IFERROR(MAX(FILTER('Барабан'!AJ:AJ,'Барабан'!V:V=A264)),""–""),"""")"),"")</f>
        <v/>
      </c>
    </row>
    <row r="265" ht="15.75" customHeight="1">
      <c r="A265" s="1" t="str">
        <f>'Справочник'!E260</f>
        <v/>
      </c>
      <c r="B265" s="2" t="str">
        <f>IF(A265&gt;0,SUMIF('Барабан'!K:K,A265,'Барабан'!I:I),"")</f>
        <v/>
      </c>
      <c r="C265" s="2" t="str">
        <f>IF(A265&gt;0,SUMIF('Барабан'!V:V,A265,'Барабан'!T:T),"")</f>
        <v/>
      </c>
      <c r="D265" s="2" t="str">
        <f>IF(A265&gt;0,SUMIF('Барабан'!K:K,A265,'Барабан'!AG:AG)+SUMIF('Барабан'!V:V,A265,'Барабан'!AG:AG),"")</f>
        <v/>
      </c>
      <c r="E265" s="2" t="str">
        <f t="shared" si="1"/>
        <v/>
      </c>
      <c r="F265" s="2" t="str">
        <f t="array" ref="F265">IFERROR(IF(E265=0,0,INDEX('Справочник'!G:G,MATCH(A265,'Справочник'!F:F,0))))</f>
        <v/>
      </c>
      <c r="G265" s="2" t="str">
        <f>IF(A265&gt;0,SUMIF('Барабан'!K:K,A265,'Барабан'!P:P),"")</f>
        <v/>
      </c>
      <c r="H265" s="2" t="str">
        <f>IF(A265&gt;0,SUMIF('Барабан'!V:V,A265,'Барабан'!AA:AA),"")</f>
        <v/>
      </c>
      <c r="I265" s="2" t="str">
        <f t="shared" si="4"/>
        <v/>
      </c>
      <c r="J265" s="9" t="str">
        <f t="shared" si="2"/>
        <v/>
      </c>
      <c r="K265" s="1" t="str">
        <f>IF(A265&gt;0,COUNTIF('Барабан'!K:K,A265),"")</f>
        <v/>
      </c>
      <c r="L265" s="1" t="str">
        <f>IF(A265&gt;0,COUNTIF('Барабан'!V:V,A265),"")</f>
        <v/>
      </c>
      <c r="M265" s="1" t="str">
        <f t="shared" si="3"/>
        <v/>
      </c>
      <c r="N265" s="1" t="str">
        <f>IFERROR(__xludf.DUMMYFUNCTION("IF(A265&gt;0,MIN(FILTER('Барабан'!AJ:AJ,'Барабан'!K:K=A265)),"""")"),"")</f>
        <v/>
      </c>
      <c r="O265" s="16" t="str">
        <f>IFERROR(__xludf.DUMMYFUNCTION("IF(A265&gt;0,IFERROR(MAX(FILTER('Барабан'!AJ:AJ,'Барабан'!V:V=A265)),""–""),"""")"),"")</f>
        <v/>
      </c>
    </row>
    <row r="266" ht="15.75" customHeight="1">
      <c r="A266" s="1" t="str">
        <f>'Справочник'!E261</f>
        <v/>
      </c>
      <c r="B266" s="2" t="str">
        <f>IF(A266&gt;0,SUMIF('Барабан'!K:K,A266,'Барабан'!I:I),"")</f>
        <v/>
      </c>
      <c r="C266" s="2" t="str">
        <f>IF(A266&gt;0,SUMIF('Барабан'!V:V,A266,'Барабан'!T:T),"")</f>
        <v/>
      </c>
      <c r="D266" s="2" t="str">
        <f>IF(A266&gt;0,SUMIF('Барабан'!K:K,A266,'Барабан'!AG:AG)+SUMIF('Барабан'!V:V,A266,'Барабан'!AG:AG),"")</f>
        <v/>
      </c>
      <c r="E266" s="2" t="str">
        <f t="shared" si="1"/>
        <v/>
      </c>
      <c r="F266" s="2" t="str">
        <f t="array" ref="F266">IFERROR(IF(E266=0,0,INDEX('Справочник'!G:G,MATCH(A266,'Справочник'!F:F,0))))</f>
        <v/>
      </c>
      <c r="G266" s="2" t="str">
        <f>IF(A266&gt;0,SUMIF('Барабан'!K:K,A266,'Барабан'!P:P),"")</f>
        <v/>
      </c>
      <c r="H266" s="2" t="str">
        <f>IF(A266&gt;0,SUMIF('Барабан'!V:V,A266,'Барабан'!AA:AA),"")</f>
        <v/>
      </c>
      <c r="I266" s="2" t="str">
        <f t="shared" si="4"/>
        <v/>
      </c>
      <c r="J266" s="9" t="str">
        <f t="shared" si="2"/>
        <v/>
      </c>
      <c r="K266" s="1" t="str">
        <f>IF(A266&gt;0,COUNTIF('Барабан'!K:K,A266),"")</f>
        <v/>
      </c>
      <c r="L266" s="1" t="str">
        <f>IF(A266&gt;0,COUNTIF('Барабан'!V:V,A266),"")</f>
        <v/>
      </c>
      <c r="M266" s="1" t="str">
        <f t="shared" si="3"/>
        <v/>
      </c>
      <c r="N266" s="1" t="str">
        <f>IFERROR(__xludf.DUMMYFUNCTION("IF(A266&gt;0,MIN(FILTER('Барабан'!AJ:AJ,'Барабан'!K:K=A266)),"""")"),"")</f>
        <v/>
      </c>
      <c r="O266" s="16" t="str">
        <f>IFERROR(__xludf.DUMMYFUNCTION("IF(A266&gt;0,IFERROR(MAX(FILTER('Барабан'!AJ:AJ,'Барабан'!V:V=A266)),""–""),"""")"),"")</f>
        <v/>
      </c>
    </row>
    <row r="267" ht="15.75" customHeight="1">
      <c r="A267" s="1" t="str">
        <f>'Справочник'!E262</f>
        <v/>
      </c>
      <c r="B267" s="2" t="str">
        <f>IF(A267&gt;0,SUMIF('Барабан'!K:K,A267,'Барабан'!I:I),"")</f>
        <v/>
      </c>
      <c r="C267" s="2" t="str">
        <f>IF(A267&gt;0,SUMIF('Барабан'!V:V,A267,'Барабан'!T:T),"")</f>
        <v/>
      </c>
      <c r="D267" s="2" t="str">
        <f>IF(A267&gt;0,SUMIF('Барабан'!K:K,A267,'Барабан'!AG:AG)+SUMIF('Барабан'!V:V,A267,'Барабан'!AG:AG),"")</f>
        <v/>
      </c>
      <c r="E267" s="2" t="str">
        <f t="shared" si="1"/>
        <v/>
      </c>
      <c r="F267" s="2" t="str">
        <f t="array" ref="F267">IFERROR(IF(E267=0,0,INDEX('Справочник'!G:G,MATCH(A267,'Справочник'!F:F,0))))</f>
        <v/>
      </c>
      <c r="G267" s="2" t="str">
        <f>IF(A267&gt;0,SUMIF('Барабан'!K:K,A267,'Барабан'!P:P),"")</f>
        <v/>
      </c>
      <c r="H267" s="2" t="str">
        <f>IF(A267&gt;0,SUMIF('Барабан'!V:V,A267,'Барабан'!AA:AA),"")</f>
        <v/>
      </c>
      <c r="I267" s="2" t="str">
        <f t="shared" si="4"/>
        <v/>
      </c>
      <c r="J267" s="9" t="str">
        <f t="shared" si="2"/>
        <v/>
      </c>
      <c r="K267" s="1" t="str">
        <f>IF(A267&gt;0,COUNTIF('Барабан'!K:K,A267),"")</f>
        <v/>
      </c>
      <c r="L267" s="1" t="str">
        <f>IF(A267&gt;0,COUNTIF('Барабан'!V:V,A267),"")</f>
        <v/>
      </c>
      <c r="M267" s="1" t="str">
        <f t="shared" si="3"/>
        <v/>
      </c>
      <c r="N267" s="1" t="str">
        <f>IFERROR(__xludf.DUMMYFUNCTION("IF(A267&gt;0,MIN(FILTER('Барабан'!AJ:AJ,'Барабан'!K:K=A267)),"""")"),"")</f>
        <v/>
      </c>
      <c r="O267" s="16" t="str">
        <f>IFERROR(__xludf.DUMMYFUNCTION("IF(A267&gt;0,IFERROR(MAX(FILTER('Барабан'!AJ:AJ,'Барабан'!V:V=A267)),""–""),"""")"),"")</f>
        <v/>
      </c>
    </row>
    <row r="268" ht="15.75" customHeight="1">
      <c r="A268" s="1" t="str">
        <f>'Справочник'!E263</f>
        <v/>
      </c>
      <c r="B268" s="2" t="str">
        <f>IF(A268&gt;0,SUMIF('Барабан'!K:K,A268,'Барабан'!I:I),"")</f>
        <v/>
      </c>
      <c r="C268" s="2" t="str">
        <f>IF(A268&gt;0,SUMIF('Барабан'!V:V,A268,'Барабан'!T:T),"")</f>
        <v/>
      </c>
      <c r="D268" s="2" t="str">
        <f>IF(A268&gt;0,SUMIF('Барабан'!K:K,A268,'Барабан'!AG:AG)+SUMIF('Барабан'!V:V,A268,'Барабан'!AG:AG),"")</f>
        <v/>
      </c>
      <c r="E268" s="2" t="str">
        <f t="shared" si="1"/>
        <v/>
      </c>
      <c r="F268" s="2" t="str">
        <f t="array" ref="F268">IFERROR(IF(E268=0,0,INDEX('Справочник'!G:G,MATCH(A268,'Справочник'!F:F,0))))</f>
        <v/>
      </c>
      <c r="G268" s="2" t="str">
        <f>IF(A268&gt;0,SUMIF('Барабан'!K:K,A268,'Барабан'!P:P),"")</f>
        <v/>
      </c>
      <c r="H268" s="2" t="str">
        <f>IF(A268&gt;0,SUMIF('Барабан'!V:V,A268,'Барабан'!AA:AA),"")</f>
        <v/>
      </c>
      <c r="I268" s="2" t="str">
        <f t="shared" si="4"/>
        <v/>
      </c>
      <c r="J268" s="9" t="str">
        <f t="shared" si="2"/>
        <v/>
      </c>
      <c r="K268" s="1" t="str">
        <f>IF(A268&gt;0,COUNTIF('Барабан'!K:K,A268),"")</f>
        <v/>
      </c>
      <c r="L268" s="1" t="str">
        <f>IF(A268&gt;0,COUNTIF('Барабан'!V:V,A268),"")</f>
        <v/>
      </c>
      <c r="M268" s="1" t="str">
        <f t="shared" si="3"/>
        <v/>
      </c>
      <c r="N268" s="1" t="str">
        <f>IFERROR(__xludf.DUMMYFUNCTION("IF(A268&gt;0,MIN(FILTER('Барабан'!AJ:AJ,'Барабан'!K:K=A268)),"""")"),"")</f>
        <v/>
      </c>
      <c r="O268" s="16" t="str">
        <f>IFERROR(__xludf.DUMMYFUNCTION("IF(A268&gt;0,IFERROR(MAX(FILTER('Барабан'!AJ:AJ,'Барабан'!V:V=A268)),""–""),"""")"),"")</f>
        <v/>
      </c>
    </row>
    <row r="269" ht="15.75" customHeight="1">
      <c r="A269" s="1" t="str">
        <f>'Справочник'!E264</f>
        <v/>
      </c>
      <c r="B269" s="2" t="str">
        <f>IF(A269&gt;0,SUMIF('Барабан'!K:K,A269,'Барабан'!I:I),"")</f>
        <v/>
      </c>
      <c r="C269" s="2" t="str">
        <f>IF(A269&gt;0,SUMIF('Барабан'!V:V,A269,'Барабан'!T:T),"")</f>
        <v/>
      </c>
      <c r="D269" s="2" t="str">
        <f>IF(A269&gt;0,SUMIF('Барабан'!K:K,A269,'Барабан'!AG:AG)+SUMIF('Барабан'!V:V,A269,'Барабан'!AG:AG),"")</f>
        <v/>
      </c>
      <c r="E269" s="2" t="str">
        <f t="shared" si="1"/>
        <v/>
      </c>
      <c r="F269" s="2" t="str">
        <f t="array" ref="F269">IFERROR(IF(E269=0,0,INDEX('Справочник'!G:G,MATCH(A269,'Справочник'!F:F,0))))</f>
        <v/>
      </c>
      <c r="G269" s="2" t="str">
        <f>IF(A269&gt;0,SUMIF('Барабан'!K:K,A269,'Барабан'!P:P),"")</f>
        <v/>
      </c>
      <c r="H269" s="2" t="str">
        <f>IF(A269&gt;0,SUMIF('Барабан'!V:V,A269,'Барабан'!AA:AA),"")</f>
        <v/>
      </c>
      <c r="I269" s="2" t="str">
        <f t="shared" si="4"/>
        <v/>
      </c>
      <c r="J269" s="9" t="str">
        <f t="shared" si="2"/>
        <v/>
      </c>
      <c r="K269" s="1" t="str">
        <f>IF(A269&gt;0,COUNTIF('Барабан'!K:K,A269),"")</f>
        <v/>
      </c>
      <c r="L269" s="1" t="str">
        <f>IF(A269&gt;0,COUNTIF('Барабан'!V:V,A269),"")</f>
        <v/>
      </c>
      <c r="M269" s="1" t="str">
        <f t="shared" si="3"/>
        <v/>
      </c>
      <c r="N269" s="1" t="str">
        <f>IFERROR(__xludf.DUMMYFUNCTION("IF(A269&gt;0,MIN(FILTER('Барабан'!AJ:AJ,'Барабан'!K:K=A269)),"""")"),"")</f>
        <v/>
      </c>
      <c r="O269" s="16" t="str">
        <f>IFERROR(__xludf.DUMMYFUNCTION("IF(A269&gt;0,IFERROR(MAX(FILTER('Барабан'!AJ:AJ,'Барабан'!V:V=A269)),""–""),"""")"),"")</f>
        <v/>
      </c>
    </row>
    <row r="270" ht="15.75" customHeight="1">
      <c r="A270" s="1" t="str">
        <f>'Справочник'!E265</f>
        <v/>
      </c>
      <c r="B270" s="2" t="str">
        <f>IF(A270&gt;0,SUMIF('Барабан'!K:K,A270,'Барабан'!I:I),"")</f>
        <v/>
      </c>
      <c r="C270" s="2" t="str">
        <f>IF(A270&gt;0,SUMIF('Барабан'!V:V,A270,'Барабан'!T:T),"")</f>
        <v/>
      </c>
      <c r="D270" s="2" t="str">
        <f>IF(A270&gt;0,SUMIF('Барабан'!K:K,A270,'Барабан'!AG:AG)+SUMIF('Барабан'!V:V,A270,'Барабан'!AG:AG),"")</f>
        <v/>
      </c>
      <c r="E270" s="2" t="str">
        <f t="shared" si="1"/>
        <v/>
      </c>
      <c r="F270" s="2" t="str">
        <f t="array" ref="F270">IFERROR(IF(E270=0,0,INDEX('Справочник'!G:G,MATCH(A270,'Справочник'!F:F,0))))</f>
        <v/>
      </c>
      <c r="G270" s="2" t="str">
        <f>IF(A270&gt;0,SUMIF('Барабан'!K:K,A270,'Барабан'!P:P),"")</f>
        <v/>
      </c>
      <c r="H270" s="2" t="str">
        <f>IF(A270&gt;0,SUMIF('Барабан'!V:V,A270,'Барабан'!AA:AA),"")</f>
        <v/>
      </c>
      <c r="I270" s="2" t="str">
        <f t="shared" si="4"/>
        <v/>
      </c>
      <c r="J270" s="9" t="str">
        <f t="shared" si="2"/>
        <v/>
      </c>
      <c r="K270" s="1" t="str">
        <f>IF(A270&gt;0,COUNTIF('Барабан'!K:K,A270),"")</f>
        <v/>
      </c>
      <c r="L270" s="1" t="str">
        <f>IF(A270&gt;0,COUNTIF('Барабан'!V:V,A270),"")</f>
        <v/>
      </c>
      <c r="M270" s="1" t="str">
        <f t="shared" si="3"/>
        <v/>
      </c>
      <c r="N270" s="1" t="str">
        <f>IFERROR(__xludf.DUMMYFUNCTION("IF(A270&gt;0,MIN(FILTER('Барабан'!AJ:AJ,'Барабан'!K:K=A270)),"""")"),"")</f>
        <v/>
      </c>
      <c r="O270" s="16" t="str">
        <f>IFERROR(__xludf.DUMMYFUNCTION("IF(A270&gt;0,IFERROR(MAX(FILTER('Барабан'!AJ:AJ,'Барабан'!V:V=A270)),""–""),"""")"),"")</f>
        <v/>
      </c>
    </row>
    <row r="271" ht="15.75" customHeight="1">
      <c r="A271" s="1" t="str">
        <f>'Справочник'!E266</f>
        <v/>
      </c>
      <c r="B271" s="2" t="str">
        <f>IF(A271&gt;0,SUMIF('Барабан'!K:K,A271,'Барабан'!I:I),"")</f>
        <v/>
      </c>
      <c r="C271" s="2" t="str">
        <f>IF(A271&gt;0,SUMIF('Барабан'!V:V,A271,'Барабан'!T:T),"")</f>
        <v/>
      </c>
      <c r="D271" s="2" t="str">
        <f>IF(A271&gt;0,SUMIF('Барабан'!K:K,A271,'Барабан'!AG:AG)+SUMIF('Барабан'!V:V,A271,'Барабан'!AG:AG),"")</f>
        <v/>
      </c>
      <c r="E271" s="2" t="str">
        <f t="shared" si="1"/>
        <v/>
      </c>
      <c r="F271" s="2" t="str">
        <f t="array" ref="F271">IFERROR(IF(E271=0,0,INDEX('Справочник'!G:G,MATCH(A271,'Справочник'!F:F,0))))</f>
        <v/>
      </c>
      <c r="G271" s="2" t="str">
        <f>IF(A271&gt;0,SUMIF('Барабан'!K:K,A271,'Барабан'!P:P),"")</f>
        <v/>
      </c>
      <c r="H271" s="2" t="str">
        <f>IF(A271&gt;0,SUMIF('Барабан'!V:V,A271,'Барабан'!AA:AA),"")</f>
        <v/>
      </c>
      <c r="I271" s="2" t="str">
        <f t="shared" si="4"/>
        <v/>
      </c>
      <c r="J271" s="9" t="str">
        <f t="shared" si="2"/>
        <v/>
      </c>
      <c r="K271" s="1" t="str">
        <f>IF(A271&gt;0,COUNTIF('Барабан'!K:K,A271),"")</f>
        <v/>
      </c>
      <c r="L271" s="1" t="str">
        <f>IF(A271&gt;0,COUNTIF('Барабан'!V:V,A271),"")</f>
        <v/>
      </c>
      <c r="M271" s="1" t="str">
        <f t="shared" si="3"/>
        <v/>
      </c>
      <c r="N271" s="1" t="str">
        <f>IFERROR(__xludf.DUMMYFUNCTION("IF(A271&gt;0,MIN(FILTER('Барабан'!AJ:AJ,'Барабан'!K:K=A271)),"""")"),"")</f>
        <v/>
      </c>
      <c r="O271" s="16" t="str">
        <f>IFERROR(__xludf.DUMMYFUNCTION("IF(A271&gt;0,IFERROR(MAX(FILTER('Барабан'!AJ:AJ,'Барабан'!V:V=A271)),""–""),"""")"),"")</f>
        <v/>
      </c>
    </row>
    <row r="272" ht="15.75" customHeight="1">
      <c r="A272" s="1" t="str">
        <f>'Справочник'!E267</f>
        <v/>
      </c>
      <c r="B272" s="2" t="str">
        <f>IF(A272&gt;0,SUMIF('Барабан'!K:K,A272,'Барабан'!I:I),"")</f>
        <v/>
      </c>
      <c r="C272" s="2" t="str">
        <f>IF(A272&gt;0,SUMIF('Барабан'!V:V,A272,'Барабан'!T:T),"")</f>
        <v/>
      </c>
      <c r="D272" s="2" t="str">
        <f>IF(A272&gt;0,SUMIF('Барабан'!K:K,A272,'Барабан'!AG:AG)+SUMIF('Барабан'!V:V,A272,'Барабан'!AG:AG),"")</f>
        <v/>
      </c>
      <c r="E272" s="2" t="str">
        <f t="shared" si="1"/>
        <v/>
      </c>
      <c r="F272" s="2" t="str">
        <f t="array" ref="F272">IFERROR(IF(E272=0,0,INDEX('Справочник'!G:G,MATCH(A272,'Справочник'!F:F,0))))</f>
        <v/>
      </c>
      <c r="G272" s="2" t="str">
        <f>IF(A272&gt;0,SUMIF('Барабан'!K:K,A272,'Барабан'!P:P),"")</f>
        <v/>
      </c>
      <c r="H272" s="2" t="str">
        <f>IF(A272&gt;0,SUMIF('Барабан'!V:V,A272,'Барабан'!AA:AA),"")</f>
        <v/>
      </c>
      <c r="I272" s="2" t="str">
        <f t="shared" si="4"/>
        <v/>
      </c>
      <c r="J272" s="9" t="str">
        <f t="shared" si="2"/>
        <v/>
      </c>
      <c r="K272" s="1" t="str">
        <f>IF(A272&gt;0,COUNTIF('Барабан'!K:K,A272),"")</f>
        <v/>
      </c>
      <c r="L272" s="1" t="str">
        <f>IF(A272&gt;0,COUNTIF('Барабан'!V:V,A272),"")</f>
        <v/>
      </c>
      <c r="M272" s="1" t="str">
        <f t="shared" si="3"/>
        <v/>
      </c>
      <c r="N272" s="1" t="str">
        <f>IFERROR(__xludf.DUMMYFUNCTION("IF(A272&gt;0,MIN(FILTER('Барабан'!AJ:AJ,'Барабан'!K:K=A272)),"""")"),"")</f>
        <v/>
      </c>
      <c r="O272" s="16" t="str">
        <f>IFERROR(__xludf.DUMMYFUNCTION("IF(A272&gt;0,IFERROR(MAX(FILTER('Барабан'!AJ:AJ,'Барабан'!V:V=A272)),""–""),"""")"),"")</f>
        <v/>
      </c>
    </row>
    <row r="273" ht="15.75" customHeight="1">
      <c r="A273" s="1" t="str">
        <f>'Справочник'!E268</f>
        <v/>
      </c>
      <c r="B273" s="2" t="str">
        <f>IF(A273&gt;0,SUMIF('Барабан'!K:K,A273,'Барабан'!I:I),"")</f>
        <v/>
      </c>
      <c r="C273" s="2" t="str">
        <f>IF(A273&gt;0,SUMIF('Барабан'!V:V,A273,'Барабан'!T:T),"")</f>
        <v/>
      </c>
      <c r="D273" s="2" t="str">
        <f>IF(A273&gt;0,SUMIF('Барабан'!K:K,A273,'Барабан'!AG:AG)+SUMIF('Барабан'!V:V,A273,'Барабан'!AG:AG),"")</f>
        <v/>
      </c>
      <c r="E273" s="2" t="str">
        <f t="shared" si="1"/>
        <v/>
      </c>
      <c r="F273" s="2" t="str">
        <f t="array" ref="F273">IFERROR(IF(E273=0,0,INDEX('Справочник'!G:G,MATCH(A273,'Справочник'!F:F,0))))</f>
        <v/>
      </c>
      <c r="G273" s="2" t="str">
        <f>IF(A273&gt;0,SUMIF('Барабан'!K:K,A273,'Барабан'!P:P),"")</f>
        <v/>
      </c>
      <c r="H273" s="2" t="str">
        <f>IF(A273&gt;0,SUMIF('Барабан'!V:V,A273,'Барабан'!AA:AA),"")</f>
        <v/>
      </c>
      <c r="I273" s="2" t="str">
        <f t="shared" si="4"/>
        <v/>
      </c>
      <c r="J273" s="9" t="str">
        <f t="shared" si="2"/>
        <v/>
      </c>
      <c r="K273" s="1" t="str">
        <f>IF(A273&gt;0,COUNTIF('Барабан'!K:K,A273),"")</f>
        <v/>
      </c>
      <c r="L273" s="1" t="str">
        <f>IF(A273&gt;0,COUNTIF('Барабан'!V:V,A273),"")</f>
        <v/>
      </c>
      <c r="M273" s="1" t="str">
        <f t="shared" si="3"/>
        <v/>
      </c>
      <c r="N273" s="1" t="str">
        <f>IFERROR(__xludf.DUMMYFUNCTION("IF(A273&gt;0,MIN(FILTER('Барабан'!AJ:AJ,'Барабан'!K:K=A273)),"""")"),"")</f>
        <v/>
      </c>
      <c r="O273" s="16" t="str">
        <f>IFERROR(__xludf.DUMMYFUNCTION("IF(A273&gt;0,IFERROR(MAX(FILTER('Барабан'!AJ:AJ,'Барабан'!V:V=A273)),""–""),"""")"),"")</f>
        <v/>
      </c>
    </row>
    <row r="274" ht="15.75" customHeight="1">
      <c r="A274" s="1" t="str">
        <f>'Справочник'!E269</f>
        <v/>
      </c>
      <c r="B274" s="2" t="str">
        <f>IF(A274&gt;0,SUMIF('Барабан'!K:K,A274,'Барабан'!I:I),"")</f>
        <v/>
      </c>
      <c r="C274" s="2" t="str">
        <f>IF(A274&gt;0,SUMIF('Барабан'!V:V,A274,'Барабан'!T:T),"")</f>
        <v/>
      </c>
      <c r="D274" s="2" t="str">
        <f>IF(A274&gt;0,SUMIF('Барабан'!K:K,A274,'Барабан'!AG:AG)+SUMIF('Барабан'!V:V,A274,'Барабан'!AG:AG),"")</f>
        <v/>
      </c>
      <c r="E274" s="2" t="str">
        <f t="shared" si="1"/>
        <v/>
      </c>
      <c r="F274" s="2" t="str">
        <f t="array" ref="F274">IFERROR(IF(E274=0,0,INDEX('Справочник'!G:G,MATCH(A274,'Справочник'!F:F,0))))</f>
        <v/>
      </c>
      <c r="G274" s="2" t="str">
        <f>IF(A274&gt;0,SUMIF('Барабан'!K:K,A274,'Барабан'!P:P),"")</f>
        <v/>
      </c>
      <c r="H274" s="2" t="str">
        <f>IF(A274&gt;0,SUMIF('Барабан'!V:V,A274,'Барабан'!AA:AA),"")</f>
        <v/>
      </c>
      <c r="I274" s="2" t="str">
        <f t="shared" si="4"/>
        <v/>
      </c>
      <c r="J274" s="9" t="str">
        <f t="shared" si="2"/>
        <v/>
      </c>
      <c r="K274" s="1" t="str">
        <f>IF(A274&gt;0,COUNTIF('Барабан'!K:K,A274),"")</f>
        <v/>
      </c>
      <c r="L274" s="1" t="str">
        <f>IF(A274&gt;0,COUNTIF('Барабан'!V:V,A274),"")</f>
        <v/>
      </c>
      <c r="M274" s="1" t="str">
        <f t="shared" si="3"/>
        <v/>
      </c>
      <c r="N274" s="1" t="str">
        <f>IFERROR(__xludf.DUMMYFUNCTION("IF(A274&gt;0,MIN(FILTER('Барабан'!AJ:AJ,'Барабан'!K:K=A274)),"""")"),"")</f>
        <v/>
      </c>
      <c r="O274" s="16" t="str">
        <f>IFERROR(__xludf.DUMMYFUNCTION("IF(A274&gt;0,IFERROR(MAX(FILTER('Барабан'!AJ:AJ,'Барабан'!V:V=A274)),""–""),"""")"),"")</f>
        <v/>
      </c>
    </row>
    <row r="275" ht="15.75" customHeight="1">
      <c r="A275" s="1" t="str">
        <f>'Справочник'!E270</f>
        <v/>
      </c>
      <c r="B275" s="2" t="str">
        <f>IF(A275&gt;0,SUMIF('Барабан'!K:K,A275,'Барабан'!I:I),"")</f>
        <v/>
      </c>
      <c r="C275" s="2" t="str">
        <f>IF(A275&gt;0,SUMIF('Барабан'!V:V,A275,'Барабан'!T:T),"")</f>
        <v/>
      </c>
      <c r="D275" s="2" t="str">
        <f>IF(A275&gt;0,SUMIF('Барабан'!K:K,A275,'Барабан'!AG:AG)+SUMIF('Барабан'!V:V,A275,'Барабан'!AG:AG),"")</f>
        <v/>
      </c>
      <c r="E275" s="2" t="str">
        <f t="shared" si="1"/>
        <v/>
      </c>
      <c r="F275" s="2" t="str">
        <f t="array" ref="F275">IFERROR(IF(E275=0,0,INDEX('Справочник'!G:G,MATCH(A275,'Справочник'!F:F,0))))</f>
        <v/>
      </c>
      <c r="G275" s="2" t="str">
        <f>IF(A275&gt;0,SUMIF('Барабан'!K:K,A275,'Барабан'!P:P),"")</f>
        <v/>
      </c>
      <c r="H275" s="2" t="str">
        <f>IF(A275&gt;0,SUMIF('Барабан'!V:V,A275,'Барабан'!AA:AA),"")</f>
        <v/>
      </c>
      <c r="I275" s="2" t="str">
        <f t="shared" si="4"/>
        <v/>
      </c>
      <c r="J275" s="9" t="str">
        <f t="shared" si="2"/>
        <v/>
      </c>
      <c r="K275" s="1" t="str">
        <f>IF(A275&gt;0,COUNTIF('Барабан'!K:K,A275),"")</f>
        <v/>
      </c>
      <c r="L275" s="1" t="str">
        <f>IF(A275&gt;0,COUNTIF('Барабан'!V:V,A275),"")</f>
        <v/>
      </c>
      <c r="M275" s="1" t="str">
        <f t="shared" si="3"/>
        <v/>
      </c>
      <c r="N275" s="1" t="str">
        <f>IFERROR(__xludf.DUMMYFUNCTION("IF(A275&gt;0,MIN(FILTER('Барабан'!AJ:AJ,'Барабан'!K:K=A275)),"""")"),"")</f>
        <v/>
      </c>
      <c r="O275" s="16" t="str">
        <f>IFERROR(__xludf.DUMMYFUNCTION("IF(A275&gt;0,IFERROR(MAX(FILTER('Барабан'!AJ:AJ,'Барабан'!V:V=A275)),""–""),"""")"),"")</f>
        <v/>
      </c>
    </row>
    <row r="276" ht="15.75" customHeight="1">
      <c r="A276" s="1" t="str">
        <f>'Справочник'!E271</f>
        <v/>
      </c>
      <c r="B276" s="2" t="str">
        <f>IF(A276&gt;0,SUMIF('Барабан'!K:K,A276,'Барабан'!I:I),"")</f>
        <v/>
      </c>
      <c r="C276" s="2" t="str">
        <f>IF(A276&gt;0,SUMIF('Барабан'!V:V,A276,'Барабан'!T:T),"")</f>
        <v/>
      </c>
      <c r="D276" s="2" t="str">
        <f>IF(A276&gt;0,SUMIF('Барабан'!K:K,A276,'Барабан'!AG:AG)+SUMIF('Барабан'!V:V,A276,'Барабан'!AG:AG),"")</f>
        <v/>
      </c>
      <c r="E276" s="2" t="str">
        <f t="shared" si="1"/>
        <v/>
      </c>
      <c r="F276" s="2" t="str">
        <f t="array" ref="F276">IFERROR(IF(E276=0,0,INDEX('Справочник'!G:G,MATCH(A276,'Справочник'!F:F,0))))</f>
        <v/>
      </c>
      <c r="G276" s="2" t="str">
        <f>IF(A276&gt;0,SUMIF('Барабан'!K:K,A276,'Барабан'!P:P),"")</f>
        <v/>
      </c>
      <c r="H276" s="2" t="str">
        <f>IF(A276&gt;0,SUMIF('Барабан'!V:V,A276,'Барабан'!AA:AA),"")</f>
        <v/>
      </c>
      <c r="I276" s="2" t="str">
        <f t="shared" si="4"/>
        <v/>
      </c>
      <c r="J276" s="9" t="str">
        <f t="shared" si="2"/>
        <v/>
      </c>
      <c r="K276" s="1" t="str">
        <f>IF(A276&gt;0,COUNTIF('Барабан'!K:K,A276),"")</f>
        <v/>
      </c>
      <c r="L276" s="1" t="str">
        <f>IF(A276&gt;0,COUNTIF('Барабан'!V:V,A276),"")</f>
        <v/>
      </c>
      <c r="M276" s="1" t="str">
        <f t="shared" si="3"/>
        <v/>
      </c>
      <c r="N276" s="1" t="str">
        <f>IFERROR(__xludf.DUMMYFUNCTION("IF(A276&gt;0,MIN(FILTER('Барабан'!AJ:AJ,'Барабан'!K:K=A276)),"""")"),"")</f>
        <v/>
      </c>
      <c r="O276" s="16" t="str">
        <f>IFERROR(__xludf.DUMMYFUNCTION("IF(A276&gt;0,IFERROR(MAX(FILTER('Барабан'!AJ:AJ,'Барабан'!V:V=A276)),""–""),"""")"),"")</f>
        <v/>
      </c>
    </row>
    <row r="277" ht="15.75" customHeight="1">
      <c r="A277" s="1" t="str">
        <f>'Справочник'!E272</f>
        <v/>
      </c>
      <c r="B277" s="2" t="str">
        <f>IF(A277&gt;0,SUMIF('Барабан'!K:K,A277,'Барабан'!I:I),"")</f>
        <v/>
      </c>
      <c r="C277" s="2" t="str">
        <f>IF(A277&gt;0,SUMIF('Барабан'!V:V,A277,'Барабан'!T:T),"")</f>
        <v/>
      </c>
      <c r="D277" s="2" t="str">
        <f>IF(A277&gt;0,SUMIF('Барабан'!K:K,A277,'Барабан'!AG:AG)+SUMIF('Барабан'!V:V,A277,'Барабан'!AG:AG),"")</f>
        <v/>
      </c>
      <c r="E277" s="2" t="str">
        <f t="shared" si="1"/>
        <v/>
      </c>
      <c r="F277" s="2" t="str">
        <f t="array" ref="F277">IFERROR(IF(E277=0,0,INDEX('Справочник'!G:G,MATCH(A277,'Справочник'!F:F,0))))</f>
        <v/>
      </c>
      <c r="G277" s="2" t="str">
        <f>IF(A277&gt;0,SUMIF('Барабан'!K:K,A277,'Барабан'!P:P),"")</f>
        <v/>
      </c>
      <c r="H277" s="2" t="str">
        <f>IF(A277&gt;0,SUMIF('Барабан'!V:V,A277,'Барабан'!AA:AA),"")</f>
        <v/>
      </c>
      <c r="I277" s="2" t="str">
        <f t="shared" si="4"/>
        <v/>
      </c>
      <c r="J277" s="9" t="str">
        <f t="shared" si="2"/>
        <v/>
      </c>
      <c r="K277" s="1" t="str">
        <f>IF(A277&gt;0,COUNTIF('Барабан'!K:K,A277),"")</f>
        <v/>
      </c>
      <c r="L277" s="1" t="str">
        <f>IF(A277&gt;0,COUNTIF('Барабан'!V:V,A277),"")</f>
        <v/>
      </c>
      <c r="M277" s="1" t="str">
        <f t="shared" si="3"/>
        <v/>
      </c>
      <c r="N277" s="1" t="str">
        <f>IFERROR(__xludf.DUMMYFUNCTION("IF(A277&gt;0,MIN(FILTER('Барабан'!AJ:AJ,'Барабан'!K:K=A277)),"""")"),"")</f>
        <v/>
      </c>
      <c r="O277" s="16" t="str">
        <f>IFERROR(__xludf.DUMMYFUNCTION("IF(A277&gt;0,IFERROR(MAX(FILTER('Барабан'!AJ:AJ,'Барабан'!V:V=A277)),""–""),"""")"),"")</f>
        <v/>
      </c>
    </row>
    <row r="278" ht="15.75" customHeight="1">
      <c r="A278" s="1" t="str">
        <f>'Справочник'!E273</f>
        <v/>
      </c>
      <c r="B278" s="2" t="str">
        <f>IF(A278&gt;0,SUMIF('Барабан'!K:K,A278,'Барабан'!I:I),"")</f>
        <v/>
      </c>
      <c r="C278" s="2" t="str">
        <f>IF(A278&gt;0,SUMIF('Барабан'!V:V,A278,'Барабан'!T:T),"")</f>
        <v/>
      </c>
      <c r="D278" s="2" t="str">
        <f>IF(A278&gt;0,SUMIF('Барабан'!K:K,A278,'Барабан'!AG:AG)+SUMIF('Барабан'!V:V,A278,'Барабан'!AG:AG),"")</f>
        <v/>
      </c>
      <c r="E278" s="2" t="str">
        <f t="shared" si="1"/>
        <v/>
      </c>
      <c r="F278" s="2" t="str">
        <f t="array" ref="F278">IFERROR(IF(E278=0,0,INDEX('Справочник'!G:G,MATCH(A278,'Справочник'!F:F,0))))</f>
        <v/>
      </c>
      <c r="G278" s="2" t="str">
        <f>IF(A278&gt;0,SUMIF('Барабан'!K:K,A278,'Барабан'!P:P),"")</f>
        <v/>
      </c>
      <c r="H278" s="2" t="str">
        <f>IF(A278&gt;0,SUMIF('Барабан'!V:V,A278,'Барабан'!AA:AA),"")</f>
        <v/>
      </c>
      <c r="I278" s="2" t="str">
        <f t="shared" si="4"/>
        <v/>
      </c>
      <c r="J278" s="9" t="str">
        <f t="shared" si="2"/>
        <v/>
      </c>
      <c r="K278" s="1" t="str">
        <f>IF(A278&gt;0,COUNTIF('Барабан'!K:K,A278),"")</f>
        <v/>
      </c>
      <c r="L278" s="1" t="str">
        <f>IF(A278&gt;0,COUNTIF('Барабан'!V:V,A278),"")</f>
        <v/>
      </c>
      <c r="M278" s="1" t="str">
        <f t="shared" si="3"/>
        <v/>
      </c>
      <c r="N278" s="1" t="str">
        <f>IFERROR(__xludf.DUMMYFUNCTION("IF(A278&gt;0,MIN(FILTER('Барабан'!AJ:AJ,'Барабан'!K:K=A278)),"""")"),"")</f>
        <v/>
      </c>
      <c r="O278" s="16" t="str">
        <f>IFERROR(__xludf.DUMMYFUNCTION("IF(A278&gt;0,IFERROR(MAX(FILTER('Барабан'!AJ:AJ,'Барабан'!V:V=A278)),""–""),"""")"),"")</f>
        <v/>
      </c>
    </row>
    <row r="279" ht="15.75" customHeight="1">
      <c r="A279" s="1" t="str">
        <f>'Справочник'!E274</f>
        <v/>
      </c>
      <c r="B279" s="2" t="str">
        <f>IF(A279&gt;0,SUMIF('Барабан'!K:K,A279,'Барабан'!I:I),"")</f>
        <v/>
      </c>
      <c r="C279" s="2" t="str">
        <f>IF(A279&gt;0,SUMIF('Барабан'!V:V,A279,'Барабан'!T:T),"")</f>
        <v/>
      </c>
      <c r="D279" s="2" t="str">
        <f>IF(A279&gt;0,SUMIF('Барабан'!K:K,A279,'Барабан'!AG:AG)+SUMIF('Барабан'!V:V,A279,'Барабан'!AG:AG),"")</f>
        <v/>
      </c>
      <c r="E279" s="2" t="str">
        <f t="shared" si="1"/>
        <v/>
      </c>
      <c r="F279" s="2" t="str">
        <f t="array" ref="F279">IFERROR(IF(E279=0,0,INDEX('Справочник'!G:G,MATCH(A279,'Справочник'!F:F,0))))</f>
        <v/>
      </c>
      <c r="G279" s="2" t="str">
        <f>IF(A279&gt;0,SUMIF('Барабан'!K:K,A279,'Барабан'!P:P),"")</f>
        <v/>
      </c>
      <c r="H279" s="2" t="str">
        <f>IF(A279&gt;0,SUMIF('Барабан'!V:V,A279,'Барабан'!AA:AA),"")</f>
        <v/>
      </c>
      <c r="I279" s="2" t="str">
        <f t="shared" si="4"/>
        <v/>
      </c>
      <c r="J279" s="9" t="str">
        <f t="shared" si="2"/>
        <v/>
      </c>
      <c r="K279" s="1" t="str">
        <f>IF(A279&gt;0,COUNTIF('Барабан'!K:K,A279),"")</f>
        <v/>
      </c>
      <c r="L279" s="1" t="str">
        <f>IF(A279&gt;0,COUNTIF('Барабан'!V:V,A279),"")</f>
        <v/>
      </c>
      <c r="M279" s="1" t="str">
        <f t="shared" si="3"/>
        <v/>
      </c>
      <c r="N279" s="1" t="str">
        <f>IFERROR(__xludf.DUMMYFUNCTION("IF(A279&gt;0,MIN(FILTER('Барабан'!AJ:AJ,'Барабан'!K:K=A279)),"""")"),"")</f>
        <v/>
      </c>
      <c r="O279" s="16" t="str">
        <f>IFERROR(__xludf.DUMMYFUNCTION("IF(A279&gt;0,IFERROR(MAX(FILTER('Барабан'!AJ:AJ,'Барабан'!V:V=A279)),""–""),"""")"),"")</f>
        <v/>
      </c>
    </row>
    <row r="280" ht="15.75" customHeight="1">
      <c r="A280" s="1" t="str">
        <f>'Справочник'!E275</f>
        <v/>
      </c>
      <c r="B280" s="2" t="str">
        <f>IF(A280&gt;0,SUMIF('Барабан'!K:K,A280,'Барабан'!I:I),"")</f>
        <v/>
      </c>
      <c r="C280" s="2" t="str">
        <f>IF(A280&gt;0,SUMIF('Барабан'!V:V,A280,'Барабан'!T:T),"")</f>
        <v/>
      </c>
      <c r="D280" s="2" t="str">
        <f>IF(A280&gt;0,SUMIF('Барабан'!K:K,A280,'Барабан'!AG:AG)+SUMIF('Барабан'!V:V,A280,'Барабан'!AG:AG),"")</f>
        <v/>
      </c>
      <c r="E280" s="2" t="str">
        <f t="shared" si="1"/>
        <v/>
      </c>
      <c r="F280" s="2" t="str">
        <f t="array" ref="F280">IFERROR(IF(E280=0,0,INDEX('Справочник'!G:G,MATCH(A280,'Справочник'!F:F,0))))</f>
        <v/>
      </c>
      <c r="G280" s="2" t="str">
        <f>IF(A280&gt;0,SUMIF('Барабан'!K:K,A280,'Барабан'!P:P),"")</f>
        <v/>
      </c>
      <c r="H280" s="2" t="str">
        <f>IF(A280&gt;0,SUMIF('Барабан'!V:V,A280,'Барабан'!AA:AA),"")</f>
        <v/>
      </c>
      <c r="I280" s="2" t="str">
        <f t="shared" si="4"/>
        <v/>
      </c>
      <c r="J280" s="9" t="str">
        <f t="shared" si="2"/>
        <v/>
      </c>
      <c r="K280" s="1" t="str">
        <f>IF(A280&gt;0,COUNTIF('Барабан'!K:K,A280),"")</f>
        <v/>
      </c>
      <c r="L280" s="1" t="str">
        <f>IF(A280&gt;0,COUNTIF('Барабан'!V:V,A280),"")</f>
        <v/>
      </c>
      <c r="M280" s="1" t="str">
        <f t="shared" si="3"/>
        <v/>
      </c>
      <c r="N280" s="1" t="str">
        <f>IFERROR(__xludf.DUMMYFUNCTION("IF(A280&gt;0,MIN(FILTER('Барабан'!AJ:AJ,'Барабан'!K:K=A280)),"""")"),"")</f>
        <v/>
      </c>
      <c r="O280" s="16" t="str">
        <f>IFERROR(__xludf.DUMMYFUNCTION("IF(A280&gt;0,IFERROR(MAX(FILTER('Барабан'!AJ:AJ,'Барабан'!V:V=A280)),""–""),"""")"),"")</f>
        <v/>
      </c>
    </row>
    <row r="281" ht="15.75" customHeight="1">
      <c r="A281" s="1" t="str">
        <f>'Справочник'!E276</f>
        <v/>
      </c>
      <c r="B281" s="2" t="str">
        <f>IF(A281&gt;0,SUMIF('Барабан'!K:K,A281,'Барабан'!I:I),"")</f>
        <v/>
      </c>
      <c r="C281" s="2" t="str">
        <f>IF(A281&gt;0,SUMIF('Барабан'!V:V,A281,'Барабан'!T:T),"")</f>
        <v/>
      </c>
      <c r="D281" s="2" t="str">
        <f>IF(A281&gt;0,SUMIF('Барабан'!K:K,A281,'Барабан'!AG:AG)+SUMIF('Барабан'!V:V,A281,'Барабан'!AG:AG),"")</f>
        <v/>
      </c>
      <c r="E281" s="2" t="str">
        <f t="shared" si="1"/>
        <v/>
      </c>
      <c r="F281" s="2" t="str">
        <f t="array" ref="F281">IFERROR(IF(E281=0,0,INDEX('Справочник'!G:G,MATCH(A281,'Справочник'!F:F,0))))</f>
        <v/>
      </c>
      <c r="G281" s="2" t="str">
        <f>IF(A281&gt;0,SUMIF('Барабан'!K:K,A281,'Барабан'!P:P),"")</f>
        <v/>
      </c>
      <c r="H281" s="2" t="str">
        <f>IF(A281&gt;0,SUMIF('Барабан'!V:V,A281,'Барабан'!AA:AA),"")</f>
        <v/>
      </c>
      <c r="I281" s="2" t="str">
        <f t="shared" si="4"/>
        <v/>
      </c>
      <c r="J281" s="9" t="str">
        <f t="shared" si="2"/>
        <v/>
      </c>
      <c r="K281" s="1" t="str">
        <f>IF(A281&gt;0,COUNTIF('Барабан'!K:K,A281),"")</f>
        <v/>
      </c>
      <c r="L281" s="1" t="str">
        <f>IF(A281&gt;0,COUNTIF('Барабан'!V:V,A281),"")</f>
        <v/>
      </c>
      <c r="M281" s="1" t="str">
        <f t="shared" si="3"/>
        <v/>
      </c>
      <c r="N281" s="1" t="str">
        <f>IFERROR(__xludf.DUMMYFUNCTION("IF(A281&gt;0,MIN(FILTER('Барабан'!AJ:AJ,'Барабан'!K:K=A281)),"""")"),"")</f>
        <v/>
      </c>
      <c r="O281" s="16" t="str">
        <f>IFERROR(__xludf.DUMMYFUNCTION("IF(A281&gt;0,IFERROR(MAX(FILTER('Барабан'!AJ:AJ,'Барабан'!V:V=A281)),""–""),"""")"),"")</f>
        <v/>
      </c>
    </row>
    <row r="282" ht="15.75" customHeight="1">
      <c r="A282" s="1" t="str">
        <f>'Справочник'!E277</f>
        <v/>
      </c>
      <c r="B282" s="2" t="str">
        <f>IF(A282&gt;0,SUMIF('Барабан'!K:K,A282,'Барабан'!I:I),"")</f>
        <v/>
      </c>
      <c r="C282" s="2" t="str">
        <f>IF(A282&gt;0,SUMIF('Барабан'!V:V,A282,'Барабан'!T:T),"")</f>
        <v/>
      </c>
      <c r="D282" s="2" t="str">
        <f>IF(A282&gt;0,SUMIF('Барабан'!K:K,A282,'Барабан'!AG:AG)+SUMIF('Барабан'!V:V,A282,'Барабан'!AG:AG),"")</f>
        <v/>
      </c>
      <c r="E282" s="2" t="str">
        <f t="shared" si="1"/>
        <v/>
      </c>
      <c r="F282" s="2" t="str">
        <f t="array" ref="F282">IFERROR(IF(E282=0,0,INDEX('Справочник'!G:G,MATCH(A282,'Справочник'!F:F,0))))</f>
        <v/>
      </c>
      <c r="G282" s="2" t="str">
        <f>IF(A282&gt;0,SUMIF('Барабан'!K:K,A282,'Барабан'!P:P),"")</f>
        <v/>
      </c>
      <c r="H282" s="2" t="str">
        <f>IF(A282&gt;0,SUMIF('Барабан'!V:V,A282,'Барабан'!AA:AA),"")</f>
        <v/>
      </c>
      <c r="I282" s="2" t="str">
        <f t="shared" si="4"/>
        <v/>
      </c>
      <c r="J282" s="9" t="str">
        <f t="shared" si="2"/>
        <v/>
      </c>
      <c r="K282" s="1" t="str">
        <f>IF(A282&gt;0,COUNTIF('Барабан'!K:K,A282),"")</f>
        <v/>
      </c>
      <c r="L282" s="1" t="str">
        <f>IF(A282&gt;0,COUNTIF('Барабан'!V:V,A282),"")</f>
        <v/>
      </c>
      <c r="M282" s="1" t="str">
        <f t="shared" si="3"/>
        <v/>
      </c>
      <c r="N282" s="1" t="str">
        <f>IFERROR(__xludf.DUMMYFUNCTION("IF(A282&gt;0,MIN(FILTER('Барабан'!AJ:AJ,'Барабан'!K:K=A282)),"""")"),"")</f>
        <v/>
      </c>
      <c r="O282" s="16" t="str">
        <f>IFERROR(__xludf.DUMMYFUNCTION("IF(A282&gt;0,IFERROR(MAX(FILTER('Барабан'!AJ:AJ,'Барабан'!V:V=A282)),""–""),"""")"),"")</f>
        <v/>
      </c>
    </row>
    <row r="283" ht="15.75" customHeight="1">
      <c r="A283" s="1" t="str">
        <f>'Справочник'!E278</f>
        <v/>
      </c>
      <c r="B283" s="2" t="str">
        <f>IF(A283&gt;0,SUMIF('Барабан'!K:K,A283,'Барабан'!I:I),"")</f>
        <v/>
      </c>
      <c r="C283" s="2" t="str">
        <f>IF(A283&gt;0,SUMIF('Барабан'!V:V,A283,'Барабан'!T:T),"")</f>
        <v/>
      </c>
      <c r="D283" s="2" t="str">
        <f>IF(A283&gt;0,SUMIF('Барабан'!K:K,A283,'Барабан'!AG:AG)+SUMIF('Барабан'!V:V,A283,'Барабан'!AG:AG),"")</f>
        <v/>
      </c>
      <c r="E283" s="2" t="str">
        <f t="shared" si="1"/>
        <v/>
      </c>
      <c r="F283" s="2" t="str">
        <f t="array" ref="F283">IFERROR(IF(E283=0,0,INDEX('Справочник'!G:G,MATCH(A283,'Справочник'!F:F,0))))</f>
        <v/>
      </c>
      <c r="G283" s="2" t="str">
        <f>IF(A283&gt;0,SUMIF('Барабан'!K:K,A283,'Барабан'!P:P),"")</f>
        <v/>
      </c>
      <c r="H283" s="2" t="str">
        <f>IF(A283&gt;0,SUMIF('Барабан'!V:V,A283,'Барабан'!AA:AA),"")</f>
        <v/>
      </c>
      <c r="I283" s="2" t="str">
        <f t="shared" si="4"/>
        <v/>
      </c>
      <c r="J283" s="9" t="str">
        <f t="shared" si="2"/>
        <v/>
      </c>
      <c r="K283" s="1" t="str">
        <f>IF(A283&gt;0,COUNTIF('Барабан'!K:K,A283),"")</f>
        <v/>
      </c>
      <c r="L283" s="1" t="str">
        <f>IF(A283&gt;0,COUNTIF('Барабан'!V:V,A283),"")</f>
        <v/>
      </c>
      <c r="M283" s="1" t="str">
        <f t="shared" si="3"/>
        <v/>
      </c>
      <c r="N283" s="1" t="str">
        <f>IFERROR(__xludf.DUMMYFUNCTION("IF(A283&gt;0,MIN(FILTER('Барабан'!AJ:AJ,'Барабан'!K:K=A283)),"""")"),"")</f>
        <v/>
      </c>
      <c r="O283" s="16" t="str">
        <f>IFERROR(__xludf.DUMMYFUNCTION("IF(A283&gt;0,IFERROR(MAX(FILTER('Барабан'!AJ:AJ,'Барабан'!V:V=A283)),""–""),"""")"),"")</f>
        <v/>
      </c>
    </row>
    <row r="284" ht="15.75" customHeight="1">
      <c r="A284" s="1" t="str">
        <f>'Справочник'!E279</f>
        <v/>
      </c>
      <c r="B284" s="2" t="str">
        <f>IF(A284&gt;0,SUMIF('Барабан'!K:K,A284,'Барабан'!I:I),"")</f>
        <v/>
      </c>
      <c r="C284" s="2" t="str">
        <f>IF(A284&gt;0,SUMIF('Барабан'!V:V,A284,'Барабан'!T:T),"")</f>
        <v/>
      </c>
      <c r="D284" s="2" t="str">
        <f>IF(A284&gt;0,SUMIF('Барабан'!K:K,A284,'Барабан'!AG:AG)+SUMIF('Барабан'!V:V,A284,'Барабан'!AG:AG),"")</f>
        <v/>
      </c>
      <c r="E284" s="2" t="str">
        <f t="shared" si="1"/>
        <v/>
      </c>
      <c r="F284" s="2" t="str">
        <f t="array" ref="F284">IFERROR(IF(E284=0,0,INDEX('Справочник'!G:G,MATCH(A284,'Справочник'!F:F,0))))</f>
        <v/>
      </c>
      <c r="G284" s="2" t="str">
        <f>IF(A284&gt;0,SUMIF('Барабан'!K:K,A284,'Барабан'!P:P),"")</f>
        <v/>
      </c>
      <c r="H284" s="2" t="str">
        <f>IF(A284&gt;0,SUMIF('Барабан'!V:V,A284,'Барабан'!AA:AA),"")</f>
        <v/>
      </c>
      <c r="I284" s="2" t="str">
        <f t="shared" si="4"/>
        <v/>
      </c>
      <c r="J284" s="9" t="str">
        <f t="shared" si="2"/>
        <v/>
      </c>
      <c r="K284" s="1" t="str">
        <f>IF(A284&gt;0,COUNTIF('Барабан'!K:K,A284),"")</f>
        <v/>
      </c>
      <c r="L284" s="1" t="str">
        <f>IF(A284&gt;0,COUNTIF('Барабан'!V:V,A284),"")</f>
        <v/>
      </c>
      <c r="M284" s="1" t="str">
        <f t="shared" si="3"/>
        <v/>
      </c>
      <c r="N284" s="1" t="str">
        <f>IFERROR(__xludf.DUMMYFUNCTION("IF(A284&gt;0,MIN(FILTER('Барабан'!AJ:AJ,'Барабан'!K:K=A284)),"""")"),"")</f>
        <v/>
      </c>
      <c r="O284" s="16" t="str">
        <f>IFERROR(__xludf.DUMMYFUNCTION("IF(A284&gt;0,IFERROR(MAX(FILTER('Барабан'!AJ:AJ,'Барабан'!V:V=A284)),""–""),"""")"),"")</f>
        <v/>
      </c>
    </row>
    <row r="285" ht="15.75" customHeight="1">
      <c r="A285" s="1" t="str">
        <f>'Справочник'!E280</f>
        <v/>
      </c>
      <c r="B285" s="2" t="str">
        <f>IF(A285&gt;0,SUMIF('Барабан'!K:K,A285,'Барабан'!I:I),"")</f>
        <v/>
      </c>
      <c r="C285" s="2" t="str">
        <f>IF(A285&gt;0,SUMIF('Барабан'!V:V,A285,'Барабан'!T:T),"")</f>
        <v/>
      </c>
      <c r="D285" s="2" t="str">
        <f>IF(A285&gt;0,SUMIF('Барабан'!K:K,A285,'Барабан'!AG:AG)+SUMIF('Барабан'!V:V,A285,'Барабан'!AG:AG),"")</f>
        <v/>
      </c>
      <c r="E285" s="2" t="str">
        <f t="shared" si="1"/>
        <v/>
      </c>
      <c r="F285" s="2" t="str">
        <f t="array" ref="F285">IFERROR(IF(E285=0,0,INDEX('Справочник'!G:G,MATCH(A285,'Справочник'!F:F,0))))</f>
        <v/>
      </c>
      <c r="G285" s="2" t="str">
        <f>IF(A285&gt;0,SUMIF('Барабан'!K:K,A285,'Барабан'!P:P),"")</f>
        <v/>
      </c>
      <c r="H285" s="2" t="str">
        <f>IF(A285&gt;0,SUMIF('Барабан'!V:V,A285,'Барабан'!AA:AA),"")</f>
        <v/>
      </c>
      <c r="I285" s="2" t="str">
        <f t="shared" si="4"/>
        <v/>
      </c>
      <c r="J285" s="9" t="str">
        <f t="shared" si="2"/>
        <v/>
      </c>
      <c r="K285" s="1" t="str">
        <f>IF(A285&gt;0,COUNTIF('Барабан'!K:K,A285),"")</f>
        <v/>
      </c>
      <c r="L285" s="1" t="str">
        <f>IF(A285&gt;0,COUNTIF('Барабан'!V:V,A285),"")</f>
        <v/>
      </c>
      <c r="M285" s="1" t="str">
        <f t="shared" si="3"/>
        <v/>
      </c>
      <c r="N285" s="1" t="str">
        <f>IFERROR(__xludf.DUMMYFUNCTION("IF(A285&gt;0,MIN(FILTER('Барабан'!AJ:AJ,'Барабан'!K:K=A285)),"""")"),"")</f>
        <v/>
      </c>
      <c r="O285" s="16" t="str">
        <f>IFERROR(__xludf.DUMMYFUNCTION("IF(A285&gt;0,IFERROR(MAX(FILTER('Барабан'!AJ:AJ,'Барабан'!V:V=A285)),""–""),"""")"),"")</f>
        <v/>
      </c>
    </row>
    <row r="286" ht="15.75" customHeight="1">
      <c r="A286" s="1" t="str">
        <f>'Справочник'!E281</f>
        <v/>
      </c>
      <c r="B286" s="2" t="str">
        <f>IF(A286&gt;0,SUMIF('Барабан'!K:K,A286,'Барабан'!I:I),"")</f>
        <v/>
      </c>
      <c r="C286" s="2" t="str">
        <f>IF(A286&gt;0,SUMIF('Барабан'!V:V,A286,'Барабан'!T:T),"")</f>
        <v/>
      </c>
      <c r="D286" s="2" t="str">
        <f>IF(A286&gt;0,SUMIF('Барабан'!K:K,A286,'Барабан'!AG:AG)+SUMIF('Барабан'!V:V,A286,'Барабан'!AG:AG),"")</f>
        <v/>
      </c>
      <c r="E286" s="2" t="str">
        <f t="shared" si="1"/>
        <v/>
      </c>
      <c r="F286" s="2" t="str">
        <f t="array" ref="F286">IFERROR(IF(E286=0,0,INDEX('Справочник'!G:G,MATCH(A286,'Справочник'!F:F,0))))</f>
        <v/>
      </c>
      <c r="G286" s="2" t="str">
        <f>IF(A286&gt;0,SUMIF('Барабан'!K:K,A286,'Барабан'!P:P),"")</f>
        <v/>
      </c>
      <c r="H286" s="2" t="str">
        <f>IF(A286&gt;0,SUMIF('Барабан'!V:V,A286,'Барабан'!AA:AA),"")</f>
        <v/>
      </c>
      <c r="I286" s="2" t="str">
        <f t="shared" si="4"/>
        <v/>
      </c>
      <c r="J286" s="9" t="str">
        <f t="shared" si="2"/>
        <v/>
      </c>
      <c r="K286" s="1" t="str">
        <f>IF(A286&gt;0,COUNTIF('Барабан'!K:K,A286),"")</f>
        <v/>
      </c>
      <c r="L286" s="1" t="str">
        <f>IF(A286&gt;0,COUNTIF('Барабан'!V:V,A286),"")</f>
        <v/>
      </c>
      <c r="M286" s="1" t="str">
        <f t="shared" si="3"/>
        <v/>
      </c>
      <c r="N286" s="1" t="str">
        <f>IFERROR(__xludf.DUMMYFUNCTION("IF(A286&gt;0,MIN(FILTER('Барабан'!AJ:AJ,'Барабан'!K:K=A286)),"""")"),"")</f>
        <v/>
      </c>
      <c r="O286" s="16" t="str">
        <f>IFERROR(__xludf.DUMMYFUNCTION("IF(A286&gt;0,IFERROR(MAX(FILTER('Барабан'!AJ:AJ,'Барабан'!V:V=A286)),""–""),"""")"),"")</f>
        <v/>
      </c>
    </row>
    <row r="287" ht="15.75" customHeight="1">
      <c r="A287" s="1" t="str">
        <f>'Справочник'!E282</f>
        <v/>
      </c>
      <c r="B287" s="2" t="str">
        <f>IF(A287&gt;0,SUMIF('Барабан'!K:K,A287,'Барабан'!I:I),"")</f>
        <v/>
      </c>
      <c r="C287" s="2" t="str">
        <f>IF(A287&gt;0,SUMIF('Барабан'!V:V,A287,'Барабан'!T:T),"")</f>
        <v/>
      </c>
      <c r="D287" s="2" t="str">
        <f>IF(A287&gt;0,SUMIF('Барабан'!K:K,A287,'Барабан'!AG:AG)+SUMIF('Барабан'!V:V,A287,'Барабан'!AG:AG),"")</f>
        <v/>
      </c>
      <c r="E287" s="2" t="str">
        <f t="shared" si="1"/>
        <v/>
      </c>
      <c r="F287" s="2" t="str">
        <f t="array" ref="F287">IFERROR(IF(E287=0,0,INDEX('Справочник'!G:G,MATCH(A287,'Справочник'!F:F,0))))</f>
        <v/>
      </c>
      <c r="G287" s="2" t="str">
        <f>IF(A287&gt;0,SUMIF('Барабан'!K:K,A287,'Барабан'!P:P),"")</f>
        <v/>
      </c>
      <c r="H287" s="2" t="str">
        <f>IF(A287&gt;0,SUMIF('Барабан'!V:V,A287,'Барабан'!AA:AA),"")</f>
        <v/>
      </c>
      <c r="I287" s="2" t="str">
        <f t="shared" si="4"/>
        <v/>
      </c>
      <c r="J287" s="9" t="str">
        <f t="shared" si="2"/>
        <v/>
      </c>
      <c r="K287" s="1" t="str">
        <f>IF(A287&gt;0,COUNTIF('Барабан'!K:K,A287),"")</f>
        <v/>
      </c>
      <c r="L287" s="1" t="str">
        <f>IF(A287&gt;0,COUNTIF('Барабан'!V:V,A287),"")</f>
        <v/>
      </c>
      <c r="M287" s="1" t="str">
        <f t="shared" si="3"/>
        <v/>
      </c>
      <c r="N287" s="1" t="str">
        <f>IFERROR(__xludf.DUMMYFUNCTION("IF(A287&gt;0,MIN(FILTER('Барабан'!AJ:AJ,'Барабан'!K:K=A287)),"""")"),"")</f>
        <v/>
      </c>
      <c r="O287" s="16" t="str">
        <f>IFERROR(__xludf.DUMMYFUNCTION("IF(A287&gt;0,IFERROR(MAX(FILTER('Барабан'!AJ:AJ,'Барабан'!V:V=A287)),""–""),"""")"),"")</f>
        <v/>
      </c>
    </row>
    <row r="288" ht="15.75" customHeight="1">
      <c r="A288" s="1" t="str">
        <f>'Справочник'!E283</f>
        <v/>
      </c>
      <c r="B288" s="2" t="str">
        <f>IF(A288&gt;0,SUMIF('Барабан'!K:K,A288,'Барабан'!I:I),"")</f>
        <v/>
      </c>
      <c r="C288" s="2" t="str">
        <f>IF(A288&gt;0,SUMIF('Барабан'!V:V,A288,'Барабан'!T:T),"")</f>
        <v/>
      </c>
      <c r="D288" s="2" t="str">
        <f>IF(A288&gt;0,SUMIF('Барабан'!K:K,A288,'Барабан'!AG:AG)+SUMIF('Барабан'!V:V,A288,'Барабан'!AG:AG),"")</f>
        <v/>
      </c>
      <c r="E288" s="2" t="str">
        <f t="shared" si="1"/>
        <v/>
      </c>
      <c r="F288" s="2" t="str">
        <f t="array" ref="F288">IFERROR(IF(E288=0,0,INDEX('Справочник'!G:G,MATCH(A288,'Справочник'!F:F,0))))</f>
        <v/>
      </c>
      <c r="G288" s="2" t="str">
        <f>IF(A288&gt;0,SUMIF('Барабан'!K:K,A288,'Барабан'!P:P),"")</f>
        <v/>
      </c>
      <c r="H288" s="2" t="str">
        <f>IF(A288&gt;0,SUMIF('Барабан'!V:V,A288,'Барабан'!AA:AA),"")</f>
        <v/>
      </c>
      <c r="I288" s="2" t="str">
        <f t="shared" si="4"/>
        <v/>
      </c>
      <c r="J288" s="9" t="str">
        <f t="shared" si="2"/>
        <v/>
      </c>
      <c r="K288" s="1" t="str">
        <f>IF(A288&gt;0,COUNTIF('Барабан'!K:K,A288),"")</f>
        <v/>
      </c>
      <c r="L288" s="1" t="str">
        <f>IF(A288&gt;0,COUNTIF('Барабан'!V:V,A288),"")</f>
        <v/>
      </c>
      <c r="M288" s="1" t="str">
        <f t="shared" si="3"/>
        <v/>
      </c>
      <c r="N288" s="1" t="str">
        <f>IFERROR(__xludf.DUMMYFUNCTION("IF(A288&gt;0,MIN(FILTER('Барабан'!AJ:AJ,'Барабан'!K:K=A288)),"""")"),"")</f>
        <v/>
      </c>
      <c r="O288" s="16" t="str">
        <f>IFERROR(__xludf.DUMMYFUNCTION("IF(A288&gt;0,IFERROR(MAX(FILTER('Барабан'!AJ:AJ,'Барабан'!V:V=A288)),""–""),"""")"),"")</f>
        <v/>
      </c>
    </row>
    <row r="289" ht="15.75" customHeight="1">
      <c r="A289" s="1" t="str">
        <f>'Справочник'!E284</f>
        <v/>
      </c>
      <c r="B289" s="2" t="str">
        <f>IF(A289&gt;0,SUMIF('Барабан'!K:K,A289,'Барабан'!I:I),"")</f>
        <v/>
      </c>
      <c r="C289" s="2" t="str">
        <f>IF(A289&gt;0,SUMIF('Барабан'!V:V,A289,'Барабан'!T:T),"")</f>
        <v/>
      </c>
      <c r="D289" s="2" t="str">
        <f>IF(A289&gt;0,SUMIF('Барабан'!K:K,A289,'Барабан'!AG:AG)+SUMIF('Барабан'!V:V,A289,'Барабан'!AG:AG),"")</f>
        <v/>
      </c>
      <c r="E289" s="2" t="str">
        <f t="shared" si="1"/>
        <v/>
      </c>
      <c r="F289" s="2" t="str">
        <f t="array" ref="F289">IFERROR(IF(E289=0,0,INDEX('Справочник'!G:G,MATCH(A289,'Справочник'!F:F,0))))</f>
        <v/>
      </c>
      <c r="G289" s="2" t="str">
        <f>IF(A289&gt;0,SUMIF('Барабан'!K:K,A289,'Барабан'!P:P),"")</f>
        <v/>
      </c>
      <c r="H289" s="2" t="str">
        <f>IF(A289&gt;0,SUMIF('Барабан'!V:V,A289,'Барабан'!AA:AA),"")</f>
        <v/>
      </c>
      <c r="I289" s="2" t="str">
        <f t="shared" si="4"/>
        <v/>
      </c>
      <c r="J289" s="9" t="str">
        <f t="shared" si="2"/>
        <v/>
      </c>
      <c r="K289" s="1" t="str">
        <f>IF(A289&gt;0,COUNTIF('Барабан'!K:K,A289),"")</f>
        <v/>
      </c>
      <c r="L289" s="1" t="str">
        <f>IF(A289&gt;0,COUNTIF('Барабан'!V:V,A289),"")</f>
        <v/>
      </c>
      <c r="M289" s="1" t="str">
        <f t="shared" si="3"/>
        <v/>
      </c>
      <c r="N289" s="1" t="str">
        <f>IFERROR(__xludf.DUMMYFUNCTION("IF(A289&gt;0,MIN(FILTER('Барабан'!AJ:AJ,'Барабан'!K:K=A289)),"""")"),"")</f>
        <v/>
      </c>
      <c r="O289" s="16" t="str">
        <f>IFERROR(__xludf.DUMMYFUNCTION("IF(A289&gt;0,IFERROR(MAX(FILTER('Барабан'!AJ:AJ,'Барабан'!V:V=A289)),""–""),"""")"),"")</f>
        <v/>
      </c>
    </row>
    <row r="290" ht="15.75" customHeight="1">
      <c r="A290" s="1" t="str">
        <f>'Справочник'!E285</f>
        <v/>
      </c>
      <c r="B290" s="2" t="str">
        <f>IF(A290&gt;0,SUMIF('Барабан'!K:K,A290,'Барабан'!I:I),"")</f>
        <v/>
      </c>
      <c r="C290" s="2" t="str">
        <f>IF(A290&gt;0,SUMIF('Барабан'!V:V,A290,'Барабан'!T:T),"")</f>
        <v/>
      </c>
      <c r="D290" s="2" t="str">
        <f>IF(A290&gt;0,SUMIF('Барабан'!K:K,A290,'Барабан'!AG:AG)+SUMIF('Барабан'!V:V,A290,'Барабан'!AG:AG),"")</f>
        <v/>
      </c>
      <c r="E290" s="2" t="str">
        <f t="shared" si="1"/>
        <v/>
      </c>
      <c r="F290" s="2" t="str">
        <f t="array" ref="F290">IFERROR(IF(E290=0,0,INDEX('Справочник'!G:G,MATCH(A290,'Справочник'!F:F,0))))</f>
        <v/>
      </c>
      <c r="G290" s="2" t="str">
        <f>IF(A290&gt;0,SUMIF('Барабан'!K:K,A290,'Барабан'!P:P),"")</f>
        <v/>
      </c>
      <c r="H290" s="2" t="str">
        <f>IF(A290&gt;0,SUMIF('Барабан'!V:V,A290,'Барабан'!AA:AA),"")</f>
        <v/>
      </c>
      <c r="I290" s="2" t="str">
        <f t="shared" si="4"/>
        <v/>
      </c>
      <c r="J290" s="9" t="str">
        <f t="shared" si="2"/>
        <v/>
      </c>
      <c r="K290" s="1" t="str">
        <f>IF(A290&gt;0,COUNTIF('Барабан'!K:K,A290),"")</f>
        <v/>
      </c>
      <c r="L290" s="1" t="str">
        <f>IF(A290&gt;0,COUNTIF('Барабан'!V:V,A290),"")</f>
        <v/>
      </c>
      <c r="M290" s="1" t="str">
        <f t="shared" si="3"/>
        <v/>
      </c>
      <c r="N290" s="1" t="str">
        <f>IFERROR(__xludf.DUMMYFUNCTION("IF(A290&gt;0,MIN(FILTER('Барабан'!AJ:AJ,'Барабан'!K:K=A290)),"""")"),"")</f>
        <v/>
      </c>
      <c r="O290" s="16" t="str">
        <f>IFERROR(__xludf.DUMMYFUNCTION("IF(A290&gt;0,IFERROR(MAX(FILTER('Барабан'!AJ:AJ,'Барабан'!V:V=A290)),""–""),"""")"),"")</f>
        <v/>
      </c>
    </row>
    <row r="291" ht="15.75" customHeight="1">
      <c r="A291" s="1" t="str">
        <f>'Справочник'!E286</f>
        <v/>
      </c>
      <c r="B291" s="2" t="str">
        <f>IF(A291&gt;0,SUMIF('Барабан'!K:K,A291,'Барабан'!I:I),"")</f>
        <v/>
      </c>
      <c r="C291" s="2" t="str">
        <f>IF(A291&gt;0,SUMIF('Барабан'!V:V,A291,'Барабан'!T:T),"")</f>
        <v/>
      </c>
      <c r="D291" s="2" t="str">
        <f>IF(A291&gt;0,SUMIF('Барабан'!K:K,A291,'Барабан'!AG:AG)+SUMIF('Барабан'!V:V,A291,'Барабан'!AG:AG),"")</f>
        <v/>
      </c>
      <c r="E291" s="2" t="str">
        <f t="shared" si="1"/>
        <v/>
      </c>
      <c r="F291" s="2" t="str">
        <f t="array" ref="F291">IFERROR(IF(E291=0,0,INDEX('Справочник'!G:G,MATCH(A291,'Справочник'!F:F,0))))</f>
        <v/>
      </c>
      <c r="G291" s="2" t="str">
        <f>IF(A291&gt;0,SUMIF('Барабан'!K:K,A291,'Барабан'!P:P),"")</f>
        <v/>
      </c>
      <c r="H291" s="2" t="str">
        <f>IF(A291&gt;0,SUMIF('Барабан'!V:V,A291,'Барабан'!AA:AA),"")</f>
        <v/>
      </c>
      <c r="I291" s="2" t="str">
        <f t="shared" si="4"/>
        <v/>
      </c>
      <c r="J291" s="9" t="str">
        <f t="shared" si="2"/>
        <v/>
      </c>
      <c r="K291" s="1" t="str">
        <f>IF(A291&gt;0,COUNTIF('Барабан'!K:K,A291),"")</f>
        <v/>
      </c>
      <c r="L291" s="1" t="str">
        <f>IF(A291&gt;0,COUNTIF('Барабан'!V:V,A291),"")</f>
        <v/>
      </c>
      <c r="M291" s="1" t="str">
        <f t="shared" si="3"/>
        <v/>
      </c>
      <c r="N291" s="1" t="str">
        <f>IFERROR(__xludf.DUMMYFUNCTION("IF(A291&gt;0,MIN(FILTER('Барабан'!AJ:AJ,'Барабан'!K:K=A291)),"""")"),"")</f>
        <v/>
      </c>
      <c r="O291" s="16" t="str">
        <f>IFERROR(__xludf.DUMMYFUNCTION("IF(A291&gt;0,IFERROR(MAX(FILTER('Барабан'!AJ:AJ,'Барабан'!V:V=A291)),""–""),"""")"),"")</f>
        <v/>
      </c>
    </row>
    <row r="292" ht="15.75" customHeight="1">
      <c r="A292" s="1" t="str">
        <f>'Справочник'!E287</f>
        <v/>
      </c>
      <c r="B292" s="2" t="str">
        <f>IF(A292&gt;0,SUMIF('Барабан'!K:K,A292,'Барабан'!I:I),"")</f>
        <v/>
      </c>
      <c r="C292" s="2" t="str">
        <f>IF(A292&gt;0,SUMIF('Барабан'!V:V,A292,'Барабан'!T:T),"")</f>
        <v/>
      </c>
      <c r="D292" s="2" t="str">
        <f>IF(A292&gt;0,SUMIF('Барабан'!K:K,A292,'Барабан'!AG:AG)+SUMIF('Барабан'!V:V,A292,'Барабан'!AG:AG),"")</f>
        <v/>
      </c>
      <c r="E292" s="2" t="str">
        <f t="shared" si="1"/>
        <v/>
      </c>
      <c r="F292" s="2" t="str">
        <f t="array" ref="F292">IFERROR(IF(E292=0,0,INDEX('Справочник'!G:G,MATCH(A292,'Справочник'!F:F,0))))</f>
        <v/>
      </c>
      <c r="G292" s="2" t="str">
        <f>IF(A292&gt;0,SUMIF('Барабан'!K:K,A292,'Барабан'!P:P),"")</f>
        <v/>
      </c>
      <c r="H292" s="2" t="str">
        <f>IF(A292&gt;0,SUMIF('Барабан'!V:V,A292,'Барабан'!AA:AA),"")</f>
        <v/>
      </c>
      <c r="I292" s="2" t="str">
        <f t="shared" si="4"/>
        <v/>
      </c>
      <c r="J292" s="9" t="str">
        <f t="shared" si="2"/>
        <v/>
      </c>
      <c r="K292" s="1" t="str">
        <f>IF(A292&gt;0,COUNTIF('Барабан'!K:K,A292),"")</f>
        <v/>
      </c>
      <c r="L292" s="1" t="str">
        <f>IF(A292&gt;0,COUNTIF('Барабан'!V:V,A292),"")</f>
        <v/>
      </c>
      <c r="M292" s="1" t="str">
        <f t="shared" si="3"/>
        <v/>
      </c>
      <c r="N292" s="1" t="str">
        <f>IFERROR(__xludf.DUMMYFUNCTION("IF(A292&gt;0,MIN(FILTER('Барабан'!AJ:AJ,'Барабан'!K:K=A292)),"""")"),"")</f>
        <v/>
      </c>
      <c r="O292" s="16" t="str">
        <f>IFERROR(__xludf.DUMMYFUNCTION("IF(A292&gt;0,IFERROR(MAX(FILTER('Барабан'!AJ:AJ,'Барабан'!V:V=A292)),""–""),"""")"),"")</f>
        <v/>
      </c>
    </row>
    <row r="293" ht="15.75" customHeight="1">
      <c r="A293" s="1" t="str">
        <f>'Справочник'!E288</f>
        <v/>
      </c>
      <c r="B293" s="2" t="str">
        <f>IF(A293&gt;0,SUMIF('Барабан'!K:K,A293,'Барабан'!I:I),"")</f>
        <v/>
      </c>
      <c r="C293" s="2" t="str">
        <f>IF(A293&gt;0,SUMIF('Барабан'!V:V,A293,'Барабан'!T:T),"")</f>
        <v/>
      </c>
      <c r="D293" s="2" t="str">
        <f>IF(A293&gt;0,SUMIF('Барабан'!K:K,A293,'Барабан'!AG:AG)+SUMIF('Барабан'!V:V,A293,'Барабан'!AG:AG),"")</f>
        <v/>
      </c>
      <c r="E293" s="2" t="str">
        <f t="shared" si="1"/>
        <v/>
      </c>
      <c r="F293" s="2" t="str">
        <f t="array" ref="F293">IFERROR(IF(E293=0,0,INDEX('Справочник'!G:G,MATCH(A293,'Справочник'!F:F,0))))</f>
        <v/>
      </c>
      <c r="G293" s="2" t="str">
        <f>IF(A293&gt;0,SUMIF('Барабан'!K:K,A293,'Барабан'!P:P),"")</f>
        <v/>
      </c>
      <c r="H293" s="2" t="str">
        <f>IF(A293&gt;0,SUMIF('Барабан'!V:V,A293,'Барабан'!AA:AA),"")</f>
        <v/>
      </c>
      <c r="I293" s="2" t="str">
        <f t="shared" si="4"/>
        <v/>
      </c>
      <c r="J293" s="9" t="str">
        <f t="shared" si="2"/>
        <v/>
      </c>
      <c r="K293" s="1" t="str">
        <f>IF(A293&gt;0,COUNTIF('Барабан'!K:K,A293),"")</f>
        <v/>
      </c>
      <c r="L293" s="1" t="str">
        <f>IF(A293&gt;0,COUNTIF('Барабан'!V:V,A293),"")</f>
        <v/>
      </c>
      <c r="M293" s="1" t="str">
        <f t="shared" si="3"/>
        <v/>
      </c>
      <c r="N293" s="1" t="str">
        <f>IFERROR(__xludf.DUMMYFUNCTION("IF(A293&gt;0,MIN(FILTER('Барабан'!AJ:AJ,'Барабан'!K:K=A293)),"""")"),"")</f>
        <v/>
      </c>
      <c r="O293" s="16" t="str">
        <f>IFERROR(__xludf.DUMMYFUNCTION("IF(A293&gt;0,IFERROR(MAX(FILTER('Барабан'!AJ:AJ,'Барабан'!V:V=A293)),""–""),"""")"),"")</f>
        <v/>
      </c>
    </row>
    <row r="294" ht="15.75" customHeight="1">
      <c r="A294" s="1" t="str">
        <f>'Справочник'!E289</f>
        <v/>
      </c>
      <c r="B294" s="2" t="str">
        <f>IF(A294&gt;0,SUMIF('Барабан'!K:K,A294,'Барабан'!I:I),"")</f>
        <v/>
      </c>
      <c r="C294" s="2" t="str">
        <f>IF(A294&gt;0,SUMIF('Барабан'!V:V,A294,'Барабан'!T:T),"")</f>
        <v/>
      </c>
      <c r="D294" s="2" t="str">
        <f>IF(A294&gt;0,SUMIF('Барабан'!K:K,A294,'Барабан'!AG:AG)+SUMIF('Барабан'!V:V,A294,'Барабан'!AG:AG),"")</f>
        <v/>
      </c>
      <c r="E294" s="2" t="str">
        <f t="shared" si="1"/>
        <v/>
      </c>
      <c r="F294" s="2" t="str">
        <f t="array" ref="F294">IFERROR(IF(E294=0,0,INDEX('Справочник'!G:G,MATCH(A294,'Справочник'!F:F,0))))</f>
        <v/>
      </c>
      <c r="G294" s="2" t="str">
        <f>IF(A294&gt;0,SUMIF('Барабан'!K:K,A294,'Барабан'!P:P),"")</f>
        <v/>
      </c>
      <c r="H294" s="2" t="str">
        <f>IF(A294&gt;0,SUMIF('Барабан'!V:V,A294,'Барабан'!AA:AA),"")</f>
        <v/>
      </c>
      <c r="I294" s="2" t="str">
        <f t="shared" si="4"/>
        <v/>
      </c>
      <c r="J294" s="9" t="str">
        <f t="shared" si="2"/>
        <v/>
      </c>
      <c r="K294" s="1" t="str">
        <f>IF(A294&gt;0,COUNTIF('Барабан'!K:K,A294),"")</f>
        <v/>
      </c>
      <c r="L294" s="1" t="str">
        <f>IF(A294&gt;0,COUNTIF('Барабан'!V:V,A294),"")</f>
        <v/>
      </c>
      <c r="M294" s="1" t="str">
        <f t="shared" si="3"/>
        <v/>
      </c>
      <c r="N294" s="1" t="str">
        <f>IFERROR(__xludf.DUMMYFUNCTION("IF(A294&gt;0,MIN(FILTER('Барабан'!AJ:AJ,'Барабан'!K:K=A294)),"""")"),"")</f>
        <v/>
      </c>
      <c r="O294" s="16" t="str">
        <f>IFERROR(__xludf.DUMMYFUNCTION("IF(A294&gt;0,IFERROR(MAX(FILTER('Барабан'!AJ:AJ,'Барабан'!V:V=A294)),""–""),"""")"),"")</f>
        <v/>
      </c>
    </row>
    <row r="295" ht="15.75" customHeight="1">
      <c r="A295" s="1" t="str">
        <f>'Справочник'!E290</f>
        <v/>
      </c>
      <c r="B295" s="2" t="str">
        <f>IF(A295&gt;0,SUMIF('Барабан'!K:K,A295,'Барабан'!I:I),"")</f>
        <v/>
      </c>
      <c r="C295" s="2" t="str">
        <f>IF(A295&gt;0,SUMIF('Барабан'!V:V,A295,'Барабан'!T:T),"")</f>
        <v/>
      </c>
      <c r="D295" s="2" t="str">
        <f>IF(A295&gt;0,SUMIF('Барабан'!K:K,A295,'Барабан'!AG:AG)+SUMIF('Барабан'!V:V,A295,'Барабан'!AG:AG),"")</f>
        <v/>
      </c>
      <c r="E295" s="2" t="str">
        <f t="shared" si="1"/>
        <v/>
      </c>
      <c r="F295" s="2" t="str">
        <f t="array" ref="F295">IFERROR(IF(E295=0,0,INDEX('Справочник'!G:G,MATCH(A295,'Справочник'!F:F,0))))</f>
        <v/>
      </c>
      <c r="G295" s="2" t="str">
        <f>IF(A295&gt;0,SUMIF('Барабан'!K:K,A295,'Барабан'!P:P),"")</f>
        <v/>
      </c>
      <c r="H295" s="2" t="str">
        <f>IF(A295&gt;0,SUMIF('Барабан'!V:V,A295,'Барабан'!AA:AA),"")</f>
        <v/>
      </c>
      <c r="I295" s="2" t="str">
        <f t="shared" si="4"/>
        <v/>
      </c>
      <c r="J295" s="9" t="str">
        <f t="shared" si="2"/>
        <v/>
      </c>
      <c r="K295" s="1" t="str">
        <f>IF(A295&gt;0,COUNTIF('Барабан'!K:K,A295),"")</f>
        <v/>
      </c>
      <c r="L295" s="1" t="str">
        <f>IF(A295&gt;0,COUNTIF('Барабан'!V:V,A295),"")</f>
        <v/>
      </c>
      <c r="M295" s="1" t="str">
        <f t="shared" si="3"/>
        <v/>
      </c>
      <c r="N295" s="1" t="str">
        <f>IFERROR(__xludf.DUMMYFUNCTION("IF(A295&gt;0,MIN(FILTER('Барабан'!AJ:AJ,'Барабан'!K:K=A295)),"""")"),"")</f>
        <v/>
      </c>
      <c r="O295" s="16" t="str">
        <f>IFERROR(__xludf.DUMMYFUNCTION("IF(A295&gt;0,IFERROR(MAX(FILTER('Барабан'!AJ:AJ,'Барабан'!V:V=A295)),""–""),"""")"),"")</f>
        <v/>
      </c>
    </row>
    <row r="296" ht="15.75" customHeight="1">
      <c r="A296" s="1" t="str">
        <f>'Справочник'!E291</f>
        <v/>
      </c>
      <c r="B296" s="2" t="str">
        <f>IF(A296&gt;0,SUMIF('Барабан'!K:K,A296,'Барабан'!I:I),"")</f>
        <v/>
      </c>
      <c r="C296" s="2" t="str">
        <f>IF(A296&gt;0,SUMIF('Барабан'!V:V,A296,'Барабан'!T:T),"")</f>
        <v/>
      </c>
      <c r="D296" s="2" t="str">
        <f>IF(A296&gt;0,SUMIF('Барабан'!K:K,A296,'Барабан'!AG:AG)+SUMIF('Барабан'!V:V,A296,'Барабан'!AG:AG),"")</f>
        <v/>
      </c>
      <c r="E296" s="2" t="str">
        <f t="shared" si="1"/>
        <v/>
      </c>
      <c r="F296" s="2" t="str">
        <f t="array" ref="F296">IFERROR(IF(E296=0,0,INDEX('Справочник'!G:G,MATCH(A296,'Справочник'!F:F,0))))</f>
        <v/>
      </c>
      <c r="G296" s="2" t="str">
        <f>IF(A296&gt;0,SUMIF('Барабан'!K:K,A296,'Барабан'!P:P),"")</f>
        <v/>
      </c>
      <c r="H296" s="2" t="str">
        <f>IF(A296&gt;0,SUMIF('Барабан'!V:V,A296,'Барабан'!AA:AA),"")</f>
        <v/>
      </c>
      <c r="I296" s="2" t="str">
        <f t="shared" si="4"/>
        <v/>
      </c>
      <c r="J296" s="9" t="str">
        <f t="shared" si="2"/>
        <v/>
      </c>
      <c r="K296" s="1" t="str">
        <f>IF(A296&gt;0,COUNTIF('Барабан'!K:K,A296),"")</f>
        <v/>
      </c>
      <c r="L296" s="1" t="str">
        <f>IF(A296&gt;0,COUNTIF('Барабан'!V:V,A296),"")</f>
        <v/>
      </c>
      <c r="M296" s="1" t="str">
        <f t="shared" si="3"/>
        <v/>
      </c>
      <c r="N296" s="1" t="str">
        <f>IFERROR(__xludf.DUMMYFUNCTION("IF(A296&gt;0,MIN(FILTER('Барабан'!AJ:AJ,'Барабан'!K:K=A296)),"""")"),"")</f>
        <v/>
      </c>
      <c r="O296" s="16" t="str">
        <f>IFERROR(__xludf.DUMMYFUNCTION("IF(A296&gt;0,IFERROR(MAX(FILTER('Барабан'!AJ:AJ,'Барабан'!V:V=A296)),""–""),"""")"),"")</f>
        <v/>
      </c>
    </row>
    <row r="297" ht="15.75" customHeight="1">
      <c r="A297" s="1" t="str">
        <f>'Справочник'!E292</f>
        <v/>
      </c>
      <c r="B297" s="2" t="str">
        <f>IF(A297&gt;0,SUMIF('Барабан'!K:K,A297,'Барабан'!I:I),"")</f>
        <v/>
      </c>
      <c r="C297" s="2" t="str">
        <f>IF(A297&gt;0,SUMIF('Барабан'!V:V,A297,'Барабан'!T:T),"")</f>
        <v/>
      </c>
      <c r="D297" s="2" t="str">
        <f>IF(A297&gt;0,SUMIF('Барабан'!K:K,A297,'Барабан'!AG:AG)+SUMIF('Барабан'!V:V,A297,'Барабан'!AG:AG),"")</f>
        <v/>
      </c>
      <c r="E297" s="2" t="str">
        <f t="shared" si="1"/>
        <v/>
      </c>
      <c r="F297" s="2" t="str">
        <f t="array" ref="F297">IFERROR(IF(E297=0,0,INDEX('Справочник'!G:G,MATCH(A297,'Справочник'!F:F,0))))</f>
        <v/>
      </c>
      <c r="G297" s="2" t="str">
        <f>IF(A297&gt;0,SUMIF('Барабан'!K:K,A297,'Барабан'!P:P),"")</f>
        <v/>
      </c>
      <c r="H297" s="2" t="str">
        <f>IF(A297&gt;0,SUMIF('Барабан'!V:V,A297,'Барабан'!AA:AA),"")</f>
        <v/>
      </c>
      <c r="I297" s="2" t="str">
        <f t="shared" si="4"/>
        <v/>
      </c>
      <c r="J297" s="9" t="str">
        <f t="shared" si="2"/>
        <v/>
      </c>
      <c r="K297" s="1" t="str">
        <f>IF(A297&gt;0,COUNTIF('Барабан'!K:K,A297),"")</f>
        <v/>
      </c>
      <c r="L297" s="1" t="str">
        <f>IF(A297&gt;0,COUNTIF('Барабан'!V:V,A297),"")</f>
        <v/>
      </c>
      <c r="M297" s="1" t="str">
        <f t="shared" si="3"/>
        <v/>
      </c>
      <c r="N297" s="1" t="str">
        <f>IFERROR(__xludf.DUMMYFUNCTION("IF(A297&gt;0,MIN(FILTER('Барабан'!AJ:AJ,'Барабан'!K:K=A297)),"""")"),"")</f>
        <v/>
      </c>
      <c r="O297" s="16" t="str">
        <f>IFERROR(__xludf.DUMMYFUNCTION("IF(A297&gt;0,IFERROR(MAX(FILTER('Барабан'!AJ:AJ,'Барабан'!V:V=A297)),""–""),"""")"),"")</f>
        <v/>
      </c>
    </row>
    <row r="298" ht="15.75" customHeight="1">
      <c r="A298" s="1" t="str">
        <f>'Справочник'!E293</f>
        <v/>
      </c>
      <c r="B298" s="2" t="str">
        <f>IF(A298&gt;0,SUMIF('Барабан'!K:K,A298,'Барабан'!I:I),"")</f>
        <v/>
      </c>
      <c r="C298" s="2" t="str">
        <f>IF(A298&gt;0,SUMIF('Барабан'!V:V,A298,'Барабан'!T:T),"")</f>
        <v/>
      </c>
      <c r="D298" s="2" t="str">
        <f>IF(A298&gt;0,SUMIF('Барабан'!K:K,A298,'Барабан'!AG:AG)+SUMIF('Барабан'!V:V,A298,'Барабан'!AG:AG),"")</f>
        <v/>
      </c>
      <c r="E298" s="2" t="str">
        <f t="shared" si="1"/>
        <v/>
      </c>
      <c r="F298" s="2" t="str">
        <f t="array" ref="F298">IFERROR(IF(E298=0,0,INDEX('Справочник'!G:G,MATCH(A298,'Справочник'!F:F,0))))</f>
        <v/>
      </c>
      <c r="G298" s="2" t="str">
        <f>IF(A298&gt;0,SUMIF('Барабан'!K:K,A298,'Барабан'!P:P),"")</f>
        <v/>
      </c>
      <c r="H298" s="2" t="str">
        <f>IF(A298&gt;0,SUMIF('Барабан'!V:V,A298,'Барабан'!AA:AA),"")</f>
        <v/>
      </c>
      <c r="I298" s="2" t="str">
        <f t="shared" si="4"/>
        <v/>
      </c>
      <c r="J298" s="9" t="str">
        <f t="shared" si="2"/>
        <v/>
      </c>
      <c r="K298" s="1" t="str">
        <f>IF(A298&gt;0,COUNTIF('Барабан'!K:K,A298),"")</f>
        <v/>
      </c>
      <c r="L298" s="1" t="str">
        <f>IF(A298&gt;0,COUNTIF('Барабан'!V:V,A298),"")</f>
        <v/>
      </c>
      <c r="M298" s="1" t="str">
        <f t="shared" si="3"/>
        <v/>
      </c>
      <c r="N298" s="1" t="str">
        <f>IFERROR(__xludf.DUMMYFUNCTION("IF(A298&gt;0,MIN(FILTER('Барабан'!AJ:AJ,'Барабан'!K:K=A298)),"""")"),"")</f>
        <v/>
      </c>
      <c r="O298" s="16" t="str">
        <f>IFERROR(__xludf.DUMMYFUNCTION("IF(A298&gt;0,IFERROR(MAX(FILTER('Барабан'!AJ:AJ,'Барабан'!V:V=A298)),""–""),"""")"),"")</f>
        <v/>
      </c>
    </row>
    <row r="299" ht="15.75" customHeight="1">
      <c r="A299" s="1" t="str">
        <f>'Справочник'!E294</f>
        <v/>
      </c>
      <c r="B299" s="2" t="str">
        <f>IF(A299&gt;0,SUMIF('Барабан'!K:K,A299,'Барабан'!I:I),"")</f>
        <v/>
      </c>
      <c r="C299" s="2" t="str">
        <f>IF(A299&gt;0,SUMIF('Барабан'!V:V,A299,'Барабан'!T:T),"")</f>
        <v/>
      </c>
      <c r="D299" s="2" t="str">
        <f>IF(A299&gt;0,SUMIF('Барабан'!K:K,A299,'Барабан'!AG:AG)+SUMIF('Барабан'!V:V,A299,'Барабан'!AG:AG),"")</f>
        <v/>
      </c>
      <c r="E299" s="2" t="str">
        <f t="shared" si="1"/>
        <v/>
      </c>
      <c r="F299" s="2" t="str">
        <f t="array" ref="F299">IFERROR(IF(E299=0,0,INDEX('Справочник'!G:G,MATCH(A299,'Справочник'!F:F,0))))</f>
        <v/>
      </c>
      <c r="G299" s="2" t="str">
        <f>IF(A299&gt;0,SUMIF('Барабан'!K:K,A299,'Барабан'!P:P),"")</f>
        <v/>
      </c>
      <c r="H299" s="2" t="str">
        <f>IF(A299&gt;0,SUMIF('Барабан'!V:V,A299,'Барабан'!AA:AA),"")</f>
        <v/>
      </c>
      <c r="I299" s="2" t="str">
        <f t="shared" si="4"/>
        <v/>
      </c>
      <c r="J299" s="9" t="str">
        <f t="shared" si="2"/>
        <v/>
      </c>
      <c r="K299" s="1" t="str">
        <f>IF(A299&gt;0,COUNTIF('Барабан'!K:K,A299),"")</f>
        <v/>
      </c>
      <c r="L299" s="1" t="str">
        <f>IF(A299&gt;0,COUNTIF('Барабан'!V:V,A299),"")</f>
        <v/>
      </c>
      <c r="M299" s="1" t="str">
        <f t="shared" si="3"/>
        <v/>
      </c>
      <c r="N299" s="1" t="str">
        <f>IFERROR(__xludf.DUMMYFUNCTION("IF(A299&gt;0,MIN(FILTER('Барабан'!AJ:AJ,'Барабан'!K:K=A299)),"""")"),"")</f>
        <v/>
      </c>
      <c r="O299" s="16" t="str">
        <f>IFERROR(__xludf.DUMMYFUNCTION("IF(A299&gt;0,IFERROR(MAX(FILTER('Барабан'!AJ:AJ,'Барабан'!V:V=A299)),""–""),"""")"),"")</f>
        <v/>
      </c>
    </row>
    <row r="300" ht="15.75" customHeight="1">
      <c r="A300" s="1" t="str">
        <f>'Справочник'!E295</f>
        <v/>
      </c>
      <c r="B300" s="2" t="str">
        <f>IF(A300&gt;0,SUMIF('Барабан'!K:K,A300,'Барабан'!I:I),"")</f>
        <v/>
      </c>
      <c r="C300" s="2" t="str">
        <f>IF(A300&gt;0,SUMIF('Барабан'!V:V,A300,'Барабан'!T:T),"")</f>
        <v/>
      </c>
      <c r="D300" s="2" t="str">
        <f>IF(A300&gt;0,SUMIF('Барабан'!K:K,A300,'Барабан'!AG:AG)+SUMIF('Барабан'!V:V,A300,'Барабан'!AG:AG),"")</f>
        <v/>
      </c>
      <c r="E300" s="2" t="str">
        <f t="shared" si="1"/>
        <v/>
      </c>
      <c r="F300" s="2" t="str">
        <f t="array" ref="F300">IFERROR(IF(E300=0,0,INDEX('Справочник'!G:G,MATCH(A300,'Справочник'!F:F,0))))</f>
        <v/>
      </c>
      <c r="G300" s="2" t="str">
        <f>IF(A300&gt;0,SUMIF('Барабан'!K:K,A300,'Барабан'!P:P),"")</f>
        <v/>
      </c>
      <c r="H300" s="2" t="str">
        <f>IF(A300&gt;0,SUMIF('Барабан'!V:V,A300,'Барабан'!AA:AA),"")</f>
        <v/>
      </c>
      <c r="I300" s="2" t="str">
        <f t="shared" si="4"/>
        <v/>
      </c>
      <c r="J300" s="9" t="str">
        <f t="shared" si="2"/>
        <v/>
      </c>
      <c r="K300" s="1" t="str">
        <f>IF(A300&gt;0,COUNTIF('Барабан'!K:K,A300),"")</f>
        <v/>
      </c>
      <c r="L300" s="1" t="str">
        <f>IF(A300&gt;0,COUNTIF('Барабан'!V:V,A300),"")</f>
        <v/>
      </c>
      <c r="M300" s="1" t="str">
        <f t="shared" si="3"/>
        <v/>
      </c>
      <c r="N300" s="1" t="str">
        <f>IFERROR(__xludf.DUMMYFUNCTION("IF(A300&gt;0,MIN(FILTER('Барабан'!AJ:AJ,'Барабан'!K:K=A300)),"""")"),"")</f>
        <v/>
      </c>
      <c r="O300" s="16" t="str">
        <f>IFERROR(__xludf.DUMMYFUNCTION("IF(A300&gt;0,IFERROR(MAX(FILTER('Барабан'!AJ:AJ,'Барабан'!V:V=A300)),""–""),"""")"),"")</f>
        <v/>
      </c>
    </row>
    <row r="301" ht="15.75" customHeight="1">
      <c r="A301" s="1" t="str">
        <f>'Справочник'!E296</f>
        <v/>
      </c>
      <c r="B301" s="2" t="str">
        <f>IF(A301&gt;0,SUMIF('Барабан'!K:K,A301,'Барабан'!I:I),"")</f>
        <v/>
      </c>
      <c r="C301" s="2" t="str">
        <f>IF(A301&gt;0,SUMIF('Барабан'!V:V,A301,'Барабан'!T:T),"")</f>
        <v/>
      </c>
      <c r="D301" s="2" t="str">
        <f>IF(A301&gt;0,SUMIF('Барабан'!K:K,A301,'Барабан'!AG:AG)+SUMIF('Барабан'!V:V,A301,'Барабан'!AG:AG),"")</f>
        <v/>
      </c>
      <c r="E301" s="2" t="str">
        <f t="shared" si="1"/>
        <v/>
      </c>
      <c r="F301" s="2" t="str">
        <f t="array" ref="F301">IFERROR(IF(E301=0,0,INDEX('Справочник'!G:G,MATCH(A301,'Справочник'!F:F,0))))</f>
        <v/>
      </c>
      <c r="G301" s="2" t="str">
        <f>IF(A301&gt;0,SUMIF('Барабан'!K:K,A301,'Барабан'!P:P),"")</f>
        <v/>
      </c>
      <c r="H301" s="2" t="str">
        <f>IF(A301&gt;0,SUMIF('Барабан'!V:V,A301,'Барабан'!AA:AA),"")</f>
        <v/>
      </c>
      <c r="I301" s="2" t="str">
        <f t="shared" si="4"/>
        <v/>
      </c>
      <c r="J301" s="9" t="str">
        <f t="shared" si="2"/>
        <v/>
      </c>
      <c r="K301" s="1" t="str">
        <f>IF(A301&gt;0,COUNTIF('Барабан'!K:K,A301),"")</f>
        <v/>
      </c>
      <c r="L301" s="1" t="str">
        <f>IF(A301&gt;0,COUNTIF('Барабан'!V:V,A301),"")</f>
        <v/>
      </c>
      <c r="M301" s="1" t="str">
        <f t="shared" si="3"/>
        <v/>
      </c>
      <c r="N301" s="1" t="str">
        <f>IFERROR(__xludf.DUMMYFUNCTION("IF(A301&gt;0,MIN(FILTER('Барабан'!AJ:AJ,'Барабан'!K:K=A301)),"""")"),"")</f>
        <v/>
      </c>
      <c r="O301" s="16" t="str">
        <f>IFERROR(__xludf.DUMMYFUNCTION("IF(A301&gt;0,IFERROR(MAX(FILTER('Барабан'!AJ:AJ,'Барабан'!V:V=A301)),""–""),"""")"),"")</f>
        <v/>
      </c>
    </row>
    <row r="302" ht="15.75" customHeight="1">
      <c r="A302" s="1" t="str">
        <f>'Справочник'!E297</f>
        <v/>
      </c>
      <c r="B302" s="2" t="str">
        <f>IF(A302&gt;0,SUMIF('Барабан'!K:K,A302,'Барабан'!I:I),"")</f>
        <v/>
      </c>
      <c r="C302" s="2" t="str">
        <f>IF(A302&gt;0,SUMIF('Барабан'!V:V,A302,'Барабан'!T:T),"")</f>
        <v/>
      </c>
      <c r="D302" s="2" t="str">
        <f>IF(A302&gt;0,SUMIF('Барабан'!K:K,A302,'Барабан'!AG:AG)+SUMIF('Барабан'!V:V,A302,'Барабан'!AG:AG),"")</f>
        <v/>
      </c>
      <c r="E302" s="2" t="str">
        <f t="shared" si="1"/>
        <v/>
      </c>
      <c r="F302" s="2" t="str">
        <f t="array" ref="F302">IFERROR(IF(E302=0,0,INDEX('Справочник'!G:G,MATCH(A302,'Справочник'!F:F,0))))</f>
        <v/>
      </c>
      <c r="G302" s="2" t="str">
        <f>IF(A302&gt;0,SUMIF('Барабан'!K:K,A302,'Барабан'!P:P),"")</f>
        <v/>
      </c>
      <c r="H302" s="2" t="str">
        <f>IF(A302&gt;0,SUMIF('Барабан'!V:V,A302,'Барабан'!AA:AA),"")</f>
        <v/>
      </c>
      <c r="I302" s="2" t="str">
        <f t="shared" si="4"/>
        <v/>
      </c>
      <c r="J302" s="9" t="str">
        <f t="shared" si="2"/>
        <v/>
      </c>
      <c r="K302" s="1" t="str">
        <f>IF(A302&gt;0,COUNTIF('Барабан'!K:K,A302),"")</f>
        <v/>
      </c>
      <c r="L302" s="1" t="str">
        <f>IF(A302&gt;0,COUNTIF('Барабан'!V:V,A302),"")</f>
        <v/>
      </c>
      <c r="M302" s="1" t="str">
        <f t="shared" si="3"/>
        <v/>
      </c>
      <c r="N302" s="1" t="str">
        <f>IFERROR(__xludf.DUMMYFUNCTION("IF(A302&gt;0,MIN(FILTER('Барабан'!AJ:AJ,'Барабан'!K:K=A302)),"""")"),"")</f>
        <v/>
      </c>
      <c r="O302" s="16" t="str">
        <f>IFERROR(__xludf.DUMMYFUNCTION("IF(A302&gt;0,IFERROR(MAX(FILTER('Барабан'!AJ:AJ,'Барабан'!V:V=A302)),""–""),"""")"),"")</f>
        <v/>
      </c>
    </row>
    <row r="303" ht="15.75" customHeight="1">
      <c r="A303" s="1" t="str">
        <f>'Справочник'!E298</f>
        <v/>
      </c>
      <c r="B303" s="2" t="str">
        <f>IF(A303&gt;0,SUMIF('Барабан'!K:K,A303,'Барабан'!I:I),"")</f>
        <v/>
      </c>
      <c r="C303" s="2" t="str">
        <f>IF(A303&gt;0,SUMIF('Барабан'!V:V,A303,'Барабан'!T:T),"")</f>
        <v/>
      </c>
      <c r="D303" s="2" t="str">
        <f>IF(A303&gt;0,SUMIF('Барабан'!K:K,A303,'Барабан'!AG:AG)+SUMIF('Барабан'!V:V,A303,'Барабан'!AG:AG),"")</f>
        <v/>
      </c>
      <c r="E303" s="2" t="str">
        <f t="shared" si="1"/>
        <v/>
      </c>
      <c r="F303" s="2" t="str">
        <f t="array" ref="F303">IFERROR(IF(E303=0,0,INDEX('Справочник'!G:G,MATCH(A303,'Справочник'!F:F,0))))</f>
        <v/>
      </c>
      <c r="G303" s="2" t="str">
        <f>IF(A303&gt;0,SUMIF('Барабан'!K:K,A303,'Барабан'!P:P),"")</f>
        <v/>
      </c>
      <c r="H303" s="2" t="str">
        <f>IF(A303&gt;0,SUMIF('Барабан'!V:V,A303,'Барабан'!AA:AA),"")</f>
        <v/>
      </c>
      <c r="I303" s="2" t="str">
        <f t="shared" si="4"/>
        <v/>
      </c>
      <c r="J303" s="9" t="str">
        <f t="shared" si="2"/>
        <v/>
      </c>
      <c r="K303" s="1" t="str">
        <f>IF(A303&gt;0,COUNTIF('Барабан'!K:K,A303),"")</f>
        <v/>
      </c>
      <c r="L303" s="1" t="str">
        <f>IF(A303&gt;0,COUNTIF('Барабан'!V:V,A303),"")</f>
        <v/>
      </c>
      <c r="M303" s="1" t="str">
        <f t="shared" si="3"/>
        <v/>
      </c>
      <c r="N303" s="1" t="str">
        <f>IFERROR(__xludf.DUMMYFUNCTION("IF(A303&gt;0,MIN(FILTER('Барабан'!AJ:AJ,'Барабан'!K:K=A303)),"""")"),"")</f>
        <v/>
      </c>
      <c r="O303" s="16" t="str">
        <f>IFERROR(__xludf.DUMMYFUNCTION("IF(A303&gt;0,IFERROR(MAX(FILTER('Барабан'!AJ:AJ,'Барабан'!V:V=A303)),""–""),"""")"),"")</f>
        <v/>
      </c>
    </row>
    <row r="304" ht="15.75" customHeight="1">
      <c r="A304" s="1" t="str">
        <f>'Справочник'!E299</f>
        <v/>
      </c>
      <c r="B304" s="2" t="str">
        <f>IF(A304&gt;0,SUMIF('Барабан'!K:K,A304,'Барабан'!I:I),"")</f>
        <v/>
      </c>
      <c r="C304" s="2" t="str">
        <f>IF(A304&gt;0,SUMIF('Барабан'!V:V,A304,'Барабан'!T:T),"")</f>
        <v/>
      </c>
      <c r="D304" s="2" t="str">
        <f>IF(A304&gt;0,SUMIF('Барабан'!K:K,A304,'Барабан'!AG:AG)+SUMIF('Барабан'!V:V,A304,'Барабан'!AG:AG),"")</f>
        <v/>
      </c>
      <c r="E304" s="2" t="str">
        <f t="shared" si="1"/>
        <v/>
      </c>
      <c r="F304" s="2" t="str">
        <f t="array" ref="F304">IFERROR(IF(E304=0,0,INDEX('Справочник'!G:G,MATCH(A304,'Справочник'!F:F,0))))</f>
        <v/>
      </c>
      <c r="G304" s="2" t="str">
        <f>IF(A304&gt;0,SUMIF('Барабан'!K:K,A304,'Барабан'!P:P),"")</f>
        <v/>
      </c>
      <c r="H304" s="2" t="str">
        <f>IF(A304&gt;0,SUMIF('Барабан'!V:V,A304,'Барабан'!AA:AA),"")</f>
        <v/>
      </c>
      <c r="I304" s="2" t="str">
        <f t="shared" si="4"/>
        <v/>
      </c>
      <c r="J304" s="9" t="str">
        <f t="shared" si="2"/>
        <v/>
      </c>
      <c r="K304" s="1" t="str">
        <f>IF(A304&gt;0,COUNTIF('Барабан'!K:K,A304),"")</f>
        <v/>
      </c>
      <c r="L304" s="1" t="str">
        <f>IF(A304&gt;0,COUNTIF('Барабан'!V:V,A304),"")</f>
        <v/>
      </c>
      <c r="M304" s="1" t="str">
        <f t="shared" si="3"/>
        <v/>
      </c>
      <c r="N304" s="1" t="str">
        <f>IFERROR(__xludf.DUMMYFUNCTION("IF(A304&gt;0,MIN(FILTER('Барабан'!AJ:AJ,'Барабан'!K:K=A304)),"""")"),"")</f>
        <v/>
      </c>
      <c r="O304" s="16" t="str">
        <f>IFERROR(__xludf.DUMMYFUNCTION("IF(A304&gt;0,IFERROR(MAX(FILTER('Барабан'!AJ:AJ,'Барабан'!V:V=A304)),""–""),"""")"),"")</f>
        <v/>
      </c>
    </row>
    <row r="305" ht="15.75" customHeight="1">
      <c r="A305" s="1" t="str">
        <f>'Справочник'!E300</f>
        <v/>
      </c>
      <c r="B305" s="2" t="str">
        <f>IF(A305&gt;0,SUMIF('Барабан'!K:K,A305,'Барабан'!I:I),"")</f>
        <v/>
      </c>
      <c r="C305" s="2" t="str">
        <f>IF(A305&gt;0,SUMIF('Барабан'!V:V,A305,'Барабан'!T:T),"")</f>
        <v/>
      </c>
      <c r="D305" s="2" t="str">
        <f>IF(A305&gt;0,SUMIF('Барабан'!K:K,A305,'Барабан'!AG:AG)+SUMIF('Барабан'!V:V,A305,'Барабан'!AG:AG),"")</f>
        <v/>
      </c>
      <c r="E305" s="2" t="str">
        <f t="shared" si="1"/>
        <v/>
      </c>
      <c r="F305" s="2" t="str">
        <f t="array" ref="F305">IFERROR(IF(E305=0,0,INDEX('Справочник'!G:G,MATCH(A305,'Справочник'!F:F,0))))</f>
        <v/>
      </c>
      <c r="G305" s="2" t="str">
        <f>IF(A305&gt;0,SUMIF('Барабан'!K:K,A305,'Барабан'!P:P),"")</f>
        <v/>
      </c>
      <c r="H305" s="2" t="str">
        <f>IF(A305&gt;0,SUMIF('Барабан'!V:V,A305,'Барабан'!AA:AA),"")</f>
        <v/>
      </c>
      <c r="I305" s="2" t="str">
        <f t="shared" si="4"/>
        <v/>
      </c>
      <c r="J305" s="9" t="str">
        <f t="shared" si="2"/>
        <v/>
      </c>
      <c r="K305" s="1" t="str">
        <f>IF(A305&gt;0,COUNTIF('Барабан'!K:K,A305),"")</f>
        <v/>
      </c>
      <c r="L305" s="1" t="str">
        <f>IF(A305&gt;0,COUNTIF('Барабан'!V:V,A305),"")</f>
        <v/>
      </c>
      <c r="M305" s="1" t="str">
        <f t="shared" si="3"/>
        <v/>
      </c>
      <c r="N305" s="1" t="str">
        <f>IFERROR(__xludf.DUMMYFUNCTION("IF(A305&gt;0,MIN(FILTER('Барабан'!AJ:AJ,'Барабан'!K:K=A305)),"""")"),"")</f>
        <v/>
      </c>
      <c r="O305" s="16" t="str">
        <f>IFERROR(__xludf.DUMMYFUNCTION("IF(A305&gt;0,IFERROR(MAX(FILTER('Барабан'!AJ:AJ,'Барабан'!V:V=A305)),""–""),"""")"),"")</f>
        <v/>
      </c>
    </row>
    <row r="306" ht="15.75" customHeight="1">
      <c r="A306" s="1" t="str">
        <f>'Справочник'!E301</f>
        <v/>
      </c>
      <c r="B306" s="2" t="str">
        <f>IF(A306&gt;0,SUMIF('Барабан'!K:K,A306,'Барабан'!I:I),"")</f>
        <v/>
      </c>
      <c r="C306" s="2" t="str">
        <f>IF(A306&gt;0,SUMIF('Барабан'!V:V,A306,'Барабан'!T:T),"")</f>
        <v/>
      </c>
      <c r="D306" s="2" t="str">
        <f>IF(A306&gt;0,SUMIF('Барабан'!K:K,A306,'Барабан'!AG:AG)+SUMIF('Барабан'!V:V,A306,'Барабан'!AG:AG),"")</f>
        <v/>
      </c>
      <c r="E306" s="2" t="str">
        <f t="shared" si="1"/>
        <v/>
      </c>
      <c r="F306" s="2" t="str">
        <f t="array" ref="F306">IFERROR(IF(E306=0,0,INDEX('Справочник'!G:G,MATCH(A306,'Справочник'!F:F,0))))</f>
        <v/>
      </c>
      <c r="G306" s="2" t="str">
        <f>IF(A306&gt;0,SUMIF('Барабан'!K:K,A306,'Барабан'!P:P),"")</f>
        <v/>
      </c>
      <c r="H306" s="2" t="str">
        <f>IF(A306&gt;0,SUMIF('Барабан'!V:V,A306,'Барабан'!AA:AA),"")</f>
        <v/>
      </c>
      <c r="I306" s="2" t="str">
        <f t="shared" si="4"/>
        <v/>
      </c>
      <c r="J306" s="9" t="str">
        <f t="shared" si="2"/>
        <v/>
      </c>
      <c r="K306" s="1" t="str">
        <f>IF(A306&gt;0,COUNTIF('Барабан'!K:K,A306),"")</f>
        <v/>
      </c>
      <c r="L306" s="1" t="str">
        <f>IF(A306&gt;0,COUNTIF('Барабан'!V:V,A306),"")</f>
        <v/>
      </c>
      <c r="M306" s="1" t="str">
        <f t="shared" si="3"/>
        <v/>
      </c>
      <c r="N306" s="1" t="str">
        <f>IFERROR(__xludf.DUMMYFUNCTION("IF(A306&gt;0,MIN(FILTER('Барабан'!AJ:AJ,'Барабан'!K:K=A306)),"""")"),"")</f>
        <v/>
      </c>
      <c r="O306" s="16" t="str">
        <f>IFERROR(__xludf.DUMMYFUNCTION("IF(A306&gt;0,IFERROR(MAX(FILTER('Барабан'!AJ:AJ,'Барабан'!V:V=A306)),""–""),"""")"),"")</f>
        <v/>
      </c>
    </row>
    <row r="307" ht="15.75" customHeight="1">
      <c r="A307" s="1" t="str">
        <f>'Справочник'!E302</f>
        <v/>
      </c>
      <c r="B307" s="2" t="str">
        <f>IF(A307&gt;0,SUMIF('Барабан'!K:K,A307,'Барабан'!I:I),"")</f>
        <v/>
      </c>
      <c r="C307" s="2" t="str">
        <f>IF(A307&gt;0,SUMIF('Барабан'!V:V,A307,'Барабан'!T:T),"")</f>
        <v/>
      </c>
      <c r="D307" s="2" t="str">
        <f>IF(A307&gt;0,SUMIF('Барабан'!K:K,A307,'Барабан'!AG:AG)+SUMIF('Барабан'!V:V,A307,'Барабан'!AG:AG),"")</f>
        <v/>
      </c>
      <c r="E307" s="2" t="str">
        <f t="shared" si="1"/>
        <v/>
      </c>
      <c r="F307" s="2" t="str">
        <f t="array" ref="F307">IFERROR(IF(E307=0,0,INDEX('Справочник'!G:G,MATCH(A307,'Справочник'!F:F,0))))</f>
        <v/>
      </c>
      <c r="G307" s="2" t="str">
        <f>IF(A307&gt;0,SUMIF('Барабан'!K:K,A307,'Барабан'!P:P),"")</f>
        <v/>
      </c>
      <c r="H307" s="2" t="str">
        <f>IF(A307&gt;0,SUMIF('Барабан'!V:V,A307,'Барабан'!AA:AA),"")</f>
        <v/>
      </c>
      <c r="I307" s="2" t="str">
        <f t="shared" si="4"/>
        <v/>
      </c>
      <c r="J307" s="9" t="str">
        <f t="shared" si="2"/>
        <v/>
      </c>
      <c r="K307" s="1" t="str">
        <f>IF(A307&gt;0,COUNTIF('Барабан'!K:K,A307),"")</f>
        <v/>
      </c>
      <c r="L307" s="1" t="str">
        <f>IF(A307&gt;0,COUNTIF('Барабан'!V:V,A307),"")</f>
        <v/>
      </c>
      <c r="M307" s="1" t="str">
        <f t="shared" si="3"/>
        <v/>
      </c>
      <c r="N307" s="1" t="str">
        <f>IFERROR(__xludf.DUMMYFUNCTION("IF(A307&gt;0,MIN(FILTER('Барабан'!AJ:AJ,'Барабан'!K:K=A307)),"""")"),"")</f>
        <v/>
      </c>
      <c r="O307" s="16" t="str">
        <f>IFERROR(__xludf.DUMMYFUNCTION("IF(A307&gt;0,IFERROR(MAX(FILTER('Барабан'!AJ:AJ,'Барабан'!V:V=A307)),""–""),"""")"),"")</f>
        <v/>
      </c>
    </row>
    <row r="308" ht="15.75" customHeight="1">
      <c r="A308" s="1" t="str">
        <f>'Справочник'!E303</f>
        <v/>
      </c>
      <c r="B308" s="2" t="str">
        <f>IF(A308&gt;0,SUMIF('Барабан'!K:K,A308,'Барабан'!I:I),"")</f>
        <v/>
      </c>
      <c r="C308" s="2" t="str">
        <f>IF(A308&gt;0,SUMIF('Барабан'!V:V,A308,'Барабан'!T:T),"")</f>
        <v/>
      </c>
      <c r="D308" s="2" t="str">
        <f>IF(A308&gt;0,SUMIF('Барабан'!K:K,A308,'Барабан'!AG:AG)+SUMIF('Барабан'!V:V,A308,'Барабан'!AG:AG),"")</f>
        <v/>
      </c>
      <c r="E308" s="2" t="str">
        <f t="shared" si="1"/>
        <v/>
      </c>
      <c r="F308" s="2" t="str">
        <f t="array" ref="F308">IFERROR(IF(E308=0,0,INDEX('Справочник'!G:G,MATCH(A308,'Справочник'!F:F,0))))</f>
        <v/>
      </c>
      <c r="G308" s="2" t="str">
        <f>IF(A308&gt;0,SUMIF('Барабан'!K:K,A308,'Барабан'!P:P),"")</f>
        <v/>
      </c>
      <c r="H308" s="2" t="str">
        <f>IF(A308&gt;0,SUMIF('Барабан'!V:V,A308,'Барабан'!AA:AA),"")</f>
        <v/>
      </c>
      <c r="I308" s="2" t="str">
        <f t="shared" si="4"/>
        <v/>
      </c>
      <c r="J308" s="9" t="str">
        <f t="shared" si="2"/>
        <v/>
      </c>
      <c r="K308" s="1" t="str">
        <f>IF(A308&gt;0,COUNTIF('Барабан'!K:K,A308),"")</f>
        <v/>
      </c>
      <c r="L308" s="1" t="str">
        <f>IF(A308&gt;0,COUNTIF('Барабан'!V:V,A308),"")</f>
        <v/>
      </c>
      <c r="M308" s="1" t="str">
        <f t="shared" si="3"/>
        <v/>
      </c>
      <c r="N308" s="1" t="str">
        <f>IFERROR(__xludf.DUMMYFUNCTION("IF(A308&gt;0,MIN(FILTER('Барабан'!AJ:AJ,'Барабан'!K:K=A308)),"""")"),"")</f>
        <v/>
      </c>
      <c r="O308" s="16" t="str">
        <f>IFERROR(__xludf.DUMMYFUNCTION("IF(A308&gt;0,IFERROR(MAX(FILTER('Барабан'!AJ:AJ,'Барабан'!V:V=A308)),""–""),"""")"),"")</f>
        <v/>
      </c>
    </row>
    <row r="309" ht="15.75" customHeight="1">
      <c r="A309" s="1" t="str">
        <f>'Справочник'!E304</f>
        <v/>
      </c>
      <c r="B309" s="2" t="str">
        <f>IF(A309&gt;0,SUMIF('Барабан'!K:K,A309,'Барабан'!I:I),"")</f>
        <v/>
      </c>
      <c r="C309" s="2" t="str">
        <f>IF(A309&gt;0,SUMIF('Барабан'!V:V,A309,'Барабан'!T:T),"")</f>
        <v/>
      </c>
      <c r="D309" s="2" t="str">
        <f>IF(A309&gt;0,SUMIF('Барабан'!K:K,A309,'Барабан'!AG:AG)+SUMIF('Барабан'!V:V,A309,'Барабан'!AG:AG),"")</f>
        <v/>
      </c>
      <c r="E309" s="2" t="str">
        <f t="shared" si="1"/>
        <v/>
      </c>
      <c r="F309" s="2" t="str">
        <f t="array" ref="F309">IFERROR(IF(E309=0,0,INDEX('Справочник'!G:G,MATCH(A309,'Справочник'!F:F,0))))</f>
        <v/>
      </c>
      <c r="G309" s="2" t="str">
        <f>IF(A309&gt;0,SUMIF('Барабан'!K:K,A309,'Барабан'!P:P),"")</f>
        <v/>
      </c>
      <c r="H309" s="2" t="str">
        <f>IF(A309&gt;0,SUMIF('Барабан'!V:V,A309,'Барабан'!AA:AA),"")</f>
        <v/>
      </c>
      <c r="I309" s="2" t="str">
        <f t="shared" si="4"/>
        <v/>
      </c>
      <c r="J309" s="9" t="str">
        <f t="shared" si="2"/>
        <v/>
      </c>
      <c r="K309" s="1" t="str">
        <f>IF(A309&gt;0,COUNTIF('Барабан'!K:K,A309),"")</f>
        <v/>
      </c>
      <c r="L309" s="1" t="str">
        <f>IF(A309&gt;0,COUNTIF('Барабан'!V:V,A309),"")</f>
        <v/>
      </c>
      <c r="M309" s="1" t="str">
        <f t="shared" si="3"/>
        <v/>
      </c>
      <c r="N309" s="1" t="str">
        <f>IFERROR(__xludf.DUMMYFUNCTION("IF(A309&gt;0,MIN(FILTER('Барабан'!AJ:AJ,'Барабан'!K:K=A309)),"""")"),"")</f>
        <v/>
      </c>
      <c r="O309" s="16" t="str">
        <f>IFERROR(__xludf.DUMMYFUNCTION("IF(A309&gt;0,IFERROR(MAX(FILTER('Барабан'!AJ:AJ,'Барабан'!V:V=A309)),""–""),"""")"),"")</f>
        <v/>
      </c>
    </row>
    <row r="310" ht="15.75" customHeight="1">
      <c r="A310" s="1" t="str">
        <f>'Справочник'!E305</f>
        <v/>
      </c>
      <c r="B310" s="2" t="str">
        <f>IF(A310&gt;0,SUMIF('Барабан'!K:K,A310,'Барабан'!I:I),"")</f>
        <v/>
      </c>
      <c r="C310" s="2" t="str">
        <f>IF(A310&gt;0,SUMIF('Барабан'!V:V,A310,'Барабан'!T:T),"")</f>
        <v/>
      </c>
      <c r="D310" s="2" t="str">
        <f>IF(A310&gt;0,SUMIF('Барабан'!K:K,A310,'Барабан'!AG:AG)+SUMIF('Барабан'!V:V,A310,'Барабан'!AG:AG),"")</f>
        <v/>
      </c>
      <c r="E310" s="2" t="str">
        <f t="shared" si="1"/>
        <v/>
      </c>
      <c r="F310" s="2" t="str">
        <f t="array" ref="F310">IFERROR(IF(E310=0,0,INDEX('Справочник'!G:G,MATCH(A310,'Справочник'!F:F,0))))</f>
        <v/>
      </c>
      <c r="G310" s="2" t="str">
        <f>IF(A310&gt;0,SUMIF('Барабан'!K:K,A310,'Барабан'!P:P),"")</f>
        <v/>
      </c>
      <c r="H310" s="2" t="str">
        <f>IF(A310&gt;0,SUMIF('Барабан'!V:V,A310,'Барабан'!AA:AA),"")</f>
        <v/>
      </c>
      <c r="I310" s="2" t="str">
        <f t="shared" si="4"/>
        <v/>
      </c>
      <c r="J310" s="9" t="str">
        <f t="shared" si="2"/>
        <v/>
      </c>
      <c r="K310" s="1" t="str">
        <f>IF(A310&gt;0,COUNTIF('Барабан'!K:K,A310),"")</f>
        <v/>
      </c>
      <c r="L310" s="1" t="str">
        <f>IF(A310&gt;0,COUNTIF('Барабан'!V:V,A310),"")</f>
        <v/>
      </c>
      <c r="M310" s="1" t="str">
        <f t="shared" si="3"/>
        <v/>
      </c>
      <c r="N310" s="1" t="str">
        <f>IFERROR(__xludf.DUMMYFUNCTION("IF(A310&gt;0,MIN(FILTER('Барабан'!AJ:AJ,'Барабан'!K:K=A310)),"""")"),"")</f>
        <v/>
      </c>
      <c r="O310" s="16" t="str">
        <f>IFERROR(__xludf.DUMMYFUNCTION("IF(A310&gt;0,IFERROR(MAX(FILTER('Барабан'!AJ:AJ,'Барабан'!V:V=A310)),""–""),"""")"),"")</f>
        <v/>
      </c>
    </row>
    <row r="311" ht="15.75" customHeight="1">
      <c r="A311" s="1" t="str">
        <f>'Справочник'!E306</f>
        <v/>
      </c>
      <c r="B311" s="2" t="str">
        <f>IF(A311&gt;0,SUMIF('Барабан'!K:K,A311,'Барабан'!I:I),"")</f>
        <v/>
      </c>
      <c r="C311" s="2" t="str">
        <f>IF(A311&gt;0,SUMIF('Барабан'!V:V,A311,'Барабан'!T:T),"")</f>
        <v/>
      </c>
      <c r="D311" s="2" t="str">
        <f>IF(A311&gt;0,SUMIF('Барабан'!K:K,A311,'Барабан'!AG:AG)+SUMIF('Барабан'!V:V,A311,'Барабан'!AG:AG),"")</f>
        <v/>
      </c>
      <c r="E311" s="2" t="str">
        <f t="shared" si="1"/>
        <v/>
      </c>
      <c r="F311" s="2" t="str">
        <f t="array" ref="F311">IFERROR(IF(E311=0,0,INDEX('Справочник'!G:G,MATCH(A311,'Справочник'!F:F,0))))</f>
        <v/>
      </c>
      <c r="G311" s="2" t="str">
        <f>IF(A311&gt;0,SUMIF('Барабан'!K:K,A311,'Барабан'!P:P),"")</f>
        <v/>
      </c>
      <c r="H311" s="2" t="str">
        <f>IF(A311&gt;0,SUMIF('Барабан'!V:V,A311,'Барабан'!AA:AA),"")</f>
        <v/>
      </c>
      <c r="I311" s="2" t="str">
        <f t="shared" si="4"/>
        <v/>
      </c>
      <c r="J311" s="9" t="str">
        <f t="shared" si="2"/>
        <v/>
      </c>
      <c r="K311" s="1" t="str">
        <f>IF(A311&gt;0,COUNTIF('Барабан'!K:K,A311),"")</f>
        <v/>
      </c>
      <c r="L311" s="1" t="str">
        <f>IF(A311&gt;0,COUNTIF('Барабан'!V:V,A311),"")</f>
        <v/>
      </c>
      <c r="M311" s="1" t="str">
        <f t="shared" si="3"/>
        <v/>
      </c>
      <c r="N311" s="1" t="str">
        <f>IFERROR(__xludf.DUMMYFUNCTION("IF(A311&gt;0,MIN(FILTER('Барабан'!AJ:AJ,'Барабан'!K:K=A311)),"""")"),"")</f>
        <v/>
      </c>
      <c r="O311" s="16" t="str">
        <f>IFERROR(__xludf.DUMMYFUNCTION("IF(A311&gt;0,IFERROR(MAX(FILTER('Барабан'!AJ:AJ,'Барабан'!V:V=A311)),""–""),"""")"),"")</f>
        <v/>
      </c>
    </row>
    <row r="312" ht="15.75" customHeight="1">
      <c r="A312" s="1" t="str">
        <f>'Справочник'!E307</f>
        <v/>
      </c>
      <c r="B312" s="2" t="str">
        <f>IF(A312&gt;0,SUMIF('Барабан'!K:K,A312,'Барабан'!I:I),"")</f>
        <v/>
      </c>
      <c r="C312" s="2" t="str">
        <f>IF(A312&gt;0,SUMIF('Барабан'!V:V,A312,'Барабан'!T:T),"")</f>
        <v/>
      </c>
      <c r="D312" s="2" t="str">
        <f>IF(A312&gt;0,SUMIF('Барабан'!K:K,A312,'Барабан'!AG:AG)+SUMIF('Барабан'!V:V,A312,'Барабан'!AG:AG),"")</f>
        <v/>
      </c>
      <c r="E312" s="2" t="str">
        <f t="shared" si="1"/>
        <v/>
      </c>
      <c r="F312" s="2" t="str">
        <f t="array" ref="F312">IFERROR(IF(E312=0,0,INDEX('Справочник'!G:G,MATCH(A312,'Справочник'!F:F,0))))</f>
        <v/>
      </c>
      <c r="G312" s="2" t="str">
        <f>IF(A312&gt;0,SUMIF('Барабан'!K:K,A312,'Барабан'!P:P),"")</f>
        <v/>
      </c>
      <c r="H312" s="2" t="str">
        <f>IF(A312&gt;0,SUMIF('Барабан'!V:V,A312,'Барабан'!AA:AA),"")</f>
        <v/>
      </c>
      <c r="I312" s="2" t="str">
        <f t="shared" si="4"/>
        <v/>
      </c>
      <c r="J312" s="9" t="str">
        <f t="shared" si="2"/>
        <v/>
      </c>
      <c r="K312" s="1" t="str">
        <f>IF(A312&gt;0,COUNTIF('Барабан'!K:K,A312),"")</f>
        <v/>
      </c>
      <c r="L312" s="1" t="str">
        <f>IF(A312&gt;0,COUNTIF('Барабан'!V:V,A312),"")</f>
        <v/>
      </c>
      <c r="M312" s="1" t="str">
        <f t="shared" si="3"/>
        <v/>
      </c>
      <c r="N312" s="1" t="str">
        <f>IFERROR(__xludf.DUMMYFUNCTION("IF(A312&gt;0,MIN(FILTER('Барабан'!AJ:AJ,'Барабан'!K:K=A312)),"""")"),"")</f>
        <v/>
      </c>
      <c r="O312" s="16" t="str">
        <f>IFERROR(__xludf.DUMMYFUNCTION("IF(A312&gt;0,IFERROR(MAX(FILTER('Барабан'!AJ:AJ,'Барабан'!V:V=A312)),""–""),"""")"),"")</f>
        <v/>
      </c>
    </row>
    <row r="313" ht="15.75" customHeight="1">
      <c r="A313" s="1" t="str">
        <f>'Справочник'!E308</f>
        <v/>
      </c>
      <c r="B313" s="2" t="str">
        <f>IF(A313&gt;0,SUMIF('Барабан'!K:K,A313,'Барабан'!I:I),"")</f>
        <v/>
      </c>
      <c r="C313" s="2" t="str">
        <f>IF(A313&gt;0,SUMIF('Барабан'!V:V,A313,'Барабан'!T:T),"")</f>
        <v/>
      </c>
      <c r="D313" s="2" t="str">
        <f>IF(A313&gt;0,SUMIF('Барабан'!K:K,A313,'Барабан'!AG:AG)+SUMIF('Барабан'!V:V,A313,'Барабан'!AG:AG),"")</f>
        <v/>
      </c>
      <c r="E313" s="2" t="str">
        <f t="shared" si="1"/>
        <v/>
      </c>
      <c r="F313" s="2" t="str">
        <f t="array" ref="F313">IFERROR(IF(E313=0,0,INDEX('Справочник'!G:G,MATCH(A313,'Справочник'!F:F,0))))</f>
        <v/>
      </c>
      <c r="G313" s="2" t="str">
        <f>IF(A313&gt;0,SUMIF('Барабан'!K:K,A313,'Барабан'!P:P),"")</f>
        <v/>
      </c>
      <c r="H313" s="2" t="str">
        <f>IF(A313&gt;0,SUMIF('Барабан'!V:V,A313,'Барабан'!AA:AA),"")</f>
        <v/>
      </c>
      <c r="I313" s="2" t="str">
        <f t="shared" si="4"/>
        <v/>
      </c>
      <c r="J313" s="9" t="str">
        <f t="shared" si="2"/>
        <v/>
      </c>
      <c r="K313" s="1" t="str">
        <f>IF(A313&gt;0,COUNTIF('Барабан'!K:K,A313),"")</f>
        <v/>
      </c>
      <c r="L313" s="1" t="str">
        <f>IF(A313&gt;0,COUNTIF('Барабан'!V:V,A313),"")</f>
        <v/>
      </c>
      <c r="M313" s="1" t="str">
        <f t="shared" si="3"/>
        <v/>
      </c>
      <c r="N313" s="1" t="str">
        <f>IFERROR(__xludf.DUMMYFUNCTION("IF(A313&gt;0,MIN(FILTER('Барабан'!AJ:AJ,'Барабан'!K:K=A313)),"""")"),"")</f>
        <v/>
      </c>
      <c r="O313" s="16" t="str">
        <f>IFERROR(__xludf.DUMMYFUNCTION("IF(A313&gt;0,IFERROR(MAX(FILTER('Барабан'!AJ:AJ,'Барабан'!V:V=A313)),""–""),"""")"),"")</f>
        <v/>
      </c>
    </row>
    <row r="314" ht="15.75" customHeight="1">
      <c r="A314" s="1" t="str">
        <f>'Справочник'!E309</f>
        <v/>
      </c>
      <c r="B314" s="2" t="str">
        <f>IF(A314&gt;0,SUMIF('Барабан'!K:K,A314,'Барабан'!I:I),"")</f>
        <v/>
      </c>
      <c r="C314" s="2" t="str">
        <f>IF(A314&gt;0,SUMIF('Барабан'!V:V,A314,'Барабан'!T:T),"")</f>
        <v/>
      </c>
      <c r="D314" s="2" t="str">
        <f>IF(A314&gt;0,SUMIF('Барабан'!K:K,A314,'Барабан'!AG:AG)+SUMIF('Барабан'!V:V,A314,'Барабан'!AG:AG),"")</f>
        <v/>
      </c>
      <c r="E314" s="2" t="str">
        <f t="shared" si="1"/>
        <v/>
      </c>
      <c r="F314" s="2" t="str">
        <f t="array" ref="F314">IFERROR(IF(E314=0,0,INDEX('Справочник'!G:G,MATCH(A314,'Справочник'!F:F,0))))</f>
        <v/>
      </c>
      <c r="G314" s="2" t="str">
        <f>IF(A314&gt;0,SUMIF('Барабан'!K:K,A314,'Барабан'!P:P),"")</f>
        <v/>
      </c>
      <c r="H314" s="2" t="str">
        <f>IF(A314&gt;0,SUMIF('Барабан'!V:V,A314,'Барабан'!AA:AA),"")</f>
        <v/>
      </c>
      <c r="I314" s="2" t="str">
        <f t="shared" si="4"/>
        <v/>
      </c>
      <c r="J314" s="9" t="str">
        <f t="shared" si="2"/>
        <v/>
      </c>
      <c r="K314" s="1" t="str">
        <f>IF(A314&gt;0,COUNTIF('Барабан'!K:K,A314),"")</f>
        <v/>
      </c>
      <c r="L314" s="1" t="str">
        <f>IF(A314&gt;0,COUNTIF('Барабан'!V:V,A314),"")</f>
        <v/>
      </c>
      <c r="M314" s="1" t="str">
        <f t="shared" si="3"/>
        <v/>
      </c>
      <c r="N314" s="1" t="str">
        <f>IFERROR(__xludf.DUMMYFUNCTION("IF(A314&gt;0,MIN(FILTER('Барабан'!AJ:AJ,'Барабан'!K:K=A314)),"""")"),"")</f>
        <v/>
      </c>
      <c r="O314" s="16" t="str">
        <f>IFERROR(__xludf.DUMMYFUNCTION("IF(A314&gt;0,IFERROR(MAX(FILTER('Барабан'!AJ:AJ,'Барабан'!V:V=A314)),""–""),"""")"),"")</f>
        <v/>
      </c>
    </row>
    <row r="315" ht="15.75" customHeight="1">
      <c r="A315" s="1" t="str">
        <f>'Справочник'!E310</f>
        <v/>
      </c>
      <c r="B315" s="2" t="str">
        <f>IF(A315&gt;0,SUMIF('Барабан'!K:K,A315,'Барабан'!I:I),"")</f>
        <v/>
      </c>
      <c r="C315" s="2" t="str">
        <f>IF(A315&gt;0,SUMIF('Барабан'!V:V,A315,'Барабан'!T:T),"")</f>
        <v/>
      </c>
      <c r="D315" s="2" t="str">
        <f>IF(A315&gt;0,SUMIF('Барабан'!K:K,A315,'Барабан'!AG:AG)+SUMIF('Барабан'!V:V,A315,'Барабан'!AG:AG),"")</f>
        <v/>
      </c>
      <c r="E315" s="2" t="str">
        <f t="shared" si="1"/>
        <v/>
      </c>
      <c r="F315" s="2" t="str">
        <f t="array" ref="F315">IFERROR(IF(E315=0,0,INDEX('Справочник'!G:G,MATCH(A315,'Справочник'!F:F,0))))</f>
        <v/>
      </c>
      <c r="G315" s="2" t="str">
        <f>IF(A315&gt;0,SUMIF('Барабан'!K:K,A315,'Барабан'!P:P),"")</f>
        <v/>
      </c>
      <c r="H315" s="2" t="str">
        <f>IF(A315&gt;0,SUMIF('Барабан'!V:V,A315,'Барабан'!AA:AA),"")</f>
        <v/>
      </c>
      <c r="I315" s="2" t="str">
        <f t="shared" si="4"/>
        <v/>
      </c>
      <c r="J315" s="9" t="str">
        <f t="shared" si="2"/>
        <v/>
      </c>
      <c r="K315" s="1" t="str">
        <f>IF(A315&gt;0,COUNTIF('Барабан'!K:K,A315),"")</f>
        <v/>
      </c>
      <c r="L315" s="1" t="str">
        <f>IF(A315&gt;0,COUNTIF('Барабан'!V:V,A315),"")</f>
        <v/>
      </c>
      <c r="M315" s="1" t="str">
        <f t="shared" si="3"/>
        <v/>
      </c>
      <c r="N315" s="1" t="str">
        <f>IFERROR(__xludf.DUMMYFUNCTION("IF(A315&gt;0,MIN(FILTER('Барабан'!AJ:AJ,'Барабан'!K:K=A315)),"""")"),"")</f>
        <v/>
      </c>
      <c r="O315" s="16" t="str">
        <f>IFERROR(__xludf.DUMMYFUNCTION("IF(A315&gt;0,IFERROR(MAX(FILTER('Барабан'!AJ:AJ,'Барабан'!V:V=A315)),""–""),"""")"),"")</f>
        <v/>
      </c>
    </row>
    <row r="316" ht="15.75" customHeight="1">
      <c r="A316" s="1" t="str">
        <f>'Справочник'!E311</f>
        <v/>
      </c>
      <c r="B316" s="2" t="str">
        <f>IF(A316&gt;0,SUMIF('Барабан'!K:K,A316,'Барабан'!I:I),"")</f>
        <v/>
      </c>
      <c r="C316" s="2" t="str">
        <f>IF(A316&gt;0,SUMIF('Барабан'!V:V,A316,'Барабан'!T:T),"")</f>
        <v/>
      </c>
      <c r="D316" s="2" t="str">
        <f>IF(A316&gt;0,SUMIF('Барабан'!K:K,A316,'Барабан'!AG:AG)+SUMIF('Барабан'!V:V,A316,'Барабан'!AG:AG),"")</f>
        <v/>
      </c>
      <c r="E316" s="2" t="str">
        <f t="shared" si="1"/>
        <v/>
      </c>
      <c r="F316" s="2" t="str">
        <f t="array" ref="F316">IFERROR(IF(E316=0,0,INDEX('Справочник'!G:G,MATCH(A316,'Справочник'!F:F,0))))</f>
        <v/>
      </c>
      <c r="G316" s="2" t="str">
        <f>IF(A316&gt;0,SUMIF('Барабан'!K:K,A316,'Барабан'!P:P),"")</f>
        <v/>
      </c>
      <c r="H316" s="2" t="str">
        <f>IF(A316&gt;0,SUMIF('Барабан'!V:V,A316,'Барабан'!AA:AA),"")</f>
        <v/>
      </c>
      <c r="I316" s="2" t="str">
        <f t="shared" si="4"/>
        <v/>
      </c>
      <c r="J316" s="9" t="str">
        <f t="shared" si="2"/>
        <v/>
      </c>
      <c r="K316" s="1" t="str">
        <f>IF(A316&gt;0,COUNTIF('Барабан'!K:K,A316),"")</f>
        <v/>
      </c>
      <c r="L316" s="1" t="str">
        <f>IF(A316&gt;0,COUNTIF('Барабан'!V:V,A316),"")</f>
        <v/>
      </c>
      <c r="M316" s="1" t="str">
        <f t="shared" si="3"/>
        <v/>
      </c>
      <c r="N316" s="1" t="str">
        <f>IFERROR(__xludf.DUMMYFUNCTION("IF(A316&gt;0,MIN(FILTER('Барабан'!AJ:AJ,'Барабан'!K:K=A316)),"""")"),"")</f>
        <v/>
      </c>
      <c r="O316" s="16" t="str">
        <f>IFERROR(__xludf.DUMMYFUNCTION("IF(A316&gt;0,IFERROR(MAX(FILTER('Барабан'!AJ:AJ,'Барабан'!V:V=A316)),""–""),"""")"),"")</f>
        <v/>
      </c>
    </row>
    <row r="317" ht="15.75" customHeight="1">
      <c r="A317" s="1" t="str">
        <f>'Справочник'!E312</f>
        <v/>
      </c>
      <c r="B317" s="2" t="str">
        <f>IF(A317&gt;0,SUMIF('Барабан'!K:K,A317,'Барабан'!I:I),"")</f>
        <v/>
      </c>
      <c r="C317" s="2" t="str">
        <f>IF(A317&gt;0,SUMIF('Барабан'!V:V,A317,'Барабан'!T:T),"")</f>
        <v/>
      </c>
      <c r="D317" s="2" t="str">
        <f>IF(A317&gt;0,SUMIF('Барабан'!K:K,A317,'Барабан'!AG:AG)+SUMIF('Барабан'!V:V,A317,'Барабан'!AG:AG),"")</f>
        <v/>
      </c>
      <c r="E317" s="2" t="str">
        <f t="shared" si="1"/>
        <v/>
      </c>
      <c r="F317" s="2" t="str">
        <f t="array" ref="F317">IFERROR(IF(E317=0,0,INDEX('Справочник'!G:G,MATCH(A317,'Справочник'!F:F,0))))</f>
        <v/>
      </c>
      <c r="G317" s="2" t="str">
        <f>IF(A317&gt;0,SUMIF('Барабан'!K:K,A317,'Барабан'!P:P),"")</f>
        <v/>
      </c>
      <c r="H317" s="2" t="str">
        <f>IF(A317&gt;0,SUMIF('Барабан'!V:V,A317,'Барабан'!AA:AA),"")</f>
        <v/>
      </c>
      <c r="I317" s="2" t="str">
        <f t="shared" si="4"/>
        <v/>
      </c>
      <c r="J317" s="9" t="str">
        <f t="shared" si="2"/>
        <v/>
      </c>
      <c r="K317" s="1" t="str">
        <f>IF(A317&gt;0,COUNTIF('Барабан'!K:K,A317),"")</f>
        <v/>
      </c>
      <c r="L317" s="1" t="str">
        <f>IF(A317&gt;0,COUNTIF('Барабан'!V:V,A317),"")</f>
        <v/>
      </c>
      <c r="M317" s="1" t="str">
        <f t="shared" si="3"/>
        <v/>
      </c>
      <c r="N317" s="1" t="str">
        <f>IFERROR(__xludf.DUMMYFUNCTION("IF(A317&gt;0,MIN(FILTER('Барабан'!AJ:AJ,'Барабан'!K:K=A317)),"""")"),"")</f>
        <v/>
      </c>
      <c r="O317" s="16" t="str">
        <f>IFERROR(__xludf.DUMMYFUNCTION("IF(A317&gt;0,IFERROR(MAX(FILTER('Барабан'!AJ:AJ,'Барабан'!V:V=A317)),""–""),"""")"),"")</f>
        <v/>
      </c>
    </row>
    <row r="318" ht="15.75" customHeight="1">
      <c r="A318" s="1" t="str">
        <f>'Справочник'!E313</f>
        <v/>
      </c>
      <c r="B318" s="2" t="str">
        <f>IF(A318&gt;0,SUMIF('Барабан'!K:K,A318,'Барабан'!I:I),"")</f>
        <v/>
      </c>
      <c r="C318" s="2" t="str">
        <f>IF(A318&gt;0,SUMIF('Барабан'!V:V,A318,'Барабан'!T:T),"")</f>
        <v/>
      </c>
      <c r="D318" s="2" t="str">
        <f>IF(A318&gt;0,SUMIF('Барабан'!K:K,A318,'Барабан'!AG:AG)+SUMIF('Барабан'!V:V,A318,'Барабан'!AG:AG),"")</f>
        <v/>
      </c>
      <c r="E318" s="2" t="str">
        <f t="shared" si="1"/>
        <v/>
      </c>
      <c r="F318" s="2" t="str">
        <f t="array" ref="F318">IFERROR(IF(E318=0,0,INDEX('Справочник'!G:G,MATCH(A318,'Справочник'!F:F,0))))</f>
        <v/>
      </c>
      <c r="G318" s="2" t="str">
        <f>IF(A318&gt;0,SUMIF('Барабан'!K:K,A318,'Барабан'!P:P),"")</f>
        <v/>
      </c>
      <c r="H318" s="2" t="str">
        <f>IF(A318&gt;0,SUMIF('Барабан'!V:V,A318,'Барабан'!AA:AA),"")</f>
        <v/>
      </c>
      <c r="I318" s="2" t="str">
        <f t="shared" si="4"/>
        <v/>
      </c>
      <c r="J318" s="9" t="str">
        <f t="shared" si="2"/>
        <v/>
      </c>
      <c r="K318" s="1" t="str">
        <f>IF(A318&gt;0,COUNTIF('Барабан'!K:K,A318),"")</f>
        <v/>
      </c>
      <c r="L318" s="1" t="str">
        <f>IF(A318&gt;0,COUNTIF('Барабан'!V:V,A318),"")</f>
        <v/>
      </c>
      <c r="M318" s="1" t="str">
        <f t="shared" si="3"/>
        <v/>
      </c>
      <c r="N318" s="1" t="str">
        <f>IFERROR(__xludf.DUMMYFUNCTION("IF(A318&gt;0,MIN(FILTER('Барабан'!AJ:AJ,'Барабан'!K:K=A318)),"""")"),"")</f>
        <v/>
      </c>
      <c r="O318" s="16" t="str">
        <f>IFERROR(__xludf.DUMMYFUNCTION("IF(A318&gt;0,IFERROR(MAX(FILTER('Барабан'!AJ:AJ,'Барабан'!V:V=A318)),""–""),"""")"),"")</f>
        <v/>
      </c>
    </row>
    <row r="319" ht="15.75" customHeight="1">
      <c r="A319" s="1" t="str">
        <f>'Справочник'!E314</f>
        <v/>
      </c>
      <c r="B319" s="2" t="str">
        <f>IF(A319&gt;0,SUMIF('Барабан'!K:K,A319,'Барабан'!I:I),"")</f>
        <v/>
      </c>
      <c r="C319" s="2" t="str">
        <f>IF(A319&gt;0,SUMIF('Барабан'!V:V,A319,'Барабан'!T:T),"")</f>
        <v/>
      </c>
      <c r="D319" s="2" t="str">
        <f>IF(A319&gt;0,SUMIF('Барабан'!K:K,A319,'Барабан'!AG:AG)+SUMIF('Барабан'!V:V,A319,'Барабан'!AG:AG),"")</f>
        <v/>
      </c>
      <c r="E319" s="2" t="str">
        <f t="shared" si="1"/>
        <v/>
      </c>
      <c r="F319" s="2" t="str">
        <f t="array" ref="F319">IFERROR(IF(E319=0,0,INDEX('Справочник'!G:G,MATCH(A319,'Справочник'!F:F,0))))</f>
        <v/>
      </c>
      <c r="G319" s="2" t="str">
        <f>IF(A319&gt;0,SUMIF('Барабан'!K:K,A319,'Барабан'!P:P),"")</f>
        <v/>
      </c>
      <c r="H319" s="2" t="str">
        <f>IF(A319&gt;0,SUMIF('Барабан'!V:V,A319,'Барабан'!AA:AA),"")</f>
        <v/>
      </c>
      <c r="I319" s="2" t="str">
        <f t="shared" si="4"/>
        <v/>
      </c>
      <c r="J319" s="9" t="str">
        <f t="shared" si="2"/>
        <v/>
      </c>
      <c r="K319" s="1" t="str">
        <f>IF(A319&gt;0,COUNTIF('Барабан'!K:K,A319),"")</f>
        <v/>
      </c>
      <c r="L319" s="1" t="str">
        <f>IF(A319&gt;0,COUNTIF('Барабан'!V:V,A319),"")</f>
        <v/>
      </c>
      <c r="M319" s="1" t="str">
        <f t="shared" si="3"/>
        <v/>
      </c>
      <c r="N319" s="1" t="str">
        <f>IFERROR(__xludf.DUMMYFUNCTION("IF(A319&gt;0,MIN(FILTER('Барабан'!AJ:AJ,'Барабан'!K:K=A319)),"""")"),"")</f>
        <v/>
      </c>
      <c r="O319" s="16" t="str">
        <f>IFERROR(__xludf.DUMMYFUNCTION("IF(A319&gt;0,IFERROR(MAX(FILTER('Барабан'!AJ:AJ,'Барабан'!V:V=A319)),""–""),"""")"),"")</f>
        <v/>
      </c>
    </row>
    <row r="320" ht="15.75" customHeight="1">
      <c r="A320" s="1" t="str">
        <f>'Справочник'!E315</f>
        <v/>
      </c>
      <c r="B320" s="2" t="str">
        <f>IF(A320&gt;0,SUMIF('Барабан'!K:K,A320,'Барабан'!I:I),"")</f>
        <v/>
      </c>
      <c r="C320" s="2" t="str">
        <f>IF(A320&gt;0,SUMIF('Барабан'!V:V,A320,'Барабан'!T:T),"")</f>
        <v/>
      </c>
      <c r="D320" s="2" t="str">
        <f>IF(A320&gt;0,SUMIF('Барабан'!K:K,A320,'Барабан'!AG:AG)+SUMIF('Барабан'!V:V,A320,'Барабан'!AG:AG),"")</f>
        <v/>
      </c>
      <c r="E320" s="2" t="str">
        <f t="shared" si="1"/>
        <v/>
      </c>
      <c r="F320" s="2" t="str">
        <f t="array" ref="F320">IFERROR(IF(E320=0,0,INDEX('Справочник'!G:G,MATCH(A320,'Справочник'!F:F,0))))</f>
        <v/>
      </c>
      <c r="G320" s="2" t="str">
        <f>IF(A320&gt;0,SUMIF('Барабан'!K:K,A320,'Барабан'!P:P),"")</f>
        <v/>
      </c>
      <c r="H320" s="2" t="str">
        <f>IF(A320&gt;0,SUMIF('Барабан'!V:V,A320,'Барабан'!AA:AA),"")</f>
        <v/>
      </c>
      <c r="I320" s="2" t="str">
        <f t="shared" si="4"/>
        <v/>
      </c>
      <c r="J320" s="9" t="str">
        <f t="shared" si="2"/>
        <v/>
      </c>
      <c r="K320" s="1" t="str">
        <f>IF(A320&gt;0,COUNTIF('Барабан'!K:K,A320),"")</f>
        <v/>
      </c>
      <c r="L320" s="1" t="str">
        <f>IF(A320&gt;0,COUNTIF('Барабан'!V:V,A320),"")</f>
        <v/>
      </c>
      <c r="M320" s="1" t="str">
        <f t="shared" si="3"/>
        <v/>
      </c>
      <c r="N320" s="1" t="str">
        <f>IFERROR(__xludf.DUMMYFUNCTION("IF(A320&gt;0,MIN(FILTER('Барабан'!AJ:AJ,'Барабан'!K:K=A320)),"""")"),"")</f>
        <v/>
      </c>
      <c r="O320" s="16" t="str">
        <f>IFERROR(__xludf.DUMMYFUNCTION("IF(A320&gt;0,IFERROR(MAX(FILTER('Барабан'!AJ:AJ,'Барабан'!V:V=A320)),""–""),"""")"),"")</f>
        <v/>
      </c>
    </row>
    <row r="321" ht="15.75" customHeight="1">
      <c r="A321" s="1" t="str">
        <f>'Справочник'!E316</f>
        <v/>
      </c>
      <c r="B321" s="2" t="str">
        <f>IF(A321&gt;0,SUMIF('Барабан'!K:K,A321,'Барабан'!I:I),"")</f>
        <v/>
      </c>
      <c r="C321" s="2" t="str">
        <f>IF(A321&gt;0,SUMIF('Барабан'!V:V,A321,'Барабан'!T:T),"")</f>
        <v/>
      </c>
      <c r="D321" s="2" t="str">
        <f>IF(A321&gt;0,SUMIF('Барабан'!K:K,A321,'Барабан'!AG:AG)+SUMIF('Барабан'!V:V,A321,'Барабан'!AG:AG),"")</f>
        <v/>
      </c>
      <c r="E321" s="2" t="str">
        <f t="shared" si="1"/>
        <v/>
      </c>
      <c r="F321" s="2" t="str">
        <f t="array" ref="F321">IFERROR(IF(E321=0,0,INDEX('Справочник'!G:G,MATCH(A321,'Справочник'!F:F,0))))</f>
        <v/>
      </c>
      <c r="G321" s="2" t="str">
        <f>IF(A321&gt;0,SUMIF('Барабан'!K:K,A321,'Барабан'!P:P),"")</f>
        <v/>
      </c>
      <c r="H321" s="2" t="str">
        <f>IF(A321&gt;0,SUMIF('Барабан'!V:V,A321,'Барабан'!AA:AA),"")</f>
        <v/>
      </c>
      <c r="I321" s="2" t="str">
        <f t="shared" si="4"/>
        <v/>
      </c>
      <c r="J321" s="9" t="str">
        <f t="shared" si="2"/>
        <v/>
      </c>
      <c r="K321" s="1" t="str">
        <f>IF(A321&gt;0,COUNTIF('Барабан'!K:K,A321),"")</f>
        <v/>
      </c>
      <c r="L321" s="1" t="str">
        <f>IF(A321&gt;0,COUNTIF('Барабан'!V:V,A321),"")</f>
        <v/>
      </c>
      <c r="M321" s="1" t="str">
        <f t="shared" si="3"/>
        <v/>
      </c>
      <c r="N321" s="1" t="str">
        <f>IFERROR(__xludf.DUMMYFUNCTION("IF(A321&gt;0,MIN(FILTER('Барабан'!AJ:AJ,'Барабан'!K:K=A321)),"""")"),"")</f>
        <v/>
      </c>
      <c r="O321" s="16" t="str">
        <f>IFERROR(__xludf.DUMMYFUNCTION("IF(A321&gt;0,IFERROR(MAX(FILTER('Барабан'!AJ:AJ,'Барабан'!V:V=A321)),""–""),"""")"),"")</f>
        <v/>
      </c>
    </row>
    <row r="322" ht="15.75" customHeight="1">
      <c r="A322" s="1" t="str">
        <f>'Справочник'!E317</f>
        <v/>
      </c>
      <c r="B322" s="2" t="str">
        <f>IF(A322&gt;0,SUMIF('Барабан'!K:K,A322,'Барабан'!I:I),"")</f>
        <v/>
      </c>
      <c r="C322" s="2" t="str">
        <f>IF(A322&gt;0,SUMIF('Барабан'!V:V,A322,'Барабан'!T:T),"")</f>
        <v/>
      </c>
      <c r="D322" s="2" t="str">
        <f>IF(A322&gt;0,SUMIF('Барабан'!K:K,A322,'Барабан'!AG:AG)+SUMIF('Барабан'!V:V,A322,'Барабан'!AG:AG),"")</f>
        <v/>
      </c>
      <c r="E322" s="2" t="str">
        <f t="shared" si="1"/>
        <v/>
      </c>
      <c r="F322" s="2" t="str">
        <f t="array" ref="F322">IFERROR(IF(E322=0,0,INDEX('Справочник'!G:G,MATCH(A322,'Справочник'!F:F,0))))</f>
        <v/>
      </c>
      <c r="G322" s="2" t="str">
        <f>IF(A322&gt;0,SUMIF('Барабан'!K:K,A322,'Барабан'!P:P),"")</f>
        <v/>
      </c>
      <c r="H322" s="2" t="str">
        <f>IF(A322&gt;0,SUMIF('Барабан'!V:V,A322,'Барабан'!AA:AA),"")</f>
        <v/>
      </c>
      <c r="I322" s="2" t="str">
        <f t="shared" si="4"/>
        <v/>
      </c>
      <c r="J322" s="9" t="str">
        <f t="shared" si="2"/>
        <v/>
      </c>
      <c r="K322" s="1" t="str">
        <f>IF(A322&gt;0,COUNTIF('Барабан'!K:K,A322),"")</f>
        <v/>
      </c>
      <c r="L322" s="1" t="str">
        <f>IF(A322&gt;0,COUNTIF('Барабан'!V:V,A322),"")</f>
        <v/>
      </c>
      <c r="M322" s="1" t="str">
        <f t="shared" si="3"/>
        <v/>
      </c>
      <c r="N322" s="1" t="str">
        <f>IFERROR(__xludf.DUMMYFUNCTION("IF(A322&gt;0,MIN(FILTER('Барабан'!AJ:AJ,'Барабан'!K:K=A322)),"""")"),"")</f>
        <v/>
      </c>
      <c r="O322" s="16" t="str">
        <f>IFERROR(__xludf.DUMMYFUNCTION("IF(A322&gt;0,IFERROR(MAX(FILTER('Барабан'!AJ:AJ,'Барабан'!V:V=A322)),""–""),"""")"),"")</f>
        <v/>
      </c>
    </row>
    <row r="323" ht="15.75" customHeight="1">
      <c r="A323" s="1" t="str">
        <f>'Справочник'!E318</f>
        <v/>
      </c>
      <c r="B323" s="2" t="str">
        <f>IF(A323&gt;0,SUMIF('Барабан'!K:K,A323,'Барабан'!I:I),"")</f>
        <v/>
      </c>
      <c r="C323" s="2" t="str">
        <f>IF(A323&gt;0,SUMIF('Барабан'!V:V,A323,'Барабан'!T:T),"")</f>
        <v/>
      </c>
      <c r="D323" s="2" t="str">
        <f>IF(A323&gt;0,SUMIF('Барабан'!K:K,A323,'Барабан'!AG:AG)+SUMIF('Барабан'!V:V,A323,'Барабан'!AG:AG),"")</f>
        <v/>
      </c>
      <c r="E323" s="2" t="str">
        <f t="shared" si="1"/>
        <v/>
      </c>
      <c r="F323" s="2" t="str">
        <f t="array" ref="F323">IFERROR(IF(E323=0,0,INDEX('Справочник'!G:G,MATCH(A323,'Справочник'!F:F,0))))</f>
        <v/>
      </c>
      <c r="G323" s="2" t="str">
        <f>IF(A323&gt;0,SUMIF('Барабан'!K:K,A323,'Барабан'!P:P),"")</f>
        <v/>
      </c>
      <c r="H323" s="2" t="str">
        <f>IF(A323&gt;0,SUMIF('Барабан'!V:V,A323,'Барабан'!AA:AA),"")</f>
        <v/>
      </c>
      <c r="I323" s="2" t="str">
        <f t="shared" si="4"/>
        <v/>
      </c>
      <c r="J323" s="9" t="str">
        <f t="shared" si="2"/>
        <v/>
      </c>
      <c r="K323" s="1" t="str">
        <f>IF(A323&gt;0,COUNTIF('Барабан'!K:K,A323),"")</f>
        <v/>
      </c>
      <c r="L323" s="1" t="str">
        <f>IF(A323&gt;0,COUNTIF('Барабан'!V:V,A323),"")</f>
        <v/>
      </c>
      <c r="M323" s="1" t="str">
        <f t="shared" si="3"/>
        <v/>
      </c>
      <c r="N323" s="1" t="str">
        <f>IFERROR(__xludf.DUMMYFUNCTION("IF(A323&gt;0,MIN(FILTER('Барабан'!AJ:AJ,'Барабан'!K:K=A323)),"""")"),"")</f>
        <v/>
      </c>
      <c r="O323" s="16" t="str">
        <f>IFERROR(__xludf.DUMMYFUNCTION("IF(A323&gt;0,IFERROR(MAX(FILTER('Барабан'!AJ:AJ,'Барабан'!V:V=A323)),""–""),"""")"),"")</f>
        <v/>
      </c>
    </row>
    <row r="324" ht="15.75" customHeight="1">
      <c r="A324" s="1" t="str">
        <f>'Справочник'!E319</f>
        <v/>
      </c>
      <c r="B324" s="2" t="str">
        <f>IF(A324&gt;0,SUMIF('Барабан'!K:K,A324,'Барабан'!I:I),"")</f>
        <v/>
      </c>
      <c r="C324" s="2" t="str">
        <f>IF(A324&gt;0,SUMIF('Барабан'!V:V,A324,'Барабан'!T:T),"")</f>
        <v/>
      </c>
      <c r="D324" s="2" t="str">
        <f>IF(A324&gt;0,SUMIF('Барабан'!K:K,A324,'Барабан'!AG:AG)+SUMIF('Барабан'!V:V,A324,'Барабан'!AG:AG),"")</f>
        <v/>
      </c>
      <c r="E324" s="2" t="str">
        <f t="shared" si="1"/>
        <v/>
      </c>
      <c r="F324" s="2" t="str">
        <f t="array" ref="F324">IFERROR(IF(E324=0,0,INDEX('Справочник'!G:G,MATCH(A324,'Справочник'!F:F,0))))</f>
        <v/>
      </c>
      <c r="G324" s="2" t="str">
        <f>IF(A324&gt;0,SUMIF('Барабан'!K:K,A324,'Барабан'!P:P),"")</f>
        <v/>
      </c>
      <c r="H324" s="2" t="str">
        <f>IF(A324&gt;0,SUMIF('Барабан'!V:V,A324,'Барабан'!AA:AA),"")</f>
        <v/>
      </c>
      <c r="I324" s="2" t="str">
        <f t="shared" si="4"/>
        <v/>
      </c>
      <c r="J324" s="9" t="str">
        <f t="shared" si="2"/>
        <v/>
      </c>
      <c r="K324" s="1" t="str">
        <f>IF(A324&gt;0,COUNTIF('Барабан'!K:K,A324),"")</f>
        <v/>
      </c>
      <c r="L324" s="1" t="str">
        <f>IF(A324&gt;0,COUNTIF('Барабан'!V:V,A324),"")</f>
        <v/>
      </c>
      <c r="M324" s="1" t="str">
        <f t="shared" si="3"/>
        <v/>
      </c>
      <c r="N324" s="1" t="str">
        <f>IFERROR(__xludf.DUMMYFUNCTION("IF(A324&gt;0,MIN(FILTER('Барабан'!AJ:AJ,'Барабан'!K:K=A324)),"""")"),"")</f>
        <v/>
      </c>
      <c r="O324" s="16" t="str">
        <f>IFERROR(__xludf.DUMMYFUNCTION("IF(A324&gt;0,IFERROR(MAX(FILTER('Барабан'!AJ:AJ,'Барабан'!V:V=A324)),""–""),"""")"),"")</f>
        <v/>
      </c>
    </row>
    <row r="325" ht="15.75" customHeight="1">
      <c r="A325" s="1" t="str">
        <f>'Справочник'!E320</f>
        <v/>
      </c>
      <c r="B325" s="2" t="str">
        <f>IF(A325&gt;0,SUMIF('Барабан'!K:K,A325,'Барабан'!I:I),"")</f>
        <v/>
      </c>
      <c r="C325" s="2" t="str">
        <f>IF(A325&gt;0,SUMIF('Барабан'!V:V,A325,'Барабан'!T:T),"")</f>
        <v/>
      </c>
      <c r="D325" s="2" t="str">
        <f>IF(A325&gt;0,SUMIF('Барабан'!K:K,A325,'Барабан'!AG:AG)+SUMIF('Барабан'!V:V,A325,'Барабан'!AG:AG),"")</f>
        <v/>
      </c>
      <c r="E325" s="2" t="str">
        <f t="shared" si="1"/>
        <v/>
      </c>
      <c r="F325" s="2" t="str">
        <f t="array" ref="F325">IFERROR(IF(E325=0,0,INDEX('Справочник'!G:G,MATCH(A325,'Справочник'!F:F,0))))</f>
        <v/>
      </c>
      <c r="G325" s="2" t="str">
        <f>IF(A325&gt;0,SUMIF('Барабан'!K:K,A325,'Барабан'!P:P),"")</f>
        <v/>
      </c>
      <c r="H325" s="2" t="str">
        <f>IF(A325&gt;0,SUMIF('Барабан'!V:V,A325,'Барабан'!AA:AA),"")</f>
        <v/>
      </c>
      <c r="I325" s="2" t="str">
        <f t="shared" si="4"/>
        <v/>
      </c>
      <c r="J325" s="9" t="str">
        <f t="shared" si="2"/>
        <v/>
      </c>
      <c r="K325" s="1" t="str">
        <f>IF(A325&gt;0,COUNTIF('Барабан'!K:K,A325),"")</f>
        <v/>
      </c>
      <c r="L325" s="1" t="str">
        <f>IF(A325&gt;0,COUNTIF('Барабан'!V:V,A325),"")</f>
        <v/>
      </c>
      <c r="M325" s="1" t="str">
        <f t="shared" si="3"/>
        <v/>
      </c>
      <c r="N325" s="1" t="str">
        <f>IFERROR(__xludf.DUMMYFUNCTION("IF(A325&gt;0,MIN(FILTER('Барабан'!AJ:AJ,'Барабан'!K:K=A325)),"""")"),"")</f>
        <v/>
      </c>
      <c r="O325" s="16" t="str">
        <f>IFERROR(__xludf.DUMMYFUNCTION("IF(A325&gt;0,IFERROR(MAX(FILTER('Барабан'!AJ:AJ,'Барабан'!V:V=A325)),""–""),"""")"),"")</f>
        <v/>
      </c>
    </row>
    <row r="326" ht="15.75" customHeight="1">
      <c r="A326" s="1" t="str">
        <f>'Справочник'!E321</f>
        <v/>
      </c>
      <c r="B326" s="2" t="str">
        <f>IF(A326&gt;0,SUMIF('Барабан'!K:K,A326,'Барабан'!I:I),"")</f>
        <v/>
      </c>
      <c r="C326" s="2" t="str">
        <f>IF(A326&gt;0,SUMIF('Барабан'!V:V,A326,'Барабан'!T:T),"")</f>
        <v/>
      </c>
      <c r="D326" s="2" t="str">
        <f>IF(A326&gt;0,SUMIF('Барабан'!K:K,A326,'Барабан'!AG:AG)+SUMIF('Барабан'!V:V,A326,'Барабан'!AG:AG),"")</f>
        <v/>
      </c>
      <c r="E326" s="2" t="str">
        <f t="shared" si="1"/>
        <v/>
      </c>
      <c r="F326" s="2" t="str">
        <f t="array" ref="F326">IFERROR(IF(E326=0,0,INDEX('Справочник'!G:G,MATCH(A326,'Справочник'!F:F,0))))</f>
        <v/>
      </c>
      <c r="G326" s="2" t="str">
        <f>IF(A326&gt;0,SUMIF('Барабан'!K:K,A326,'Барабан'!P:P),"")</f>
        <v/>
      </c>
      <c r="H326" s="2" t="str">
        <f>IF(A326&gt;0,SUMIF('Барабан'!V:V,A326,'Барабан'!AA:AA),"")</f>
        <v/>
      </c>
      <c r="I326" s="2" t="str">
        <f t="shared" si="4"/>
        <v/>
      </c>
      <c r="J326" s="9" t="str">
        <f t="shared" si="2"/>
        <v/>
      </c>
      <c r="K326" s="1" t="str">
        <f>IF(A326&gt;0,COUNTIF('Барабан'!K:K,A326),"")</f>
        <v/>
      </c>
      <c r="L326" s="1" t="str">
        <f>IF(A326&gt;0,COUNTIF('Барабан'!V:V,A326),"")</f>
        <v/>
      </c>
      <c r="M326" s="1" t="str">
        <f t="shared" si="3"/>
        <v/>
      </c>
      <c r="N326" s="1" t="str">
        <f>IFERROR(__xludf.DUMMYFUNCTION("IF(A326&gt;0,MIN(FILTER('Барабан'!AJ:AJ,'Барабан'!K:K=A326)),"""")"),"")</f>
        <v/>
      </c>
      <c r="O326" s="16" t="str">
        <f>IFERROR(__xludf.DUMMYFUNCTION("IF(A326&gt;0,IFERROR(MAX(FILTER('Барабан'!AJ:AJ,'Барабан'!V:V=A326)),""–""),"""")"),"")</f>
        <v/>
      </c>
    </row>
    <row r="327" ht="15.75" customHeight="1">
      <c r="A327" s="1" t="str">
        <f>'Справочник'!E322</f>
        <v/>
      </c>
      <c r="B327" s="2" t="str">
        <f>IF(A327&gt;0,SUMIF('Барабан'!K:K,A327,'Барабан'!I:I),"")</f>
        <v/>
      </c>
      <c r="C327" s="2" t="str">
        <f>IF(A327&gt;0,SUMIF('Барабан'!V:V,A327,'Барабан'!T:T),"")</f>
        <v/>
      </c>
      <c r="D327" s="2" t="str">
        <f>IF(A327&gt;0,SUMIF('Барабан'!K:K,A327,'Барабан'!AG:AG)+SUMIF('Барабан'!V:V,A327,'Барабан'!AG:AG),"")</f>
        <v/>
      </c>
      <c r="E327" s="2" t="str">
        <f t="shared" si="1"/>
        <v/>
      </c>
      <c r="F327" s="2" t="str">
        <f t="array" ref="F327">IFERROR(IF(E327=0,0,INDEX('Справочник'!G:G,MATCH(A327,'Справочник'!F:F,0))))</f>
        <v/>
      </c>
      <c r="G327" s="2" t="str">
        <f>IF(A327&gt;0,SUMIF('Барабан'!K:K,A327,'Барабан'!P:P),"")</f>
        <v/>
      </c>
      <c r="H327" s="2" t="str">
        <f>IF(A327&gt;0,SUMIF('Барабан'!V:V,A327,'Барабан'!AA:AA),"")</f>
        <v/>
      </c>
      <c r="I327" s="2" t="str">
        <f t="shared" si="4"/>
        <v/>
      </c>
      <c r="J327" s="9" t="str">
        <f t="shared" si="2"/>
        <v/>
      </c>
      <c r="K327" s="1" t="str">
        <f>IF(A327&gt;0,COUNTIF('Барабан'!K:K,A327),"")</f>
        <v/>
      </c>
      <c r="L327" s="1" t="str">
        <f>IF(A327&gt;0,COUNTIF('Барабан'!V:V,A327),"")</f>
        <v/>
      </c>
      <c r="M327" s="1" t="str">
        <f t="shared" si="3"/>
        <v/>
      </c>
      <c r="N327" s="1" t="str">
        <f>IFERROR(__xludf.DUMMYFUNCTION("IF(A327&gt;0,MIN(FILTER('Барабан'!AJ:AJ,'Барабан'!K:K=A327)),"""")"),"")</f>
        <v/>
      </c>
      <c r="O327" s="16" t="str">
        <f>IFERROR(__xludf.DUMMYFUNCTION("IF(A327&gt;0,IFERROR(MAX(FILTER('Барабан'!AJ:AJ,'Барабан'!V:V=A327)),""–""),"""")"),"")</f>
        <v/>
      </c>
    </row>
    <row r="328" ht="15.75" customHeight="1">
      <c r="A328" s="1" t="str">
        <f>'Справочник'!E323</f>
        <v/>
      </c>
      <c r="B328" s="2" t="str">
        <f>IF(A328&gt;0,SUMIF('Барабан'!K:K,A328,'Барабан'!I:I),"")</f>
        <v/>
      </c>
      <c r="C328" s="2" t="str">
        <f>IF(A328&gt;0,SUMIF('Барабан'!V:V,A328,'Барабан'!T:T),"")</f>
        <v/>
      </c>
      <c r="D328" s="2" t="str">
        <f>IF(A328&gt;0,SUMIF('Барабан'!K:K,A328,'Барабан'!AG:AG)+SUMIF('Барабан'!V:V,A328,'Барабан'!AG:AG),"")</f>
        <v/>
      </c>
      <c r="E328" s="2" t="str">
        <f t="shared" si="1"/>
        <v/>
      </c>
      <c r="F328" s="2" t="str">
        <f t="array" ref="F328">IFERROR(IF(E328=0,0,INDEX('Справочник'!G:G,MATCH(A328,'Справочник'!F:F,0))))</f>
        <v/>
      </c>
      <c r="G328" s="2" t="str">
        <f>IF(A328&gt;0,SUMIF('Барабан'!K:K,A328,'Барабан'!P:P),"")</f>
        <v/>
      </c>
      <c r="H328" s="2" t="str">
        <f>IF(A328&gt;0,SUMIF('Барабан'!V:V,A328,'Барабан'!AA:AA),"")</f>
        <v/>
      </c>
      <c r="I328" s="2" t="str">
        <f t="shared" si="4"/>
        <v/>
      </c>
      <c r="J328" s="9" t="str">
        <f t="shared" si="2"/>
        <v/>
      </c>
      <c r="K328" s="1" t="str">
        <f>IF(A328&gt;0,COUNTIF('Барабан'!K:K,A328),"")</f>
        <v/>
      </c>
      <c r="L328" s="1" t="str">
        <f>IF(A328&gt;0,COUNTIF('Барабан'!V:V,A328),"")</f>
        <v/>
      </c>
      <c r="M328" s="1" t="str">
        <f t="shared" si="3"/>
        <v/>
      </c>
      <c r="N328" s="1" t="str">
        <f>IFERROR(__xludf.DUMMYFUNCTION("IF(A328&gt;0,MIN(FILTER('Барабан'!AJ:AJ,'Барабан'!K:K=A328)),"""")"),"")</f>
        <v/>
      </c>
      <c r="O328" s="16" t="str">
        <f>IFERROR(__xludf.DUMMYFUNCTION("IF(A328&gt;0,IFERROR(MAX(FILTER('Барабан'!AJ:AJ,'Барабан'!V:V=A328)),""–""),"""")"),"")</f>
        <v/>
      </c>
    </row>
    <row r="329" ht="15.75" customHeight="1">
      <c r="A329" s="1" t="str">
        <f>'Справочник'!E324</f>
        <v/>
      </c>
      <c r="B329" s="2" t="str">
        <f>IF(A329&gt;0,SUMIF('Барабан'!K:K,A329,'Барабан'!I:I),"")</f>
        <v/>
      </c>
      <c r="C329" s="2" t="str">
        <f>IF(A329&gt;0,SUMIF('Барабан'!V:V,A329,'Барабан'!T:T),"")</f>
        <v/>
      </c>
      <c r="D329" s="2" t="str">
        <f>IF(A329&gt;0,SUMIF('Барабан'!K:K,A329,'Барабан'!AG:AG)+SUMIF('Барабан'!V:V,A329,'Барабан'!AG:AG),"")</f>
        <v/>
      </c>
      <c r="E329" s="2" t="str">
        <f t="shared" si="1"/>
        <v/>
      </c>
      <c r="F329" s="2" t="str">
        <f t="array" ref="F329">IFERROR(IF(E329=0,0,INDEX('Справочник'!G:G,MATCH(A329,'Справочник'!F:F,0))))</f>
        <v/>
      </c>
      <c r="G329" s="2" t="str">
        <f>IF(A329&gt;0,SUMIF('Барабан'!K:K,A329,'Барабан'!P:P),"")</f>
        <v/>
      </c>
      <c r="H329" s="2" t="str">
        <f>IF(A329&gt;0,SUMIF('Барабан'!V:V,A329,'Барабан'!AA:AA),"")</f>
        <v/>
      </c>
      <c r="I329" s="2" t="str">
        <f t="shared" si="4"/>
        <v/>
      </c>
      <c r="J329" s="9" t="str">
        <f t="shared" si="2"/>
        <v/>
      </c>
      <c r="K329" s="1" t="str">
        <f>IF(A329&gt;0,COUNTIF('Барабан'!K:K,A329),"")</f>
        <v/>
      </c>
      <c r="L329" s="1" t="str">
        <f>IF(A329&gt;0,COUNTIF('Барабан'!V:V,A329),"")</f>
        <v/>
      </c>
      <c r="M329" s="1" t="str">
        <f t="shared" si="3"/>
        <v/>
      </c>
      <c r="N329" s="1" t="str">
        <f>IFERROR(__xludf.DUMMYFUNCTION("IF(A329&gt;0,MIN(FILTER('Барабан'!AJ:AJ,'Барабан'!K:K=A329)),"""")"),"")</f>
        <v/>
      </c>
      <c r="O329" s="16" t="str">
        <f>IFERROR(__xludf.DUMMYFUNCTION("IF(A329&gt;0,IFERROR(MAX(FILTER('Барабан'!AJ:AJ,'Барабан'!V:V=A329)),""–""),"""")"),"")</f>
        <v/>
      </c>
    </row>
    <row r="330" ht="15.75" customHeight="1">
      <c r="A330" s="1" t="str">
        <f>'Справочник'!E325</f>
        <v/>
      </c>
      <c r="B330" s="2" t="str">
        <f>IF(A330&gt;0,SUMIF('Барабан'!K:K,A330,'Барабан'!I:I),"")</f>
        <v/>
      </c>
      <c r="C330" s="2" t="str">
        <f>IF(A330&gt;0,SUMIF('Барабан'!V:V,A330,'Барабан'!T:T),"")</f>
        <v/>
      </c>
      <c r="D330" s="2" t="str">
        <f>IF(A330&gt;0,SUMIF('Барабан'!K:K,A330,'Барабан'!AG:AG)+SUMIF('Барабан'!V:V,A330,'Барабан'!AG:AG),"")</f>
        <v/>
      </c>
      <c r="E330" s="2" t="str">
        <f t="shared" si="1"/>
        <v/>
      </c>
      <c r="F330" s="2" t="str">
        <f t="array" ref="F330">IFERROR(IF(E330=0,0,INDEX('Справочник'!G:G,MATCH(A330,'Справочник'!F:F,0))))</f>
        <v/>
      </c>
      <c r="G330" s="2" t="str">
        <f>IF(A330&gt;0,SUMIF('Барабан'!K:K,A330,'Барабан'!P:P),"")</f>
        <v/>
      </c>
      <c r="H330" s="2" t="str">
        <f>IF(A330&gt;0,SUMIF('Барабан'!V:V,A330,'Барабан'!AA:AA),"")</f>
        <v/>
      </c>
      <c r="I330" s="2" t="str">
        <f t="shared" si="4"/>
        <v/>
      </c>
      <c r="J330" s="9" t="str">
        <f t="shared" si="2"/>
        <v/>
      </c>
      <c r="K330" s="1" t="str">
        <f>IF(A330&gt;0,COUNTIF('Барабан'!K:K,A330),"")</f>
        <v/>
      </c>
      <c r="L330" s="1" t="str">
        <f>IF(A330&gt;0,COUNTIF('Барабан'!V:V,A330),"")</f>
        <v/>
      </c>
      <c r="M330" s="1" t="str">
        <f t="shared" si="3"/>
        <v/>
      </c>
      <c r="N330" s="1" t="str">
        <f>IFERROR(__xludf.DUMMYFUNCTION("IF(A330&gt;0,MIN(FILTER('Барабан'!AJ:AJ,'Барабан'!K:K=A330)),"""")"),"")</f>
        <v/>
      </c>
      <c r="O330" s="16" t="str">
        <f>IFERROR(__xludf.DUMMYFUNCTION("IF(A330&gt;0,IFERROR(MAX(FILTER('Барабан'!AJ:AJ,'Барабан'!V:V=A330)),""–""),"""")"),"")</f>
        <v/>
      </c>
    </row>
    <row r="331" ht="15.75" customHeight="1">
      <c r="A331" s="1" t="str">
        <f>'Справочник'!E326</f>
        <v/>
      </c>
      <c r="B331" s="2" t="str">
        <f>IF(A331&gt;0,SUMIF('Барабан'!K:K,A331,'Барабан'!I:I),"")</f>
        <v/>
      </c>
      <c r="C331" s="2" t="str">
        <f>IF(A331&gt;0,SUMIF('Барабан'!V:V,A331,'Барабан'!T:T),"")</f>
        <v/>
      </c>
      <c r="D331" s="2" t="str">
        <f>IF(A331&gt;0,SUMIF('Барабан'!K:K,A331,'Барабан'!AG:AG)+SUMIF('Барабан'!V:V,A331,'Барабан'!AG:AG),"")</f>
        <v/>
      </c>
      <c r="E331" s="2" t="str">
        <f t="shared" si="1"/>
        <v/>
      </c>
      <c r="F331" s="2" t="str">
        <f t="array" ref="F331">IFERROR(IF(E331=0,0,INDEX('Справочник'!G:G,MATCH(A331,'Справочник'!F:F,0))))</f>
        <v/>
      </c>
      <c r="G331" s="2" t="str">
        <f>IF(A331&gt;0,SUMIF('Барабан'!K:K,A331,'Барабан'!P:P),"")</f>
        <v/>
      </c>
      <c r="H331" s="2" t="str">
        <f>IF(A331&gt;0,SUMIF('Барабан'!V:V,A331,'Барабан'!AA:AA),"")</f>
        <v/>
      </c>
      <c r="I331" s="2" t="str">
        <f t="shared" si="4"/>
        <v/>
      </c>
      <c r="J331" s="9" t="str">
        <f t="shared" si="2"/>
        <v/>
      </c>
      <c r="K331" s="1" t="str">
        <f>IF(A331&gt;0,COUNTIF('Барабан'!K:K,A331),"")</f>
        <v/>
      </c>
      <c r="L331" s="1" t="str">
        <f>IF(A331&gt;0,COUNTIF('Барабан'!V:V,A331),"")</f>
        <v/>
      </c>
      <c r="M331" s="1" t="str">
        <f t="shared" si="3"/>
        <v/>
      </c>
      <c r="N331" s="1" t="str">
        <f>IFERROR(__xludf.DUMMYFUNCTION("IF(A331&gt;0,MIN(FILTER('Барабан'!AJ:AJ,'Барабан'!K:K=A331)),"""")"),"")</f>
        <v/>
      </c>
      <c r="O331" s="16" t="str">
        <f>IFERROR(__xludf.DUMMYFUNCTION("IF(A331&gt;0,IFERROR(MAX(FILTER('Барабан'!AJ:AJ,'Барабан'!V:V=A331)),""–""),"""")"),"")</f>
        <v/>
      </c>
    </row>
    <row r="332" ht="15.75" customHeight="1">
      <c r="A332" s="1" t="str">
        <f>'Справочник'!E327</f>
        <v/>
      </c>
      <c r="B332" s="2" t="str">
        <f>IF(A332&gt;0,SUMIF('Барабан'!K:K,A332,'Барабан'!I:I),"")</f>
        <v/>
      </c>
      <c r="C332" s="2" t="str">
        <f>IF(A332&gt;0,SUMIF('Барабан'!V:V,A332,'Барабан'!T:T),"")</f>
        <v/>
      </c>
      <c r="D332" s="2" t="str">
        <f>IF(A332&gt;0,SUMIF('Барабан'!K:K,A332,'Барабан'!AG:AG)+SUMIF('Барабан'!V:V,A332,'Барабан'!AG:AG),"")</f>
        <v/>
      </c>
      <c r="E332" s="2" t="str">
        <f t="shared" si="1"/>
        <v/>
      </c>
      <c r="F332" s="2" t="str">
        <f t="array" ref="F332">IFERROR(IF(E332=0,0,INDEX('Справочник'!G:G,MATCH(A332,'Справочник'!F:F,0))))</f>
        <v/>
      </c>
      <c r="G332" s="2" t="str">
        <f>IF(A332&gt;0,SUMIF('Барабан'!K:K,A332,'Барабан'!P:P),"")</f>
        <v/>
      </c>
      <c r="H332" s="2" t="str">
        <f>IF(A332&gt;0,SUMIF('Барабан'!V:V,A332,'Барабан'!AA:AA),"")</f>
        <v/>
      </c>
      <c r="I332" s="2" t="str">
        <f t="shared" si="4"/>
        <v/>
      </c>
      <c r="J332" s="9" t="str">
        <f t="shared" si="2"/>
        <v/>
      </c>
      <c r="K332" s="1" t="str">
        <f>IF(A332&gt;0,COUNTIF('Барабан'!K:K,A332),"")</f>
        <v/>
      </c>
      <c r="L332" s="1" t="str">
        <f>IF(A332&gt;0,COUNTIF('Барабан'!V:V,A332),"")</f>
        <v/>
      </c>
      <c r="M332" s="1" t="str">
        <f t="shared" si="3"/>
        <v/>
      </c>
      <c r="N332" s="1" t="str">
        <f>IFERROR(__xludf.DUMMYFUNCTION("IF(A332&gt;0,MIN(FILTER('Барабан'!AJ:AJ,'Барабан'!K:K=A332)),"""")"),"")</f>
        <v/>
      </c>
      <c r="O332" s="16" t="str">
        <f>IFERROR(__xludf.DUMMYFUNCTION("IF(A332&gt;0,IFERROR(MAX(FILTER('Барабан'!AJ:AJ,'Барабан'!V:V=A332)),""–""),"""")"),"")</f>
        <v/>
      </c>
    </row>
    <row r="333" ht="15.75" customHeight="1">
      <c r="A333" s="1" t="str">
        <f>'Справочник'!E328</f>
        <v/>
      </c>
      <c r="B333" s="2" t="str">
        <f>IF(A333&gt;0,SUMIF('Барабан'!K:K,A333,'Барабан'!I:I),"")</f>
        <v/>
      </c>
      <c r="C333" s="2" t="str">
        <f>IF(A333&gt;0,SUMIF('Барабан'!V:V,A333,'Барабан'!T:T),"")</f>
        <v/>
      </c>
      <c r="D333" s="2" t="str">
        <f>IF(A333&gt;0,SUMIF('Барабан'!K:K,A333,'Барабан'!AG:AG)+SUMIF('Барабан'!V:V,A333,'Барабан'!AG:AG),"")</f>
        <v/>
      </c>
      <c r="E333" s="2" t="str">
        <f t="shared" si="1"/>
        <v/>
      </c>
      <c r="F333" s="2" t="str">
        <f t="array" ref="F333">IFERROR(IF(E333=0,0,INDEX('Справочник'!G:G,MATCH(A333,'Справочник'!F:F,0))))</f>
        <v/>
      </c>
      <c r="G333" s="2" t="str">
        <f>IF(A333&gt;0,SUMIF('Барабан'!K:K,A333,'Барабан'!P:P),"")</f>
        <v/>
      </c>
      <c r="H333" s="2" t="str">
        <f>IF(A333&gt;0,SUMIF('Барабан'!V:V,A333,'Барабан'!AA:AA),"")</f>
        <v/>
      </c>
      <c r="I333" s="2" t="str">
        <f t="shared" si="4"/>
        <v/>
      </c>
      <c r="J333" s="9" t="str">
        <f t="shared" si="2"/>
        <v/>
      </c>
      <c r="K333" s="1" t="str">
        <f>IF(A333&gt;0,COUNTIF('Барабан'!K:K,A333),"")</f>
        <v/>
      </c>
      <c r="L333" s="1" t="str">
        <f>IF(A333&gt;0,COUNTIF('Барабан'!V:V,A333),"")</f>
        <v/>
      </c>
      <c r="M333" s="1" t="str">
        <f t="shared" si="3"/>
        <v/>
      </c>
      <c r="N333" s="1" t="str">
        <f>IFERROR(__xludf.DUMMYFUNCTION("IF(A333&gt;0,MIN(FILTER('Барабан'!AJ:AJ,'Барабан'!K:K=A333)),"""")"),"")</f>
        <v/>
      </c>
      <c r="O333" s="16" t="str">
        <f>IFERROR(__xludf.DUMMYFUNCTION("IF(A333&gt;0,IFERROR(MAX(FILTER('Барабан'!AJ:AJ,'Барабан'!V:V=A333)),""–""),"""")"),"")</f>
        <v/>
      </c>
    </row>
    <row r="334" ht="15.75" customHeight="1">
      <c r="A334" s="1" t="str">
        <f>'Справочник'!E329</f>
        <v/>
      </c>
      <c r="B334" s="2" t="str">
        <f>IF(A334&gt;0,SUMIF('Барабан'!K:K,A334,'Барабан'!I:I),"")</f>
        <v/>
      </c>
      <c r="C334" s="2" t="str">
        <f>IF(A334&gt;0,SUMIF('Барабан'!V:V,A334,'Барабан'!T:T),"")</f>
        <v/>
      </c>
      <c r="D334" s="2" t="str">
        <f>IF(A334&gt;0,SUMIF('Барабан'!K:K,A334,'Барабан'!AG:AG)+SUMIF('Барабан'!V:V,A334,'Барабан'!AG:AG),"")</f>
        <v/>
      </c>
      <c r="E334" s="2" t="str">
        <f t="shared" si="1"/>
        <v/>
      </c>
      <c r="F334" s="2" t="str">
        <f t="array" ref="F334">IFERROR(IF(E334=0,0,INDEX('Справочник'!G:G,MATCH(A334,'Справочник'!F:F,0))))</f>
        <v/>
      </c>
      <c r="G334" s="2" t="str">
        <f>IF(A334&gt;0,SUMIF('Барабан'!K:K,A334,'Барабан'!P:P),"")</f>
        <v/>
      </c>
      <c r="H334" s="2" t="str">
        <f>IF(A334&gt;0,SUMIF('Барабан'!V:V,A334,'Барабан'!AA:AA),"")</f>
        <v/>
      </c>
      <c r="I334" s="2" t="str">
        <f t="shared" si="4"/>
        <v/>
      </c>
      <c r="J334" s="9" t="str">
        <f t="shared" si="2"/>
        <v/>
      </c>
      <c r="K334" s="1" t="str">
        <f>IF(A334&gt;0,COUNTIF('Барабан'!K:K,A334),"")</f>
        <v/>
      </c>
      <c r="L334" s="1" t="str">
        <f>IF(A334&gt;0,COUNTIF('Барабан'!V:V,A334),"")</f>
        <v/>
      </c>
      <c r="M334" s="1" t="str">
        <f t="shared" si="3"/>
        <v/>
      </c>
      <c r="N334" s="1" t="str">
        <f>IFERROR(__xludf.DUMMYFUNCTION("IF(A334&gt;0,MIN(FILTER('Барабан'!AJ:AJ,'Барабан'!K:K=A334)),"""")"),"")</f>
        <v/>
      </c>
      <c r="O334" s="16" t="str">
        <f>IFERROR(__xludf.DUMMYFUNCTION("IF(A334&gt;0,IFERROR(MAX(FILTER('Барабан'!AJ:AJ,'Барабан'!V:V=A334)),""–""),"""")"),"")</f>
        <v/>
      </c>
    </row>
    <row r="335" ht="15.75" customHeight="1">
      <c r="A335" s="1" t="str">
        <f>'Справочник'!E330</f>
        <v/>
      </c>
      <c r="B335" s="2" t="str">
        <f>IF(A335&gt;0,SUMIF('Барабан'!K:K,A335,'Барабан'!I:I),"")</f>
        <v/>
      </c>
      <c r="C335" s="2" t="str">
        <f>IF(A335&gt;0,SUMIF('Барабан'!V:V,A335,'Барабан'!T:T),"")</f>
        <v/>
      </c>
      <c r="D335" s="2" t="str">
        <f>IF(A335&gt;0,SUMIF('Барабан'!K:K,A335,'Барабан'!AG:AG)+SUMIF('Барабан'!V:V,A335,'Барабан'!AG:AG),"")</f>
        <v/>
      </c>
      <c r="E335" s="2" t="str">
        <f t="shared" si="1"/>
        <v/>
      </c>
      <c r="F335" s="2" t="str">
        <f t="array" ref="F335">IFERROR(IF(E335=0,0,INDEX('Справочник'!G:G,MATCH(A335,'Справочник'!F:F,0))))</f>
        <v/>
      </c>
      <c r="G335" s="2" t="str">
        <f>IF(A335&gt;0,SUMIF('Барабан'!K:K,A335,'Барабан'!P:P),"")</f>
        <v/>
      </c>
      <c r="H335" s="2" t="str">
        <f>IF(A335&gt;0,SUMIF('Барабан'!V:V,A335,'Барабан'!AA:AA),"")</f>
        <v/>
      </c>
      <c r="I335" s="2" t="str">
        <f t="shared" si="4"/>
        <v/>
      </c>
      <c r="J335" s="9" t="str">
        <f t="shared" si="2"/>
        <v/>
      </c>
      <c r="K335" s="1" t="str">
        <f>IF(A335&gt;0,COUNTIF('Барабан'!K:K,A335),"")</f>
        <v/>
      </c>
      <c r="L335" s="1" t="str">
        <f>IF(A335&gt;0,COUNTIF('Барабан'!V:V,A335),"")</f>
        <v/>
      </c>
      <c r="M335" s="1" t="str">
        <f t="shared" si="3"/>
        <v/>
      </c>
      <c r="N335" s="1" t="str">
        <f>IFERROR(__xludf.DUMMYFUNCTION("IF(A335&gt;0,MIN(FILTER('Барабан'!AJ:AJ,'Барабан'!K:K=A335)),"""")"),"")</f>
        <v/>
      </c>
      <c r="O335" s="16" t="str">
        <f>IFERROR(__xludf.DUMMYFUNCTION("IF(A335&gt;0,IFERROR(MAX(FILTER('Барабан'!AJ:AJ,'Барабан'!V:V=A335)),""–""),"""")"),"")</f>
        <v/>
      </c>
    </row>
    <row r="336" ht="15.75" customHeight="1">
      <c r="A336" s="1" t="str">
        <f>'Справочник'!E331</f>
        <v/>
      </c>
      <c r="B336" s="2" t="str">
        <f>IF(A336&gt;0,SUMIF('Барабан'!K:K,A336,'Барабан'!I:I),"")</f>
        <v/>
      </c>
      <c r="C336" s="2" t="str">
        <f>IF(A336&gt;0,SUMIF('Барабан'!V:V,A336,'Барабан'!T:T),"")</f>
        <v/>
      </c>
      <c r="D336" s="2" t="str">
        <f>IF(A336&gt;0,SUMIF('Барабан'!K:K,A336,'Барабан'!AG:AG)+SUMIF('Барабан'!V:V,A336,'Барабан'!AG:AG),"")</f>
        <v/>
      </c>
      <c r="E336" s="2" t="str">
        <f t="shared" si="1"/>
        <v/>
      </c>
      <c r="F336" s="2" t="str">
        <f t="array" ref="F336">IFERROR(IF(E336=0,0,INDEX('Справочник'!G:G,MATCH(A336,'Справочник'!F:F,0))))</f>
        <v/>
      </c>
      <c r="G336" s="2" t="str">
        <f>IF(A336&gt;0,SUMIF('Барабан'!K:K,A336,'Барабан'!P:P),"")</f>
        <v/>
      </c>
      <c r="H336" s="2" t="str">
        <f>IF(A336&gt;0,SUMIF('Барабан'!V:V,A336,'Барабан'!AA:AA),"")</f>
        <v/>
      </c>
      <c r="I336" s="2" t="str">
        <f t="shared" si="4"/>
        <v/>
      </c>
      <c r="J336" s="9" t="str">
        <f t="shared" si="2"/>
        <v/>
      </c>
      <c r="K336" s="1" t="str">
        <f>IF(A336&gt;0,COUNTIF('Барабан'!K:K,A336),"")</f>
        <v/>
      </c>
      <c r="L336" s="1" t="str">
        <f>IF(A336&gt;0,COUNTIF('Барабан'!V:V,A336),"")</f>
        <v/>
      </c>
      <c r="M336" s="1" t="str">
        <f t="shared" si="3"/>
        <v/>
      </c>
      <c r="N336" s="1" t="str">
        <f>IFERROR(__xludf.DUMMYFUNCTION("IF(A336&gt;0,MIN(FILTER('Барабан'!AJ:AJ,'Барабан'!K:K=A336)),"""")"),"")</f>
        <v/>
      </c>
      <c r="O336" s="16" t="str">
        <f>IFERROR(__xludf.DUMMYFUNCTION("IF(A336&gt;0,IFERROR(MAX(FILTER('Барабан'!AJ:AJ,'Барабан'!V:V=A336)),""–""),"""")"),"")</f>
        <v/>
      </c>
    </row>
    <row r="337" ht="15.75" customHeight="1">
      <c r="A337" s="1" t="str">
        <f>'Справочник'!E332</f>
        <v/>
      </c>
      <c r="B337" s="2" t="str">
        <f>IF(A337&gt;0,SUMIF('Барабан'!K:K,A337,'Барабан'!I:I),"")</f>
        <v/>
      </c>
      <c r="C337" s="2" t="str">
        <f>IF(A337&gt;0,SUMIF('Барабан'!V:V,A337,'Барабан'!T:T),"")</f>
        <v/>
      </c>
      <c r="D337" s="2" t="str">
        <f>IF(A337&gt;0,SUMIF('Барабан'!K:K,A337,'Барабан'!AG:AG)+SUMIF('Барабан'!V:V,A337,'Барабан'!AG:AG),"")</f>
        <v/>
      </c>
      <c r="E337" s="2" t="str">
        <f t="shared" si="1"/>
        <v/>
      </c>
      <c r="F337" s="2" t="str">
        <f t="array" ref="F337">IFERROR(IF(E337=0,0,INDEX('Справочник'!G:G,MATCH(A337,'Справочник'!F:F,0))))</f>
        <v/>
      </c>
      <c r="G337" s="2" t="str">
        <f>IF(A337&gt;0,SUMIF('Барабан'!K:K,A337,'Барабан'!P:P),"")</f>
        <v/>
      </c>
      <c r="H337" s="2" t="str">
        <f>IF(A337&gt;0,SUMIF('Барабан'!V:V,A337,'Барабан'!AA:AA),"")</f>
        <v/>
      </c>
      <c r="I337" s="2" t="str">
        <f t="shared" si="4"/>
        <v/>
      </c>
      <c r="J337" s="9" t="str">
        <f t="shared" si="2"/>
        <v/>
      </c>
      <c r="K337" s="1" t="str">
        <f>IF(A337&gt;0,COUNTIF('Барабан'!K:K,A337),"")</f>
        <v/>
      </c>
      <c r="L337" s="1" t="str">
        <f>IF(A337&gt;0,COUNTIF('Барабан'!V:V,A337),"")</f>
        <v/>
      </c>
      <c r="M337" s="1" t="str">
        <f t="shared" si="3"/>
        <v/>
      </c>
      <c r="N337" s="1" t="str">
        <f>IFERROR(__xludf.DUMMYFUNCTION("IF(A337&gt;0,MIN(FILTER('Барабан'!AJ:AJ,'Барабан'!K:K=A337)),"""")"),"")</f>
        <v/>
      </c>
      <c r="O337" s="16" t="str">
        <f>IFERROR(__xludf.DUMMYFUNCTION("IF(A337&gt;0,IFERROR(MAX(FILTER('Барабан'!AJ:AJ,'Барабан'!V:V=A337)),""–""),"""")"),"")</f>
        <v/>
      </c>
    </row>
    <row r="338" ht="15.75" customHeight="1">
      <c r="A338" s="1" t="str">
        <f>'Справочник'!E333</f>
        <v/>
      </c>
      <c r="B338" s="2" t="str">
        <f>IF(A338&gt;0,SUMIF('Барабан'!K:K,A338,'Барабан'!I:I),"")</f>
        <v/>
      </c>
      <c r="C338" s="2" t="str">
        <f>IF(A338&gt;0,SUMIF('Барабан'!V:V,A338,'Барабан'!T:T),"")</f>
        <v/>
      </c>
      <c r="D338" s="2" t="str">
        <f>IF(A338&gt;0,SUMIF('Барабан'!K:K,A338,'Барабан'!AG:AG)+SUMIF('Барабан'!V:V,A338,'Барабан'!AG:AG),"")</f>
        <v/>
      </c>
      <c r="E338" s="2" t="str">
        <f t="shared" si="1"/>
        <v/>
      </c>
      <c r="F338" s="2" t="str">
        <f t="array" ref="F338">IFERROR(IF(E338=0,0,INDEX('Справочник'!G:G,MATCH(A338,'Справочник'!F:F,0))))</f>
        <v/>
      </c>
      <c r="G338" s="2" t="str">
        <f>IF(A338&gt;0,SUMIF('Барабан'!K:K,A338,'Барабан'!P:P),"")</f>
        <v/>
      </c>
      <c r="H338" s="2" t="str">
        <f>IF(A338&gt;0,SUMIF('Барабан'!V:V,A338,'Барабан'!AA:AA),"")</f>
        <v/>
      </c>
      <c r="I338" s="2" t="str">
        <f t="shared" si="4"/>
        <v/>
      </c>
      <c r="J338" s="9" t="str">
        <f t="shared" si="2"/>
        <v/>
      </c>
      <c r="K338" s="1" t="str">
        <f>IF(A338&gt;0,COUNTIF('Барабан'!K:K,A338),"")</f>
        <v/>
      </c>
      <c r="L338" s="1" t="str">
        <f>IF(A338&gt;0,COUNTIF('Барабан'!V:V,A338),"")</f>
        <v/>
      </c>
      <c r="M338" s="1" t="str">
        <f t="shared" si="3"/>
        <v/>
      </c>
      <c r="N338" s="1" t="str">
        <f>IFERROR(__xludf.DUMMYFUNCTION("IF(A338&gt;0,MIN(FILTER('Барабан'!AJ:AJ,'Барабан'!K:K=A338)),"""")"),"")</f>
        <v/>
      </c>
      <c r="O338" s="16" t="str">
        <f>IFERROR(__xludf.DUMMYFUNCTION("IF(A338&gt;0,IFERROR(MAX(FILTER('Барабан'!AJ:AJ,'Барабан'!V:V=A338)),""–""),"""")"),"")</f>
        <v/>
      </c>
    </row>
    <row r="339" ht="15.75" customHeight="1">
      <c r="A339" s="1" t="str">
        <f>'Справочник'!E334</f>
        <v/>
      </c>
      <c r="B339" s="2" t="str">
        <f>IF(A339&gt;0,SUMIF('Барабан'!K:K,A339,'Барабан'!I:I),"")</f>
        <v/>
      </c>
      <c r="C339" s="2" t="str">
        <f>IF(A339&gt;0,SUMIF('Барабан'!V:V,A339,'Барабан'!T:T),"")</f>
        <v/>
      </c>
      <c r="D339" s="2" t="str">
        <f>IF(A339&gt;0,SUMIF('Барабан'!K:K,A339,'Барабан'!AG:AG)+SUMIF('Барабан'!V:V,A339,'Барабан'!AG:AG),"")</f>
        <v/>
      </c>
      <c r="E339" s="2" t="str">
        <f t="shared" si="1"/>
        <v/>
      </c>
      <c r="F339" s="2" t="str">
        <f t="array" ref="F339">IFERROR(IF(E339=0,0,INDEX('Справочник'!G:G,MATCH(A339,'Справочник'!F:F,0))))</f>
        <v/>
      </c>
      <c r="G339" s="2" t="str">
        <f>IF(A339&gt;0,SUMIF('Барабан'!K:K,A339,'Барабан'!P:P),"")</f>
        <v/>
      </c>
      <c r="H339" s="2" t="str">
        <f>IF(A339&gt;0,SUMIF('Барабан'!V:V,A339,'Барабан'!AA:AA),"")</f>
        <v/>
      </c>
      <c r="I339" s="2" t="str">
        <f t="shared" si="4"/>
        <v/>
      </c>
      <c r="J339" s="9" t="str">
        <f t="shared" si="2"/>
        <v/>
      </c>
      <c r="K339" s="1" t="str">
        <f>IF(A339&gt;0,COUNTIF('Барабан'!K:K,A339),"")</f>
        <v/>
      </c>
      <c r="L339" s="1" t="str">
        <f>IF(A339&gt;0,COUNTIF('Барабан'!V:V,A339),"")</f>
        <v/>
      </c>
      <c r="M339" s="1" t="str">
        <f t="shared" si="3"/>
        <v/>
      </c>
      <c r="N339" s="1" t="str">
        <f>IFERROR(__xludf.DUMMYFUNCTION("IF(A339&gt;0,MIN(FILTER('Барабан'!AJ:AJ,'Барабан'!K:K=A339)),"""")"),"")</f>
        <v/>
      </c>
      <c r="O339" s="16" t="str">
        <f>IFERROR(__xludf.DUMMYFUNCTION("IF(A339&gt;0,IFERROR(MAX(FILTER('Барабан'!AJ:AJ,'Барабан'!V:V=A339)),""–""),"""")"),"")</f>
        <v/>
      </c>
    </row>
    <row r="340" ht="15.75" customHeight="1">
      <c r="A340" s="1" t="str">
        <f>'Справочник'!E335</f>
        <v/>
      </c>
      <c r="B340" s="2" t="str">
        <f>IF(A340&gt;0,SUMIF('Барабан'!K:K,A340,'Барабан'!I:I),"")</f>
        <v/>
      </c>
      <c r="C340" s="2" t="str">
        <f>IF(A340&gt;0,SUMIF('Барабан'!V:V,A340,'Барабан'!T:T),"")</f>
        <v/>
      </c>
      <c r="D340" s="2" t="str">
        <f>IF(A340&gt;0,SUMIF('Барабан'!K:K,A340,'Барабан'!AG:AG)+SUMIF('Барабан'!V:V,A340,'Барабан'!AG:AG),"")</f>
        <v/>
      </c>
      <c r="E340" s="2" t="str">
        <f t="shared" si="1"/>
        <v/>
      </c>
      <c r="F340" s="2" t="str">
        <f t="array" ref="F340">IFERROR(IF(E340=0,0,INDEX('Справочник'!G:G,MATCH(A340,'Справочник'!F:F,0))))</f>
        <v/>
      </c>
      <c r="G340" s="2" t="str">
        <f>IF(A340&gt;0,SUMIF('Барабан'!K:K,A340,'Барабан'!P:P),"")</f>
        <v/>
      </c>
      <c r="H340" s="2" t="str">
        <f>IF(A340&gt;0,SUMIF('Барабан'!V:V,A340,'Барабан'!AA:AA),"")</f>
        <v/>
      </c>
      <c r="I340" s="2" t="str">
        <f t="shared" si="4"/>
        <v/>
      </c>
      <c r="J340" s="9" t="str">
        <f t="shared" si="2"/>
        <v/>
      </c>
      <c r="K340" s="1" t="str">
        <f>IF(A340&gt;0,COUNTIF('Барабан'!K:K,A340),"")</f>
        <v/>
      </c>
      <c r="L340" s="1" t="str">
        <f>IF(A340&gt;0,COUNTIF('Барабан'!V:V,A340),"")</f>
        <v/>
      </c>
      <c r="M340" s="1" t="str">
        <f t="shared" si="3"/>
        <v/>
      </c>
      <c r="N340" s="1" t="str">
        <f>IFERROR(__xludf.DUMMYFUNCTION("IF(A340&gt;0,MIN(FILTER('Барабан'!AJ:AJ,'Барабан'!K:K=A340)),"""")"),"")</f>
        <v/>
      </c>
      <c r="O340" s="16" t="str">
        <f>IFERROR(__xludf.DUMMYFUNCTION("IF(A340&gt;0,IFERROR(MAX(FILTER('Барабан'!AJ:AJ,'Барабан'!V:V=A340)),""–""),"""")"),"")</f>
        <v/>
      </c>
    </row>
    <row r="341" ht="15.75" customHeight="1">
      <c r="A341" s="1" t="str">
        <f>'Справочник'!E336</f>
        <v/>
      </c>
      <c r="B341" s="2" t="str">
        <f>IF(A341&gt;0,SUMIF('Барабан'!K:K,A341,'Барабан'!I:I),"")</f>
        <v/>
      </c>
      <c r="C341" s="2" t="str">
        <f>IF(A341&gt;0,SUMIF('Барабан'!V:V,A341,'Барабан'!T:T),"")</f>
        <v/>
      </c>
      <c r="D341" s="2" t="str">
        <f>IF(A341&gt;0,SUMIF('Барабан'!K:K,A341,'Барабан'!AG:AG)+SUMIF('Барабан'!V:V,A341,'Барабан'!AG:AG),"")</f>
        <v/>
      </c>
      <c r="E341" s="2" t="str">
        <f t="shared" si="1"/>
        <v/>
      </c>
      <c r="F341" s="2" t="str">
        <f t="array" ref="F341">IFERROR(IF(E341=0,0,INDEX('Справочник'!G:G,MATCH(A341,'Справочник'!F:F,0))))</f>
        <v/>
      </c>
      <c r="G341" s="2" t="str">
        <f>IF(A341&gt;0,SUMIF('Барабан'!K:K,A341,'Барабан'!P:P),"")</f>
        <v/>
      </c>
      <c r="H341" s="2" t="str">
        <f>IF(A341&gt;0,SUMIF('Барабан'!V:V,A341,'Барабан'!AA:AA),"")</f>
        <v/>
      </c>
      <c r="I341" s="2" t="str">
        <f t="shared" si="4"/>
        <v/>
      </c>
      <c r="J341" s="9" t="str">
        <f t="shared" si="2"/>
        <v/>
      </c>
      <c r="K341" s="1" t="str">
        <f>IF(A341&gt;0,COUNTIF('Барабан'!K:K,A341),"")</f>
        <v/>
      </c>
      <c r="L341" s="1" t="str">
        <f>IF(A341&gt;0,COUNTIF('Барабан'!V:V,A341),"")</f>
        <v/>
      </c>
      <c r="M341" s="1" t="str">
        <f t="shared" si="3"/>
        <v/>
      </c>
      <c r="N341" s="1" t="str">
        <f>IFERROR(__xludf.DUMMYFUNCTION("IF(A341&gt;0,MIN(FILTER('Барабан'!AJ:AJ,'Барабан'!K:K=A341)),"""")"),"")</f>
        <v/>
      </c>
      <c r="O341" s="16" t="str">
        <f>IFERROR(__xludf.DUMMYFUNCTION("IF(A341&gt;0,IFERROR(MAX(FILTER('Барабан'!AJ:AJ,'Барабан'!V:V=A341)),""–""),"""")"),"")</f>
        <v/>
      </c>
    </row>
    <row r="342" ht="15.75" customHeight="1">
      <c r="A342" s="1" t="str">
        <f>'Справочник'!E337</f>
        <v/>
      </c>
      <c r="B342" s="2" t="str">
        <f>IF(A342&gt;0,SUMIF('Барабан'!K:K,A342,'Барабан'!I:I),"")</f>
        <v/>
      </c>
      <c r="C342" s="2" t="str">
        <f>IF(A342&gt;0,SUMIF('Барабан'!V:V,A342,'Барабан'!T:T),"")</f>
        <v/>
      </c>
      <c r="D342" s="2" t="str">
        <f>IF(A342&gt;0,SUMIF('Барабан'!K:K,A342,'Барабан'!AG:AG)+SUMIF('Барабан'!V:V,A342,'Барабан'!AG:AG),"")</f>
        <v/>
      </c>
      <c r="E342" s="2" t="str">
        <f t="shared" si="1"/>
        <v/>
      </c>
      <c r="F342" s="2" t="str">
        <f t="array" ref="F342">IFERROR(IF(E342=0,0,INDEX('Справочник'!G:G,MATCH(A342,'Справочник'!F:F,0))))</f>
        <v/>
      </c>
      <c r="G342" s="2" t="str">
        <f>IF(A342&gt;0,SUMIF('Барабан'!K:K,A342,'Барабан'!P:P),"")</f>
        <v/>
      </c>
      <c r="H342" s="2" t="str">
        <f>IF(A342&gt;0,SUMIF('Барабан'!V:V,A342,'Барабан'!AA:AA),"")</f>
        <v/>
      </c>
      <c r="I342" s="2" t="str">
        <f t="shared" si="4"/>
        <v/>
      </c>
      <c r="J342" s="9" t="str">
        <f t="shared" si="2"/>
        <v/>
      </c>
      <c r="K342" s="1" t="str">
        <f>IF(A342&gt;0,COUNTIF('Барабан'!K:K,A342),"")</f>
        <v/>
      </c>
      <c r="L342" s="1" t="str">
        <f>IF(A342&gt;0,COUNTIF('Барабан'!V:V,A342),"")</f>
        <v/>
      </c>
      <c r="M342" s="1" t="str">
        <f t="shared" si="3"/>
        <v/>
      </c>
      <c r="N342" s="1" t="str">
        <f>IFERROR(__xludf.DUMMYFUNCTION("IF(A342&gt;0,MIN(FILTER('Барабан'!AJ:AJ,'Барабан'!K:K=A342)),"""")"),"")</f>
        <v/>
      </c>
      <c r="O342" s="16" t="str">
        <f>IFERROR(__xludf.DUMMYFUNCTION("IF(A342&gt;0,IFERROR(MAX(FILTER('Барабан'!AJ:AJ,'Барабан'!V:V=A342)),""–""),"""")"),"")</f>
        <v/>
      </c>
    </row>
    <row r="343" ht="15.75" customHeight="1">
      <c r="A343" s="1" t="str">
        <f>'Справочник'!E338</f>
        <v/>
      </c>
      <c r="B343" s="2" t="str">
        <f>IF(A343&gt;0,SUMIF('Барабан'!K:K,A343,'Барабан'!I:I),"")</f>
        <v/>
      </c>
      <c r="C343" s="2" t="str">
        <f>IF(A343&gt;0,SUMIF('Барабан'!V:V,A343,'Барабан'!T:T),"")</f>
        <v/>
      </c>
      <c r="D343" s="2" t="str">
        <f>IF(A343&gt;0,SUMIF('Барабан'!K:K,A343,'Барабан'!AG:AG)+SUMIF('Барабан'!V:V,A343,'Барабан'!AG:AG),"")</f>
        <v/>
      </c>
      <c r="E343" s="2" t="str">
        <f t="shared" si="1"/>
        <v/>
      </c>
      <c r="F343" s="2" t="str">
        <f t="array" ref="F343">IFERROR(IF(E343=0,0,INDEX('Справочник'!G:G,MATCH(A343,'Справочник'!F:F,0))))</f>
        <v/>
      </c>
      <c r="G343" s="2" t="str">
        <f>IF(A343&gt;0,SUMIF('Барабан'!K:K,A343,'Барабан'!P:P),"")</f>
        <v/>
      </c>
      <c r="H343" s="2" t="str">
        <f>IF(A343&gt;0,SUMIF('Барабан'!V:V,A343,'Барабан'!AA:AA),"")</f>
        <v/>
      </c>
      <c r="I343" s="2" t="str">
        <f t="shared" si="4"/>
        <v/>
      </c>
      <c r="J343" s="9" t="str">
        <f t="shared" si="2"/>
        <v/>
      </c>
      <c r="K343" s="1" t="str">
        <f>IF(A343&gt;0,COUNTIF('Барабан'!K:K,A343),"")</f>
        <v/>
      </c>
      <c r="L343" s="1" t="str">
        <f>IF(A343&gt;0,COUNTIF('Барабан'!V:V,A343),"")</f>
        <v/>
      </c>
      <c r="M343" s="1" t="str">
        <f t="shared" si="3"/>
        <v/>
      </c>
      <c r="N343" s="1" t="str">
        <f>IFERROR(__xludf.DUMMYFUNCTION("IF(A343&gt;0,MIN(FILTER('Барабан'!AJ:AJ,'Барабан'!K:K=A343)),"""")"),"")</f>
        <v/>
      </c>
      <c r="O343" s="16" t="str">
        <f>IFERROR(__xludf.DUMMYFUNCTION("IF(A343&gt;0,IFERROR(MAX(FILTER('Барабан'!AJ:AJ,'Барабан'!V:V=A343)),""–""),"""")"),"")</f>
        <v/>
      </c>
    </row>
    <row r="344" ht="15.75" customHeight="1">
      <c r="A344" s="1" t="str">
        <f>'Справочник'!E339</f>
        <v/>
      </c>
      <c r="B344" s="2" t="str">
        <f>IF(A344&gt;0,SUMIF('Барабан'!K:K,A344,'Барабан'!I:I),"")</f>
        <v/>
      </c>
      <c r="C344" s="2" t="str">
        <f>IF(A344&gt;0,SUMIF('Барабан'!V:V,A344,'Барабан'!T:T),"")</f>
        <v/>
      </c>
      <c r="D344" s="2" t="str">
        <f>IF(A344&gt;0,SUMIF('Барабан'!K:K,A344,'Барабан'!AG:AG)+SUMIF('Барабан'!V:V,A344,'Барабан'!AG:AG),"")</f>
        <v/>
      </c>
      <c r="E344" s="2" t="str">
        <f t="shared" si="1"/>
        <v/>
      </c>
      <c r="F344" s="2" t="str">
        <f t="array" ref="F344">IFERROR(IF(E344=0,0,INDEX('Справочник'!G:G,MATCH(A344,'Справочник'!F:F,0))))</f>
        <v/>
      </c>
      <c r="G344" s="2" t="str">
        <f>IF(A344&gt;0,SUMIF('Барабан'!K:K,A344,'Барабан'!P:P),"")</f>
        <v/>
      </c>
      <c r="H344" s="2" t="str">
        <f>IF(A344&gt;0,SUMIF('Барабан'!V:V,A344,'Барабан'!AA:AA),"")</f>
        <v/>
      </c>
      <c r="I344" s="2" t="str">
        <f t="shared" si="4"/>
        <v/>
      </c>
      <c r="J344" s="9" t="str">
        <f t="shared" si="2"/>
        <v/>
      </c>
      <c r="K344" s="1" t="str">
        <f>IF(A344&gt;0,COUNTIF('Барабан'!K:K,A344),"")</f>
        <v/>
      </c>
      <c r="L344" s="1" t="str">
        <f>IF(A344&gt;0,COUNTIF('Барабан'!V:V,A344),"")</f>
        <v/>
      </c>
      <c r="M344" s="1" t="str">
        <f t="shared" si="3"/>
        <v/>
      </c>
      <c r="N344" s="1" t="str">
        <f>IFERROR(__xludf.DUMMYFUNCTION("IF(A344&gt;0,MIN(FILTER('Барабан'!AJ:AJ,'Барабан'!K:K=A344)),"""")"),"")</f>
        <v/>
      </c>
      <c r="O344" s="16" t="str">
        <f>IFERROR(__xludf.DUMMYFUNCTION("IF(A344&gt;0,IFERROR(MAX(FILTER('Барабан'!AJ:AJ,'Барабан'!V:V=A344)),""–""),"""")"),"")</f>
        <v/>
      </c>
    </row>
    <row r="345" ht="15.75" customHeight="1">
      <c r="A345" s="1" t="str">
        <f>'Справочник'!E340</f>
        <v/>
      </c>
      <c r="B345" s="2" t="str">
        <f>IF(A345&gt;0,SUMIF('Барабан'!K:K,A345,'Барабан'!I:I),"")</f>
        <v/>
      </c>
      <c r="C345" s="2" t="str">
        <f>IF(A345&gt;0,SUMIF('Барабан'!V:V,A345,'Барабан'!T:T),"")</f>
        <v/>
      </c>
      <c r="D345" s="2" t="str">
        <f>IF(A345&gt;0,SUMIF('Барабан'!K:K,A345,'Барабан'!AG:AG)+SUMIF('Барабан'!V:V,A345,'Барабан'!AG:AG),"")</f>
        <v/>
      </c>
      <c r="E345" s="2" t="str">
        <f t="shared" si="1"/>
        <v/>
      </c>
      <c r="F345" s="2" t="str">
        <f t="array" ref="F345">IFERROR(IF(E345=0,0,INDEX('Справочник'!G:G,MATCH(A345,'Справочник'!F:F,0))))</f>
        <v/>
      </c>
      <c r="G345" s="2" t="str">
        <f>IF(A345&gt;0,SUMIF('Барабан'!K:K,A345,'Барабан'!P:P),"")</f>
        <v/>
      </c>
      <c r="H345" s="2" t="str">
        <f>IF(A345&gt;0,SUMIF('Барабан'!V:V,A345,'Барабан'!AA:AA),"")</f>
        <v/>
      </c>
      <c r="I345" s="2" t="str">
        <f t="shared" si="4"/>
        <v/>
      </c>
      <c r="J345" s="9" t="str">
        <f t="shared" si="2"/>
        <v/>
      </c>
      <c r="K345" s="1" t="str">
        <f>IF(A345&gt;0,COUNTIF('Барабан'!K:K,A345),"")</f>
        <v/>
      </c>
      <c r="L345" s="1" t="str">
        <f>IF(A345&gt;0,COUNTIF('Барабан'!V:V,A345),"")</f>
        <v/>
      </c>
      <c r="M345" s="1" t="str">
        <f t="shared" si="3"/>
        <v/>
      </c>
      <c r="N345" s="1" t="str">
        <f>IFERROR(__xludf.DUMMYFUNCTION("IF(A345&gt;0,MIN(FILTER('Барабан'!AJ:AJ,'Барабан'!K:K=A345)),"""")"),"")</f>
        <v/>
      </c>
      <c r="O345" s="16" t="str">
        <f>IFERROR(__xludf.DUMMYFUNCTION("IF(A345&gt;0,IFERROR(MAX(FILTER('Барабан'!AJ:AJ,'Барабан'!V:V=A345)),""–""),"""")"),"")</f>
        <v/>
      </c>
    </row>
    <row r="346" ht="15.75" customHeight="1">
      <c r="A346" s="1" t="str">
        <f>'Справочник'!E341</f>
        <v/>
      </c>
      <c r="B346" s="2" t="str">
        <f>IF(A346&gt;0,SUMIF('Барабан'!K:K,A346,'Барабан'!I:I),"")</f>
        <v/>
      </c>
      <c r="C346" s="2" t="str">
        <f>IF(A346&gt;0,SUMIF('Барабан'!V:V,A346,'Барабан'!T:T),"")</f>
        <v/>
      </c>
      <c r="D346" s="2" t="str">
        <f>IF(A346&gt;0,SUMIF('Барабан'!K:K,A346,'Барабан'!AG:AG)+SUMIF('Барабан'!V:V,A346,'Барабан'!AG:AG),"")</f>
        <v/>
      </c>
      <c r="E346" s="2" t="str">
        <f t="shared" si="1"/>
        <v/>
      </c>
      <c r="F346" s="2" t="str">
        <f t="array" ref="F346">IFERROR(IF(E346=0,0,INDEX('Справочник'!G:G,MATCH(A346,'Справочник'!F:F,0))))</f>
        <v/>
      </c>
      <c r="G346" s="2" t="str">
        <f>IF(A346&gt;0,SUMIF('Барабан'!K:K,A346,'Барабан'!P:P),"")</f>
        <v/>
      </c>
      <c r="H346" s="2" t="str">
        <f>IF(A346&gt;0,SUMIF('Барабан'!V:V,A346,'Барабан'!AA:AA),"")</f>
        <v/>
      </c>
      <c r="I346" s="2" t="str">
        <f t="shared" si="4"/>
        <v/>
      </c>
      <c r="J346" s="9" t="str">
        <f t="shared" si="2"/>
        <v/>
      </c>
      <c r="K346" s="1" t="str">
        <f>IF(A346&gt;0,COUNTIF('Барабан'!K:K,A346),"")</f>
        <v/>
      </c>
      <c r="L346" s="1" t="str">
        <f>IF(A346&gt;0,COUNTIF('Барабан'!V:V,A346),"")</f>
        <v/>
      </c>
      <c r="M346" s="1" t="str">
        <f t="shared" si="3"/>
        <v/>
      </c>
      <c r="N346" s="1" t="str">
        <f>IFERROR(__xludf.DUMMYFUNCTION("IF(A346&gt;0,MIN(FILTER('Барабан'!AJ:AJ,'Барабан'!K:K=A346)),"""")"),"")</f>
        <v/>
      </c>
      <c r="O346" s="16" t="str">
        <f>IFERROR(__xludf.DUMMYFUNCTION("IF(A346&gt;0,IFERROR(MAX(FILTER('Барабан'!AJ:AJ,'Барабан'!V:V=A346)),""–""),"""")"),"")</f>
        <v/>
      </c>
    </row>
    <row r="347" ht="15.75" customHeight="1">
      <c r="A347" s="1" t="str">
        <f>'Справочник'!E342</f>
        <v/>
      </c>
      <c r="B347" s="2" t="str">
        <f>IF(A347&gt;0,SUMIF('Барабан'!K:K,A347,'Барабан'!I:I),"")</f>
        <v/>
      </c>
      <c r="C347" s="2" t="str">
        <f>IF(A347&gt;0,SUMIF('Барабан'!V:V,A347,'Барабан'!T:T),"")</f>
        <v/>
      </c>
      <c r="D347" s="2" t="str">
        <f>IF(A347&gt;0,SUMIF('Барабан'!K:K,A347,'Барабан'!AG:AG)+SUMIF('Барабан'!V:V,A347,'Барабан'!AG:AG),"")</f>
        <v/>
      </c>
      <c r="E347" s="2" t="str">
        <f t="shared" si="1"/>
        <v/>
      </c>
      <c r="F347" s="2" t="str">
        <f t="array" ref="F347">IFERROR(IF(E347=0,0,INDEX('Справочник'!G:G,MATCH(A347,'Справочник'!F:F,0))))</f>
        <v/>
      </c>
      <c r="G347" s="2" t="str">
        <f>IF(A347&gt;0,SUMIF('Барабан'!K:K,A347,'Барабан'!P:P),"")</f>
        <v/>
      </c>
      <c r="H347" s="2" t="str">
        <f>IF(A347&gt;0,SUMIF('Барабан'!V:V,A347,'Барабан'!AA:AA),"")</f>
        <v/>
      </c>
      <c r="I347" s="2" t="str">
        <f t="shared" si="4"/>
        <v/>
      </c>
      <c r="J347" s="9" t="str">
        <f t="shared" si="2"/>
        <v/>
      </c>
      <c r="K347" s="1" t="str">
        <f>IF(A347&gt;0,COUNTIF('Барабан'!K:K,A347),"")</f>
        <v/>
      </c>
      <c r="L347" s="1" t="str">
        <f>IF(A347&gt;0,COUNTIF('Барабан'!V:V,A347),"")</f>
        <v/>
      </c>
      <c r="M347" s="1" t="str">
        <f t="shared" si="3"/>
        <v/>
      </c>
      <c r="N347" s="1" t="str">
        <f>IFERROR(__xludf.DUMMYFUNCTION("IF(A347&gt;0,MIN(FILTER('Барабан'!AJ:AJ,'Барабан'!K:K=A347)),"""")"),"")</f>
        <v/>
      </c>
      <c r="O347" s="16" t="str">
        <f>IFERROR(__xludf.DUMMYFUNCTION("IF(A347&gt;0,IFERROR(MAX(FILTER('Барабан'!AJ:AJ,'Барабан'!V:V=A347)),""–""),"""")"),"")</f>
        <v/>
      </c>
    </row>
    <row r="348" ht="15.75" customHeight="1">
      <c r="A348" s="1" t="str">
        <f>'Справочник'!E343</f>
        <v/>
      </c>
      <c r="B348" s="2" t="str">
        <f>IF(A348&gt;0,SUMIF('Барабан'!K:K,A348,'Барабан'!I:I),"")</f>
        <v/>
      </c>
      <c r="C348" s="2" t="str">
        <f>IF(A348&gt;0,SUMIF('Барабан'!V:V,A348,'Барабан'!T:T),"")</f>
        <v/>
      </c>
      <c r="D348" s="2" t="str">
        <f>IF(A348&gt;0,SUMIF('Барабан'!K:K,A348,'Барабан'!AG:AG)+SUMIF('Барабан'!V:V,A348,'Барабан'!AG:AG),"")</f>
        <v/>
      </c>
      <c r="E348" s="2" t="str">
        <f t="shared" si="1"/>
        <v/>
      </c>
      <c r="F348" s="2" t="str">
        <f t="array" ref="F348">IFERROR(IF(E348=0,0,INDEX('Справочник'!G:G,MATCH(A348,'Справочник'!F:F,0))))</f>
        <v/>
      </c>
      <c r="G348" s="2" t="str">
        <f>IF(A348&gt;0,SUMIF('Барабан'!K:K,A348,'Барабан'!P:P),"")</f>
        <v/>
      </c>
      <c r="H348" s="2" t="str">
        <f>IF(A348&gt;0,SUMIF('Барабан'!V:V,A348,'Барабан'!AA:AA),"")</f>
        <v/>
      </c>
      <c r="I348" s="2" t="str">
        <f t="shared" si="4"/>
        <v/>
      </c>
      <c r="J348" s="9" t="str">
        <f t="shared" si="2"/>
        <v/>
      </c>
      <c r="K348" s="1" t="str">
        <f>IF(A348&gt;0,COUNTIF('Барабан'!K:K,A348),"")</f>
        <v/>
      </c>
      <c r="L348" s="1" t="str">
        <f>IF(A348&gt;0,COUNTIF('Барабан'!V:V,A348),"")</f>
        <v/>
      </c>
      <c r="M348" s="1" t="str">
        <f t="shared" si="3"/>
        <v/>
      </c>
      <c r="N348" s="1" t="str">
        <f>IFERROR(__xludf.DUMMYFUNCTION("IF(A348&gt;0,MIN(FILTER('Барабан'!AJ:AJ,'Барабан'!K:K=A348)),"""")"),"")</f>
        <v/>
      </c>
      <c r="O348" s="16" t="str">
        <f>IFERROR(__xludf.DUMMYFUNCTION("IF(A348&gt;0,IFERROR(MAX(FILTER('Барабан'!AJ:AJ,'Барабан'!V:V=A348)),""–""),"""")"),"")</f>
        <v/>
      </c>
    </row>
    <row r="349" ht="15.75" customHeight="1">
      <c r="A349" s="1" t="str">
        <f>'Справочник'!E344</f>
        <v/>
      </c>
      <c r="B349" s="2" t="str">
        <f>IF(A349&gt;0,SUMIF('Барабан'!K:K,A349,'Барабан'!I:I),"")</f>
        <v/>
      </c>
      <c r="C349" s="2" t="str">
        <f>IF(A349&gt;0,SUMIF('Барабан'!V:V,A349,'Барабан'!T:T),"")</f>
        <v/>
      </c>
      <c r="D349" s="2" t="str">
        <f>IF(A349&gt;0,SUMIF('Барабан'!K:K,A349,'Барабан'!AG:AG)+SUMIF('Барабан'!V:V,A349,'Барабан'!AG:AG),"")</f>
        <v/>
      </c>
      <c r="E349" s="2" t="str">
        <f t="shared" si="1"/>
        <v/>
      </c>
      <c r="F349" s="2" t="str">
        <f t="array" ref="F349">IFERROR(IF(E349=0,0,INDEX('Справочник'!G:G,MATCH(A349,'Справочник'!F:F,0))))</f>
        <v/>
      </c>
      <c r="G349" s="2" t="str">
        <f>IF(A349&gt;0,SUMIF('Барабан'!K:K,A349,'Барабан'!P:P),"")</f>
        <v/>
      </c>
      <c r="H349" s="2" t="str">
        <f>IF(A349&gt;0,SUMIF('Барабан'!V:V,A349,'Барабан'!AA:AA),"")</f>
        <v/>
      </c>
      <c r="I349" s="2" t="str">
        <f t="shared" si="4"/>
        <v/>
      </c>
      <c r="J349" s="9" t="str">
        <f t="shared" si="2"/>
        <v/>
      </c>
      <c r="K349" s="1" t="str">
        <f>IF(A349&gt;0,COUNTIF('Барабан'!K:K,A349),"")</f>
        <v/>
      </c>
      <c r="L349" s="1" t="str">
        <f>IF(A349&gt;0,COUNTIF('Барабан'!V:V,A349),"")</f>
        <v/>
      </c>
      <c r="M349" s="1" t="str">
        <f t="shared" si="3"/>
        <v/>
      </c>
      <c r="N349" s="1" t="str">
        <f>IFERROR(__xludf.DUMMYFUNCTION("IF(A349&gt;0,MIN(FILTER('Барабан'!AJ:AJ,'Барабан'!K:K=A349)),"""")"),"")</f>
        <v/>
      </c>
      <c r="O349" s="16" t="str">
        <f>IFERROR(__xludf.DUMMYFUNCTION("IF(A349&gt;0,IFERROR(MAX(FILTER('Барабан'!AJ:AJ,'Барабан'!V:V=A349)),""–""),"""")"),"")</f>
        <v/>
      </c>
    </row>
    <row r="350" ht="15.75" customHeight="1">
      <c r="A350" s="1" t="str">
        <f>'Справочник'!E345</f>
        <v/>
      </c>
      <c r="B350" s="2" t="str">
        <f>IF(A350&gt;0,SUMIF('Барабан'!K:K,A350,'Барабан'!I:I),"")</f>
        <v/>
      </c>
      <c r="C350" s="2" t="str">
        <f>IF(A350&gt;0,SUMIF('Барабан'!V:V,A350,'Барабан'!T:T),"")</f>
        <v/>
      </c>
      <c r="D350" s="2" t="str">
        <f>IF(A350&gt;0,SUMIF('Барабан'!K:K,A350,'Барабан'!AG:AG)+SUMIF('Барабан'!V:V,A350,'Барабан'!AG:AG),"")</f>
        <v/>
      </c>
      <c r="E350" s="2" t="str">
        <f t="shared" si="1"/>
        <v/>
      </c>
      <c r="F350" s="2" t="str">
        <f t="array" ref="F350">IFERROR(IF(E350=0,0,INDEX('Справочник'!G:G,MATCH(A350,'Справочник'!F:F,0))))</f>
        <v/>
      </c>
      <c r="G350" s="2" t="str">
        <f>IF(A350&gt;0,SUMIF('Барабан'!K:K,A350,'Барабан'!P:P),"")</f>
        <v/>
      </c>
      <c r="H350" s="2" t="str">
        <f>IF(A350&gt;0,SUMIF('Барабан'!V:V,A350,'Барабан'!AA:AA),"")</f>
        <v/>
      </c>
      <c r="I350" s="2" t="str">
        <f t="shared" si="4"/>
        <v/>
      </c>
      <c r="J350" s="9" t="str">
        <f t="shared" si="2"/>
        <v/>
      </c>
      <c r="K350" s="1" t="str">
        <f>IF(A350&gt;0,COUNTIF('Барабан'!K:K,A350),"")</f>
        <v/>
      </c>
      <c r="L350" s="1" t="str">
        <f>IF(A350&gt;0,COUNTIF('Барабан'!V:V,A350),"")</f>
        <v/>
      </c>
      <c r="M350" s="1" t="str">
        <f t="shared" si="3"/>
        <v/>
      </c>
      <c r="N350" s="1" t="str">
        <f>IFERROR(__xludf.DUMMYFUNCTION("IF(A350&gt;0,MIN(FILTER('Барабан'!AJ:AJ,'Барабан'!K:K=A350)),"""")"),"")</f>
        <v/>
      </c>
      <c r="O350" s="16" t="str">
        <f>IFERROR(__xludf.DUMMYFUNCTION("IF(A350&gt;0,IFERROR(MAX(FILTER('Барабан'!AJ:AJ,'Барабан'!V:V=A350)),""–""),"""")"),"")</f>
        <v/>
      </c>
    </row>
    <row r="351" ht="15.75" customHeight="1">
      <c r="A351" s="1" t="str">
        <f>'Справочник'!E346</f>
        <v/>
      </c>
      <c r="B351" s="2" t="str">
        <f>IF(A351&gt;0,SUMIF('Барабан'!K:K,A351,'Барабан'!I:I),"")</f>
        <v/>
      </c>
      <c r="C351" s="2" t="str">
        <f>IF(A351&gt;0,SUMIF('Барабан'!V:V,A351,'Барабан'!T:T),"")</f>
        <v/>
      </c>
      <c r="D351" s="2" t="str">
        <f>IF(A351&gt;0,SUMIF('Барабан'!K:K,A351,'Барабан'!AG:AG)+SUMIF('Барабан'!V:V,A351,'Барабан'!AG:AG),"")</f>
        <v/>
      </c>
      <c r="E351" s="2" t="str">
        <f t="shared" si="1"/>
        <v/>
      </c>
      <c r="F351" s="2" t="str">
        <f t="array" ref="F351">IFERROR(IF(E351=0,0,INDEX('Справочник'!G:G,MATCH(A351,'Справочник'!F:F,0))))</f>
        <v/>
      </c>
      <c r="G351" s="2" t="str">
        <f>IF(A351&gt;0,SUMIF('Барабан'!K:K,A351,'Барабан'!P:P),"")</f>
        <v/>
      </c>
      <c r="H351" s="2" t="str">
        <f>IF(A351&gt;0,SUMIF('Барабан'!V:V,A351,'Барабан'!AA:AA),"")</f>
        <v/>
      </c>
      <c r="I351" s="2" t="str">
        <f t="shared" si="4"/>
        <v/>
      </c>
      <c r="J351" s="9" t="str">
        <f t="shared" si="2"/>
        <v/>
      </c>
      <c r="K351" s="1" t="str">
        <f>IF(A351&gt;0,COUNTIF('Барабан'!K:K,A351),"")</f>
        <v/>
      </c>
      <c r="L351" s="1" t="str">
        <f>IF(A351&gt;0,COUNTIF('Барабан'!V:V,A351),"")</f>
        <v/>
      </c>
      <c r="M351" s="1" t="str">
        <f t="shared" si="3"/>
        <v/>
      </c>
      <c r="N351" s="1" t="str">
        <f>IFERROR(__xludf.DUMMYFUNCTION("IF(A351&gt;0,MIN(FILTER('Барабан'!AJ:AJ,'Барабан'!K:K=A351)),"""")"),"")</f>
        <v/>
      </c>
      <c r="O351" s="16" t="str">
        <f>IFERROR(__xludf.DUMMYFUNCTION("IF(A351&gt;0,IFERROR(MAX(FILTER('Барабан'!AJ:AJ,'Барабан'!V:V=A351)),""–""),"""")"),"")</f>
        <v/>
      </c>
    </row>
    <row r="352" ht="15.75" customHeight="1">
      <c r="A352" s="1" t="str">
        <f>'Справочник'!E347</f>
        <v/>
      </c>
      <c r="B352" s="2" t="str">
        <f>IF(A352&gt;0,SUMIF('Барабан'!K:K,A352,'Барабан'!I:I),"")</f>
        <v/>
      </c>
      <c r="C352" s="2" t="str">
        <f>IF(A352&gt;0,SUMIF('Барабан'!V:V,A352,'Барабан'!T:T),"")</f>
        <v/>
      </c>
      <c r="D352" s="2" t="str">
        <f>IF(A352&gt;0,SUMIF('Барабан'!K:K,A352,'Барабан'!AG:AG)+SUMIF('Барабан'!V:V,A352,'Барабан'!AG:AG),"")</f>
        <v/>
      </c>
      <c r="E352" s="2" t="str">
        <f t="shared" si="1"/>
        <v/>
      </c>
      <c r="F352" s="2" t="str">
        <f t="array" ref="F352">IFERROR(IF(E352=0,0,INDEX('Справочник'!G:G,MATCH(A352,'Справочник'!F:F,0))))</f>
        <v/>
      </c>
      <c r="G352" s="2" t="str">
        <f>IF(A352&gt;0,SUMIF('Барабан'!K:K,A352,'Барабан'!P:P),"")</f>
        <v/>
      </c>
      <c r="H352" s="2" t="str">
        <f>IF(A352&gt;0,SUMIF('Барабан'!V:V,A352,'Барабан'!AA:AA),"")</f>
        <v/>
      </c>
      <c r="I352" s="2" t="str">
        <f t="shared" si="4"/>
        <v/>
      </c>
      <c r="J352" s="9" t="str">
        <f t="shared" si="2"/>
        <v/>
      </c>
      <c r="K352" s="1" t="str">
        <f>IF(A352&gt;0,COUNTIF('Барабан'!K:K,A352),"")</f>
        <v/>
      </c>
      <c r="L352" s="1" t="str">
        <f>IF(A352&gt;0,COUNTIF('Барабан'!V:V,A352),"")</f>
        <v/>
      </c>
      <c r="M352" s="1" t="str">
        <f t="shared" si="3"/>
        <v/>
      </c>
      <c r="N352" s="1" t="str">
        <f>IFERROR(__xludf.DUMMYFUNCTION("IF(A352&gt;0,MIN(FILTER('Барабан'!AJ:AJ,'Барабан'!K:K=A352)),"""")"),"")</f>
        <v/>
      </c>
      <c r="O352" s="16" t="str">
        <f>IFERROR(__xludf.DUMMYFUNCTION("IF(A352&gt;0,IFERROR(MAX(FILTER('Барабан'!AJ:AJ,'Барабан'!V:V=A352)),""–""),"""")"),"")</f>
        <v/>
      </c>
    </row>
    <row r="353" ht="15.75" customHeight="1">
      <c r="A353" s="1" t="str">
        <f>'Справочник'!E348</f>
        <v/>
      </c>
      <c r="B353" s="2" t="str">
        <f>IF(A353&gt;0,SUMIF('Барабан'!K:K,A353,'Барабан'!I:I),"")</f>
        <v/>
      </c>
      <c r="C353" s="2" t="str">
        <f>IF(A353&gt;0,SUMIF('Барабан'!V:V,A353,'Барабан'!T:T),"")</f>
        <v/>
      </c>
      <c r="D353" s="2" t="str">
        <f>IF(A353&gt;0,SUMIF('Барабан'!K:K,A353,'Барабан'!AG:AG)+SUMIF('Барабан'!V:V,A353,'Барабан'!AG:AG),"")</f>
        <v/>
      </c>
      <c r="E353" s="2" t="str">
        <f t="shared" si="1"/>
        <v/>
      </c>
      <c r="F353" s="2" t="str">
        <f t="array" ref="F353">IFERROR(IF(E353=0,0,INDEX('Справочник'!G:G,MATCH(A353,'Справочник'!F:F,0))))</f>
        <v/>
      </c>
      <c r="G353" s="2" t="str">
        <f>IF(A353&gt;0,SUMIF('Барабан'!K:K,A353,'Барабан'!P:P),"")</f>
        <v/>
      </c>
      <c r="H353" s="2" t="str">
        <f>IF(A353&gt;0,SUMIF('Барабан'!V:V,A353,'Барабан'!AA:AA),"")</f>
        <v/>
      </c>
      <c r="I353" s="2" t="str">
        <f t="shared" si="4"/>
        <v/>
      </c>
      <c r="J353" s="9" t="str">
        <f t="shared" si="2"/>
        <v/>
      </c>
      <c r="K353" s="1" t="str">
        <f>IF(A353&gt;0,COUNTIF('Барабан'!K:K,A353),"")</f>
        <v/>
      </c>
      <c r="L353" s="1" t="str">
        <f>IF(A353&gt;0,COUNTIF('Барабан'!V:V,A353),"")</f>
        <v/>
      </c>
      <c r="M353" s="1" t="str">
        <f t="shared" si="3"/>
        <v/>
      </c>
      <c r="N353" s="1" t="str">
        <f>IFERROR(__xludf.DUMMYFUNCTION("IF(A353&gt;0,MIN(FILTER('Барабан'!AJ:AJ,'Барабан'!K:K=A353)),"""")"),"")</f>
        <v/>
      </c>
      <c r="O353" s="16" t="str">
        <f>IFERROR(__xludf.DUMMYFUNCTION("IF(A353&gt;0,IFERROR(MAX(FILTER('Барабан'!AJ:AJ,'Барабан'!V:V=A353)),""–""),"""")"),"")</f>
        <v/>
      </c>
    </row>
    <row r="354" ht="15.75" customHeight="1">
      <c r="A354" s="1" t="str">
        <f>'Справочник'!E349</f>
        <v/>
      </c>
      <c r="B354" s="2" t="str">
        <f>IF(A354&gt;0,SUMIF('Барабан'!K:K,A354,'Барабан'!I:I),"")</f>
        <v/>
      </c>
      <c r="C354" s="2" t="str">
        <f>IF(A354&gt;0,SUMIF('Барабан'!V:V,A354,'Барабан'!T:T),"")</f>
        <v/>
      </c>
      <c r="D354" s="2" t="str">
        <f>IF(A354&gt;0,SUMIF('Барабан'!K:K,A354,'Барабан'!AG:AG)+SUMIF('Барабан'!V:V,A354,'Барабан'!AG:AG),"")</f>
        <v/>
      </c>
      <c r="E354" s="2" t="str">
        <f t="shared" si="1"/>
        <v/>
      </c>
      <c r="F354" s="2" t="str">
        <f t="array" ref="F354">IFERROR(IF(E354=0,0,INDEX('Справочник'!G:G,MATCH(A354,'Справочник'!F:F,0))))</f>
        <v/>
      </c>
      <c r="G354" s="2" t="str">
        <f>IF(A354&gt;0,SUMIF('Барабан'!K:K,A354,'Барабан'!P:P),"")</f>
        <v/>
      </c>
      <c r="H354" s="2" t="str">
        <f>IF(A354&gt;0,SUMIF('Барабан'!V:V,A354,'Барабан'!AA:AA),"")</f>
        <v/>
      </c>
      <c r="I354" s="2" t="str">
        <f t="shared" si="4"/>
        <v/>
      </c>
      <c r="J354" s="9" t="str">
        <f t="shared" si="2"/>
        <v/>
      </c>
      <c r="K354" s="1" t="str">
        <f>IF(A354&gt;0,COUNTIF('Барабан'!K:K,A354),"")</f>
        <v/>
      </c>
      <c r="L354" s="1" t="str">
        <f>IF(A354&gt;0,COUNTIF('Барабан'!V:V,A354),"")</f>
        <v/>
      </c>
      <c r="M354" s="1" t="str">
        <f t="shared" si="3"/>
        <v/>
      </c>
      <c r="N354" s="1" t="str">
        <f>IFERROR(__xludf.DUMMYFUNCTION("IF(A354&gt;0,MIN(FILTER('Барабан'!AJ:AJ,'Барабан'!K:K=A354)),"""")"),"")</f>
        <v/>
      </c>
      <c r="O354" s="16" t="str">
        <f>IFERROR(__xludf.DUMMYFUNCTION("IF(A354&gt;0,IFERROR(MAX(FILTER('Барабан'!AJ:AJ,'Барабан'!V:V=A354)),""–""),"""")"),"")</f>
        <v/>
      </c>
    </row>
    <row r="355" ht="15.75" customHeight="1">
      <c r="A355" s="1" t="str">
        <f>'Справочник'!E350</f>
        <v/>
      </c>
      <c r="B355" s="2" t="str">
        <f>IF(A355&gt;0,SUMIF('Барабан'!K:K,A355,'Барабан'!I:I),"")</f>
        <v/>
      </c>
      <c r="C355" s="2" t="str">
        <f>IF(A355&gt;0,SUMIF('Барабан'!V:V,A355,'Барабан'!T:T),"")</f>
        <v/>
      </c>
      <c r="D355" s="2" t="str">
        <f>IF(A355&gt;0,SUMIF('Барабан'!K:K,A355,'Барабан'!AG:AG)+SUMIF('Барабан'!V:V,A355,'Барабан'!AG:AG),"")</f>
        <v/>
      </c>
      <c r="E355" s="2" t="str">
        <f t="shared" si="1"/>
        <v/>
      </c>
      <c r="F355" s="2" t="str">
        <f t="array" ref="F355">IFERROR(IF(E355=0,0,INDEX('Справочник'!G:G,MATCH(A355,'Справочник'!F:F,0))))</f>
        <v/>
      </c>
      <c r="G355" s="2" t="str">
        <f>IF(A355&gt;0,SUMIF('Барабан'!K:K,A355,'Барабан'!P:P),"")</f>
        <v/>
      </c>
      <c r="H355" s="2" t="str">
        <f>IF(A355&gt;0,SUMIF('Барабан'!V:V,A355,'Барабан'!AA:AA),"")</f>
        <v/>
      </c>
      <c r="I355" s="2" t="str">
        <f t="shared" si="4"/>
        <v/>
      </c>
      <c r="J355" s="9" t="str">
        <f t="shared" si="2"/>
        <v/>
      </c>
      <c r="K355" s="1" t="str">
        <f>IF(A355&gt;0,COUNTIF('Барабан'!K:K,A355),"")</f>
        <v/>
      </c>
      <c r="L355" s="1" t="str">
        <f>IF(A355&gt;0,COUNTIF('Барабан'!V:V,A355),"")</f>
        <v/>
      </c>
      <c r="M355" s="1" t="str">
        <f t="shared" si="3"/>
        <v/>
      </c>
      <c r="N355" s="1" t="str">
        <f>IFERROR(__xludf.DUMMYFUNCTION("IF(A355&gt;0,MIN(FILTER('Барабан'!AJ:AJ,'Барабан'!K:K=A355)),"""")"),"")</f>
        <v/>
      </c>
      <c r="O355" s="16" t="str">
        <f>IFERROR(__xludf.DUMMYFUNCTION("IF(A355&gt;0,IFERROR(MAX(FILTER('Барабан'!AJ:AJ,'Барабан'!V:V=A355)),""–""),"""")"),"")</f>
        <v/>
      </c>
    </row>
    <row r="356" ht="15.75" customHeight="1">
      <c r="A356" s="1" t="str">
        <f>'Справочник'!E351</f>
        <v/>
      </c>
      <c r="B356" s="2" t="str">
        <f>IF(A356&gt;0,SUMIF('Барабан'!K:K,A356,'Барабан'!I:I),"")</f>
        <v/>
      </c>
      <c r="C356" s="2" t="str">
        <f>IF(A356&gt;0,SUMIF('Барабан'!V:V,A356,'Барабан'!T:T),"")</f>
        <v/>
      </c>
      <c r="D356" s="2" t="str">
        <f>IF(A356&gt;0,SUMIF('Барабан'!K:K,A356,'Барабан'!AG:AG)+SUMIF('Барабан'!V:V,A356,'Барабан'!AG:AG),"")</f>
        <v/>
      </c>
      <c r="E356" s="2" t="str">
        <f t="shared" si="1"/>
        <v/>
      </c>
      <c r="F356" s="2" t="str">
        <f t="array" ref="F356">IFERROR(IF(E356=0,0,INDEX('Справочник'!G:G,MATCH(A356,'Справочник'!F:F,0))))</f>
        <v/>
      </c>
      <c r="G356" s="2" t="str">
        <f>IF(A356&gt;0,SUMIF('Барабан'!K:K,A356,'Барабан'!P:P),"")</f>
        <v/>
      </c>
      <c r="H356" s="2" t="str">
        <f>IF(A356&gt;0,SUMIF('Барабан'!V:V,A356,'Барабан'!AA:AA),"")</f>
        <v/>
      </c>
      <c r="I356" s="2" t="str">
        <f t="shared" si="4"/>
        <v/>
      </c>
      <c r="J356" s="9" t="str">
        <f t="shared" si="2"/>
        <v/>
      </c>
      <c r="K356" s="1" t="str">
        <f>IF(A356&gt;0,COUNTIF('Барабан'!K:K,A356),"")</f>
        <v/>
      </c>
      <c r="L356" s="1" t="str">
        <f>IF(A356&gt;0,COUNTIF('Барабан'!V:V,A356),"")</f>
        <v/>
      </c>
      <c r="M356" s="1" t="str">
        <f t="shared" si="3"/>
        <v/>
      </c>
      <c r="N356" s="1" t="str">
        <f>IFERROR(__xludf.DUMMYFUNCTION("IF(A356&gt;0,MIN(FILTER('Барабан'!AJ:AJ,'Барабан'!K:K=A356)),"""")"),"")</f>
        <v/>
      </c>
      <c r="O356" s="16" t="str">
        <f>IFERROR(__xludf.DUMMYFUNCTION("IF(A356&gt;0,IFERROR(MAX(FILTER('Барабан'!AJ:AJ,'Барабан'!V:V=A356)),""–""),"""")"),"")</f>
        <v/>
      </c>
    </row>
    <row r="357" ht="15.75" customHeight="1">
      <c r="A357" s="1" t="str">
        <f>'Справочник'!E352</f>
        <v/>
      </c>
      <c r="B357" s="2" t="str">
        <f>IF(A357&gt;0,SUMIF('Барабан'!K:K,A357,'Барабан'!I:I),"")</f>
        <v/>
      </c>
      <c r="C357" s="2" t="str">
        <f>IF(A357&gt;0,SUMIF('Барабан'!V:V,A357,'Барабан'!T:T),"")</f>
        <v/>
      </c>
      <c r="D357" s="2" t="str">
        <f>IF(A357&gt;0,SUMIF('Барабан'!K:K,A357,'Барабан'!AG:AG)+SUMIF('Барабан'!V:V,A357,'Барабан'!AG:AG),"")</f>
        <v/>
      </c>
      <c r="E357" s="2" t="str">
        <f t="shared" si="1"/>
        <v/>
      </c>
      <c r="F357" s="2" t="str">
        <f t="array" ref="F357">IFERROR(IF(E357=0,0,INDEX('Справочник'!G:G,MATCH(A357,'Справочник'!F:F,0))))</f>
        <v/>
      </c>
      <c r="G357" s="2" t="str">
        <f>IF(A357&gt;0,SUMIF('Барабан'!K:K,A357,'Барабан'!P:P),"")</f>
        <v/>
      </c>
      <c r="H357" s="2" t="str">
        <f>IF(A357&gt;0,SUMIF('Барабан'!V:V,A357,'Барабан'!AA:AA),"")</f>
        <v/>
      </c>
      <c r="I357" s="2" t="str">
        <f t="shared" si="4"/>
        <v/>
      </c>
      <c r="J357" s="9" t="str">
        <f t="shared" si="2"/>
        <v/>
      </c>
      <c r="K357" s="1" t="str">
        <f>IF(A357&gt;0,COUNTIF('Барабан'!K:K,A357),"")</f>
        <v/>
      </c>
      <c r="L357" s="1" t="str">
        <f>IF(A357&gt;0,COUNTIF('Барабан'!V:V,A357),"")</f>
        <v/>
      </c>
      <c r="M357" s="1" t="str">
        <f t="shared" si="3"/>
        <v/>
      </c>
      <c r="N357" s="1" t="str">
        <f>IFERROR(__xludf.DUMMYFUNCTION("IF(A357&gt;0,MIN(FILTER('Барабан'!AJ:AJ,'Барабан'!K:K=A357)),"""")"),"")</f>
        <v/>
      </c>
      <c r="O357" s="16" t="str">
        <f>IFERROR(__xludf.DUMMYFUNCTION("IF(A357&gt;0,IFERROR(MAX(FILTER('Барабан'!AJ:AJ,'Барабан'!V:V=A357)),""–""),"""")"),"")</f>
        <v/>
      </c>
    </row>
    <row r="358" ht="15.75" customHeight="1">
      <c r="A358" s="1" t="str">
        <f>'Справочник'!E353</f>
        <v/>
      </c>
      <c r="B358" s="2" t="str">
        <f>IF(A358&gt;0,SUMIF('Барабан'!K:K,A358,'Барабан'!I:I),"")</f>
        <v/>
      </c>
      <c r="C358" s="2" t="str">
        <f>IF(A358&gt;0,SUMIF('Барабан'!V:V,A358,'Барабан'!T:T),"")</f>
        <v/>
      </c>
      <c r="D358" s="2" t="str">
        <f>IF(A358&gt;0,SUMIF('Барабан'!K:K,A358,'Барабан'!AG:AG)+SUMIF('Барабан'!V:V,A358,'Барабан'!AG:AG),"")</f>
        <v/>
      </c>
      <c r="E358" s="2" t="str">
        <f t="shared" si="1"/>
        <v/>
      </c>
      <c r="F358" s="2" t="str">
        <f t="array" ref="F358">IFERROR(IF(E358=0,0,INDEX('Справочник'!G:G,MATCH(A358,'Справочник'!F:F,0))))</f>
        <v/>
      </c>
      <c r="G358" s="2" t="str">
        <f>IF(A358&gt;0,SUMIF('Барабан'!K:K,A358,'Барабан'!P:P),"")</f>
        <v/>
      </c>
      <c r="H358" s="2" t="str">
        <f>IF(A358&gt;0,SUMIF('Барабан'!V:V,A358,'Барабан'!AA:AA),"")</f>
        <v/>
      </c>
      <c r="I358" s="2" t="str">
        <f t="shared" si="4"/>
        <v/>
      </c>
      <c r="J358" s="9" t="str">
        <f t="shared" si="2"/>
        <v/>
      </c>
      <c r="K358" s="1" t="str">
        <f>IF(A358&gt;0,COUNTIF('Барабан'!K:K,A358),"")</f>
        <v/>
      </c>
      <c r="L358" s="1" t="str">
        <f>IF(A358&gt;0,COUNTIF('Барабан'!V:V,A358),"")</f>
        <v/>
      </c>
      <c r="M358" s="1" t="str">
        <f t="shared" si="3"/>
        <v/>
      </c>
      <c r="N358" s="1" t="str">
        <f>IFERROR(__xludf.DUMMYFUNCTION("IF(A358&gt;0,MIN(FILTER('Барабан'!AJ:AJ,'Барабан'!K:K=A358)),"""")"),"")</f>
        <v/>
      </c>
      <c r="O358" s="16" t="str">
        <f>IFERROR(__xludf.DUMMYFUNCTION("IF(A358&gt;0,IFERROR(MAX(FILTER('Барабан'!AJ:AJ,'Барабан'!V:V=A358)),""–""),"""")"),"")</f>
        <v/>
      </c>
    </row>
    <row r="359" ht="15.75" customHeight="1">
      <c r="A359" s="1" t="str">
        <f>'Справочник'!E354</f>
        <v/>
      </c>
      <c r="B359" s="2" t="str">
        <f>IF(A359&gt;0,SUMIF('Барабан'!K:K,A359,'Барабан'!I:I),"")</f>
        <v/>
      </c>
      <c r="C359" s="2" t="str">
        <f>IF(A359&gt;0,SUMIF('Барабан'!V:V,A359,'Барабан'!T:T),"")</f>
        <v/>
      </c>
      <c r="D359" s="2" t="str">
        <f>IF(A359&gt;0,SUMIF('Барабан'!K:K,A359,'Барабан'!AG:AG)+SUMIF('Барабан'!V:V,A359,'Барабан'!AG:AG),"")</f>
        <v/>
      </c>
      <c r="E359" s="2" t="str">
        <f t="shared" si="1"/>
        <v/>
      </c>
      <c r="F359" s="2" t="str">
        <f t="array" ref="F359">IFERROR(IF(E359=0,0,INDEX('Справочник'!G:G,MATCH(A359,'Справочник'!F:F,0))))</f>
        <v/>
      </c>
      <c r="G359" s="2" t="str">
        <f>IF(A359&gt;0,SUMIF('Барабан'!K:K,A359,'Барабан'!P:P),"")</f>
        <v/>
      </c>
      <c r="H359" s="2" t="str">
        <f>IF(A359&gt;0,SUMIF('Барабан'!V:V,A359,'Барабан'!AA:AA),"")</f>
        <v/>
      </c>
      <c r="I359" s="2" t="str">
        <f t="shared" si="4"/>
        <v/>
      </c>
      <c r="J359" s="9" t="str">
        <f t="shared" si="2"/>
        <v/>
      </c>
      <c r="K359" s="1" t="str">
        <f>IF(A359&gt;0,COUNTIF('Барабан'!K:K,A359),"")</f>
        <v/>
      </c>
      <c r="L359" s="1" t="str">
        <f>IF(A359&gt;0,COUNTIF('Барабан'!V:V,A359),"")</f>
        <v/>
      </c>
      <c r="M359" s="1" t="str">
        <f t="shared" si="3"/>
        <v/>
      </c>
      <c r="N359" s="1" t="str">
        <f>IFERROR(__xludf.DUMMYFUNCTION("IF(A359&gt;0,MIN(FILTER('Барабан'!AJ:AJ,'Барабан'!K:K=A359)),"""")"),"")</f>
        <v/>
      </c>
      <c r="O359" s="16" t="str">
        <f>IFERROR(__xludf.DUMMYFUNCTION("IF(A359&gt;0,IFERROR(MAX(FILTER('Барабан'!AJ:AJ,'Барабан'!V:V=A359)),""–""),"""")"),"")</f>
        <v/>
      </c>
    </row>
    <row r="360" ht="15.75" customHeight="1">
      <c r="A360" s="1" t="str">
        <f>'Справочник'!E355</f>
        <v/>
      </c>
      <c r="B360" s="2" t="str">
        <f>IF(A360&gt;0,SUMIF('Барабан'!K:K,A360,'Барабан'!I:I),"")</f>
        <v/>
      </c>
      <c r="C360" s="2" t="str">
        <f>IF(A360&gt;0,SUMIF('Барабан'!V:V,A360,'Барабан'!T:T),"")</f>
        <v/>
      </c>
      <c r="D360" s="2" t="str">
        <f>IF(A360&gt;0,SUMIF('Барабан'!K:K,A360,'Барабан'!AG:AG)+SUMIF('Барабан'!V:V,A360,'Барабан'!AG:AG),"")</f>
        <v/>
      </c>
      <c r="E360" s="2" t="str">
        <f t="shared" si="1"/>
        <v/>
      </c>
      <c r="F360" s="2" t="str">
        <f t="array" ref="F360">IFERROR(IF(E360=0,0,INDEX('Справочник'!G:G,MATCH(A360,'Справочник'!F:F,0))))</f>
        <v/>
      </c>
      <c r="G360" s="2" t="str">
        <f>IF(A360&gt;0,SUMIF('Барабан'!K:K,A360,'Барабан'!P:P),"")</f>
        <v/>
      </c>
      <c r="H360" s="2" t="str">
        <f>IF(A360&gt;0,SUMIF('Барабан'!V:V,A360,'Барабан'!AA:AA),"")</f>
        <v/>
      </c>
      <c r="I360" s="2" t="str">
        <f t="shared" si="4"/>
        <v/>
      </c>
      <c r="J360" s="9" t="str">
        <f t="shared" si="2"/>
        <v/>
      </c>
      <c r="K360" s="1" t="str">
        <f>IF(A360&gt;0,COUNTIF('Барабан'!K:K,A360),"")</f>
        <v/>
      </c>
      <c r="L360" s="1" t="str">
        <f>IF(A360&gt;0,COUNTIF('Барабан'!V:V,A360),"")</f>
        <v/>
      </c>
      <c r="M360" s="1" t="str">
        <f t="shared" si="3"/>
        <v/>
      </c>
      <c r="N360" s="1" t="str">
        <f>IFERROR(__xludf.DUMMYFUNCTION("IF(A360&gt;0,MIN(FILTER('Барабан'!AJ:AJ,'Барабан'!K:K=A360)),"""")"),"")</f>
        <v/>
      </c>
      <c r="O360" s="16" t="str">
        <f>IFERROR(__xludf.DUMMYFUNCTION("IF(A360&gt;0,IFERROR(MAX(FILTER('Барабан'!AJ:AJ,'Барабан'!V:V=A360)),""–""),"""")"),"")</f>
        <v/>
      </c>
    </row>
    <row r="361" ht="15.75" customHeight="1">
      <c r="A361" s="1" t="str">
        <f>'Справочник'!E356</f>
        <v/>
      </c>
      <c r="B361" s="2" t="str">
        <f>IF(A361&gt;0,SUMIF('Барабан'!K:K,A361,'Барабан'!I:I),"")</f>
        <v/>
      </c>
      <c r="C361" s="2" t="str">
        <f>IF(A361&gt;0,SUMIF('Барабан'!V:V,A361,'Барабан'!T:T),"")</f>
        <v/>
      </c>
      <c r="D361" s="2" t="str">
        <f>IF(A361&gt;0,SUMIF('Барабан'!K:K,A361,'Барабан'!AG:AG)+SUMIF('Барабан'!V:V,A361,'Барабан'!AG:AG),"")</f>
        <v/>
      </c>
      <c r="E361" s="2" t="str">
        <f t="shared" si="1"/>
        <v/>
      </c>
      <c r="F361" s="2" t="str">
        <f t="array" ref="F361">IFERROR(IF(E361=0,0,INDEX('Справочник'!G:G,MATCH(A361,'Справочник'!F:F,0))))</f>
        <v/>
      </c>
      <c r="G361" s="2" t="str">
        <f>IF(A361&gt;0,SUMIF('Барабан'!K:K,A361,'Барабан'!P:P),"")</f>
        <v/>
      </c>
      <c r="H361" s="2" t="str">
        <f>IF(A361&gt;0,SUMIF('Барабан'!V:V,A361,'Барабан'!AA:AA),"")</f>
        <v/>
      </c>
      <c r="I361" s="2" t="str">
        <f t="shared" si="4"/>
        <v/>
      </c>
      <c r="J361" s="9" t="str">
        <f t="shared" si="2"/>
        <v/>
      </c>
      <c r="K361" s="1" t="str">
        <f>IF(A361&gt;0,COUNTIF('Барабан'!K:K,A361),"")</f>
        <v/>
      </c>
      <c r="L361" s="1" t="str">
        <f>IF(A361&gt;0,COUNTIF('Барабан'!V:V,A361),"")</f>
        <v/>
      </c>
      <c r="M361" s="1" t="str">
        <f t="shared" si="3"/>
        <v/>
      </c>
      <c r="N361" s="1" t="str">
        <f>IFERROR(__xludf.DUMMYFUNCTION("IF(A361&gt;0,MIN(FILTER('Барабан'!AJ:AJ,'Барабан'!K:K=A361)),"""")"),"")</f>
        <v/>
      </c>
      <c r="O361" s="16" t="str">
        <f>IFERROR(__xludf.DUMMYFUNCTION("IF(A361&gt;0,IFERROR(MAX(FILTER('Барабан'!AJ:AJ,'Барабан'!V:V=A361)),""–""),"""")"),"")</f>
        <v/>
      </c>
    </row>
    <row r="362" ht="15.75" customHeight="1">
      <c r="A362" s="1" t="str">
        <f>'Справочник'!E357</f>
        <v/>
      </c>
      <c r="B362" s="2" t="str">
        <f>IF(A362&gt;0,SUMIF('Барабан'!K:K,A362,'Барабан'!I:I),"")</f>
        <v/>
      </c>
      <c r="C362" s="2" t="str">
        <f>IF(A362&gt;0,SUMIF('Барабан'!V:V,A362,'Барабан'!T:T),"")</f>
        <v/>
      </c>
      <c r="D362" s="2" t="str">
        <f>IF(A362&gt;0,SUMIF('Барабан'!K:K,A362,'Барабан'!AG:AG)+SUMIF('Барабан'!V:V,A362,'Барабан'!AG:AG),"")</f>
        <v/>
      </c>
      <c r="E362" s="2" t="str">
        <f t="shared" si="1"/>
        <v/>
      </c>
      <c r="F362" s="2" t="str">
        <f t="array" ref="F362">IFERROR(IF(E362=0,0,INDEX('Справочник'!G:G,MATCH(A362,'Справочник'!F:F,0))))</f>
        <v/>
      </c>
      <c r="G362" s="2" t="str">
        <f>IF(A362&gt;0,SUMIF('Барабан'!K:K,A362,'Барабан'!P:P),"")</f>
        <v/>
      </c>
      <c r="H362" s="2" t="str">
        <f>IF(A362&gt;0,SUMIF('Барабан'!V:V,A362,'Барабан'!AA:AA),"")</f>
        <v/>
      </c>
      <c r="I362" s="2" t="str">
        <f t="shared" si="4"/>
        <v/>
      </c>
      <c r="J362" s="9" t="str">
        <f t="shared" si="2"/>
        <v/>
      </c>
      <c r="K362" s="1" t="str">
        <f>IF(A362&gt;0,COUNTIF('Барабан'!K:K,A362),"")</f>
        <v/>
      </c>
      <c r="L362" s="1" t="str">
        <f>IF(A362&gt;0,COUNTIF('Барабан'!V:V,A362),"")</f>
        <v/>
      </c>
      <c r="M362" s="1" t="str">
        <f t="shared" si="3"/>
        <v/>
      </c>
      <c r="N362" s="1" t="str">
        <f>IFERROR(__xludf.DUMMYFUNCTION("IF(A362&gt;0,MIN(FILTER('Барабан'!AJ:AJ,'Барабан'!K:K=A362)),"""")"),"")</f>
        <v/>
      </c>
      <c r="O362" s="16" t="str">
        <f>IFERROR(__xludf.DUMMYFUNCTION("IF(A362&gt;0,IFERROR(MAX(FILTER('Барабан'!AJ:AJ,'Барабан'!V:V=A362)),""–""),"""")"),"")</f>
        <v/>
      </c>
    </row>
    <row r="363" ht="15.75" customHeight="1">
      <c r="A363" s="1" t="str">
        <f>'Справочник'!E358</f>
        <v/>
      </c>
      <c r="B363" s="2" t="str">
        <f>IF(A363&gt;0,SUMIF('Барабан'!K:K,A363,'Барабан'!I:I),"")</f>
        <v/>
      </c>
      <c r="C363" s="2" t="str">
        <f>IF(A363&gt;0,SUMIF('Барабан'!V:V,A363,'Барабан'!T:T),"")</f>
        <v/>
      </c>
      <c r="D363" s="2" t="str">
        <f>IF(A363&gt;0,SUMIF('Барабан'!K:K,A363,'Барабан'!AG:AG)+SUMIF('Барабан'!V:V,A363,'Барабан'!AG:AG),"")</f>
        <v/>
      </c>
      <c r="E363" s="2" t="str">
        <f t="shared" si="1"/>
        <v/>
      </c>
      <c r="F363" s="2" t="str">
        <f t="array" ref="F363">IFERROR(IF(E363=0,0,INDEX('Справочник'!G:G,MATCH(A363,'Справочник'!F:F,0))))</f>
        <v/>
      </c>
      <c r="G363" s="2" t="str">
        <f>IF(A363&gt;0,SUMIF('Барабан'!K:K,A363,'Барабан'!P:P),"")</f>
        <v/>
      </c>
      <c r="H363" s="2" t="str">
        <f>IF(A363&gt;0,SUMIF('Барабан'!V:V,A363,'Барабан'!AA:AA),"")</f>
        <v/>
      </c>
      <c r="I363" s="2" t="str">
        <f t="shared" si="4"/>
        <v/>
      </c>
      <c r="J363" s="9" t="str">
        <f t="shared" si="2"/>
        <v/>
      </c>
      <c r="K363" s="1" t="str">
        <f>IF(A363&gt;0,COUNTIF('Барабан'!K:K,A363),"")</f>
        <v/>
      </c>
      <c r="L363" s="1" t="str">
        <f>IF(A363&gt;0,COUNTIF('Барабан'!V:V,A363),"")</f>
        <v/>
      </c>
      <c r="M363" s="1" t="str">
        <f t="shared" si="3"/>
        <v/>
      </c>
      <c r="N363" s="1" t="str">
        <f>IFERROR(__xludf.DUMMYFUNCTION("IF(A363&gt;0,MIN(FILTER('Барабан'!AJ:AJ,'Барабан'!K:K=A363)),"""")"),"")</f>
        <v/>
      </c>
      <c r="O363" s="16" t="str">
        <f>IFERROR(__xludf.DUMMYFUNCTION("IF(A363&gt;0,IFERROR(MAX(FILTER('Барабан'!AJ:AJ,'Барабан'!V:V=A363)),""–""),"""")"),"")</f>
        <v/>
      </c>
    </row>
    <row r="364" ht="15.75" customHeight="1">
      <c r="A364" s="1" t="str">
        <f>'Справочник'!E359</f>
        <v/>
      </c>
      <c r="B364" s="2" t="str">
        <f>IF(A364&gt;0,SUMIF('Барабан'!K:K,A364,'Барабан'!I:I),"")</f>
        <v/>
      </c>
      <c r="C364" s="2" t="str">
        <f>IF(A364&gt;0,SUMIF('Барабан'!V:V,A364,'Барабан'!T:T),"")</f>
        <v/>
      </c>
      <c r="D364" s="2" t="str">
        <f>IF(A364&gt;0,SUMIF('Барабан'!K:K,A364,'Барабан'!AG:AG)+SUMIF('Барабан'!V:V,A364,'Барабан'!AG:AG),"")</f>
        <v/>
      </c>
      <c r="E364" s="2" t="str">
        <f t="shared" si="1"/>
        <v/>
      </c>
      <c r="F364" s="2" t="str">
        <f t="array" ref="F364">IFERROR(IF(E364=0,0,INDEX('Справочник'!G:G,MATCH(A364,'Справочник'!F:F,0))))</f>
        <v/>
      </c>
      <c r="G364" s="2" t="str">
        <f>IF(A364&gt;0,SUMIF('Барабан'!K:K,A364,'Барабан'!P:P),"")</f>
        <v/>
      </c>
      <c r="H364" s="2" t="str">
        <f>IF(A364&gt;0,SUMIF('Барабан'!V:V,A364,'Барабан'!AA:AA),"")</f>
        <v/>
      </c>
      <c r="I364" s="2" t="str">
        <f t="shared" si="4"/>
        <v/>
      </c>
      <c r="J364" s="9" t="str">
        <f t="shared" si="2"/>
        <v/>
      </c>
      <c r="K364" s="1" t="str">
        <f>IF(A364&gt;0,COUNTIF('Барабан'!K:K,A364),"")</f>
        <v/>
      </c>
      <c r="L364" s="1" t="str">
        <f>IF(A364&gt;0,COUNTIF('Барабан'!V:V,A364),"")</f>
        <v/>
      </c>
      <c r="M364" s="1" t="str">
        <f t="shared" si="3"/>
        <v/>
      </c>
      <c r="N364" s="1" t="str">
        <f>IFERROR(__xludf.DUMMYFUNCTION("IF(A364&gt;0,MIN(FILTER('Барабан'!AJ:AJ,'Барабан'!K:K=A364)),"""")"),"")</f>
        <v/>
      </c>
      <c r="O364" s="16" t="str">
        <f>IFERROR(__xludf.DUMMYFUNCTION("IF(A364&gt;0,IFERROR(MAX(FILTER('Барабан'!AJ:AJ,'Барабан'!V:V=A364)),""–""),"""")"),"")</f>
        <v/>
      </c>
    </row>
    <row r="365" ht="15.75" customHeight="1">
      <c r="A365" s="1" t="str">
        <f>'Справочник'!E360</f>
        <v/>
      </c>
      <c r="B365" s="2" t="str">
        <f>IF(A365&gt;0,SUMIF('Барабан'!K:K,A365,'Барабан'!I:I),"")</f>
        <v/>
      </c>
      <c r="C365" s="2" t="str">
        <f>IF(A365&gt;0,SUMIF('Барабан'!V:V,A365,'Барабан'!T:T),"")</f>
        <v/>
      </c>
      <c r="D365" s="2" t="str">
        <f>IF(A365&gt;0,SUMIF('Барабан'!K:K,A365,'Барабан'!AG:AG)+SUMIF('Барабан'!V:V,A365,'Барабан'!AG:AG),"")</f>
        <v/>
      </c>
      <c r="E365" s="2" t="str">
        <f t="shared" si="1"/>
        <v/>
      </c>
      <c r="F365" s="2" t="str">
        <f t="array" ref="F365">IFERROR(IF(E365=0,0,INDEX('Справочник'!G:G,MATCH(A365,'Справочник'!F:F,0))))</f>
        <v/>
      </c>
      <c r="G365" s="2" t="str">
        <f>IF(A365&gt;0,SUMIF('Барабан'!K:K,A365,'Барабан'!P:P),"")</f>
        <v/>
      </c>
      <c r="H365" s="2" t="str">
        <f>IF(A365&gt;0,SUMIF('Барабан'!V:V,A365,'Барабан'!AA:AA),"")</f>
        <v/>
      </c>
      <c r="I365" s="2" t="str">
        <f t="shared" si="4"/>
        <v/>
      </c>
      <c r="J365" s="9" t="str">
        <f t="shared" si="2"/>
        <v/>
      </c>
      <c r="K365" s="1" t="str">
        <f>IF(A365&gt;0,COUNTIF('Барабан'!K:K,A365),"")</f>
        <v/>
      </c>
      <c r="L365" s="1" t="str">
        <f>IF(A365&gt;0,COUNTIF('Барабан'!V:V,A365),"")</f>
        <v/>
      </c>
      <c r="M365" s="1" t="str">
        <f t="shared" si="3"/>
        <v/>
      </c>
      <c r="N365" s="1" t="str">
        <f>IFERROR(__xludf.DUMMYFUNCTION("IF(A365&gt;0,MIN(FILTER('Барабан'!AJ:AJ,'Барабан'!K:K=A365)),"""")"),"")</f>
        <v/>
      </c>
      <c r="O365" s="16" t="str">
        <f>IFERROR(__xludf.DUMMYFUNCTION("IF(A365&gt;0,IFERROR(MAX(FILTER('Барабан'!AJ:AJ,'Барабан'!V:V=A365)),""–""),"""")"),"")</f>
        <v/>
      </c>
    </row>
    <row r="366" ht="15.75" customHeight="1">
      <c r="A366" s="1" t="str">
        <f>'Справочник'!E361</f>
        <v/>
      </c>
      <c r="B366" s="2" t="str">
        <f>IF(A366&gt;0,SUMIF('Барабан'!K:K,A366,'Барабан'!I:I),"")</f>
        <v/>
      </c>
      <c r="C366" s="2" t="str">
        <f>IF(A366&gt;0,SUMIF('Барабан'!V:V,A366,'Барабан'!T:T),"")</f>
        <v/>
      </c>
      <c r="D366" s="2" t="str">
        <f>IF(A366&gt;0,SUMIF('Барабан'!K:K,A366,'Барабан'!AG:AG)+SUMIF('Барабан'!V:V,A366,'Барабан'!AG:AG),"")</f>
        <v/>
      </c>
      <c r="E366" s="2" t="str">
        <f t="shared" si="1"/>
        <v/>
      </c>
      <c r="F366" s="2" t="str">
        <f t="array" ref="F366">IFERROR(IF(E366=0,0,INDEX('Справочник'!G:G,MATCH(A366,'Справочник'!F:F,0))))</f>
        <v/>
      </c>
      <c r="G366" s="2" t="str">
        <f>IF(A366&gt;0,SUMIF('Барабан'!K:K,A366,'Барабан'!P:P),"")</f>
        <v/>
      </c>
      <c r="H366" s="2" t="str">
        <f>IF(A366&gt;0,SUMIF('Барабан'!V:V,A366,'Барабан'!AA:AA),"")</f>
        <v/>
      </c>
      <c r="I366" s="2" t="str">
        <f t="shared" si="4"/>
        <v/>
      </c>
      <c r="J366" s="9" t="str">
        <f t="shared" si="2"/>
        <v/>
      </c>
      <c r="K366" s="1" t="str">
        <f>IF(A366&gt;0,COUNTIF('Барабан'!K:K,A366),"")</f>
        <v/>
      </c>
      <c r="L366" s="1" t="str">
        <f>IF(A366&gt;0,COUNTIF('Барабан'!V:V,A366),"")</f>
        <v/>
      </c>
      <c r="M366" s="1" t="str">
        <f t="shared" si="3"/>
        <v/>
      </c>
      <c r="N366" s="1" t="str">
        <f>IFERROR(__xludf.DUMMYFUNCTION("IF(A366&gt;0,MIN(FILTER('Барабан'!AJ:AJ,'Барабан'!K:K=A366)),"""")"),"")</f>
        <v/>
      </c>
      <c r="O366" s="16" t="str">
        <f>IFERROR(__xludf.DUMMYFUNCTION("IF(A366&gt;0,IFERROR(MAX(FILTER('Барабан'!AJ:AJ,'Барабан'!V:V=A366)),""–""),"""")"),"")</f>
        <v/>
      </c>
    </row>
    <row r="367" ht="15.75" customHeight="1">
      <c r="A367" s="1" t="str">
        <f>'Справочник'!E362</f>
        <v/>
      </c>
      <c r="B367" s="2" t="str">
        <f>IF(A367&gt;0,SUMIF('Барабан'!K:K,A367,'Барабан'!I:I),"")</f>
        <v/>
      </c>
      <c r="C367" s="2" t="str">
        <f>IF(A367&gt;0,SUMIF('Барабан'!V:V,A367,'Барабан'!T:T),"")</f>
        <v/>
      </c>
      <c r="D367" s="2" t="str">
        <f>IF(A367&gt;0,SUMIF('Барабан'!K:K,A367,'Барабан'!AG:AG)+SUMIF('Барабан'!V:V,A367,'Барабан'!AG:AG),"")</f>
        <v/>
      </c>
      <c r="E367" s="2" t="str">
        <f t="shared" si="1"/>
        <v/>
      </c>
      <c r="F367" s="2" t="str">
        <f t="array" ref="F367">IFERROR(IF(E367=0,0,INDEX('Справочник'!G:G,MATCH(A367,'Справочник'!F:F,0))))</f>
        <v/>
      </c>
      <c r="G367" s="2" t="str">
        <f>IF(A367&gt;0,SUMIF('Барабан'!K:K,A367,'Барабан'!P:P),"")</f>
        <v/>
      </c>
      <c r="H367" s="2" t="str">
        <f>IF(A367&gt;0,SUMIF('Барабан'!V:V,A367,'Барабан'!AA:AA),"")</f>
        <v/>
      </c>
      <c r="I367" s="2" t="str">
        <f t="shared" si="4"/>
        <v/>
      </c>
      <c r="J367" s="9" t="str">
        <f t="shared" si="2"/>
        <v/>
      </c>
      <c r="K367" s="1" t="str">
        <f>IF(A367&gt;0,COUNTIF('Барабан'!K:K,A367),"")</f>
        <v/>
      </c>
      <c r="L367" s="1" t="str">
        <f>IF(A367&gt;0,COUNTIF('Барабан'!V:V,A367),"")</f>
        <v/>
      </c>
      <c r="M367" s="1" t="str">
        <f t="shared" si="3"/>
        <v/>
      </c>
      <c r="N367" s="1" t="str">
        <f>IFERROR(__xludf.DUMMYFUNCTION("IF(A367&gt;0,MIN(FILTER('Барабан'!AJ:AJ,'Барабан'!K:K=A367)),"""")"),"")</f>
        <v/>
      </c>
      <c r="O367" s="16" t="str">
        <f>IFERROR(__xludf.DUMMYFUNCTION("IF(A367&gt;0,IFERROR(MAX(FILTER('Барабан'!AJ:AJ,'Барабан'!V:V=A367)),""–""),"""")"),"")</f>
        <v/>
      </c>
    </row>
    <row r="368" ht="15.75" customHeight="1">
      <c r="A368" s="1" t="str">
        <f>'Справочник'!E363</f>
        <v/>
      </c>
      <c r="B368" s="2" t="str">
        <f>IF(A368&gt;0,SUMIF('Барабан'!K:K,A368,'Барабан'!I:I),"")</f>
        <v/>
      </c>
      <c r="C368" s="2" t="str">
        <f>IF(A368&gt;0,SUMIF('Барабан'!V:V,A368,'Барабан'!T:T),"")</f>
        <v/>
      </c>
      <c r="D368" s="2" t="str">
        <f>IF(A368&gt;0,SUMIF('Барабан'!K:K,A368,'Барабан'!AG:AG)+SUMIF('Барабан'!V:V,A368,'Барабан'!AG:AG),"")</f>
        <v/>
      </c>
      <c r="E368" s="2" t="str">
        <f t="shared" si="1"/>
        <v/>
      </c>
      <c r="F368" s="2" t="str">
        <f t="array" ref="F368">IFERROR(IF(E368=0,0,INDEX('Справочник'!G:G,MATCH(A368,'Справочник'!F:F,0))))</f>
        <v/>
      </c>
      <c r="G368" s="2" t="str">
        <f>IF(A368&gt;0,SUMIF('Барабан'!K:K,A368,'Барабан'!P:P),"")</f>
        <v/>
      </c>
      <c r="H368" s="2" t="str">
        <f>IF(A368&gt;0,SUMIF('Барабан'!V:V,A368,'Барабан'!AA:AA),"")</f>
        <v/>
      </c>
      <c r="I368" s="2" t="str">
        <f t="shared" si="4"/>
        <v/>
      </c>
      <c r="J368" s="9" t="str">
        <f t="shared" si="2"/>
        <v/>
      </c>
      <c r="K368" s="1" t="str">
        <f>IF(A368&gt;0,COUNTIF('Барабан'!K:K,A368),"")</f>
        <v/>
      </c>
      <c r="L368" s="1" t="str">
        <f>IF(A368&gt;0,COUNTIF('Барабан'!V:V,A368),"")</f>
        <v/>
      </c>
      <c r="M368" s="1" t="str">
        <f t="shared" si="3"/>
        <v/>
      </c>
      <c r="N368" s="1" t="str">
        <f>IFERROR(__xludf.DUMMYFUNCTION("IF(A368&gt;0,MIN(FILTER('Барабан'!AJ:AJ,'Барабан'!K:K=A368)),"""")"),"")</f>
        <v/>
      </c>
      <c r="O368" s="16" t="str">
        <f>IFERROR(__xludf.DUMMYFUNCTION("IF(A368&gt;0,IFERROR(MAX(FILTER('Барабан'!AJ:AJ,'Барабан'!V:V=A368)),""–""),"""")"),"")</f>
        <v/>
      </c>
    </row>
    <row r="369" ht="15.75" customHeight="1">
      <c r="A369" s="1" t="str">
        <f>'Справочник'!E364</f>
        <v/>
      </c>
      <c r="B369" s="2" t="str">
        <f>IF(A369&gt;0,SUMIF('Барабан'!K:K,A369,'Барабан'!I:I),"")</f>
        <v/>
      </c>
      <c r="C369" s="2" t="str">
        <f>IF(A369&gt;0,SUMIF('Барабан'!V:V,A369,'Барабан'!T:T),"")</f>
        <v/>
      </c>
      <c r="D369" s="2" t="str">
        <f>IF(A369&gt;0,SUMIF('Барабан'!K:K,A369,'Барабан'!AG:AG)+SUMIF('Барабан'!V:V,A369,'Барабан'!AG:AG),"")</f>
        <v/>
      </c>
      <c r="E369" s="2" t="str">
        <f t="shared" si="1"/>
        <v/>
      </c>
      <c r="F369" s="2" t="str">
        <f t="array" ref="F369">IFERROR(IF(E369=0,0,INDEX('Справочник'!G:G,MATCH(A369,'Справочник'!F:F,0))))</f>
        <v/>
      </c>
      <c r="G369" s="2" t="str">
        <f>IF(A369&gt;0,SUMIF('Барабан'!K:K,A369,'Барабан'!P:P),"")</f>
        <v/>
      </c>
      <c r="H369" s="2" t="str">
        <f>IF(A369&gt;0,SUMIF('Барабан'!V:V,A369,'Барабан'!AA:AA),"")</f>
        <v/>
      </c>
      <c r="I369" s="2" t="str">
        <f t="shared" si="4"/>
        <v/>
      </c>
      <c r="J369" s="9" t="str">
        <f t="shared" si="2"/>
        <v/>
      </c>
      <c r="K369" s="1" t="str">
        <f>IF(A369&gt;0,COUNTIF('Барабан'!K:K,A369),"")</f>
        <v/>
      </c>
      <c r="L369" s="1" t="str">
        <f>IF(A369&gt;0,COUNTIF('Барабан'!V:V,A369),"")</f>
        <v/>
      </c>
      <c r="M369" s="1" t="str">
        <f t="shared" si="3"/>
        <v/>
      </c>
      <c r="N369" s="1" t="str">
        <f>IFERROR(__xludf.DUMMYFUNCTION("IF(A369&gt;0,MIN(FILTER('Барабан'!AJ:AJ,'Барабан'!K:K=A369)),"""")"),"")</f>
        <v/>
      </c>
      <c r="O369" s="16" t="str">
        <f>IFERROR(__xludf.DUMMYFUNCTION("IF(A369&gt;0,IFERROR(MAX(FILTER('Барабан'!AJ:AJ,'Барабан'!V:V=A369)),""–""),"""")"),"")</f>
        <v/>
      </c>
    </row>
    <row r="370" ht="15.75" customHeight="1">
      <c r="A370" s="1" t="str">
        <f>'Справочник'!E365</f>
        <v/>
      </c>
      <c r="B370" s="2" t="str">
        <f>IF(A370&gt;0,SUMIF('Барабан'!K:K,A370,'Барабан'!I:I),"")</f>
        <v/>
      </c>
      <c r="C370" s="2" t="str">
        <f>IF(A370&gt;0,SUMIF('Барабан'!V:V,A370,'Барабан'!T:T),"")</f>
        <v/>
      </c>
      <c r="D370" s="2" t="str">
        <f>IF(A370&gt;0,SUMIF('Барабан'!K:K,A370,'Барабан'!AG:AG)+SUMIF('Барабан'!V:V,A370,'Барабан'!AG:AG),"")</f>
        <v/>
      </c>
      <c r="E370" s="2" t="str">
        <f t="shared" si="1"/>
        <v/>
      </c>
      <c r="F370" s="2" t="str">
        <f t="array" ref="F370">IFERROR(IF(E370=0,0,INDEX('Справочник'!G:G,MATCH(A370,'Справочник'!F:F,0))))</f>
        <v/>
      </c>
      <c r="G370" s="2" t="str">
        <f>IF(A370&gt;0,SUMIF('Барабан'!K:K,A370,'Барабан'!P:P),"")</f>
        <v/>
      </c>
      <c r="H370" s="2" t="str">
        <f>IF(A370&gt;0,SUMIF('Барабан'!V:V,A370,'Барабан'!AA:AA),"")</f>
        <v/>
      </c>
      <c r="I370" s="2" t="str">
        <f t="shared" si="4"/>
        <v/>
      </c>
      <c r="J370" s="9" t="str">
        <f t="shared" si="2"/>
        <v/>
      </c>
      <c r="K370" s="1" t="str">
        <f>IF(A370&gt;0,COUNTIF('Барабан'!K:K,A370),"")</f>
        <v/>
      </c>
      <c r="L370" s="1" t="str">
        <f>IF(A370&gt;0,COUNTIF('Барабан'!V:V,A370),"")</f>
        <v/>
      </c>
      <c r="M370" s="1" t="str">
        <f t="shared" si="3"/>
        <v/>
      </c>
      <c r="N370" s="1" t="str">
        <f>IFERROR(__xludf.DUMMYFUNCTION("IF(A370&gt;0,MIN(FILTER('Барабан'!AJ:AJ,'Барабан'!K:K=A370)),"""")"),"")</f>
        <v/>
      </c>
      <c r="O370" s="16" t="str">
        <f>IFERROR(__xludf.DUMMYFUNCTION("IF(A370&gt;0,IFERROR(MAX(FILTER('Барабан'!AJ:AJ,'Барабан'!V:V=A370)),""–""),"""")"),"")</f>
        <v/>
      </c>
    </row>
    <row r="371" ht="15.75" customHeight="1">
      <c r="A371" s="1" t="str">
        <f>'Справочник'!E366</f>
        <v/>
      </c>
      <c r="B371" s="2" t="str">
        <f>IF(A371&gt;0,SUMIF('Барабан'!K:K,A371,'Барабан'!I:I),"")</f>
        <v/>
      </c>
      <c r="C371" s="2" t="str">
        <f>IF(A371&gt;0,SUMIF('Барабан'!V:V,A371,'Барабан'!T:T),"")</f>
        <v/>
      </c>
      <c r="D371" s="2" t="str">
        <f>IF(A371&gt;0,SUMIF('Барабан'!K:K,A371,'Барабан'!AG:AG)+SUMIF('Барабан'!V:V,A371,'Барабан'!AG:AG),"")</f>
        <v/>
      </c>
      <c r="E371" s="2" t="str">
        <f t="shared" si="1"/>
        <v/>
      </c>
      <c r="F371" s="2" t="str">
        <f t="array" ref="F371">IFERROR(IF(E371=0,0,INDEX('Справочник'!G:G,MATCH(A371,'Справочник'!F:F,0))))</f>
        <v/>
      </c>
      <c r="G371" s="2" t="str">
        <f>IF(A371&gt;0,SUMIF('Барабан'!K:K,A371,'Барабан'!P:P),"")</f>
        <v/>
      </c>
      <c r="H371" s="2" t="str">
        <f>IF(A371&gt;0,SUMIF('Барабан'!V:V,A371,'Барабан'!AA:AA),"")</f>
        <v/>
      </c>
      <c r="I371" s="2" t="str">
        <f t="shared" si="4"/>
        <v/>
      </c>
      <c r="J371" s="9" t="str">
        <f t="shared" si="2"/>
        <v/>
      </c>
      <c r="K371" s="1" t="str">
        <f>IF(A371&gt;0,COUNTIF('Барабан'!K:K,A371),"")</f>
        <v/>
      </c>
      <c r="L371" s="1" t="str">
        <f>IF(A371&gt;0,COUNTIF('Барабан'!V:V,A371),"")</f>
        <v/>
      </c>
      <c r="M371" s="1" t="str">
        <f t="shared" si="3"/>
        <v/>
      </c>
      <c r="N371" s="1" t="str">
        <f>IFERROR(__xludf.DUMMYFUNCTION("IF(A371&gt;0,MIN(FILTER('Барабан'!AJ:AJ,'Барабан'!K:K=A371)),"""")"),"")</f>
        <v/>
      </c>
      <c r="O371" s="16" t="str">
        <f>IFERROR(__xludf.DUMMYFUNCTION("IF(A371&gt;0,IFERROR(MAX(FILTER('Барабан'!AJ:AJ,'Барабан'!V:V=A371)),""–""),"""")"),"")</f>
        <v/>
      </c>
    </row>
    <row r="372" ht="15.75" customHeight="1">
      <c r="A372" s="1" t="str">
        <f>'Справочник'!E367</f>
        <v/>
      </c>
      <c r="B372" s="2" t="str">
        <f>IF(A372&gt;0,SUMIF('Барабан'!K:K,A372,'Барабан'!I:I),"")</f>
        <v/>
      </c>
      <c r="C372" s="2" t="str">
        <f>IF(A372&gt;0,SUMIF('Барабан'!V:V,A372,'Барабан'!T:T),"")</f>
        <v/>
      </c>
      <c r="D372" s="2" t="str">
        <f>IF(A372&gt;0,SUMIF('Барабан'!K:K,A372,'Барабан'!AG:AG)+SUMIF('Барабан'!V:V,A372,'Барабан'!AG:AG),"")</f>
        <v/>
      </c>
      <c r="E372" s="2" t="str">
        <f t="shared" si="1"/>
        <v/>
      </c>
      <c r="F372" s="2" t="str">
        <f t="array" ref="F372">IFERROR(IF(E372=0,0,INDEX('Справочник'!G:G,MATCH(A372,'Справочник'!F:F,0))))</f>
        <v/>
      </c>
      <c r="G372" s="2" t="str">
        <f>IF(A372&gt;0,SUMIF('Барабан'!K:K,A372,'Барабан'!P:P),"")</f>
        <v/>
      </c>
      <c r="H372" s="2" t="str">
        <f>IF(A372&gt;0,SUMIF('Барабан'!V:V,A372,'Барабан'!AA:AA),"")</f>
        <v/>
      </c>
      <c r="I372" s="2" t="str">
        <f t="shared" si="4"/>
        <v/>
      </c>
      <c r="J372" s="9" t="str">
        <f t="shared" si="2"/>
        <v/>
      </c>
      <c r="K372" s="1" t="str">
        <f>IF(A372&gt;0,COUNTIF('Барабан'!K:K,A372),"")</f>
        <v/>
      </c>
      <c r="L372" s="1" t="str">
        <f>IF(A372&gt;0,COUNTIF('Барабан'!V:V,A372),"")</f>
        <v/>
      </c>
      <c r="M372" s="1" t="str">
        <f t="shared" si="3"/>
        <v/>
      </c>
      <c r="N372" s="1" t="str">
        <f>IFERROR(__xludf.DUMMYFUNCTION("IF(A372&gt;0,MIN(FILTER('Барабан'!AJ:AJ,'Барабан'!K:K=A372)),"""")"),"")</f>
        <v/>
      </c>
      <c r="O372" s="16" t="str">
        <f>IFERROR(__xludf.DUMMYFUNCTION("IF(A372&gt;0,IFERROR(MAX(FILTER('Барабан'!AJ:AJ,'Барабан'!V:V=A372)),""–""),"""")"),"")</f>
        <v/>
      </c>
    </row>
    <row r="373" ht="15.75" customHeight="1">
      <c r="A373" s="1" t="str">
        <f>'Справочник'!E368</f>
        <v/>
      </c>
      <c r="B373" s="2" t="str">
        <f>IF(A373&gt;0,SUMIF('Барабан'!K:K,A373,'Барабан'!I:I),"")</f>
        <v/>
      </c>
      <c r="C373" s="2" t="str">
        <f>IF(A373&gt;0,SUMIF('Барабан'!V:V,A373,'Барабан'!T:T),"")</f>
        <v/>
      </c>
      <c r="D373" s="2" t="str">
        <f>IF(A373&gt;0,SUMIF('Барабан'!K:K,A373,'Барабан'!AG:AG)+SUMIF('Барабан'!V:V,A373,'Барабан'!AG:AG),"")</f>
        <v/>
      </c>
      <c r="E373" s="2" t="str">
        <f t="shared" si="1"/>
        <v/>
      </c>
      <c r="F373" s="2" t="str">
        <f t="array" ref="F373">IFERROR(IF(E373=0,0,INDEX('Справочник'!G:G,MATCH(A373,'Справочник'!F:F,0))))</f>
        <v/>
      </c>
      <c r="G373" s="2" t="str">
        <f>IF(A373&gt;0,SUMIF('Барабан'!K:K,A373,'Барабан'!P:P),"")</f>
        <v/>
      </c>
      <c r="H373" s="2" t="str">
        <f>IF(A373&gt;0,SUMIF('Барабан'!V:V,A373,'Барабан'!AA:AA),"")</f>
        <v/>
      </c>
      <c r="I373" s="2" t="str">
        <f t="shared" si="4"/>
        <v/>
      </c>
      <c r="J373" s="9" t="str">
        <f t="shared" si="2"/>
        <v/>
      </c>
      <c r="K373" s="1" t="str">
        <f>IF(A373&gt;0,COUNTIF('Барабан'!K:K,A373),"")</f>
        <v/>
      </c>
      <c r="L373" s="1" t="str">
        <f>IF(A373&gt;0,COUNTIF('Барабан'!V:V,A373),"")</f>
        <v/>
      </c>
      <c r="M373" s="1" t="str">
        <f t="shared" si="3"/>
        <v/>
      </c>
      <c r="N373" s="1" t="str">
        <f>IFERROR(__xludf.DUMMYFUNCTION("IF(A373&gt;0,MIN(FILTER('Барабан'!AJ:AJ,'Барабан'!K:K=A373)),"""")"),"")</f>
        <v/>
      </c>
      <c r="O373" s="16" t="str">
        <f>IFERROR(__xludf.DUMMYFUNCTION("IF(A373&gt;0,IFERROR(MAX(FILTER('Барабан'!AJ:AJ,'Барабан'!V:V=A373)),""–""),"""")"),"")</f>
        <v/>
      </c>
    </row>
    <row r="374" ht="15.75" customHeight="1">
      <c r="A374" s="1" t="str">
        <f>'Справочник'!E369</f>
        <v/>
      </c>
      <c r="B374" s="2" t="str">
        <f>IF(A374&gt;0,SUMIF('Барабан'!K:K,A374,'Барабан'!I:I),"")</f>
        <v/>
      </c>
      <c r="C374" s="2" t="str">
        <f>IF(A374&gt;0,SUMIF('Барабан'!V:V,A374,'Барабан'!T:T),"")</f>
        <v/>
      </c>
      <c r="D374" s="2" t="str">
        <f>IF(A374&gt;0,SUMIF('Барабан'!K:K,A374,'Барабан'!AG:AG)+SUMIF('Барабан'!V:V,A374,'Барабан'!AG:AG),"")</f>
        <v/>
      </c>
      <c r="E374" s="2" t="str">
        <f t="shared" si="1"/>
        <v/>
      </c>
      <c r="F374" s="2" t="str">
        <f t="array" ref="F374">IFERROR(IF(E374=0,0,INDEX('Справочник'!G:G,MATCH(A374,'Справочник'!F:F,0))))</f>
        <v/>
      </c>
      <c r="G374" s="2" t="str">
        <f>IF(A374&gt;0,SUMIF('Барабан'!K:K,A374,'Барабан'!P:P),"")</f>
        <v/>
      </c>
      <c r="H374" s="2" t="str">
        <f>IF(A374&gt;0,SUMIF('Барабан'!V:V,A374,'Барабан'!AA:AA),"")</f>
        <v/>
      </c>
      <c r="I374" s="2" t="str">
        <f t="shared" si="4"/>
        <v/>
      </c>
      <c r="J374" s="9" t="str">
        <f t="shared" si="2"/>
        <v/>
      </c>
      <c r="K374" s="1" t="str">
        <f>IF(A374&gt;0,COUNTIF('Барабан'!K:K,A374),"")</f>
        <v/>
      </c>
      <c r="L374" s="1" t="str">
        <f>IF(A374&gt;0,COUNTIF('Барабан'!V:V,A374),"")</f>
        <v/>
      </c>
      <c r="M374" s="1" t="str">
        <f t="shared" si="3"/>
        <v/>
      </c>
      <c r="N374" s="1" t="str">
        <f>IFERROR(__xludf.DUMMYFUNCTION("IF(A374&gt;0,MIN(FILTER('Барабан'!AJ:AJ,'Барабан'!K:K=A374)),"""")"),"")</f>
        <v/>
      </c>
      <c r="O374" s="16" t="str">
        <f>IFERROR(__xludf.DUMMYFUNCTION("IF(A374&gt;0,IFERROR(MAX(FILTER('Барабан'!AJ:AJ,'Барабан'!V:V=A374)),""–""),"""")"),"")</f>
        <v/>
      </c>
    </row>
    <row r="375" ht="15.75" customHeight="1">
      <c r="A375" s="1" t="str">
        <f>'Справочник'!E370</f>
        <v/>
      </c>
      <c r="B375" s="2" t="str">
        <f>IF(A375&gt;0,SUMIF('Барабан'!K:K,A375,'Барабан'!I:I),"")</f>
        <v/>
      </c>
      <c r="C375" s="2" t="str">
        <f>IF(A375&gt;0,SUMIF('Барабан'!V:V,A375,'Барабан'!T:T),"")</f>
        <v/>
      </c>
      <c r="D375" s="2" t="str">
        <f>IF(A375&gt;0,SUMIF('Барабан'!K:K,A375,'Барабан'!AG:AG)+SUMIF('Барабан'!V:V,A375,'Барабан'!AG:AG),"")</f>
        <v/>
      </c>
      <c r="E375" s="2" t="str">
        <f t="shared" si="1"/>
        <v/>
      </c>
      <c r="F375" s="2" t="str">
        <f t="array" ref="F375">IFERROR(IF(E375=0,0,INDEX('Справочник'!G:G,MATCH(A375,'Справочник'!F:F,0))))</f>
        <v/>
      </c>
      <c r="G375" s="2" t="str">
        <f>IF(A375&gt;0,SUMIF('Барабан'!K:K,A375,'Барабан'!P:P),"")</f>
        <v/>
      </c>
      <c r="H375" s="2" t="str">
        <f>IF(A375&gt;0,SUMIF('Барабан'!V:V,A375,'Барабан'!AA:AA),"")</f>
        <v/>
      </c>
      <c r="I375" s="2" t="str">
        <f t="shared" si="4"/>
        <v/>
      </c>
      <c r="J375" s="9" t="str">
        <f t="shared" si="2"/>
        <v/>
      </c>
      <c r="K375" s="1" t="str">
        <f>IF(A375&gt;0,COUNTIF('Барабан'!K:K,A375),"")</f>
        <v/>
      </c>
      <c r="L375" s="1" t="str">
        <f>IF(A375&gt;0,COUNTIF('Барабан'!V:V,A375),"")</f>
        <v/>
      </c>
      <c r="M375" s="1" t="str">
        <f t="shared" si="3"/>
        <v/>
      </c>
      <c r="N375" s="1" t="str">
        <f>IFERROR(__xludf.DUMMYFUNCTION("IF(A375&gt;0,MIN(FILTER('Барабан'!AJ:AJ,'Барабан'!K:K=A375)),"""")"),"")</f>
        <v/>
      </c>
      <c r="O375" s="16" t="str">
        <f>IFERROR(__xludf.DUMMYFUNCTION("IF(A375&gt;0,IFERROR(MAX(FILTER('Барабан'!AJ:AJ,'Барабан'!V:V=A375)),""–""),"""")"),"")</f>
        <v/>
      </c>
    </row>
    <row r="376" ht="15.75" customHeight="1">
      <c r="A376" s="1" t="str">
        <f>'Справочник'!E371</f>
        <v/>
      </c>
      <c r="B376" s="2" t="str">
        <f>IF(A376&gt;0,SUMIF('Барабан'!K:K,A376,'Барабан'!I:I),"")</f>
        <v/>
      </c>
      <c r="C376" s="2" t="str">
        <f>IF(A376&gt;0,SUMIF('Барабан'!V:V,A376,'Барабан'!T:T),"")</f>
        <v/>
      </c>
      <c r="D376" s="2" t="str">
        <f>IF(A376&gt;0,SUMIF('Барабан'!K:K,A376,'Барабан'!AG:AG)+SUMIF('Барабан'!V:V,A376,'Барабан'!AG:AG),"")</f>
        <v/>
      </c>
      <c r="E376" s="2" t="str">
        <f t="shared" si="1"/>
        <v/>
      </c>
      <c r="F376" s="2" t="str">
        <f t="array" ref="F376">IFERROR(IF(E376=0,0,INDEX('Справочник'!G:G,MATCH(A376,'Справочник'!F:F,0))))</f>
        <v/>
      </c>
      <c r="G376" s="2" t="str">
        <f>IF(A376&gt;0,SUMIF('Барабан'!K:K,A376,'Барабан'!P:P),"")</f>
        <v/>
      </c>
      <c r="H376" s="2" t="str">
        <f>IF(A376&gt;0,SUMIF('Барабан'!V:V,A376,'Барабан'!AA:AA),"")</f>
        <v/>
      </c>
      <c r="I376" s="2" t="str">
        <f t="shared" si="4"/>
        <v/>
      </c>
      <c r="J376" s="9" t="str">
        <f t="shared" si="2"/>
        <v/>
      </c>
      <c r="K376" s="1" t="str">
        <f>IF(A376&gt;0,COUNTIF('Барабан'!K:K,A376),"")</f>
        <v/>
      </c>
      <c r="L376" s="1" t="str">
        <f>IF(A376&gt;0,COUNTIF('Барабан'!V:V,A376),"")</f>
        <v/>
      </c>
      <c r="M376" s="1" t="str">
        <f t="shared" si="3"/>
        <v/>
      </c>
      <c r="N376" s="1" t="str">
        <f>IFERROR(__xludf.DUMMYFUNCTION("IF(A376&gt;0,MIN(FILTER('Барабан'!AJ:AJ,'Барабан'!K:K=A376)),"""")"),"")</f>
        <v/>
      </c>
      <c r="O376" s="16" t="str">
        <f>IFERROR(__xludf.DUMMYFUNCTION("IF(A376&gt;0,IFERROR(MAX(FILTER('Барабан'!AJ:AJ,'Барабан'!V:V=A376)),""–""),"""")"),"")</f>
        <v/>
      </c>
    </row>
    <row r="377" ht="15.75" customHeight="1">
      <c r="A377" s="1" t="str">
        <f>'Справочник'!E372</f>
        <v/>
      </c>
      <c r="B377" s="2" t="str">
        <f>IF(A377&gt;0,SUMIF('Барабан'!K:K,A377,'Барабан'!I:I),"")</f>
        <v/>
      </c>
      <c r="C377" s="2" t="str">
        <f>IF(A377&gt;0,SUMIF('Барабан'!V:V,A377,'Барабан'!T:T),"")</f>
        <v/>
      </c>
      <c r="D377" s="2" t="str">
        <f>IF(A377&gt;0,SUMIF('Барабан'!K:K,A377,'Барабан'!AG:AG)+SUMIF('Барабан'!V:V,A377,'Барабан'!AG:AG),"")</f>
        <v/>
      </c>
      <c r="E377" s="2" t="str">
        <f t="shared" si="1"/>
        <v/>
      </c>
      <c r="F377" s="2" t="str">
        <f t="array" ref="F377">IFERROR(IF(E377=0,0,INDEX('Справочник'!G:G,MATCH(A377,'Справочник'!F:F,0))))</f>
        <v/>
      </c>
      <c r="G377" s="2" t="str">
        <f>IF(A377&gt;0,SUMIF('Барабан'!K:K,A377,'Барабан'!P:P),"")</f>
        <v/>
      </c>
      <c r="H377" s="2" t="str">
        <f>IF(A377&gt;0,SUMIF('Барабан'!V:V,A377,'Барабан'!AA:AA),"")</f>
        <v/>
      </c>
      <c r="I377" s="2" t="str">
        <f t="shared" si="4"/>
        <v/>
      </c>
      <c r="J377" s="9" t="str">
        <f t="shared" si="2"/>
        <v/>
      </c>
      <c r="K377" s="1" t="str">
        <f>IF(A377&gt;0,COUNTIF('Барабан'!K:K,A377),"")</f>
        <v/>
      </c>
      <c r="L377" s="1" t="str">
        <f>IF(A377&gt;0,COUNTIF('Барабан'!V:V,A377),"")</f>
        <v/>
      </c>
      <c r="M377" s="1" t="str">
        <f t="shared" si="3"/>
        <v/>
      </c>
      <c r="N377" s="1" t="str">
        <f>IFERROR(__xludf.DUMMYFUNCTION("IF(A377&gt;0,MIN(FILTER('Барабан'!AJ:AJ,'Барабан'!K:K=A377)),"""")"),"")</f>
        <v/>
      </c>
      <c r="O377" s="16" t="str">
        <f>IFERROR(__xludf.DUMMYFUNCTION("IF(A377&gt;0,IFERROR(MAX(FILTER('Барабан'!AJ:AJ,'Барабан'!V:V=A377)),""–""),"""")"),"")</f>
        <v/>
      </c>
    </row>
    <row r="378" ht="15.75" customHeight="1">
      <c r="A378" s="1" t="str">
        <f>'Справочник'!E373</f>
        <v/>
      </c>
      <c r="B378" s="2" t="str">
        <f>IF(A378&gt;0,SUMIF('Барабан'!K:K,A378,'Барабан'!I:I),"")</f>
        <v/>
      </c>
      <c r="C378" s="2" t="str">
        <f>IF(A378&gt;0,SUMIF('Барабан'!V:V,A378,'Барабан'!T:T),"")</f>
        <v/>
      </c>
      <c r="D378" s="2" t="str">
        <f>IF(A378&gt;0,SUMIF('Барабан'!K:K,A378,'Барабан'!AG:AG)+SUMIF('Барабан'!V:V,A378,'Барабан'!AG:AG),"")</f>
        <v/>
      </c>
      <c r="E378" s="2" t="str">
        <f t="shared" si="1"/>
        <v/>
      </c>
      <c r="F378" s="2" t="str">
        <f t="array" ref="F378">IFERROR(IF(E378=0,0,INDEX('Справочник'!G:G,MATCH(A378,'Справочник'!F:F,0))))</f>
        <v/>
      </c>
      <c r="G378" s="2" t="str">
        <f>IF(A378&gt;0,SUMIF('Барабан'!K:K,A378,'Барабан'!P:P),"")</f>
        <v/>
      </c>
      <c r="H378" s="2" t="str">
        <f>IF(A378&gt;0,SUMIF('Барабан'!V:V,A378,'Барабан'!AA:AA),"")</f>
        <v/>
      </c>
      <c r="I378" s="2" t="str">
        <f t="shared" si="4"/>
        <v/>
      </c>
      <c r="J378" s="9" t="str">
        <f t="shared" si="2"/>
        <v/>
      </c>
      <c r="K378" s="1" t="str">
        <f>IF(A378&gt;0,COUNTIF('Барабан'!K:K,A378),"")</f>
        <v/>
      </c>
      <c r="L378" s="1" t="str">
        <f>IF(A378&gt;0,COUNTIF('Барабан'!V:V,A378),"")</f>
        <v/>
      </c>
      <c r="M378" s="1" t="str">
        <f t="shared" si="3"/>
        <v/>
      </c>
      <c r="N378" s="1" t="str">
        <f>IFERROR(__xludf.DUMMYFUNCTION("IF(A378&gt;0,MIN(FILTER('Барабан'!AJ:AJ,'Барабан'!K:K=A378)),"""")"),"")</f>
        <v/>
      </c>
      <c r="O378" s="16" t="str">
        <f>IFERROR(__xludf.DUMMYFUNCTION("IF(A378&gt;0,IFERROR(MAX(FILTER('Барабан'!AJ:AJ,'Барабан'!V:V=A378)),""–""),"""")"),"")</f>
        <v/>
      </c>
    </row>
    <row r="379" ht="15.75" customHeight="1">
      <c r="A379" s="1" t="str">
        <f>'Справочник'!E374</f>
        <v/>
      </c>
      <c r="B379" s="2" t="str">
        <f>IF(A379&gt;0,SUMIF('Барабан'!K:K,A379,'Барабан'!I:I),"")</f>
        <v/>
      </c>
      <c r="C379" s="2" t="str">
        <f>IF(A379&gt;0,SUMIF('Барабан'!V:V,A379,'Барабан'!T:T),"")</f>
        <v/>
      </c>
      <c r="D379" s="2" t="str">
        <f>IF(A379&gt;0,SUMIF('Барабан'!K:K,A379,'Барабан'!AG:AG)+SUMIF('Барабан'!V:V,A379,'Барабан'!AG:AG),"")</f>
        <v/>
      </c>
      <c r="E379" s="2" t="str">
        <f t="shared" si="1"/>
        <v/>
      </c>
      <c r="F379" s="2" t="str">
        <f t="array" ref="F379">IFERROR(IF(E379=0,0,INDEX('Справочник'!G:G,MATCH(A379,'Справочник'!F:F,0))))</f>
        <v/>
      </c>
      <c r="G379" s="2" t="str">
        <f>IF(A379&gt;0,SUMIF('Барабан'!K:K,A379,'Барабан'!P:P),"")</f>
        <v/>
      </c>
      <c r="H379" s="2" t="str">
        <f>IF(A379&gt;0,SUMIF('Барабан'!V:V,A379,'Барабан'!AA:AA),"")</f>
        <v/>
      </c>
      <c r="I379" s="2" t="str">
        <f t="shared" si="4"/>
        <v/>
      </c>
      <c r="J379" s="9" t="str">
        <f t="shared" si="2"/>
        <v/>
      </c>
      <c r="K379" s="1" t="str">
        <f>IF(A379&gt;0,COUNTIF('Барабан'!K:K,A379),"")</f>
        <v/>
      </c>
      <c r="L379" s="1" t="str">
        <f>IF(A379&gt;0,COUNTIF('Барабан'!V:V,A379),"")</f>
        <v/>
      </c>
      <c r="M379" s="1" t="str">
        <f t="shared" si="3"/>
        <v/>
      </c>
      <c r="N379" s="1" t="str">
        <f>IFERROR(__xludf.DUMMYFUNCTION("IF(A379&gt;0,MIN(FILTER('Барабан'!AJ:AJ,'Барабан'!K:K=A379)),"""")"),"")</f>
        <v/>
      </c>
      <c r="O379" s="16" t="str">
        <f>IFERROR(__xludf.DUMMYFUNCTION("IF(A379&gt;0,IFERROR(MAX(FILTER('Барабан'!AJ:AJ,'Барабан'!V:V=A379)),""–""),"""")"),"")</f>
        <v/>
      </c>
    </row>
    <row r="380" ht="15.75" customHeight="1">
      <c r="A380" s="1" t="str">
        <f>'Справочник'!E375</f>
        <v/>
      </c>
      <c r="B380" s="2" t="str">
        <f>IF(A380&gt;0,SUMIF('Барабан'!K:K,A380,'Барабан'!I:I),"")</f>
        <v/>
      </c>
      <c r="C380" s="2" t="str">
        <f>IF(A380&gt;0,SUMIF('Барабан'!V:V,A380,'Барабан'!T:T),"")</f>
        <v/>
      </c>
      <c r="D380" s="2" t="str">
        <f>IF(A380&gt;0,SUMIF('Барабан'!K:K,A380,'Барабан'!AG:AG)+SUMIF('Барабан'!V:V,A380,'Барабан'!AG:AG),"")</f>
        <v/>
      </c>
      <c r="E380" s="2" t="str">
        <f t="shared" si="1"/>
        <v/>
      </c>
      <c r="F380" s="2" t="str">
        <f t="array" ref="F380">IFERROR(IF(E380=0,0,INDEX('Справочник'!G:G,MATCH(A380,'Справочник'!F:F,0))))</f>
        <v/>
      </c>
      <c r="G380" s="2" t="str">
        <f>IF(A380&gt;0,SUMIF('Барабан'!K:K,A380,'Барабан'!P:P),"")</f>
        <v/>
      </c>
      <c r="H380" s="2" t="str">
        <f>IF(A380&gt;0,SUMIF('Барабан'!V:V,A380,'Барабан'!AA:AA),"")</f>
        <v/>
      </c>
      <c r="I380" s="2" t="str">
        <f t="shared" si="4"/>
        <v/>
      </c>
      <c r="J380" s="9" t="str">
        <f t="shared" si="2"/>
        <v/>
      </c>
      <c r="K380" s="1" t="str">
        <f>IF(A380&gt;0,COUNTIF('Барабан'!K:K,A380),"")</f>
        <v/>
      </c>
      <c r="L380" s="1" t="str">
        <f>IF(A380&gt;0,COUNTIF('Барабан'!V:V,A380),"")</f>
        <v/>
      </c>
      <c r="M380" s="1" t="str">
        <f t="shared" si="3"/>
        <v/>
      </c>
      <c r="N380" s="1" t="str">
        <f>IFERROR(__xludf.DUMMYFUNCTION("IF(A380&gt;0,MIN(FILTER('Барабан'!AJ:AJ,'Барабан'!K:K=A380)),"""")"),"")</f>
        <v/>
      </c>
      <c r="O380" s="16" t="str">
        <f>IFERROR(__xludf.DUMMYFUNCTION("IF(A380&gt;0,IFERROR(MAX(FILTER('Барабан'!AJ:AJ,'Барабан'!V:V=A380)),""–""),"""")"),"")</f>
        <v/>
      </c>
    </row>
    <row r="381" ht="15.75" customHeight="1">
      <c r="A381" s="1" t="str">
        <f>'Справочник'!E376</f>
        <v/>
      </c>
      <c r="B381" s="2" t="str">
        <f>IF(A381&gt;0,SUMIF('Барабан'!K:K,A381,'Барабан'!I:I),"")</f>
        <v/>
      </c>
      <c r="C381" s="2" t="str">
        <f>IF(A381&gt;0,SUMIF('Барабан'!V:V,A381,'Барабан'!T:T),"")</f>
        <v/>
      </c>
      <c r="D381" s="2" t="str">
        <f>IF(A381&gt;0,SUMIF('Барабан'!K:K,A381,'Барабан'!AG:AG)+SUMIF('Барабан'!V:V,A381,'Барабан'!AG:AG),"")</f>
        <v/>
      </c>
      <c r="E381" s="2" t="str">
        <f t="shared" si="1"/>
        <v/>
      </c>
      <c r="F381" s="2" t="str">
        <f t="array" ref="F381">IFERROR(IF(E381=0,0,INDEX('Справочник'!G:G,MATCH(A381,'Справочник'!F:F,0))))</f>
        <v/>
      </c>
      <c r="G381" s="2" t="str">
        <f>IF(A381&gt;0,SUMIF('Барабан'!K:K,A381,'Барабан'!P:P),"")</f>
        <v/>
      </c>
      <c r="H381" s="2" t="str">
        <f>IF(A381&gt;0,SUMIF('Барабан'!V:V,A381,'Барабан'!AA:AA),"")</f>
        <v/>
      </c>
      <c r="I381" s="2" t="str">
        <f t="shared" si="4"/>
        <v/>
      </c>
      <c r="J381" s="9" t="str">
        <f t="shared" si="2"/>
        <v/>
      </c>
      <c r="K381" s="1" t="str">
        <f>IF(A381&gt;0,COUNTIF('Барабан'!K:K,A381),"")</f>
        <v/>
      </c>
      <c r="L381" s="1" t="str">
        <f>IF(A381&gt;0,COUNTIF('Барабан'!V:V,A381),"")</f>
        <v/>
      </c>
      <c r="M381" s="1" t="str">
        <f t="shared" si="3"/>
        <v/>
      </c>
      <c r="N381" s="1" t="str">
        <f>IFERROR(__xludf.DUMMYFUNCTION("IF(A381&gt;0,MIN(FILTER('Барабан'!AJ:AJ,'Барабан'!K:K=A381)),"""")"),"")</f>
        <v/>
      </c>
      <c r="O381" s="16" t="str">
        <f>IFERROR(__xludf.DUMMYFUNCTION("IF(A381&gt;0,IFERROR(MAX(FILTER('Барабан'!AJ:AJ,'Барабан'!V:V=A381)),""–""),"""")"),"")</f>
        <v/>
      </c>
    </row>
    <row r="382" ht="15.75" customHeight="1">
      <c r="A382" s="1" t="str">
        <f>'Справочник'!E377</f>
        <v/>
      </c>
      <c r="B382" s="2" t="str">
        <f>IF(A382&gt;0,SUMIF('Барабан'!K:K,A382,'Барабан'!I:I),"")</f>
        <v/>
      </c>
      <c r="C382" s="2" t="str">
        <f>IF(A382&gt;0,SUMIF('Барабан'!V:V,A382,'Барабан'!T:T),"")</f>
        <v/>
      </c>
      <c r="D382" s="2" t="str">
        <f>IF(A382&gt;0,SUMIF('Барабан'!K:K,A382,'Барабан'!AG:AG)+SUMIF('Барабан'!V:V,A382,'Барабан'!AG:AG),"")</f>
        <v/>
      </c>
      <c r="E382" s="2" t="str">
        <f t="shared" si="1"/>
        <v/>
      </c>
      <c r="F382" s="2" t="str">
        <f t="array" ref="F382">IFERROR(IF(E382=0,0,INDEX('Справочник'!G:G,MATCH(A382,'Справочник'!F:F,0))))</f>
        <v/>
      </c>
      <c r="G382" s="2" t="str">
        <f>IF(A382&gt;0,SUMIF('Барабан'!K:K,A382,'Барабан'!P:P),"")</f>
        <v/>
      </c>
      <c r="H382" s="2" t="str">
        <f>IF(A382&gt;0,SUMIF('Барабан'!V:V,A382,'Барабан'!AA:AA),"")</f>
        <v/>
      </c>
      <c r="I382" s="2" t="str">
        <f t="shared" si="4"/>
        <v/>
      </c>
      <c r="J382" s="9" t="str">
        <f t="shared" si="2"/>
        <v/>
      </c>
      <c r="K382" s="1" t="str">
        <f>IF(A382&gt;0,COUNTIF('Барабан'!K:K,A382),"")</f>
        <v/>
      </c>
      <c r="L382" s="1" t="str">
        <f>IF(A382&gt;0,COUNTIF('Барабан'!V:V,A382),"")</f>
        <v/>
      </c>
      <c r="M382" s="1" t="str">
        <f t="shared" si="3"/>
        <v/>
      </c>
      <c r="N382" s="1" t="str">
        <f>IFERROR(__xludf.DUMMYFUNCTION("IF(A382&gt;0,MIN(FILTER('Барабан'!AJ:AJ,'Барабан'!K:K=A382)),"""")"),"")</f>
        <v/>
      </c>
      <c r="O382" s="16" t="str">
        <f>IFERROR(__xludf.DUMMYFUNCTION("IF(A382&gt;0,IFERROR(MAX(FILTER('Барабан'!AJ:AJ,'Барабан'!V:V=A382)),""–""),"""")"),"")</f>
        <v/>
      </c>
    </row>
    <row r="383" ht="15.75" customHeight="1">
      <c r="A383" s="1" t="str">
        <f>'Справочник'!E378</f>
        <v/>
      </c>
      <c r="B383" s="2" t="str">
        <f>IF(A383&gt;0,SUMIF('Барабан'!K:K,A383,'Барабан'!I:I),"")</f>
        <v/>
      </c>
      <c r="C383" s="2" t="str">
        <f>IF(A383&gt;0,SUMIF('Барабан'!V:V,A383,'Барабан'!T:T),"")</f>
        <v/>
      </c>
      <c r="D383" s="2" t="str">
        <f>IF(A383&gt;0,SUMIF('Барабан'!K:K,A383,'Барабан'!AG:AG)+SUMIF('Барабан'!V:V,A383,'Барабан'!AG:AG),"")</f>
        <v/>
      </c>
      <c r="E383" s="2" t="str">
        <f t="shared" si="1"/>
        <v/>
      </c>
      <c r="F383" s="2" t="str">
        <f t="array" ref="F383">IFERROR(IF(E383=0,0,INDEX('Справочник'!G:G,MATCH(A383,'Справочник'!F:F,0))))</f>
        <v/>
      </c>
      <c r="G383" s="2" t="str">
        <f>IF(A383&gt;0,SUMIF('Барабан'!K:K,A383,'Барабан'!P:P),"")</f>
        <v/>
      </c>
      <c r="H383" s="2" t="str">
        <f>IF(A383&gt;0,SUMIF('Барабан'!V:V,A383,'Барабан'!AA:AA),"")</f>
        <v/>
      </c>
      <c r="I383" s="2" t="str">
        <f t="shared" si="4"/>
        <v/>
      </c>
      <c r="J383" s="9" t="str">
        <f t="shared" si="2"/>
        <v/>
      </c>
      <c r="K383" s="1" t="str">
        <f>IF(A383&gt;0,COUNTIF('Барабан'!K:K,A383),"")</f>
        <v/>
      </c>
      <c r="L383" s="1" t="str">
        <f>IF(A383&gt;0,COUNTIF('Барабан'!V:V,A383),"")</f>
        <v/>
      </c>
      <c r="M383" s="1" t="str">
        <f t="shared" si="3"/>
        <v/>
      </c>
      <c r="N383" s="1" t="str">
        <f>IFERROR(__xludf.DUMMYFUNCTION("IF(A383&gt;0,MIN(FILTER('Барабан'!AJ:AJ,'Барабан'!K:K=A383)),"""")"),"")</f>
        <v/>
      </c>
      <c r="O383" s="16" t="str">
        <f>IFERROR(__xludf.DUMMYFUNCTION("IF(A383&gt;0,IFERROR(MAX(FILTER('Барабан'!AJ:AJ,'Барабан'!V:V=A383)),""–""),"""")"),"")</f>
        <v/>
      </c>
    </row>
    <row r="384" ht="15.75" customHeight="1">
      <c r="A384" s="1" t="str">
        <f>'Справочник'!E379</f>
        <v/>
      </c>
      <c r="B384" s="2" t="str">
        <f>IF(A384&gt;0,SUMIF('Барабан'!K:K,A384,'Барабан'!I:I),"")</f>
        <v/>
      </c>
      <c r="C384" s="2" t="str">
        <f>IF(A384&gt;0,SUMIF('Барабан'!V:V,A384,'Барабан'!T:T),"")</f>
        <v/>
      </c>
      <c r="D384" s="2" t="str">
        <f>IF(A384&gt;0,SUMIF('Барабан'!K:K,A384,'Барабан'!AG:AG)+SUMIF('Барабан'!V:V,A384,'Барабан'!AG:AG),"")</f>
        <v/>
      </c>
      <c r="E384" s="2" t="str">
        <f t="shared" si="1"/>
        <v/>
      </c>
      <c r="F384" s="2" t="str">
        <f t="array" ref="F384">IFERROR(IF(E384=0,0,INDEX('Справочник'!G:G,MATCH(A384,'Справочник'!F:F,0))))</f>
        <v/>
      </c>
      <c r="G384" s="2" t="str">
        <f>IF(A384&gt;0,SUMIF('Барабан'!K:K,A384,'Барабан'!P:P),"")</f>
        <v/>
      </c>
      <c r="H384" s="2" t="str">
        <f>IF(A384&gt;0,SUMIF('Барабан'!V:V,A384,'Барабан'!AA:AA),"")</f>
        <v/>
      </c>
      <c r="I384" s="2" t="str">
        <f t="shared" si="4"/>
        <v/>
      </c>
      <c r="J384" s="9" t="str">
        <f t="shared" si="2"/>
        <v/>
      </c>
      <c r="K384" s="1" t="str">
        <f>IF(A384&gt;0,COUNTIF('Барабан'!K:K,A384),"")</f>
        <v/>
      </c>
      <c r="L384" s="1" t="str">
        <f>IF(A384&gt;0,COUNTIF('Барабан'!V:V,A384),"")</f>
        <v/>
      </c>
      <c r="M384" s="1" t="str">
        <f t="shared" si="3"/>
        <v/>
      </c>
      <c r="N384" s="1" t="str">
        <f>IFERROR(__xludf.DUMMYFUNCTION("IF(A384&gt;0,MIN(FILTER('Барабан'!AJ:AJ,'Барабан'!K:K=A384)),"""")"),"")</f>
        <v/>
      </c>
      <c r="O384" s="16" t="str">
        <f>IFERROR(__xludf.DUMMYFUNCTION("IF(A384&gt;0,IFERROR(MAX(FILTER('Барабан'!AJ:AJ,'Барабан'!V:V=A384)),""–""),"""")"),"")</f>
        <v/>
      </c>
    </row>
    <row r="385" ht="15.75" customHeight="1">
      <c r="A385" s="1" t="str">
        <f>'Справочник'!E380</f>
        <v/>
      </c>
      <c r="B385" s="2" t="str">
        <f>IF(A385&gt;0,SUMIF('Барабан'!K:K,A385,'Барабан'!I:I),"")</f>
        <v/>
      </c>
      <c r="C385" s="2" t="str">
        <f>IF(A385&gt;0,SUMIF('Барабан'!V:V,A385,'Барабан'!T:T),"")</f>
        <v/>
      </c>
      <c r="D385" s="2" t="str">
        <f>IF(A385&gt;0,SUMIF('Барабан'!K:K,A385,'Барабан'!AG:AG)+SUMIF('Барабан'!V:V,A385,'Барабан'!AG:AG),"")</f>
        <v/>
      </c>
      <c r="E385" s="2" t="str">
        <f t="shared" si="1"/>
        <v/>
      </c>
      <c r="F385" s="2" t="str">
        <f t="array" ref="F385">IFERROR(IF(E385=0,0,INDEX('Справочник'!G:G,MATCH(A385,'Справочник'!F:F,0))))</f>
        <v/>
      </c>
      <c r="G385" s="2" t="str">
        <f>IF(A385&gt;0,SUMIF('Барабан'!K:K,A385,'Барабан'!P:P),"")</f>
        <v/>
      </c>
      <c r="H385" s="2" t="str">
        <f>IF(A385&gt;0,SUMIF('Барабан'!V:V,A385,'Барабан'!AA:AA),"")</f>
        <v/>
      </c>
      <c r="I385" s="2" t="str">
        <f t="shared" si="4"/>
        <v/>
      </c>
      <c r="J385" s="9" t="str">
        <f t="shared" si="2"/>
        <v/>
      </c>
      <c r="K385" s="1" t="str">
        <f>IF(A385&gt;0,COUNTIF('Барабан'!K:K,A385),"")</f>
        <v/>
      </c>
      <c r="L385" s="1" t="str">
        <f>IF(A385&gt;0,COUNTIF('Барабан'!V:V,A385),"")</f>
        <v/>
      </c>
      <c r="M385" s="1" t="str">
        <f t="shared" si="3"/>
        <v/>
      </c>
      <c r="N385" s="1" t="str">
        <f>IFERROR(__xludf.DUMMYFUNCTION("IF(A385&gt;0,MIN(FILTER('Барабан'!AJ:AJ,'Барабан'!K:K=A385)),"""")"),"")</f>
        <v/>
      </c>
      <c r="O385" s="16" t="str">
        <f>IFERROR(__xludf.DUMMYFUNCTION("IF(A385&gt;0,IFERROR(MAX(FILTER('Барабан'!AJ:AJ,'Барабан'!V:V=A385)),""–""),"""")"),"")</f>
        <v/>
      </c>
    </row>
    <row r="386" ht="15.75" customHeight="1">
      <c r="A386" s="1" t="str">
        <f>'Справочник'!E381</f>
        <v/>
      </c>
      <c r="B386" s="2" t="str">
        <f>IF(A386&gt;0,SUMIF('Барабан'!K:K,A386,'Барабан'!I:I),"")</f>
        <v/>
      </c>
      <c r="C386" s="2" t="str">
        <f>IF(A386&gt;0,SUMIF('Барабан'!V:V,A386,'Барабан'!T:T),"")</f>
        <v/>
      </c>
      <c r="D386" s="2" t="str">
        <f>IF(A386&gt;0,SUMIF('Барабан'!K:K,A386,'Барабан'!AG:AG)+SUMIF('Барабан'!V:V,A386,'Барабан'!AG:AG),"")</f>
        <v/>
      </c>
      <c r="E386" s="2" t="str">
        <f t="shared" si="1"/>
        <v/>
      </c>
      <c r="F386" s="2" t="str">
        <f t="array" ref="F386">IFERROR(IF(E386=0,0,INDEX('Справочник'!G:G,MATCH(A386,'Справочник'!F:F,0))))</f>
        <v/>
      </c>
      <c r="G386" s="2" t="str">
        <f>IF(A386&gt;0,SUMIF('Барабан'!K:K,A386,'Барабан'!P:P),"")</f>
        <v/>
      </c>
      <c r="H386" s="2" t="str">
        <f>IF(A386&gt;0,SUMIF('Барабан'!V:V,A386,'Барабан'!AA:AA),"")</f>
        <v/>
      </c>
      <c r="I386" s="2" t="str">
        <f t="shared" si="4"/>
        <v/>
      </c>
      <c r="J386" s="9" t="str">
        <f t="shared" si="2"/>
        <v/>
      </c>
      <c r="K386" s="1" t="str">
        <f>IF(A386&gt;0,COUNTIF('Барабан'!K:K,A386),"")</f>
        <v/>
      </c>
      <c r="L386" s="1" t="str">
        <f>IF(A386&gt;0,COUNTIF('Барабан'!V:V,A386),"")</f>
        <v/>
      </c>
      <c r="M386" s="1" t="str">
        <f t="shared" si="3"/>
        <v/>
      </c>
      <c r="N386" s="1" t="str">
        <f>IFERROR(__xludf.DUMMYFUNCTION("IF(A386&gt;0,MIN(FILTER('Барабан'!AJ:AJ,'Барабан'!K:K=A386)),"""")"),"")</f>
        <v/>
      </c>
      <c r="O386" s="16" t="str">
        <f>IFERROR(__xludf.DUMMYFUNCTION("IF(A386&gt;0,IFERROR(MAX(FILTER('Барабан'!AJ:AJ,'Барабан'!V:V=A386)),""–""),"""")"),"")</f>
        <v/>
      </c>
    </row>
    <row r="387" ht="15.75" customHeight="1">
      <c r="A387" s="1" t="str">
        <f>'Справочник'!E382</f>
        <v/>
      </c>
      <c r="B387" s="2" t="str">
        <f>IF(A387&gt;0,SUMIF('Барабан'!K:K,A387,'Барабан'!I:I),"")</f>
        <v/>
      </c>
      <c r="C387" s="2" t="str">
        <f>IF(A387&gt;0,SUMIF('Барабан'!V:V,A387,'Барабан'!T:T),"")</f>
        <v/>
      </c>
      <c r="D387" s="2" t="str">
        <f>IF(A387&gt;0,SUMIF('Барабан'!K:K,A387,'Барабан'!AG:AG)+SUMIF('Барабан'!V:V,A387,'Барабан'!AG:AG),"")</f>
        <v/>
      </c>
      <c r="E387" s="2" t="str">
        <f t="shared" si="1"/>
        <v/>
      </c>
      <c r="F387" s="2" t="str">
        <f t="array" ref="F387">IFERROR(IF(E387=0,0,INDEX('Справочник'!G:G,MATCH(A387,'Справочник'!F:F,0))))</f>
        <v/>
      </c>
      <c r="G387" s="2" t="str">
        <f>IF(A387&gt;0,SUMIF('Барабан'!K:K,A387,'Барабан'!P:P),"")</f>
        <v/>
      </c>
      <c r="H387" s="2" t="str">
        <f>IF(A387&gt;0,SUMIF('Барабан'!V:V,A387,'Барабан'!AA:AA),"")</f>
        <v/>
      </c>
      <c r="I387" s="2" t="str">
        <f t="shared" si="4"/>
        <v/>
      </c>
      <c r="J387" s="9" t="str">
        <f t="shared" si="2"/>
        <v/>
      </c>
      <c r="K387" s="1" t="str">
        <f>IF(A387&gt;0,COUNTIF('Барабан'!K:K,A387),"")</f>
        <v/>
      </c>
      <c r="L387" s="1" t="str">
        <f>IF(A387&gt;0,COUNTIF('Барабан'!V:V,A387),"")</f>
        <v/>
      </c>
      <c r="M387" s="1" t="str">
        <f t="shared" si="3"/>
        <v/>
      </c>
      <c r="N387" s="1" t="str">
        <f>IFERROR(__xludf.DUMMYFUNCTION("IF(A387&gt;0,MIN(FILTER('Барабан'!AJ:AJ,'Барабан'!K:K=A387)),"""")"),"")</f>
        <v/>
      </c>
      <c r="O387" s="16" t="str">
        <f>IFERROR(__xludf.DUMMYFUNCTION("IF(A387&gt;0,IFERROR(MAX(FILTER('Барабан'!AJ:AJ,'Барабан'!V:V=A387)),""–""),"""")"),"")</f>
        <v/>
      </c>
    </row>
    <row r="388" ht="15.75" customHeight="1">
      <c r="A388" s="1" t="str">
        <f>'Справочник'!E383</f>
        <v/>
      </c>
      <c r="B388" s="2" t="str">
        <f>IF(A388&gt;0,SUMIF('Барабан'!K:K,A388,'Барабан'!I:I),"")</f>
        <v/>
      </c>
      <c r="C388" s="2" t="str">
        <f>IF(A388&gt;0,SUMIF('Барабан'!V:V,A388,'Барабан'!T:T),"")</f>
        <v/>
      </c>
      <c r="D388" s="2" t="str">
        <f>IF(A388&gt;0,SUMIF('Барабан'!K:K,A388,'Барабан'!AG:AG)+SUMIF('Барабан'!V:V,A388,'Барабан'!AG:AG),"")</f>
        <v/>
      </c>
      <c r="E388" s="2" t="str">
        <f t="shared" si="1"/>
        <v/>
      </c>
      <c r="F388" s="2" t="str">
        <f t="array" ref="F388">IFERROR(IF(E388=0,0,INDEX('Справочник'!G:G,MATCH(A388,'Справочник'!F:F,0))))</f>
        <v/>
      </c>
      <c r="G388" s="2" t="str">
        <f>IF(A388&gt;0,SUMIF('Барабан'!K:K,A388,'Барабан'!P:P),"")</f>
        <v/>
      </c>
      <c r="H388" s="2" t="str">
        <f>IF(A388&gt;0,SUMIF('Барабан'!V:V,A388,'Барабан'!AA:AA),"")</f>
        <v/>
      </c>
      <c r="I388" s="2" t="str">
        <f t="shared" si="4"/>
        <v/>
      </c>
      <c r="J388" s="9" t="str">
        <f t="shared" si="2"/>
        <v/>
      </c>
      <c r="K388" s="1" t="str">
        <f>IF(A388&gt;0,COUNTIF('Барабан'!K:K,A388),"")</f>
        <v/>
      </c>
      <c r="L388" s="1" t="str">
        <f>IF(A388&gt;0,COUNTIF('Барабан'!V:V,A388),"")</f>
        <v/>
      </c>
      <c r="M388" s="1" t="str">
        <f t="shared" si="3"/>
        <v/>
      </c>
      <c r="N388" s="1" t="str">
        <f>IFERROR(__xludf.DUMMYFUNCTION("IF(A388&gt;0,MIN(FILTER('Барабан'!AJ:AJ,'Барабан'!K:K=A388)),"""")"),"")</f>
        <v/>
      </c>
      <c r="O388" s="16" t="str">
        <f>IFERROR(__xludf.DUMMYFUNCTION("IF(A388&gt;0,IFERROR(MAX(FILTER('Барабан'!AJ:AJ,'Барабан'!V:V=A388)),""–""),"""")"),"")</f>
        <v/>
      </c>
    </row>
    <row r="389" ht="15.75" customHeight="1">
      <c r="A389" s="1" t="str">
        <f>'Справочник'!E384</f>
        <v/>
      </c>
      <c r="B389" s="2" t="str">
        <f>IF(A389&gt;0,SUMIF('Барабан'!K:K,A389,'Барабан'!I:I),"")</f>
        <v/>
      </c>
      <c r="C389" s="2" t="str">
        <f>IF(A389&gt;0,SUMIF('Барабан'!V:V,A389,'Барабан'!T:T),"")</f>
        <v/>
      </c>
      <c r="D389" s="2" t="str">
        <f>IF(A389&gt;0,SUMIF('Барабан'!K:K,A389,'Барабан'!AG:AG)+SUMIF('Барабан'!V:V,A389,'Барабан'!AG:AG),"")</f>
        <v/>
      </c>
      <c r="E389" s="2" t="str">
        <f t="shared" si="1"/>
        <v/>
      </c>
      <c r="F389" s="2" t="str">
        <f t="array" ref="F389">IFERROR(IF(E389=0,0,INDEX('Справочник'!G:G,MATCH(A389,'Справочник'!F:F,0))))</f>
        <v/>
      </c>
      <c r="G389" s="2" t="str">
        <f>IF(A389&gt;0,SUMIF('Барабан'!K:K,A389,'Барабан'!P:P),"")</f>
        <v/>
      </c>
      <c r="H389" s="2" t="str">
        <f>IF(A389&gt;0,SUMIF('Барабан'!V:V,A389,'Барабан'!AA:AA),"")</f>
        <v/>
      </c>
      <c r="I389" s="2" t="str">
        <f t="shared" si="4"/>
        <v/>
      </c>
      <c r="J389" s="9" t="str">
        <f t="shared" si="2"/>
        <v/>
      </c>
      <c r="K389" s="1" t="str">
        <f>IF(A389&gt;0,COUNTIF('Барабан'!K:K,A389),"")</f>
        <v/>
      </c>
      <c r="L389" s="1" t="str">
        <f>IF(A389&gt;0,COUNTIF('Барабан'!V:V,A389),"")</f>
        <v/>
      </c>
      <c r="M389" s="1" t="str">
        <f t="shared" si="3"/>
        <v/>
      </c>
      <c r="N389" s="1" t="str">
        <f>IFERROR(__xludf.DUMMYFUNCTION("IF(A389&gt;0,MIN(FILTER('Барабан'!AJ:AJ,'Барабан'!K:K=A389)),"""")"),"")</f>
        <v/>
      </c>
      <c r="O389" s="16" t="str">
        <f>IFERROR(__xludf.DUMMYFUNCTION("IF(A389&gt;0,IFERROR(MAX(FILTER('Барабан'!AJ:AJ,'Барабан'!V:V=A389)),""–""),"""")"),"")</f>
        <v/>
      </c>
    </row>
    <row r="390" ht="15.75" customHeight="1">
      <c r="A390" s="1" t="str">
        <f>'Справочник'!E385</f>
        <v/>
      </c>
      <c r="B390" s="2" t="str">
        <f>IF(A390&gt;0,SUMIF('Барабан'!K:K,A390,'Барабан'!I:I),"")</f>
        <v/>
      </c>
      <c r="C390" s="2" t="str">
        <f>IF(A390&gt;0,SUMIF('Барабан'!V:V,A390,'Барабан'!T:T),"")</f>
        <v/>
      </c>
      <c r="D390" s="2" t="str">
        <f>IF(A390&gt;0,SUMIF('Барабан'!K:K,A390,'Барабан'!AG:AG)+SUMIF('Барабан'!V:V,A390,'Барабан'!AG:AG),"")</f>
        <v/>
      </c>
      <c r="E390" s="2" t="str">
        <f t="shared" si="1"/>
        <v/>
      </c>
      <c r="F390" s="2" t="str">
        <f t="array" ref="F390">IFERROR(IF(E390=0,0,INDEX('Справочник'!G:G,MATCH(A390,'Справочник'!F:F,0))))</f>
        <v/>
      </c>
      <c r="G390" s="2" t="str">
        <f>IF(A390&gt;0,SUMIF('Барабан'!K:K,A390,'Барабан'!P:P),"")</f>
        <v/>
      </c>
      <c r="H390" s="2" t="str">
        <f>IF(A390&gt;0,SUMIF('Барабан'!V:V,A390,'Барабан'!AA:AA),"")</f>
        <v/>
      </c>
      <c r="I390" s="2" t="str">
        <f t="shared" si="4"/>
        <v/>
      </c>
      <c r="J390" s="9" t="str">
        <f t="shared" si="2"/>
        <v/>
      </c>
      <c r="K390" s="1" t="str">
        <f>IF(A390&gt;0,COUNTIF('Барабан'!K:K,A390),"")</f>
        <v/>
      </c>
      <c r="L390" s="1" t="str">
        <f>IF(A390&gt;0,COUNTIF('Барабан'!V:V,A390),"")</f>
        <v/>
      </c>
      <c r="M390" s="1" t="str">
        <f t="shared" si="3"/>
        <v/>
      </c>
      <c r="N390" s="1" t="str">
        <f>IFERROR(__xludf.DUMMYFUNCTION("IF(A390&gt;0,MIN(FILTER('Барабан'!AJ:AJ,'Барабан'!K:K=A390)),"""")"),"")</f>
        <v/>
      </c>
      <c r="O390" s="16" t="str">
        <f>IFERROR(__xludf.DUMMYFUNCTION("IF(A390&gt;0,IFERROR(MAX(FILTER('Барабан'!AJ:AJ,'Барабан'!V:V=A390)),""–""),"""")"),"")</f>
        <v/>
      </c>
    </row>
    <row r="391" ht="15.75" customHeight="1">
      <c r="A391" s="1" t="str">
        <f>'Справочник'!E386</f>
        <v/>
      </c>
      <c r="B391" s="2" t="str">
        <f>IF(A391&gt;0,SUMIF('Барабан'!K:K,A391,'Барабан'!I:I),"")</f>
        <v/>
      </c>
      <c r="C391" s="2" t="str">
        <f>IF(A391&gt;0,SUMIF('Барабан'!V:V,A391,'Барабан'!T:T),"")</f>
        <v/>
      </c>
      <c r="D391" s="2" t="str">
        <f>IF(A391&gt;0,SUMIF('Барабан'!K:K,A391,'Барабан'!AG:AG)+SUMIF('Барабан'!V:V,A391,'Барабан'!AG:AG),"")</f>
        <v/>
      </c>
      <c r="E391" s="2" t="str">
        <f t="shared" si="1"/>
        <v/>
      </c>
      <c r="F391" s="2" t="str">
        <f t="array" ref="F391">IFERROR(IF(E391=0,0,INDEX('Справочник'!G:G,MATCH(A391,'Справочник'!F:F,0))))</f>
        <v/>
      </c>
      <c r="G391" s="2" t="str">
        <f>IF(A391&gt;0,SUMIF('Барабан'!K:K,A391,'Барабан'!P:P),"")</f>
        <v/>
      </c>
      <c r="H391" s="2" t="str">
        <f>IF(A391&gt;0,SUMIF('Барабан'!V:V,A391,'Барабан'!AA:AA),"")</f>
        <v/>
      </c>
      <c r="I391" s="2" t="str">
        <f t="shared" si="4"/>
        <v/>
      </c>
      <c r="J391" s="9" t="str">
        <f t="shared" si="2"/>
        <v/>
      </c>
      <c r="K391" s="1" t="str">
        <f>IF(A391&gt;0,COUNTIF('Барабан'!K:K,A391),"")</f>
        <v/>
      </c>
      <c r="L391" s="1" t="str">
        <f>IF(A391&gt;0,COUNTIF('Барабан'!V:V,A391),"")</f>
        <v/>
      </c>
      <c r="M391" s="1" t="str">
        <f t="shared" si="3"/>
        <v/>
      </c>
      <c r="N391" s="1" t="str">
        <f>IFERROR(__xludf.DUMMYFUNCTION("IF(A391&gt;0,MIN(FILTER('Барабан'!AJ:AJ,'Барабан'!K:K=A391)),"""")"),"")</f>
        <v/>
      </c>
      <c r="O391" s="16" t="str">
        <f>IFERROR(__xludf.DUMMYFUNCTION("IF(A391&gt;0,IFERROR(MAX(FILTER('Барабан'!AJ:AJ,'Барабан'!V:V=A391)),""–""),"""")"),"")</f>
        <v/>
      </c>
    </row>
    <row r="392" ht="15.75" customHeight="1">
      <c r="A392" s="1" t="str">
        <f>'Справочник'!E387</f>
        <v/>
      </c>
      <c r="B392" s="2" t="str">
        <f>IF(A392&gt;0,SUMIF('Барабан'!K:K,A392,'Барабан'!I:I),"")</f>
        <v/>
      </c>
      <c r="C392" s="2" t="str">
        <f>IF(A392&gt;0,SUMIF('Барабан'!V:V,A392,'Барабан'!T:T),"")</f>
        <v/>
      </c>
      <c r="D392" s="2" t="str">
        <f>IF(A392&gt;0,SUMIF('Барабан'!K:K,A392,'Барабан'!AG:AG)+SUMIF('Барабан'!V:V,A392,'Барабан'!AG:AG),"")</f>
        <v/>
      </c>
      <c r="E392" s="2" t="str">
        <f t="shared" si="1"/>
        <v/>
      </c>
      <c r="F392" s="2" t="str">
        <f t="array" ref="F392">IFERROR(IF(E392=0,0,INDEX('Справочник'!G:G,MATCH(A392,'Справочник'!F:F,0))))</f>
        <v/>
      </c>
      <c r="G392" s="2" t="str">
        <f>IF(A392&gt;0,SUMIF('Барабан'!K:K,A392,'Барабан'!P:P),"")</f>
        <v/>
      </c>
      <c r="H392" s="2" t="str">
        <f>IF(A392&gt;0,SUMIF('Барабан'!V:V,A392,'Барабан'!AA:AA),"")</f>
        <v/>
      </c>
      <c r="I392" s="2" t="str">
        <f t="shared" si="4"/>
        <v/>
      </c>
      <c r="J392" s="9" t="str">
        <f t="shared" si="2"/>
        <v/>
      </c>
      <c r="K392" s="1" t="str">
        <f>IF(A392&gt;0,COUNTIF('Барабан'!K:K,A392),"")</f>
        <v/>
      </c>
      <c r="L392" s="1" t="str">
        <f>IF(A392&gt;0,COUNTIF('Барабан'!V:V,A392),"")</f>
        <v/>
      </c>
      <c r="M392" s="1" t="str">
        <f t="shared" si="3"/>
        <v/>
      </c>
      <c r="N392" s="1" t="str">
        <f>IFERROR(__xludf.DUMMYFUNCTION("IF(A392&gt;0,MIN(FILTER('Барабан'!AJ:AJ,'Барабан'!K:K=A392)),"""")"),"")</f>
        <v/>
      </c>
      <c r="O392" s="16" t="str">
        <f>IFERROR(__xludf.DUMMYFUNCTION("IF(A392&gt;0,IFERROR(MAX(FILTER('Барабан'!AJ:AJ,'Барабан'!V:V=A392)),""–""),"""")"),"")</f>
        <v/>
      </c>
    </row>
    <row r="393" ht="15.75" customHeight="1">
      <c r="A393" s="1" t="str">
        <f>'Справочник'!E388</f>
        <v/>
      </c>
      <c r="B393" s="2" t="str">
        <f>IF(A393&gt;0,SUMIF('Барабан'!K:K,A393,'Барабан'!I:I),"")</f>
        <v/>
      </c>
      <c r="C393" s="2" t="str">
        <f>IF(A393&gt;0,SUMIF('Барабан'!V:V,A393,'Барабан'!T:T),"")</f>
        <v/>
      </c>
      <c r="D393" s="2" t="str">
        <f>IF(A393&gt;0,SUMIF('Барабан'!K:K,A393,'Барабан'!AG:AG)+SUMIF('Барабан'!V:V,A393,'Барабан'!AG:AG),"")</f>
        <v/>
      </c>
      <c r="E393" s="2" t="str">
        <f t="shared" si="1"/>
        <v/>
      </c>
      <c r="F393" s="2" t="str">
        <f t="array" ref="F393">IFERROR(IF(E393=0,0,INDEX('Справочник'!G:G,MATCH(A393,'Справочник'!F:F,0))))</f>
        <v/>
      </c>
      <c r="G393" s="2" t="str">
        <f>IF(A393&gt;0,SUMIF('Барабан'!K:K,A393,'Барабан'!P:P),"")</f>
        <v/>
      </c>
      <c r="H393" s="2" t="str">
        <f>IF(A393&gt;0,SUMIF('Барабан'!V:V,A393,'Барабан'!AA:AA),"")</f>
        <v/>
      </c>
      <c r="I393" s="2" t="str">
        <f t="shared" si="4"/>
        <v/>
      </c>
      <c r="J393" s="9" t="str">
        <f t="shared" si="2"/>
        <v/>
      </c>
      <c r="K393" s="1" t="str">
        <f>IF(A393&gt;0,COUNTIF('Барабан'!K:K,A393),"")</f>
        <v/>
      </c>
      <c r="L393" s="1" t="str">
        <f>IF(A393&gt;0,COUNTIF('Барабан'!V:V,A393),"")</f>
        <v/>
      </c>
      <c r="M393" s="1" t="str">
        <f t="shared" si="3"/>
        <v/>
      </c>
      <c r="N393" s="1" t="str">
        <f>IFERROR(__xludf.DUMMYFUNCTION("IF(A393&gt;0,MIN(FILTER('Барабан'!AJ:AJ,'Барабан'!K:K=A393)),"""")"),"")</f>
        <v/>
      </c>
      <c r="O393" s="16" t="str">
        <f>IFERROR(__xludf.DUMMYFUNCTION("IF(A393&gt;0,IFERROR(MAX(FILTER('Барабан'!AJ:AJ,'Барабан'!V:V=A393)),""–""),"""")"),"")</f>
        <v/>
      </c>
    </row>
    <row r="394" ht="15.75" customHeight="1">
      <c r="A394" s="1" t="str">
        <f>'Справочник'!E389</f>
        <v/>
      </c>
      <c r="B394" s="2" t="str">
        <f>IF(A394&gt;0,SUMIF('Барабан'!K:K,A394,'Барабан'!I:I),"")</f>
        <v/>
      </c>
      <c r="C394" s="2" t="str">
        <f>IF(A394&gt;0,SUMIF('Барабан'!V:V,A394,'Барабан'!T:T),"")</f>
        <v/>
      </c>
      <c r="D394" s="2" t="str">
        <f>IF(A394&gt;0,SUMIF('Барабан'!K:K,A394,'Барабан'!AG:AG)+SUMIF('Барабан'!V:V,A394,'Барабан'!AG:AG),"")</f>
        <v/>
      </c>
      <c r="E394" s="2" t="str">
        <f t="shared" si="1"/>
        <v/>
      </c>
      <c r="F394" s="2" t="str">
        <f t="array" ref="F394">IFERROR(IF(E394=0,0,INDEX('Справочник'!G:G,MATCH(A394,'Справочник'!F:F,0))))</f>
        <v/>
      </c>
      <c r="G394" s="2" t="str">
        <f>IF(A394&gt;0,SUMIF('Барабан'!K:K,A394,'Барабан'!P:P),"")</f>
        <v/>
      </c>
      <c r="H394" s="2" t="str">
        <f>IF(A394&gt;0,SUMIF('Барабан'!V:V,A394,'Барабан'!AA:AA),"")</f>
        <v/>
      </c>
      <c r="I394" s="2" t="str">
        <f t="shared" si="4"/>
        <v/>
      </c>
      <c r="J394" s="9" t="str">
        <f t="shared" si="2"/>
        <v/>
      </c>
      <c r="K394" s="1" t="str">
        <f>IF(A394&gt;0,COUNTIF('Барабан'!K:K,A394),"")</f>
        <v/>
      </c>
      <c r="L394" s="1" t="str">
        <f>IF(A394&gt;0,COUNTIF('Барабан'!V:V,A394),"")</f>
        <v/>
      </c>
      <c r="M394" s="1" t="str">
        <f t="shared" si="3"/>
        <v/>
      </c>
      <c r="N394" s="1" t="str">
        <f>IFERROR(__xludf.DUMMYFUNCTION("IF(A394&gt;0,MIN(FILTER('Барабан'!AJ:AJ,'Барабан'!K:K=A394)),"""")"),"")</f>
        <v/>
      </c>
      <c r="O394" s="16" t="str">
        <f>IFERROR(__xludf.DUMMYFUNCTION("IF(A394&gt;0,IFERROR(MAX(FILTER('Барабан'!AJ:AJ,'Барабан'!V:V=A394)),""–""),"""")"),"")</f>
        <v/>
      </c>
    </row>
    <row r="395" ht="15.75" customHeight="1">
      <c r="A395" s="1" t="str">
        <f>'Справочник'!E390</f>
        <v/>
      </c>
      <c r="B395" s="2" t="str">
        <f>IF(A395&gt;0,SUMIF('Барабан'!K:K,A395,'Барабан'!I:I),"")</f>
        <v/>
      </c>
      <c r="C395" s="2" t="str">
        <f>IF(A395&gt;0,SUMIF('Барабан'!V:V,A395,'Барабан'!T:T),"")</f>
        <v/>
      </c>
      <c r="D395" s="2" t="str">
        <f>IF(A395&gt;0,SUMIF('Барабан'!K:K,A395,'Барабан'!AG:AG)+SUMIF('Барабан'!V:V,A395,'Барабан'!AG:AG),"")</f>
        <v/>
      </c>
      <c r="E395" s="2" t="str">
        <f t="shared" si="1"/>
        <v/>
      </c>
      <c r="F395" s="2" t="str">
        <f t="array" ref="F395">IFERROR(IF(E395=0,0,INDEX('Справочник'!G:G,MATCH(A395,'Справочник'!F:F,0))))</f>
        <v/>
      </c>
      <c r="G395" s="2" t="str">
        <f>IF(A395&gt;0,SUMIF('Барабан'!K:K,A395,'Барабан'!P:P),"")</f>
        <v/>
      </c>
      <c r="H395" s="2" t="str">
        <f>IF(A395&gt;0,SUMIF('Барабан'!V:V,A395,'Барабан'!AA:AA),"")</f>
        <v/>
      </c>
      <c r="I395" s="2" t="str">
        <f t="shared" si="4"/>
        <v/>
      </c>
      <c r="J395" s="9" t="str">
        <f t="shared" si="2"/>
        <v/>
      </c>
      <c r="K395" s="1" t="str">
        <f>IF(A395&gt;0,COUNTIF('Барабан'!K:K,A395),"")</f>
        <v/>
      </c>
      <c r="L395" s="1" t="str">
        <f>IF(A395&gt;0,COUNTIF('Барабан'!V:V,A395),"")</f>
        <v/>
      </c>
      <c r="M395" s="1" t="str">
        <f t="shared" si="3"/>
        <v/>
      </c>
      <c r="N395" s="1" t="str">
        <f>IFERROR(__xludf.DUMMYFUNCTION("IF(A395&gt;0,MIN(FILTER('Барабан'!AJ:AJ,'Барабан'!K:K=A395)),"""")"),"")</f>
        <v/>
      </c>
      <c r="O395" s="16" t="str">
        <f>IFERROR(__xludf.DUMMYFUNCTION("IF(A395&gt;0,IFERROR(MAX(FILTER('Барабан'!AJ:AJ,'Барабан'!V:V=A395)),""–""),"""")"),"")</f>
        <v/>
      </c>
    </row>
    <row r="396" ht="15.75" customHeight="1">
      <c r="A396" s="1" t="str">
        <f>'Справочник'!E391</f>
        <v/>
      </c>
      <c r="B396" s="2" t="str">
        <f>IF(A396&gt;0,SUMIF('Барабан'!K:K,A396,'Барабан'!I:I),"")</f>
        <v/>
      </c>
      <c r="C396" s="2" t="str">
        <f>IF(A396&gt;0,SUMIF('Барабан'!V:V,A396,'Барабан'!T:T),"")</f>
        <v/>
      </c>
      <c r="D396" s="2" t="str">
        <f>IF(A396&gt;0,SUMIF('Барабан'!K:K,A396,'Барабан'!AG:AG)+SUMIF('Барабан'!V:V,A396,'Барабан'!AG:AG),"")</f>
        <v/>
      </c>
      <c r="E396" s="2" t="str">
        <f t="shared" si="1"/>
        <v/>
      </c>
      <c r="F396" s="2" t="str">
        <f t="array" ref="F396">IFERROR(IF(E396=0,0,INDEX('Справочник'!G:G,MATCH(A396,'Справочник'!F:F,0))))</f>
        <v/>
      </c>
      <c r="G396" s="2" t="str">
        <f>IF(A396&gt;0,SUMIF('Барабан'!K:K,A396,'Барабан'!P:P),"")</f>
        <v/>
      </c>
      <c r="H396" s="2" t="str">
        <f>IF(A396&gt;0,SUMIF('Барабан'!V:V,A396,'Барабан'!AA:AA),"")</f>
        <v/>
      </c>
      <c r="I396" s="2" t="str">
        <f t="shared" si="4"/>
        <v/>
      </c>
      <c r="J396" s="9" t="str">
        <f t="shared" si="2"/>
        <v/>
      </c>
      <c r="K396" s="1" t="str">
        <f>IF(A396&gt;0,COUNTIF('Барабан'!K:K,A396),"")</f>
        <v/>
      </c>
      <c r="L396" s="1" t="str">
        <f>IF(A396&gt;0,COUNTIF('Барабан'!V:V,A396),"")</f>
        <v/>
      </c>
      <c r="M396" s="1" t="str">
        <f t="shared" si="3"/>
        <v/>
      </c>
      <c r="N396" s="1" t="str">
        <f>IFERROR(__xludf.DUMMYFUNCTION("IF(A396&gt;0,MIN(FILTER('Барабан'!AJ:AJ,'Барабан'!K:K=A396)),"""")"),"")</f>
        <v/>
      </c>
      <c r="O396" s="16" t="str">
        <f>IFERROR(__xludf.DUMMYFUNCTION("IF(A396&gt;0,IFERROR(MAX(FILTER('Барабан'!AJ:AJ,'Барабан'!V:V=A396)),""–""),"""")"),"")</f>
        <v/>
      </c>
    </row>
    <row r="397" ht="15.75" customHeight="1">
      <c r="A397" s="1" t="str">
        <f>'Справочник'!E392</f>
        <v/>
      </c>
      <c r="B397" s="2" t="str">
        <f>IF(A397&gt;0,SUMIF('Барабан'!K:K,A397,'Барабан'!I:I),"")</f>
        <v/>
      </c>
      <c r="C397" s="2" t="str">
        <f>IF(A397&gt;0,SUMIF('Барабан'!V:V,A397,'Барабан'!T:T),"")</f>
        <v/>
      </c>
      <c r="D397" s="2" t="str">
        <f>IF(A397&gt;0,SUMIF('Барабан'!K:K,A397,'Барабан'!AG:AG)+SUMIF('Барабан'!V:V,A397,'Барабан'!AG:AG),"")</f>
        <v/>
      </c>
      <c r="E397" s="2" t="str">
        <f t="shared" si="1"/>
        <v/>
      </c>
      <c r="F397" s="2" t="str">
        <f t="array" ref="F397">IFERROR(IF(E397=0,0,INDEX('Справочник'!G:G,MATCH(A397,'Справочник'!F:F,0))))</f>
        <v/>
      </c>
      <c r="G397" s="2" t="str">
        <f>IF(A397&gt;0,SUMIF('Барабан'!K:K,A397,'Барабан'!P:P),"")</f>
        <v/>
      </c>
      <c r="H397" s="2" t="str">
        <f>IF(A397&gt;0,SUMIF('Барабан'!V:V,A397,'Барабан'!AA:AA),"")</f>
        <v/>
      </c>
      <c r="I397" s="2" t="str">
        <f t="shared" si="4"/>
        <v/>
      </c>
      <c r="J397" s="9" t="str">
        <f t="shared" si="2"/>
        <v/>
      </c>
      <c r="K397" s="1" t="str">
        <f>IF(A397&gt;0,COUNTIF('Барабан'!K:K,A397),"")</f>
        <v/>
      </c>
      <c r="L397" s="1" t="str">
        <f>IF(A397&gt;0,COUNTIF('Барабан'!V:V,A397),"")</f>
        <v/>
      </c>
      <c r="M397" s="1" t="str">
        <f t="shared" si="3"/>
        <v/>
      </c>
      <c r="N397" s="1" t="str">
        <f>IFERROR(__xludf.DUMMYFUNCTION("IF(A397&gt;0,MIN(FILTER('Барабан'!AJ:AJ,'Барабан'!K:K=A397)),"""")"),"")</f>
        <v/>
      </c>
      <c r="O397" s="16" t="str">
        <f>IFERROR(__xludf.DUMMYFUNCTION("IF(A397&gt;0,IFERROR(MAX(FILTER('Барабан'!AJ:AJ,'Барабан'!V:V=A397)),""–""),"""")"),"")</f>
        <v/>
      </c>
    </row>
    <row r="398" ht="15.75" customHeight="1">
      <c r="A398" s="1" t="str">
        <f>'Справочник'!E393</f>
        <v/>
      </c>
      <c r="B398" s="2" t="str">
        <f>IF(A398&gt;0,SUMIF('Барабан'!K:K,A398,'Барабан'!I:I),"")</f>
        <v/>
      </c>
      <c r="C398" s="2" t="str">
        <f>IF(A398&gt;0,SUMIF('Барабан'!V:V,A398,'Барабан'!T:T),"")</f>
        <v/>
      </c>
      <c r="D398" s="2" t="str">
        <f>IF(A398&gt;0,SUMIF('Барабан'!K:K,A398,'Барабан'!AG:AG)+SUMIF('Барабан'!V:V,A398,'Барабан'!AG:AG),"")</f>
        <v/>
      </c>
      <c r="E398" s="2" t="str">
        <f t="shared" si="1"/>
        <v/>
      </c>
      <c r="F398" s="2" t="str">
        <f t="array" ref="F398">IFERROR(IF(E398=0,0,INDEX('Справочник'!G:G,MATCH(A398,'Справочник'!F:F,0))))</f>
        <v/>
      </c>
      <c r="G398" s="2" t="str">
        <f>IF(A398&gt;0,SUMIF('Барабан'!K:K,A398,'Барабан'!P:P),"")</f>
        <v/>
      </c>
      <c r="H398" s="2" t="str">
        <f>IF(A398&gt;0,SUMIF('Барабан'!V:V,A398,'Барабан'!AA:AA),"")</f>
        <v/>
      </c>
      <c r="I398" s="2" t="str">
        <f t="shared" si="4"/>
        <v/>
      </c>
      <c r="J398" s="9" t="str">
        <f t="shared" si="2"/>
        <v/>
      </c>
      <c r="K398" s="1" t="str">
        <f>IF(A398&gt;0,COUNTIF('Барабан'!K:K,A398),"")</f>
        <v/>
      </c>
      <c r="L398" s="1" t="str">
        <f>IF(A398&gt;0,COUNTIF('Барабан'!V:V,A398),"")</f>
        <v/>
      </c>
      <c r="M398" s="1" t="str">
        <f t="shared" si="3"/>
        <v/>
      </c>
      <c r="N398" s="1" t="str">
        <f>IFERROR(__xludf.DUMMYFUNCTION("IF(A398&gt;0,MIN(FILTER('Барабан'!AJ:AJ,'Барабан'!K:K=A398)),"""")"),"")</f>
        <v/>
      </c>
      <c r="O398" s="16" t="str">
        <f>IFERROR(__xludf.DUMMYFUNCTION("IF(A398&gt;0,IFERROR(MAX(FILTER('Барабан'!AJ:AJ,'Барабан'!V:V=A398)),""–""),"""")"),"")</f>
        <v/>
      </c>
    </row>
    <row r="399" ht="15.75" customHeight="1">
      <c r="A399" s="1" t="str">
        <f>'Справочник'!E394</f>
        <v/>
      </c>
      <c r="B399" s="2" t="str">
        <f>IF(A399&gt;0,SUMIF('Барабан'!K:K,A399,'Барабан'!I:I),"")</f>
        <v/>
      </c>
      <c r="C399" s="2" t="str">
        <f>IF(A399&gt;0,SUMIF('Барабан'!V:V,A399,'Барабан'!T:T),"")</f>
        <v/>
      </c>
      <c r="D399" s="2" t="str">
        <f>IF(A399&gt;0,SUMIF('Барабан'!K:K,A399,'Барабан'!AG:AG)+SUMIF('Барабан'!V:V,A399,'Барабан'!AG:AG),"")</f>
        <v/>
      </c>
      <c r="E399" s="2" t="str">
        <f t="shared" si="1"/>
        <v/>
      </c>
      <c r="F399" s="2" t="str">
        <f t="array" ref="F399">IFERROR(IF(E399=0,0,INDEX('Справочник'!G:G,MATCH(A399,'Справочник'!F:F,0))))</f>
        <v/>
      </c>
      <c r="G399" s="2" t="str">
        <f>IF(A399&gt;0,SUMIF('Барабан'!K:K,A399,'Барабан'!P:P),"")</f>
        <v/>
      </c>
      <c r="H399" s="2" t="str">
        <f>IF(A399&gt;0,SUMIF('Барабан'!V:V,A399,'Барабан'!AA:AA),"")</f>
        <v/>
      </c>
      <c r="I399" s="2" t="str">
        <f t="shared" si="4"/>
        <v/>
      </c>
      <c r="J399" s="9" t="str">
        <f t="shared" si="2"/>
        <v/>
      </c>
      <c r="K399" s="1" t="str">
        <f>IF(A399&gt;0,COUNTIF('Барабан'!K:K,A399),"")</f>
        <v/>
      </c>
      <c r="L399" s="1" t="str">
        <f>IF(A399&gt;0,COUNTIF('Барабан'!V:V,A399),"")</f>
        <v/>
      </c>
      <c r="M399" s="1" t="str">
        <f t="shared" si="3"/>
        <v/>
      </c>
      <c r="N399" s="1" t="str">
        <f>IFERROR(__xludf.DUMMYFUNCTION("IF(A399&gt;0,MIN(FILTER('Барабан'!AJ:AJ,'Барабан'!K:K=A399)),"""")"),"")</f>
        <v/>
      </c>
      <c r="O399" s="16" t="str">
        <f>IFERROR(__xludf.DUMMYFUNCTION("IF(A399&gt;0,IFERROR(MAX(FILTER('Барабан'!AJ:AJ,'Барабан'!V:V=A399)),""–""),"""")"),"")</f>
        <v/>
      </c>
    </row>
    <row r="400" ht="15.75" customHeight="1">
      <c r="A400" s="1" t="str">
        <f>'Справочник'!E395</f>
        <v/>
      </c>
      <c r="B400" s="2" t="str">
        <f>IF(A400&gt;0,SUMIF('Барабан'!K:K,A400,'Барабан'!I:I),"")</f>
        <v/>
      </c>
      <c r="C400" s="2" t="str">
        <f>IF(A400&gt;0,SUMIF('Барабан'!V:V,A400,'Барабан'!T:T),"")</f>
        <v/>
      </c>
      <c r="D400" s="2" t="str">
        <f>IF(A400&gt;0,SUMIF('Барабан'!K:K,A400,'Барабан'!AG:AG)+SUMIF('Барабан'!V:V,A400,'Барабан'!AG:AG),"")</f>
        <v/>
      </c>
      <c r="E400" s="2" t="str">
        <f t="shared" si="1"/>
        <v/>
      </c>
      <c r="F400" s="2" t="str">
        <f t="array" ref="F400">IFERROR(IF(E400=0,0,INDEX('Справочник'!G:G,MATCH(A400,'Справочник'!F:F,0))))</f>
        <v/>
      </c>
      <c r="G400" s="2" t="str">
        <f>IF(A400&gt;0,SUMIF('Барабан'!K:K,A400,'Барабан'!P:P),"")</f>
        <v/>
      </c>
      <c r="H400" s="2" t="str">
        <f>IF(A400&gt;0,SUMIF('Барабан'!V:V,A400,'Барабан'!AA:AA),"")</f>
        <v/>
      </c>
      <c r="I400" s="2" t="str">
        <f t="shared" si="4"/>
        <v/>
      </c>
      <c r="J400" s="9" t="str">
        <f t="shared" si="2"/>
        <v/>
      </c>
      <c r="K400" s="1" t="str">
        <f>IF(A400&gt;0,COUNTIF('Барабан'!K:K,A400),"")</f>
        <v/>
      </c>
      <c r="L400" s="1" t="str">
        <f>IF(A400&gt;0,COUNTIF('Барабан'!V:V,A400),"")</f>
        <v/>
      </c>
      <c r="M400" s="1" t="str">
        <f t="shared" si="3"/>
        <v/>
      </c>
      <c r="N400" s="1" t="str">
        <f>IFERROR(__xludf.DUMMYFUNCTION("IF(A400&gt;0,MIN(FILTER('Барабан'!AJ:AJ,'Барабан'!K:K=A400)),"""")"),"")</f>
        <v/>
      </c>
      <c r="O400" s="16" t="str">
        <f>IFERROR(__xludf.DUMMYFUNCTION("IF(A400&gt;0,IFERROR(MAX(FILTER('Барабан'!AJ:AJ,'Барабан'!V:V=A400)),""–""),"""")"),"")</f>
        <v/>
      </c>
    </row>
    <row r="401" ht="15.75" customHeight="1">
      <c r="A401" s="1" t="str">
        <f>'Справочник'!E396</f>
        <v/>
      </c>
      <c r="B401" s="2" t="str">
        <f>IF(A401&gt;0,SUMIF('Барабан'!K:K,A401,'Барабан'!I:I),"")</f>
        <v/>
      </c>
      <c r="C401" s="2" t="str">
        <f>IF(A401&gt;0,SUMIF('Барабан'!V:V,A401,'Барабан'!T:T),"")</f>
        <v/>
      </c>
      <c r="D401" s="2" t="str">
        <f>IF(A401&gt;0,SUMIF('Барабан'!K:K,A401,'Барабан'!AG:AG)+SUMIF('Барабан'!V:V,A401,'Барабан'!AG:AG),"")</f>
        <v/>
      </c>
      <c r="E401" s="2" t="str">
        <f t="shared" si="1"/>
        <v/>
      </c>
      <c r="F401" s="2" t="str">
        <f t="array" ref="F401">IFERROR(IF(E401=0,0,INDEX('Справочник'!G:G,MATCH(A401,'Справочник'!F:F,0))))</f>
        <v/>
      </c>
      <c r="G401" s="2" t="str">
        <f>IF(A401&gt;0,SUMIF('Барабан'!K:K,A401,'Барабан'!P:P),"")</f>
        <v/>
      </c>
      <c r="H401" s="2" t="str">
        <f>IF(A401&gt;0,SUMIF('Барабан'!V:V,A401,'Барабан'!AA:AA),"")</f>
        <v/>
      </c>
      <c r="I401" s="2" t="str">
        <f t="shared" si="4"/>
        <v/>
      </c>
      <c r="J401" s="9" t="str">
        <f t="shared" si="2"/>
        <v/>
      </c>
      <c r="K401" s="1" t="str">
        <f>IF(A401&gt;0,COUNTIF('Барабан'!K:K,A401),"")</f>
        <v/>
      </c>
      <c r="L401" s="1" t="str">
        <f>IF(A401&gt;0,COUNTIF('Барабан'!V:V,A401),"")</f>
        <v/>
      </c>
      <c r="M401" s="1" t="str">
        <f t="shared" si="3"/>
        <v/>
      </c>
      <c r="N401" s="1" t="str">
        <f>IFERROR(__xludf.DUMMYFUNCTION("IF(A401&gt;0,MIN(FILTER('Барабан'!AJ:AJ,'Барабан'!K:K=A401)),"""")"),"")</f>
        <v/>
      </c>
      <c r="O401" s="16" t="str">
        <f>IFERROR(__xludf.DUMMYFUNCTION("IF(A401&gt;0,IFERROR(MAX(FILTER('Барабан'!AJ:AJ,'Барабан'!V:V=A401)),""–""),"""")"),"")</f>
        <v/>
      </c>
    </row>
    <row r="402" ht="15.75" customHeight="1">
      <c r="A402" s="1" t="str">
        <f>'Справочник'!E397</f>
        <v/>
      </c>
      <c r="B402" s="2" t="str">
        <f>IF(A402&gt;0,SUMIF('Барабан'!K:K,A402,'Барабан'!I:I),"")</f>
        <v/>
      </c>
      <c r="C402" s="2" t="str">
        <f>IF(A402&gt;0,SUMIF('Барабан'!V:V,A402,'Барабан'!T:T),"")</f>
        <v/>
      </c>
      <c r="D402" s="2" t="str">
        <f>IF(A402&gt;0,SUMIF('Барабан'!K:K,A402,'Барабан'!AG:AG)+SUMIF('Барабан'!V:V,A402,'Барабан'!AG:AG),"")</f>
        <v/>
      </c>
      <c r="E402" s="2" t="str">
        <f t="shared" si="1"/>
        <v/>
      </c>
      <c r="F402" s="2" t="str">
        <f t="array" ref="F402">IFERROR(IF(E402=0,0,INDEX('Справочник'!G:G,MATCH(A402,'Справочник'!F:F,0))))</f>
        <v/>
      </c>
      <c r="G402" s="2" t="str">
        <f>IF(A402&gt;0,SUMIF('Барабан'!K:K,A402,'Барабан'!P:P),"")</f>
        <v/>
      </c>
      <c r="H402" s="2" t="str">
        <f>IF(A402&gt;0,SUMIF('Барабан'!V:V,A402,'Барабан'!AA:AA),"")</f>
        <v/>
      </c>
      <c r="I402" s="2" t="str">
        <f t="shared" si="4"/>
        <v/>
      </c>
      <c r="J402" s="9" t="str">
        <f t="shared" si="2"/>
        <v/>
      </c>
      <c r="K402" s="1" t="str">
        <f>IF(A402&gt;0,COUNTIF('Барабан'!K:K,A402),"")</f>
        <v/>
      </c>
      <c r="L402" s="1" t="str">
        <f>IF(A402&gt;0,COUNTIF('Барабан'!V:V,A402),"")</f>
        <v/>
      </c>
      <c r="M402" s="1" t="str">
        <f t="shared" si="3"/>
        <v/>
      </c>
      <c r="N402" s="1" t="str">
        <f>IFERROR(__xludf.DUMMYFUNCTION("IF(A402&gt;0,MIN(FILTER('Барабан'!AJ:AJ,'Барабан'!K:K=A402)),"""")"),"")</f>
        <v/>
      </c>
      <c r="O402" s="16" t="str">
        <f>IFERROR(__xludf.DUMMYFUNCTION("IF(A402&gt;0,IFERROR(MAX(FILTER('Барабан'!AJ:AJ,'Барабан'!V:V=A402)),""–""),"""")"),"")</f>
        <v/>
      </c>
    </row>
    <row r="403" ht="15.75" customHeight="1">
      <c r="A403" s="1" t="str">
        <f>'Справочник'!E398</f>
        <v/>
      </c>
      <c r="B403" s="2" t="str">
        <f>IF(A403&gt;0,SUMIF('Барабан'!K:K,A403,'Барабан'!I:I),"")</f>
        <v/>
      </c>
      <c r="C403" s="2" t="str">
        <f>IF(A403&gt;0,SUMIF('Барабан'!V:V,A403,'Барабан'!T:T),"")</f>
        <v/>
      </c>
      <c r="D403" s="2" t="str">
        <f>IF(A403&gt;0,SUMIF('Барабан'!K:K,A403,'Барабан'!AG:AG)+SUMIF('Барабан'!V:V,A403,'Барабан'!AG:AG),"")</f>
        <v/>
      </c>
      <c r="E403" s="2" t="str">
        <f t="shared" si="1"/>
        <v/>
      </c>
      <c r="F403" s="2" t="str">
        <f t="array" ref="F403">IFERROR(IF(E403=0,0,INDEX('Справочник'!G:G,MATCH(A403,'Справочник'!F:F,0))))</f>
        <v/>
      </c>
      <c r="G403" s="2" t="str">
        <f>IF(A403&gt;0,SUMIF('Барабан'!K:K,A403,'Барабан'!P:P),"")</f>
        <v/>
      </c>
      <c r="H403" s="2" t="str">
        <f>IF(A403&gt;0,SUMIF('Барабан'!V:V,A403,'Барабан'!AA:AA),"")</f>
        <v/>
      </c>
      <c r="I403" s="2" t="str">
        <f t="shared" si="4"/>
        <v/>
      </c>
      <c r="J403" s="9" t="str">
        <f t="shared" si="2"/>
        <v/>
      </c>
      <c r="K403" s="1" t="str">
        <f>IF(A403&gt;0,COUNTIF('Барабан'!K:K,A403),"")</f>
        <v/>
      </c>
      <c r="L403" s="1" t="str">
        <f>IF(A403&gt;0,COUNTIF('Барабан'!V:V,A403),"")</f>
        <v/>
      </c>
      <c r="M403" s="1" t="str">
        <f t="shared" si="3"/>
        <v/>
      </c>
      <c r="N403" s="1" t="str">
        <f>IFERROR(__xludf.DUMMYFUNCTION("IF(A403&gt;0,MIN(FILTER('Барабан'!AJ:AJ,'Барабан'!K:K=A403)),"""")"),"")</f>
        <v/>
      </c>
      <c r="O403" s="16" t="str">
        <f>IFERROR(__xludf.DUMMYFUNCTION("IF(A403&gt;0,IFERROR(MAX(FILTER('Барабан'!AJ:AJ,'Барабан'!V:V=A403)),""–""),"""")"),"")</f>
        <v/>
      </c>
    </row>
    <row r="404" ht="15.75" customHeight="1">
      <c r="A404" s="1" t="str">
        <f>'Справочник'!E399</f>
        <v/>
      </c>
      <c r="B404" s="2" t="str">
        <f>IF(A404&gt;0,SUMIF('Барабан'!K:K,A404,'Барабан'!I:I),"")</f>
        <v/>
      </c>
      <c r="C404" s="2" t="str">
        <f>IF(A404&gt;0,SUMIF('Барабан'!V:V,A404,'Барабан'!T:T),"")</f>
        <v/>
      </c>
      <c r="D404" s="2" t="str">
        <f>IF(A404&gt;0,SUMIF('Барабан'!K:K,A404,'Барабан'!AG:AG)+SUMIF('Барабан'!V:V,A404,'Барабан'!AG:AG),"")</f>
        <v/>
      </c>
      <c r="E404" s="2" t="str">
        <f t="shared" si="1"/>
        <v/>
      </c>
      <c r="F404" s="2" t="str">
        <f t="array" ref="F404">IFERROR(IF(E404=0,0,INDEX('Справочник'!G:G,MATCH(A404,'Справочник'!F:F,0))))</f>
        <v/>
      </c>
      <c r="G404" s="2" t="str">
        <f>IF(A404&gt;0,SUMIF('Барабан'!K:K,A404,'Барабан'!P:P),"")</f>
        <v/>
      </c>
      <c r="H404" s="2" t="str">
        <f>IF(A404&gt;0,SUMIF('Барабан'!V:V,A404,'Барабан'!AA:AA),"")</f>
        <v/>
      </c>
      <c r="I404" s="2" t="str">
        <f t="shared" si="4"/>
        <v/>
      </c>
      <c r="J404" s="9" t="str">
        <f t="shared" si="2"/>
        <v/>
      </c>
      <c r="K404" s="1" t="str">
        <f>IF(A404&gt;0,COUNTIF('Барабан'!K:K,A404),"")</f>
        <v/>
      </c>
      <c r="L404" s="1" t="str">
        <f>IF(A404&gt;0,COUNTIF('Барабан'!V:V,A404),"")</f>
        <v/>
      </c>
      <c r="M404" s="1" t="str">
        <f t="shared" si="3"/>
        <v/>
      </c>
      <c r="N404" s="1" t="str">
        <f>IFERROR(__xludf.DUMMYFUNCTION("IF(A404&gt;0,MIN(FILTER('Барабан'!AJ:AJ,'Барабан'!K:K=A404)),"""")"),"")</f>
        <v/>
      </c>
      <c r="O404" s="16" t="str">
        <f>IFERROR(__xludf.DUMMYFUNCTION("IF(A404&gt;0,IFERROR(MAX(FILTER('Барабан'!AJ:AJ,'Барабан'!V:V=A404)),""–""),"""")"),"")</f>
        <v/>
      </c>
    </row>
    <row r="405" ht="15.75" customHeight="1">
      <c r="A405" s="1" t="str">
        <f>'Справочник'!E400</f>
        <v/>
      </c>
      <c r="B405" s="2" t="str">
        <f>IF(A405&gt;0,SUMIF('Барабан'!K:K,A405,'Барабан'!I:I),"")</f>
        <v/>
      </c>
      <c r="C405" s="2" t="str">
        <f>IF(A405&gt;0,SUMIF('Барабан'!V:V,A405,'Барабан'!T:T),"")</f>
        <v/>
      </c>
      <c r="D405" s="2" t="str">
        <f>IF(A405&gt;0,SUMIF('Барабан'!K:K,A405,'Барабан'!AG:AG)+SUMIF('Барабан'!V:V,A405,'Барабан'!AG:AG),"")</f>
        <v/>
      </c>
      <c r="E405" s="2" t="str">
        <f t="shared" si="1"/>
        <v/>
      </c>
      <c r="F405" s="2" t="str">
        <f t="array" ref="F405">IFERROR(IF(E405=0,0,INDEX('Справочник'!G:G,MATCH(A405,'Справочник'!F:F,0))))</f>
        <v/>
      </c>
      <c r="G405" s="2" t="str">
        <f>IF(A405&gt;0,SUMIF('Барабан'!K:K,A405,'Барабан'!P:P),"")</f>
        <v/>
      </c>
      <c r="H405" s="2" t="str">
        <f>IF(A405&gt;0,SUMIF('Барабан'!V:V,A405,'Барабан'!AA:AA),"")</f>
        <v/>
      </c>
      <c r="I405" s="2" t="str">
        <f t="shared" si="4"/>
        <v/>
      </c>
      <c r="J405" s="9" t="str">
        <f t="shared" si="2"/>
        <v/>
      </c>
      <c r="K405" s="1" t="str">
        <f>IF(A405&gt;0,COUNTIF('Барабан'!K:K,A405),"")</f>
        <v/>
      </c>
      <c r="L405" s="1" t="str">
        <f>IF(A405&gt;0,COUNTIF('Барабан'!V:V,A405),"")</f>
        <v/>
      </c>
      <c r="M405" s="1" t="str">
        <f t="shared" si="3"/>
        <v/>
      </c>
      <c r="N405" s="1" t="str">
        <f>IFERROR(__xludf.DUMMYFUNCTION("IF(A405&gt;0,MIN(FILTER('Барабан'!AJ:AJ,'Барабан'!K:K=A405)),"""")"),"")</f>
        <v/>
      </c>
      <c r="O405" s="16" t="str">
        <f>IFERROR(__xludf.DUMMYFUNCTION("IF(A405&gt;0,IFERROR(MAX(FILTER('Барабан'!AJ:AJ,'Барабан'!V:V=A405)),""–""),"""")"),"")</f>
        <v/>
      </c>
    </row>
    <row r="406" ht="15.75" customHeight="1">
      <c r="A406" s="1" t="str">
        <f>'Справочник'!E401</f>
        <v/>
      </c>
      <c r="B406" s="2" t="str">
        <f>IF(A406&gt;0,SUMIF('Барабан'!K:K,A406,'Барабан'!I:I),"")</f>
        <v/>
      </c>
      <c r="C406" s="2" t="str">
        <f>IF(A406&gt;0,SUMIF('Барабан'!V:V,A406,'Барабан'!T:T),"")</f>
        <v/>
      </c>
      <c r="D406" s="2" t="str">
        <f>IF(A406&gt;0,SUMIF('Барабан'!K:K,A406,'Барабан'!AG:AG)+SUMIF('Барабан'!V:V,A406,'Барабан'!AG:AG),"")</f>
        <v/>
      </c>
      <c r="E406" s="2" t="str">
        <f t="shared" si="1"/>
        <v/>
      </c>
      <c r="F406" s="2" t="str">
        <f t="array" ref="F406">IFERROR(IF(E406=0,0,INDEX('Справочник'!G:G,MATCH(A406,'Справочник'!F:F,0))))</f>
        <v/>
      </c>
      <c r="G406" s="2" t="str">
        <f>IF(A406&gt;0,SUMIF('Барабан'!K:K,A406,'Барабан'!P:P),"")</f>
        <v/>
      </c>
      <c r="H406" s="2" t="str">
        <f>IF(A406&gt;0,SUMIF('Барабан'!V:V,A406,'Барабан'!AA:AA),"")</f>
        <v/>
      </c>
      <c r="I406" s="2" t="str">
        <f t="shared" si="4"/>
        <v/>
      </c>
      <c r="J406" s="9" t="str">
        <f t="shared" si="2"/>
        <v/>
      </c>
      <c r="K406" s="1" t="str">
        <f>IF(A406&gt;0,COUNTIF('Барабан'!K:K,A406),"")</f>
        <v/>
      </c>
      <c r="L406" s="1" t="str">
        <f>IF(A406&gt;0,COUNTIF('Барабан'!V:V,A406),"")</f>
        <v/>
      </c>
      <c r="M406" s="1" t="str">
        <f t="shared" si="3"/>
        <v/>
      </c>
      <c r="N406" s="1" t="str">
        <f>IFERROR(__xludf.DUMMYFUNCTION("IF(A406&gt;0,MIN(FILTER('Барабан'!AJ:AJ,'Барабан'!K:K=A406)),"""")"),"")</f>
        <v/>
      </c>
      <c r="O406" s="16" t="str">
        <f>IFERROR(__xludf.DUMMYFUNCTION("IF(A406&gt;0,IFERROR(MAX(FILTER('Барабан'!AJ:AJ,'Барабан'!V:V=A406)),""–""),"""")"),"")</f>
        <v/>
      </c>
    </row>
    <row r="407" ht="15.75" customHeight="1">
      <c r="A407" s="1" t="str">
        <f>'Справочник'!E402</f>
        <v/>
      </c>
      <c r="B407" s="2" t="str">
        <f>IF(A407&gt;0,SUMIF('Барабан'!K:K,A407,'Барабан'!I:I),"")</f>
        <v/>
      </c>
      <c r="C407" s="2" t="str">
        <f>IF(A407&gt;0,SUMIF('Барабан'!V:V,A407,'Барабан'!T:T),"")</f>
        <v/>
      </c>
      <c r="D407" s="2" t="str">
        <f>IF(A407&gt;0,SUMIF('Барабан'!K:K,A407,'Барабан'!AG:AG)+SUMIF('Барабан'!V:V,A407,'Барабан'!AG:AG),"")</f>
        <v/>
      </c>
      <c r="E407" s="2" t="str">
        <f t="shared" si="1"/>
        <v/>
      </c>
      <c r="F407" s="2" t="str">
        <f t="array" ref="F407">IFERROR(IF(E407=0,0,INDEX('Справочник'!G:G,MATCH(A407,'Справочник'!F:F,0))))</f>
        <v/>
      </c>
      <c r="G407" s="2" t="str">
        <f>IF(A407&gt;0,SUMIF('Барабан'!K:K,A407,'Барабан'!P:P),"")</f>
        <v/>
      </c>
      <c r="H407" s="2" t="str">
        <f>IF(A407&gt;0,SUMIF('Барабан'!V:V,A407,'Барабан'!AA:AA),"")</f>
        <v/>
      </c>
      <c r="I407" s="2" t="str">
        <f t="shared" si="4"/>
        <v/>
      </c>
      <c r="J407" s="9" t="str">
        <f t="shared" si="2"/>
        <v/>
      </c>
      <c r="K407" s="1" t="str">
        <f>IF(A407&gt;0,COUNTIF('Барабан'!K:K,A407),"")</f>
        <v/>
      </c>
      <c r="L407" s="1" t="str">
        <f>IF(A407&gt;0,COUNTIF('Барабан'!V:V,A407),"")</f>
        <v/>
      </c>
      <c r="M407" s="1" t="str">
        <f t="shared" si="3"/>
        <v/>
      </c>
      <c r="N407" s="1" t="str">
        <f>IFERROR(__xludf.DUMMYFUNCTION("IF(A407&gt;0,MIN(FILTER('Барабан'!AJ:AJ,'Барабан'!K:K=A407)),"""")"),"")</f>
        <v/>
      </c>
      <c r="O407" s="16" t="str">
        <f>IFERROR(__xludf.DUMMYFUNCTION("IF(A407&gt;0,IFERROR(MAX(FILTER('Барабан'!AJ:AJ,'Барабан'!V:V=A407)),""–""),"""")"),"")</f>
        <v/>
      </c>
    </row>
    <row r="408" ht="15.75" customHeight="1">
      <c r="A408" s="1" t="str">
        <f>'Справочник'!E403</f>
        <v/>
      </c>
      <c r="B408" s="2" t="str">
        <f>IF(A408&gt;0,SUMIF('Барабан'!K:K,A408,'Барабан'!I:I),"")</f>
        <v/>
      </c>
      <c r="C408" s="2" t="str">
        <f>IF(A408&gt;0,SUMIF('Барабан'!V:V,A408,'Барабан'!T:T),"")</f>
        <v/>
      </c>
      <c r="D408" s="2" t="str">
        <f>IF(A408&gt;0,SUMIF('Барабан'!K:K,A408,'Барабан'!AG:AG)+SUMIF('Барабан'!V:V,A408,'Барабан'!AG:AG),"")</f>
        <v/>
      </c>
      <c r="E408" s="2" t="str">
        <f t="shared" si="1"/>
        <v/>
      </c>
      <c r="F408" s="2" t="str">
        <f t="array" ref="F408">IFERROR(IF(E408=0,0,INDEX('Справочник'!G:G,MATCH(A408,'Справочник'!F:F,0))))</f>
        <v/>
      </c>
      <c r="G408" s="2" t="str">
        <f>IF(A408&gt;0,SUMIF('Барабан'!K:K,A408,'Барабан'!P:P),"")</f>
        <v/>
      </c>
      <c r="H408" s="2" t="str">
        <f>IF(A408&gt;0,SUMIF('Барабан'!V:V,A408,'Барабан'!AA:AA),"")</f>
        <v/>
      </c>
      <c r="I408" s="2" t="str">
        <f t="shared" si="4"/>
        <v/>
      </c>
      <c r="J408" s="9" t="str">
        <f t="shared" si="2"/>
        <v/>
      </c>
      <c r="K408" s="1" t="str">
        <f>IF(A408&gt;0,COUNTIF('Барабан'!K:K,A408),"")</f>
        <v/>
      </c>
      <c r="L408" s="1" t="str">
        <f>IF(A408&gt;0,COUNTIF('Барабан'!V:V,A408),"")</f>
        <v/>
      </c>
      <c r="M408" s="1" t="str">
        <f t="shared" si="3"/>
        <v/>
      </c>
      <c r="N408" s="1" t="str">
        <f>IFERROR(__xludf.DUMMYFUNCTION("IF(A408&gt;0,MIN(FILTER('Барабан'!AJ:AJ,'Барабан'!K:K=A408)),"""")"),"")</f>
        <v/>
      </c>
      <c r="O408" s="16" t="str">
        <f>IFERROR(__xludf.DUMMYFUNCTION("IF(A408&gt;0,IFERROR(MAX(FILTER('Барабан'!AJ:AJ,'Барабан'!V:V=A408)),""–""),"""")"),"")</f>
        <v/>
      </c>
    </row>
    <row r="409" ht="15.75" customHeight="1">
      <c r="A409" s="1" t="str">
        <f>'Справочник'!E404</f>
        <v/>
      </c>
      <c r="B409" s="2" t="str">
        <f>IF(A409&gt;0,SUMIF('Барабан'!K:K,A409,'Барабан'!I:I),"")</f>
        <v/>
      </c>
      <c r="C409" s="2" t="str">
        <f>IF(A409&gt;0,SUMIF('Барабан'!V:V,A409,'Барабан'!T:T),"")</f>
        <v/>
      </c>
      <c r="D409" s="2" t="str">
        <f>IF(A409&gt;0,SUMIF('Барабан'!K:K,A409,'Барабан'!AG:AG)+SUMIF('Барабан'!V:V,A409,'Барабан'!AG:AG),"")</f>
        <v/>
      </c>
      <c r="E409" s="2" t="str">
        <f t="shared" si="1"/>
        <v/>
      </c>
      <c r="F409" s="2" t="str">
        <f t="array" ref="F409">IFERROR(IF(E409=0,0,INDEX('Справочник'!G:G,MATCH(A409,'Справочник'!F:F,0))))</f>
        <v/>
      </c>
      <c r="G409" s="2" t="str">
        <f>IF(A409&gt;0,SUMIF('Барабан'!K:K,A409,'Барабан'!P:P),"")</f>
        <v/>
      </c>
      <c r="H409" s="2" t="str">
        <f>IF(A409&gt;0,SUMIF('Барабан'!V:V,A409,'Барабан'!AA:AA),"")</f>
        <v/>
      </c>
      <c r="I409" s="2" t="str">
        <f t="shared" si="4"/>
        <v/>
      </c>
      <c r="J409" s="9" t="str">
        <f t="shared" si="2"/>
        <v/>
      </c>
      <c r="K409" s="1" t="str">
        <f>IF(A409&gt;0,COUNTIF('Барабан'!K:K,A409),"")</f>
        <v/>
      </c>
      <c r="L409" s="1" t="str">
        <f>IF(A409&gt;0,COUNTIF('Барабан'!V:V,A409),"")</f>
        <v/>
      </c>
      <c r="M409" s="1" t="str">
        <f t="shared" si="3"/>
        <v/>
      </c>
      <c r="N409" s="1" t="str">
        <f>IFERROR(__xludf.DUMMYFUNCTION("IF(A409&gt;0,MIN(FILTER('Барабан'!AJ:AJ,'Барабан'!K:K=A409)),"""")"),"")</f>
        <v/>
      </c>
      <c r="O409" s="16" t="str">
        <f>IFERROR(__xludf.DUMMYFUNCTION("IF(A409&gt;0,IFERROR(MAX(FILTER('Барабан'!AJ:AJ,'Барабан'!V:V=A409)),""–""),"""")"),"")</f>
        <v/>
      </c>
    </row>
    <row r="410" ht="15.75" customHeight="1">
      <c r="A410" s="1" t="str">
        <f>'Справочник'!E405</f>
        <v/>
      </c>
      <c r="B410" s="2" t="str">
        <f>IF(A410&gt;0,SUMIF('Барабан'!K:K,A410,'Барабан'!I:I),"")</f>
        <v/>
      </c>
      <c r="C410" s="2" t="str">
        <f>IF(A410&gt;0,SUMIF('Барабан'!V:V,A410,'Барабан'!T:T),"")</f>
        <v/>
      </c>
      <c r="D410" s="2" t="str">
        <f>IF(A410&gt;0,SUMIF('Барабан'!K:K,A410,'Барабан'!AG:AG)+SUMIF('Барабан'!V:V,A410,'Барабан'!AG:AG),"")</f>
        <v/>
      </c>
      <c r="E410" s="2" t="str">
        <f t="shared" si="1"/>
        <v/>
      </c>
      <c r="F410" s="2" t="str">
        <f t="array" ref="F410">IFERROR(IF(E410=0,0,INDEX('Справочник'!G:G,MATCH(A410,'Справочник'!F:F,0))))</f>
        <v/>
      </c>
      <c r="G410" s="2" t="str">
        <f>IF(A410&gt;0,SUMIF('Барабан'!K:K,A410,'Барабан'!P:P),"")</f>
        <v/>
      </c>
      <c r="H410" s="2" t="str">
        <f>IF(A410&gt;0,SUMIF('Барабан'!V:V,A410,'Барабан'!AA:AA),"")</f>
        <v/>
      </c>
      <c r="I410" s="2" t="str">
        <f t="shared" si="4"/>
        <v/>
      </c>
      <c r="J410" s="9" t="str">
        <f t="shared" si="2"/>
        <v/>
      </c>
      <c r="K410" s="1" t="str">
        <f>IF(A410&gt;0,COUNTIF('Барабан'!K:K,A410),"")</f>
        <v/>
      </c>
      <c r="L410" s="1" t="str">
        <f>IF(A410&gt;0,COUNTIF('Барабан'!V:V,A410),"")</f>
        <v/>
      </c>
      <c r="M410" s="1" t="str">
        <f t="shared" si="3"/>
        <v/>
      </c>
      <c r="N410" s="1" t="str">
        <f>IFERROR(__xludf.DUMMYFUNCTION("IF(A410&gt;0,MIN(FILTER('Барабан'!AJ:AJ,'Барабан'!K:K=A410)),"""")"),"")</f>
        <v/>
      </c>
      <c r="O410" s="16" t="str">
        <f>IFERROR(__xludf.DUMMYFUNCTION("IF(A410&gt;0,IFERROR(MAX(FILTER('Барабан'!AJ:AJ,'Барабан'!V:V=A410)),""–""),"""")"),"")</f>
        <v/>
      </c>
    </row>
    <row r="411" ht="15.75" customHeight="1">
      <c r="A411" s="1" t="str">
        <f>'Справочник'!E406</f>
        <v/>
      </c>
      <c r="B411" s="2" t="str">
        <f>IF(A411&gt;0,SUMIF('Барабан'!K:K,A411,'Барабан'!I:I),"")</f>
        <v/>
      </c>
      <c r="C411" s="2" t="str">
        <f>IF(A411&gt;0,SUMIF('Барабан'!V:V,A411,'Барабан'!T:T),"")</f>
        <v/>
      </c>
      <c r="D411" s="2" t="str">
        <f>IF(A411&gt;0,SUMIF('Барабан'!K:K,A411,'Барабан'!AG:AG)+SUMIF('Барабан'!V:V,A411,'Барабан'!AG:AG),"")</f>
        <v/>
      </c>
      <c r="E411" s="2" t="str">
        <f t="shared" si="1"/>
        <v/>
      </c>
      <c r="F411" s="2" t="str">
        <f t="array" ref="F411">IFERROR(IF(E411=0,0,INDEX('Справочник'!G:G,MATCH(A411,'Справочник'!F:F,0))))</f>
        <v/>
      </c>
      <c r="G411" s="2" t="str">
        <f>IF(A411&gt;0,SUMIF('Барабан'!K:K,A411,'Барабан'!P:P),"")</f>
        <v/>
      </c>
      <c r="H411" s="2" t="str">
        <f>IF(A411&gt;0,SUMIF('Барабан'!V:V,A411,'Барабан'!AA:AA),"")</f>
        <v/>
      </c>
      <c r="I411" s="2" t="str">
        <f t="shared" si="4"/>
        <v/>
      </c>
      <c r="J411" s="9" t="str">
        <f t="shared" si="2"/>
        <v/>
      </c>
      <c r="K411" s="1" t="str">
        <f>IF(A411&gt;0,COUNTIF('Барабан'!K:K,A411),"")</f>
        <v/>
      </c>
      <c r="L411" s="1" t="str">
        <f>IF(A411&gt;0,COUNTIF('Барабан'!V:V,A411),"")</f>
        <v/>
      </c>
      <c r="M411" s="1" t="str">
        <f t="shared" si="3"/>
        <v/>
      </c>
      <c r="N411" s="1" t="str">
        <f>IFERROR(__xludf.DUMMYFUNCTION("IF(A411&gt;0,MIN(FILTER('Барабан'!AJ:AJ,'Барабан'!K:K=A411)),"""")"),"")</f>
        <v/>
      </c>
      <c r="O411" s="16" t="str">
        <f>IFERROR(__xludf.DUMMYFUNCTION("IF(A411&gt;0,IFERROR(MAX(FILTER('Барабан'!AJ:AJ,'Барабан'!V:V=A411)),""–""),"""")"),"")</f>
        <v/>
      </c>
    </row>
    <row r="412" ht="15.75" customHeight="1">
      <c r="A412" s="1" t="str">
        <f>'Справочник'!E407</f>
        <v/>
      </c>
      <c r="B412" s="2" t="str">
        <f>IF(A412&gt;0,SUMIF('Барабан'!K:K,A412,'Барабан'!I:I),"")</f>
        <v/>
      </c>
      <c r="C412" s="2" t="str">
        <f>IF(A412&gt;0,SUMIF('Барабан'!V:V,A412,'Барабан'!T:T),"")</f>
        <v/>
      </c>
      <c r="D412" s="2" t="str">
        <f>IF(A412&gt;0,SUMIF('Барабан'!K:K,A412,'Барабан'!AG:AG)+SUMIF('Барабан'!V:V,A412,'Барабан'!AG:AG),"")</f>
        <v/>
      </c>
      <c r="E412" s="2" t="str">
        <f t="shared" si="1"/>
        <v/>
      </c>
      <c r="F412" s="2" t="str">
        <f t="array" ref="F412">IFERROR(IF(E412=0,0,INDEX('Справочник'!G:G,MATCH(A412,'Справочник'!F:F,0))))</f>
        <v/>
      </c>
      <c r="G412" s="2" t="str">
        <f>IF(A412&gt;0,SUMIF('Барабан'!K:K,A412,'Барабан'!P:P),"")</f>
        <v/>
      </c>
      <c r="H412" s="2" t="str">
        <f>IF(A412&gt;0,SUMIF('Барабан'!V:V,A412,'Барабан'!AA:AA),"")</f>
        <v/>
      </c>
      <c r="I412" s="2" t="str">
        <f t="shared" si="4"/>
        <v/>
      </c>
      <c r="J412" s="9" t="str">
        <f t="shared" si="2"/>
        <v/>
      </c>
      <c r="K412" s="1" t="str">
        <f>IF(A412&gt;0,COUNTIF('Барабан'!K:K,A412),"")</f>
        <v/>
      </c>
      <c r="L412" s="1" t="str">
        <f>IF(A412&gt;0,COUNTIF('Барабан'!V:V,A412),"")</f>
        <v/>
      </c>
      <c r="M412" s="1" t="str">
        <f t="shared" si="3"/>
        <v/>
      </c>
      <c r="N412" s="1" t="str">
        <f>IFERROR(__xludf.DUMMYFUNCTION("IF(A412&gt;0,MIN(FILTER('Барабан'!AJ:AJ,'Барабан'!K:K=A412)),"""")"),"")</f>
        <v/>
      </c>
      <c r="O412" s="16" t="str">
        <f>IFERROR(__xludf.DUMMYFUNCTION("IF(A412&gt;0,IFERROR(MAX(FILTER('Барабан'!AJ:AJ,'Барабан'!V:V=A412)),""–""),"""")"),"")</f>
        <v/>
      </c>
    </row>
    <row r="413" ht="15.75" customHeight="1">
      <c r="A413" s="1" t="str">
        <f>'Справочник'!E408</f>
        <v/>
      </c>
      <c r="B413" s="2" t="str">
        <f>IF(A413&gt;0,SUMIF('Барабан'!K:K,A413,'Барабан'!I:I),"")</f>
        <v/>
      </c>
      <c r="C413" s="2" t="str">
        <f>IF(A413&gt;0,SUMIF('Барабан'!V:V,A413,'Барабан'!T:T),"")</f>
        <v/>
      </c>
      <c r="D413" s="2" t="str">
        <f>IF(A413&gt;0,SUMIF('Барабан'!K:K,A413,'Барабан'!AG:AG)+SUMIF('Барабан'!V:V,A413,'Барабан'!AG:AG),"")</f>
        <v/>
      </c>
      <c r="E413" s="2" t="str">
        <f t="shared" si="1"/>
        <v/>
      </c>
      <c r="F413" s="2" t="str">
        <f t="array" ref="F413">IFERROR(IF(E413=0,0,INDEX('Справочник'!G:G,MATCH(A413,'Справочник'!F:F,0))))</f>
        <v/>
      </c>
      <c r="G413" s="2" t="str">
        <f>IF(A413&gt;0,SUMIF('Барабан'!K:K,A413,'Барабан'!P:P),"")</f>
        <v/>
      </c>
      <c r="H413" s="2" t="str">
        <f>IF(A413&gt;0,SUMIF('Барабан'!V:V,A413,'Барабан'!AA:AA),"")</f>
        <v/>
      </c>
      <c r="I413" s="2" t="str">
        <f t="shared" si="4"/>
        <v/>
      </c>
      <c r="J413" s="9" t="str">
        <f t="shared" si="2"/>
        <v/>
      </c>
      <c r="K413" s="1" t="str">
        <f>IF(A413&gt;0,COUNTIF('Барабан'!K:K,A413),"")</f>
        <v/>
      </c>
      <c r="L413" s="1" t="str">
        <f>IF(A413&gt;0,COUNTIF('Барабан'!V:V,A413),"")</f>
        <v/>
      </c>
      <c r="M413" s="1" t="str">
        <f t="shared" si="3"/>
        <v/>
      </c>
      <c r="N413" s="1" t="str">
        <f>IFERROR(__xludf.DUMMYFUNCTION("IF(A413&gt;0,MIN(FILTER('Барабан'!AJ:AJ,'Барабан'!K:K=A413)),"""")"),"")</f>
        <v/>
      </c>
      <c r="O413" s="16" t="str">
        <f>IFERROR(__xludf.DUMMYFUNCTION("IF(A413&gt;0,IFERROR(MAX(FILTER('Барабан'!AJ:AJ,'Барабан'!V:V=A413)),""–""),"""")"),"")</f>
        <v/>
      </c>
    </row>
    <row r="414" ht="15.75" customHeight="1">
      <c r="A414" s="1" t="str">
        <f>'Справочник'!E409</f>
        <v/>
      </c>
      <c r="B414" s="2" t="str">
        <f>IF(A414&gt;0,SUMIF('Барабан'!K:K,A414,'Барабан'!I:I),"")</f>
        <v/>
      </c>
      <c r="C414" s="2" t="str">
        <f>IF(A414&gt;0,SUMIF('Барабан'!V:V,A414,'Барабан'!T:T),"")</f>
        <v/>
      </c>
      <c r="D414" s="2" t="str">
        <f>IF(A414&gt;0,SUMIF('Барабан'!K:K,A414,'Барабан'!AG:AG)+SUMIF('Барабан'!V:V,A414,'Барабан'!AG:AG),"")</f>
        <v/>
      </c>
      <c r="E414" s="2" t="str">
        <f t="shared" si="1"/>
        <v/>
      </c>
      <c r="F414" s="2" t="str">
        <f t="array" ref="F414">IFERROR(IF(E414=0,0,INDEX('Справочник'!G:G,MATCH(A414,'Справочник'!F:F,0))))</f>
        <v/>
      </c>
      <c r="G414" s="2" t="str">
        <f>IF(A414&gt;0,SUMIF('Барабан'!K:K,A414,'Барабан'!P:P),"")</f>
        <v/>
      </c>
      <c r="H414" s="2" t="str">
        <f>IF(A414&gt;0,SUMIF('Барабан'!V:V,A414,'Барабан'!AA:AA),"")</f>
        <v/>
      </c>
      <c r="I414" s="2" t="str">
        <f t="shared" si="4"/>
        <v/>
      </c>
      <c r="J414" s="9" t="str">
        <f t="shared" si="2"/>
        <v/>
      </c>
      <c r="K414" s="1" t="str">
        <f>IF(A414&gt;0,COUNTIF('Барабан'!K:K,A414),"")</f>
        <v/>
      </c>
      <c r="L414" s="1" t="str">
        <f>IF(A414&gt;0,COUNTIF('Барабан'!V:V,A414),"")</f>
        <v/>
      </c>
      <c r="M414" s="1" t="str">
        <f t="shared" si="3"/>
        <v/>
      </c>
      <c r="N414" s="1" t="str">
        <f>IFERROR(__xludf.DUMMYFUNCTION("IF(A414&gt;0,MIN(FILTER('Барабан'!AJ:AJ,'Барабан'!K:K=A414)),"""")"),"")</f>
        <v/>
      </c>
      <c r="O414" s="16" t="str">
        <f>IFERROR(__xludf.DUMMYFUNCTION("IF(A414&gt;0,IFERROR(MAX(FILTER('Барабан'!AJ:AJ,'Барабан'!V:V=A414)),""–""),"""")"),"")</f>
        <v/>
      </c>
    </row>
    <row r="415" ht="15.75" customHeight="1">
      <c r="A415" s="1" t="str">
        <f>'Справочник'!E410</f>
        <v/>
      </c>
      <c r="B415" s="2" t="str">
        <f>IF(A415&gt;0,SUMIF('Барабан'!K:K,A415,'Барабан'!I:I),"")</f>
        <v/>
      </c>
      <c r="C415" s="2" t="str">
        <f>IF(A415&gt;0,SUMIF('Барабан'!V:V,A415,'Барабан'!T:T),"")</f>
        <v/>
      </c>
      <c r="D415" s="2" t="str">
        <f>IF(A415&gt;0,SUMIF('Барабан'!K:K,A415,'Барабан'!AG:AG)+SUMIF('Барабан'!V:V,A415,'Барабан'!AG:AG),"")</f>
        <v/>
      </c>
      <c r="E415" s="2" t="str">
        <f t="shared" si="1"/>
        <v/>
      </c>
      <c r="F415" s="2" t="str">
        <f t="array" ref="F415">IFERROR(IF(E415=0,0,INDEX('Справочник'!G:G,MATCH(A415,'Справочник'!F:F,0))))</f>
        <v/>
      </c>
      <c r="G415" s="2" t="str">
        <f>IF(A415&gt;0,SUMIF('Барабан'!K:K,A415,'Барабан'!P:P),"")</f>
        <v/>
      </c>
      <c r="H415" s="2" t="str">
        <f>IF(A415&gt;0,SUMIF('Барабан'!V:V,A415,'Барабан'!AA:AA),"")</f>
        <v/>
      </c>
      <c r="I415" s="2" t="str">
        <f t="shared" si="4"/>
        <v/>
      </c>
      <c r="J415" s="9" t="str">
        <f t="shared" si="2"/>
        <v/>
      </c>
      <c r="K415" s="1" t="str">
        <f>IF(A415&gt;0,COUNTIF('Барабан'!K:K,A415),"")</f>
        <v/>
      </c>
      <c r="L415" s="1" t="str">
        <f>IF(A415&gt;0,COUNTIF('Барабан'!V:V,A415),"")</f>
        <v/>
      </c>
      <c r="M415" s="1" t="str">
        <f t="shared" si="3"/>
        <v/>
      </c>
      <c r="N415" s="1" t="str">
        <f>IFERROR(__xludf.DUMMYFUNCTION("IF(A415&gt;0,MIN(FILTER('Барабан'!AJ:AJ,'Барабан'!K:K=A415)),"""")"),"")</f>
        <v/>
      </c>
      <c r="O415" s="16" t="str">
        <f>IFERROR(__xludf.DUMMYFUNCTION("IF(A415&gt;0,IFERROR(MAX(FILTER('Барабан'!AJ:AJ,'Барабан'!V:V=A415)),""–""),"""")"),"")</f>
        <v/>
      </c>
    </row>
    <row r="416" ht="15.75" customHeight="1">
      <c r="A416" s="1" t="str">
        <f>'Справочник'!E411</f>
        <v/>
      </c>
      <c r="B416" s="2" t="str">
        <f>IF(A416&gt;0,SUMIF('Барабан'!K:K,A416,'Барабан'!I:I),"")</f>
        <v/>
      </c>
      <c r="C416" s="2" t="str">
        <f>IF(A416&gt;0,SUMIF('Барабан'!V:V,A416,'Барабан'!T:T),"")</f>
        <v/>
      </c>
      <c r="D416" s="2" t="str">
        <f>IF(A416&gt;0,SUMIF('Барабан'!K:K,A416,'Барабан'!AG:AG)+SUMIF('Барабан'!V:V,A416,'Барабан'!AG:AG),"")</f>
        <v/>
      </c>
      <c r="E416" s="2" t="str">
        <f t="shared" si="1"/>
        <v/>
      </c>
      <c r="F416" s="2" t="str">
        <f t="array" ref="F416">IFERROR(IF(E416=0,0,INDEX('Справочник'!G:G,MATCH(A416,'Справочник'!F:F,0))))</f>
        <v/>
      </c>
      <c r="G416" s="2" t="str">
        <f>IF(A416&gt;0,SUMIF('Барабан'!K:K,A416,'Барабан'!P:P),"")</f>
        <v/>
      </c>
      <c r="H416" s="2" t="str">
        <f>IF(A416&gt;0,SUMIF('Барабан'!V:V,A416,'Барабан'!AA:AA),"")</f>
        <v/>
      </c>
      <c r="I416" s="2" t="str">
        <f t="shared" si="4"/>
        <v/>
      </c>
      <c r="J416" s="9" t="str">
        <f t="shared" si="2"/>
        <v/>
      </c>
      <c r="K416" s="1" t="str">
        <f>IF(A416&gt;0,COUNTIF('Барабан'!K:K,A416),"")</f>
        <v/>
      </c>
      <c r="L416" s="1" t="str">
        <f>IF(A416&gt;0,COUNTIF('Барабан'!V:V,A416),"")</f>
        <v/>
      </c>
      <c r="M416" s="1" t="str">
        <f t="shared" si="3"/>
        <v/>
      </c>
      <c r="N416" s="1" t="str">
        <f>IFERROR(__xludf.DUMMYFUNCTION("IF(A416&gt;0,MIN(FILTER('Барабан'!AJ:AJ,'Барабан'!K:K=A416)),"""")"),"")</f>
        <v/>
      </c>
      <c r="O416" s="16" t="str">
        <f>IFERROR(__xludf.DUMMYFUNCTION("IF(A416&gt;0,IFERROR(MAX(FILTER('Барабан'!AJ:AJ,'Барабан'!V:V=A416)),""–""),"""")"),"")</f>
        <v/>
      </c>
    </row>
    <row r="417" ht="15.75" customHeight="1">
      <c r="A417" s="1" t="str">
        <f>'Справочник'!E412</f>
        <v/>
      </c>
      <c r="B417" s="2" t="str">
        <f>IF(A417&gt;0,SUMIF('Барабан'!K:K,A417,'Барабан'!I:I),"")</f>
        <v/>
      </c>
      <c r="C417" s="2" t="str">
        <f>IF(A417&gt;0,SUMIF('Барабан'!V:V,A417,'Барабан'!T:T),"")</f>
        <v/>
      </c>
      <c r="D417" s="2" t="str">
        <f>IF(A417&gt;0,SUMIF('Барабан'!K:K,A417,'Барабан'!AG:AG)+SUMIF('Барабан'!V:V,A417,'Барабан'!AG:AG),"")</f>
        <v/>
      </c>
      <c r="E417" s="2" t="str">
        <f t="shared" si="1"/>
        <v/>
      </c>
      <c r="F417" s="2" t="str">
        <f t="array" ref="F417">IFERROR(IF(E417=0,0,INDEX('Справочник'!G:G,MATCH(A417,'Справочник'!F:F,0))))</f>
        <v/>
      </c>
      <c r="G417" s="2" t="str">
        <f>IF(A417&gt;0,SUMIF('Барабан'!K:K,A417,'Барабан'!P:P),"")</f>
        <v/>
      </c>
      <c r="H417" s="2" t="str">
        <f>IF(A417&gt;0,SUMIF('Барабан'!V:V,A417,'Барабан'!AA:AA),"")</f>
        <v/>
      </c>
      <c r="I417" s="2" t="str">
        <f t="shared" si="4"/>
        <v/>
      </c>
      <c r="J417" s="9" t="str">
        <f t="shared" si="2"/>
        <v/>
      </c>
      <c r="K417" s="1" t="str">
        <f>IF(A417&gt;0,COUNTIF('Барабан'!K:K,A417),"")</f>
        <v/>
      </c>
      <c r="L417" s="1" t="str">
        <f>IF(A417&gt;0,COUNTIF('Барабан'!V:V,A417),"")</f>
        <v/>
      </c>
      <c r="M417" s="1" t="str">
        <f t="shared" si="3"/>
        <v/>
      </c>
      <c r="N417" s="1" t="str">
        <f>IFERROR(__xludf.DUMMYFUNCTION("IF(A417&gt;0,MIN(FILTER('Барабан'!AJ:AJ,'Барабан'!K:K=A417)),"""")"),"")</f>
        <v/>
      </c>
      <c r="O417" s="16" t="str">
        <f>IFERROR(__xludf.DUMMYFUNCTION("IF(A417&gt;0,IFERROR(MAX(FILTER('Барабан'!AJ:AJ,'Барабан'!V:V=A417)),""–""),"""")"),"")</f>
        <v/>
      </c>
    </row>
    <row r="418" ht="15.75" customHeight="1">
      <c r="A418" s="1" t="str">
        <f>'Справочник'!E413</f>
        <v/>
      </c>
      <c r="B418" s="2" t="str">
        <f>IF(A418&gt;0,SUMIF('Барабан'!K:K,A418,'Барабан'!I:I),"")</f>
        <v/>
      </c>
      <c r="C418" s="2" t="str">
        <f>IF(A418&gt;0,SUMIF('Барабан'!V:V,A418,'Барабан'!T:T),"")</f>
        <v/>
      </c>
      <c r="D418" s="2" t="str">
        <f>IF(A418&gt;0,SUMIF('Барабан'!K:K,A418,'Барабан'!AG:AG)+SUMIF('Барабан'!V:V,A418,'Барабан'!AG:AG),"")</f>
        <v/>
      </c>
      <c r="E418" s="2" t="str">
        <f t="shared" si="1"/>
        <v/>
      </c>
      <c r="F418" s="2" t="str">
        <f t="array" ref="F418">IFERROR(IF(E418=0,0,INDEX('Справочник'!G:G,MATCH(A418,'Справочник'!F:F,0))))</f>
        <v/>
      </c>
      <c r="G418" s="2" t="str">
        <f>IF(A418&gt;0,SUMIF('Барабан'!K:K,A418,'Барабан'!P:P),"")</f>
        <v/>
      </c>
      <c r="H418" s="2" t="str">
        <f>IF(A418&gt;0,SUMIF('Барабан'!V:V,A418,'Барабан'!AA:AA),"")</f>
        <v/>
      </c>
      <c r="I418" s="2" t="str">
        <f t="shared" si="4"/>
        <v/>
      </c>
      <c r="J418" s="9" t="str">
        <f t="shared" si="2"/>
        <v/>
      </c>
      <c r="K418" s="1" t="str">
        <f>IF(A418&gt;0,COUNTIF('Барабан'!K:K,A418),"")</f>
        <v/>
      </c>
      <c r="L418" s="1" t="str">
        <f>IF(A418&gt;0,COUNTIF('Барабан'!V:V,A418),"")</f>
        <v/>
      </c>
      <c r="M418" s="1" t="str">
        <f t="shared" si="3"/>
        <v/>
      </c>
      <c r="N418" s="1" t="str">
        <f>IFERROR(__xludf.DUMMYFUNCTION("IF(A418&gt;0,MIN(FILTER('Барабан'!AJ:AJ,'Барабан'!K:K=A418)),"""")"),"")</f>
        <v/>
      </c>
      <c r="O418" s="16" t="str">
        <f>IFERROR(__xludf.DUMMYFUNCTION("IF(A418&gt;0,IFERROR(MAX(FILTER('Барабан'!AJ:AJ,'Барабан'!V:V=A418)),""–""),"""")"),"")</f>
        <v/>
      </c>
    </row>
    <row r="419" ht="15.75" customHeight="1">
      <c r="A419" s="1" t="str">
        <f>'Справочник'!E414</f>
        <v/>
      </c>
      <c r="B419" s="2" t="str">
        <f>IF(A419&gt;0,SUMIF('Барабан'!K:K,A419,'Барабан'!I:I),"")</f>
        <v/>
      </c>
      <c r="C419" s="2" t="str">
        <f>IF(A419&gt;0,SUMIF('Барабан'!V:V,A419,'Барабан'!T:T),"")</f>
        <v/>
      </c>
      <c r="D419" s="2" t="str">
        <f>IF(A419&gt;0,SUMIF('Барабан'!K:K,A419,'Барабан'!AG:AG)+SUMIF('Барабан'!V:V,A419,'Барабан'!AG:AG),"")</f>
        <v/>
      </c>
      <c r="E419" s="2" t="str">
        <f t="shared" si="1"/>
        <v/>
      </c>
      <c r="F419" s="2" t="str">
        <f t="array" ref="F419">IFERROR(IF(E419=0,0,INDEX('Справочник'!G:G,MATCH(A419,'Справочник'!F:F,0))))</f>
        <v/>
      </c>
      <c r="G419" s="2" t="str">
        <f>IF(A419&gt;0,SUMIF('Барабан'!K:K,A419,'Барабан'!P:P),"")</f>
        <v/>
      </c>
      <c r="H419" s="2" t="str">
        <f>IF(A419&gt;0,SUMIF('Барабан'!V:V,A419,'Барабан'!AA:AA),"")</f>
        <v/>
      </c>
      <c r="I419" s="2" t="str">
        <f t="shared" si="4"/>
        <v/>
      </c>
      <c r="J419" s="9" t="str">
        <f t="shared" si="2"/>
        <v/>
      </c>
      <c r="K419" s="1" t="str">
        <f>IF(A419&gt;0,COUNTIF('Барабан'!K:K,A419),"")</f>
        <v/>
      </c>
      <c r="L419" s="1" t="str">
        <f>IF(A419&gt;0,COUNTIF('Барабан'!V:V,A419),"")</f>
        <v/>
      </c>
      <c r="M419" s="1" t="str">
        <f t="shared" si="3"/>
        <v/>
      </c>
      <c r="N419" s="1" t="str">
        <f>IFERROR(__xludf.DUMMYFUNCTION("IF(A419&gt;0,MIN(FILTER('Барабан'!AJ:AJ,'Барабан'!K:K=A419)),"""")"),"")</f>
        <v/>
      </c>
      <c r="O419" s="16" t="str">
        <f>IFERROR(__xludf.DUMMYFUNCTION("IF(A419&gt;0,IFERROR(MAX(FILTER('Барабан'!AJ:AJ,'Барабан'!V:V=A419)),""–""),"""")"),"")</f>
        <v/>
      </c>
    </row>
    <row r="420" ht="15.75" customHeight="1">
      <c r="A420" s="1" t="str">
        <f>'Справочник'!E415</f>
        <v/>
      </c>
      <c r="B420" s="2" t="str">
        <f>IF(A420&gt;0,SUMIF('Барабан'!K:K,A420,'Барабан'!I:I),"")</f>
        <v/>
      </c>
      <c r="C420" s="2" t="str">
        <f>IF(A420&gt;0,SUMIF('Барабан'!V:V,A420,'Барабан'!T:T),"")</f>
        <v/>
      </c>
      <c r="D420" s="2" t="str">
        <f>IF(A420&gt;0,SUMIF('Барабан'!K:K,A420,'Барабан'!AG:AG)+SUMIF('Барабан'!V:V,A420,'Барабан'!AG:AG),"")</f>
        <v/>
      </c>
      <c r="E420" s="2" t="str">
        <f t="shared" si="1"/>
        <v/>
      </c>
      <c r="F420" s="2" t="str">
        <f t="array" ref="F420">IFERROR(IF(E420=0,0,INDEX('Справочник'!G:G,MATCH(A420,'Справочник'!F:F,0))))</f>
        <v/>
      </c>
      <c r="G420" s="2" t="str">
        <f>IF(A420&gt;0,SUMIF('Барабан'!K:K,A420,'Барабан'!P:P),"")</f>
        <v/>
      </c>
      <c r="H420" s="2" t="str">
        <f>IF(A420&gt;0,SUMIF('Барабан'!V:V,A420,'Барабан'!AA:AA),"")</f>
        <v/>
      </c>
      <c r="I420" s="2" t="str">
        <f t="shared" si="4"/>
        <v/>
      </c>
      <c r="J420" s="9" t="str">
        <f t="shared" si="2"/>
        <v/>
      </c>
      <c r="K420" s="1" t="str">
        <f>IF(A420&gt;0,COUNTIF('Барабан'!K:K,A420),"")</f>
        <v/>
      </c>
      <c r="L420" s="1" t="str">
        <f>IF(A420&gt;0,COUNTIF('Барабан'!V:V,A420),"")</f>
        <v/>
      </c>
      <c r="M420" s="1" t="str">
        <f t="shared" si="3"/>
        <v/>
      </c>
      <c r="N420" s="1" t="str">
        <f>IFERROR(__xludf.DUMMYFUNCTION("IF(A420&gt;0,MIN(FILTER('Барабан'!AJ:AJ,'Барабан'!K:K=A420)),"""")"),"")</f>
        <v/>
      </c>
      <c r="O420" s="16" t="str">
        <f>IFERROR(__xludf.DUMMYFUNCTION("IF(A420&gt;0,IFERROR(MAX(FILTER('Барабан'!AJ:AJ,'Барабан'!V:V=A420)),""–""),"""")"),"")</f>
        <v/>
      </c>
    </row>
    <row r="421" ht="15.75" customHeight="1">
      <c r="A421" s="1" t="str">
        <f>'Справочник'!E416</f>
        <v/>
      </c>
      <c r="B421" s="2" t="str">
        <f>IF(A421&gt;0,SUMIF('Барабан'!K:K,A421,'Барабан'!I:I),"")</f>
        <v/>
      </c>
      <c r="C421" s="2" t="str">
        <f>IF(A421&gt;0,SUMIF('Барабан'!V:V,A421,'Барабан'!T:T),"")</f>
        <v/>
      </c>
      <c r="D421" s="2" t="str">
        <f>IF(A421&gt;0,SUMIF('Барабан'!K:K,A421,'Барабан'!AG:AG)+SUMIF('Барабан'!V:V,A421,'Барабан'!AG:AG),"")</f>
        <v/>
      </c>
      <c r="E421" s="2" t="str">
        <f t="shared" si="1"/>
        <v/>
      </c>
      <c r="F421" s="2" t="str">
        <f t="array" ref="F421">IFERROR(IF(E421=0,0,INDEX('Справочник'!G:G,MATCH(A421,'Справочник'!F:F,0))))</f>
        <v/>
      </c>
      <c r="G421" s="2" t="str">
        <f>IF(A421&gt;0,SUMIF('Барабан'!K:K,A421,'Барабан'!P:P),"")</f>
        <v/>
      </c>
      <c r="H421" s="2" t="str">
        <f>IF(A421&gt;0,SUMIF('Барабан'!V:V,A421,'Барабан'!AA:AA),"")</f>
        <v/>
      </c>
      <c r="I421" s="2" t="str">
        <f t="shared" si="4"/>
        <v/>
      </c>
      <c r="J421" s="9" t="str">
        <f t="shared" si="2"/>
        <v/>
      </c>
      <c r="K421" s="1" t="str">
        <f>IF(A421&gt;0,COUNTIF('Барабан'!K:K,A421),"")</f>
        <v/>
      </c>
      <c r="L421" s="1" t="str">
        <f>IF(A421&gt;0,COUNTIF('Барабан'!V:V,A421),"")</f>
        <v/>
      </c>
      <c r="M421" s="1" t="str">
        <f t="shared" si="3"/>
        <v/>
      </c>
      <c r="N421" s="1" t="str">
        <f>IFERROR(__xludf.DUMMYFUNCTION("IF(A421&gt;0,MIN(FILTER('Барабан'!AJ:AJ,'Барабан'!K:K=A421)),"""")"),"")</f>
        <v/>
      </c>
      <c r="O421" s="16" t="str">
        <f>IFERROR(__xludf.DUMMYFUNCTION("IF(A421&gt;0,IFERROR(MAX(FILTER('Барабан'!AJ:AJ,'Барабан'!V:V=A421)),""–""),"""")"),"")</f>
        <v/>
      </c>
    </row>
    <row r="422" ht="15.75" customHeight="1">
      <c r="A422" s="1" t="str">
        <f>'Справочник'!E417</f>
        <v/>
      </c>
      <c r="B422" s="2" t="str">
        <f>IF(A422&gt;0,SUMIF('Барабан'!K:K,A422,'Барабан'!I:I),"")</f>
        <v/>
      </c>
      <c r="C422" s="2" t="str">
        <f>IF(A422&gt;0,SUMIF('Барабан'!V:V,A422,'Барабан'!T:T),"")</f>
        <v/>
      </c>
      <c r="D422" s="2" t="str">
        <f>IF(A422&gt;0,SUMIF('Барабан'!K:K,A422,'Барабан'!AG:AG)+SUMIF('Барабан'!V:V,A422,'Барабан'!AG:AG),"")</f>
        <v/>
      </c>
      <c r="E422" s="2" t="str">
        <f t="shared" si="1"/>
        <v/>
      </c>
      <c r="F422" s="2" t="str">
        <f t="array" ref="F422">IFERROR(IF(E422=0,0,INDEX('Справочник'!G:G,MATCH(A422,'Справочник'!F:F,0))))</f>
        <v/>
      </c>
      <c r="G422" s="2" t="str">
        <f>IF(A422&gt;0,SUMIF('Барабан'!K:K,A422,'Барабан'!P:P),"")</f>
        <v/>
      </c>
      <c r="H422" s="2" t="str">
        <f>IF(A422&gt;0,SUMIF('Барабан'!V:V,A422,'Барабан'!AA:AA),"")</f>
        <v/>
      </c>
      <c r="I422" s="2" t="str">
        <f t="shared" si="4"/>
        <v/>
      </c>
      <c r="J422" s="9" t="str">
        <f t="shared" si="2"/>
        <v/>
      </c>
      <c r="K422" s="1" t="str">
        <f>IF(A422&gt;0,COUNTIF('Барабан'!K:K,A422),"")</f>
        <v/>
      </c>
      <c r="L422" s="1" t="str">
        <f>IF(A422&gt;0,COUNTIF('Барабан'!V:V,A422),"")</f>
        <v/>
      </c>
      <c r="M422" s="1" t="str">
        <f t="shared" si="3"/>
        <v/>
      </c>
      <c r="N422" s="1" t="str">
        <f>IFERROR(__xludf.DUMMYFUNCTION("IF(A422&gt;0,MIN(FILTER('Барабан'!AJ:AJ,'Барабан'!K:K=A422)),"""")"),"")</f>
        <v/>
      </c>
      <c r="O422" s="16" t="str">
        <f>IFERROR(__xludf.DUMMYFUNCTION("IF(A422&gt;0,IFERROR(MAX(FILTER('Барабан'!AJ:AJ,'Барабан'!V:V=A422)),""–""),"""")"),"")</f>
        <v/>
      </c>
    </row>
    <row r="423" ht="15.75" customHeight="1">
      <c r="A423" s="1" t="str">
        <f>'Справочник'!E418</f>
        <v/>
      </c>
      <c r="B423" s="2" t="str">
        <f>IF(A423&gt;0,SUMIF('Барабан'!K:K,A423,'Барабан'!I:I),"")</f>
        <v/>
      </c>
      <c r="C423" s="2" t="str">
        <f>IF(A423&gt;0,SUMIF('Барабан'!V:V,A423,'Барабан'!T:T),"")</f>
        <v/>
      </c>
      <c r="D423" s="2" t="str">
        <f>IF(A423&gt;0,SUMIF('Барабан'!K:K,A423,'Барабан'!AG:AG)+SUMIF('Барабан'!V:V,A423,'Барабан'!AG:AG),"")</f>
        <v/>
      </c>
      <c r="E423" s="2" t="str">
        <f t="shared" si="1"/>
        <v/>
      </c>
      <c r="F423" s="2" t="str">
        <f t="array" ref="F423">IFERROR(IF(E423=0,0,INDEX('Справочник'!G:G,MATCH(A423,'Справочник'!F:F,0))))</f>
        <v/>
      </c>
      <c r="G423" s="2" t="str">
        <f>IF(A423&gt;0,SUMIF('Барабан'!K:K,A423,'Барабан'!P:P),"")</f>
        <v/>
      </c>
      <c r="H423" s="2" t="str">
        <f>IF(A423&gt;0,SUMIF('Барабан'!V:V,A423,'Барабан'!AA:AA),"")</f>
        <v/>
      </c>
      <c r="I423" s="2" t="str">
        <f t="shared" si="4"/>
        <v/>
      </c>
      <c r="J423" s="9" t="str">
        <f t="shared" si="2"/>
        <v/>
      </c>
      <c r="K423" s="1" t="str">
        <f>IF(A423&gt;0,COUNTIF('Барабан'!K:K,A423),"")</f>
        <v/>
      </c>
      <c r="L423" s="1" t="str">
        <f>IF(A423&gt;0,COUNTIF('Барабан'!V:V,A423),"")</f>
        <v/>
      </c>
      <c r="M423" s="1" t="str">
        <f t="shared" si="3"/>
        <v/>
      </c>
      <c r="N423" s="1" t="str">
        <f>IFERROR(__xludf.DUMMYFUNCTION("IF(A423&gt;0,MIN(FILTER('Барабан'!AJ:AJ,'Барабан'!K:K=A423)),"""")"),"")</f>
        <v/>
      </c>
      <c r="O423" s="16" t="str">
        <f>IFERROR(__xludf.DUMMYFUNCTION("IF(A423&gt;0,IFERROR(MAX(FILTER('Барабан'!AJ:AJ,'Барабан'!V:V=A423)),""–""),"""")"),"")</f>
        <v/>
      </c>
    </row>
    <row r="424" ht="15.75" customHeight="1">
      <c r="A424" s="1" t="str">
        <f>'Справочник'!E419</f>
        <v/>
      </c>
      <c r="B424" s="2" t="str">
        <f>IF(A424&gt;0,SUMIF('Барабан'!K:K,A424,'Барабан'!I:I),"")</f>
        <v/>
      </c>
      <c r="C424" s="2" t="str">
        <f>IF(A424&gt;0,SUMIF('Барабан'!V:V,A424,'Барабан'!T:T),"")</f>
        <v/>
      </c>
      <c r="D424" s="2" t="str">
        <f>IF(A424&gt;0,SUMIF('Барабан'!K:K,A424,'Барабан'!AG:AG)+SUMIF('Барабан'!V:V,A424,'Барабан'!AG:AG),"")</f>
        <v/>
      </c>
      <c r="E424" s="2" t="str">
        <f t="shared" si="1"/>
        <v/>
      </c>
      <c r="F424" s="2" t="str">
        <f t="array" ref="F424">IFERROR(IF(E424=0,0,INDEX('Справочник'!G:G,MATCH(A424,'Справочник'!F:F,0))))</f>
        <v/>
      </c>
      <c r="G424" s="2" t="str">
        <f>IF(A424&gt;0,SUMIF('Барабан'!K:K,A424,'Барабан'!P:P),"")</f>
        <v/>
      </c>
      <c r="H424" s="2" t="str">
        <f>IF(A424&gt;0,SUMIF('Барабан'!V:V,A424,'Барабан'!AA:AA),"")</f>
        <v/>
      </c>
      <c r="I424" s="2" t="str">
        <f t="shared" si="4"/>
        <v/>
      </c>
      <c r="J424" s="9" t="str">
        <f t="shared" si="2"/>
        <v/>
      </c>
      <c r="K424" s="1" t="str">
        <f>IF(A424&gt;0,COUNTIF('Барабан'!K:K,A424),"")</f>
        <v/>
      </c>
      <c r="L424" s="1" t="str">
        <f>IF(A424&gt;0,COUNTIF('Барабан'!V:V,A424),"")</f>
        <v/>
      </c>
      <c r="M424" s="1" t="str">
        <f t="shared" si="3"/>
        <v/>
      </c>
      <c r="N424" s="1" t="str">
        <f>IFERROR(__xludf.DUMMYFUNCTION("IF(A424&gt;0,MIN(FILTER('Барабан'!AJ:AJ,'Барабан'!K:K=A424)),"""")"),"")</f>
        <v/>
      </c>
      <c r="O424" s="16" t="str">
        <f>IFERROR(__xludf.DUMMYFUNCTION("IF(A424&gt;0,IFERROR(MAX(FILTER('Барабан'!AJ:AJ,'Барабан'!V:V=A424)),""–""),"""")"),"")</f>
        <v/>
      </c>
    </row>
    <row r="425" ht="15.75" customHeight="1">
      <c r="A425" s="1" t="str">
        <f>'Справочник'!E420</f>
        <v/>
      </c>
      <c r="B425" s="2" t="str">
        <f>IF(A425&gt;0,SUMIF('Барабан'!K:K,A425,'Барабан'!I:I),"")</f>
        <v/>
      </c>
      <c r="C425" s="2" t="str">
        <f>IF(A425&gt;0,SUMIF('Барабан'!V:V,A425,'Барабан'!T:T),"")</f>
        <v/>
      </c>
      <c r="D425" s="2" t="str">
        <f>IF(A425&gt;0,SUMIF('Барабан'!K:K,A425,'Барабан'!AG:AG)+SUMIF('Барабан'!V:V,A425,'Барабан'!AG:AG),"")</f>
        <v/>
      </c>
      <c r="E425" s="2" t="str">
        <f t="shared" si="1"/>
        <v/>
      </c>
      <c r="F425" s="2" t="str">
        <f t="array" ref="F425">IFERROR(IF(E425=0,0,INDEX('Справочник'!G:G,MATCH(A425,'Справочник'!F:F,0))))</f>
        <v/>
      </c>
      <c r="G425" s="2" t="str">
        <f>IF(A425&gt;0,SUMIF('Барабан'!K:K,A425,'Барабан'!P:P),"")</f>
        <v/>
      </c>
      <c r="H425" s="2" t="str">
        <f>IF(A425&gt;0,SUMIF('Барабан'!V:V,A425,'Барабан'!AA:AA),"")</f>
        <v/>
      </c>
      <c r="I425" s="2" t="str">
        <f t="shared" si="4"/>
        <v/>
      </c>
      <c r="J425" s="9" t="str">
        <f t="shared" si="2"/>
        <v/>
      </c>
      <c r="K425" s="1" t="str">
        <f>IF(A425&gt;0,COUNTIF('Барабан'!K:K,A425),"")</f>
        <v/>
      </c>
      <c r="L425" s="1" t="str">
        <f>IF(A425&gt;0,COUNTIF('Барабан'!V:V,A425),"")</f>
        <v/>
      </c>
      <c r="M425" s="1" t="str">
        <f t="shared" si="3"/>
        <v/>
      </c>
      <c r="N425" s="1" t="str">
        <f>IFERROR(__xludf.DUMMYFUNCTION("IF(A425&gt;0,MIN(FILTER('Барабан'!AJ:AJ,'Барабан'!K:K=A425)),"""")"),"")</f>
        <v/>
      </c>
      <c r="O425" s="16" t="str">
        <f>IFERROR(__xludf.DUMMYFUNCTION("IF(A425&gt;0,IFERROR(MAX(FILTER('Барабан'!AJ:AJ,'Барабан'!V:V=A425)),""–""),"""")"),"")</f>
        <v/>
      </c>
    </row>
    <row r="426" ht="15.75" customHeight="1">
      <c r="A426" s="1" t="str">
        <f>'Справочник'!E421</f>
        <v/>
      </c>
      <c r="B426" s="2" t="str">
        <f>IF(A426&gt;0,SUMIF('Барабан'!K:K,A426,'Барабан'!I:I),"")</f>
        <v/>
      </c>
      <c r="C426" s="2" t="str">
        <f>IF(A426&gt;0,SUMIF('Барабан'!V:V,A426,'Барабан'!T:T),"")</f>
        <v/>
      </c>
      <c r="D426" s="2" t="str">
        <f>IF(A426&gt;0,SUMIF('Барабан'!K:K,A426,'Барабан'!AG:AG)+SUMIF('Барабан'!V:V,A426,'Барабан'!AG:AG),"")</f>
        <v/>
      </c>
      <c r="E426" s="2" t="str">
        <f t="shared" si="1"/>
        <v/>
      </c>
      <c r="F426" s="2" t="str">
        <f t="array" ref="F426">IFERROR(IF(E426=0,0,INDEX('Справочник'!G:G,MATCH(A426,'Справочник'!F:F,0))))</f>
        <v/>
      </c>
      <c r="G426" s="2" t="str">
        <f>IF(A426&gt;0,SUMIF('Барабан'!K:K,A426,'Барабан'!P:P),"")</f>
        <v/>
      </c>
      <c r="H426" s="2" t="str">
        <f>IF(A426&gt;0,SUMIF('Барабан'!V:V,A426,'Барабан'!AA:AA),"")</f>
        <v/>
      </c>
      <c r="I426" s="2" t="str">
        <f t="shared" si="4"/>
        <v/>
      </c>
      <c r="J426" s="9" t="str">
        <f t="shared" si="2"/>
        <v/>
      </c>
      <c r="K426" s="1" t="str">
        <f>IF(A426&gt;0,COUNTIF('Барабан'!K:K,A426),"")</f>
        <v/>
      </c>
      <c r="L426" s="1" t="str">
        <f>IF(A426&gt;0,COUNTIF('Барабан'!V:V,A426),"")</f>
        <v/>
      </c>
      <c r="M426" s="1" t="str">
        <f t="shared" si="3"/>
        <v/>
      </c>
      <c r="N426" s="1" t="str">
        <f>IFERROR(__xludf.DUMMYFUNCTION("IF(A426&gt;0,MIN(FILTER('Барабан'!AJ:AJ,'Барабан'!K:K=A426)),"""")"),"")</f>
        <v/>
      </c>
      <c r="O426" s="16" t="str">
        <f>IFERROR(__xludf.DUMMYFUNCTION("IF(A426&gt;0,IFERROR(MAX(FILTER('Барабан'!AJ:AJ,'Барабан'!V:V=A426)),""–""),"""")"),"")</f>
        <v/>
      </c>
    </row>
    <row r="427" ht="15.75" customHeight="1">
      <c r="A427" s="1" t="str">
        <f>'Справочник'!E422</f>
        <v/>
      </c>
      <c r="B427" s="2" t="str">
        <f>IF(A427&gt;0,SUMIF('Барабан'!K:K,A427,'Барабан'!I:I),"")</f>
        <v/>
      </c>
      <c r="C427" s="2" t="str">
        <f>IF(A427&gt;0,SUMIF('Барабан'!V:V,A427,'Барабан'!T:T),"")</f>
        <v/>
      </c>
      <c r="D427" s="2" t="str">
        <f>IF(A427&gt;0,SUMIF('Барабан'!K:K,A427,'Барабан'!AG:AG)+SUMIF('Барабан'!V:V,A427,'Барабан'!AG:AG),"")</f>
        <v/>
      </c>
      <c r="E427" s="2" t="str">
        <f t="shared" si="1"/>
        <v/>
      </c>
      <c r="F427" s="2" t="str">
        <f t="array" ref="F427">IFERROR(IF(E427=0,0,INDEX('Справочник'!G:G,MATCH(A427,'Справочник'!F:F,0))))</f>
        <v/>
      </c>
      <c r="G427" s="2" t="str">
        <f>IF(A427&gt;0,SUMIF('Барабан'!K:K,A427,'Барабан'!P:P),"")</f>
        <v/>
      </c>
      <c r="H427" s="2" t="str">
        <f>IF(A427&gt;0,SUMIF('Барабан'!V:V,A427,'Барабан'!AA:AA),"")</f>
        <v/>
      </c>
      <c r="I427" s="2" t="str">
        <f t="shared" si="4"/>
        <v/>
      </c>
      <c r="J427" s="9" t="str">
        <f t="shared" si="2"/>
        <v/>
      </c>
      <c r="K427" s="1" t="str">
        <f>IF(A427&gt;0,COUNTIF('Барабан'!K:K,A427),"")</f>
        <v/>
      </c>
      <c r="L427" s="1" t="str">
        <f>IF(A427&gt;0,COUNTIF('Барабан'!V:V,A427),"")</f>
        <v/>
      </c>
      <c r="M427" s="1" t="str">
        <f t="shared" si="3"/>
        <v/>
      </c>
      <c r="N427" s="1" t="str">
        <f>IFERROR(__xludf.DUMMYFUNCTION("IF(A427&gt;0,MIN(FILTER('Барабан'!AJ:AJ,'Барабан'!K:K=A427)),"""")"),"")</f>
        <v/>
      </c>
      <c r="O427" s="16" t="str">
        <f>IFERROR(__xludf.DUMMYFUNCTION("IF(A427&gt;0,IFERROR(MAX(FILTER('Барабан'!AJ:AJ,'Барабан'!V:V=A427)),""–""),"""")"),"")</f>
        <v/>
      </c>
    </row>
    <row r="428" ht="15.75" customHeight="1">
      <c r="A428" s="1" t="str">
        <f>'Справочник'!E423</f>
        <v/>
      </c>
      <c r="B428" s="2" t="str">
        <f>IF(A428&gt;0,SUMIF('Барабан'!K:K,A428,'Барабан'!I:I),"")</f>
        <v/>
      </c>
      <c r="C428" s="2" t="str">
        <f>IF(A428&gt;0,SUMIF('Барабан'!V:V,A428,'Барабан'!T:T),"")</f>
        <v/>
      </c>
      <c r="D428" s="2" t="str">
        <f>IF(A428&gt;0,SUMIF('Барабан'!K:K,A428,'Барабан'!AG:AG)+SUMIF('Барабан'!V:V,A428,'Барабан'!AG:AG),"")</f>
        <v/>
      </c>
      <c r="E428" s="2" t="str">
        <f t="shared" si="1"/>
        <v/>
      </c>
      <c r="F428" s="2" t="str">
        <f t="array" ref="F428">IFERROR(IF(E428=0,0,INDEX('Справочник'!G:G,MATCH(A428,'Справочник'!F:F,0))))</f>
        <v/>
      </c>
      <c r="G428" s="2" t="str">
        <f>IF(A428&gt;0,SUMIF('Барабан'!K:K,A428,'Барабан'!P:P),"")</f>
        <v/>
      </c>
      <c r="H428" s="2" t="str">
        <f>IF(A428&gt;0,SUMIF('Барабан'!V:V,A428,'Барабан'!AA:AA),"")</f>
        <v/>
      </c>
      <c r="I428" s="2" t="str">
        <f t="shared" si="4"/>
        <v/>
      </c>
      <c r="J428" s="9" t="str">
        <f t="shared" si="2"/>
        <v/>
      </c>
      <c r="K428" s="1" t="str">
        <f>IF(A428&gt;0,COUNTIF('Барабан'!K:K,A428),"")</f>
        <v/>
      </c>
      <c r="L428" s="1" t="str">
        <f>IF(A428&gt;0,COUNTIF('Барабан'!V:V,A428),"")</f>
        <v/>
      </c>
      <c r="M428" s="1" t="str">
        <f t="shared" si="3"/>
        <v/>
      </c>
      <c r="N428" s="1" t="str">
        <f>IFERROR(__xludf.DUMMYFUNCTION("IF(A428&gt;0,MIN(FILTER('Барабан'!AJ:AJ,'Барабан'!K:K=A428)),"""")"),"")</f>
        <v/>
      </c>
      <c r="O428" s="16" t="str">
        <f>IFERROR(__xludf.DUMMYFUNCTION("IF(A428&gt;0,IFERROR(MAX(FILTER('Барабан'!AJ:AJ,'Барабан'!V:V=A428)),""–""),"""")"),"")</f>
        <v/>
      </c>
    </row>
    <row r="429" ht="15.75" customHeight="1">
      <c r="A429" s="1" t="str">
        <f>'Справочник'!E424</f>
        <v/>
      </c>
      <c r="B429" s="2" t="str">
        <f>IF(A429&gt;0,SUMIF('Барабан'!K:K,A429,'Барабан'!I:I),"")</f>
        <v/>
      </c>
      <c r="C429" s="2" t="str">
        <f>IF(A429&gt;0,SUMIF('Барабан'!V:V,A429,'Барабан'!T:T),"")</f>
        <v/>
      </c>
      <c r="D429" s="2" t="str">
        <f>IF(A429&gt;0,SUMIF('Барабан'!K:K,A429,'Барабан'!AG:AG)+SUMIF('Барабан'!V:V,A429,'Барабан'!AG:AG),"")</f>
        <v/>
      </c>
      <c r="E429" s="2" t="str">
        <f t="shared" si="1"/>
        <v/>
      </c>
      <c r="F429" s="2" t="str">
        <f t="array" ref="F429">IFERROR(IF(E429=0,0,INDEX('Справочник'!G:G,MATCH(A429,'Справочник'!F:F,0))))</f>
        <v/>
      </c>
      <c r="G429" s="2" t="str">
        <f>IF(A429&gt;0,SUMIF('Барабан'!K:K,A429,'Барабан'!P:P),"")</f>
        <v/>
      </c>
      <c r="H429" s="2" t="str">
        <f>IF(A429&gt;0,SUMIF('Барабан'!V:V,A429,'Барабан'!AA:AA),"")</f>
        <v/>
      </c>
      <c r="I429" s="2" t="str">
        <f t="shared" si="4"/>
        <v/>
      </c>
      <c r="J429" s="9" t="str">
        <f t="shared" si="2"/>
        <v/>
      </c>
      <c r="K429" s="1" t="str">
        <f>IF(A429&gt;0,COUNTIF('Барабан'!K:K,A429),"")</f>
        <v/>
      </c>
      <c r="L429" s="1" t="str">
        <f>IF(A429&gt;0,COUNTIF('Барабан'!V:V,A429),"")</f>
        <v/>
      </c>
      <c r="M429" s="1" t="str">
        <f t="shared" si="3"/>
        <v/>
      </c>
      <c r="N429" s="1" t="str">
        <f>IFERROR(__xludf.DUMMYFUNCTION("IF(A429&gt;0,MIN(FILTER('Барабан'!AJ:AJ,'Барабан'!K:K=A429)),"""")"),"")</f>
        <v/>
      </c>
      <c r="O429" s="16" t="str">
        <f>IFERROR(__xludf.DUMMYFUNCTION("IF(A429&gt;0,IFERROR(MAX(FILTER('Барабан'!AJ:AJ,'Барабан'!V:V=A429)),""–""),"""")"),"")</f>
        <v/>
      </c>
    </row>
    <row r="430" ht="15.75" customHeight="1">
      <c r="A430" s="1" t="str">
        <f>'Справочник'!E425</f>
        <v/>
      </c>
      <c r="B430" s="2" t="str">
        <f>IF(A430&gt;0,SUMIF('Барабан'!K:K,A430,'Барабан'!I:I),"")</f>
        <v/>
      </c>
      <c r="C430" s="2" t="str">
        <f>IF(A430&gt;0,SUMIF('Барабан'!V:V,A430,'Барабан'!T:T),"")</f>
        <v/>
      </c>
      <c r="D430" s="2" t="str">
        <f>IF(A430&gt;0,SUMIF('Барабан'!K:K,A430,'Барабан'!AG:AG)+SUMIF('Барабан'!V:V,A430,'Барабан'!AG:AG),"")</f>
        <v/>
      </c>
      <c r="E430" s="2" t="str">
        <f t="shared" si="1"/>
        <v/>
      </c>
      <c r="F430" s="2" t="str">
        <f t="array" ref="F430">IFERROR(IF(E430=0,0,INDEX('Справочник'!G:G,MATCH(A430,'Справочник'!F:F,0))))</f>
        <v/>
      </c>
      <c r="G430" s="2" t="str">
        <f>IF(A430&gt;0,SUMIF('Барабан'!K:K,A430,'Барабан'!P:P),"")</f>
        <v/>
      </c>
      <c r="H430" s="2" t="str">
        <f>IF(A430&gt;0,SUMIF('Барабан'!V:V,A430,'Барабан'!AA:AA),"")</f>
        <v/>
      </c>
      <c r="I430" s="2" t="str">
        <f t="shared" si="4"/>
        <v/>
      </c>
      <c r="J430" s="9" t="str">
        <f t="shared" si="2"/>
        <v/>
      </c>
      <c r="K430" s="1" t="str">
        <f>IF(A430&gt;0,COUNTIF('Барабан'!K:K,A430),"")</f>
        <v/>
      </c>
      <c r="L430" s="1" t="str">
        <f>IF(A430&gt;0,COUNTIF('Барабан'!V:V,A430),"")</f>
        <v/>
      </c>
      <c r="M430" s="1" t="str">
        <f t="shared" si="3"/>
        <v/>
      </c>
      <c r="N430" s="1" t="str">
        <f>IFERROR(__xludf.DUMMYFUNCTION("IF(A430&gt;0,MIN(FILTER('Барабан'!AJ:AJ,'Барабан'!K:K=A430)),"""")"),"")</f>
        <v/>
      </c>
      <c r="O430" s="16" t="str">
        <f>IFERROR(__xludf.DUMMYFUNCTION("IF(A430&gt;0,IFERROR(MAX(FILTER('Барабан'!AJ:AJ,'Барабан'!V:V=A430)),""–""),"""")"),"")</f>
        <v/>
      </c>
    </row>
    <row r="431" ht="15.75" customHeight="1">
      <c r="A431" s="1" t="str">
        <f>'Справочник'!E426</f>
        <v/>
      </c>
      <c r="B431" s="2" t="str">
        <f>IF(A431&gt;0,SUMIF('Барабан'!K:K,A431,'Барабан'!I:I),"")</f>
        <v/>
      </c>
      <c r="C431" s="2" t="str">
        <f>IF(A431&gt;0,SUMIF('Барабан'!V:V,A431,'Барабан'!T:T),"")</f>
        <v/>
      </c>
      <c r="D431" s="2" t="str">
        <f>IF(A431&gt;0,SUMIF('Барабан'!K:K,A431,'Барабан'!AG:AG)+SUMIF('Барабан'!V:V,A431,'Барабан'!AG:AG),"")</f>
        <v/>
      </c>
      <c r="E431" s="2" t="str">
        <f t="shared" si="1"/>
        <v/>
      </c>
      <c r="F431" s="2" t="str">
        <f t="array" ref="F431">IFERROR(IF(E431=0,0,INDEX('Справочник'!G:G,MATCH(A431,'Справочник'!F:F,0))))</f>
        <v/>
      </c>
      <c r="G431" s="2" t="str">
        <f>IF(A431&gt;0,SUMIF('Барабан'!K:K,A431,'Барабан'!P:P),"")</f>
        <v/>
      </c>
      <c r="H431" s="2" t="str">
        <f>IF(A431&gt;0,SUMIF('Барабан'!V:V,A431,'Барабан'!AA:AA),"")</f>
        <v/>
      </c>
      <c r="I431" s="2" t="str">
        <f t="shared" si="4"/>
        <v/>
      </c>
      <c r="J431" s="9" t="str">
        <f t="shared" si="2"/>
        <v/>
      </c>
      <c r="K431" s="1" t="str">
        <f>IF(A431&gt;0,COUNTIF('Барабан'!K:K,A431),"")</f>
        <v/>
      </c>
      <c r="L431" s="1" t="str">
        <f>IF(A431&gt;0,COUNTIF('Барабан'!V:V,A431),"")</f>
        <v/>
      </c>
      <c r="M431" s="1" t="str">
        <f t="shared" si="3"/>
        <v/>
      </c>
      <c r="N431" s="1" t="str">
        <f>IFERROR(__xludf.DUMMYFUNCTION("IF(A431&gt;0,MIN(FILTER('Барабан'!AJ:AJ,'Барабан'!K:K=A431)),"""")"),"")</f>
        <v/>
      </c>
      <c r="O431" s="16" t="str">
        <f>IFERROR(__xludf.DUMMYFUNCTION("IF(A431&gt;0,IFERROR(MAX(FILTER('Барабан'!AJ:AJ,'Барабан'!V:V=A431)),""–""),"""")"),"")</f>
        <v/>
      </c>
    </row>
    <row r="432" ht="15.75" customHeight="1">
      <c r="A432" s="1" t="str">
        <f>'Справочник'!E427</f>
        <v/>
      </c>
      <c r="B432" s="2" t="str">
        <f>IF(A432&gt;0,SUMIF('Барабан'!K:K,A432,'Барабан'!I:I),"")</f>
        <v/>
      </c>
      <c r="C432" s="2" t="str">
        <f>IF(A432&gt;0,SUMIF('Барабан'!V:V,A432,'Барабан'!T:T),"")</f>
        <v/>
      </c>
      <c r="D432" s="2" t="str">
        <f>IF(A432&gt;0,SUMIF('Барабан'!K:K,A432,'Барабан'!AG:AG)+SUMIF('Барабан'!V:V,A432,'Барабан'!AG:AG),"")</f>
        <v/>
      </c>
      <c r="E432" s="2" t="str">
        <f t="shared" si="1"/>
        <v/>
      </c>
      <c r="F432" s="2" t="str">
        <f t="array" ref="F432">IFERROR(IF(E432=0,0,INDEX('Справочник'!G:G,MATCH(A432,'Справочник'!F:F,0))))</f>
        <v/>
      </c>
      <c r="G432" s="2" t="str">
        <f>IF(A432&gt;0,SUMIF('Барабан'!K:K,A432,'Барабан'!P:P),"")</f>
        <v/>
      </c>
      <c r="H432" s="2" t="str">
        <f>IF(A432&gt;0,SUMIF('Барабан'!V:V,A432,'Барабан'!AA:AA),"")</f>
        <v/>
      </c>
      <c r="I432" s="2" t="str">
        <f t="shared" si="4"/>
        <v/>
      </c>
      <c r="J432" s="9" t="str">
        <f t="shared" si="2"/>
        <v/>
      </c>
      <c r="K432" s="1" t="str">
        <f>IF(A432&gt;0,COUNTIF('Барабан'!K:K,A432),"")</f>
        <v/>
      </c>
      <c r="L432" s="1" t="str">
        <f>IF(A432&gt;0,COUNTIF('Барабан'!V:V,A432),"")</f>
        <v/>
      </c>
      <c r="M432" s="1" t="str">
        <f t="shared" si="3"/>
        <v/>
      </c>
      <c r="N432" s="1" t="str">
        <f>IFERROR(__xludf.DUMMYFUNCTION("IF(A432&gt;0,MIN(FILTER('Барабан'!AJ:AJ,'Барабан'!K:K=A432)),"""")"),"")</f>
        <v/>
      </c>
      <c r="O432" s="16" t="str">
        <f>IFERROR(__xludf.DUMMYFUNCTION("IF(A432&gt;0,IFERROR(MAX(FILTER('Барабан'!AJ:AJ,'Барабан'!V:V=A432)),""–""),"""")"),"")</f>
        <v/>
      </c>
    </row>
    <row r="433" ht="15.75" customHeight="1">
      <c r="A433" s="1" t="str">
        <f>'Справочник'!E428</f>
        <v/>
      </c>
      <c r="B433" s="2" t="str">
        <f>IF(A433&gt;0,SUMIF('Барабан'!K:K,A433,'Барабан'!I:I),"")</f>
        <v/>
      </c>
      <c r="C433" s="2" t="str">
        <f>IF(A433&gt;0,SUMIF('Барабан'!V:V,A433,'Барабан'!T:T),"")</f>
        <v/>
      </c>
      <c r="D433" s="2" t="str">
        <f>IF(A433&gt;0,SUMIF('Барабан'!K:K,A433,'Барабан'!AG:AG)+SUMIF('Барабан'!V:V,A433,'Барабан'!AG:AG),"")</f>
        <v/>
      </c>
      <c r="E433" s="2" t="str">
        <f t="shared" si="1"/>
        <v/>
      </c>
      <c r="F433" s="2" t="str">
        <f t="array" ref="F433">IFERROR(IF(E433=0,0,INDEX('Справочник'!G:G,MATCH(A433,'Справочник'!F:F,0))))</f>
        <v/>
      </c>
      <c r="G433" s="2" t="str">
        <f>IF(A433&gt;0,SUMIF('Барабан'!K:K,A433,'Барабан'!P:P),"")</f>
        <v/>
      </c>
      <c r="H433" s="2" t="str">
        <f>IF(A433&gt;0,SUMIF('Барабан'!V:V,A433,'Барабан'!AA:AA),"")</f>
        <v/>
      </c>
      <c r="I433" s="2" t="str">
        <f t="shared" si="4"/>
        <v/>
      </c>
      <c r="J433" s="9" t="str">
        <f t="shared" si="2"/>
        <v/>
      </c>
      <c r="K433" s="1" t="str">
        <f>IF(A433&gt;0,COUNTIF('Барабан'!K:K,A433),"")</f>
        <v/>
      </c>
      <c r="L433" s="1" t="str">
        <f>IF(A433&gt;0,COUNTIF('Барабан'!V:V,A433),"")</f>
        <v/>
      </c>
      <c r="M433" s="1" t="str">
        <f t="shared" si="3"/>
        <v/>
      </c>
      <c r="N433" s="1" t="str">
        <f>IFERROR(__xludf.DUMMYFUNCTION("IF(A433&gt;0,MIN(FILTER('Барабан'!AJ:AJ,'Барабан'!K:K=A433)),"""")"),"")</f>
        <v/>
      </c>
      <c r="O433" s="16" t="str">
        <f>IFERROR(__xludf.DUMMYFUNCTION("IF(A433&gt;0,IFERROR(MAX(FILTER('Барабан'!AJ:AJ,'Барабан'!V:V=A433)),""–""),"""")"),"")</f>
        <v/>
      </c>
    </row>
    <row r="434" ht="15.75" customHeight="1">
      <c r="A434" s="1" t="str">
        <f>'Справочник'!E429</f>
        <v/>
      </c>
      <c r="B434" s="2" t="str">
        <f>IF(A434&gt;0,SUMIF('Барабан'!K:K,A434,'Барабан'!I:I),"")</f>
        <v/>
      </c>
      <c r="C434" s="2" t="str">
        <f>IF(A434&gt;0,SUMIF('Барабан'!V:V,A434,'Барабан'!T:T),"")</f>
        <v/>
      </c>
      <c r="D434" s="2" t="str">
        <f>IF(A434&gt;0,SUMIF('Барабан'!K:K,A434,'Барабан'!AG:AG)+SUMIF('Барабан'!V:V,A434,'Барабан'!AG:AG),"")</f>
        <v/>
      </c>
      <c r="E434" s="2" t="str">
        <f t="shared" si="1"/>
        <v/>
      </c>
      <c r="F434" s="2" t="str">
        <f t="array" ref="F434">IFERROR(IF(E434=0,0,INDEX('Справочник'!G:G,MATCH(A434,'Справочник'!F:F,0))))</f>
        <v/>
      </c>
      <c r="G434" s="2" t="str">
        <f>IF(A434&gt;0,SUMIF('Барабан'!K:K,A434,'Барабан'!P:P),"")</f>
        <v/>
      </c>
      <c r="H434" s="2" t="str">
        <f>IF(A434&gt;0,SUMIF('Барабан'!V:V,A434,'Барабан'!AA:AA),"")</f>
        <v/>
      </c>
      <c r="I434" s="2" t="str">
        <f t="shared" si="4"/>
        <v/>
      </c>
      <c r="J434" s="9" t="str">
        <f t="shared" si="2"/>
        <v/>
      </c>
      <c r="K434" s="1" t="str">
        <f>IF(A434&gt;0,COUNTIF('Барабан'!K:K,A434),"")</f>
        <v/>
      </c>
      <c r="L434" s="1" t="str">
        <f>IF(A434&gt;0,COUNTIF('Барабан'!V:V,A434),"")</f>
        <v/>
      </c>
      <c r="M434" s="1" t="str">
        <f t="shared" si="3"/>
        <v/>
      </c>
      <c r="N434" s="1" t="str">
        <f>IFERROR(__xludf.DUMMYFUNCTION("IF(A434&gt;0,MIN(FILTER('Барабан'!AJ:AJ,'Барабан'!K:K=A434)),"""")"),"")</f>
        <v/>
      </c>
      <c r="O434" s="16" t="str">
        <f>IFERROR(__xludf.DUMMYFUNCTION("IF(A434&gt;0,IFERROR(MAX(FILTER('Барабан'!AJ:AJ,'Барабан'!V:V=A434)),""–""),"""")"),"")</f>
        <v/>
      </c>
    </row>
    <row r="435" ht="15.75" customHeight="1">
      <c r="A435" s="1" t="str">
        <f>'Справочник'!E430</f>
        <v/>
      </c>
      <c r="B435" s="2" t="str">
        <f>IF(A435&gt;0,SUMIF('Барабан'!K:K,A435,'Барабан'!I:I),"")</f>
        <v/>
      </c>
      <c r="C435" s="2" t="str">
        <f>IF(A435&gt;0,SUMIF('Барабан'!V:V,A435,'Барабан'!T:T),"")</f>
        <v/>
      </c>
      <c r="D435" s="2" t="str">
        <f>IF(A435&gt;0,SUMIF('Барабан'!K:K,A435,'Барабан'!AG:AG)+SUMIF('Барабан'!V:V,A435,'Барабан'!AG:AG),"")</f>
        <v/>
      </c>
      <c r="E435" s="2" t="str">
        <f t="shared" si="1"/>
        <v/>
      </c>
      <c r="F435" s="2" t="str">
        <f t="array" ref="F435">IFERROR(IF(E435=0,0,INDEX('Справочник'!G:G,MATCH(A435,'Справочник'!F:F,0))))</f>
        <v/>
      </c>
      <c r="G435" s="2" t="str">
        <f>IF(A435&gt;0,SUMIF('Барабан'!K:K,A435,'Барабан'!P:P),"")</f>
        <v/>
      </c>
      <c r="H435" s="2" t="str">
        <f>IF(A435&gt;0,SUMIF('Барабан'!V:V,A435,'Барабан'!AA:AA),"")</f>
        <v/>
      </c>
      <c r="I435" s="2" t="str">
        <f t="shared" si="4"/>
        <v/>
      </c>
      <c r="J435" s="9" t="str">
        <f t="shared" si="2"/>
        <v/>
      </c>
      <c r="K435" s="1" t="str">
        <f>IF(A435&gt;0,COUNTIF('Барабан'!K:K,A435),"")</f>
        <v/>
      </c>
      <c r="L435" s="1" t="str">
        <f>IF(A435&gt;0,COUNTIF('Барабан'!V:V,A435),"")</f>
        <v/>
      </c>
      <c r="M435" s="1" t="str">
        <f t="shared" si="3"/>
        <v/>
      </c>
      <c r="N435" s="1" t="str">
        <f>IFERROR(__xludf.DUMMYFUNCTION("IF(A435&gt;0,MIN(FILTER('Барабан'!AJ:AJ,'Барабан'!K:K=A435)),"""")"),"")</f>
        <v/>
      </c>
      <c r="O435" s="16" t="str">
        <f>IFERROR(__xludf.DUMMYFUNCTION("IF(A435&gt;0,IFERROR(MAX(FILTER('Барабан'!AJ:AJ,'Барабан'!V:V=A435)),""–""),"""")"),"")</f>
        <v/>
      </c>
    </row>
    <row r="436" ht="15.75" customHeight="1">
      <c r="A436" s="1" t="str">
        <f>'Справочник'!E431</f>
        <v/>
      </c>
      <c r="B436" s="2" t="str">
        <f>IF(A436&gt;0,SUMIF('Барабан'!K:K,A436,'Барабан'!I:I),"")</f>
        <v/>
      </c>
      <c r="C436" s="2" t="str">
        <f>IF(A436&gt;0,SUMIF('Барабан'!V:V,A436,'Барабан'!T:T),"")</f>
        <v/>
      </c>
      <c r="D436" s="2" t="str">
        <f>IF(A436&gt;0,SUMIF('Барабан'!K:K,A436,'Барабан'!AG:AG)+SUMIF('Барабан'!V:V,A436,'Барабан'!AG:AG),"")</f>
        <v/>
      </c>
      <c r="E436" s="2" t="str">
        <f t="shared" si="1"/>
        <v/>
      </c>
      <c r="F436" s="2" t="str">
        <f t="array" ref="F436">IFERROR(IF(E436=0,0,INDEX('Справочник'!G:G,MATCH(A436,'Справочник'!F:F,0))))</f>
        <v/>
      </c>
      <c r="G436" s="2" t="str">
        <f>IF(A436&gt;0,SUMIF('Барабан'!K:K,A436,'Барабан'!P:P),"")</f>
        <v/>
      </c>
      <c r="H436" s="2" t="str">
        <f>IF(A436&gt;0,SUMIF('Барабан'!V:V,A436,'Барабан'!AA:AA),"")</f>
        <v/>
      </c>
      <c r="I436" s="2" t="str">
        <f t="shared" si="4"/>
        <v/>
      </c>
      <c r="J436" s="9" t="str">
        <f t="shared" si="2"/>
        <v/>
      </c>
      <c r="K436" s="1" t="str">
        <f>IF(A436&gt;0,COUNTIF('Барабан'!K:K,A436),"")</f>
        <v/>
      </c>
      <c r="L436" s="1" t="str">
        <f>IF(A436&gt;0,COUNTIF('Барабан'!V:V,A436),"")</f>
        <v/>
      </c>
      <c r="M436" s="1" t="str">
        <f t="shared" si="3"/>
        <v/>
      </c>
      <c r="N436" s="1" t="str">
        <f>IFERROR(__xludf.DUMMYFUNCTION("IF(A436&gt;0,MIN(FILTER('Барабан'!AJ:AJ,'Барабан'!K:K=A436)),"""")"),"")</f>
        <v/>
      </c>
      <c r="O436" s="16" t="str">
        <f>IFERROR(__xludf.DUMMYFUNCTION("IF(A436&gt;0,IFERROR(MAX(FILTER('Барабан'!AJ:AJ,'Барабан'!V:V=A436)),""–""),"""")"),"")</f>
        <v/>
      </c>
    </row>
    <row r="437" ht="15.75" customHeight="1">
      <c r="A437" s="1" t="str">
        <f>'Справочник'!E432</f>
        <v/>
      </c>
      <c r="B437" s="2" t="str">
        <f>IF(A437&gt;0,SUMIF('Барабан'!K:K,A437,'Барабан'!I:I),"")</f>
        <v/>
      </c>
      <c r="C437" s="2" t="str">
        <f>IF(A437&gt;0,SUMIF('Барабан'!V:V,A437,'Барабан'!T:T),"")</f>
        <v/>
      </c>
      <c r="D437" s="2" t="str">
        <f>IF(A437&gt;0,SUMIF('Барабан'!K:K,A437,'Барабан'!AG:AG)+SUMIF('Барабан'!V:V,A437,'Барабан'!AG:AG),"")</f>
        <v/>
      </c>
      <c r="E437" s="2" t="str">
        <f t="shared" si="1"/>
        <v/>
      </c>
      <c r="F437" s="2" t="str">
        <f t="array" ref="F437">IFERROR(IF(E437=0,0,INDEX('Справочник'!G:G,MATCH(A437,'Справочник'!F:F,0))))</f>
        <v/>
      </c>
      <c r="G437" s="2" t="str">
        <f>IF(A437&gt;0,SUMIF('Барабан'!K:K,A437,'Барабан'!P:P),"")</f>
        <v/>
      </c>
      <c r="H437" s="2" t="str">
        <f>IF(A437&gt;0,SUMIF('Барабан'!V:V,A437,'Барабан'!AA:AA),"")</f>
        <v/>
      </c>
      <c r="I437" s="2" t="str">
        <f t="shared" si="4"/>
        <v/>
      </c>
      <c r="J437" s="9" t="str">
        <f t="shared" si="2"/>
        <v/>
      </c>
      <c r="K437" s="1" t="str">
        <f>IF(A437&gt;0,COUNTIF('Барабан'!K:K,A437),"")</f>
        <v/>
      </c>
      <c r="L437" s="1" t="str">
        <f>IF(A437&gt;0,COUNTIF('Барабан'!V:V,A437),"")</f>
        <v/>
      </c>
      <c r="M437" s="1" t="str">
        <f t="shared" si="3"/>
        <v/>
      </c>
      <c r="N437" s="1" t="str">
        <f>IFERROR(__xludf.DUMMYFUNCTION("IF(A437&gt;0,MIN(FILTER('Барабан'!AJ:AJ,'Барабан'!K:K=A437)),"""")"),"")</f>
        <v/>
      </c>
      <c r="O437" s="16" t="str">
        <f>IFERROR(__xludf.DUMMYFUNCTION("IF(A437&gt;0,IFERROR(MAX(FILTER('Барабан'!AJ:AJ,'Барабан'!V:V=A437)),""–""),"""")"),"")</f>
        <v/>
      </c>
    </row>
    <row r="438" ht="15.75" customHeight="1">
      <c r="A438" s="1" t="str">
        <f>'Справочник'!E433</f>
        <v/>
      </c>
      <c r="B438" s="2" t="str">
        <f>IF(A438&gt;0,SUMIF('Барабан'!K:K,A438,'Барабан'!I:I),"")</f>
        <v/>
      </c>
      <c r="C438" s="2" t="str">
        <f>IF(A438&gt;0,SUMIF('Барабан'!V:V,A438,'Барабан'!T:T),"")</f>
        <v/>
      </c>
      <c r="D438" s="2" t="str">
        <f>IF(A438&gt;0,SUMIF('Барабан'!K:K,A438,'Барабан'!AG:AG)+SUMIF('Барабан'!V:V,A438,'Барабан'!AG:AG),"")</f>
        <v/>
      </c>
      <c r="E438" s="2" t="str">
        <f t="shared" si="1"/>
        <v/>
      </c>
      <c r="F438" s="2" t="str">
        <f t="array" ref="F438">IFERROR(IF(E438=0,0,INDEX('Справочник'!G:G,MATCH(A438,'Справочник'!F:F,0))))</f>
        <v/>
      </c>
      <c r="G438" s="2" t="str">
        <f>IF(A438&gt;0,SUMIF('Барабан'!K:K,A438,'Барабан'!P:P),"")</f>
        <v/>
      </c>
      <c r="H438" s="2" t="str">
        <f>IF(A438&gt;0,SUMIF('Барабан'!V:V,A438,'Барабан'!AA:AA),"")</f>
        <v/>
      </c>
      <c r="I438" s="2" t="str">
        <f t="shared" si="4"/>
        <v/>
      </c>
      <c r="J438" s="9" t="str">
        <f t="shared" si="2"/>
        <v/>
      </c>
      <c r="K438" s="1" t="str">
        <f>IF(A438&gt;0,COUNTIF('Барабан'!K:K,A438),"")</f>
        <v/>
      </c>
      <c r="L438" s="1" t="str">
        <f>IF(A438&gt;0,COUNTIF('Барабан'!V:V,A438),"")</f>
        <v/>
      </c>
      <c r="M438" s="1" t="str">
        <f t="shared" si="3"/>
        <v/>
      </c>
      <c r="N438" s="1" t="str">
        <f>IFERROR(__xludf.DUMMYFUNCTION("IF(A438&gt;0,MIN(FILTER('Барабан'!AJ:AJ,'Барабан'!K:K=A438)),"""")"),"")</f>
        <v/>
      </c>
      <c r="O438" s="16" t="str">
        <f>IFERROR(__xludf.DUMMYFUNCTION("IF(A438&gt;0,IFERROR(MAX(FILTER('Барабан'!AJ:AJ,'Барабан'!V:V=A438)),""–""),"""")"),"")</f>
        <v/>
      </c>
    </row>
    <row r="439" ht="15.75" customHeight="1">
      <c r="A439" s="1" t="str">
        <f>'Справочник'!E434</f>
        <v/>
      </c>
      <c r="B439" s="2" t="str">
        <f>IF(A439&gt;0,SUMIF('Барабан'!K:K,A439,'Барабан'!I:I),"")</f>
        <v/>
      </c>
      <c r="C439" s="2" t="str">
        <f>IF(A439&gt;0,SUMIF('Барабан'!V:V,A439,'Барабан'!T:T),"")</f>
        <v/>
      </c>
      <c r="D439" s="2" t="str">
        <f>IF(A439&gt;0,SUMIF('Барабан'!K:K,A439,'Барабан'!AG:AG)+SUMIF('Барабан'!V:V,A439,'Барабан'!AG:AG),"")</f>
        <v/>
      </c>
      <c r="E439" s="2" t="str">
        <f t="shared" si="1"/>
        <v/>
      </c>
      <c r="F439" s="2" t="str">
        <f t="array" ref="F439">IFERROR(IF(E439=0,0,INDEX('Справочник'!G:G,MATCH(A439,'Справочник'!F:F,0))))</f>
        <v/>
      </c>
      <c r="G439" s="2" t="str">
        <f>IF(A439&gt;0,SUMIF('Барабан'!K:K,A439,'Барабан'!P:P),"")</f>
        <v/>
      </c>
      <c r="H439" s="2" t="str">
        <f>IF(A439&gt;0,SUMIF('Барабан'!V:V,A439,'Барабан'!AA:AA),"")</f>
        <v/>
      </c>
      <c r="I439" s="2" t="str">
        <f t="shared" si="4"/>
        <v/>
      </c>
      <c r="J439" s="9" t="str">
        <f t="shared" si="2"/>
        <v/>
      </c>
      <c r="K439" s="1" t="str">
        <f>IF(A439&gt;0,COUNTIF('Барабан'!K:K,A439),"")</f>
        <v/>
      </c>
      <c r="L439" s="1" t="str">
        <f>IF(A439&gt;0,COUNTIF('Барабан'!V:V,A439),"")</f>
        <v/>
      </c>
      <c r="M439" s="1" t="str">
        <f t="shared" si="3"/>
        <v/>
      </c>
      <c r="N439" s="1" t="str">
        <f>IFERROR(__xludf.DUMMYFUNCTION("IF(A439&gt;0,MIN(FILTER('Барабан'!AJ:AJ,'Барабан'!K:K=A439)),"""")"),"")</f>
        <v/>
      </c>
      <c r="O439" s="16" t="str">
        <f>IFERROR(__xludf.DUMMYFUNCTION("IF(A439&gt;0,IFERROR(MAX(FILTER('Барабан'!AJ:AJ,'Барабан'!V:V=A439)),""–""),"""")"),"")</f>
        <v/>
      </c>
    </row>
    <row r="440" ht="15.75" customHeight="1">
      <c r="A440" s="1" t="str">
        <f>'Справочник'!E435</f>
        <v/>
      </c>
      <c r="B440" s="2" t="str">
        <f>IF(A440&gt;0,SUMIF('Барабан'!K:K,A440,'Барабан'!I:I),"")</f>
        <v/>
      </c>
      <c r="C440" s="2" t="str">
        <f>IF(A440&gt;0,SUMIF('Барабан'!V:V,A440,'Барабан'!T:T),"")</f>
        <v/>
      </c>
      <c r="D440" s="2" t="str">
        <f>IF(A440&gt;0,SUMIF('Барабан'!K:K,A440,'Барабан'!AG:AG)+SUMIF('Барабан'!V:V,A440,'Барабан'!AG:AG),"")</f>
        <v/>
      </c>
      <c r="E440" s="2" t="str">
        <f t="shared" si="1"/>
        <v/>
      </c>
      <c r="F440" s="2" t="str">
        <f t="array" ref="F440">IFERROR(IF(E440=0,0,INDEX('Справочник'!G:G,MATCH(A440,'Справочник'!F:F,0))))</f>
        <v/>
      </c>
      <c r="G440" s="2" t="str">
        <f>IF(A440&gt;0,SUMIF('Барабан'!K:K,A440,'Барабан'!P:P),"")</f>
        <v/>
      </c>
      <c r="H440" s="2" t="str">
        <f>IF(A440&gt;0,SUMIF('Барабан'!V:V,A440,'Барабан'!AA:AA),"")</f>
        <v/>
      </c>
      <c r="I440" s="2" t="str">
        <f t="shared" si="4"/>
        <v/>
      </c>
      <c r="J440" s="9" t="str">
        <f t="shared" si="2"/>
        <v/>
      </c>
      <c r="K440" s="1" t="str">
        <f>IF(A440&gt;0,COUNTIF('Барабан'!K:K,A440),"")</f>
        <v/>
      </c>
      <c r="L440" s="1" t="str">
        <f>IF(A440&gt;0,COUNTIF('Барабан'!V:V,A440),"")</f>
        <v/>
      </c>
      <c r="M440" s="1" t="str">
        <f t="shared" si="3"/>
        <v/>
      </c>
      <c r="N440" s="1" t="str">
        <f>IFERROR(__xludf.DUMMYFUNCTION("IF(A440&gt;0,MIN(FILTER('Барабан'!AJ:AJ,'Барабан'!K:K=A440)),"""")"),"")</f>
        <v/>
      </c>
      <c r="O440" s="16" t="str">
        <f>IFERROR(__xludf.DUMMYFUNCTION("IF(A440&gt;0,IFERROR(MAX(FILTER('Барабан'!AJ:AJ,'Барабан'!V:V=A440)),""–""),"""")"),"")</f>
        <v/>
      </c>
    </row>
    <row r="441" ht="15.75" customHeight="1">
      <c r="A441" s="1" t="str">
        <f>'Справочник'!E436</f>
        <v/>
      </c>
      <c r="B441" s="2" t="str">
        <f>IF(A441&gt;0,SUMIF('Барабан'!K:K,A441,'Барабан'!I:I),"")</f>
        <v/>
      </c>
      <c r="C441" s="2" t="str">
        <f>IF(A441&gt;0,SUMIF('Барабан'!V:V,A441,'Барабан'!T:T),"")</f>
        <v/>
      </c>
      <c r="D441" s="2" t="str">
        <f>IF(A441&gt;0,SUMIF('Барабан'!K:K,A441,'Барабан'!AG:AG)+SUMIF('Барабан'!V:V,A441,'Барабан'!AG:AG),"")</f>
        <v/>
      </c>
      <c r="E441" s="2" t="str">
        <f t="shared" si="1"/>
        <v/>
      </c>
      <c r="F441" s="2" t="str">
        <f t="array" ref="F441">IFERROR(IF(E441=0,0,INDEX('Справочник'!G:G,MATCH(A441,'Справочник'!F:F,0))))</f>
        <v/>
      </c>
      <c r="G441" s="2" t="str">
        <f>IF(A441&gt;0,SUMIF('Барабан'!K:K,A441,'Барабан'!P:P),"")</f>
        <v/>
      </c>
      <c r="H441" s="2" t="str">
        <f>IF(A441&gt;0,SUMIF('Барабан'!V:V,A441,'Барабан'!AA:AA),"")</f>
        <v/>
      </c>
      <c r="I441" s="2" t="str">
        <f t="shared" si="4"/>
        <v/>
      </c>
      <c r="J441" s="9" t="str">
        <f t="shared" si="2"/>
        <v/>
      </c>
      <c r="K441" s="1" t="str">
        <f>IF(A441&gt;0,COUNTIF('Барабан'!K:K,A441),"")</f>
        <v/>
      </c>
      <c r="L441" s="1" t="str">
        <f>IF(A441&gt;0,COUNTIF('Барабан'!V:V,A441),"")</f>
        <v/>
      </c>
      <c r="M441" s="1" t="str">
        <f t="shared" si="3"/>
        <v/>
      </c>
      <c r="N441" s="1" t="str">
        <f>IFERROR(__xludf.DUMMYFUNCTION("IF(A441&gt;0,MIN(FILTER('Барабан'!AJ:AJ,'Барабан'!K:K=A441)),"""")"),"")</f>
        <v/>
      </c>
      <c r="O441" s="16" t="str">
        <f>IFERROR(__xludf.DUMMYFUNCTION("IF(A441&gt;0,IFERROR(MAX(FILTER('Барабан'!AJ:AJ,'Барабан'!V:V=A441)),""–""),"""")"),"")</f>
        <v/>
      </c>
    </row>
    <row r="442" ht="15.75" customHeight="1">
      <c r="A442" s="1" t="str">
        <f>'Справочник'!E437</f>
        <v/>
      </c>
      <c r="B442" s="2" t="str">
        <f>IF(A442&gt;0,SUMIF('Барабан'!K:K,A442,'Барабан'!I:I),"")</f>
        <v/>
      </c>
      <c r="C442" s="2" t="str">
        <f>IF(A442&gt;0,SUMIF('Барабан'!V:V,A442,'Барабан'!T:T),"")</f>
        <v/>
      </c>
      <c r="D442" s="2" t="str">
        <f>IF(A442&gt;0,SUMIF('Барабан'!K:K,A442,'Барабан'!AG:AG)+SUMIF('Барабан'!V:V,A442,'Барабан'!AG:AG),"")</f>
        <v/>
      </c>
      <c r="E442" s="2" t="str">
        <f t="shared" si="1"/>
        <v/>
      </c>
      <c r="F442" s="2" t="str">
        <f t="array" ref="F442">IFERROR(IF(E442=0,0,INDEX('Справочник'!G:G,MATCH(A442,'Справочник'!F:F,0))))</f>
        <v/>
      </c>
      <c r="G442" s="2" t="str">
        <f>IF(A442&gt;0,SUMIF('Барабан'!K:K,A442,'Барабан'!P:P),"")</f>
        <v/>
      </c>
      <c r="H442" s="2" t="str">
        <f>IF(A442&gt;0,SUMIF('Барабан'!V:V,A442,'Барабан'!AA:AA),"")</f>
        <v/>
      </c>
      <c r="I442" s="2" t="str">
        <f t="shared" si="4"/>
        <v/>
      </c>
      <c r="J442" s="9" t="str">
        <f t="shared" si="2"/>
        <v/>
      </c>
      <c r="K442" s="1" t="str">
        <f>IF(A442&gt;0,COUNTIF('Барабан'!K:K,A442),"")</f>
        <v/>
      </c>
      <c r="L442" s="1" t="str">
        <f>IF(A442&gt;0,COUNTIF('Барабан'!V:V,A442),"")</f>
        <v/>
      </c>
      <c r="M442" s="1" t="str">
        <f t="shared" si="3"/>
        <v/>
      </c>
      <c r="N442" s="1" t="str">
        <f>IFERROR(__xludf.DUMMYFUNCTION("IF(A442&gt;0,MIN(FILTER('Барабан'!AJ:AJ,'Барабан'!K:K=A442)),"""")"),"")</f>
        <v/>
      </c>
      <c r="O442" s="16" t="str">
        <f>IFERROR(__xludf.DUMMYFUNCTION("IF(A442&gt;0,IFERROR(MAX(FILTER('Барабан'!AJ:AJ,'Барабан'!V:V=A442)),""–""),"""")"),"")</f>
        <v/>
      </c>
    </row>
    <row r="443" ht="15.75" customHeight="1">
      <c r="A443" s="1" t="str">
        <f>'Справочник'!E438</f>
        <v/>
      </c>
      <c r="B443" s="2" t="str">
        <f>IF(A443&gt;0,SUMIF('Барабан'!K:K,A443,'Барабан'!I:I),"")</f>
        <v/>
      </c>
      <c r="C443" s="2" t="str">
        <f>IF(A443&gt;0,SUMIF('Барабан'!V:V,A443,'Барабан'!T:T),"")</f>
        <v/>
      </c>
      <c r="D443" s="2" t="str">
        <f>IF(A443&gt;0,SUMIF('Барабан'!K:K,A443,'Барабан'!AG:AG)+SUMIF('Барабан'!V:V,A443,'Барабан'!AG:AG),"")</f>
        <v/>
      </c>
      <c r="E443" s="2" t="str">
        <f t="shared" si="1"/>
        <v/>
      </c>
      <c r="F443" s="2" t="str">
        <f t="array" ref="F443">IFERROR(IF(E443=0,0,INDEX('Справочник'!G:G,MATCH(A443,'Справочник'!F:F,0))))</f>
        <v/>
      </c>
      <c r="G443" s="2" t="str">
        <f>IF(A443&gt;0,SUMIF('Барабан'!K:K,A443,'Барабан'!P:P),"")</f>
        <v/>
      </c>
      <c r="H443" s="2" t="str">
        <f>IF(A443&gt;0,SUMIF('Барабан'!V:V,A443,'Барабан'!AA:AA),"")</f>
        <v/>
      </c>
      <c r="I443" s="2" t="str">
        <f t="shared" si="4"/>
        <v/>
      </c>
      <c r="J443" s="9" t="str">
        <f t="shared" si="2"/>
        <v/>
      </c>
      <c r="K443" s="1" t="str">
        <f>IF(A443&gt;0,COUNTIF('Барабан'!K:K,A443),"")</f>
        <v/>
      </c>
      <c r="L443" s="1" t="str">
        <f>IF(A443&gt;0,COUNTIF('Барабан'!V:V,A443),"")</f>
        <v/>
      </c>
      <c r="M443" s="1" t="str">
        <f t="shared" si="3"/>
        <v/>
      </c>
      <c r="N443" s="1" t="str">
        <f>IFERROR(__xludf.DUMMYFUNCTION("IF(A443&gt;0,MIN(FILTER('Барабан'!AJ:AJ,'Барабан'!K:K=A443)),"""")"),"")</f>
        <v/>
      </c>
      <c r="O443" s="16" t="str">
        <f>IFERROR(__xludf.DUMMYFUNCTION("IF(A443&gt;0,IFERROR(MAX(FILTER('Барабан'!AJ:AJ,'Барабан'!V:V=A443)),""–""),"""")"),"")</f>
        <v/>
      </c>
    </row>
    <row r="444" ht="15.75" customHeight="1">
      <c r="A444" s="1" t="str">
        <f>'Справочник'!E439</f>
        <v/>
      </c>
      <c r="B444" s="2" t="str">
        <f>IF(A444&gt;0,SUMIF('Барабан'!K:K,A444,'Барабан'!I:I),"")</f>
        <v/>
      </c>
      <c r="C444" s="2" t="str">
        <f>IF(A444&gt;0,SUMIF('Барабан'!V:V,A444,'Барабан'!T:T),"")</f>
        <v/>
      </c>
      <c r="D444" s="2" t="str">
        <f>IF(A444&gt;0,SUMIF('Барабан'!K:K,A444,'Барабан'!AG:AG)+SUMIF('Барабан'!V:V,A444,'Барабан'!AG:AG),"")</f>
        <v/>
      </c>
      <c r="E444" s="2" t="str">
        <f t="shared" si="1"/>
        <v/>
      </c>
      <c r="F444" s="2" t="str">
        <f t="array" ref="F444">IFERROR(IF(E444=0,0,INDEX('Справочник'!G:G,MATCH(A444,'Справочник'!F:F,0))))</f>
        <v/>
      </c>
      <c r="G444" s="2" t="str">
        <f>IF(A444&gt;0,SUMIF('Барабан'!K:K,A444,'Барабан'!P:P),"")</f>
        <v/>
      </c>
      <c r="H444" s="2" t="str">
        <f>IF(A444&gt;0,SUMIF('Барабан'!V:V,A444,'Барабан'!AA:AA),"")</f>
        <v/>
      </c>
      <c r="I444" s="2" t="str">
        <f t="shared" si="4"/>
        <v/>
      </c>
      <c r="J444" s="9" t="str">
        <f t="shared" si="2"/>
        <v/>
      </c>
      <c r="K444" s="1" t="str">
        <f>IF(A444&gt;0,COUNTIF('Барабан'!K:K,A444),"")</f>
        <v/>
      </c>
      <c r="L444" s="1" t="str">
        <f>IF(A444&gt;0,COUNTIF('Барабан'!V:V,A444),"")</f>
        <v/>
      </c>
      <c r="M444" s="1" t="str">
        <f t="shared" si="3"/>
        <v/>
      </c>
      <c r="N444" s="1" t="str">
        <f>IFERROR(__xludf.DUMMYFUNCTION("IF(A444&gt;0,MIN(FILTER('Барабан'!AJ:AJ,'Барабан'!K:K=A444)),"""")"),"")</f>
        <v/>
      </c>
      <c r="O444" s="16" t="str">
        <f>IFERROR(__xludf.DUMMYFUNCTION("IF(A444&gt;0,IFERROR(MAX(FILTER('Барабан'!AJ:AJ,'Барабан'!V:V=A444)),""–""),"""")"),"")</f>
        <v/>
      </c>
    </row>
    <row r="445" ht="15.75" customHeight="1">
      <c r="A445" s="1" t="str">
        <f>'Справочник'!E440</f>
        <v/>
      </c>
      <c r="B445" s="2" t="str">
        <f>IF(A445&gt;0,SUMIF('Барабан'!K:K,A445,'Барабан'!I:I),"")</f>
        <v/>
      </c>
      <c r="C445" s="2" t="str">
        <f>IF(A445&gt;0,SUMIF('Барабан'!V:V,A445,'Барабан'!T:T),"")</f>
        <v/>
      </c>
      <c r="D445" s="2" t="str">
        <f>IF(A445&gt;0,SUMIF('Барабан'!K:K,A445,'Барабан'!AG:AG)+SUMIF('Барабан'!V:V,A445,'Барабан'!AG:AG),"")</f>
        <v/>
      </c>
      <c r="E445" s="2" t="str">
        <f t="shared" si="1"/>
        <v/>
      </c>
      <c r="F445" s="2" t="str">
        <f t="array" ref="F445">IFERROR(IF(E445=0,0,INDEX('Справочник'!G:G,MATCH(A445,'Справочник'!F:F,0))))</f>
        <v/>
      </c>
      <c r="G445" s="2" t="str">
        <f>IF(A445&gt;0,SUMIF('Барабан'!K:K,A445,'Барабан'!P:P),"")</f>
        <v/>
      </c>
      <c r="H445" s="2" t="str">
        <f>IF(A445&gt;0,SUMIF('Барабан'!V:V,A445,'Барабан'!AA:AA),"")</f>
        <v/>
      </c>
      <c r="I445" s="2" t="str">
        <f t="shared" si="4"/>
        <v/>
      </c>
      <c r="J445" s="9" t="str">
        <f t="shared" si="2"/>
        <v/>
      </c>
      <c r="K445" s="1" t="str">
        <f>IF(A445&gt;0,COUNTIF('Барабан'!K:K,A445),"")</f>
        <v/>
      </c>
      <c r="L445" s="1" t="str">
        <f>IF(A445&gt;0,COUNTIF('Барабан'!V:V,A445),"")</f>
        <v/>
      </c>
      <c r="M445" s="1" t="str">
        <f t="shared" si="3"/>
        <v/>
      </c>
      <c r="N445" s="1" t="str">
        <f>IFERROR(__xludf.DUMMYFUNCTION("IF(A445&gt;0,MIN(FILTER('Барабан'!AJ:AJ,'Барабан'!K:K=A445)),"""")"),"")</f>
        <v/>
      </c>
      <c r="O445" s="16" t="str">
        <f>IFERROR(__xludf.DUMMYFUNCTION("IF(A445&gt;0,IFERROR(MAX(FILTER('Барабан'!AJ:AJ,'Барабан'!V:V=A445)),""–""),"""")"),"")</f>
        <v/>
      </c>
    </row>
    <row r="446" ht="15.75" customHeight="1">
      <c r="A446" s="1" t="str">
        <f>'Справочник'!E441</f>
        <v/>
      </c>
      <c r="B446" s="2" t="str">
        <f>IF(A446&gt;0,SUMIF('Барабан'!K:K,A446,'Барабан'!I:I),"")</f>
        <v/>
      </c>
      <c r="C446" s="2" t="str">
        <f>IF(A446&gt;0,SUMIF('Барабан'!V:V,A446,'Барабан'!T:T),"")</f>
        <v/>
      </c>
      <c r="D446" s="2" t="str">
        <f>IF(A446&gt;0,SUMIF('Барабан'!K:K,A446,'Барабан'!AG:AG)+SUMIF('Барабан'!V:V,A446,'Барабан'!AG:AG),"")</f>
        <v/>
      </c>
      <c r="E446" s="2" t="str">
        <f t="shared" si="1"/>
        <v/>
      </c>
      <c r="F446" s="2" t="str">
        <f t="array" ref="F446">IFERROR(IF(E446=0,0,INDEX('Справочник'!G:G,MATCH(A446,'Справочник'!F:F,0))))</f>
        <v/>
      </c>
      <c r="G446" s="2" t="str">
        <f>IF(A446&gt;0,SUMIF('Барабан'!K:K,A446,'Барабан'!P:P),"")</f>
        <v/>
      </c>
      <c r="H446" s="2" t="str">
        <f>IF(A446&gt;0,SUMIF('Барабан'!V:V,A446,'Барабан'!AA:AA),"")</f>
        <v/>
      </c>
      <c r="I446" s="2" t="str">
        <f t="shared" si="4"/>
        <v/>
      </c>
      <c r="J446" s="9" t="str">
        <f t="shared" si="2"/>
        <v/>
      </c>
      <c r="K446" s="1" t="str">
        <f>IF(A446&gt;0,COUNTIF('Барабан'!K:K,A446),"")</f>
        <v/>
      </c>
      <c r="L446" s="1" t="str">
        <f>IF(A446&gt;0,COUNTIF('Барабан'!V:V,A446),"")</f>
        <v/>
      </c>
      <c r="M446" s="1" t="str">
        <f t="shared" si="3"/>
        <v/>
      </c>
      <c r="N446" s="1" t="str">
        <f>IFERROR(__xludf.DUMMYFUNCTION("IF(A446&gt;0,MIN(FILTER('Барабан'!AJ:AJ,'Барабан'!K:K=A446)),"""")"),"")</f>
        <v/>
      </c>
      <c r="O446" s="16" t="str">
        <f>IFERROR(__xludf.DUMMYFUNCTION("IF(A446&gt;0,IFERROR(MAX(FILTER('Барабан'!AJ:AJ,'Барабан'!V:V=A446)),""–""),"""")"),"")</f>
        <v/>
      </c>
    </row>
    <row r="447" ht="15.75" customHeight="1">
      <c r="A447" s="1" t="str">
        <f>'Справочник'!E442</f>
        <v/>
      </c>
      <c r="B447" s="2" t="str">
        <f>IF(A447&gt;0,SUMIF('Барабан'!K:K,A447,'Барабан'!I:I),"")</f>
        <v/>
      </c>
      <c r="C447" s="2" t="str">
        <f>IF(A447&gt;0,SUMIF('Барабан'!V:V,A447,'Барабан'!T:T),"")</f>
        <v/>
      </c>
      <c r="D447" s="2" t="str">
        <f>IF(A447&gt;0,SUMIF('Барабан'!K:K,A447,'Барабан'!AG:AG)+SUMIF('Барабан'!V:V,A447,'Барабан'!AG:AG),"")</f>
        <v/>
      </c>
      <c r="E447" s="2" t="str">
        <f t="shared" si="1"/>
        <v/>
      </c>
      <c r="F447" s="2" t="str">
        <f t="array" ref="F447">IFERROR(IF(E447=0,0,INDEX('Справочник'!G:G,MATCH(A447,'Справочник'!F:F,0))))</f>
        <v/>
      </c>
      <c r="G447" s="2" t="str">
        <f>IF(A447&gt;0,SUMIF('Барабан'!K:K,A447,'Барабан'!P:P),"")</f>
        <v/>
      </c>
      <c r="H447" s="2" t="str">
        <f>IF(A447&gt;0,SUMIF('Барабан'!V:V,A447,'Барабан'!AA:AA),"")</f>
        <v/>
      </c>
      <c r="I447" s="2" t="str">
        <f t="shared" si="4"/>
        <v/>
      </c>
      <c r="J447" s="9" t="str">
        <f t="shared" si="2"/>
        <v/>
      </c>
      <c r="K447" s="1" t="str">
        <f>IF(A447&gt;0,COUNTIF('Барабан'!K:K,A447),"")</f>
        <v/>
      </c>
      <c r="L447" s="1" t="str">
        <f>IF(A447&gt;0,COUNTIF('Барабан'!V:V,A447),"")</f>
        <v/>
      </c>
      <c r="M447" s="1" t="str">
        <f t="shared" si="3"/>
        <v/>
      </c>
      <c r="N447" s="1" t="str">
        <f>IFERROR(__xludf.DUMMYFUNCTION("IF(A447&gt;0,MIN(FILTER('Барабан'!AJ:AJ,'Барабан'!K:K=A447)),"""")"),"")</f>
        <v/>
      </c>
      <c r="O447" s="16" t="str">
        <f>IFERROR(__xludf.DUMMYFUNCTION("IF(A447&gt;0,IFERROR(MAX(FILTER('Барабан'!AJ:AJ,'Барабан'!V:V=A447)),""–""),"""")"),"")</f>
        <v/>
      </c>
    </row>
    <row r="448" ht="15.75" customHeight="1">
      <c r="A448" s="1" t="str">
        <f>'Справочник'!E443</f>
        <v/>
      </c>
      <c r="B448" s="2" t="str">
        <f>IF(A448&gt;0,SUMIF('Барабан'!K:K,A448,'Барабан'!I:I),"")</f>
        <v/>
      </c>
      <c r="C448" s="2" t="str">
        <f>IF(A448&gt;0,SUMIF('Барабан'!V:V,A448,'Барабан'!T:T),"")</f>
        <v/>
      </c>
      <c r="D448" s="2" t="str">
        <f>IF(A448&gt;0,SUMIF('Барабан'!K:K,A448,'Барабан'!AG:AG)+SUMIF('Барабан'!V:V,A448,'Барабан'!AG:AG),"")</f>
        <v/>
      </c>
      <c r="E448" s="2" t="str">
        <f t="shared" si="1"/>
        <v/>
      </c>
      <c r="F448" s="2" t="str">
        <f t="array" ref="F448">IFERROR(IF(E448=0,0,INDEX('Справочник'!G:G,MATCH(A448,'Справочник'!F:F,0))))</f>
        <v/>
      </c>
      <c r="G448" s="2" t="str">
        <f>IF(A448&gt;0,SUMIF('Барабан'!K:K,A448,'Барабан'!P:P),"")</f>
        <v/>
      </c>
      <c r="H448" s="2" t="str">
        <f>IF(A448&gt;0,SUMIF('Барабан'!V:V,A448,'Барабан'!AA:AA),"")</f>
        <v/>
      </c>
      <c r="I448" s="2" t="str">
        <f t="shared" si="4"/>
        <v/>
      </c>
      <c r="J448" s="9" t="str">
        <f t="shared" si="2"/>
        <v/>
      </c>
      <c r="K448" s="1" t="str">
        <f>IF(A448&gt;0,COUNTIF('Барабан'!K:K,A448),"")</f>
        <v/>
      </c>
      <c r="L448" s="1" t="str">
        <f>IF(A448&gt;0,COUNTIF('Барабан'!V:V,A448),"")</f>
        <v/>
      </c>
      <c r="M448" s="1" t="str">
        <f t="shared" si="3"/>
        <v/>
      </c>
      <c r="N448" s="1" t="str">
        <f>IFERROR(__xludf.DUMMYFUNCTION("IF(A448&gt;0,MIN(FILTER('Барабан'!AJ:AJ,'Барабан'!K:K=A448)),"""")"),"")</f>
        <v/>
      </c>
      <c r="O448" s="16" t="str">
        <f>IFERROR(__xludf.DUMMYFUNCTION("IF(A448&gt;0,IFERROR(MAX(FILTER('Барабан'!AJ:AJ,'Барабан'!V:V=A448)),""–""),"""")"),"")</f>
        <v/>
      </c>
    </row>
    <row r="449" ht="15.75" customHeight="1">
      <c r="A449" s="1" t="str">
        <f>'Справочник'!E444</f>
        <v/>
      </c>
      <c r="B449" s="2" t="str">
        <f>IF(A449&gt;0,SUMIF('Барабан'!K:K,A449,'Барабан'!I:I),"")</f>
        <v/>
      </c>
      <c r="C449" s="2" t="str">
        <f>IF(A449&gt;0,SUMIF('Барабан'!V:V,A449,'Барабан'!T:T),"")</f>
        <v/>
      </c>
      <c r="D449" s="2" t="str">
        <f>IF(A449&gt;0,SUMIF('Барабан'!K:K,A449,'Барабан'!AG:AG)+SUMIF('Барабан'!V:V,A449,'Барабан'!AG:AG),"")</f>
        <v/>
      </c>
      <c r="E449" s="2" t="str">
        <f t="shared" si="1"/>
        <v/>
      </c>
      <c r="F449" s="2" t="str">
        <f t="array" ref="F449">IFERROR(IF(E449=0,0,INDEX('Справочник'!G:G,MATCH(A449,'Справочник'!F:F,0))))</f>
        <v/>
      </c>
      <c r="G449" s="2" t="str">
        <f>IF(A449&gt;0,SUMIF('Барабан'!K:K,A449,'Барабан'!P:P),"")</f>
        <v/>
      </c>
      <c r="H449" s="2" t="str">
        <f>IF(A449&gt;0,SUMIF('Барабан'!V:V,A449,'Барабан'!AA:AA),"")</f>
        <v/>
      </c>
      <c r="I449" s="2" t="str">
        <f t="shared" si="4"/>
        <v/>
      </c>
      <c r="J449" s="9" t="str">
        <f t="shared" si="2"/>
        <v/>
      </c>
      <c r="K449" s="1" t="str">
        <f>IF(A449&gt;0,COUNTIF('Барабан'!K:K,A449),"")</f>
        <v/>
      </c>
      <c r="L449" s="1" t="str">
        <f>IF(A449&gt;0,COUNTIF('Барабан'!V:V,A449),"")</f>
        <v/>
      </c>
      <c r="M449" s="1" t="str">
        <f t="shared" si="3"/>
        <v/>
      </c>
      <c r="N449" s="1" t="str">
        <f>IFERROR(__xludf.DUMMYFUNCTION("IF(A449&gt;0,MIN(FILTER('Барабан'!AJ:AJ,'Барабан'!K:K=A449)),"""")"),"")</f>
        <v/>
      </c>
      <c r="O449" s="16" t="str">
        <f>IFERROR(__xludf.DUMMYFUNCTION("IF(A449&gt;0,IFERROR(MAX(FILTER('Барабан'!AJ:AJ,'Барабан'!V:V=A449)),""–""),"""")"),"")</f>
        <v/>
      </c>
    </row>
    <row r="450" ht="15.75" customHeight="1">
      <c r="A450" s="1" t="str">
        <f>'Справочник'!E445</f>
        <v/>
      </c>
      <c r="B450" s="2" t="str">
        <f>IF(A450&gt;0,SUMIF('Барабан'!K:K,A450,'Барабан'!I:I),"")</f>
        <v/>
      </c>
      <c r="C450" s="2" t="str">
        <f>IF(A450&gt;0,SUMIF('Барабан'!V:V,A450,'Барабан'!T:T),"")</f>
        <v/>
      </c>
      <c r="D450" s="2" t="str">
        <f>IF(A450&gt;0,SUMIF('Барабан'!K:K,A450,'Барабан'!AG:AG)+SUMIF('Барабан'!V:V,A450,'Барабан'!AG:AG),"")</f>
        <v/>
      </c>
      <c r="E450" s="2" t="str">
        <f t="shared" si="1"/>
        <v/>
      </c>
      <c r="F450" s="2" t="str">
        <f t="array" ref="F450">IFERROR(IF(E450=0,0,INDEX('Справочник'!G:G,MATCH(A450,'Справочник'!F:F,0))))</f>
        <v/>
      </c>
      <c r="G450" s="2" t="str">
        <f>IF(A450&gt;0,SUMIF('Барабан'!K:K,A450,'Барабан'!P:P),"")</f>
        <v/>
      </c>
      <c r="H450" s="2" t="str">
        <f>IF(A450&gt;0,SUMIF('Барабан'!V:V,A450,'Барабан'!AA:AA),"")</f>
        <v/>
      </c>
      <c r="I450" s="2" t="str">
        <f t="shared" si="4"/>
        <v/>
      </c>
      <c r="J450" s="9" t="str">
        <f t="shared" si="2"/>
        <v/>
      </c>
      <c r="K450" s="1" t="str">
        <f>IF(A450&gt;0,COUNTIF('Барабан'!K:K,A450),"")</f>
        <v/>
      </c>
      <c r="L450" s="1" t="str">
        <f>IF(A450&gt;0,COUNTIF('Барабан'!V:V,A450),"")</f>
        <v/>
      </c>
      <c r="M450" s="1" t="str">
        <f t="shared" si="3"/>
        <v/>
      </c>
      <c r="N450" s="1" t="str">
        <f>IFERROR(__xludf.DUMMYFUNCTION("IF(A450&gt;0,MIN(FILTER('Барабан'!AJ:AJ,'Барабан'!K:K=A450)),"""")"),"")</f>
        <v/>
      </c>
      <c r="O450" s="16" t="str">
        <f>IFERROR(__xludf.DUMMYFUNCTION("IF(A450&gt;0,IFERROR(MAX(FILTER('Барабан'!AJ:AJ,'Барабан'!V:V=A450)),""–""),"""")"),"")</f>
        <v/>
      </c>
    </row>
    <row r="451" ht="15.75" customHeight="1">
      <c r="A451" s="1" t="str">
        <f>'Справочник'!E446</f>
        <v/>
      </c>
      <c r="B451" s="2" t="str">
        <f>IF(A451&gt;0,SUMIF('Барабан'!K:K,A451,'Барабан'!I:I),"")</f>
        <v/>
      </c>
      <c r="C451" s="2" t="str">
        <f>IF(A451&gt;0,SUMIF('Барабан'!V:V,A451,'Барабан'!T:T),"")</f>
        <v/>
      </c>
      <c r="D451" s="2" t="str">
        <f>IF(A451&gt;0,SUMIF('Барабан'!K:K,A451,'Барабан'!AG:AG)+SUMIF('Барабан'!V:V,A451,'Барабан'!AG:AG),"")</f>
        <v/>
      </c>
      <c r="E451" s="2" t="str">
        <f t="shared" si="1"/>
        <v/>
      </c>
      <c r="F451" s="2" t="str">
        <f t="array" ref="F451">IFERROR(IF(E451=0,0,INDEX('Справочник'!G:G,MATCH(A451,'Справочник'!F:F,0))))</f>
        <v/>
      </c>
      <c r="G451" s="2" t="str">
        <f>IF(A451&gt;0,SUMIF('Барабан'!K:K,A451,'Барабан'!P:P),"")</f>
        <v/>
      </c>
      <c r="H451" s="2" t="str">
        <f>IF(A451&gt;0,SUMIF('Барабан'!V:V,A451,'Барабан'!AA:AA),"")</f>
        <v/>
      </c>
      <c r="I451" s="2" t="str">
        <f t="shared" si="4"/>
        <v/>
      </c>
      <c r="J451" s="9" t="str">
        <f t="shared" si="2"/>
        <v/>
      </c>
      <c r="K451" s="1" t="str">
        <f>IF(A451&gt;0,COUNTIF('Барабан'!K:K,A451),"")</f>
        <v/>
      </c>
      <c r="L451" s="1" t="str">
        <f>IF(A451&gt;0,COUNTIF('Барабан'!V:V,A451),"")</f>
        <v/>
      </c>
      <c r="M451" s="1" t="str">
        <f t="shared" si="3"/>
        <v/>
      </c>
      <c r="N451" s="1" t="str">
        <f>IFERROR(__xludf.DUMMYFUNCTION("IF(A451&gt;0,MIN(FILTER('Барабан'!AJ:AJ,'Барабан'!K:K=A451)),"""")"),"")</f>
        <v/>
      </c>
      <c r="O451" s="16" t="str">
        <f>IFERROR(__xludf.DUMMYFUNCTION("IF(A451&gt;0,IFERROR(MAX(FILTER('Барабан'!AJ:AJ,'Барабан'!V:V=A451)),""–""),"""")"),"")</f>
        <v/>
      </c>
    </row>
    <row r="452" ht="15.75" customHeight="1">
      <c r="A452" s="1" t="str">
        <f>'Справочник'!E447</f>
        <v/>
      </c>
      <c r="B452" s="2" t="str">
        <f>IF(A452&gt;0,SUMIF('Барабан'!K:K,A452,'Барабан'!I:I),"")</f>
        <v/>
      </c>
      <c r="C452" s="2" t="str">
        <f>IF(A452&gt;0,SUMIF('Барабан'!V:V,A452,'Барабан'!T:T),"")</f>
        <v/>
      </c>
      <c r="D452" s="2" t="str">
        <f>IF(A452&gt;0,SUMIF('Барабан'!K:K,A452,'Барабан'!AG:AG)+SUMIF('Барабан'!V:V,A452,'Барабан'!AG:AG),"")</f>
        <v/>
      </c>
      <c r="E452" s="2" t="str">
        <f t="shared" si="1"/>
        <v/>
      </c>
      <c r="F452" s="2" t="str">
        <f t="array" ref="F452">IFERROR(IF(E452=0,0,INDEX('Справочник'!G:G,MATCH(A452,'Справочник'!F:F,0))))</f>
        <v/>
      </c>
      <c r="G452" s="2" t="str">
        <f>IF(A452&gt;0,SUMIF('Барабан'!K:K,A452,'Барабан'!P:P),"")</f>
        <v/>
      </c>
      <c r="H452" s="2" t="str">
        <f>IF(A452&gt;0,SUMIF('Барабан'!V:V,A452,'Барабан'!AA:AA),"")</f>
        <v/>
      </c>
      <c r="I452" s="2" t="str">
        <f t="shared" si="4"/>
        <v/>
      </c>
      <c r="J452" s="9" t="str">
        <f t="shared" si="2"/>
        <v/>
      </c>
      <c r="K452" s="1" t="str">
        <f>IF(A452&gt;0,COUNTIF('Барабан'!K:K,A452),"")</f>
        <v/>
      </c>
      <c r="L452" s="1" t="str">
        <f>IF(A452&gt;0,COUNTIF('Барабан'!V:V,A452),"")</f>
        <v/>
      </c>
      <c r="M452" s="1" t="str">
        <f t="shared" si="3"/>
        <v/>
      </c>
      <c r="N452" s="1" t="str">
        <f>IFERROR(__xludf.DUMMYFUNCTION("IF(A452&gt;0,MIN(FILTER('Барабан'!AJ:AJ,'Барабан'!K:K=A452)),"""")"),"")</f>
        <v/>
      </c>
      <c r="O452" s="16" t="str">
        <f>IFERROR(__xludf.DUMMYFUNCTION("IF(A452&gt;0,IFERROR(MAX(FILTER('Барабан'!AJ:AJ,'Барабан'!V:V=A452)),""–""),"""")"),"")</f>
        <v/>
      </c>
    </row>
    <row r="453" ht="15.75" customHeight="1">
      <c r="A453" s="1" t="str">
        <f>'Справочник'!E448</f>
        <v/>
      </c>
      <c r="B453" s="2" t="str">
        <f>IF(A453&gt;0,SUMIF('Барабан'!K:K,A453,'Барабан'!I:I),"")</f>
        <v/>
      </c>
      <c r="C453" s="2" t="str">
        <f>IF(A453&gt;0,SUMIF('Барабан'!V:V,A453,'Барабан'!T:T),"")</f>
        <v/>
      </c>
      <c r="D453" s="2" t="str">
        <f>IF(A453&gt;0,SUMIF('Барабан'!K:K,A453,'Барабан'!AG:AG)+SUMIF('Барабан'!V:V,A453,'Барабан'!AG:AG),"")</f>
        <v/>
      </c>
      <c r="E453" s="2" t="str">
        <f t="shared" si="1"/>
        <v/>
      </c>
      <c r="F453" s="2" t="str">
        <f t="array" ref="F453">IFERROR(IF(E453=0,0,INDEX('Справочник'!G:G,MATCH(A453,'Справочник'!F:F,0))))</f>
        <v/>
      </c>
      <c r="G453" s="2" t="str">
        <f>IF(A453&gt;0,SUMIF('Барабан'!K:K,A453,'Барабан'!P:P),"")</f>
        <v/>
      </c>
      <c r="H453" s="2" t="str">
        <f>IF(A453&gt;0,SUMIF('Барабан'!V:V,A453,'Барабан'!AA:AA),"")</f>
        <v/>
      </c>
      <c r="I453" s="2" t="str">
        <f t="shared" si="4"/>
        <v/>
      </c>
      <c r="J453" s="9" t="str">
        <f t="shared" si="2"/>
        <v/>
      </c>
      <c r="K453" s="1" t="str">
        <f>IF(A453&gt;0,COUNTIF('Барабан'!K:K,A453),"")</f>
        <v/>
      </c>
      <c r="L453" s="1" t="str">
        <f>IF(A453&gt;0,COUNTIF('Барабан'!V:V,A453),"")</f>
        <v/>
      </c>
      <c r="M453" s="1" t="str">
        <f t="shared" si="3"/>
        <v/>
      </c>
      <c r="N453" s="1" t="str">
        <f>IFERROR(__xludf.DUMMYFUNCTION("IF(A453&gt;0,MIN(FILTER('Барабан'!AJ:AJ,'Барабан'!K:K=A453)),"""")"),"")</f>
        <v/>
      </c>
      <c r="O453" s="16" t="str">
        <f>IFERROR(__xludf.DUMMYFUNCTION("IF(A453&gt;0,IFERROR(MAX(FILTER('Барабан'!AJ:AJ,'Барабан'!V:V=A453)),""–""),"""")"),"")</f>
        <v/>
      </c>
    </row>
    <row r="454" ht="15.75" customHeight="1">
      <c r="A454" s="1" t="str">
        <f>'Справочник'!E449</f>
        <v/>
      </c>
      <c r="B454" s="2" t="str">
        <f>IF(A454&gt;0,SUMIF('Барабан'!K:K,A454,'Барабан'!I:I),"")</f>
        <v/>
      </c>
      <c r="C454" s="2" t="str">
        <f>IF(A454&gt;0,SUMIF('Барабан'!V:V,A454,'Барабан'!T:T),"")</f>
        <v/>
      </c>
      <c r="D454" s="2" t="str">
        <f>IF(A454&gt;0,SUMIF('Барабан'!K:K,A454,'Барабан'!AG:AG)+SUMIF('Барабан'!V:V,A454,'Барабан'!AG:AG),"")</f>
        <v/>
      </c>
      <c r="E454" s="2" t="str">
        <f t="shared" si="1"/>
        <v/>
      </c>
      <c r="F454" s="2" t="str">
        <f t="array" ref="F454">IFERROR(IF(E454=0,0,INDEX('Справочник'!G:G,MATCH(A454,'Справочник'!F:F,0))))</f>
        <v/>
      </c>
      <c r="G454" s="2" t="str">
        <f>IF(A454&gt;0,SUMIF('Барабан'!K:K,A454,'Барабан'!P:P),"")</f>
        <v/>
      </c>
      <c r="H454" s="2" t="str">
        <f>IF(A454&gt;0,SUMIF('Барабан'!V:V,A454,'Барабан'!AA:AA),"")</f>
        <v/>
      </c>
      <c r="I454" s="2" t="str">
        <f t="shared" si="4"/>
        <v/>
      </c>
      <c r="J454" s="9" t="str">
        <f t="shared" si="2"/>
        <v/>
      </c>
      <c r="K454" s="1" t="str">
        <f>IF(A454&gt;0,COUNTIF('Барабан'!K:K,A454),"")</f>
        <v/>
      </c>
      <c r="L454" s="1" t="str">
        <f>IF(A454&gt;0,COUNTIF('Барабан'!V:V,A454),"")</f>
        <v/>
      </c>
      <c r="M454" s="1" t="str">
        <f t="shared" si="3"/>
        <v/>
      </c>
      <c r="N454" s="1" t="str">
        <f>IFERROR(__xludf.DUMMYFUNCTION("IF(A454&gt;0,MIN(FILTER('Барабан'!AJ:AJ,'Барабан'!K:K=A454)),"""")"),"")</f>
        <v/>
      </c>
      <c r="O454" s="16" t="str">
        <f>IFERROR(__xludf.DUMMYFUNCTION("IF(A454&gt;0,IFERROR(MAX(FILTER('Барабан'!AJ:AJ,'Барабан'!V:V=A454)),""–""),"""")"),"")</f>
        <v/>
      </c>
    </row>
    <row r="455" ht="15.75" customHeight="1">
      <c r="A455" s="1" t="str">
        <f>'Справочник'!E450</f>
        <v/>
      </c>
      <c r="B455" s="2" t="str">
        <f>IF(A455&gt;0,SUMIF('Барабан'!K:K,A455,'Барабан'!I:I),"")</f>
        <v/>
      </c>
      <c r="C455" s="2" t="str">
        <f>IF(A455&gt;0,SUMIF('Барабан'!V:V,A455,'Барабан'!T:T),"")</f>
        <v/>
      </c>
      <c r="D455" s="2" t="str">
        <f>IF(A455&gt;0,SUMIF('Барабан'!K:K,A455,'Барабан'!AG:AG)+SUMIF('Барабан'!V:V,A455,'Барабан'!AG:AG),"")</f>
        <v/>
      </c>
      <c r="E455" s="2" t="str">
        <f t="shared" si="1"/>
        <v/>
      </c>
      <c r="F455" s="2" t="str">
        <f t="array" ref="F455">IFERROR(IF(E455=0,0,INDEX('Справочник'!G:G,MATCH(A455,'Справочник'!F:F,0))))</f>
        <v/>
      </c>
      <c r="G455" s="2" t="str">
        <f>IF(A455&gt;0,SUMIF('Барабан'!K:K,A455,'Барабан'!P:P),"")</f>
        <v/>
      </c>
      <c r="H455" s="2" t="str">
        <f>IF(A455&gt;0,SUMIF('Барабан'!V:V,A455,'Барабан'!AA:AA),"")</f>
        <v/>
      </c>
      <c r="I455" s="2" t="str">
        <f t="shared" si="4"/>
        <v/>
      </c>
      <c r="J455" s="9" t="str">
        <f t="shared" si="2"/>
        <v/>
      </c>
      <c r="K455" s="1" t="str">
        <f>IF(A455&gt;0,COUNTIF('Барабан'!K:K,A455),"")</f>
        <v/>
      </c>
      <c r="L455" s="1" t="str">
        <f>IF(A455&gt;0,COUNTIF('Барабан'!V:V,A455),"")</f>
        <v/>
      </c>
      <c r="M455" s="1" t="str">
        <f t="shared" si="3"/>
        <v/>
      </c>
      <c r="N455" s="1" t="str">
        <f>IFERROR(__xludf.DUMMYFUNCTION("IF(A455&gt;0,MIN(FILTER('Барабан'!AJ:AJ,'Барабан'!K:K=A455)),"""")"),"")</f>
        <v/>
      </c>
      <c r="O455" s="16" t="str">
        <f>IFERROR(__xludf.DUMMYFUNCTION("IF(A455&gt;0,IFERROR(MAX(FILTER('Барабан'!AJ:AJ,'Барабан'!V:V=A455)),""–""),"""")"),"")</f>
        <v/>
      </c>
    </row>
    <row r="456" ht="15.75" customHeight="1">
      <c r="A456" s="1" t="str">
        <f>'Справочник'!E451</f>
        <v/>
      </c>
      <c r="B456" s="2" t="str">
        <f>IF(A456&gt;0,SUMIF('Барабан'!K:K,A456,'Барабан'!I:I),"")</f>
        <v/>
      </c>
      <c r="C456" s="2" t="str">
        <f>IF(A456&gt;0,SUMIF('Барабан'!V:V,A456,'Барабан'!T:T),"")</f>
        <v/>
      </c>
      <c r="D456" s="2" t="str">
        <f>IF(A456&gt;0,SUMIF('Барабан'!K:K,A456,'Барабан'!AG:AG)+SUMIF('Барабан'!V:V,A456,'Барабан'!AG:AG),"")</f>
        <v/>
      </c>
      <c r="E456" s="2" t="str">
        <f t="shared" si="1"/>
        <v/>
      </c>
      <c r="F456" s="2" t="str">
        <f t="array" ref="F456">IFERROR(IF(E456=0,0,INDEX('Справочник'!G:G,MATCH(A456,'Справочник'!F:F,0))))</f>
        <v/>
      </c>
      <c r="G456" s="2" t="str">
        <f>IF(A456&gt;0,SUMIF('Барабан'!K:K,A456,'Барабан'!P:P),"")</f>
        <v/>
      </c>
      <c r="H456" s="2" t="str">
        <f>IF(A456&gt;0,SUMIF('Барабан'!V:V,A456,'Барабан'!AA:AA),"")</f>
        <v/>
      </c>
      <c r="I456" s="2" t="str">
        <f t="shared" si="4"/>
        <v/>
      </c>
      <c r="J456" s="9" t="str">
        <f t="shared" si="2"/>
        <v/>
      </c>
      <c r="K456" s="1" t="str">
        <f>IF(A456&gt;0,COUNTIF('Барабан'!K:K,A456),"")</f>
        <v/>
      </c>
      <c r="L456" s="1" t="str">
        <f>IF(A456&gt;0,COUNTIF('Барабан'!V:V,A456),"")</f>
        <v/>
      </c>
      <c r="M456" s="1" t="str">
        <f t="shared" si="3"/>
        <v/>
      </c>
      <c r="N456" s="1" t="str">
        <f>IFERROR(__xludf.DUMMYFUNCTION("IF(A456&gt;0,MIN(FILTER('Барабан'!AJ:AJ,'Барабан'!K:K=A456)),"""")"),"")</f>
        <v/>
      </c>
      <c r="O456" s="16" t="str">
        <f>IFERROR(__xludf.DUMMYFUNCTION("IF(A456&gt;0,IFERROR(MAX(FILTER('Барабан'!AJ:AJ,'Барабан'!V:V=A456)),""–""),"""")"),"")</f>
        <v/>
      </c>
    </row>
    <row r="457" ht="15.75" customHeight="1">
      <c r="A457" s="1" t="str">
        <f>'Справочник'!E452</f>
        <v/>
      </c>
      <c r="B457" s="2" t="str">
        <f>IF(A457&gt;0,SUMIF('Барабан'!K:K,A457,'Барабан'!I:I),"")</f>
        <v/>
      </c>
      <c r="C457" s="2" t="str">
        <f>IF(A457&gt;0,SUMIF('Барабан'!V:V,A457,'Барабан'!T:T),"")</f>
        <v/>
      </c>
      <c r="D457" s="2" t="str">
        <f>IF(A457&gt;0,SUMIF('Барабан'!K:K,A457,'Барабан'!AG:AG)+SUMIF('Барабан'!V:V,A457,'Барабан'!AG:AG),"")</f>
        <v/>
      </c>
      <c r="E457" s="2" t="str">
        <f t="shared" si="1"/>
        <v/>
      </c>
      <c r="F457" s="2" t="str">
        <f t="array" ref="F457">IFERROR(IF(E457=0,0,INDEX('Справочник'!G:G,MATCH(A457,'Справочник'!F:F,0))))</f>
        <v/>
      </c>
      <c r="G457" s="2" t="str">
        <f>IF(A457&gt;0,SUMIF('Барабан'!K:K,A457,'Барабан'!P:P),"")</f>
        <v/>
      </c>
      <c r="H457" s="2" t="str">
        <f>IF(A457&gt;0,SUMIF('Барабан'!V:V,A457,'Барабан'!AA:AA),"")</f>
        <v/>
      </c>
      <c r="I457" s="2" t="str">
        <f t="shared" si="4"/>
        <v/>
      </c>
      <c r="J457" s="9" t="str">
        <f t="shared" si="2"/>
        <v/>
      </c>
      <c r="K457" s="1" t="str">
        <f>IF(A457&gt;0,COUNTIF('Барабан'!K:K,A457),"")</f>
        <v/>
      </c>
      <c r="L457" s="1" t="str">
        <f>IF(A457&gt;0,COUNTIF('Барабан'!V:V,A457),"")</f>
        <v/>
      </c>
      <c r="M457" s="1" t="str">
        <f t="shared" si="3"/>
        <v/>
      </c>
      <c r="N457" s="1" t="str">
        <f>IFERROR(__xludf.DUMMYFUNCTION("IF(A457&gt;0,MIN(FILTER('Барабан'!AJ:AJ,'Барабан'!K:K=A457)),"""")"),"")</f>
        <v/>
      </c>
      <c r="O457" s="16" t="str">
        <f>IFERROR(__xludf.DUMMYFUNCTION("IF(A457&gt;0,IFERROR(MAX(FILTER('Барабан'!AJ:AJ,'Барабан'!V:V=A457)),""–""),"""")"),"")</f>
        <v/>
      </c>
    </row>
    <row r="458" ht="15.75" customHeight="1">
      <c r="A458" s="1" t="str">
        <f>'Справочник'!E453</f>
        <v/>
      </c>
      <c r="B458" s="2" t="str">
        <f>IF(A458&gt;0,SUMIF('Барабан'!K:K,A458,'Барабан'!I:I),"")</f>
        <v/>
      </c>
      <c r="C458" s="2" t="str">
        <f>IF(A458&gt;0,SUMIF('Барабан'!V:V,A458,'Барабан'!T:T),"")</f>
        <v/>
      </c>
      <c r="D458" s="2" t="str">
        <f>IF(A458&gt;0,SUMIF('Барабан'!K:K,A458,'Барабан'!AG:AG)+SUMIF('Барабан'!V:V,A458,'Барабан'!AG:AG),"")</f>
        <v/>
      </c>
      <c r="E458" s="2" t="str">
        <f t="shared" si="1"/>
        <v/>
      </c>
      <c r="F458" s="2" t="str">
        <f t="array" ref="F458">IFERROR(IF(E458=0,0,INDEX('Справочник'!G:G,MATCH(A458,'Справочник'!F:F,0))))</f>
        <v/>
      </c>
      <c r="G458" s="2" t="str">
        <f>IF(A458&gt;0,SUMIF('Барабан'!K:K,A458,'Барабан'!P:P),"")</f>
        <v/>
      </c>
      <c r="H458" s="2" t="str">
        <f>IF(A458&gt;0,SUMIF('Барабан'!V:V,A458,'Барабан'!AA:AA),"")</f>
        <v/>
      </c>
      <c r="I458" s="2" t="str">
        <f t="shared" si="4"/>
        <v/>
      </c>
      <c r="J458" s="9" t="str">
        <f t="shared" si="2"/>
        <v/>
      </c>
      <c r="K458" s="1" t="str">
        <f>IF(A458&gt;0,COUNTIF('Барабан'!K:K,A458),"")</f>
        <v/>
      </c>
      <c r="L458" s="1" t="str">
        <f>IF(A458&gt;0,COUNTIF('Барабан'!V:V,A458),"")</f>
        <v/>
      </c>
      <c r="M458" s="1" t="str">
        <f t="shared" si="3"/>
        <v/>
      </c>
      <c r="N458" s="1" t="str">
        <f>IFERROR(__xludf.DUMMYFUNCTION("IF(A458&gt;0,MIN(FILTER('Барабан'!AJ:AJ,'Барабан'!K:K=A458)),"""")"),"")</f>
        <v/>
      </c>
      <c r="O458" s="16" t="str">
        <f>IFERROR(__xludf.DUMMYFUNCTION("IF(A458&gt;0,IFERROR(MAX(FILTER('Барабан'!AJ:AJ,'Барабан'!V:V=A458)),""–""),"""")"),"")</f>
        <v/>
      </c>
    </row>
    <row r="459" ht="15.75" customHeight="1">
      <c r="A459" s="1" t="str">
        <f>'Справочник'!E454</f>
        <v/>
      </c>
      <c r="B459" s="2" t="str">
        <f>IF(A459&gt;0,SUMIF('Барабан'!K:K,A459,'Барабан'!I:I),"")</f>
        <v/>
      </c>
      <c r="C459" s="2" t="str">
        <f>IF(A459&gt;0,SUMIF('Барабан'!V:V,A459,'Барабан'!T:T),"")</f>
        <v/>
      </c>
      <c r="D459" s="2" t="str">
        <f>IF(A459&gt;0,SUMIF('Барабан'!K:K,A459,'Барабан'!AG:AG)+SUMIF('Барабан'!V:V,A459,'Барабан'!AG:AG),"")</f>
        <v/>
      </c>
      <c r="E459" s="2" t="str">
        <f t="shared" si="1"/>
        <v/>
      </c>
      <c r="F459" s="2" t="str">
        <f t="array" ref="F459">IFERROR(IF(E459=0,0,INDEX('Справочник'!G:G,MATCH(A459,'Справочник'!F:F,0))))</f>
        <v/>
      </c>
      <c r="G459" s="2" t="str">
        <f>IF(A459&gt;0,SUMIF('Барабан'!K:K,A459,'Барабан'!P:P),"")</f>
        <v/>
      </c>
      <c r="H459" s="2" t="str">
        <f>IF(A459&gt;0,SUMIF('Барабан'!V:V,A459,'Барабан'!AA:AA),"")</f>
        <v/>
      </c>
      <c r="I459" s="2" t="str">
        <f t="shared" si="4"/>
        <v/>
      </c>
      <c r="J459" s="9" t="str">
        <f t="shared" si="2"/>
        <v/>
      </c>
      <c r="K459" s="1" t="str">
        <f>IF(A459&gt;0,COUNTIF('Барабан'!K:K,A459),"")</f>
        <v/>
      </c>
      <c r="L459" s="1" t="str">
        <f>IF(A459&gt;0,COUNTIF('Барабан'!V:V,A459),"")</f>
        <v/>
      </c>
      <c r="M459" s="1" t="str">
        <f t="shared" si="3"/>
        <v/>
      </c>
      <c r="N459" s="1" t="str">
        <f>IFERROR(__xludf.DUMMYFUNCTION("IF(A459&gt;0,MIN(FILTER('Барабан'!AJ:AJ,'Барабан'!K:K=A459)),"""")"),"")</f>
        <v/>
      </c>
      <c r="O459" s="16" t="str">
        <f>IFERROR(__xludf.DUMMYFUNCTION("IF(A459&gt;0,IFERROR(MAX(FILTER('Барабан'!AJ:AJ,'Барабан'!V:V=A459)),""–""),"""")"),"")</f>
        <v/>
      </c>
    </row>
    <row r="460" ht="15.75" customHeight="1">
      <c r="A460" s="1" t="str">
        <f>'Справочник'!E455</f>
        <v/>
      </c>
      <c r="B460" s="2" t="str">
        <f>IF(A460&gt;0,SUMIF('Барабан'!K:K,A460,'Барабан'!I:I),"")</f>
        <v/>
      </c>
      <c r="C460" s="2" t="str">
        <f>IF(A460&gt;0,SUMIF('Барабан'!V:V,A460,'Барабан'!T:T),"")</f>
        <v/>
      </c>
      <c r="D460" s="2" t="str">
        <f>IF(A460&gt;0,SUMIF('Барабан'!K:K,A460,'Барабан'!AG:AG)+SUMIF('Барабан'!V:V,A460,'Барабан'!AG:AG),"")</f>
        <v/>
      </c>
      <c r="E460" s="2" t="str">
        <f t="shared" si="1"/>
        <v/>
      </c>
      <c r="F460" s="2" t="str">
        <f t="array" ref="F460">IFERROR(IF(E460=0,0,INDEX('Справочник'!G:G,MATCH(A460,'Справочник'!F:F,0))))</f>
        <v/>
      </c>
      <c r="G460" s="2" t="str">
        <f>IF(A460&gt;0,SUMIF('Барабан'!K:K,A460,'Барабан'!P:P),"")</f>
        <v/>
      </c>
      <c r="H460" s="2" t="str">
        <f>IF(A460&gt;0,SUMIF('Барабан'!V:V,A460,'Барабан'!AA:AA),"")</f>
        <v/>
      </c>
      <c r="I460" s="2" t="str">
        <f t="shared" si="4"/>
        <v/>
      </c>
      <c r="J460" s="9" t="str">
        <f t="shared" si="2"/>
        <v/>
      </c>
      <c r="K460" s="1" t="str">
        <f>IF(A460&gt;0,COUNTIF('Барабан'!K:K,A460),"")</f>
        <v/>
      </c>
      <c r="L460" s="1" t="str">
        <f>IF(A460&gt;0,COUNTIF('Барабан'!V:V,A460),"")</f>
        <v/>
      </c>
      <c r="M460" s="1" t="str">
        <f t="shared" si="3"/>
        <v/>
      </c>
      <c r="N460" s="1" t="str">
        <f>IFERROR(__xludf.DUMMYFUNCTION("IF(A460&gt;0,MIN(FILTER('Барабан'!AJ:AJ,'Барабан'!K:K=A460)),"""")"),"")</f>
        <v/>
      </c>
      <c r="O460" s="16" t="str">
        <f>IFERROR(__xludf.DUMMYFUNCTION("IF(A460&gt;0,IFERROR(MAX(FILTER('Барабан'!AJ:AJ,'Барабан'!V:V=A460)),""–""),"""")"),"")</f>
        <v/>
      </c>
    </row>
    <row r="461" ht="15.75" customHeight="1">
      <c r="A461" s="1" t="str">
        <f>'Справочник'!E456</f>
        <v/>
      </c>
      <c r="B461" s="2" t="str">
        <f>IF(A461&gt;0,SUMIF('Барабан'!K:K,A461,'Барабан'!I:I),"")</f>
        <v/>
      </c>
      <c r="C461" s="2" t="str">
        <f>IF(A461&gt;0,SUMIF('Барабан'!V:V,A461,'Барабан'!T:T),"")</f>
        <v/>
      </c>
      <c r="D461" s="2" t="str">
        <f>IF(A461&gt;0,SUMIF('Барабан'!K:K,A461,'Барабан'!AG:AG)+SUMIF('Барабан'!V:V,A461,'Барабан'!AG:AG),"")</f>
        <v/>
      </c>
      <c r="E461" s="2" t="str">
        <f t="shared" si="1"/>
        <v/>
      </c>
      <c r="F461" s="2" t="str">
        <f t="array" ref="F461">IFERROR(IF(E461=0,0,INDEX('Справочник'!G:G,MATCH(A461,'Справочник'!F:F,0))))</f>
        <v/>
      </c>
      <c r="G461" s="2" t="str">
        <f>IF(A461&gt;0,SUMIF('Барабан'!K:K,A461,'Барабан'!P:P),"")</f>
        <v/>
      </c>
      <c r="H461" s="2" t="str">
        <f>IF(A461&gt;0,SUMIF('Барабан'!V:V,A461,'Барабан'!AA:AA),"")</f>
        <v/>
      </c>
      <c r="I461" s="2" t="str">
        <f t="shared" si="4"/>
        <v/>
      </c>
      <c r="J461" s="9" t="str">
        <f t="shared" si="2"/>
        <v/>
      </c>
      <c r="K461" s="1" t="str">
        <f>IF(A461&gt;0,COUNTIF('Барабан'!K:K,A461),"")</f>
        <v/>
      </c>
      <c r="L461" s="1" t="str">
        <f>IF(A461&gt;0,COUNTIF('Барабан'!V:V,A461),"")</f>
        <v/>
      </c>
      <c r="M461" s="1" t="str">
        <f t="shared" si="3"/>
        <v/>
      </c>
      <c r="N461" s="1" t="str">
        <f>IFERROR(__xludf.DUMMYFUNCTION("IF(A461&gt;0,MIN(FILTER('Барабан'!AJ:AJ,'Барабан'!K:K=A461)),"""")"),"")</f>
        <v/>
      </c>
      <c r="O461" s="16" t="str">
        <f>IFERROR(__xludf.DUMMYFUNCTION("IF(A461&gt;0,IFERROR(MAX(FILTER('Барабан'!AJ:AJ,'Барабан'!V:V=A461)),""–""),"""")"),"")</f>
        <v/>
      </c>
    </row>
    <row r="462" ht="15.75" customHeight="1">
      <c r="A462" s="1" t="str">
        <f>'Справочник'!E457</f>
        <v/>
      </c>
      <c r="B462" s="2" t="str">
        <f>IF(A462&gt;0,SUMIF('Барабан'!K:K,A462,'Барабан'!I:I),"")</f>
        <v/>
      </c>
      <c r="C462" s="2" t="str">
        <f>IF(A462&gt;0,SUMIF('Барабан'!V:V,A462,'Барабан'!T:T),"")</f>
        <v/>
      </c>
      <c r="D462" s="2" t="str">
        <f>IF(A462&gt;0,SUMIF('Барабан'!K:K,A462,'Барабан'!AG:AG)+SUMIF('Барабан'!V:V,A462,'Барабан'!AG:AG),"")</f>
        <v/>
      </c>
      <c r="E462" s="2" t="str">
        <f t="shared" si="1"/>
        <v/>
      </c>
      <c r="F462" s="2" t="str">
        <f t="array" ref="F462">IFERROR(IF(E462=0,0,INDEX('Справочник'!G:G,MATCH(A462,'Справочник'!F:F,0))))</f>
        <v/>
      </c>
      <c r="G462" s="2" t="str">
        <f>IF(A462&gt;0,SUMIF('Барабан'!K:K,A462,'Барабан'!P:P),"")</f>
        <v/>
      </c>
      <c r="H462" s="2" t="str">
        <f>IF(A462&gt;0,SUMIF('Барабан'!V:V,A462,'Барабан'!AA:AA),"")</f>
        <v/>
      </c>
      <c r="I462" s="2" t="str">
        <f t="shared" si="4"/>
        <v/>
      </c>
      <c r="J462" s="9" t="str">
        <f t="shared" si="2"/>
        <v/>
      </c>
      <c r="K462" s="1" t="str">
        <f>IF(A462&gt;0,COUNTIF('Барабан'!K:K,A462),"")</f>
        <v/>
      </c>
      <c r="L462" s="1" t="str">
        <f>IF(A462&gt;0,COUNTIF('Барабан'!V:V,A462),"")</f>
        <v/>
      </c>
      <c r="M462" s="1" t="str">
        <f t="shared" si="3"/>
        <v/>
      </c>
      <c r="N462" s="1" t="str">
        <f>IFERROR(__xludf.DUMMYFUNCTION("IF(A462&gt;0,MIN(FILTER('Барабан'!AJ:AJ,'Барабан'!K:K=A462)),"""")"),"")</f>
        <v/>
      </c>
      <c r="O462" s="16" t="str">
        <f>IFERROR(__xludf.DUMMYFUNCTION("IF(A462&gt;0,IFERROR(MAX(FILTER('Барабан'!AJ:AJ,'Барабан'!V:V=A462)),""–""),"""")"),"")</f>
        <v/>
      </c>
    </row>
    <row r="463" ht="15.75" customHeight="1">
      <c r="A463" s="1" t="str">
        <f>'Справочник'!E458</f>
        <v/>
      </c>
      <c r="B463" s="2" t="str">
        <f>IF(A463&gt;0,SUMIF('Барабан'!K:K,A463,'Барабан'!I:I),"")</f>
        <v/>
      </c>
      <c r="C463" s="2" t="str">
        <f>IF(A463&gt;0,SUMIF('Барабан'!V:V,A463,'Барабан'!T:T),"")</f>
        <v/>
      </c>
      <c r="D463" s="2" t="str">
        <f>IF(A463&gt;0,SUMIF('Барабан'!K:K,A463,'Барабан'!AG:AG)+SUMIF('Барабан'!V:V,A463,'Барабан'!AG:AG),"")</f>
        <v/>
      </c>
      <c r="E463" s="2" t="str">
        <f t="shared" si="1"/>
        <v/>
      </c>
      <c r="F463" s="2" t="str">
        <f t="array" ref="F463">IFERROR(IF(E463=0,0,INDEX('Справочник'!G:G,MATCH(A463,'Справочник'!F:F,0))))</f>
        <v/>
      </c>
      <c r="G463" s="2" t="str">
        <f>IF(A463&gt;0,SUMIF('Барабан'!K:K,A463,'Барабан'!P:P),"")</f>
        <v/>
      </c>
      <c r="H463" s="2" t="str">
        <f>IF(A463&gt;0,SUMIF('Барабан'!V:V,A463,'Барабан'!AA:AA),"")</f>
        <v/>
      </c>
      <c r="I463" s="2" t="str">
        <f t="shared" si="4"/>
        <v/>
      </c>
      <c r="J463" s="9" t="str">
        <f t="shared" si="2"/>
        <v/>
      </c>
      <c r="K463" s="1" t="str">
        <f>IF(A463&gt;0,COUNTIF('Барабан'!K:K,A463),"")</f>
        <v/>
      </c>
      <c r="L463" s="1" t="str">
        <f>IF(A463&gt;0,COUNTIF('Барабан'!V:V,A463),"")</f>
        <v/>
      </c>
      <c r="M463" s="1" t="str">
        <f t="shared" si="3"/>
        <v/>
      </c>
      <c r="N463" s="1" t="str">
        <f>IFERROR(__xludf.DUMMYFUNCTION("IF(A463&gt;0,MIN(FILTER('Барабан'!AJ:AJ,'Барабан'!K:K=A463)),"""")"),"")</f>
        <v/>
      </c>
      <c r="O463" s="16" t="str">
        <f>IFERROR(__xludf.DUMMYFUNCTION("IF(A463&gt;0,IFERROR(MAX(FILTER('Барабан'!AJ:AJ,'Барабан'!V:V=A463)),""–""),"""")"),"")</f>
        <v/>
      </c>
    </row>
    <row r="464" ht="15.75" customHeight="1">
      <c r="A464" s="1" t="str">
        <f>'Справочник'!E459</f>
        <v/>
      </c>
      <c r="B464" s="2" t="str">
        <f>IF(A464&gt;0,SUMIF('Барабан'!K:K,A464,'Барабан'!I:I),"")</f>
        <v/>
      </c>
      <c r="C464" s="2" t="str">
        <f>IF(A464&gt;0,SUMIF('Барабан'!V:V,A464,'Барабан'!T:T),"")</f>
        <v/>
      </c>
      <c r="D464" s="2" t="str">
        <f>IF(A464&gt;0,SUMIF('Барабан'!K:K,A464,'Барабан'!AG:AG)+SUMIF('Барабан'!V:V,A464,'Барабан'!AG:AG),"")</f>
        <v/>
      </c>
      <c r="E464" s="2" t="str">
        <f t="shared" si="1"/>
        <v/>
      </c>
      <c r="F464" s="2" t="str">
        <f t="array" ref="F464">IFERROR(IF(E464=0,0,INDEX('Справочник'!G:G,MATCH(A464,'Справочник'!F:F,0))))</f>
        <v/>
      </c>
      <c r="G464" s="2" t="str">
        <f>IF(A464&gt;0,SUMIF('Барабан'!K:K,A464,'Барабан'!P:P),"")</f>
        <v/>
      </c>
      <c r="H464" s="2" t="str">
        <f>IF(A464&gt;0,SUMIF('Барабан'!V:V,A464,'Барабан'!AA:AA),"")</f>
        <v/>
      </c>
      <c r="I464" s="2" t="str">
        <f t="shared" si="4"/>
        <v/>
      </c>
      <c r="J464" s="9" t="str">
        <f t="shared" si="2"/>
        <v/>
      </c>
      <c r="K464" s="1" t="str">
        <f>IF(A464&gt;0,COUNTIF('Барабан'!K:K,A464),"")</f>
        <v/>
      </c>
      <c r="L464" s="1" t="str">
        <f>IF(A464&gt;0,COUNTIF('Барабан'!V:V,A464),"")</f>
        <v/>
      </c>
      <c r="M464" s="1" t="str">
        <f t="shared" si="3"/>
        <v/>
      </c>
      <c r="N464" s="1" t="str">
        <f>IFERROR(__xludf.DUMMYFUNCTION("IF(A464&gt;0,MIN(FILTER('Барабан'!AJ:AJ,'Барабан'!K:K=A464)),"""")"),"")</f>
        <v/>
      </c>
      <c r="O464" s="16" t="str">
        <f>IFERROR(__xludf.DUMMYFUNCTION("IF(A464&gt;0,IFERROR(MAX(FILTER('Барабан'!AJ:AJ,'Барабан'!V:V=A464)),""–""),"""")"),"")</f>
        <v/>
      </c>
    </row>
    <row r="465" ht="15.75" customHeight="1">
      <c r="A465" s="1" t="str">
        <f>'Справочник'!E460</f>
        <v/>
      </c>
      <c r="B465" s="2" t="str">
        <f>IF(A465&gt;0,SUMIF('Барабан'!K:K,A465,'Барабан'!I:I),"")</f>
        <v/>
      </c>
      <c r="C465" s="2" t="str">
        <f>IF(A465&gt;0,SUMIF('Барабан'!V:V,A465,'Барабан'!T:T),"")</f>
        <v/>
      </c>
      <c r="D465" s="2" t="str">
        <f>IF(A465&gt;0,SUMIF('Барабан'!K:K,A465,'Барабан'!AG:AG)+SUMIF('Барабан'!V:V,A465,'Барабан'!AG:AG),"")</f>
        <v/>
      </c>
      <c r="E465" s="2" t="str">
        <f t="shared" si="1"/>
        <v/>
      </c>
      <c r="F465" s="2" t="str">
        <f t="array" ref="F465">IFERROR(IF(E465=0,0,INDEX('Справочник'!G:G,MATCH(A465,'Справочник'!F:F,0))))</f>
        <v/>
      </c>
      <c r="G465" s="2" t="str">
        <f>IF(A465&gt;0,SUMIF('Барабан'!K:K,A465,'Барабан'!P:P),"")</f>
        <v/>
      </c>
      <c r="H465" s="2" t="str">
        <f>IF(A465&gt;0,SUMIF('Барабан'!V:V,A465,'Барабан'!AA:AA),"")</f>
        <v/>
      </c>
      <c r="I465" s="2" t="str">
        <f t="shared" si="4"/>
        <v/>
      </c>
      <c r="J465" s="9" t="str">
        <f t="shared" si="2"/>
        <v/>
      </c>
      <c r="K465" s="1" t="str">
        <f>IF(A465&gt;0,COUNTIF('Барабан'!K:K,A465),"")</f>
        <v/>
      </c>
      <c r="L465" s="1" t="str">
        <f>IF(A465&gt;0,COUNTIF('Барабан'!V:V,A465),"")</f>
        <v/>
      </c>
      <c r="M465" s="1" t="str">
        <f t="shared" si="3"/>
        <v/>
      </c>
      <c r="N465" s="1" t="str">
        <f>IFERROR(__xludf.DUMMYFUNCTION("IF(A465&gt;0,MIN(FILTER('Барабан'!AJ:AJ,'Барабан'!K:K=A465)),"""")"),"")</f>
        <v/>
      </c>
      <c r="O465" s="16" t="str">
        <f>IFERROR(__xludf.DUMMYFUNCTION("IF(A465&gt;0,IFERROR(MAX(FILTER('Барабан'!AJ:AJ,'Барабан'!V:V=A465)),""–""),"""")"),"")</f>
        <v/>
      </c>
    </row>
    <row r="466" ht="15.75" customHeight="1">
      <c r="A466" s="1" t="str">
        <f>'Справочник'!E461</f>
        <v/>
      </c>
      <c r="B466" s="2" t="str">
        <f>IF(A466&gt;0,SUMIF('Барабан'!K:K,A466,'Барабан'!I:I),"")</f>
        <v/>
      </c>
      <c r="C466" s="2" t="str">
        <f>IF(A466&gt;0,SUMIF('Барабан'!V:V,A466,'Барабан'!T:T),"")</f>
        <v/>
      </c>
      <c r="D466" s="2" t="str">
        <f>IF(A466&gt;0,SUMIF('Барабан'!K:K,A466,'Барабан'!AG:AG)+SUMIF('Барабан'!V:V,A466,'Барабан'!AG:AG),"")</f>
        <v/>
      </c>
      <c r="E466" s="2" t="str">
        <f t="shared" si="1"/>
        <v/>
      </c>
      <c r="F466" s="2" t="str">
        <f t="array" ref="F466">IFERROR(IF(E466=0,0,INDEX('Справочник'!G:G,MATCH(A466,'Справочник'!F:F,0))))</f>
        <v/>
      </c>
      <c r="G466" s="2" t="str">
        <f>IF(A466&gt;0,SUMIF('Барабан'!K:K,A466,'Барабан'!P:P),"")</f>
        <v/>
      </c>
      <c r="H466" s="2" t="str">
        <f>IF(A466&gt;0,SUMIF('Барабан'!V:V,A466,'Барабан'!AA:AA),"")</f>
        <v/>
      </c>
      <c r="I466" s="2" t="str">
        <f t="shared" si="4"/>
        <v/>
      </c>
      <c r="J466" s="9" t="str">
        <f t="shared" si="2"/>
        <v/>
      </c>
      <c r="K466" s="1" t="str">
        <f>IF(A466&gt;0,COUNTIF('Барабан'!K:K,A466),"")</f>
        <v/>
      </c>
      <c r="L466" s="1" t="str">
        <f>IF(A466&gt;0,COUNTIF('Барабан'!V:V,A466),"")</f>
        <v/>
      </c>
      <c r="M466" s="1" t="str">
        <f t="shared" si="3"/>
        <v/>
      </c>
      <c r="N466" s="1" t="str">
        <f>IFERROR(__xludf.DUMMYFUNCTION("IF(A466&gt;0,MIN(FILTER('Барабан'!AJ:AJ,'Барабан'!K:K=A466)),"""")"),"")</f>
        <v/>
      </c>
      <c r="O466" s="16" t="str">
        <f>IFERROR(__xludf.DUMMYFUNCTION("IF(A466&gt;0,IFERROR(MAX(FILTER('Барабан'!AJ:AJ,'Барабан'!V:V=A466)),""–""),"""")"),"")</f>
        <v/>
      </c>
    </row>
    <row r="467" ht="15.75" customHeight="1">
      <c r="A467" s="1" t="str">
        <f>'Справочник'!E462</f>
        <v/>
      </c>
      <c r="B467" s="2" t="str">
        <f>IF(A467&gt;0,SUMIF('Барабан'!K:K,A467,'Барабан'!I:I),"")</f>
        <v/>
      </c>
      <c r="C467" s="2" t="str">
        <f>IF(A467&gt;0,SUMIF('Барабан'!V:V,A467,'Барабан'!T:T),"")</f>
        <v/>
      </c>
      <c r="D467" s="2" t="str">
        <f>IF(A467&gt;0,SUMIF('Барабан'!K:K,A467,'Барабан'!AG:AG)+SUMIF('Барабан'!V:V,A467,'Барабан'!AG:AG),"")</f>
        <v/>
      </c>
      <c r="E467" s="2" t="str">
        <f t="shared" si="1"/>
        <v/>
      </c>
      <c r="F467" s="2" t="str">
        <f t="array" ref="F467">IFERROR(IF(E467=0,0,INDEX('Справочник'!G:G,MATCH(A467,'Справочник'!F:F,0))))</f>
        <v/>
      </c>
      <c r="G467" s="2" t="str">
        <f>IF(A467&gt;0,SUMIF('Барабан'!K:K,A467,'Барабан'!P:P),"")</f>
        <v/>
      </c>
      <c r="H467" s="2" t="str">
        <f>IF(A467&gt;0,SUMIF('Барабан'!V:V,A467,'Барабан'!AA:AA),"")</f>
        <v/>
      </c>
      <c r="I467" s="2" t="str">
        <f t="shared" si="4"/>
        <v/>
      </c>
      <c r="J467" s="9" t="str">
        <f t="shared" si="2"/>
        <v/>
      </c>
      <c r="K467" s="1" t="str">
        <f>IF(A467&gt;0,COUNTIF('Барабан'!K:K,A467),"")</f>
        <v/>
      </c>
      <c r="L467" s="1" t="str">
        <f>IF(A467&gt;0,COUNTIF('Барабан'!V:V,A467),"")</f>
        <v/>
      </c>
      <c r="M467" s="1" t="str">
        <f t="shared" si="3"/>
        <v/>
      </c>
      <c r="N467" s="1" t="str">
        <f>IFERROR(__xludf.DUMMYFUNCTION("IF(A467&gt;0,MIN(FILTER('Барабан'!AJ:AJ,'Барабан'!K:K=A467)),"""")"),"")</f>
        <v/>
      </c>
      <c r="O467" s="16" t="str">
        <f>IFERROR(__xludf.DUMMYFUNCTION("IF(A467&gt;0,IFERROR(MAX(FILTER('Барабан'!AJ:AJ,'Барабан'!V:V=A467)),""–""),"""")"),"")</f>
        <v/>
      </c>
    </row>
    <row r="468" ht="15.75" customHeight="1">
      <c r="A468" s="1" t="str">
        <f>'Справочник'!E463</f>
        <v/>
      </c>
      <c r="B468" s="2" t="str">
        <f>IF(A468&gt;0,SUMIF('Барабан'!K:K,A468,'Барабан'!I:I),"")</f>
        <v/>
      </c>
      <c r="C468" s="2" t="str">
        <f>IF(A468&gt;0,SUMIF('Барабан'!V:V,A468,'Барабан'!T:T),"")</f>
        <v/>
      </c>
      <c r="D468" s="2" t="str">
        <f>IF(A468&gt;0,SUMIF('Барабан'!K:K,A468,'Барабан'!AG:AG)+SUMIF('Барабан'!V:V,A468,'Барабан'!AG:AG),"")</f>
        <v/>
      </c>
      <c r="E468" s="2" t="str">
        <f t="shared" si="1"/>
        <v/>
      </c>
      <c r="F468" s="2" t="str">
        <f t="array" ref="F468">IFERROR(IF(E468=0,0,INDEX('Справочник'!G:G,MATCH(A468,'Справочник'!F:F,0))))</f>
        <v/>
      </c>
      <c r="G468" s="2" t="str">
        <f>IF(A468&gt;0,SUMIF('Барабан'!K:K,A468,'Барабан'!P:P),"")</f>
        <v/>
      </c>
      <c r="H468" s="2" t="str">
        <f>IF(A468&gt;0,SUMIF('Барабан'!V:V,A468,'Барабан'!AA:AA),"")</f>
        <v/>
      </c>
      <c r="I468" s="2" t="str">
        <f t="shared" si="4"/>
        <v/>
      </c>
      <c r="J468" s="9" t="str">
        <f t="shared" si="2"/>
        <v/>
      </c>
      <c r="K468" s="1" t="str">
        <f>IF(A468&gt;0,COUNTIF('Барабан'!K:K,A468),"")</f>
        <v/>
      </c>
      <c r="L468" s="1" t="str">
        <f>IF(A468&gt;0,COUNTIF('Барабан'!V:V,A468),"")</f>
        <v/>
      </c>
      <c r="M468" s="1" t="str">
        <f t="shared" si="3"/>
        <v/>
      </c>
      <c r="N468" s="1" t="str">
        <f>IFERROR(__xludf.DUMMYFUNCTION("IF(A468&gt;0,MIN(FILTER('Барабан'!AJ:AJ,'Барабан'!K:K=A468)),"""")"),"")</f>
        <v/>
      </c>
      <c r="O468" s="16" t="str">
        <f>IFERROR(__xludf.DUMMYFUNCTION("IF(A468&gt;0,IFERROR(MAX(FILTER('Барабан'!AJ:AJ,'Барабан'!V:V=A468)),""–""),"""")"),"")</f>
        <v/>
      </c>
    </row>
    <row r="469" ht="15.75" customHeight="1">
      <c r="A469" s="1" t="str">
        <f>'Справочник'!E464</f>
        <v/>
      </c>
      <c r="B469" s="2" t="str">
        <f>IF(A469&gt;0,SUMIF('Барабан'!K:K,A469,'Барабан'!I:I),"")</f>
        <v/>
      </c>
      <c r="C469" s="2" t="str">
        <f>IF(A469&gt;0,SUMIF('Барабан'!V:V,A469,'Барабан'!T:T),"")</f>
        <v/>
      </c>
      <c r="D469" s="2" t="str">
        <f>IF(A469&gt;0,SUMIF('Барабан'!K:K,A469,'Барабан'!AG:AG)+SUMIF('Барабан'!V:V,A469,'Барабан'!AG:AG),"")</f>
        <v/>
      </c>
      <c r="E469" s="2" t="str">
        <f t="shared" si="1"/>
        <v/>
      </c>
      <c r="F469" s="2" t="str">
        <f t="array" ref="F469">IFERROR(IF(E469=0,0,INDEX('Справочник'!G:G,MATCH(A469,'Справочник'!F:F,0))))</f>
        <v/>
      </c>
      <c r="G469" s="2" t="str">
        <f>IF(A469&gt;0,SUMIF('Барабан'!K:K,A469,'Барабан'!P:P),"")</f>
        <v/>
      </c>
      <c r="H469" s="2" t="str">
        <f>IF(A469&gt;0,SUMIF('Барабан'!V:V,A469,'Барабан'!AA:AA),"")</f>
        <v/>
      </c>
      <c r="I469" s="2" t="str">
        <f t="shared" si="4"/>
        <v/>
      </c>
      <c r="J469" s="9" t="str">
        <f t="shared" si="2"/>
        <v/>
      </c>
      <c r="K469" s="1" t="str">
        <f>IF(A469&gt;0,COUNTIF('Барабан'!K:K,A469),"")</f>
        <v/>
      </c>
      <c r="L469" s="1" t="str">
        <f>IF(A469&gt;0,COUNTIF('Барабан'!V:V,A469),"")</f>
        <v/>
      </c>
      <c r="M469" s="1" t="str">
        <f t="shared" si="3"/>
        <v/>
      </c>
      <c r="N469" s="1" t="str">
        <f>IFERROR(__xludf.DUMMYFUNCTION("IF(A469&gt;0,MIN(FILTER('Барабан'!AJ:AJ,'Барабан'!K:K=A469)),"""")"),"")</f>
        <v/>
      </c>
      <c r="O469" s="16" t="str">
        <f>IFERROR(__xludf.DUMMYFUNCTION("IF(A469&gt;0,IFERROR(MAX(FILTER('Барабан'!AJ:AJ,'Барабан'!V:V=A469)),""–""),"""")"),"")</f>
        <v/>
      </c>
    </row>
    <row r="470" ht="15.75" customHeight="1">
      <c r="A470" s="1" t="str">
        <f>'Справочник'!E465</f>
        <v/>
      </c>
      <c r="B470" s="2" t="str">
        <f>IF(A470&gt;0,SUMIF('Барабан'!K:K,A470,'Барабан'!I:I),"")</f>
        <v/>
      </c>
      <c r="C470" s="2" t="str">
        <f>IF(A470&gt;0,SUMIF('Барабан'!V:V,A470,'Барабан'!T:T),"")</f>
        <v/>
      </c>
      <c r="D470" s="2" t="str">
        <f>IF(A470&gt;0,SUMIF('Барабан'!K:K,A470,'Барабан'!AG:AG)+SUMIF('Барабан'!V:V,A470,'Барабан'!AG:AG),"")</f>
        <v/>
      </c>
      <c r="E470" s="2" t="str">
        <f t="shared" si="1"/>
        <v/>
      </c>
      <c r="F470" s="2" t="str">
        <f t="array" ref="F470">IFERROR(IF(E470=0,0,INDEX('Справочник'!G:G,MATCH(A470,'Справочник'!F:F,0))))</f>
        <v/>
      </c>
      <c r="G470" s="2" t="str">
        <f>IF(A470&gt;0,SUMIF('Барабан'!K:K,A470,'Барабан'!P:P),"")</f>
        <v/>
      </c>
      <c r="H470" s="2" t="str">
        <f>IF(A470&gt;0,SUMIF('Барабан'!V:V,A470,'Барабан'!AA:AA),"")</f>
        <v/>
      </c>
      <c r="I470" s="2" t="str">
        <f t="shared" si="4"/>
        <v/>
      </c>
      <c r="J470" s="9" t="str">
        <f t="shared" si="2"/>
        <v/>
      </c>
      <c r="K470" s="1" t="str">
        <f>IF(A470&gt;0,COUNTIF('Барабан'!K:K,A470),"")</f>
        <v/>
      </c>
      <c r="L470" s="1" t="str">
        <f>IF(A470&gt;0,COUNTIF('Барабан'!V:V,A470),"")</f>
        <v/>
      </c>
      <c r="M470" s="1" t="str">
        <f t="shared" si="3"/>
        <v/>
      </c>
      <c r="N470" s="1" t="str">
        <f>IFERROR(__xludf.DUMMYFUNCTION("IF(A470&gt;0,MIN(FILTER('Барабан'!AJ:AJ,'Барабан'!K:K=A470)),"""")"),"")</f>
        <v/>
      </c>
      <c r="O470" s="16" t="str">
        <f>IFERROR(__xludf.DUMMYFUNCTION("IF(A470&gt;0,IFERROR(MAX(FILTER('Барабан'!AJ:AJ,'Барабан'!V:V=A470)),""–""),"""")"),"")</f>
        <v/>
      </c>
    </row>
    <row r="471" ht="15.75" customHeight="1">
      <c r="A471" s="1" t="str">
        <f>'Справочник'!E466</f>
        <v/>
      </c>
      <c r="B471" s="2" t="str">
        <f>IF(A471&gt;0,SUMIF('Барабан'!K:K,A471,'Барабан'!I:I),"")</f>
        <v/>
      </c>
      <c r="C471" s="2" t="str">
        <f>IF(A471&gt;0,SUMIF('Барабан'!V:V,A471,'Барабан'!T:T),"")</f>
        <v/>
      </c>
      <c r="D471" s="2" t="str">
        <f>IF(A471&gt;0,SUMIF('Барабан'!K:K,A471,'Барабан'!AG:AG)+SUMIF('Барабан'!V:V,A471,'Барабан'!AG:AG),"")</f>
        <v/>
      </c>
      <c r="E471" s="2" t="str">
        <f t="shared" si="1"/>
        <v/>
      </c>
      <c r="F471" s="2" t="str">
        <f t="array" ref="F471">IFERROR(IF(E471=0,0,INDEX('Справочник'!G:G,MATCH(A471,'Справочник'!F:F,0))))</f>
        <v/>
      </c>
      <c r="G471" s="2" t="str">
        <f>IF(A471&gt;0,SUMIF('Барабан'!K:K,A471,'Барабан'!P:P),"")</f>
        <v/>
      </c>
      <c r="H471" s="2" t="str">
        <f>IF(A471&gt;0,SUMIF('Барабан'!V:V,A471,'Барабан'!AA:AA),"")</f>
        <v/>
      </c>
      <c r="I471" s="2" t="str">
        <f t="shared" si="4"/>
        <v/>
      </c>
      <c r="J471" s="9" t="str">
        <f t="shared" si="2"/>
        <v/>
      </c>
      <c r="K471" s="1" t="str">
        <f>IF(A471&gt;0,COUNTIF('Барабан'!K:K,A471),"")</f>
        <v/>
      </c>
      <c r="L471" s="1" t="str">
        <f>IF(A471&gt;0,COUNTIF('Барабан'!V:V,A471),"")</f>
        <v/>
      </c>
      <c r="M471" s="1" t="str">
        <f t="shared" si="3"/>
        <v/>
      </c>
      <c r="N471" s="1" t="str">
        <f>IFERROR(__xludf.DUMMYFUNCTION("IF(A471&gt;0,MIN(FILTER('Барабан'!AJ:AJ,'Барабан'!K:K=A471)),"""")"),"")</f>
        <v/>
      </c>
      <c r="O471" s="16" t="str">
        <f>IFERROR(__xludf.DUMMYFUNCTION("IF(A471&gt;0,IFERROR(MAX(FILTER('Барабан'!AJ:AJ,'Барабан'!V:V=A471)),""–""),"""")"),"")</f>
        <v/>
      </c>
    </row>
    <row r="472" ht="15.75" customHeight="1">
      <c r="A472" s="1" t="str">
        <f>'Справочник'!E467</f>
        <v/>
      </c>
      <c r="B472" s="2" t="str">
        <f>IF(A472&gt;0,SUMIF('Барабан'!K:K,A472,'Барабан'!I:I),"")</f>
        <v/>
      </c>
      <c r="C472" s="2" t="str">
        <f>IF(A472&gt;0,SUMIF('Барабан'!V:V,A472,'Барабан'!T:T),"")</f>
        <v/>
      </c>
      <c r="D472" s="2" t="str">
        <f>IF(A472&gt;0,SUMIF('Барабан'!K:K,A472,'Барабан'!AG:AG)+SUMIF('Барабан'!V:V,A472,'Барабан'!AG:AG),"")</f>
        <v/>
      </c>
      <c r="E472" s="2" t="str">
        <f t="shared" si="1"/>
        <v/>
      </c>
      <c r="F472" s="2" t="str">
        <f t="array" ref="F472">IFERROR(IF(E472=0,0,INDEX('Справочник'!G:G,MATCH(A472,'Справочник'!F:F,0))))</f>
        <v/>
      </c>
      <c r="G472" s="2" t="str">
        <f>IF(A472&gt;0,SUMIF('Барабан'!K:K,A472,'Барабан'!P:P),"")</f>
        <v/>
      </c>
      <c r="H472" s="2" t="str">
        <f>IF(A472&gt;0,SUMIF('Барабан'!V:V,A472,'Барабан'!AA:AA),"")</f>
        <v/>
      </c>
      <c r="I472" s="2" t="str">
        <f t="shared" si="4"/>
        <v/>
      </c>
      <c r="J472" s="9" t="str">
        <f t="shared" si="2"/>
        <v/>
      </c>
      <c r="K472" s="1" t="str">
        <f>IF(A472&gt;0,COUNTIF('Барабан'!K:K,A472),"")</f>
        <v/>
      </c>
      <c r="L472" s="1" t="str">
        <f>IF(A472&gt;0,COUNTIF('Барабан'!V:V,A472),"")</f>
        <v/>
      </c>
      <c r="M472" s="1" t="str">
        <f t="shared" si="3"/>
        <v/>
      </c>
      <c r="N472" s="1" t="str">
        <f>IFERROR(__xludf.DUMMYFUNCTION("IF(A472&gt;0,MIN(FILTER('Барабан'!AJ:AJ,'Барабан'!K:K=A472)),"""")"),"")</f>
        <v/>
      </c>
      <c r="O472" s="16" t="str">
        <f>IFERROR(__xludf.DUMMYFUNCTION("IF(A472&gt;0,IFERROR(MAX(FILTER('Барабан'!AJ:AJ,'Барабан'!V:V=A472)),""–""),"""")"),"")</f>
        <v/>
      </c>
    </row>
    <row r="473" ht="15.75" customHeight="1">
      <c r="A473" s="1" t="str">
        <f>'Справочник'!E468</f>
        <v/>
      </c>
      <c r="B473" s="2" t="str">
        <f>IF(A473&gt;0,SUMIF('Барабан'!K:K,A473,'Барабан'!I:I),"")</f>
        <v/>
      </c>
      <c r="C473" s="2" t="str">
        <f>IF(A473&gt;0,SUMIF('Барабан'!V:V,A473,'Барабан'!T:T),"")</f>
        <v/>
      </c>
      <c r="D473" s="2" t="str">
        <f>IF(A473&gt;0,SUMIF('Барабан'!K:K,A473,'Барабан'!AG:AG)+SUMIF('Барабан'!V:V,A473,'Барабан'!AG:AG),"")</f>
        <v/>
      </c>
      <c r="E473" s="2" t="str">
        <f t="shared" si="1"/>
        <v/>
      </c>
      <c r="F473" s="2" t="str">
        <f t="array" ref="F473">IFERROR(IF(E473=0,0,INDEX('Справочник'!G:G,MATCH(A473,'Справочник'!F:F,0))))</f>
        <v/>
      </c>
      <c r="G473" s="2" t="str">
        <f>IF(A473&gt;0,SUMIF('Барабан'!K:K,A473,'Барабан'!P:P),"")</f>
        <v/>
      </c>
      <c r="H473" s="2" t="str">
        <f>IF(A473&gt;0,SUMIF('Барабан'!V:V,A473,'Барабан'!AA:AA),"")</f>
        <v/>
      </c>
      <c r="I473" s="2" t="str">
        <f t="shared" si="4"/>
        <v/>
      </c>
      <c r="J473" s="9" t="str">
        <f t="shared" si="2"/>
        <v/>
      </c>
      <c r="K473" s="1" t="str">
        <f>IF(A473&gt;0,COUNTIF('Барабан'!K:K,A473),"")</f>
        <v/>
      </c>
      <c r="L473" s="1" t="str">
        <f>IF(A473&gt;0,COUNTIF('Барабан'!V:V,A473),"")</f>
        <v/>
      </c>
      <c r="M473" s="1" t="str">
        <f t="shared" si="3"/>
        <v/>
      </c>
      <c r="N473" s="1" t="str">
        <f>IFERROR(__xludf.DUMMYFUNCTION("IF(A473&gt;0,MIN(FILTER('Барабан'!AJ:AJ,'Барабан'!K:K=A473)),"""")"),"")</f>
        <v/>
      </c>
      <c r="O473" s="16" t="str">
        <f>IFERROR(__xludf.DUMMYFUNCTION("IF(A473&gt;0,IFERROR(MAX(FILTER('Барабан'!AJ:AJ,'Барабан'!V:V=A473)),""–""),"""")"),"")</f>
        <v/>
      </c>
    </row>
    <row r="474" ht="15.75" customHeight="1">
      <c r="A474" s="1" t="str">
        <f>'Справочник'!E469</f>
        <v/>
      </c>
      <c r="B474" s="2" t="str">
        <f>IF(A474&gt;0,SUMIF('Барабан'!K:K,A474,'Барабан'!I:I),"")</f>
        <v/>
      </c>
      <c r="C474" s="2" t="str">
        <f>IF(A474&gt;0,SUMIF('Барабан'!V:V,A474,'Барабан'!T:T),"")</f>
        <v/>
      </c>
      <c r="D474" s="2" t="str">
        <f>IF(A474&gt;0,SUMIF('Барабан'!K:K,A474,'Барабан'!AG:AG)+SUMIF('Барабан'!V:V,A474,'Барабан'!AG:AG),"")</f>
        <v/>
      </c>
      <c r="E474" s="2" t="str">
        <f t="shared" si="1"/>
        <v/>
      </c>
      <c r="F474" s="2" t="str">
        <f t="array" ref="F474">IFERROR(IF(E474=0,0,INDEX('Справочник'!G:G,MATCH(A474,'Справочник'!F:F,0))))</f>
        <v/>
      </c>
      <c r="G474" s="2" t="str">
        <f>IF(A474&gt;0,SUMIF('Барабан'!K:K,A474,'Барабан'!P:P),"")</f>
        <v/>
      </c>
      <c r="H474" s="2" t="str">
        <f>IF(A474&gt;0,SUMIF('Барабан'!V:V,A474,'Барабан'!AA:AA),"")</f>
        <v/>
      </c>
      <c r="I474" s="2" t="str">
        <f t="shared" si="4"/>
        <v/>
      </c>
      <c r="J474" s="9" t="str">
        <f t="shared" si="2"/>
        <v/>
      </c>
      <c r="K474" s="1" t="str">
        <f>IF(A474&gt;0,COUNTIF('Барабан'!K:K,A474),"")</f>
        <v/>
      </c>
      <c r="L474" s="1" t="str">
        <f>IF(A474&gt;0,COUNTIF('Барабан'!V:V,A474),"")</f>
        <v/>
      </c>
      <c r="M474" s="1" t="str">
        <f t="shared" si="3"/>
        <v/>
      </c>
      <c r="N474" s="1" t="str">
        <f>IFERROR(__xludf.DUMMYFUNCTION("IF(A474&gt;0,MIN(FILTER('Барабан'!AJ:AJ,'Барабан'!K:K=A474)),"""")"),"")</f>
        <v/>
      </c>
      <c r="O474" s="16" t="str">
        <f>IFERROR(__xludf.DUMMYFUNCTION("IF(A474&gt;0,IFERROR(MAX(FILTER('Барабан'!AJ:AJ,'Барабан'!V:V=A474)),""–""),"""")"),"")</f>
        <v/>
      </c>
    </row>
    <row r="475" ht="15.75" customHeight="1">
      <c r="A475" s="1" t="str">
        <f>'Справочник'!E470</f>
        <v/>
      </c>
      <c r="B475" s="2" t="str">
        <f>IF(A475&gt;0,SUMIF('Барабан'!K:K,A475,'Барабан'!I:I),"")</f>
        <v/>
      </c>
      <c r="C475" s="2" t="str">
        <f>IF(A475&gt;0,SUMIF('Барабан'!V:V,A475,'Барабан'!T:T),"")</f>
        <v/>
      </c>
      <c r="D475" s="2" t="str">
        <f>IF(A475&gt;0,SUMIF('Барабан'!K:K,A475,'Барабан'!AG:AG)+SUMIF('Барабан'!V:V,A475,'Барабан'!AG:AG),"")</f>
        <v/>
      </c>
      <c r="E475" s="2" t="str">
        <f t="shared" si="1"/>
        <v/>
      </c>
      <c r="F475" s="2" t="str">
        <f t="array" ref="F475">IFERROR(IF(E475=0,0,INDEX('Справочник'!G:G,MATCH(A475,'Справочник'!F:F,0))))</f>
        <v/>
      </c>
      <c r="G475" s="2" t="str">
        <f>IF(A475&gt;0,SUMIF('Барабан'!K:K,A475,'Барабан'!P:P),"")</f>
        <v/>
      </c>
      <c r="H475" s="2" t="str">
        <f>IF(A475&gt;0,SUMIF('Барабан'!V:V,A475,'Барабан'!AA:AA),"")</f>
        <v/>
      </c>
      <c r="I475" s="2" t="str">
        <f t="shared" si="4"/>
        <v/>
      </c>
      <c r="J475" s="9" t="str">
        <f t="shared" si="2"/>
        <v/>
      </c>
      <c r="K475" s="1" t="str">
        <f>IF(A475&gt;0,COUNTIF('Барабан'!K:K,A475),"")</f>
        <v/>
      </c>
      <c r="L475" s="1" t="str">
        <f>IF(A475&gt;0,COUNTIF('Барабан'!V:V,A475),"")</f>
        <v/>
      </c>
      <c r="M475" s="1" t="str">
        <f t="shared" si="3"/>
        <v/>
      </c>
      <c r="N475" s="1" t="str">
        <f>IFERROR(__xludf.DUMMYFUNCTION("IF(A475&gt;0,MIN(FILTER('Барабан'!AJ:AJ,'Барабан'!K:K=A475)),"""")"),"")</f>
        <v/>
      </c>
      <c r="O475" s="16" t="str">
        <f>IFERROR(__xludf.DUMMYFUNCTION("IF(A475&gt;0,IFERROR(MAX(FILTER('Барабан'!AJ:AJ,'Барабан'!V:V=A475)),""–""),"""")"),"")</f>
        <v/>
      </c>
    </row>
    <row r="476" ht="15.75" customHeight="1">
      <c r="A476" s="1" t="str">
        <f>'Справочник'!E471</f>
        <v/>
      </c>
      <c r="B476" s="2" t="str">
        <f>IF(A476&gt;0,SUMIF('Барабан'!K:K,A476,'Барабан'!I:I),"")</f>
        <v/>
      </c>
      <c r="C476" s="2" t="str">
        <f>IF(A476&gt;0,SUMIF('Барабан'!V:V,A476,'Барабан'!T:T),"")</f>
        <v/>
      </c>
      <c r="D476" s="2" t="str">
        <f>IF(A476&gt;0,SUMIF('Барабан'!K:K,A476,'Барабан'!AG:AG)+SUMIF('Барабан'!V:V,A476,'Барабан'!AG:AG),"")</f>
        <v/>
      </c>
      <c r="E476" s="2" t="str">
        <f t="shared" si="1"/>
        <v/>
      </c>
      <c r="F476" s="2" t="str">
        <f t="array" ref="F476">IFERROR(IF(E476=0,0,INDEX('Справочник'!G:G,MATCH(A476,'Справочник'!F:F,0))))</f>
        <v/>
      </c>
      <c r="G476" s="2" t="str">
        <f>IF(A476&gt;0,SUMIF('Барабан'!K:K,A476,'Барабан'!P:P),"")</f>
        <v/>
      </c>
      <c r="H476" s="2" t="str">
        <f>IF(A476&gt;0,SUMIF('Барабан'!V:V,A476,'Барабан'!AA:AA),"")</f>
        <v/>
      </c>
      <c r="I476" s="2" t="str">
        <f t="shared" si="4"/>
        <v/>
      </c>
      <c r="J476" s="9" t="str">
        <f t="shared" si="2"/>
        <v/>
      </c>
      <c r="K476" s="1" t="str">
        <f>IF(A476&gt;0,COUNTIF('Барабан'!K:K,A476),"")</f>
        <v/>
      </c>
      <c r="L476" s="1" t="str">
        <f>IF(A476&gt;0,COUNTIF('Барабан'!V:V,A476),"")</f>
        <v/>
      </c>
      <c r="M476" s="1" t="str">
        <f t="shared" si="3"/>
        <v/>
      </c>
      <c r="N476" s="1" t="str">
        <f>IFERROR(__xludf.DUMMYFUNCTION("IF(A476&gt;0,MIN(FILTER('Барабан'!AJ:AJ,'Барабан'!K:K=A476)),"""")"),"")</f>
        <v/>
      </c>
      <c r="O476" s="16" t="str">
        <f>IFERROR(__xludf.DUMMYFUNCTION("IF(A476&gt;0,IFERROR(MAX(FILTER('Барабан'!AJ:AJ,'Барабан'!V:V=A476)),""–""),"""")"),"")</f>
        <v/>
      </c>
    </row>
    <row r="477" ht="15.75" customHeight="1">
      <c r="A477" s="1" t="str">
        <f>'Справочник'!E472</f>
        <v/>
      </c>
      <c r="B477" s="2" t="str">
        <f>IF(A477&gt;0,SUMIF('Барабан'!K:K,A477,'Барабан'!I:I),"")</f>
        <v/>
      </c>
      <c r="C477" s="2" t="str">
        <f>IF(A477&gt;0,SUMIF('Барабан'!V:V,A477,'Барабан'!T:T),"")</f>
        <v/>
      </c>
      <c r="D477" s="2" t="str">
        <f>IF(A477&gt;0,SUMIF('Барабан'!K:K,A477,'Барабан'!AG:AG)+SUMIF('Барабан'!V:V,A477,'Барабан'!AG:AG),"")</f>
        <v/>
      </c>
      <c r="E477" s="2" t="str">
        <f t="shared" si="1"/>
        <v/>
      </c>
      <c r="F477" s="2" t="str">
        <f t="array" ref="F477">IFERROR(IF(E477=0,0,INDEX('Справочник'!G:G,MATCH(A477,'Справочник'!F:F,0))))</f>
        <v/>
      </c>
      <c r="G477" s="2" t="str">
        <f>IF(A477&gt;0,SUMIF('Барабан'!K:K,A477,'Барабан'!P:P),"")</f>
        <v/>
      </c>
      <c r="H477" s="2" t="str">
        <f>IF(A477&gt;0,SUMIF('Барабан'!V:V,A477,'Барабан'!AA:AA),"")</f>
        <v/>
      </c>
      <c r="I477" s="2" t="str">
        <f t="shared" si="4"/>
        <v/>
      </c>
      <c r="J477" s="9" t="str">
        <f t="shared" si="2"/>
        <v/>
      </c>
      <c r="K477" s="1" t="str">
        <f>IF(A477&gt;0,COUNTIF('Барабан'!K:K,A477),"")</f>
        <v/>
      </c>
      <c r="L477" s="1" t="str">
        <f>IF(A477&gt;0,COUNTIF('Барабан'!V:V,A477),"")</f>
        <v/>
      </c>
      <c r="M477" s="1" t="str">
        <f t="shared" si="3"/>
        <v/>
      </c>
      <c r="N477" s="1" t="str">
        <f>IFERROR(__xludf.DUMMYFUNCTION("IF(A477&gt;0,MIN(FILTER('Барабан'!AJ:AJ,'Барабан'!K:K=A477)),"""")"),"")</f>
        <v/>
      </c>
      <c r="O477" s="16" t="str">
        <f>IFERROR(__xludf.DUMMYFUNCTION("IF(A477&gt;0,IFERROR(MAX(FILTER('Барабан'!AJ:AJ,'Барабан'!V:V=A477)),""–""),"""")"),"")</f>
        <v/>
      </c>
    </row>
    <row r="478" ht="15.75" customHeight="1">
      <c r="A478" s="1" t="str">
        <f>'Справочник'!E473</f>
        <v/>
      </c>
      <c r="B478" s="2" t="str">
        <f>IF(A478&gt;0,SUMIF('Барабан'!K:K,A478,'Барабан'!I:I),"")</f>
        <v/>
      </c>
      <c r="C478" s="2" t="str">
        <f>IF(A478&gt;0,SUMIF('Барабан'!V:V,A478,'Барабан'!T:T),"")</f>
        <v/>
      </c>
      <c r="D478" s="2" t="str">
        <f>IF(A478&gt;0,SUMIF('Барабан'!K:K,A478,'Барабан'!AG:AG)+SUMIF('Барабан'!V:V,A478,'Барабан'!AG:AG),"")</f>
        <v/>
      </c>
      <c r="E478" s="2" t="str">
        <f t="shared" si="1"/>
        <v/>
      </c>
      <c r="F478" s="2" t="str">
        <f t="array" ref="F478">IFERROR(IF(E478=0,0,INDEX('Справочник'!G:G,MATCH(A478,'Справочник'!F:F,0))))</f>
        <v/>
      </c>
      <c r="G478" s="2" t="str">
        <f>IF(A478&gt;0,SUMIF('Барабан'!K:K,A478,'Барабан'!P:P),"")</f>
        <v/>
      </c>
      <c r="H478" s="2" t="str">
        <f>IF(A478&gt;0,SUMIF('Барабан'!V:V,A478,'Барабан'!AA:AA),"")</f>
        <v/>
      </c>
      <c r="I478" s="2" t="str">
        <f t="shared" si="4"/>
        <v/>
      </c>
      <c r="J478" s="9" t="str">
        <f t="shared" si="2"/>
        <v/>
      </c>
      <c r="K478" s="1" t="str">
        <f>IF(A478&gt;0,COUNTIF('Барабан'!K:K,A478),"")</f>
        <v/>
      </c>
      <c r="L478" s="1" t="str">
        <f>IF(A478&gt;0,COUNTIF('Барабан'!V:V,A478),"")</f>
        <v/>
      </c>
      <c r="M478" s="1" t="str">
        <f t="shared" si="3"/>
        <v/>
      </c>
      <c r="N478" s="1" t="str">
        <f>IFERROR(__xludf.DUMMYFUNCTION("IF(A478&gt;0,MIN(FILTER('Барабан'!AJ:AJ,'Барабан'!K:K=A478)),"""")"),"")</f>
        <v/>
      </c>
      <c r="O478" s="16" t="str">
        <f>IFERROR(__xludf.DUMMYFUNCTION("IF(A478&gt;0,IFERROR(MAX(FILTER('Барабан'!AJ:AJ,'Барабан'!V:V=A478)),""–""),"""")"),"")</f>
        <v/>
      </c>
    </row>
    <row r="479" ht="15.75" customHeight="1">
      <c r="A479" s="1" t="str">
        <f>'Справочник'!E474</f>
        <v/>
      </c>
      <c r="B479" s="2" t="str">
        <f>IF(A479&gt;0,SUMIF('Барабан'!K:K,A479,'Барабан'!I:I),"")</f>
        <v/>
      </c>
      <c r="C479" s="2" t="str">
        <f>IF(A479&gt;0,SUMIF('Барабан'!V:V,A479,'Барабан'!T:T),"")</f>
        <v/>
      </c>
      <c r="D479" s="2" t="str">
        <f>IF(A479&gt;0,SUMIF('Барабан'!K:K,A479,'Барабан'!AG:AG)+SUMIF('Барабан'!V:V,A479,'Барабан'!AG:AG),"")</f>
        <v/>
      </c>
      <c r="E479" s="2" t="str">
        <f t="shared" si="1"/>
        <v/>
      </c>
      <c r="F479" s="2" t="str">
        <f t="array" ref="F479">IFERROR(IF(E479=0,0,INDEX('Справочник'!G:G,MATCH(A479,'Справочник'!F:F,0))))</f>
        <v/>
      </c>
      <c r="G479" s="2" t="str">
        <f>IF(A479&gt;0,SUMIF('Барабан'!K:K,A479,'Барабан'!P:P),"")</f>
        <v/>
      </c>
      <c r="H479" s="2" t="str">
        <f>IF(A479&gt;0,SUMIF('Барабан'!V:V,A479,'Барабан'!AA:AA),"")</f>
        <v/>
      </c>
      <c r="I479" s="2" t="str">
        <f t="shared" si="4"/>
        <v/>
      </c>
      <c r="J479" s="9" t="str">
        <f t="shared" si="2"/>
        <v/>
      </c>
      <c r="K479" s="1" t="str">
        <f>IF(A479&gt;0,COUNTIF('Барабан'!K:K,A479),"")</f>
        <v/>
      </c>
      <c r="L479" s="1" t="str">
        <f>IF(A479&gt;0,COUNTIF('Барабан'!V:V,A479),"")</f>
        <v/>
      </c>
      <c r="M479" s="1" t="str">
        <f t="shared" si="3"/>
        <v/>
      </c>
      <c r="N479" s="1" t="str">
        <f>IFERROR(__xludf.DUMMYFUNCTION("IF(A479&gt;0,MIN(FILTER('Барабан'!AJ:AJ,'Барабан'!K:K=A479)),"""")"),"")</f>
        <v/>
      </c>
      <c r="O479" s="16" t="str">
        <f>IFERROR(__xludf.DUMMYFUNCTION("IF(A479&gt;0,IFERROR(MAX(FILTER('Барабан'!AJ:AJ,'Барабан'!V:V=A479)),""–""),"""")"),"")</f>
        <v/>
      </c>
    </row>
    <row r="480" ht="15.75" customHeight="1">
      <c r="A480" s="1" t="str">
        <f>'Справочник'!E475</f>
        <v/>
      </c>
      <c r="B480" s="2" t="str">
        <f>IF(A480&gt;0,SUMIF('Барабан'!K:K,A480,'Барабан'!I:I),"")</f>
        <v/>
      </c>
      <c r="C480" s="2" t="str">
        <f>IF(A480&gt;0,SUMIF('Барабан'!V:V,A480,'Барабан'!T:T),"")</f>
        <v/>
      </c>
      <c r="D480" s="2" t="str">
        <f>IF(A480&gt;0,SUMIF('Барабан'!K:K,A480,'Барабан'!AG:AG)+SUMIF('Барабан'!V:V,A480,'Барабан'!AG:AG),"")</f>
        <v/>
      </c>
      <c r="E480" s="2" t="str">
        <f t="shared" si="1"/>
        <v/>
      </c>
      <c r="F480" s="2" t="str">
        <f t="array" ref="F480">IFERROR(IF(E480=0,0,INDEX('Справочник'!G:G,MATCH(A480,'Справочник'!F:F,0))))</f>
        <v/>
      </c>
      <c r="G480" s="2" t="str">
        <f>IF(A480&gt;0,SUMIF('Барабан'!K:K,A480,'Барабан'!P:P),"")</f>
        <v/>
      </c>
      <c r="H480" s="2" t="str">
        <f>IF(A480&gt;0,SUMIF('Барабан'!V:V,A480,'Барабан'!AA:AA),"")</f>
        <v/>
      </c>
      <c r="I480" s="2" t="str">
        <f t="shared" si="4"/>
        <v/>
      </c>
      <c r="J480" s="9" t="str">
        <f t="shared" si="2"/>
        <v/>
      </c>
      <c r="K480" s="1" t="str">
        <f>IF(A480&gt;0,COUNTIF('Барабан'!K:K,A480),"")</f>
        <v/>
      </c>
      <c r="L480" s="1" t="str">
        <f>IF(A480&gt;0,COUNTIF('Барабан'!V:V,A480),"")</f>
        <v/>
      </c>
      <c r="M480" s="1" t="str">
        <f t="shared" si="3"/>
        <v/>
      </c>
      <c r="N480" s="1" t="str">
        <f>IFERROR(__xludf.DUMMYFUNCTION("IF(A480&gt;0,MIN(FILTER('Барабан'!AJ:AJ,'Барабан'!K:K=A480)),"""")"),"")</f>
        <v/>
      </c>
      <c r="O480" s="16" t="str">
        <f>IFERROR(__xludf.DUMMYFUNCTION("IF(A480&gt;0,IFERROR(MAX(FILTER('Барабан'!AJ:AJ,'Барабан'!V:V=A480)),""–""),"""")"),"")</f>
        <v/>
      </c>
    </row>
    <row r="481" ht="15.75" customHeight="1">
      <c r="A481" s="1" t="str">
        <f>'Справочник'!E476</f>
        <v/>
      </c>
      <c r="B481" s="2" t="str">
        <f>IF(A481&gt;0,SUMIF('Барабан'!K:K,A481,'Барабан'!I:I),"")</f>
        <v/>
      </c>
      <c r="C481" s="2" t="str">
        <f>IF(A481&gt;0,SUMIF('Барабан'!V:V,A481,'Барабан'!T:T),"")</f>
        <v/>
      </c>
      <c r="D481" s="2" t="str">
        <f>IF(A481&gt;0,SUMIF('Барабан'!K:K,A481,'Барабан'!AG:AG)+SUMIF('Барабан'!V:V,A481,'Барабан'!AG:AG),"")</f>
        <v/>
      </c>
      <c r="E481" s="2" t="str">
        <f t="shared" si="1"/>
        <v/>
      </c>
      <c r="F481" s="2" t="str">
        <f t="array" ref="F481">IFERROR(IF(E481=0,0,INDEX('Справочник'!G:G,MATCH(A481,'Справочник'!F:F,0))))</f>
        <v/>
      </c>
      <c r="G481" s="2" t="str">
        <f>IF(A481&gt;0,SUMIF('Барабан'!K:K,A481,'Барабан'!P:P),"")</f>
        <v/>
      </c>
      <c r="H481" s="2" t="str">
        <f>IF(A481&gt;0,SUMIF('Барабан'!V:V,A481,'Барабан'!AA:AA),"")</f>
        <v/>
      </c>
      <c r="I481" s="2" t="str">
        <f t="shared" si="4"/>
        <v/>
      </c>
      <c r="J481" s="9" t="str">
        <f t="shared" si="2"/>
        <v/>
      </c>
      <c r="K481" s="1" t="str">
        <f>IF(A481&gt;0,COUNTIF('Барабан'!K:K,A481),"")</f>
        <v/>
      </c>
      <c r="L481" s="1" t="str">
        <f>IF(A481&gt;0,COUNTIF('Барабан'!V:V,A481),"")</f>
        <v/>
      </c>
      <c r="M481" s="1" t="str">
        <f t="shared" si="3"/>
        <v/>
      </c>
      <c r="N481" s="1" t="str">
        <f>IFERROR(__xludf.DUMMYFUNCTION("IF(A481&gt;0,MIN(FILTER('Барабан'!AJ:AJ,'Барабан'!K:K=A481)),"""")"),"")</f>
        <v/>
      </c>
      <c r="O481" s="16" t="str">
        <f>IFERROR(__xludf.DUMMYFUNCTION("IF(A481&gt;0,IFERROR(MAX(FILTER('Барабан'!AJ:AJ,'Барабан'!V:V=A481)),""–""),"""")"),"")</f>
        <v/>
      </c>
    </row>
    <row r="482" ht="15.75" customHeight="1">
      <c r="A482" s="1" t="str">
        <f>'Справочник'!E477</f>
        <v/>
      </c>
      <c r="B482" s="2" t="str">
        <f>IF(A482&gt;0,SUMIF('Барабан'!K:K,A482,'Барабан'!I:I),"")</f>
        <v/>
      </c>
      <c r="C482" s="2" t="str">
        <f>IF(A482&gt;0,SUMIF('Барабан'!V:V,A482,'Барабан'!T:T),"")</f>
        <v/>
      </c>
      <c r="D482" s="2" t="str">
        <f>IF(A482&gt;0,SUMIF('Барабан'!K:K,A482,'Барабан'!AG:AG)+SUMIF('Барабан'!V:V,A482,'Барабан'!AG:AG),"")</f>
        <v/>
      </c>
      <c r="E482" s="2" t="str">
        <f t="shared" si="1"/>
        <v/>
      </c>
      <c r="F482" s="2" t="str">
        <f t="array" ref="F482">IFERROR(IF(E482=0,0,INDEX('Справочник'!G:G,MATCH(A482,'Справочник'!F:F,0))))</f>
        <v/>
      </c>
      <c r="G482" s="2" t="str">
        <f>IF(A482&gt;0,SUMIF('Барабан'!K:K,A482,'Барабан'!P:P),"")</f>
        <v/>
      </c>
      <c r="H482" s="2" t="str">
        <f>IF(A482&gt;0,SUMIF('Барабан'!V:V,A482,'Барабан'!AA:AA),"")</f>
        <v/>
      </c>
      <c r="I482" s="2" t="str">
        <f t="shared" si="4"/>
        <v/>
      </c>
      <c r="J482" s="9" t="str">
        <f t="shared" si="2"/>
        <v/>
      </c>
      <c r="K482" s="1" t="str">
        <f>IF(A482&gt;0,COUNTIF('Барабан'!K:K,A482),"")</f>
        <v/>
      </c>
      <c r="L482" s="1" t="str">
        <f>IF(A482&gt;0,COUNTIF('Барабан'!V:V,A482),"")</f>
        <v/>
      </c>
      <c r="M482" s="1" t="str">
        <f t="shared" si="3"/>
        <v/>
      </c>
      <c r="N482" s="1" t="str">
        <f>IFERROR(__xludf.DUMMYFUNCTION("IF(A482&gt;0,MIN(FILTER('Барабан'!AJ:AJ,'Барабан'!K:K=A482)),"""")"),"")</f>
        <v/>
      </c>
      <c r="O482" s="16" t="str">
        <f>IFERROR(__xludf.DUMMYFUNCTION("IF(A482&gt;0,IFERROR(MAX(FILTER('Барабан'!AJ:AJ,'Барабан'!V:V=A482)),""–""),"""")"),"")</f>
        <v/>
      </c>
    </row>
    <row r="483" ht="15.75" customHeight="1">
      <c r="A483" s="1" t="str">
        <f>'Справочник'!E478</f>
        <v/>
      </c>
      <c r="B483" s="2" t="str">
        <f>IF(A483&gt;0,SUMIF('Барабан'!K:K,A483,'Барабан'!I:I),"")</f>
        <v/>
      </c>
      <c r="C483" s="2" t="str">
        <f>IF(A483&gt;0,SUMIF('Барабан'!V:V,A483,'Барабан'!T:T),"")</f>
        <v/>
      </c>
      <c r="D483" s="2" t="str">
        <f>IF(A483&gt;0,SUMIF('Барабан'!K:K,A483,'Барабан'!AG:AG)+SUMIF('Барабан'!V:V,A483,'Барабан'!AG:AG),"")</f>
        <v/>
      </c>
      <c r="E483" s="2" t="str">
        <f t="shared" si="1"/>
        <v/>
      </c>
      <c r="F483" s="2" t="str">
        <f t="array" ref="F483">IFERROR(IF(E483=0,0,INDEX('Справочник'!G:G,MATCH(A483,'Справочник'!F:F,0))))</f>
        <v/>
      </c>
      <c r="G483" s="2" t="str">
        <f>IF(A483&gt;0,SUMIF('Барабан'!K:K,A483,'Барабан'!P:P),"")</f>
        <v/>
      </c>
      <c r="H483" s="2" t="str">
        <f>IF(A483&gt;0,SUMIF('Барабан'!V:V,A483,'Барабан'!AA:AA),"")</f>
        <v/>
      </c>
      <c r="I483" s="2" t="str">
        <f t="shared" si="4"/>
        <v/>
      </c>
      <c r="J483" s="9" t="str">
        <f t="shared" si="2"/>
        <v/>
      </c>
      <c r="K483" s="1" t="str">
        <f>IF(A483&gt;0,COUNTIF('Барабан'!K:K,A483),"")</f>
        <v/>
      </c>
      <c r="L483" s="1" t="str">
        <f>IF(A483&gt;0,COUNTIF('Барабан'!V:V,A483),"")</f>
        <v/>
      </c>
      <c r="M483" s="1" t="str">
        <f t="shared" si="3"/>
        <v/>
      </c>
      <c r="N483" s="1" t="str">
        <f>IFERROR(__xludf.DUMMYFUNCTION("IF(A483&gt;0,MIN(FILTER('Барабан'!AJ:AJ,'Барабан'!K:K=A483)),"""")"),"")</f>
        <v/>
      </c>
      <c r="O483" s="16" t="str">
        <f>IFERROR(__xludf.DUMMYFUNCTION("IF(A483&gt;0,IFERROR(MAX(FILTER('Барабан'!AJ:AJ,'Барабан'!V:V=A483)),""–""),"""")"),"")</f>
        <v/>
      </c>
    </row>
    <row r="484" ht="15.75" customHeight="1">
      <c r="A484" s="1" t="str">
        <f>'Справочник'!E479</f>
        <v/>
      </c>
      <c r="B484" s="2" t="str">
        <f>IF(A484&gt;0,SUMIF('Барабан'!K:K,A484,'Барабан'!I:I),"")</f>
        <v/>
      </c>
      <c r="C484" s="2" t="str">
        <f>IF(A484&gt;0,SUMIF('Барабан'!V:V,A484,'Барабан'!T:T),"")</f>
        <v/>
      </c>
      <c r="D484" s="2" t="str">
        <f>IF(A484&gt;0,SUMIF('Барабан'!K:K,A484,'Барабан'!AG:AG)+SUMIF('Барабан'!V:V,A484,'Барабан'!AG:AG),"")</f>
        <v/>
      </c>
      <c r="E484" s="2" t="str">
        <f t="shared" si="1"/>
        <v/>
      </c>
      <c r="F484" s="2" t="str">
        <f t="array" ref="F484">IFERROR(IF(E484=0,0,INDEX('Справочник'!G:G,MATCH(A484,'Справочник'!F:F,0))))</f>
        <v/>
      </c>
      <c r="G484" s="2" t="str">
        <f>IF(A484&gt;0,SUMIF('Барабан'!K:K,A484,'Барабан'!P:P),"")</f>
        <v/>
      </c>
      <c r="H484" s="2" t="str">
        <f>IF(A484&gt;0,SUMIF('Барабан'!V:V,A484,'Барабан'!AA:AA),"")</f>
        <v/>
      </c>
      <c r="I484" s="2" t="str">
        <f t="shared" si="4"/>
        <v/>
      </c>
      <c r="J484" s="9" t="str">
        <f t="shared" si="2"/>
        <v/>
      </c>
      <c r="K484" s="1" t="str">
        <f>IF(A484&gt;0,COUNTIF('Барабан'!K:K,A484),"")</f>
        <v/>
      </c>
      <c r="L484" s="1" t="str">
        <f>IF(A484&gt;0,COUNTIF('Барабан'!V:V,A484),"")</f>
        <v/>
      </c>
      <c r="M484" s="1" t="str">
        <f t="shared" si="3"/>
        <v/>
      </c>
      <c r="N484" s="1" t="str">
        <f>IFERROR(__xludf.DUMMYFUNCTION("IF(A484&gt;0,MIN(FILTER('Барабан'!AJ:AJ,'Барабан'!K:K=A484)),"""")"),"")</f>
        <v/>
      </c>
      <c r="O484" s="16" t="str">
        <f>IFERROR(__xludf.DUMMYFUNCTION("IF(A484&gt;0,IFERROR(MAX(FILTER('Барабан'!AJ:AJ,'Барабан'!V:V=A484)),""–""),"""")"),"")</f>
        <v/>
      </c>
    </row>
    <row r="485" ht="15.75" customHeight="1">
      <c r="A485" s="1" t="str">
        <f>'Справочник'!E480</f>
        <v/>
      </c>
      <c r="B485" s="2" t="str">
        <f>IF(A485&gt;0,SUMIF('Барабан'!K:K,A485,'Барабан'!I:I),"")</f>
        <v/>
      </c>
      <c r="C485" s="2" t="str">
        <f>IF(A485&gt;0,SUMIF('Барабан'!V:V,A485,'Барабан'!T:T),"")</f>
        <v/>
      </c>
      <c r="D485" s="2" t="str">
        <f>IF(A485&gt;0,SUMIF('Барабан'!K:K,A485,'Барабан'!AG:AG)+SUMIF('Барабан'!V:V,A485,'Барабан'!AG:AG),"")</f>
        <v/>
      </c>
      <c r="E485" s="2" t="str">
        <f t="shared" si="1"/>
        <v/>
      </c>
      <c r="F485" s="2" t="str">
        <f t="array" ref="F485">IFERROR(IF(E485=0,0,INDEX('Справочник'!G:G,MATCH(A485,'Справочник'!F:F,0))))</f>
        <v/>
      </c>
      <c r="G485" s="2" t="str">
        <f>IF(A485&gt;0,SUMIF('Барабан'!K:K,A485,'Барабан'!P:P),"")</f>
        <v/>
      </c>
      <c r="H485" s="2" t="str">
        <f>IF(A485&gt;0,SUMIF('Барабан'!V:V,A485,'Барабан'!AA:AA),"")</f>
        <v/>
      </c>
      <c r="I485" s="2" t="str">
        <f t="shared" si="4"/>
        <v/>
      </c>
      <c r="J485" s="9" t="str">
        <f t="shared" si="2"/>
        <v/>
      </c>
      <c r="K485" s="1" t="str">
        <f>IF(A485&gt;0,COUNTIF('Барабан'!K:K,A485),"")</f>
        <v/>
      </c>
      <c r="L485" s="1" t="str">
        <f>IF(A485&gt;0,COUNTIF('Барабан'!V:V,A485),"")</f>
        <v/>
      </c>
      <c r="M485" s="1" t="str">
        <f t="shared" si="3"/>
        <v/>
      </c>
      <c r="N485" s="1" t="str">
        <f>IFERROR(__xludf.DUMMYFUNCTION("IF(A485&gt;0,MIN(FILTER('Барабан'!AJ:AJ,'Барабан'!K:K=A485)),"""")"),"")</f>
        <v/>
      </c>
      <c r="O485" s="16" t="str">
        <f>IFERROR(__xludf.DUMMYFUNCTION("IF(A485&gt;0,IFERROR(MAX(FILTER('Барабан'!AJ:AJ,'Барабан'!V:V=A485)),""–""),"""")"),"")</f>
        <v/>
      </c>
    </row>
    <row r="486" ht="15.75" customHeight="1">
      <c r="A486" s="1" t="str">
        <f>'Справочник'!E481</f>
        <v/>
      </c>
      <c r="B486" s="2" t="str">
        <f>IF(A486&gt;0,SUMIF('Барабан'!K:K,A486,'Барабан'!I:I),"")</f>
        <v/>
      </c>
      <c r="C486" s="2" t="str">
        <f>IF(A486&gt;0,SUMIF('Барабан'!V:V,A486,'Барабан'!T:T),"")</f>
        <v/>
      </c>
      <c r="D486" s="2" t="str">
        <f>IF(A486&gt;0,SUMIF('Барабан'!K:K,A486,'Барабан'!AG:AG)+SUMIF('Барабан'!V:V,A486,'Барабан'!AG:AG),"")</f>
        <v/>
      </c>
      <c r="E486" s="2" t="str">
        <f t="shared" si="1"/>
        <v/>
      </c>
      <c r="F486" s="2" t="str">
        <f t="array" ref="F486">IFERROR(IF(E486=0,0,INDEX('Справочник'!G:G,MATCH(A486,'Справочник'!F:F,0))))</f>
        <v/>
      </c>
      <c r="G486" s="2" t="str">
        <f>IF(A486&gt;0,SUMIF('Барабан'!K:K,A486,'Барабан'!P:P),"")</f>
        <v/>
      </c>
      <c r="H486" s="2" t="str">
        <f>IF(A486&gt;0,SUMIF('Барабан'!V:V,A486,'Барабан'!AA:AA),"")</f>
        <v/>
      </c>
      <c r="I486" s="2" t="str">
        <f t="shared" si="4"/>
        <v/>
      </c>
      <c r="J486" s="9" t="str">
        <f t="shared" si="2"/>
        <v/>
      </c>
      <c r="K486" s="1" t="str">
        <f>IF(A486&gt;0,COUNTIF('Барабан'!K:K,A486),"")</f>
        <v/>
      </c>
      <c r="L486" s="1" t="str">
        <f>IF(A486&gt;0,COUNTIF('Барабан'!V:V,A486),"")</f>
        <v/>
      </c>
      <c r="M486" s="1" t="str">
        <f t="shared" si="3"/>
        <v/>
      </c>
      <c r="N486" s="1" t="str">
        <f>IFERROR(__xludf.DUMMYFUNCTION("IF(A486&gt;0,MIN(FILTER('Барабан'!AJ:AJ,'Барабан'!K:K=A486)),"""")"),"")</f>
        <v/>
      </c>
      <c r="O486" s="16" t="str">
        <f>IFERROR(__xludf.DUMMYFUNCTION("IF(A486&gt;0,IFERROR(MAX(FILTER('Барабан'!AJ:AJ,'Барабан'!V:V=A486)),""–""),"""")"),"")</f>
        <v/>
      </c>
    </row>
    <row r="487" ht="15.75" customHeight="1">
      <c r="A487" s="1" t="str">
        <f>'Справочник'!E482</f>
        <v/>
      </c>
      <c r="B487" s="2" t="str">
        <f>IF(A487&gt;0,SUMIF('Барабан'!K:K,A487,'Барабан'!I:I),"")</f>
        <v/>
      </c>
      <c r="C487" s="2" t="str">
        <f>IF(A487&gt;0,SUMIF('Барабан'!V:V,A487,'Барабан'!T:T),"")</f>
        <v/>
      </c>
      <c r="D487" s="2" t="str">
        <f>IF(A487&gt;0,SUMIF('Барабан'!K:K,A487,'Барабан'!AG:AG)+SUMIF('Барабан'!V:V,A487,'Барабан'!AG:AG),"")</f>
        <v/>
      </c>
      <c r="E487" s="2" t="str">
        <f t="shared" si="1"/>
        <v/>
      </c>
      <c r="F487" s="2" t="str">
        <f t="array" ref="F487">IFERROR(IF(E487=0,0,INDEX('Справочник'!G:G,MATCH(A487,'Справочник'!F:F,0))))</f>
        <v/>
      </c>
      <c r="G487" s="2" t="str">
        <f>IF(A487&gt;0,SUMIF('Барабан'!K:K,A487,'Барабан'!P:P),"")</f>
        <v/>
      </c>
      <c r="H487" s="2" t="str">
        <f>IF(A487&gt;0,SUMIF('Барабан'!V:V,A487,'Барабан'!AA:AA),"")</f>
        <v/>
      </c>
      <c r="I487" s="2" t="str">
        <f t="shared" si="4"/>
        <v/>
      </c>
      <c r="J487" s="9" t="str">
        <f t="shared" si="2"/>
        <v/>
      </c>
      <c r="K487" s="1" t="str">
        <f>IF(A487&gt;0,COUNTIF('Барабан'!K:K,A487),"")</f>
        <v/>
      </c>
      <c r="L487" s="1" t="str">
        <f>IF(A487&gt;0,COUNTIF('Барабан'!V:V,A487),"")</f>
        <v/>
      </c>
      <c r="M487" s="1" t="str">
        <f t="shared" si="3"/>
        <v/>
      </c>
      <c r="N487" s="1" t="str">
        <f>IFERROR(__xludf.DUMMYFUNCTION("IF(A487&gt;0,MIN(FILTER('Барабан'!AJ:AJ,'Барабан'!K:K=A487)),"""")"),"")</f>
        <v/>
      </c>
      <c r="O487" s="16" t="str">
        <f>IFERROR(__xludf.DUMMYFUNCTION("IF(A487&gt;0,IFERROR(MAX(FILTER('Барабан'!AJ:AJ,'Барабан'!V:V=A487)),""–""),"""")"),"")</f>
        <v/>
      </c>
    </row>
    <row r="488" ht="15.75" customHeight="1">
      <c r="A488" s="1" t="str">
        <f>'Справочник'!E483</f>
        <v/>
      </c>
      <c r="B488" s="2" t="str">
        <f>IF(A488&gt;0,SUMIF('Барабан'!K:K,A488,'Барабан'!I:I),"")</f>
        <v/>
      </c>
      <c r="C488" s="2" t="str">
        <f>IF(A488&gt;0,SUMIF('Барабан'!V:V,A488,'Барабан'!T:T),"")</f>
        <v/>
      </c>
      <c r="D488" s="2" t="str">
        <f>IF(A488&gt;0,SUMIF('Барабан'!K:K,A488,'Барабан'!AG:AG)+SUMIF('Барабан'!V:V,A488,'Барабан'!AG:AG),"")</f>
        <v/>
      </c>
      <c r="E488" s="2" t="str">
        <f t="shared" si="1"/>
        <v/>
      </c>
      <c r="F488" s="2" t="str">
        <f t="array" ref="F488">IFERROR(IF(E488=0,0,INDEX('Справочник'!G:G,MATCH(A488,'Справочник'!F:F,0))))</f>
        <v/>
      </c>
      <c r="G488" s="2" t="str">
        <f>IF(A488&gt;0,SUMIF('Барабан'!K:K,A488,'Барабан'!P:P),"")</f>
        <v/>
      </c>
      <c r="H488" s="2" t="str">
        <f>IF(A488&gt;0,SUMIF('Барабан'!V:V,A488,'Барабан'!AA:AA),"")</f>
        <v/>
      </c>
      <c r="I488" s="2" t="str">
        <f t="shared" si="4"/>
        <v/>
      </c>
      <c r="J488" s="9" t="str">
        <f t="shared" si="2"/>
        <v/>
      </c>
      <c r="K488" s="1" t="str">
        <f>IF(A488&gt;0,COUNTIF('Барабан'!K:K,A488),"")</f>
        <v/>
      </c>
      <c r="L488" s="1" t="str">
        <f>IF(A488&gt;0,COUNTIF('Барабан'!V:V,A488),"")</f>
        <v/>
      </c>
      <c r="M488" s="1" t="str">
        <f t="shared" si="3"/>
        <v/>
      </c>
      <c r="N488" s="1" t="str">
        <f>IFERROR(__xludf.DUMMYFUNCTION("IF(A488&gt;0,MIN(FILTER('Барабан'!AJ:AJ,'Барабан'!K:K=A488)),"""")"),"")</f>
        <v/>
      </c>
      <c r="O488" s="16" t="str">
        <f>IFERROR(__xludf.DUMMYFUNCTION("IF(A488&gt;0,IFERROR(MAX(FILTER('Барабан'!AJ:AJ,'Барабан'!V:V=A488)),""–""),"""")"),"")</f>
        <v/>
      </c>
    </row>
    <row r="489" ht="15.75" customHeight="1">
      <c r="A489" s="1" t="str">
        <f>'Справочник'!E484</f>
        <v/>
      </c>
      <c r="B489" s="2" t="str">
        <f>IF(A489&gt;0,SUMIF('Барабан'!K:K,A489,'Барабан'!I:I),"")</f>
        <v/>
      </c>
      <c r="C489" s="2" t="str">
        <f>IF(A489&gt;0,SUMIF('Барабан'!V:V,A489,'Барабан'!T:T),"")</f>
        <v/>
      </c>
      <c r="D489" s="2" t="str">
        <f>IF(A489&gt;0,SUMIF('Барабан'!K:K,A489,'Барабан'!AG:AG)+SUMIF('Барабан'!V:V,A489,'Барабан'!AG:AG),"")</f>
        <v/>
      </c>
      <c r="E489" s="2" t="str">
        <f t="shared" si="1"/>
        <v/>
      </c>
      <c r="F489" s="2" t="str">
        <f t="array" ref="F489">IFERROR(IF(E489=0,0,INDEX('Справочник'!G:G,MATCH(A489,'Справочник'!F:F,0))))</f>
        <v/>
      </c>
      <c r="G489" s="2" t="str">
        <f>IF(A489&gt;0,SUMIF('Барабан'!K:K,A489,'Барабан'!P:P),"")</f>
        <v/>
      </c>
      <c r="H489" s="2" t="str">
        <f>IF(A489&gt;0,SUMIF('Барабан'!V:V,A489,'Барабан'!AA:AA),"")</f>
        <v/>
      </c>
      <c r="I489" s="2" t="str">
        <f t="shared" si="4"/>
        <v/>
      </c>
      <c r="J489" s="9" t="str">
        <f t="shared" si="2"/>
        <v/>
      </c>
      <c r="K489" s="1" t="str">
        <f>IF(A489&gt;0,COUNTIF('Барабан'!K:K,A489),"")</f>
        <v/>
      </c>
      <c r="L489" s="1" t="str">
        <f>IF(A489&gt;0,COUNTIF('Барабан'!V:V,A489),"")</f>
        <v/>
      </c>
      <c r="M489" s="1" t="str">
        <f t="shared" si="3"/>
        <v/>
      </c>
      <c r="N489" s="1" t="str">
        <f>IFERROR(__xludf.DUMMYFUNCTION("IF(A489&gt;0,MIN(FILTER('Барабан'!AJ:AJ,'Барабан'!K:K=A489)),"""")"),"")</f>
        <v/>
      </c>
      <c r="O489" s="16" t="str">
        <f>IFERROR(__xludf.DUMMYFUNCTION("IF(A489&gt;0,IFERROR(MAX(FILTER('Барабан'!AJ:AJ,'Барабан'!V:V=A489)),""–""),"""")"),"")</f>
        <v/>
      </c>
    </row>
    <row r="490" ht="15.75" customHeight="1">
      <c r="A490" s="1" t="str">
        <f>'Справочник'!E485</f>
        <v/>
      </c>
      <c r="B490" s="2" t="str">
        <f>IF(A490&gt;0,SUMIF('Барабан'!K:K,A490,'Барабан'!I:I),"")</f>
        <v/>
      </c>
      <c r="C490" s="2" t="str">
        <f>IF(A490&gt;0,SUMIF('Барабан'!V:V,A490,'Барабан'!T:T),"")</f>
        <v/>
      </c>
      <c r="D490" s="2" t="str">
        <f>IF(A490&gt;0,SUMIF('Барабан'!K:K,A490,'Барабан'!AG:AG)+SUMIF('Барабан'!V:V,A490,'Барабан'!AG:AG),"")</f>
        <v/>
      </c>
      <c r="E490" s="2" t="str">
        <f t="shared" si="1"/>
        <v/>
      </c>
      <c r="F490" s="2" t="str">
        <f t="array" ref="F490">IFERROR(IF(E490=0,0,INDEX('Справочник'!G:G,MATCH(A490,'Справочник'!F:F,0))))</f>
        <v/>
      </c>
      <c r="G490" s="2" t="str">
        <f>IF(A490&gt;0,SUMIF('Барабан'!K:K,A490,'Барабан'!P:P),"")</f>
        <v/>
      </c>
      <c r="H490" s="2" t="str">
        <f>IF(A490&gt;0,SUMIF('Барабан'!V:V,A490,'Барабан'!AA:AA),"")</f>
        <v/>
      </c>
      <c r="I490" s="2" t="str">
        <f t="shared" si="4"/>
        <v/>
      </c>
      <c r="J490" s="9" t="str">
        <f t="shared" si="2"/>
        <v/>
      </c>
      <c r="K490" s="1" t="str">
        <f>IF(A490&gt;0,COUNTIF('Барабан'!K:K,A490),"")</f>
        <v/>
      </c>
      <c r="L490" s="1" t="str">
        <f>IF(A490&gt;0,COUNTIF('Барабан'!V:V,A490),"")</f>
        <v/>
      </c>
      <c r="M490" s="1" t="str">
        <f t="shared" si="3"/>
        <v/>
      </c>
      <c r="N490" s="1" t="str">
        <f>IFERROR(__xludf.DUMMYFUNCTION("IF(A490&gt;0,MIN(FILTER('Барабан'!AJ:AJ,'Барабан'!K:K=A490)),"""")"),"")</f>
        <v/>
      </c>
      <c r="O490" s="16" t="str">
        <f>IFERROR(__xludf.DUMMYFUNCTION("IF(A490&gt;0,IFERROR(MAX(FILTER('Барабан'!AJ:AJ,'Барабан'!V:V=A490)),""–""),"""")"),"")</f>
        <v/>
      </c>
    </row>
    <row r="491" ht="15.75" customHeight="1">
      <c r="A491" s="1" t="str">
        <f>'Справочник'!E486</f>
        <v/>
      </c>
      <c r="B491" s="2" t="str">
        <f>IF(A491&gt;0,SUMIF('Барабан'!K:K,A491,'Барабан'!I:I),"")</f>
        <v/>
      </c>
      <c r="C491" s="2" t="str">
        <f>IF(A491&gt;0,SUMIF('Барабан'!V:V,A491,'Барабан'!T:T),"")</f>
        <v/>
      </c>
      <c r="D491" s="2" t="str">
        <f>IF(A491&gt;0,SUMIF('Барабан'!K:K,A491,'Барабан'!AG:AG)+SUMIF('Барабан'!V:V,A491,'Барабан'!AG:AG),"")</f>
        <v/>
      </c>
      <c r="E491" s="2" t="str">
        <f t="shared" si="1"/>
        <v/>
      </c>
      <c r="F491" s="2" t="str">
        <f t="array" ref="F491">IFERROR(IF(E491=0,0,INDEX('Справочник'!G:G,MATCH(A491,'Справочник'!F:F,0))))</f>
        <v/>
      </c>
      <c r="G491" s="2" t="str">
        <f>IF(A491&gt;0,SUMIF('Барабан'!K:K,A491,'Барабан'!P:P),"")</f>
        <v/>
      </c>
      <c r="H491" s="2" t="str">
        <f>IF(A491&gt;0,SUMIF('Барабан'!V:V,A491,'Барабан'!AA:AA),"")</f>
        <v/>
      </c>
      <c r="I491" s="2" t="str">
        <f t="shared" si="4"/>
        <v/>
      </c>
      <c r="J491" s="9" t="str">
        <f t="shared" si="2"/>
        <v/>
      </c>
      <c r="K491" s="1" t="str">
        <f>IF(A491&gt;0,COUNTIF('Барабан'!K:K,A491),"")</f>
        <v/>
      </c>
      <c r="L491" s="1" t="str">
        <f>IF(A491&gt;0,COUNTIF('Барабан'!V:V,A491),"")</f>
        <v/>
      </c>
      <c r="M491" s="1" t="str">
        <f t="shared" si="3"/>
        <v/>
      </c>
      <c r="N491" s="1" t="str">
        <f>IFERROR(__xludf.DUMMYFUNCTION("IF(A491&gt;0,MIN(FILTER('Барабан'!AJ:AJ,'Барабан'!K:K=A491)),"""")"),"")</f>
        <v/>
      </c>
      <c r="O491" s="16" t="str">
        <f>IFERROR(__xludf.DUMMYFUNCTION("IF(A491&gt;0,IFERROR(MAX(FILTER('Барабан'!AJ:AJ,'Барабан'!V:V=A491)),""–""),"""")"),"")</f>
        <v/>
      </c>
    </row>
    <row r="492" ht="15.75" customHeight="1">
      <c r="A492" s="1" t="str">
        <f>'Справочник'!E487</f>
        <v/>
      </c>
      <c r="B492" s="2" t="str">
        <f>IF(A492&gt;0,SUMIF('Барабан'!K:K,A492,'Барабан'!I:I),"")</f>
        <v/>
      </c>
      <c r="C492" s="2" t="str">
        <f>IF(A492&gt;0,SUMIF('Барабан'!V:V,A492,'Барабан'!T:T),"")</f>
        <v/>
      </c>
      <c r="D492" s="2" t="str">
        <f>IF(A492&gt;0,SUMIF('Барабан'!K:K,A492,'Барабан'!AG:AG)+SUMIF('Барабан'!V:V,A492,'Барабан'!AG:AG),"")</f>
        <v/>
      </c>
      <c r="E492" s="2" t="str">
        <f t="shared" si="1"/>
        <v/>
      </c>
      <c r="F492" s="2" t="str">
        <f t="array" ref="F492">IFERROR(IF(E492=0,0,INDEX('Справочник'!G:G,MATCH(A492,'Справочник'!F:F,0))))</f>
        <v/>
      </c>
      <c r="G492" s="2" t="str">
        <f>IF(A492&gt;0,SUMIF('Барабан'!K:K,A492,'Барабан'!P:P),"")</f>
        <v/>
      </c>
      <c r="H492" s="2" t="str">
        <f>IF(A492&gt;0,SUMIF('Барабан'!V:V,A492,'Барабан'!AA:AA),"")</f>
        <v/>
      </c>
      <c r="I492" s="2" t="str">
        <f t="shared" si="4"/>
        <v/>
      </c>
      <c r="J492" s="9" t="str">
        <f t="shared" si="2"/>
        <v/>
      </c>
      <c r="K492" s="1" t="str">
        <f>IF(A492&gt;0,COUNTIF('Барабан'!K:K,A492),"")</f>
        <v/>
      </c>
      <c r="L492" s="1" t="str">
        <f>IF(A492&gt;0,COUNTIF('Барабан'!V:V,A492),"")</f>
        <v/>
      </c>
      <c r="M492" s="1" t="str">
        <f t="shared" si="3"/>
        <v/>
      </c>
      <c r="N492" s="1" t="str">
        <f>IFERROR(__xludf.DUMMYFUNCTION("IF(A492&gt;0,MIN(FILTER('Барабан'!AJ:AJ,'Барабан'!K:K=A492)),"""")"),"")</f>
        <v/>
      </c>
      <c r="O492" s="16" t="str">
        <f>IFERROR(__xludf.DUMMYFUNCTION("IF(A492&gt;0,IFERROR(MAX(FILTER('Барабан'!AJ:AJ,'Барабан'!V:V=A492)),""–""),"""")"),"")</f>
        <v/>
      </c>
    </row>
    <row r="493" ht="15.75" customHeight="1">
      <c r="A493" s="1" t="str">
        <f>'Справочник'!E488</f>
        <v/>
      </c>
      <c r="B493" s="2" t="str">
        <f>IF(A493&gt;0,SUMIF('Барабан'!K:K,A493,'Барабан'!I:I),"")</f>
        <v/>
      </c>
      <c r="C493" s="2" t="str">
        <f>IF(A493&gt;0,SUMIF('Барабан'!V:V,A493,'Барабан'!T:T),"")</f>
        <v/>
      </c>
      <c r="D493" s="2" t="str">
        <f>IF(A493&gt;0,SUMIF('Барабан'!K:K,A493,'Барабан'!AG:AG)+SUMIF('Барабан'!V:V,A493,'Барабан'!AG:AG),"")</f>
        <v/>
      </c>
      <c r="E493" s="2" t="str">
        <f t="shared" si="1"/>
        <v/>
      </c>
      <c r="F493" s="2" t="str">
        <f t="array" ref="F493">IFERROR(IF(E493=0,0,INDEX('Справочник'!G:G,MATCH(A493,'Справочник'!F:F,0))))</f>
        <v/>
      </c>
      <c r="G493" s="2" t="str">
        <f>IF(A493&gt;0,SUMIF('Барабан'!K:K,A493,'Барабан'!P:P),"")</f>
        <v/>
      </c>
      <c r="H493" s="2" t="str">
        <f>IF(A493&gt;0,SUMIF('Барабан'!V:V,A493,'Барабан'!AA:AA),"")</f>
        <v/>
      </c>
      <c r="I493" s="2" t="str">
        <f t="shared" si="4"/>
        <v/>
      </c>
      <c r="J493" s="9" t="str">
        <f t="shared" si="2"/>
        <v/>
      </c>
      <c r="K493" s="1" t="str">
        <f>IF(A493&gt;0,COUNTIF('Барабан'!K:K,A493),"")</f>
        <v/>
      </c>
      <c r="L493" s="1" t="str">
        <f>IF(A493&gt;0,COUNTIF('Барабан'!V:V,A493),"")</f>
        <v/>
      </c>
      <c r="M493" s="1" t="str">
        <f t="shared" si="3"/>
        <v/>
      </c>
      <c r="N493" s="1" t="str">
        <f>IFERROR(__xludf.DUMMYFUNCTION("IF(A493&gt;0,MIN(FILTER('Барабан'!AJ:AJ,'Барабан'!K:K=A493)),"""")"),"")</f>
        <v/>
      </c>
      <c r="O493" s="16" t="str">
        <f>IFERROR(__xludf.DUMMYFUNCTION("IF(A493&gt;0,IFERROR(MAX(FILTER('Барабан'!AJ:AJ,'Барабан'!V:V=A493)),""–""),"""")"),"")</f>
        <v/>
      </c>
    </row>
    <row r="494" ht="15.75" customHeight="1">
      <c r="A494" s="1" t="str">
        <f>'Справочник'!E489</f>
        <v/>
      </c>
      <c r="B494" s="2" t="str">
        <f>IF(A494&gt;0,SUMIF('Барабан'!K:K,A494,'Барабан'!I:I),"")</f>
        <v/>
      </c>
      <c r="C494" s="2" t="str">
        <f>IF(A494&gt;0,SUMIF('Барабан'!V:V,A494,'Барабан'!T:T),"")</f>
        <v/>
      </c>
      <c r="D494" s="2" t="str">
        <f>IF(A494&gt;0,SUMIF('Барабан'!K:K,A494,'Барабан'!AG:AG)+SUMIF('Барабан'!V:V,A494,'Барабан'!AG:AG),"")</f>
        <v/>
      </c>
      <c r="E494" s="2" t="str">
        <f t="shared" si="1"/>
        <v/>
      </c>
      <c r="F494" s="2" t="str">
        <f t="array" ref="F494">IFERROR(IF(E494=0,0,INDEX('Справочник'!G:G,MATCH(A494,'Справочник'!F:F,0))))</f>
        <v/>
      </c>
      <c r="G494" s="2" t="str">
        <f>IF(A494&gt;0,SUMIF('Барабан'!K:K,A494,'Барабан'!P:P),"")</f>
        <v/>
      </c>
      <c r="H494" s="2" t="str">
        <f>IF(A494&gt;0,SUMIF('Барабан'!V:V,A494,'Барабан'!AA:AA),"")</f>
        <v/>
      </c>
      <c r="I494" s="2" t="str">
        <f t="shared" si="4"/>
        <v/>
      </c>
      <c r="J494" s="9" t="str">
        <f t="shared" si="2"/>
        <v/>
      </c>
      <c r="K494" s="1" t="str">
        <f>IF(A494&gt;0,COUNTIF('Барабан'!K:K,A494),"")</f>
        <v/>
      </c>
      <c r="L494" s="1" t="str">
        <f>IF(A494&gt;0,COUNTIF('Барабан'!V:V,A494),"")</f>
        <v/>
      </c>
      <c r="M494" s="1" t="str">
        <f t="shared" si="3"/>
        <v/>
      </c>
      <c r="N494" s="1" t="str">
        <f>IFERROR(__xludf.DUMMYFUNCTION("IF(A494&gt;0,MIN(FILTER('Барабан'!AJ:AJ,'Барабан'!K:K=A494)),"""")"),"")</f>
        <v/>
      </c>
      <c r="O494" s="16" t="str">
        <f>IFERROR(__xludf.DUMMYFUNCTION("IF(A494&gt;0,IFERROR(MAX(FILTER('Барабан'!AJ:AJ,'Барабан'!V:V=A494)),""–""),"""")"),"")</f>
        <v/>
      </c>
    </row>
    <row r="495" ht="15.75" customHeight="1">
      <c r="A495" s="1" t="str">
        <f>'Справочник'!E490</f>
        <v/>
      </c>
      <c r="B495" s="2" t="str">
        <f>IF(A495&gt;0,SUMIF('Барабан'!K:K,A495,'Барабан'!I:I),"")</f>
        <v/>
      </c>
      <c r="C495" s="2" t="str">
        <f>IF(A495&gt;0,SUMIF('Барабан'!V:V,A495,'Барабан'!T:T),"")</f>
        <v/>
      </c>
      <c r="D495" s="2" t="str">
        <f>IF(A495&gt;0,SUMIF('Барабан'!K:K,A495,'Барабан'!AG:AG)+SUMIF('Барабан'!V:V,A495,'Барабан'!AG:AG),"")</f>
        <v/>
      </c>
      <c r="E495" s="2" t="str">
        <f t="shared" si="1"/>
        <v/>
      </c>
      <c r="F495" s="2" t="str">
        <f t="array" ref="F495">IFERROR(IF(E495=0,0,INDEX('Справочник'!G:G,MATCH(A495,'Справочник'!F:F,0))))</f>
        <v/>
      </c>
      <c r="G495" s="2" t="str">
        <f>IF(A495&gt;0,SUMIF('Барабан'!K:K,A495,'Барабан'!P:P),"")</f>
        <v/>
      </c>
      <c r="H495" s="2" t="str">
        <f>IF(A495&gt;0,SUMIF('Барабан'!V:V,A495,'Барабан'!AA:AA),"")</f>
        <v/>
      </c>
      <c r="I495" s="2" t="str">
        <f t="shared" si="4"/>
        <v/>
      </c>
      <c r="J495" s="9" t="str">
        <f t="shared" si="2"/>
        <v/>
      </c>
      <c r="K495" s="1" t="str">
        <f>IF(A495&gt;0,COUNTIF('Барабан'!K:K,A495),"")</f>
        <v/>
      </c>
      <c r="L495" s="1" t="str">
        <f>IF(A495&gt;0,COUNTIF('Барабан'!V:V,A495),"")</f>
        <v/>
      </c>
      <c r="M495" s="1" t="str">
        <f t="shared" si="3"/>
        <v/>
      </c>
      <c r="N495" s="1" t="str">
        <f>IFERROR(__xludf.DUMMYFUNCTION("IF(A495&gt;0,MIN(FILTER('Барабан'!AJ:AJ,'Барабан'!K:K=A495)),"""")"),"")</f>
        <v/>
      </c>
      <c r="O495" s="16" t="str">
        <f>IFERROR(__xludf.DUMMYFUNCTION("IF(A495&gt;0,IFERROR(MAX(FILTER('Барабан'!AJ:AJ,'Барабан'!V:V=A495)),""–""),"""")"),"")</f>
        <v/>
      </c>
    </row>
    <row r="496" ht="15.75" customHeight="1">
      <c r="A496" s="1" t="str">
        <f>'Справочник'!E491</f>
        <v/>
      </c>
      <c r="B496" s="2" t="str">
        <f>IF(A496&gt;0,SUMIF('Барабан'!K:K,A496,'Барабан'!I:I),"")</f>
        <v/>
      </c>
      <c r="C496" s="2" t="str">
        <f>IF(A496&gt;0,SUMIF('Барабан'!V:V,A496,'Барабан'!T:T),"")</f>
        <v/>
      </c>
      <c r="D496" s="2" t="str">
        <f>IF(A496&gt;0,SUMIF('Барабан'!K:K,A496,'Барабан'!AG:AG)+SUMIF('Барабан'!V:V,A496,'Барабан'!AG:AG),"")</f>
        <v/>
      </c>
      <c r="E496" s="2" t="str">
        <f t="shared" si="1"/>
        <v/>
      </c>
      <c r="F496" s="2" t="str">
        <f t="array" ref="F496">IFERROR(IF(E496=0,0,INDEX('Справочник'!G:G,MATCH(A496,'Справочник'!F:F,0))))</f>
        <v/>
      </c>
      <c r="G496" s="2" t="str">
        <f>IF(A496&gt;0,SUMIF('Барабан'!K:K,A496,'Барабан'!P:P),"")</f>
        <v/>
      </c>
      <c r="H496" s="2" t="str">
        <f>IF(A496&gt;0,SUMIF('Барабан'!V:V,A496,'Барабан'!AA:AA),"")</f>
        <v/>
      </c>
      <c r="I496" s="2" t="str">
        <f t="shared" si="4"/>
        <v/>
      </c>
      <c r="J496" s="9" t="str">
        <f t="shared" si="2"/>
        <v/>
      </c>
      <c r="K496" s="1" t="str">
        <f>IF(A496&gt;0,COUNTIF('Барабан'!K:K,A496),"")</f>
        <v/>
      </c>
      <c r="L496" s="1" t="str">
        <f>IF(A496&gt;0,COUNTIF('Барабан'!V:V,A496),"")</f>
        <v/>
      </c>
      <c r="M496" s="1" t="str">
        <f t="shared" si="3"/>
        <v/>
      </c>
      <c r="N496" s="1" t="str">
        <f>IFERROR(__xludf.DUMMYFUNCTION("IF(A496&gt;0,MIN(FILTER('Барабан'!AJ:AJ,'Барабан'!K:K=A496)),"""")"),"")</f>
        <v/>
      </c>
      <c r="O496" s="16" t="str">
        <f>IFERROR(__xludf.DUMMYFUNCTION("IF(A496&gt;0,IFERROR(MAX(FILTER('Барабан'!AJ:AJ,'Барабан'!V:V=A496)),""–""),"""")"),"")</f>
        <v/>
      </c>
    </row>
    <row r="497" ht="15.75" customHeight="1">
      <c r="A497" s="1" t="str">
        <f>'Справочник'!E492</f>
        <v/>
      </c>
      <c r="B497" s="2" t="str">
        <f>IF(A497&gt;0,SUMIF('Барабан'!K:K,A497,'Барабан'!I:I),"")</f>
        <v/>
      </c>
      <c r="C497" s="2" t="str">
        <f>IF(A497&gt;0,SUMIF('Барабан'!V:V,A497,'Барабан'!T:T),"")</f>
        <v/>
      </c>
      <c r="D497" s="2" t="str">
        <f>IF(A497&gt;0,SUMIF('Барабан'!K:K,A497,'Барабан'!AG:AG)+SUMIF('Барабан'!V:V,A497,'Барабан'!AG:AG),"")</f>
        <v/>
      </c>
      <c r="E497" s="2" t="str">
        <f t="shared" si="1"/>
        <v/>
      </c>
      <c r="F497" s="2" t="str">
        <f t="array" ref="F497">IFERROR(IF(E497=0,0,INDEX('Справочник'!G:G,MATCH(A497,'Справочник'!F:F,0))))</f>
        <v/>
      </c>
      <c r="G497" s="2" t="str">
        <f>IF(A497&gt;0,SUMIF('Барабан'!K:K,A497,'Барабан'!P:P),"")</f>
        <v/>
      </c>
      <c r="H497" s="2" t="str">
        <f>IF(A497&gt;0,SUMIF('Барабан'!V:V,A497,'Барабан'!AA:AA),"")</f>
        <v/>
      </c>
      <c r="I497" s="2" t="str">
        <f t="shared" si="4"/>
        <v/>
      </c>
      <c r="J497" s="9" t="str">
        <f t="shared" si="2"/>
        <v/>
      </c>
      <c r="K497" s="1" t="str">
        <f>IF(A497&gt;0,COUNTIF('Барабан'!K:K,A497),"")</f>
        <v/>
      </c>
      <c r="L497" s="1" t="str">
        <f>IF(A497&gt;0,COUNTIF('Барабан'!V:V,A497),"")</f>
        <v/>
      </c>
      <c r="M497" s="1" t="str">
        <f t="shared" si="3"/>
        <v/>
      </c>
      <c r="N497" s="1" t="str">
        <f>IFERROR(__xludf.DUMMYFUNCTION("IF(A497&gt;0,MIN(FILTER('Барабан'!AJ:AJ,'Барабан'!K:K=A497)),"""")"),"")</f>
        <v/>
      </c>
      <c r="O497" s="16" t="str">
        <f>IFERROR(__xludf.DUMMYFUNCTION("IF(A497&gt;0,IFERROR(MAX(FILTER('Барабан'!AJ:AJ,'Барабан'!V:V=A497)),""–""),"""")"),"")</f>
        <v/>
      </c>
    </row>
    <row r="498" ht="15.75" customHeight="1">
      <c r="A498" s="1" t="str">
        <f>'Справочник'!E493</f>
        <v/>
      </c>
      <c r="B498" s="2" t="str">
        <f>IF(A498&gt;0,SUMIF('Барабан'!K:K,A498,'Барабан'!I:I),"")</f>
        <v/>
      </c>
      <c r="C498" s="2" t="str">
        <f>IF(A498&gt;0,SUMIF('Барабан'!V:V,A498,'Барабан'!T:T),"")</f>
        <v/>
      </c>
      <c r="D498" s="2" t="str">
        <f>IF(A498&gt;0,SUMIF('Барабан'!K:K,A498,'Барабан'!AG:AG)+SUMIF('Барабан'!V:V,A498,'Барабан'!AG:AG),"")</f>
        <v/>
      </c>
      <c r="E498" s="2" t="str">
        <f t="shared" si="1"/>
        <v/>
      </c>
      <c r="F498" s="2" t="str">
        <f t="array" ref="F498">IFERROR(IF(E498=0,0,INDEX('Справочник'!G:G,MATCH(A498,'Справочник'!F:F,0))))</f>
        <v/>
      </c>
      <c r="G498" s="2" t="str">
        <f>IF(A498&gt;0,SUMIF('Барабан'!K:K,A498,'Барабан'!P:P),"")</f>
        <v/>
      </c>
      <c r="H498" s="2" t="str">
        <f>IF(A498&gt;0,SUMIF('Барабан'!V:V,A498,'Барабан'!AA:AA),"")</f>
        <v/>
      </c>
      <c r="I498" s="2" t="str">
        <f t="shared" si="4"/>
        <v/>
      </c>
      <c r="J498" s="9" t="str">
        <f t="shared" si="2"/>
        <v/>
      </c>
      <c r="K498" s="1" t="str">
        <f>IF(A498&gt;0,COUNTIF('Барабан'!K:K,A498),"")</f>
        <v/>
      </c>
      <c r="L498" s="1" t="str">
        <f>IF(A498&gt;0,COUNTIF('Барабан'!V:V,A498),"")</f>
        <v/>
      </c>
      <c r="M498" s="1" t="str">
        <f t="shared" si="3"/>
        <v/>
      </c>
      <c r="N498" s="1" t="str">
        <f>IFERROR(__xludf.DUMMYFUNCTION("IF(A498&gt;0,MIN(FILTER('Барабан'!AJ:AJ,'Барабан'!K:K=A498)),"""")"),"")</f>
        <v/>
      </c>
      <c r="O498" s="16" t="str">
        <f>IFERROR(__xludf.DUMMYFUNCTION("IF(A498&gt;0,IFERROR(MAX(FILTER('Барабан'!AJ:AJ,'Барабан'!V:V=A498)),""–""),"""")"),"")</f>
        <v/>
      </c>
    </row>
    <row r="499" ht="15.75" customHeight="1">
      <c r="A499" s="1" t="str">
        <f>'Справочник'!E494</f>
        <v/>
      </c>
      <c r="B499" s="2" t="str">
        <f>IF(A499&gt;0,SUMIF('Барабан'!K:K,A499,'Барабан'!I:I),"")</f>
        <v/>
      </c>
      <c r="C499" s="2" t="str">
        <f>IF(A499&gt;0,SUMIF('Барабан'!V:V,A499,'Барабан'!T:T),"")</f>
        <v/>
      </c>
      <c r="D499" s="2" t="str">
        <f>IF(A499&gt;0,SUMIF('Барабан'!K:K,A499,'Барабан'!AG:AG)+SUMIF('Барабан'!V:V,A499,'Барабан'!AG:AG),"")</f>
        <v/>
      </c>
      <c r="E499" s="2" t="str">
        <f t="shared" si="1"/>
        <v/>
      </c>
      <c r="F499" s="2" t="str">
        <f t="array" ref="F499">IFERROR(IF(E499=0,0,INDEX('Справочник'!G:G,MATCH(A499,'Справочник'!F:F,0))))</f>
        <v/>
      </c>
      <c r="G499" s="2" t="str">
        <f>IF(A499&gt;0,SUMIF('Барабан'!K:K,A499,'Барабан'!P:P),"")</f>
        <v/>
      </c>
      <c r="H499" s="2" t="str">
        <f>IF(A499&gt;0,SUMIF('Барабан'!V:V,A499,'Барабан'!AA:AA),"")</f>
        <v/>
      </c>
      <c r="I499" s="2" t="str">
        <f t="shared" si="4"/>
        <v/>
      </c>
      <c r="J499" s="9" t="str">
        <f t="shared" si="2"/>
        <v/>
      </c>
      <c r="K499" s="1" t="str">
        <f>IF(A499&gt;0,COUNTIF('Барабан'!K:K,A499),"")</f>
        <v/>
      </c>
      <c r="L499" s="1" t="str">
        <f>IF(A499&gt;0,COUNTIF('Барабан'!V:V,A499),"")</f>
        <v/>
      </c>
      <c r="M499" s="1" t="str">
        <f t="shared" si="3"/>
        <v/>
      </c>
      <c r="N499" s="1" t="str">
        <f>IFERROR(__xludf.DUMMYFUNCTION("IF(A499&gt;0,MIN(FILTER('Барабан'!AJ:AJ,'Барабан'!K:K=A499)),"""")"),"")</f>
        <v/>
      </c>
      <c r="O499" s="16" t="str">
        <f>IFERROR(__xludf.DUMMYFUNCTION("IF(A499&gt;0,IFERROR(MAX(FILTER('Барабан'!AJ:AJ,'Барабан'!V:V=A499)),""–""),"""")"),"")</f>
        <v/>
      </c>
    </row>
    <row r="500" ht="15.75" customHeight="1">
      <c r="A500" s="1" t="str">
        <f>'Справочник'!E495</f>
        <v/>
      </c>
      <c r="B500" s="2" t="str">
        <f>IF(A500&gt;0,SUMIF('Барабан'!K:K,A500,'Барабан'!I:I),"")</f>
        <v/>
      </c>
      <c r="C500" s="2" t="str">
        <f>IF(A500&gt;0,SUMIF('Барабан'!V:V,A500,'Барабан'!T:T),"")</f>
        <v/>
      </c>
      <c r="D500" s="2" t="str">
        <f>IF(A500&gt;0,SUMIF('Барабан'!K:K,A500,'Барабан'!AG:AG)+SUMIF('Барабан'!V:V,A500,'Барабан'!AG:AG),"")</f>
        <v/>
      </c>
      <c r="E500" s="2" t="str">
        <f t="shared" si="1"/>
        <v/>
      </c>
      <c r="F500" s="2" t="str">
        <f t="array" ref="F500">IFERROR(IF(E500=0,0,INDEX('Справочник'!G:G,MATCH(A500,'Справочник'!F:F,0))))</f>
        <v/>
      </c>
      <c r="G500" s="2" t="str">
        <f>IF(A500&gt;0,SUMIF('Барабан'!K:K,A500,'Барабан'!P:P),"")</f>
        <v/>
      </c>
      <c r="H500" s="2" t="str">
        <f>IF(A500&gt;0,SUMIF('Барабан'!V:V,A500,'Барабан'!AA:AA),"")</f>
        <v/>
      </c>
      <c r="I500" s="2" t="str">
        <f t="shared" si="4"/>
        <v/>
      </c>
      <c r="J500" s="9" t="str">
        <f t="shared" si="2"/>
        <v/>
      </c>
      <c r="K500" s="1" t="str">
        <f>IF(A500&gt;0,COUNTIF('Барабан'!K:K,A500),"")</f>
        <v/>
      </c>
      <c r="L500" s="1" t="str">
        <f>IF(A500&gt;0,COUNTIF('Барабан'!V:V,A500),"")</f>
        <v/>
      </c>
      <c r="M500" s="1" t="str">
        <f t="shared" si="3"/>
        <v/>
      </c>
      <c r="N500" s="1" t="str">
        <f>IFERROR(__xludf.DUMMYFUNCTION("IF(A500&gt;0,MIN(FILTER('Барабан'!AJ:AJ,'Барабан'!K:K=A500)),"""")"),"")</f>
        <v/>
      </c>
      <c r="O500" s="16" t="str">
        <f>IFERROR(__xludf.DUMMYFUNCTION("IF(A500&gt;0,IFERROR(MAX(FILTER('Барабан'!AJ:AJ,'Барабан'!V:V=A500)),""–""),"""")"),"")</f>
        <v/>
      </c>
    </row>
    <row r="501" ht="15.75" customHeight="1">
      <c r="A501" s="1" t="str">
        <f>'Справочник'!E496</f>
        <v/>
      </c>
      <c r="B501" s="2" t="str">
        <f>IF(A501&gt;0,SUMIF('Барабан'!K:K,A501,'Барабан'!I:I),"")</f>
        <v/>
      </c>
      <c r="C501" s="2" t="str">
        <f>IF(A501&gt;0,SUMIF('Барабан'!V:V,A501,'Барабан'!T:T),"")</f>
        <v/>
      </c>
      <c r="D501" s="2" t="str">
        <f>IF(A501&gt;0,SUMIF('Барабан'!K:K,A501,'Барабан'!AG:AG)+SUMIF('Барабан'!V:V,A501,'Барабан'!AG:AG),"")</f>
        <v/>
      </c>
      <c r="E501" s="2" t="str">
        <f t="shared" si="1"/>
        <v/>
      </c>
      <c r="F501" s="2" t="str">
        <f t="array" ref="F501">IFERROR(IF(E501=0,0,INDEX('Справочник'!G:G,MATCH(A501,'Справочник'!F:F,0))))</f>
        <v/>
      </c>
      <c r="G501" s="2" t="str">
        <f>IF(A501&gt;0,SUMIF('Барабан'!K:K,A501,'Барабан'!P:P),"")</f>
        <v/>
      </c>
      <c r="H501" s="2" t="str">
        <f>IF(A501&gt;0,SUMIF('Барабан'!V:V,A501,'Барабан'!AA:AA),"")</f>
        <v/>
      </c>
      <c r="I501" s="2" t="str">
        <f t="shared" si="4"/>
        <v/>
      </c>
      <c r="J501" s="9" t="str">
        <f t="shared" si="2"/>
        <v/>
      </c>
      <c r="K501" s="1" t="str">
        <f>IF(A501&gt;0,COUNTIF('Барабан'!K:K,A501),"")</f>
        <v/>
      </c>
      <c r="L501" s="1" t="str">
        <f>IF(A501&gt;0,COUNTIF('Барабан'!V:V,A501),"")</f>
        <v/>
      </c>
      <c r="M501" s="1" t="str">
        <f t="shared" si="3"/>
        <v/>
      </c>
      <c r="N501" s="1" t="str">
        <f>IFERROR(__xludf.DUMMYFUNCTION("IF(A501&gt;0,MIN(FILTER('Барабан'!AJ:AJ,'Барабан'!K:K=A501)),"""")"),"")</f>
        <v/>
      </c>
      <c r="O501" s="16" t="str">
        <f>IFERROR(__xludf.DUMMYFUNCTION("IF(A501&gt;0,IFERROR(MAX(FILTER('Барабан'!AJ:AJ,'Барабан'!V:V=A501)),""–""),"""")"),"")</f>
        <v/>
      </c>
    </row>
    <row r="502" ht="15.75" customHeight="1">
      <c r="A502" s="1" t="str">
        <f>'Справочник'!E497</f>
        <v/>
      </c>
      <c r="B502" s="2" t="str">
        <f>IF(A502&gt;0,SUMIF('Барабан'!K:K,A502,'Барабан'!I:I),"")</f>
        <v/>
      </c>
      <c r="C502" s="2" t="str">
        <f>IF(A502&gt;0,SUMIF('Барабан'!V:V,A502,'Барабан'!T:T),"")</f>
        <v/>
      </c>
      <c r="D502" s="2" t="str">
        <f>IF(A502&gt;0,SUMIF('Барабан'!K:K,A502,'Барабан'!AG:AG)+SUMIF('Барабан'!V:V,A502,'Барабан'!AG:AG),"")</f>
        <v/>
      </c>
      <c r="E502" s="2" t="str">
        <f t="shared" si="1"/>
        <v/>
      </c>
      <c r="F502" s="2" t="str">
        <f t="array" ref="F502">IFERROR(IF(E502=0,0,INDEX('Справочник'!G:G,MATCH(A502,'Справочник'!F:F,0))))</f>
        <v/>
      </c>
      <c r="G502" s="2" t="str">
        <f>IF(A502&gt;0,SUMIF('Барабан'!K:K,A502,'Барабан'!P:P),"")</f>
        <v/>
      </c>
      <c r="H502" s="2" t="str">
        <f>IF(A502&gt;0,SUMIF('Барабан'!V:V,A502,'Барабан'!AA:AA),"")</f>
        <v/>
      </c>
      <c r="I502" s="2" t="str">
        <f t="shared" si="4"/>
        <v/>
      </c>
      <c r="J502" s="9" t="str">
        <f t="shared" si="2"/>
        <v/>
      </c>
      <c r="K502" s="1" t="str">
        <f>IF(A502&gt;0,COUNTIF('Барабан'!K:K,A502),"")</f>
        <v/>
      </c>
      <c r="L502" s="1" t="str">
        <f>IF(A502&gt;0,COUNTIF('Барабан'!V:V,A502),"")</f>
        <v/>
      </c>
      <c r="M502" s="1" t="str">
        <f t="shared" si="3"/>
        <v/>
      </c>
      <c r="N502" s="1" t="str">
        <f>IFERROR(__xludf.DUMMYFUNCTION("IF(A502&gt;0,MIN(FILTER('Барабан'!AJ:AJ,'Барабан'!K:K=A502)),"""")"),"")</f>
        <v/>
      </c>
      <c r="O502" s="16" t="str">
        <f>IFERROR(__xludf.DUMMYFUNCTION("IF(A502&gt;0,IFERROR(MAX(FILTER('Барабан'!AJ:AJ,'Барабан'!V:V=A502)),""–""),"""")"),"")</f>
        <v/>
      </c>
    </row>
    <row r="503" ht="15.75" customHeight="1">
      <c r="A503" s="1" t="str">
        <f>'Справочник'!E498</f>
        <v/>
      </c>
      <c r="B503" s="2" t="str">
        <f>IF(A503&gt;0,SUMIF('Барабан'!K:K,A503,'Барабан'!I:I),"")</f>
        <v/>
      </c>
      <c r="C503" s="2" t="str">
        <f>IF(A503&gt;0,SUMIF('Барабан'!V:V,A503,'Барабан'!T:T),"")</f>
        <v/>
      </c>
      <c r="D503" s="2" t="str">
        <f>IF(A503&gt;0,SUMIF('Барабан'!K:K,A503,'Барабан'!AG:AG)+SUMIF('Барабан'!V:V,A503,'Барабан'!AG:AG),"")</f>
        <v/>
      </c>
      <c r="E503" s="2" t="str">
        <f t="shared" si="1"/>
        <v/>
      </c>
      <c r="F503" s="2" t="str">
        <f t="array" ref="F503">IFERROR(IF(E503=0,0,INDEX('Справочник'!G:G,MATCH(A503,'Справочник'!F:F,0))))</f>
        <v/>
      </c>
      <c r="G503" s="2" t="str">
        <f>IF(A503&gt;0,SUMIF('Барабан'!K:K,A503,'Барабан'!P:P),"")</f>
        <v/>
      </c>
      <c r="H503" s="2" t="str">
        <f>IF(A503&gt;0,SUMIF('Барабан'!V:V,A503,'Барабан'!AA:AA),"")</f>
        <v/>
      </c>
      <c r="I503" s="2" t="str">
        <f t="shared" si="4"/>
        <v/>
      </c>
      <c r="J503" s="9" t="str">
        <f t="shared" si="2"/>
        <v/>
      </c>
      <c r="K503" s="1" t="str">
        <f>IF(A503&gt;0,COUNTIF('Барабан'!K:K,A503),"")</f>
        <v/>
      </c>
      <c r="L503" s="1" t="str">
        <f>IF(A503&gt;0,COUNTIF('Барабан'!V:V,A503),"")</f>
        <v/>
      </c>
      <c r="M503" s="1" t="str">
        <f t="shared" si="3"/>
        <v/>
      </c>
      <c r="N503" s="1" t="str">
        <f>IFERROR(__xludf.DUMMYFUNCTION("IF(A503&gt;0,MIN(FILTER('Барабан'!AJ:AJ,'Барабан'!K:K=A503)),"""")"),"")</f>
        <v/>
      </c>
      <c r="O503" s="16" t="str">
        <f>IFERROR(__xludf.DUMMYFUNCTION("IF(A503&gt;0,IFERROR(MAX(FILTER('Барабан'!AJ:AJ,'Барабан'!V:V=A503)),""–""),"""")"),"")</f>
        <v/>
      </c>
    </row>
    <row r="504" ht="15.75" customHeight="1">
      <c r="A504" s="1" t="str">
        <f>'Справочник'!E499</f>
        <v/>
      </c>
      <c r="B504" s="2" t="str">
        <f>IF(A504&gt;0,SUMIF('Барабан'!K:K,A504,'Барабан'!I:I),"")</f>
        <v/>
      </c>
      <c r="C504" s="2" t="str">
        <f>IF(A504&gt;0,SUMIF('Барабан'!V:V,A504,'Барабан'!T:T),"")</f>
        <v/>
      </c>
      <c r="D504" s="2" t="str">
        <f>IF(A504&gt;0,SUMIF('Барабан'!K:K,A504,'Барабан'!AG:AG)+SUMIF('Барабан'!V:V,A504,'Барабан'!AG:AG),"")</f>
        <v/>
      </c>
      <c r="E504" s="2" t="str">
        <f t="shared" si="1"/>
        <v/>
      </c>
      <c r="F504" s="2" t="str">
        <f t="array" ref="F504">IFERROR(IF(E504=0,0,INDEX('Справочник'!G:G,MATCH(A504,'Справочник'!F:F,0))))</f>
        <v/>
      </c>
      <c r="G504" s="2" t="str">
        <f>IF(A504&gt;0,SUMIF('Барабан'!K:K,A504,'Барабан'!P:P),"")</f>
        <v/>
      </c>
      <c r="H504" s="2" t="str">
        <f>IF(A504&gt;0,SUMIF('Барабан'!V:V,A504,'Барабан'!AA:AA),"")</f>
        <v/>
      </c>
      <c r="I504" s="2" t="str">
        <f t="shared" si="4"/>
        <v/>
      </c>
      <c r="J504" s="9" t="str">
        <f t="shared" si="2"/>
        <v/>
      </c>
      <c r="K504" s="1" t="str">
        <f>IF(A504&gt;0,COUNTIF('Барабан'!K:K,A504),"")</f>
        <v/>
      </c>
      <c r="L504" s="1" t="str">
        <f>IF(A504&gt;0,COUNTIF('Барабан'!V:V,A504),"")</f>
        <v/>
      </c>
      <c r="M504" s="1" t="str">
        <f t="shared" si="3"/>
        <v/>
      </c>
      <c r="N504" s="1" t="str">
        <f>IFERROR(__xludf.DUMMYFUNCTION("IF(A504&gt;0,MIN(FILTER('Барабан'!AJ:AJ,'Барабан'!K:K=A504)),"""")"),"")</f>
        <v/>
      </c>
      <c r="O504" s="16" t="str">
        <f>IFERROR(__xludf.DUMMYFUNCTION("IF(A504&gt;0,IFERROR(MAX(FILTER('Барабан'!AJ:AJ,'Барабан'!V:V=A504)),""–""),"""")"),"")</f>
        <v/>
      </c>
    </row>
    <row r="505" ht="15.75" customHeight="1">
      <c r="A505" s="1" t="str">
        <f>'Справочник'!E500</f>
        <v/>
      </c>
      <c r="B505" s="2" t="str">
        <f>IF(A505&gt;0,SUMIF('Барабан'!K:K,A505,'Барабан'!I:I),"")</f>
        <v/>
      </c>
      <c r="C505" s="2" t="str">
        <f>IF(A505&gt;0,SUMIF('Барабан'!V:V,A505,'Барабан'!T:T),"")</f>
        <v/>
      </c>
      <c r="D505" s="2" t="str">
        <f>IF(A505&gt;0,SUMIF('Барабан'!K:K,A505,'Барабан'!AG:AG)+SUMIF('Барабан'!V:V,A505,'Барабан'!AG:AG),"")</f>
        <v/>
      </c>
      <c r="E505" s="2" t="str">
        <f t="shared" si="1"/>
        <v/>
      </c>
      <c r="F505" s="2" t="str">
        <f t="array" ref="F505">IFERROR(IF(E505=0,0,INDEX('Справочник'!G:G,MATCH(A505,'Справочник'!F:F,0))))</f>
        <v/>
      </c>
      <c r="G505" s="2" t="str">
        <f>IF(A505&gt;0,SUMIF('Барабан'!K:K,A505,'Барабан'!P:P),"")</f>
        <v/>
      </c>
      <c r="H505" s="2" t="str">
        <f>IF(A505&gt;0,SUMIF('Барабан'!V:V,A505,'Барабан'!AA:AA),"")</f>
        <v/>
      </c>
      <c r="I505" s="2" t="str">
        <f t="shared" si="4"/>
        <v/>
      </c>
      <c r="J505" s="9" t="str">
        <f t="shared" si="2"/>
        <v/>
      </c>
      <c r="K505" s="1" t="str">
        <f>IF(A505&gt;0,COUNTIF('Барабан'!K:K,A505),"")</f>
        <v/>
      </c>
      <c r="L505" s="1" t="str">
        <f>IF(A505&gt;0,COUNTIF('Барабан'!V:V,A505),"")</f>
        <v/>
      </c>
      <c r="M505" s="1" t="str">
        <f t="shared" si="3"/>
        <v/>
      </c>
      <c r="N505" s="1" t="str">
        <f>IFERROR(__xludf.DUMMYFUNCTION("IF(A505&gt;0,MIN(FILTER('Барабан'!AJ:AJ,'Барабан'!K:K=A505)),"""")"),"")</f>
        <v/>
      </c>
      <c r="O505" s="16" t="str">
        <f>IFERROR(__xludf.DUMMYFUNCTION("IF(A505&gt;0,IFERROR(MAX(FILTER('Барабан'!AJ:AJ,'Барабан'!V:V=A505)),""–""),"""")"),"")</f>
        <v/>
      </c>
    </row>
    <row r="506" ht="15.75" customHeight="1">
      <c r="A506" s="1" t="str">
        <f>'Справочник'!E501</f>
        <v/>
      </c>
      <c r="B506" s="2" t="str">
        <f>IF(A506&gt;0,SUMIF('Барабан'!K:K,A506,'Барабан'!I:I),"")</f>
        <v/>
      </c>
      <c r="C506" s="2" t="str">
        <f>IF(A506&gt;0,SUMIF('Барабан'!V:V,A506,'Барабан'!T:T),"")</f>
        <v/>
      </c>
      <c r="D506" s="2" t="str">
        <f>IF(A506&gt;0,SUMIF('Барабан'!K:K,A506,'Барабан'!AG:AG)+SUMIF('Барабан'!V:V,A506,'Барабан'!AG:AG),"")</f>
        <v/>
      </c>
      <c r="E506" s="2" t="str">
        <f t="shared" si="1"/>
        <v/>
      </c>
      <c r="F506" s="2" t="str">
        <f t="array" ref="F506">IFERROR(IF(E506=0,0,INDEX('Справочник'!G:G,MATCH(A506,'Справочник'!F:F,0))))</f>
        <v/>
      </c>
      <c r="G506" s="2" t="str">
        <f>IF(A506&gt;0,SUMIF('Барабан'!K:K,A506,'Барабан'!P:P),"")</f>
        <v/>
      </c>
      <c r="H506" s="2" t="str">
        <f>IF(A506&gt;0,SUMIF('Барабан'!V:V,A506,'Барабан'!AA:AA),"")</f>
        <v/>
      </c>
      <c r="I506" s="2" t="str">
        <f t="shared" si="4"/>
        <v/>
      </c>
      <c r="J506" s="9" t="str">
        <f t="shared" si="2"/>
        <v/>
      </c>
      <c r="K506" s="1" t="str">
        <f>IF(A506&gt;0,COUNTIF('Барабан'!K:K,A506),"")</f>
        <v/>
      </c>
      <c r="L506" s="1" t="str">
        <f>IF(A506&gt;0,COUNTIF('Барабан'!V:V,A506),"")</f>
        <v/>
      </c>
      <c r="M506" s="1" t="str">
        <f t="shared" si="3"/>
        <v/>
      </c>
      <c r="N506" s="1" t="str">
        <f>IFERROR(__xludf.DUMMYFUNCTION("IF(A506&gt;0,MIN(FILTER('Барабан'!AJ:AJ,'Барабан'!K:K=A506)),"""")"),"")</f>
        <v/>
      </c>
      <c r="O506" s="16" t="str">
        <f>IFERROR(__xludf.DUMMYFUNCTION("IF(A506&gt;0,IFERROR(MAX(FILTER('Барабан'!AJ:AJ,'Барабан'!V:V=A506)),""–""),"""")"),"")</f>
        <v/>
      </c>
    </row>
    <row r="507" ht="15.75" customHeight="1">
      <c r="A507" s="1" t="str">
        <f>'Справочник'!E502</f>
        <v/>
      </c>
      <c r="B507" s="2" t="str">
        <f>IF(A507&gt;0,SUMIF('Барабан'!K:K,A507,'Барабан'!I:I),"")</f>
        <v/>
      </c>
      <c r="C507" s="2" t="str">
        <f>IF(A507&gt;0,SUMIF('Барабан'!V:V,A507,'Барабан'!T:T),"")</f>
        <v/>
      </c>
      <c r="D507" s="2" t="str">
        <f>IF(A507&gt;0,SUMIF('Барабан'!K:K,A507,'Барабан'!AG:AG)+SUMIF('Барабан'!V:V,A507,'Барабан'!AG:AG),"")</f>
        <v/>
      </c>
      <c r="E507" s="2" t="str">
        <f t="shared" si="1"/>
        <v/>
      </c>
      <c r="F507" s="2" t="str">
        <f t="array" ref="F507">IFERROR(IF(E507=0,0,INDEX('Справочник'!G:G,MATCH(A507,'Справочник'!F:F,0))))</f>
        <v/>
      </c>
      <c r="G507" s="2" t="str">
        <f>IF(A507&gt;0,SUMIF('Барабан'!K:K,A507,'Барабан'!P:P),"")</f>
        <v/>
      </c>
      <c r="H507" s="2" t="str">
        <f>IF(A507&gt;0,SUMIF('Барабан'!V:V,A507,'Барабан'!AA:AA),"")</f>
        <v/>
      </c>
      <c r="I507" s="2" t="str">
        <f t="shared" si="4"/>
        <v/>
      </c>
      <c r="J507" s="9" t="str">
        <f t="shared" si="2"/>
        <v/>
      </c>
      <c r="K507" s="1" t="str">
        <f>IF(A507&gt;0,COUNTIF('Барабан'!K:K,A507),"")</f>
        <v/>
      </c>
      <c r="L507" s="1" t="str">
        <f>IF(A507&gt;0,COUNTIF('Барабан'!V:V,A507),"")</f>
        <v/>
      </c>
      <c r="M507" s="1" t="str">
        <f t="shared" si="3"/>
        <v/>
      </c>
      <c r="N507" s="1" t="str">
        <f>IFERROR(__xludf.DUMMYFUNCTION("IF(A507&gt;0,MIN(FILTER('Барабан'!AJ:AJ,'Барабан'!K:K=A507)),"""")"),"")</f>
        <v/>
      </c>
      <c r="O507" s="16" t="str">
        <f>IFERROR(__xludf.DUMMYFUNCTION("IF(A507&gt;0,IFERROR(MAX(FILTER('Барабан'!AJ:AJ,'Барабан'!V:V=A507)),""–""),"""")"),"")</f>
        <v/>
      </c>
    </row>
    <row r="508" ht="15.75" customHeight="1">
      <c r="A508" s="1" t="str">
        <f>'Справочник'!E503</f>
        <v/>
      </c>
      <c r="B508" s="2" t="str">
        <f>IF(A508&gt;0,SUMIF('Барабан'!K:K,A508,'Барабан'!I:I),"")</f>
        <v/>
      </c>
      <c r="C508" s="2" t="str">
        <f>IF(A508&gt;0,SUMIF('Барабан'!V:V,A508,'Барабан'!T:T),"")</f>
        <v/>
      </c>
      <c r="D508" s="2" t="str">
        <f>IF(A508&gt;0,SUMIF('Барабан'!K:K,A508,'Барабан'!AG:AG)+SUMIF('Барабан'!V:V,A508,'Барабан'!AG:AG),"")</f>
        <v/>
      </c>
      <c r="E508" s="2" t="str">
        <f t="shared" si="1"/>
        <v/>
      </c>
      <c r="F508" s="2" t="str">
        <f t="array" ref="F508">IFERROR(IF(E508=0,0,INDEX('Справочник'!G:G,MATCH(A508,'Справочник'!F:F,0))))</f>
        <v/>
      </c>
      <c r="G508" s="2" t="str">
        <f>IF(A508&gt;0,SUMIF('Барабан'!K:K,A508,'Барабан'!P:P),"")</f>
        <v/>
      </c>
      <c r="H508" s="2" t="str">
        <f>IF(A508&gt;0,SUMIF('Барабан'!V:V,A508,'Барабан'!AA:AA),"")</f>
        <v/>
      </c>
      <c r="I508" s="2" t="str">
        <f t="shared" si="4"/>
        <v/>
      </c>
      <c r="J508" s="9" t="str">
        <f t="shared" si="2"/>
        <v/>
      </c>
      <c r="K508" s="1" t="str">
        <f>IF(A508&gt;0,COUNTIF('Барабан'!K:K,A508),"")</f>
        <v/>
      </c>
      <c r="L508" s="1" t="str">
        <f>IF(A508&gt;0,COUNTIF('Барабан'!V:V,A508),"")</f>
        <v/>
      </c>
      <c r="M508" s="1" t="str">
        <f t="shared" si="3"/>
        <v/>
      </c>
      <c r="N508" s="1" t="str">
        <f>IFERROR(__xludf.DUMMYFUNCTION("IF(A508&gt;0,MIN(FILTER('Барабан'!AJ:AJ,'Барабан'!K:K=A508)),"""")"),"")</f>
        <v/>
      </c>
      <c r="O508" s="16" t="str">
        <f>IFERROR(__xludf.DUMMYFUNCTION("IF(A508&gt;0,IFERROR(MAX(FILTER('Барабан'!AJ:AJ,'Барабан'!V:V=A508)),""–""),"""")"),"")</f>
        <v/>
      </c>
    </row>
    <row r="509" ht="15.75" customHeight="1">
      <c r="A509" s="1" t="str">
        <f>'Справочник'!E504</f>
        <v/>
      </c>
      <c r="B509" s="2" t="str">
        <f>IF(A509&gt;0,SUMIF('Барабан'!K:K,A509,'Барабан'!I:I),"")</f>
        <v/>
      </c>
      <c r="C509" s="2" t="str">
        <f>IF(A509&gt;0,SUMIF('Барабан'!V:V,A509,'Барабан'!T:T),"")</f>
        <v/>
      </c>
      <c r="D509" s="2" t="str">
        <f>IF(A509&gt;0,SUMIF('Барабан'!K:K,A509,'Барабан'!AG:AG)+SUMIF('Барабан'!V:V,A509,'Барабан'!AG:AG),"")</f>
        <v/>
      </c>
      <c r="E509" s="2" t="str">
        <f t="shared" si="1"/>
        <v/>
      </c>
      <c r="F509" s="2" t="str">
        <f t="array" ref="F509">IFERROR(IF(E509=0,0,INDEX('Справочник'!G:G,MATCH(A509,'Справочник'!F:F,0))))</f>
        <v/>
      </c>
      <c r="G509" s="2" t="str">
        <f>IF(A509&gt;0,SUMIF('Барабан'!K:K,A509,'Барабан'!P:P),"")</f>
        <v/>
      </c>
      <c r="H509" s="2" t="str">
        <f>IF(A509&gt;0,SUMIF('Барабан'!V:V,A509,'Барабан'!AA:AA),"")</f>
        <v/>
      </c>
      <c r="I509" s="2" t="str">
        <f t="shared" si="4"/>
        <v/>
      </c>
      <c r="J509" s="9" t="str">
        <f t="shared" si="2"/>
        <v/>
      </c>
      <c r="K509" s="1" t="str">
        <f>IF(A509&gt;0,COUNTIF('Барабан'!K:K,A509),"")</f>
        <v/>
      </c>
      <c r="L509" s="1" t="str">
        <f>IF(A509&gt;0,COUNTIF('Барабан'!V:V,A509),"")</f>
        <v/>
      </c>
      <c r="M509" s="1" t="str">
        <f t="shared" si="3"/>
        <v/>
      </c>
      <c r="N509" s="1" t="str">
        <f>IFERROR(__xludf.DUMMYFUNCTION("IF(A509&gt;0,MIN(FILTER('Барабан'!AJ:AJ,'Барабан'!K:K=A509)),"""")"),"")</f>
        <v/>
      </c>
      <c r="O509" s="16" t="str">
        <f>IFERROR(__xludf.DUMMYFUNCTION("IF(A509&gt;0,IFERROR(MAX(FILTER('Барабан'!AJ:AJ,'Барабан'!V:V=A509)),""–""),"""")"),"")</f>
        <v/>
      </c>
    </row>
    <row r="510" ht="15.75" customHeight="1">
      <c r="A510" s="1" t="str">
        <f>'Справочник'!E505</f>
        <v/>
      </c>
      <c r="B510" s="2" t="str">
        <f>IF(A510&gt;0,SUMIF('Барабан'!K:K,A510,'Барабан'!I:I),"")</f>
        <v/>
      </c>
      <c r="C510" s="2" t="str">
        <f>IF(A510&gt;0,SUMIF('Барабан'!V:V,A510,'Барабан'!T:T),"")</f>
        <v/>
      </c>
      <c r="D510" s="2" t="str">
        <f>IF(A510&gt;0,SUMIF('Барабан'!K:K,A510,'Барабан'!AG:AG)+SUMIF('Барабан'!V:V,A510,'Барабан'!AG:AG),"")</f>
        <v/>
      </c>
      <c r="E510" s="2" t="str">
        <f t="shared" si="1"/>
        <v/>
      </c>
      <c r="F510" s="2" t="str">
        <f t="array" ref="F510">IFERROR(IF(E510=0,0,INDEX('Справочник'!G:G,MATCH(A510,'Справочник'!F:F,0))))</f>
        <v/>
      </c>
      <c r="G510" s="2" t="str">
        <f>IF(A510&gt;0,SUMIF('Барабан'!K:K,A510,'Барабан'!P:P),"")</f>
        <v/>
      </c>
      <c r="H510" s="2" t="str">
        <f>IF(A510&gt;0,SUMIF('Барабан'!V:V,A510,'Барабан'!AA:AA),"")</f>
        <v/>
      </c>
      <c r="I510" s="2" t="str">
        <f t="shared" si="4"/>
        <v/>
      </c>
      <c r="J510" s="9" t="str">
        <f t="shared" si="2"/>
        <v/>
      </c>
      <c r="K510" s="1" t="str">
        <f>IF(A510&gt;0,COUNTIF('Барабан'!K:K,A510),"")</f>
        <v/>
      </c>
      <c r="L510" s="1" t="str">
        <f>IF(A510&gt;0,COUNTIF('Барабан'!V:V,A510),"")</f>
        <v/>
      </c>
      <c r="M510" s="1" t="str">
        <f t="shared" si="3"/>
        <v/>
      </c>
      <c r="N510" s="1" t="str">
        <f>IFERROR(__xludf.DUMMYFUNCTION("IF(A510&gt;0,MIN(FILTER('Барабан'!AJ:AJ,'Барабан'!K:K=A510)),"""")"),"")</f>
        <v/>
      </c>
      <c r="O510" s="16" t="str">
        <f>IFERROR(__xludf.DUMMYFUNCTION("IF(A510&gt;0,IFERROR(MAX(FILTER('Барабан'!AJ:AJ,'Барабан'!V:V=A510)),""–""),"""")"),"")</f>
        <v/>
      </c>
    </row>
    <row r="511" ht="15.75" customHeight="1">
      <c r="A511" s="1" t="str">
        <f>'Справочник'!E506</f>
        <v/>
      </c>
      <c r="B511" s="2" t="str">
        <f>IF(A511&gt;0,SUMIF('Барабан'!K:K,A511,'Барабан'!I:I),"")</f>
        <v/>
      </c>
      <c r="C511" s="2" t="str">
        <f>IF(A511&gt;0,SUMIF('Барабан'!V:V,A511,'Барабан'!T:T),"")</f>
        <v/>
      </c>
      <c r="D511" s="2" t="str">
        <f>IF(A511&gt;0,SUMIF('Барабан'!K:K,A511,'Барабан'!AG:AG)+SUMIF('Барабан'!V:V,A511,'Барабан'!AG:AG),"")</f>
        <v/>
      </c>
      <c r="E511" s="2" t="str">
        <f t="shared" si="1"/>
        <v/>
      </c>
      <c r="F511" s="2" t="str">
        <f t="array" ref="F511">IFERROR(IF(E511=0,0,INDEX('Справочник'!G:G,MATCH(A511,'Справочник'!F:F,0))))</f>
        <v/>
      </c>
      <c r="G511" s="2" t="str">
        <f>IF(A511&gt;0,SUMIF('Барабан'!K:K,A511,'Барабан'!P:P),"")</f>
        <v/>
      </c>
      <c r="H511" s="2" t="str">
        <f>IF(A511&gt;0,SUMIF('Барабан'!V:V,A511,'Барабан'!AA:AA),"")</f>
        <v/>
      </c>
      <c r="I511" s="2" t="str">
        <f t="shared" si="4"/>
        <v/>
      </c>
      <c r="J511" s="9" t="str">
        <f t="shared" si="2"/>
        <v/>
      </c>
      <c r="K511" s="1" t="str">
        <f>IF(A511&gt;0,COUNTIF('Барабан'!K:K,A511),"")</f>
        <v/>
      </c>
      <c r="L511" s="1" t="str">
        <f>IF(A511&gt;0,COUNTIF('Барабан'!V:V,A511),"")</f>
        <v/>
      </c>
      <c r="M511" s="1" t="str">
        <f t="shared" si="3"/>
        <v/>
      </c>
      <c r="N511" s="1" t="str">
        <f>IFERROR(__xludf.DUMMYFUNCTION("IF(A511&gt;0,MIN(FILTER('Барабан'!AJ:AJ,'Барабан'!K:K=A511)),"""")"),"")</f>
        <v/>
      </c>
      <c r="O511" s="16" t="str">
        <f>IFERROR(__xludf.DUMMYFUNCTION("IF(A511&gt;0,IFERROR(MAX(FILTER('Барабан'!AJ:AJ,'Барабан'!V:V=A511)),""–""),"""")"),"")</f>
        <v/>
      </c>
    </row>
    <row r="512" ht="15.75" customHeight="1">
      <c r="A512" s="1" t="str">
        <f>'Справочник'!E507</f>
        <v/>
      </c>
      <c r="B512" s="2" t="str">
        <f>IF(A512&gt;0,SUMIF('Барабан'!K:K,A512,'Барабан'!I:I),"")</f>
        <v/>
      </c>
      <c r="C512" s="2" t="str">
        <f>IF(A512&gt;0,SUMIF('Барабан'!V:V,A512,'Барабан'!T:T),"")</f>
        <v/>
      </c>
      <c r="D512" s="2" t="str">
        <f>IF(A512&gt;0,SUMIF('Барабан'!K:K,A512,'Барабан'!AG:AG)+SUMIF('Барабан'!V:V,A512,'Барабан'!AG:AG),"")</f>
        <v/>
      </c>
      <c r="E512" s="2" t="str">
        <f t="shared" si="1"/>
        <v/>
      </c>
      <c r="F512" s="2" t="str">
        <f t="array" ref="F512">IFERROR(IF(E512=0,0,INDEX('Справочник'!G:G,MATCH(A512,'Справочник'!F:F,0))))</f>
        <v/>
      </c>
      <c r="G512" s="2" t="str">
        <f>IF(A512&gt;0,SUMIF('Барабан'!K:K,A512,'Барабан'!P:P),"")</f>
        <v/>
      </c>
      <c r="H512" s="2" t="str">
        <f>IF(A512&gt;0,SUMIF('Барабан'!V:V,A512,'Барабан'!AA:AA),"")</f>
        <v/>
      </c>
      <c r="I512" s="2" t="str">
        <f t="shared" si="4"/>
        <v/>
      </c>
      <c r="J512" s="9" t="str">
        <f t="shared" si="2"/>
        <v/>
      </c>
      <c r="K512" s="1" t="str">
        <f>IF(A512&gt;0,COUNTIF('Барабан'!K:K,A512),"")</f>
        <v/>
      </c>
      <c r="L512" s="1" t="str">
        <f>IF(A512&gt;0,COUNTIF('Барабан'!V:V,A512),"")</f>
        <v/>
      </c>
      <c r="M512" s="1" t="str">
        <f t="shared" si="3"/>
        <v/>
      </c>
      <c r="N512" s="1" t="str">
        <f>IFERROR(__xludf.DUMMYFUNCTION("IF(A512&gt;0,MIN(FILTER('Барабан'!AJ:AJ,'Барабан'!K:K=A512)),"""")"),"")</f>
        <v/>
      </c>
      <c r="O512" s="16" t="str">
        <f>IFERROR(__xludf.DUMMYFUNCTION("IF(A512&gt;0,IFERROR(MAX(FILTER('Барабан'!AJ:AJ,'Барабан'!V:V=A512)),""–""),"""")"),"")</f>
        <v/>
      </c>
    </row>
    <row r="513" ht="15.75" customHeight="1">
      <c r="A513" s="1" t="str">
        <f>'Справочник'!E508</f>
        <v/>
      </c>
      <c r="B513" s="2" t="str">
        <f>IF(A513&gt;0,SUMIF('Барабан'!K:K,A513,'Барабан'!I:I),"")</f>
        <v/>
      </c>
      <c r="C513" s="2" t="str">
        <f>IF(A513&gt;0,SUMIF('Барабан'!V:V,A513,'Барабан'!T:T),"")</f>
        <v/>
      </c>
      <c r="D513" s="2" t="str">
        <f>IF(A513&gt;0,SUMIF('Барабан'!K:K,A513,'Барабан'!AG:AG)+SUMIF('Барабан'!V:V,A513,'Барабан'!AG:AG),"")</f>
        <v/>
      </c>
      <c r="E513" s="2" t="str">
        <f t="shared" si="1"/>
        <v/>
      </c>
      <c r="F513" s="2" t="str">
        <f t="array" ref="F513">IFERROR(IF(E513=0,0,INDEX('Справочник'!G:G,MATCH(A513,'Справочник'!F:F,0))))</f>
        <v/>
      </c>
      <c r="G513" s="2" t="str">
        <f>IF(A513&gt;0,SUMIF('Барабан'!K:K,A513,'Барабан'!P:P),"")</f>
        <v/>
      </c>
      <c r="H513" s="2" t="str">
        <f>IF(A513&gt;0,SUMIF('Барабан'!V:V,A513,'Барабан'!AA:AA),"")</f>
        <v/>
      </c>
      <c r="I513" s="2" t="str">
        <f t="shared" si="4"/>
        <v/>
      </c>
      <c r="J513" s="9" t="str">
        <f t="shared" si="2"/>
        <v/>
      </c>
      <c r="K513" s="1" t="str">
        <f>IF(A513&gt;0,COUNTIF('Барабан'!K:K,A513),"")</f>
        <v/>
      </c>
      <c r="L513" s="1" t="str">
        <f>IF(A513&gt;0,COUNTIF('Барабан'!V:V,A513),"")</f>
        <v/>
      </c>
      <c r="M513" s="1" t="str">
        <f t="shared" si="3"/>
        <v/>
      </c>
      <c r="N513" s="1" t="str">
        <f>IFERROR(__xludf.DUMMYFUNCTION("IF(A513&gt;0,MIN(FILTER('Барабан'!AJ:AJ,'Барабан'!K:K=A513)),"""")"),"")</f>
        <v/>
      </c>
      <c r="O513" s="16" t="str">
        <f>IFERROR(__xludf.DUMMYFUNCTION("IF(A513&gt;0,IFERROR(MAX(FILTER('Барабан'!AJ:AJ,'Барабан'!V:V=A513)),""–""),"""")"),"")</f>
        <v/>
      </c>
    </row>
    <row r="514" ht="15.75" customHeight="1">
      <c r="A514" s="1" t="str">
        <f>'Справочник'!E509</f>
        <v/>
      </c>
      <c r="B514" s="2" t="str">
        <f>IF(A514&gt;0,SUMIF('Барабан'!K:K,A514,'Барабан'!I:I),"")</f>
        <v/>
      </c>
      <c r="C514" s="2" t="str">
        <f>IF(A514&gt;0,SUMIF('Барабан'!V:V,A514,'Барабан'!T:T),"")</f>
        <v/>
      </c>
      <c r="D514" s="2" t="str">
        <f>IF(A514&gt;0,SUMIF('Барабан'!K:K,A514,'Барабан'!AG:AG)+SUMIF('Барабан'!V:V,A514,'Барабан'!AG:AG),"")</f>
        <v/>
      </c>
      <c r="E514" s="2" t="str">
        <f t="shared" si="1"/>
        <v/>
      </c>
      <c r="F514" s="2" t="str">
        <f t="array" ref="F514">IFERROR(IF(E514=0,0,INDEX('Справочник'!G:G,MATCH(A514,'Справочник'!F:F,0))))</f>
        <v/>
      </c>
      <c r="G514" s="2" t="str">
        <f>IF(A514&gt;0,SUMIF('Барабан'!K:K,A514,'Барабан'!P:P),"")</f>
        <v/>
      </c>
      <c r="H514" s="2" t="str">
        <f>IF(A514&gt;0,SUMIF('Барабан'!V:V,A514,'Барабан'!AA:AA),"")</f>
        <v/>
      </c>
      <c r="I514" s="2" t="str">
        <f t="shared" si="4"/>
        <v/>
      </c>
      <c r="J514" s="9" t="str">
        <f t="shared" si="2"/>
        <v/>
      </c>
      <c r="K514" s="1" t="str">
        <f>IF(A514&gt;0,COUNTIF('Барабан'!K:K,A514),"")</f>
        <v/>
      </c>
      <c r="L514" s="1" t="str">
        <f>IF(A514&gt;0,COUNTIF('Барабан'!V:V,A514),"")</f>
        <v/>
      </c>
      <c r="M514" s="1" t="str">
        <f t="shared" si="3"/>
        <v/>
      </c>
      <c r="N514" s="1" t="str">
        <f>IFERROR(__xludf.DUMMYFUNCTION("IF(A514&gt;0,MIN(FILTER('Барабан'!AJ:AJ,'Барабан'!K:K=A514)),"""")"),"")</f>
        <v/>
      </c>
      <c r="O514" s="16" t="str">
        <f>IFERROR(__xludf.DUMMYFUNCTION("IF(A514&gt;0,IFERROR(MAX(FILTER('Барабан'!AJ:AJ,'Барабан'!V:V=A514)),""–""),"""")"),"")</f>
        <v/>
      </c>
    </row>
    <row r="515" ht="15.75" customHeight="1">
      <c r="A515" s="1" t="str">
        <f>'Справочник'!E510</f>
        <v/>
      </c>
      <c r="B515" s="2" t="str">
        <f>IF(A515&gt;0,SUMIF('Барабан'!K:K,A515,'Барабан'!I:I),"")</f>
        <v/>
      </c>
      <c r="C515" s="2" t="str">
        <f>IF(A515&gt;0,SUMIF('Барабан'!V:V,A515,'Барабан'!T:T),"")</f>
        <v/>
      </c>
      <c r="D515" s="2" t="str">
        <f>IF(A515&gt;0,SUMIF('Барабан'!K:K,A515,'Барабан'!AG:AG)+SUMIF('Барабан'!V:V,A515,'Барабан'!AG:AG),"")</f>
        <v/>
      </c>
      <c r="E515" s="2" t="str">
        <f t="shared" si="1"/>
        <v/>
      </c>
      <c r="F515" s="2" t="str">
        <f t="array" ref="F515">IFERROR(IF(E515=0,0,INDEX('Справочник'!G:G,MATCH(A515,'Справочник'!F:F,0))))</f>
        <v/>
      </c>
      <c r="G515" s="2" t="str">
        <f>IF(A515&gt;0,SUMIF('Барабан'!K:K,A515,'Барабан'!P:P),"")</f>
        <v/>
      </c>
      <c r="H515" s="2" t="str">
        <f>IF(A515&gt;0,SUMIF('Барабан'!V:V,A515,'Барабан'!AA:AA),"")</f>
        <v/>
      </c>
      <c r="I515" s="2" t="str">
        <f t="shared" si="4"/>
        <v/>
      </c>
      <c r="J515" s="9" t="str">
        <f t="shared" si="2"/>
        <v/>
      </c>
      <c r="K515" s="1" t="str">
        <f>IF(A515&gt;0,COUNTIF('Барабан'!K:K,A515),"")</f>
        <v/>
      </c>
      <c r="L515" s="1" t="str">
        <f>IF(A515&gt;0,COUNTIF('Барабан'!V:V,A515),"")</f>
        <v/>
      </c>
      <c r="M515" s="1" t="str">
        <f t="shared" si="3"/>
        <v/>
      </c>
      <c r="N515" s="1" t="str">
        <f>IFERROR(__xludf.DUMMYFUNCTION("IF(A515&gt;0,MIN(FILTER('Барабан'!AJ:AJ,'Барабан'!K:K=A515)),"""")"),"")</f>
        <v/>
      </c>
      <c r="O515" s="16" t="str">
        <f>IFERROR(__xludf.DUMMYFUNCTION("IF(A515&gt;0,IFERROR(MAX(FILTER('Барабан'!AJ:AJ,'Барабан'!V:V=A515)),""–""),"""")"),"")</f>
        <v/>
      </c>
    </row>
    <row r="516" ht="15.75" customHeight="1">
      <c r="A516" s="1" t="str">
        <f>'Справочник'!E511</f>
        <v/>
      </c>
      <c r="B516" s="2" t="str">
        <f>IF(A516&gt;0,SUMIF('Барабан'!K:K,A516,'Барабан'!I:I),"")</f>
        <v/>
      </c>
      <c r="C516" s="2" t="str">
        <f>IF(A516&gt;0,SUMIF('Барабан'!V:V,A516,'Барабан'!T:T),"")</f>
        <v/>
      </c>
      <c r="D516" s="2" t="str">
        <f>IF(A516&gt;0,SUMIF('Барабан'!K:K,A516,'Барабан'!AG:AG)+SUMIF('Барабан'!V:V,A516,'Барабан'!AG:AG),"")</f>
        <v/>
      </c>
      <c r="E516" s="2" t="str">
        <f t="shared" si="1"/>
        <v/>
      </c>
      <c r="F516" s="2" t="str">
        <f t="array" ref="F516">IFERROR(IF(E516=0,0,INDEX('Справочник'!G:G,MATCH(A516,'Справочник'!F:F,0))))</f>
        <v/>
      </c>
      <c r="G516" s="2" t="str">
        <f>IF(A516&gt;0,SUMIF('Барабан'!K:K,A516,'Барабан'!P:P),"")</f>
        <v/>
      </c>
      <c r="H516" s="2" t="str">
        <f>IF(A516&gt;0,SUMIF('Барабан'!V:V,A516,'Барабан'!AA:AA),"")</f>
        <v/>
      </c>
      <c r="I516" s="2" t="str">
        <f t="shared" si="4"/>
        <v/>
      </c>
      <c r="J516" s="9" t="str">
        <f t="shared" si="2"/>
        <v/>
      </c>
      <c r="K516" s="1" t="str">
        <f>IF(A516&gt;0,COUNTIF('Барабан'!K:K,A516),"")</f>
        <v/>
      </c>
      <c r="L516" s="1" t="str">
        <f>IF(A516&gt;0,COUNTIF('Барабан'!V:V,A516),"")</f>
        <v/>
      </c>
      <c r="M516" s="1" t="str">
        <f t="shared" si="3"/>
        <v/>
      </c>
      <c r="N516" s="1" t="str">
        <f>IFERROR(__xludf.DUMMYFUNCTION("IF(A516&gt;0,MIN(FILTER('Барабан'!AJ:AJ,'Барабан'!K:K=A516)),"""")"),"")</f>
        <v/>
      </c>
      <c r="O516" s="16" t="str">
        <f>IFERROR(__xludf.DUMMYFUNCTION("IF(A516&gt;0,IFERROR(MAX(FILTER('Барабан'!AJ:AJ,'Барабан'!V:V=A516)),""–""),"""")"),"")</f>
        <v/>
      </c>
    </row>
    <row r="517" ht="15.75" customHeight="1">
      <c r="A517" s="1" t="str">
        <f>'Справочник'!E512</f>
        <v/>
      </c>
      <c r="B517" s="2" t="str">
        <f>IF(A517&gt;0,SUMIF('Барабан'!K:K,A517,'Барабан'!I:I),"")</f>
        <v/>
      </c>
      <c r="C517" s="2" t="str">
        <f>IF(A517&gt;0,SUMIF('Барабан'!V:V,A517,'Барабан'!T:T),"")</f>
        <v/>
      </c>
      <c r="D517" s="2" t="str">
        <f>IF(A517&gt;0,SUMIF('Барабан'!K:K,A517,'Барабан'!AG:AG)+SUMIF('Барабан'!V:V,A517,'Барабан'!AG:AG),"")</f>
        <v/>
      </c>
      <c r="E517" s="2" t="str">
        <f t="shared" si="1"/>
        <v/>
      </c>
      <c r="F517" s="2" t="str">
        <f t="array" ref="F517">IFERROR(IF(E517=0,0,INDEX('Справочник'!G:G,MATCH(A517,'Справочник'!F:F,0))))</f>
        <v/>
      </c>
      <c r="G517" s="2" t="str">
        <f>IF(A517&gt;0,SUMIF('Барабан'!K:K,A517,'Барабан'!P:P),"")</f>
        <v/>
      </c>
      <c r="H517" s="2" t="str">
        <f>IF(A517&gt;0,SUMIF('Барабан'!V:V,A517,'Барабан'!AA:AA),"")</f>
        <v/>
      </c>
      <c r="I517" s="2" t="str">
        <f t="shared" si="4"/>
        <v/>
      </c>
      <c r="J517" s="9" t="str">
        <f t="shared" si="2"/>
        <v/>
      </c>
      <c r="K517" s="1" t="str">
        <f>IF(A517&gt;0,COUNTIF('Барабан'!K:K,A517),"")</f>
        <v/>
      </c>
      <c r="L517" s="1" t="str">
        <f>IF(A517&gt;0,COUNTIF('Барабан'!V:V,A517),"")</f>
        <v/>
      </c>
      <c r="M517" s="1" t="str">
        <f t="shared" si="3"/>
        <v/>
      </c>
      <c r="N517" s="1" t="str">
        <f>IFERROR(__xludf.DUMMYFUNCTION("IF(A517&gt;0,MIN(FILTER('Барабан'!AJ:AJ,'Барабан'!K:K=A517)),"""")"),"")</f>
        <v/>
      </c>
      <c r="O517" s="16" t="str">
        <f>IFERROR(__xludf.DUMMYFUNCTION("IF(A517&gt;0,IFERROR(MAX(FILTER('Барабан'!AJ:AJ,'Барабан'!V:V=A517)),""–""),"""")"),"")</f>
        <v/>
      </c>
    </row>
    <row r="518" ht="15.75" customHeight="1">
      <c r="A518" s="1" t="str">
        <f>'Справочник'!E513</f>
        <v/>
      </c>
      <c r="B518" s="2" t="str">
        <f>IF(A518&gt;0,SUMIF('Барабан'!K:K,A518,'Барабан'!I:I),"")</f>
        <v/>
      </c>
      <c r="C518" s="2" t="str">
        <f>IF(A518&gt;0,SUMIF('Барабан'!V:V,A518,'Барабан'!T:T),"")</f>
        <v/>
      </c>
      <c r="D518" s="2" t="str">
        <f>IF(A518&gt;0,SUMIF('Барабан'!K:K,A518,'Барабан'!AG:AG)+SUMIF('Барабан'!V:V,A518,'Барабан'!AG:AG),"")</f>
        <v/>
      </c>
      <c r="E518" s="2" t="str">
        <f t="shared" si="1"/>
        <v/>
      </c>
      <c r="F518" s="2" t="str">
        <f t="array" ref="F518">IFERROR(IF(E518=0,0,INDEX('Справочник'!G:G,MATCH(A518,'Справочник'!F:F,0))))</f>
        <v/>
      </c>
      <c r="G518" s="2" t="str">
        <f>IF(A518&gt;0,SUMIF('Барабан'!K:K,A518,'Барабан'!P:P),"")</f>
        <v/>
      </c>
      <c r="H518" s="2" t="str">
        <f>IF(A518&gt;0,SUMIF('Барабан'!V:V,A518,'Барабан'!AA:AA),"")</f>
        <v/>
      </c>
      <c r="I518" s="2" t="str">
        <f t="shared" si="4"/>
        <v/>
      </c>
      <c r="J518" s="9" t="str">
        <f t="shared" si="2"/>
        <v/>
      </c>
      <c r="K518" s="1" t="str">
        <f>IF(A518&gt;0,COUNTIF('Барабан'!K:K,A518),"")</f>
        <v/>
      </c>
      <c r="L518" s="1" t="str">
        <f>IF(A518&gt;0,COUNTIF('Барабан'!V:V,A518),"")</f>
        <v/>
      </c>
      <c r="M518" s="1" t="str">
        <f t="shared" si="3"/>
        <v/>
      </c>
      <c r="N518" s="1" t="str">
        <f>IFERROR(__xludf.DUMMYFUNCTION("IF(A518&gt;0,MIN(FILTER('Барабан'!AJ:AJ,'Барабан'!K:K=A518)),"""")"),"")</f>
        <v/>
      </c>
      <c r="O518" s="16" t="str">
        <f>IFERROR(__xludf.DUMMYFUNCTION("IF(A518&gt;0,IFERROR(MAX(FILTER('Барабан'!AJ:AJ,'Барабан'!V:V=A518)),""–""),"""")"),"")</f>
        <v/>
      </c>
    </row>
    <row r="519" ht="15.75" customHeight="1">
      <c r="A519" s="1" t="str">
        <f>'Справочник'!E514</f>
        <v/>
      </c>
      <c r="B519" s="2" t="str">
        <f>IF(A519&gt;0,SUMIF('Барабан'!K:K,A519,'Барабан'!I:I),"")</f>
        <v/>
      </c>
      <c r="C519" s="2" t="str">
        <f>IF(A519&gt;0,SUMIF('Барабан'!V:V,A519,'Барабан'!T:T),"")</f>
        <v/>
      </c>
      <c r="D519" s="2" t="str">
        <f>IF(A519&gt;0,SUMIF('Барабан'!K:K,A519,'Барабан'!AG:AG)+SUMIF('Барабан'!V:V,A519,'Барабан'!AG:AG),"")</f>
        <v/>
      </c>
      <c r="E519" s="2" t="str">
        <f t="shared" si="1"/>
        <v/>
      </c>
      <c r="F519" s="2" t="str">
        <f t="array" ref="F519">IFERROR(IF(E519=0,0,INDEX('Справочник'!G:G,MATCH(A519,'Справочник'!F:F,0))))</f>
        <v/>
      </c>
      <c r="G519" s="2" t="str">
        <f>IF(A519&gt;0,SUMIF('Барабан'!K:K,A519,'Барабан'!P:P),"")</f>
        <v/>
      </c>
      <c r="H519" s="2" t="str">
        <f>IF(A519&gt;0,SUMIF('Барабан'!V:V,A519,'Барабан'!AA:AA),"")</f>
        <v/>
      </c>
      <c r="I519" s="2" t="str">
        <f t="shared" si="4"/>
        <v/>
      </c>
      <c r="J519" s="9" t="str">
        <f t="shared" si="2"/>
        <v/>
      </c>
      <c r="K519" s="1" t="str">
        <f>IF(A519&gt;0,COUNTIF('Барабан'!K:K,A519),"")</f>
        <v/>
      </c>
      <c r="L519" s="1" t="str">
        <f>IF(A519&gt;0,COUNTIF('Барабан'!V:V,A519),"")</f>
        <v/>
      </c>
      <c r="M519" s="1" t="str">
        <f t="shared" si="3"/>
        <v/>
      </c>
      <c r="N519" s="1" t="str">
        <f>IFERROR(__xludf.DUMMYFUNCTION("IF(A519&gt;0,MIN(FILTER('Барабан'!AJ:AJ,'Барабан'!K:K=A519)),"""")"),"")</f>
        <v/>
      </c>
      <c r="O519" s="16" t="str">
        <f>IFERROR(__xludf.DUMMYFUNCTION("IF(A519&gt;0,IFERROR(MAX(FILTER('Барабан'!AJ:AJ,'Барабан'!V:V=A519)),""–""),"""")"),"")</f>
        <v/>
      </c>
    </row>
    <row r="520" ht="15.75" customHeight="1">
      <c r="A520" s="1" t="str">
        <f>'Справочник'!E515</f>
        <v/>
      </c>
      <c r="B520" s="2" t="str">
        <f>IF(A520&gt;0,SUMIF('Барабан'!K:K,A520,'Барабан'!I:I),"")</f>
        <v/>
      </c>
      <c r="C520" s="2" t="str">
        <f>IF(A520&gt;0,SUMIF('Барабан'!V:V,A520,'Барабан'!T:T),"")</f>
        <v/>
      </c>
      <c r="D520" s="2" t="str">
        <f>IF(A520&gt;0,SUMIF('Барабан'!K:K,A520,'Барабан'!AG:AG)+SUMIF('Барабан'!V:V,A520,'Барабан'!AG:AG),"")</f>
        <v/>
      </c>
      <c r="E520" s="2" t="str">
        <f t="shared" si="1"/>
        <v/>
      </c>
      <c r="F520" s="2" t="str">
        <f t="array" ref="F520">IFERROR(IF(E520=0,0,INDEX('Справочник'!G:G,MATCH(A520,'Справочник'!F:F,0))))</f>
        <v/>
      </c>
      <c r="G520" s="2" t="str">
        <f>IF(A520&gt;0,SUMIF('Барабан'!K:K,A520,'Барабан'!P:P),"")</f>
        <v/>
      </c>
      <c r="H520" s="2" t="str">
        <f>IF(A520&gt;0,SUMIF('Барабан'!V:V,A520,'Барабан'!AA:AA),"")</f>
        <v/>
      </c>
      <c r="I520" s="2" t="str">
        <f t="shared" si="4"/>
        <v/>
      </c>
      <c r="J520" s="9" t="str">
        <f t="shared" si="2"/>
        <v/>
      </c>
      <c r="K520" s="1" t="str">
        <f>IF(A520&gt;0,COUNTIF('Барабан'!K:K,A520),"")</f>
        <v/>
      </c>
      <c r="L520" s="1" t="str">
        <f>IF(A520&gt;0,COUNTIF('Барабан'!V:V,A520),"")</f>
        <v/>
      </c>
      <c r="M520" s="1" t="str">
        <f t="shared" si="3"/>
        <v/>
      </c>
      <c r="N520" s="1" t="str">
        <f>IFERROR(__xludf.DUMMYFUNCTION("IF(A520&gt;0,MIN(FILTER('Барабан'!AJ:AJ,'Барабан'!K:K=A520)),"""")"),"")</f>
        <v/>
      </c>
      <c r="O520" s="16" t="str">
        <f>IFERROR(__xludf.DUMMYFUNCTION("IF(A520&gt;0,IFERROR(MAX(FILTER('Барабан'!AJ:AJ,'Барабан'!V:V=A520)),""–""),"""")"),"")</f>
        <v/>
      </c>
    </row>
    <row r="521" ht="15.75" customHeight="1">
      <c r="A521" s="1" t="str">
        <f>'Справочник'!E516</f>
        <v/>
      </c>
      <c r="B521" s="2" t="str">
        <f>IF(A521&gt;0,SUMIF('Барабан'!K:K,A521,'Барабан'!I:I),"")</f>
        <v/>
      </c>
      <c r="C521" s="2" t="str">
        <f>IF(A521&gt;0,SUMIF('Барабан'!V:V,A521,'Барабан'!T:T),"")</f>
        <v/>
      </c>
      <c r="D521" s="2" t="str">
        <f>IF(A521&gt;0,SUMIF('Барабан'!K:K,A521,'Барабан'!AG:AG)+SUMIF('Барабан'!V:V,A521,'Барабан'!AG:AG),"")</f>
        <v/>
      </c>
      <c r="E521" s="2" t="str">
        <f t="shared" si="1"/>
        <v/>
      </c>
      <c r="F521" s="2" t="str">
        <f t="array" ref="F521">IFERROR(IF(E521=0,0,INDEX('Справочник'!G:G,MATCH(A521,'Справочник'!F:F,0))))</f>
        <v/>
      </c>
      <c r="G521" s="2" t="str">
        <f>IF(A521&gt;0,SUMIF('Барабан'!K:K,A521,'Барабан'!P:P),"")</f>
        <v/>
      </c>
      <c r="H521" s="2" t="str">
        <f>IF(A521&gt;0,SUMIF('Барабан'!V:V,A521,'Барабан'!AA:AA),"")</f>
        <v/>
      </c>
      <c r="I521" s="2" t="str">
        <f t="shared" si="4"/>
        <v/>
      </c>
      <c r="J521" s="9" t="str">
        <f t="shared" si="2"/>
        <v/>
      </c>
      <c r="K521" s="1" t="str">
        <f>IF(A521&gt;0,COUNTIF('Барабан'!K:K,A521),"")</f>
        <v/>
      </c>
      <c r="L521" s="1" t="str">
        <f>IF(A521&gt;0,COUNTIF('Барабан'!V:V,A521),"")</f>
        <v/>
      </c>
      <c r="M521" s="1" t="str">
        <f t="shared" si="3"/>
        <v/>
      </c>
      <c r="N521" s="1" t="str">
        <f>IFERROR(__xludf.DUMMYFUNCTION("IF(A521&gt;0,MIN(FILTER('Барабан'!AJ:AJ,'Барабан'!K:K=A521)),"""")"),"")</f>
        <v/>
      </c>
      <c r="O521" s="16" t="str">
        <f>IFERROR(__xludf.DUMMYFUNCTION("IF(A521&gt;0,IFERROR(MAX(FILTER('Барабан'!AJ:AJ,'Барабан'!V:V=A521)),""–""),"""")"),"")</f>
        <v/>
      </c>
    </row>
    <row r="522" ht="15.75" customHeight="1">
      <c r="A522" s="1" t="str">
        <f>'Справочник'!E517</f>
        <v/>
      </c>
      <c r="B522" s="2" t="str">
        <f>IF(A522&gt;0,SUMIF('Барабан'!K:K,A522,'Барабан'!I:I),"")</f>
        <v/>
      </c>
      <c r="C522" s="2" t="str">
        <f>IF(A522&gt;0,SUMIF('Барабан'!V:V,A522,'Барабан'!T:T),"")</f>
        <v/>
      </c>
      <c r="D522" s="2" t="str">
        <f>IF(A522&gt;0,SUMIF('Барабан'!K:K,A522,'Барабан'!AG:AG)+SUMIF('Барабан'!V:V,A522,'Барабан'!AG:AG),"")</f>
        <v/>
      </c>
      <c r="E522" s="2" t="str">
        <f t="shared" si="1"/>
        <v/>
      </c>
      <c r="F522" s="2" t="str">
        <f t="array" ref="F522">IFERROR(IF(E522=0,0,INDEX('Справочник'!G:G,MATCH(A522,'Справочник'!F:F,0))))</f>
        <v/>
      </c>
      <c r="G522" s="2" t="str">
        <f>IF(A522&gt;0,SUMIF('Барабан'!K:K,A522,'Барабан'!P:P),"")</f>
        <v/>
      </c>
      <c r="H522" s="2" t="str">
        <f>IF(A522&gt;0,SUMIF('Барабан'!V:V,A522,'Барабан'!AA:AA),"")</f>
        <v/>
      </c>
      <c r="I522" s="2" t="str">
        <f t="shared" si="4"/>
        <v/>
      </c>
      <c r="J522" s="9" t="str">
        <f t="shared" si="2"/>
        <v/>
      </c>
      <c r="K522" s="1" t="str">
        <f>IF(A522&gt;0,COUNTIF('Барабан'!K:K,A522),"")</f>
        <v/>
      </c>
      <c r="L522" s="1" t="str">
        <f>IF(A522&gt;0,COUNTIF('Барабан'!V:V,A522),"")</f>
        <v/>
      </c>
      <c r="M522" s="1" t="str">
        <f t="shared" si="3"/>
        <v/>
      </c>
      <c r="N522" s="1" t="str">
        <f>IFERROR(__xludf.DUMMYFUNCTION("IF(A522&gt;0,MIN(FILTER('Барабан'!AJ:AJ,'Барабан'!K:K=A522)),"""")"),"")</f>
        <v/>
      </c>
      <c r="O522" s="16" t="str">
        <f>IFERROR(__xludf.DUMMYFUNCTION("IF(A522&gt;0,IFERROR(MAX(FILTER('Барабан'!AJ:AJ,'Барабан'!V:V=A522)),""–""),"""")"),"")</f>
        <v/>
      </c>
    </row>
    <row r="523" ht="15.75" customHeight="1">
      <c r="A523" s="1" t="str">
        <f>'Справочник'!E518</f>
        <v/>
      </c>
      <c r="B523" s="2" t="str">
        <f>IF(A523&gt;0,SUMIF('Барабан'!K:K,A523,'Барабан'!I:I),"")</f>
        <v/>
      </c>
      <c r="C523" s="2" t="str">
        <f>IF(A523&gt;0,SUMIF('Барабан'!V:V,A523,'Барабан'!T:T),"")</f>
        <v/>
      </c>
      <c r="D523" s="2" t="str">
        <f>IF(A523&gt;0,SUMIF('Барабан'!K:K,A523,'Барабан'!AG:AG)+SUMIF('Барабан'!V:V,A523,'Барабан'!AG:AG),"")</f>
        <v/>
      </c>
      <c r="E523" s="2" t="str">
        <f t="shared" si="1"/>
        <v/>
      </c>
      <c r="F523" s="2" t="str">
        <f t="array" ref="F523">IFERROR(IF(E523=0,0,INDEX('Справочник'!G:G,MATCH(A523,'Справочник'!F:F,0))))</f>
        <v/>
      </c>
      <c r="G523" s="2" t="str">
        <f>IF(A523&gt;0,SUMIF('Барабан'!K:K,A523,'Барабан'!P:P),"")</f>
        <v/>
      </c>
      <c r="H523" s="2" t="str">
        <f>IF(A523&gt;0,SUMIF('Барабан'!V:V,A523,'Барабан'!AA:AA),"")</f>
        <v/>
      </c>
      <c r="I523" s="2" t="str">
        <f t="shared" si="4"/>
        <v/>
      </c>
      <c r="J523" s="9" t="str">
        <f t="shared" si="2"/>
        <v/>
      </c>
      <c r="K523" s="1" t="str">
        <f>IF(A523&gt;0,COUNTIF('Барабан'!K:K,A523),"")</f>
        <v/>
      </c>
      <c r="L523" s="1" t="str">
        <f>IF(A523&gt;0,COUNTIF('Барабан'!V:V,A523),"")</f>
        <v/>
      </c>
      <c r="M523" s="1" t="str">
        <f t="shared" si="3"/>
        <v/>
      </c>
      <c r="N523" s="1" t="str">
        <f>IFERROR(__xludf.DUMMYFUNCTION("IF(A523&gt;0,MIN(FILTER('Барабан'!AJ:AJ,'Барабан'!K:K=A523)),"""")"),"")</f>
        <v/>
      </c>
      <c r="O523" s="16" t="str">
        <f>IFERROR(__xludf.DUMMYFUNCTION("IF(A523&gt;0,IFERROR(MAX(FILTER('Барабан'!AJ:AJ,'Барабан'!V:V=A523)),""–""),"""")"),"")</f>
        <v/>
      </c>
    </row>
    <row r="524" ht="15.75" customHeight="1">
      <c r="A524" s="1" t="str">
        <f>'Справочник'!E519</f>
        <v/>
      </c>
      <c r="B524" s="2" t="str">
        <f>IF(A524&gt;0,SUMIF('Барабан'!K:K,A524,'Барабан'!I:I),"")</f>
        <v/>
      </c>
      <c r="C524" s="2" t="str">
        <f>IF(A524&gt;0,SUMIF('Барабан'!V:V,A524,'Барабан'!T:T),"")</f>
        <v/>
      </c>
      <c r="D524" s="2" t="str">
        <f>IF(A524&gt;0,SUMIF('Барабан'!K:K,A524,'Барабан'!AG:AG)+SUMIF('Барабан'!V:V,A524,'Барабан'!AG:AG),"")</f>
        <v/>
      </c>
      <c r="E524" s="2" t="str">
        <f t="shared" si="1"/>
        <v/>
      </c>
      <c r="F524" s="2" t="str">
        <f t="array" ref="F524">IFERROR(IF(E524=0,0,INDEX('Справочник'!G:G,MATCH(A524,'Справочник'!F:F,0))))</f>
        <v/>
      </c>
      <c r="G524" s="2" t="str">
        <f>IF(A524&gt;0,SUMIF('Барабан'!K:K,A524,'Барабан'!P:P),"")</f>
        <v/>
      </c>
      <c r="H524" s="2" t="str">
        <f>IF(A524&gt;0,SUMIF('Барабан'!V:V,A524,'Барабан'!AA:AA),"")</f>
        <v/>
      </c>
      <c r="I524" s="2" t="str">
        <f t="shared" si="4"/>
        <v/>
      </c>
      <c r="J524" s="9" t="str">
        <f t="shared" si="2"/>
        <v/>
      </c>
      <c r="K524" s="1" t="str">
        <f>IF(A524&gt;0,COUNTIF('Барабан'!K:K,A524),"")</f>
        <v/>
      </c>
      <c r="L524" s="1" t="str">
        <f>IF(A524&gt;0,COUNTIF('Барабан'!V:V,A524),"")</f>
        <v/>
      </c>
      <c r="M524" s="1" t="str">
        <f t="shared" si="3"/>
        <v/>
      </c>
      <c r="N524" s="1" t="str">
        <f>IFERROR(__xludf.DUMMYFUNCTION("IF(A524&gt;0,MIN(FILTER('Барабан'!AJ:AJ,'Барабан'!K:K=A524)),"""")"),"")</f>
        <v/>
      </c>
      <c r="O524" s="16" t="str">
        <f>IFERROR(__xludf.DUMMYFUNCTION("IF(A524&gt;0,IFERROR(MAX(FILTER('Барабан'!AJ:AJ,'Барабан'!V:V=A524)),""–""),"""")"),"")</f>
        <v/>
      </c>
    </row>
    <row r="525" ht="15.75" customHeight="1">
      <c r="A525" s="1" t="str">
        <f>'Справочник'!E520</f>
        <v/>
      </c>
      <c r="B525" s="2" t="str">
        <f>IF(A525&gt;0,SUMIF('Барабан'!K:K,A525,'Барабан'!I:I),"")</f>
        <v/>
      </c>
      <c r="C525" s="2" t="str">
        <f>IF(A525&gt;0,SUMIF('Барабан'!V:V,A525,'Барабан'!T:T),"")</f>
        <v/>
      </c>
      <c r="D525" s="2" t="str">
        <f>IF(A525&gt;0,SUMIF('Барабан'!K:K,A525,'Барабан'!AG:AG)+SUMIF('Барабан'!V:V,A525,'Барабан'!AG:AG),"")</f>
        <v/>
      </c>
      <c r="E525" s="2" t="str">
        <f t="shared" si="1"/>
        <v/>
      </c>
      <c r="F525" s="2" t="str">
        <f t="array" ref="F525">IFERROR(IF(E525=0,0,INDEX('Справочник'!G:G,MATCH(A525,'Справочник'!F:F,0))))</f>
        <v/>
      </c>
      <c r="G525" s="2" t="str">
        <f>IF(A525&gt;0,SUMIF('Барабан'!K:K,A525,'Барабан'!P:P),"")</f>
        <v/>
      </c>
      <c r="H525" s="2" t="str">
        <f>IF(A525&gt;0,SUMIF('Барабан'!V:V,A525,'Барабан'!AA:AA),"")</f>
        <v/>
      </c>
      <c r="I525" s="2" t="str">
        <f t="shared" si="4"/>
        <v/>
      </c>
      <c r="J525" s="9" t="str">
        <f t="shared" si="2"/>
        <v/>
      </c>
      <c r="K525" s="1" t="str">
        <f>IF(A525&gt;0,COUNTIF('Барабан'!K:K,A525),"")</f>
        <v/>
      </c>
      <c r="L525" s="1" t="str">
        <f>IF(A525&gt;0,COUNTIF('Барабан'!V:V,A525),"")</f>
        <v/>
      </c>
      <c r="M525" s="1" t="str">
        <f t="shared" si="3"/>
        <v/>
      </c>
      <c r="N525" s="1" t="str">
        <f>IFERROR(__xludf.DUMMYFUNCTION("IF(A525&gt;0,MIN(FILTER('Барабан'!AJ:AJ,'Барабан'!K:K=A525)),"""")"),"")</f>
        <v/>
      </c>
      <c r="O525" s="16" t="str">
        <f>IFERROR(__xludf.DUMMYFUNCTION("IF(A525&gt;0,IFERROR(MAX(FILTER('Барабан'!AJ:AJ,'Барабан'!V:V=A525)),""–""),"""")"),"")</f>
        <v/>
      </c>
    </row>
    <row r="526" ht="15.75" customHeight="1">
      <c r="A526" s="1" t="str">
        <f>'Справочник'!E521</f>
        <v/>
      </c>
      <c r="B526" s="2" t="str">
        <f>IF(A526&gt;0,SUMIF('Барабан'!K:K,A526,'Барабан'!I:I),"")</f>
        <v/>
      </c>
      <c r="C526" s="2" t="str">
        <f>IF(A526&gt;0,SUMIF('Барабан'!V:V,A526,'Барабан'!T:T),"")</f>
        <v/>
      </c>
      <c r="D526" s="2" t="str">
        <f>IF(A526&gt;0,SUMIF('Барабан'!K:K,A526,'Барабан'!AG:AG)+SUMIF('Барабан'!V:V,A526,'Барабан'!AG:AG),"")</f>
        <v/>
      </c>
      <c r="E526" s="2" t="str">
        <f t="shared" si="1"/>
        <v/>
      </c>
      <c r="F526" s="2" t="str">
        <f t="array" ref="F526">IFERROR(IF(E526=0,0,INDEX('Справочник'!G:G,MATCH(A526,'Справочник'!F:F,0))))</f>
        <v/>
      </c>
      <c r="G526" s="2" t="str">
        <f>IF(A526&gt;0,SUMIF('Барабан'!K:K,A526,'Барабан'!P:P),"")</f>
        <v/>
      </c>
      <c r="H526" s="2" t="str">
        <f>IF(A526&gt;0,SUMIF('Барабан'!V:V,A526,'Барабан'!AA:AA),"")</f>
        <v/>
      </c>
      <c r="I526" s="2" t="str">
        <f t="shared" si="4"/>
        <v/>
      </c>
      <c r="J526" s="9" t="str">
        <f t="shared" si="2"/>
        <v/>
      </c>
      <c r="K526" s="1" t="str">
        <f>IF(A526&gt;0,COUNTIF('Барабан'!K:K,A526),"")</f>
        <v/>
      </c>
      <c r="L526" s="1" t="str">
        <f>IF(A526&gt;0,COUNTIF('Барабан'!V:V,A526),"")</f>
        <v/>
      </c>
      <c r="M526" s="1" t="str">
        <f t="shared" si="3"/>
        <v/>
      </c>
      <c r="N526" s="1" t="str">
        <f>IFERROR(__xludf.DUMMYFUNCTION("IF(A526&gt;0,MIN(FILTER('Барабан'!AJ:AJ,'Барабан'!K:K=A526)),"""")"),"")</f>
        <v/>
      </c>
      <c r="O526" s="16" t="str">
        <f>IFERROR(__xludf.DUMMYFUNCTION("IF(A526&gt;0,IFERROR(MAX(FILTER('Барабан'!AJ:AJ,'Барабан'!V:V=A526)),""–""),"""")"),"")</f>
        <v/>
      </c>
    </row>
    <row r="527" ht="15.75" customHeight="1">
      <c r="A527" s="1" t="str">
        <f>'Справочник'!E522</f>
        <v/>
      </c>
      <c r="B527" s="2" t="str">
        <f>IF(A527&gt;0,SUMIF('Барабан'!K:K,A527,'Барабан'!I:I),"")</f>
        <v/>
      </c>
      <c r="C527" s="2" t="str">
        <f>IF(A527&gt;0,SUMIF('Барабан'!V:V,A527,'Барабан'!T:T),"")</f>
        <v/>
      </c>
      <c r="D527" s="2" t="str">
        <f>IF(A527&gt;0,SUMIF('Барабан'!K:K,A527,'Барабан'!AG:AG)+SUMIF('Барабан'!V:V,A527,'Барабан'!AG:AG),"")</f>
        <v/>
      </c>
      <c r="E527" s="2" t="str">
        <f t="shared" si="1"/>
        <v/>
      </c>
      <c r="F527" s="2" t="str">
        <f t="array" ref="F527">IFERROR(IF(E527=0,0,INDEX('Справочник'!G:G,MATCH(A527,'Справочник'!F:F,0))))</f>
        <v/>
      </c>
      <c r="G527" s="2" t="str">
        <f>IF(A527&gt;0,SUMIF('Барабан'!K:K,A527,'Барабан'!P:P),"")</f>
        <v/>
      </c>
      <c r="H527" s="2" t="str">
        <f>IF(A527&gt;0,SUMIF('Барабан'!V:V,A527,'Барабан'!AA:AA),"")</f>
        <v/>
      </c>
      <c r="I527" s="2" t="str">
        <f t="shared" si="4"/>
        <v/>
      </c>
      <c r="J527" s="9" t="str">
        <f t="shared" si="2"/>
        <v/>
      </c>
      <c r="K527" s="1" t="str">
        <f>IF(A527&gt;0,COUNTIF('Барабан'!K:K,A527),"")</f>
        <v/>
      </c>
      <c r="L527" s="1" t="str">
        <f>IF(A527&gt;0,COUNTIF('Барабан'!V:V,A527),"")</f>
        <v/>
      </c>
      <c r="M527" s="1" t="str">
        <f t="shared" si="3"/>
        <v/>
      </c>
      <c r="N527" s="1" t="str">
        <f>IFERROR(__xludf.DUMMYFUNCTION("IF(A527&gt;0,MIN(FILTER('Барабан'!AJ:AJ,'Барабан'!K:K=A527)),"""")"),"")</f>
        <v/>
      </c>
      <c r="O527" s="16" t="str">
        <f>IFERROR(__xludf.DUMMYFUNCTION("IF(A527&gt;0,IFERROR(MAX(FILTER('Барабан'!AJ:AJ,'Барабан'!V:V=A527)),""–""),"""")"),"")</f>
        <v/>
      </c>
    </row>
    <row r="528" ht="15.75" customHeight="1">
      <c r="A528" s="1" t="str">
        <f>'Справочник'!E523</f>
        <v/>
      </c>
      <c r="B528" s="2" t="str">
        <f>IF(A528&gt;0,SUMIF('Барабан'!K:K,A528,'Барабан'!I:I),"")</f>
        <v/>
      </c>
      <c r="C528" s="2" t="str">
        <f>IF(A528&gt;0,SUMIF('Барабан'!V:V,A528,'Барабан'!T:T),"")</f>
        <v/>
      </c>
      <c r="D528" s="2" t="str">
        <f>IF(A528&gt;0,SUMIF('Барабан'!K:K,A528,'Барабан'!AG:AG)+SUMIF('Барабан'!V:V,A528,'Барабан'!AG:AG),"")</f>
        <v/>
      </c>
      <c r="E528" s="2" t="str">
        <f t="shared" si="1"/>
        <v/>
      </c>
      <c r="F528" s="2" t="str">
        <f t="array" ref="F528">IFERROR(IF(E528=0,0,INDEX('Справочник'!G:G,MATCH(A528,'Справочник'!F:F,0))))</f>
        <v/>
      </c>
      <c r="G528" s="2" t="str">
        <f>IF(A528&gt;0,SUMIF('Барабан'!K:K,A528,'Барабан'!P:P),"")</f>
        <v/>
      </c>
      <c r="H528" s="2" t="str">
        <f>IF(A528&gt;0,SUMIF('Барабан'!V:V,A528,'Барабан'!AA:AA),"")</f>
        <v/>
      </c>
      <c r="I528" s="2" t="str">
        <f t="shared" si="4"/>
        <v/>
      </c>
      <c r="J528" s="9" t="str">
        <f t="shared" si="2"/>
        <v/>
      </c>
      <c r="K528" s="1" t="str">
        <f>IF(A528&gt;0,COUNTIF('Барабан'!K:K,A528),"")</f>
        <v/>
      </c>
      <c r="L528" s="1" t="str">
        <f>IF(A528&gt;0,COUNTIF('Барабан'!V:V,A528),"")</f>
        <v/>
      </c>
      <c r="M528" s="1" t="str">
        <f t="shared" si="3"/>
        <v/>
      </c>
      <c r="N528" s="1" t="str">
        <f>IFERROR(__xludf.DUMMYFUNCTION("IF(A528&gt;0,MIN(FILTER('Барабан'!AJ:AJ,'Барабан'!K:K=A528)),"""")"),"")</f>
        <v/>
      </c>
      <c r="O528" s="16" t="str">
        <f>IFERROR(__xludf.DUMMYFUNCTION("IF(A528&gt;0,IFERROR(MAX(FILTER('Барабан'!AJ:AJ,'Барабан'!V:V=A528)),""–""),"""")"),"")</f>
        <v/>
      </c>
    </row>
    <row r="529" ht="15.75" customHeight="1">
      <c r="A529" s="1" t="str">
        <f>'Справочник'!E524</f>
        <v/>
      </c>
      <c r="B529" s="2" t="str">
        <f>IF(A529&gt;0,SUMIF('Барабан'!K:K,A529,'Барабан'!I:I),"")</f>
        <v/>
      </c>
      <c r="C529" s="2" t="str">
        <f>IF(A529&gt;0,SUMIF('Барабан'!V:V,A529,'Барабан'!T:T),"")</f>
        <v/>
      </c>
      <c r="D529" s="2" t="str">
        <f>IF(A529&gt;0,SUMIF('Барабан'!K:K,A529,'Барабан'!AG:AG)+SUMIF('Барабан'!V:V,A529,'Барабан'!AG:AG),"")</f>
        <v/>
      </c>
      <c r="E529" s="2" t="str">
        <f t="shared" si="1"/>
        <v/>
      </c>
      <c r="F529" s="2" t="str">
        <f t="array" ref="F529">IFERROR(IF(E529=0,0,INDEX('Справочник'!G:G,MATCH(A529,'Справочник'!F:F,0))))</f>
        <v/>
      </c>
      <c r="G529" s="2" t="str">
        <f>IF(A529&gt;0,SUMIF('Барабан'!K:K,A529,'Барабан'!P:P),"")</f>
        <v/>
      </c>
      <c r="H529" s="2" t="str">
        <f>IF(A529&gt;0,SUMIF('Барабан'!V:V,A529,'Барабан'!AA:AA),"")</f>
        <v/>
      </c>
      <c r="I529" s="2" t="str">
        <f t="shared" si="4"/>
        <v/>
      </c>
      <c r="J529" s="9" t="str">
        <f t="shared" si="2"/>
        <v/>
      </c>
      <c r="K529" s="1" t="str">
        <f>IF(A529&gt;0,COUNTIF('Барабан'!K:K,A529),"")</f>
        <v/>
      </c>
      <c r="L529" s="1" t="str">
        <f>IF(A529&gt;0,COUNTIF('Барабан'!V:V,A529),"")</f>
        <v/>
      </c>
      <c r="M529" s="1" t="str">
        <f t="shared" si="3"/>
        <v/>
      </c>
      <c r="N529" s="1" t="str">
        <f>IFERROR(__xludf.DUMMYFUNCTION("IF(A529&gt;0,MIN(FILTER('Барабан'!AJ:AJ,'Барабан'!K:K=A529)),"""")"),"")</f>
        <v/>
      </c>
      <c r="O529" s="16" t="str">
        <f>IFERROR(__xludf.DUMMYFUNCTION("IF(A529&gt;0,IFERROR(MAX(FILTER('Барабан'!AJ:AJ,'Барабан'!V:V=A529)),""–""),"""")"),"")</f>
        <v/>
      </c>
    </row>
    <row r="530" ht="15.75" customHeight="1">
      <c r="A530" s="1" t="str">
        <f>'Справочник'!E525</f>
        <v/>
      </c>
      <c r="B530" s="2" t="str">
        <f>IF(A530&gt;0,SUMIF('Барабан'!K:K,A530,'Барабан'!I:I),"")</f>
        <v/>
      </c>
      <c r="C530" s="2" t="str">
        <f>IF(A530&gt;0,SUMIF('Барабан'!V:V,A530,'Барабан'!T:T),"")</f>
        <v/>
      </c>
      <c r="D530" s="2" t="str">
        <f>IF(A530&gt;0,SUMIF('Барабан'!K:K,A530,'Барабан'!AG:AG)+SUMIF('Барабан'!V:V,A530,'Барабан'!AG:AG),"")</f>
        <v/>
      </c>
      <c r="E530" s="2" t="str">
        <f t="shared" si="1"/>
        <v/>
      </c>
      <c r="F530" s="2" t="str">
        <f t="array" ref="F530">IFERROR(IF(E530=0,0,INDEX('Справочник'!G:G,MATCH(A530,'Справочник'!F:F,0))))</f>
        <v/>
      </c>
      <c r="G530" s="2" t="str">
        <f>IF(A530&gt;0,SUMIF('Барабан'!K:K,A530,'Барабан'!P:P),"")</f>
        <v/>
      </c>
      <c r="H530" s="2" t="str">
        <f>IF(A530&gt;0,SUMIF('Барабан'!V:V,A530,'Барабан'!AA:AA),"")</f>
        <v/>
      </c>
      <c r="I530" s="2" t="str">
        <f t="shared" si="4"/>
        <v/>
      </c>
      <c r="J530" s="9" t="str">
        <f t="shared" si="2"/>
        <v/>
      </c>
      <c r="K530" s="1" t="str">
        <f>IF(A530&gt;0,COUNTIF('Барабан'!K:K,A530),"")</f>
        <v/>
      </c>
      <c r="L530" s="1" t="str">
        <f>IF(A530&gt;0,COUNTIF('Барабан'!V:V,A530),"")</f>
        <v/>
      </c>
      <c r="M530" s="1" t="str">
        <f t="shared" si="3"/>
        <v/>
      </c>
      <c r="N530" s="1" t="str">
        <f>IFERROR(__xludf.DUMMYFUNCTION("IF(A530&gt;0,MIN(FILTER('Барабан'!AJ:AJ,'Барабан'!K:K=A530)),"""")"),"")</f>
        <v/>
      </c>
      <c r="O530" s="16" t="str">
        <f>IFERROR(__xludf.DUMMYFUNCTION("IF(A530&gt;0,IFERROR(MAX(FILTER('Барабан'!AJ:AJ,'Барабан'!V:V=A530)),""–""),"""")"),"")</f>
        <v/>
      </c>
    </row>
    <row r="531" ht="15.75" customHeight="1">
      <c r="A531" s="1" t="str">
        <f>'Справочник'!E526</f>
        <v/>
      </c>
      <c r="B531" s="2" t="str">
        <f>IF(A531&gt;0,SUMIF('Барабан'!K:K,A531,'Барабан'!I:I),"")</f>
        <v/>
      </c>
      <c r="C531" s="2" t="str">
        <f>IF(A531&gt;0,SUMIF('Барабан'!V:V,A531,'Барабан'!T:T),"")</f>
        <v/>
      </c>
      <c r="D531" s="2" t="str">
        <f>IF(A531&gt;0,SUMIF('Барабан'!K:K,A531,'Барабан'!AG:AG)+SUMIF('Барабан'!V:V,A531,'Барабан'!AG:AG),"")</f>
        <v/>
      </c>
      <c r="E531" s="2" t="str">
        <f t="shared" si="1"/>
        <v/>
      </c>
      <c r="F531" s="2" t="str">
        <f t="array" ref="F531">IFERROR(IF(E531=0,0,INDEX('Справочник'!G:G,MATCH(A531,'Справочник'!F:F,0))))</f>
        <v/>
      </c>
      <c r="G531" s="2" t="str">
        <f>IF(A531&gt;0,SUMIF('Барабан'!K:K,A531,'Барабан'!P:P),"")</f>
        <v/>
      </c>
      <c r="H531" s="2" t="str">
        <f>IF(A531&gt;0,SUMIF('Барабан'!V:V,A531,'Барабан'!AA:AA),"")</f>
        <v/>
      </c>
      <c r="I531" s="2" t="str">
        <f t="shared" si="4"/>
        <v/>
      </c>
      <c r="J531" s="9" t="str">
        <f t="shared" si="2"/>
        <v/>
      </c>
      <c r="K531" s="1" t="str">
        <f>IF(A531&gt;0,COUNTIF('Барабан'!K:K,A531),"")</f>
        <v/>
      </c>
      <c r="L531" s="1" t="str">
        <f>IF(A531&gt;0,COUNTIF('Барабан'!V:V,A531),"")</f>
        <v/>
      </c>
      <c r="M531" s="1" t="str">
        <f t="shared" si="3"/>
        <v/>
      </c>
      <c r="N531" s="1" t="str">
        <f>IFERROR(__xludf.DUMMYFUNCTION("IF(A531&gt;0,MIN(FILTER('Барабан'!AJ:AJ,'Барабан'!K:K=A531)),"""")"),"")</f>
        <v/>
      </c>
      <c r="O531" s="16" t="str">
        <f>IFERROR(__xludf.DUMMYFUNCTION("IF(A531&gt;0,IFERROR(MAX(FILTER('Барабан'!AJ:AJ,'Барабан'!V:V=A531)),""–""),"""")"),"")</f>
        <v/>
      </c>
    </row>
    <row r="532" ht="15.75" customHeight="1">
      <c r="A532" s="1" t="str">
        <f>'Справочник'!E527</f>
        <v/>
      </c>
      <c r="B532" s="2" t="str">
        <f>IF(A532&gt;0,SUMIF('Барабан'!K:K,A532,'Барабан'!I:I),"")</f>
        <v/>
      </c>
      <c r="C532" s="2" t="str">
        <f>IF(A532&gt;0,SUMIF('Барабан'!V:V,A532,'Барабан'!T:T),"")</f>
        <v/>
      </c>
      <c r="D532" s="2" t="str">
        <f>IF(A532&gt;0,SUMIF('Барабан'!K:K,A532,'Барабан'!AG:AG)+SUMIF('Барабан'!V:V,A532,'Барабан'!AG:AG),"")</f>
        <v/>
      </c>
      <c r="E532" s="2" t="str">
        <f t="shared" si="1"/>
        <v/>
      </c>
      <c r="F532" s="2" t="str">
        <f t="array" ref="F532">IFERROR(IF(E532=0,0,INDEX('Справочник'!G:G,MATCH(A532,'Справочник'!F:F,0))))</f>
        <v/>
      </c>
      <c r="G532" s="2" t="str">
        <f>IF(A532&gt;0,SUMIF('Барабан'!K:K,A532,'Барабан'!P:P),"")</f>
        <v/>
      </c>
      <c r="H532" s="2" t="str">
        <f>IF(A532&gt;0,SUMIF('Барабан'!V:V,A532,'Барабан'!AA:AA),"")</f>
        <v/>
      </c>
      <c r="I532" s="2" t="str">
        <f t="shared" si="4"/>
        <v/>
      </c>
      <c r="J532" s="9" t="str">
        <f t="shared" si="2"/>
        <v/>
      </c>
      <c r="K532" s="1" t="str">
        <f>IF(A532&gt;0,COUNTIF('Барабан'!K:K,A532),"")</f>
        <v/>
      </c>
      <c r="L532" s="1" t="str">
        <f>IF(A532&gt;0,COUNTIF('Барабан'!V:V,A532),"")</f>
        <v/>
      </c>
      <c r="M532" s="1" t="str">
        <f t="shared" si="3"/>
        <v/>
      </c>
      <c r="N532" s="1" t="str">
        <f>IFERROR(__xludf.DUMMYFUNCTION("IF(A532&gt;0,MIN(FILTER('Барабан'!AJ:AJ,'Барабан'!K:K=A532)),"""")"),"")</f>
        <v/>
      </c>
      <c r="O532" s="16" t="str">
        <f>IFERROR(__xludf.DUMMYFUNCTION("IF(A532&gt;0,IFERROR(MAX(FILTER('Барабан'!AJ:AJ,'Барабан'!V:V=A532)),""–""),"""")"),"")</f>
        <v/>
      </c>
    </row>
    <row r="533" ht="15.75" customHeight="1">
      <c r="A533" s="1" t="str">
        <f>'Справочник'!E528</f>
        <v/>
      </c>
      <c r="B533" s="2" t="str">
        <f>IF(A533&gt;0,SUMIF('Барабан'!K:K,A533,'Барабан'!I:I),"")</f>
        <v/>
      </c>
      <c r="C533" s="2" t="str">
        <f>IF(A533&gt;0,SUMIF('Барабан'!V:V,A533,'Барабан'!T:T),"")</f>
        <v/>
      </c>
      <c r="D533" s="2" t="str">
        <f>IF(A533&gt;0,SUMIF('Барабан'!K:K,A533,'Барабан'!AG:AG)+SUMIF('Барабан'!V:V,A533,'Барабан'!AG:AG),"")</f>
        <v/>
      </c>
      <c r="E533" s="2" t="str">
        <f t="shared" si="1"/>
        <v/>
      </c>
      <c r="F533" s="2" t="str">
        <f t="array" ref="F533">IFERROR(IF(E533=0,0,INDEX('Справочник'!G:G,MATCH(A533,'Справочник'!F:F,0))))</f>
        <v/>
      </c>
      <c r="G533" s="2" t="str">
        <f>IF(A533&gt;0,SUMIF('Барабан'!K:K,A533,'Барабан'!P:P),"")</f>
        <v/>
      </c>
      <c r="H533" s="2" t="str">
        <f>IF(A533&gt;0,SUMIF('Барабан'!V:V,A533,'Барабан'!AA:AA),"")</f>
        <v/>
      </c>
      <c r="I533" s="2" t="str">
        <f t="shared" si="4"/>
        <v/>
      </c>
      <c r="J533" s="9" t="str">
        <f t="shared" si="2"/>
        <v/>
      </c>
      <c r="K533" s="1" t="str">
        <f>IF(A533&gt;0,COUNTIF('Барабан'!K:K,A533),"")</f>
        <v/>
      </c>
      <c r="L533" s="1" t="str">
        <f>IF(A533&gt;0,COUNTIF('Барабан'!V:V,A533),"")</f>
        <v/>
      </c>
      <c r="M533" s="1" t="str">
        <f t="shared" si="3"/>
        <v/>
      </c>
      <c r="N533" s="1" t="str">
        <f>IFERROR(__xludf.DUMMYFUNCTION("IF(A533&gt;0,MIN(FILTER('Барабан'!AJ:AJ,'Барабан'!K:K=A533)),"""")"),"")</f>
        <v/>
      </c>
      <c r="O533" s="16" t="str">
        <f>IFERROR(__xludf.DUMMYFUNCTION("IF(A533&gt;0,IFERROR(MAX(FILTER('Барабан'!AJ:AJ,'Барабан'!V:V=A533)),""–""),"""")"),"")</f>
        <v/>
      </c>
    </row>
    <row r="534" ht="15.75" customHeight="1">
      <c r="A534" s="1" t="str">
        <f>'Справочник'!E529</f>
        <v/>
      </c>
      <c r="B534" s="2" t="str">
        <f>IF(A534&gt;0,SUMIF('Барабан'!K:K,A534,'Барабан'!I:I),"")</f>
        <v/>
      </c>
      <c r="C534" s="2" t="str">
        <f>IF(A534&gt;0,SUMIF('Барабан'!V:V,A534,'Барабан'!T:T),"")</f>
        <v/>
      </c>
      <c r="D534" s="2" t="str">
        <f>IF(A534&gt;0,SUMIF('Барабан'!K:K,A534,'Барабан'!AG:AG)+SUMIF('Барабан'!V:V,A534,'Барабан'!AG:AG),"")</f>
        <v/>
      </c>
      <c r="E534" s="2" t="str">
        <f t="shared" si="1"/>
        <v/>
      </c>
      <c r="F534" s="2" t="str">
        <f t="array" ref="F534">IFERROR(IF(E534=0,0,INDEX('Справочник'!G:G,MATCH(A534,'Справочник'!F:F,0))))</f>
        <v/>
      </c>
      <c r="G534" s="2" t="str">
        <f>IF(A534&gt;0,SUMIF('Барабан'!K:K,A534,'Барабан'!P:P),"")</f>
        <v/>
      </c>
      <c r="H534" s="2" t="str">
        <f>IF(A534&gt;0,SUMIF('Барабан'!V:V,A534,'Барабан'!AA:AA),"")</f>
        <v/>
      </c>
      <c r="I534" s="2" t="str">
        <f t="shared" si="4"/>
        <v/>
      </c>
      <c r="J534" s="9" t="str">
        <f t="shared" si="2"/>
        <v/>
      </c>
      <c r="K534" s="1" t="str">
        <f>IF(A534&gt;0,COUNTIF('Барабан'!K:K,A534),"")</f>
        <v/>
      </c>
      <c r="L534" s="1" t="str">
        <f>IF(A534&gt;0,COUNTIF('Барабан'!V:V,A534),"")</f>
        <v/>
      </c>
      <c r="M534" s="1" t="str">
        <f t="shared" si="3"/>
        <v/>
      </c>
      <c r="N534" s="1" t="str">
        <f>IFERROR(__xludf.DUMMYFUNCTION("IF(A534&gt;0,MIN(FILTER('Барабан'!AJ:AJ,'Барабан'!K:K=A534)),"""")"),"")</f>
        <v/>
      </c>
      <c r="O534" s="16" t="str">
        <f>IFERROR(__xludf.DUMMYFUNCTION("IF(A534&gt;0,IFERROR(MAX(FILTER('Барабан'!AJ:AJ,'Барабан'!V:V=A534)),""–""),"""")"),"")</f>
        <v/>
      </c>
    </row>
    <row r="535" ht="15.75" customHeight="1">
      <c r="A535" s="1" t="str">
        <f>'Справочник'!E530</f>
        <v/>
      </c>
      <c r="B535" s="2" t="str">
        <f>IF(A535&gt;0,SUMIF('Барабан'!K:K,A535,'Барабан'!I:I),"")</f>
        <v/>
      </c>
      <c r="C535" s="2" t="str">
        <f>IF(A535&gt;0,SUMIF('Барабан'!V:V,A535,'Барабан'!T:T),"")</f>
        <v/>
      </c>
      <c r="D535" s="2" t="str">
        <f>IF(A535&gt;0,SUMIF('Барабан'!K:K,A535,'Барабан'!AG:AG)+SUMIF('Барабан'!V:V,A535,'Барабан'!AG:AG),"")</f>
        <v/>
      </c>
      <c r="E535" s="2" t="str">
        <f t="shared" si="1"/>
        <v/>
      </c>
      <c r="F535" s="2" t="str">
        <f t="array" ref="F535">IFERROR(IF(E535=0,0,INDEX('Справочник'!G:G,MATCH(A535,'Справочник'!F:F,0))))</f>
        <v/>
      </c>
      <c r="G535" s="2" t="str">
        <f>IF(A535&gt;0,SUMIF('Барабан'!K:K,A535,'Барабан'!P:P),"")</f>
        <v/>
      </c>
      <c r="H535" s="2" t="str">
        <f>IF(A535&gt;0,SUMIF('Барабан'!V:V,A535,'Барабан'!AA:AA),"")</f>
        <v/>
      </c>
      <c r="I535" s="2" t="str">
        <f t="shared" si="4"/>
        <v/>
      </c>
      <c r="J535" s="9" t="str">
        <f t="shared" si="2"/>
        <v/>
      </c>
      <c r="K535" s="1" t="str">
        <f>IF(A535&gt;0,COUNTIF('Барабан'!K:K,A535),"")</f>
        <v/>
      </c>
      <c r="L535" s="1" t="str">
        <f>IF(A535&gt;0,COUNTIF('Барабан'!V:V,A535),"")</f>
        <v/>
      </c>
      <c r="M535" s="1" t="str">
        <f t="shared" si="3"/>
        <v/>
      </c>
      <c r="N535" s="1" t="str">
        <f>IFERROR(__xludf.DUMMYFUNCTION("IF(A535&gt;0,MIN(FILTER('Барабан'!AJ:AJ,'Барабан'!K:K=A535)),"""")"),"")</f>
        <v/>
      </c>
      <c r="O535" s="16" t="str">
        <f>IFERROR(__xludf.DUMMYFUNCTION("IF(A535&gt;0,IFERROR(MAX(FILTER('Барабан'!AJ:AJ,'Барабан'!V:V=A535)),""–""),"""")"),"")</f>
        <v/>
      </c>
    </row>
    <row r="536" ht="15.75" customHeight="1">
      <c r="A536" s="1" t="str">
        <f>'Справочник'!E531</f>
        <v/>
      </c>
      <c r="B536" s="2" t="str">
        <f>IF(A536&gt;0,SUMIF('Барабан'!K:K,A536,'Барабан'!I:I),"")</f>
        <v/>
      </c>
      <c r="C536" s="2" t="str">
        <f>IF(A536&gt;0,SUMIF('Барабан'!V:V,A536,'Барабан'!T:T),"")</f>
        <v/>
      </c>
      <c r="D536" s="2" t="str">
        <f>IF(A536&gt;0,SUMIF('Барабан'!K:K,A536,'Барабан'!AG:AG)+SUMIF('Барабан'!V:V,A536,'Барабан'!AG:AG),"")</f>
        <v/>
      </c>
      <c r="E536" s="2" t="str">
        <f t="shared" si="1"/>
        <v/>
      </c>
      <c r="F536" s="2" t="str">
        <f t="array" ref="F536">IFERROR(IF(E536=0,0,INDEX('Справочник'!G:G,MATCH(A536,'Справочник'!F:F,0))))</f>
        <v/>
      </c>
      <c r="G536" s="2" t="str">
        <f>IF(A536&gt;0,SUMIF('Барабан'!K:K,A536,'Барабан'!P:P),"")</f>
        <v/>
      </c>
      <c r="H536" s="2" t="str">
        <f>IF(A536&gt;0,SUMIF('Барабан'!V:V,A536,'Барабан'!AA:AA),"")</f>
        <v/>
      </c>
      <c r="I536" s="2" t="str">
        <f t="shared" si="4"/>
        <v/>
      </c>
      <c r="J536" s="9" t="str">
        <f t="shared" si="2"/>
        <v/>
      </c>
      <c r="K536" s="1" t="str">
        <f>IF(A536&gt;0,COUNTIF('Барабан'!K:K,A536),"")</f>
        <v/>
      </c>
      <c r="L536" s="1" t="str">
        <f>IF(A536&gt;0,COUNTIF('Барабан'!V:V,A536),"")</f>
        <v/>
      </c>
      <c r="M536" s="1" t="str">
        <f t="shared" si="3"/>
        <v/>
      </c>
      <c r="N536" s="1" t="str">
        <f>IFERROR(__xludf.DUMMYFUNCTION("IF(A536&gt;0,MIN(FILTER('Барабан'!AJ:AJ,'Барабан'!K:K=A536)),"""")"),"")</f>
        <v/>
      </c>
      <c r="O536" s="16" t="str">
        <f>IFERROR(__xludf.DUMMYFUNCTION("IF(A536&gt;0,IFERROR(MAX(FILTER('Барабан'!AJ:AJ,'Барабан'!V:V=A536)),""–""),"""")"),"")</f>
        <v/>
      </c>
    </row>
    <row r="537" ht="15.75" customHeight="1">
      <c r="A537" s="1" t="str">
        <f>'Справочник'!E532</f>
        <v/>
      </c>
      <c r="B537" s="2" t="str">
        <f>IF(A537&gt;0,SUMIF('Барабан'!K:K,A537,'Барабан'!I:I),"")</f>
        <v/>
      </c>
      <c r="C537" s="2" t="str">
        <f>IF(A537&gt;0,SUMIF('Барабан'!V:V,A537,'Барабан'!T:T),"")</f>
        <v/>
      </c>
      <c r="D537" s="2" t="str">
        <f>IF(A537&gt;0,SUMIF('Барабан'!K:K,A537,'Барабан'!AG:AG)+SUMIF('Барабан'!V:V,A537,'Барабан'!AG:AG),"")</f>
        <v/>
      </c>
      <c r="E537" s="2" t="str">
        <f t="shared" si="1"/>
        <v/>
      </c>
      <c r="F537" s="2" t="str">
        <f t="array" ref="F537">IFERROR(IF(E537=0,0,INDEX('Справочник'!G:G,MATCH(A537,'Справочник'!F:F,0))))</f>
        <v/>
      </c>
      <c r="G537" s="2" t="str">
        <f>IF(A537&gt;0,SUMIF('Барабан'!K:K,A537,'Барабан'!P:P),"")</f>
        <v/>
      </c>
      <c r="H537" s="2" t="str">
        <f>IF(A537&gt;0,SUMIF('Барабан'!V:V,A537,'Барабан'!AA:AA),"")</f>
        <v/>
      </c>
      <c r="I537" s="2" t="str">
        <f t="shared" si="4"/>
        <v/>
      </c>
      <c r="J537" s="9" t="str">
        <f t="shared" si="2"/>
        <v/>
      </c>
      <c r="K537" s="1" t="str">
        <f>IF(A537&gt;0,COUNTIF('Барабан'!K:K,A537),"")</f>
        <v/>
      </c>
      <c r="L537" s="1" t="str">
        <f>IF(A537&gt;0,COUNTIF('Барабан'!V:V,A537),"")</f>
        <v/>
      </c>
      <c r="M537" s="1" t="str">
        <f t="shared" si="3"/>
        <v/>
      </c>
      <c r="N537" s="1" t="str">
        <f>IFERROR(__xludf.DUMMYFUNCTION("IF(A537&gt;0,MIN(FILTER('Барабан'!AJ:AJ,'Барабан'!K:K=A537)),"""")"),"")</f>
        <v/>
      </c>
      <c r="O537" s="16" t="str">
        <f>IFERROR(__xludf.DUMMYFUNCTION("IF(A537&gt;0,IFERROR(MAX(FILTER('Барабан'!AJ:AJ,'Барабан'!V:V=A537)),""–""),"""")"),"")</f>
        <v/>
      </c>
    </row>
    <row r="538" ht="15.75" customHeight="1">
      <c r="A538" s="1" t="str">
        <f>'Справочник'!E533</f>
        <v/>
      </c>
      <c r="B538" s="2" t="str">
        <f>IF(A538&gt;0,SUMIF('Барабан'!K:K,A538,'Барабан'!I:I),"")</f>
        <v/>
      </c>
      <c r="C538" s="2" t="str">
        <f>IF(A538&gt;0,SUMIF('Барабан'!V:V,A538,'Барабан'!T:T),"")</f>
        <v/>
      </c>
      <c r="D538" s="2" t="str">
        <f>IF(A538&gt;0,SUMIF('Барабан'!K:K,A538,'Барабан'!AG:AG)+SUMIF('Барабан'!V:V,A538,'Барабан'!AG:AG),"")</f>
        <v/>
      </c>
      <c r="E538" s="2" t="str">
        <f t="shared" si="1"/>
        <v/>
      </c>
      <c r="F538" s="2" t="str">
        <f t="array" ref="F538">IFERROR(IF(E538=0,0,INDEX('Справочник'!G:G,MATCH(A538,'Справочник'!F:F,0))))</f>
        <v/>
      </c>
      <c r="G538" s="2" t="str">
        <f>IF(A538&gt;0,SUMIF('Барабан'!K:K,A538,'Барабан'!P:P),"")</f>
        <v/>
      </c>
      <c r="H538" s="2" t="str">
        <f>IF(A538&gt;0,SUMIF('Барабан'!V:V,A538,'Барабан'!AA:AA),"")</f>
        <v/>
      </c>
      <c r="I538" s="2" t="str">
        <f t="shared" si="4"/>
        <v/>
      </c>
      <c r="J538" s="9" t="str">
        <f t="shared" si="2"/>
        <v/>
      </c>
      <c r="K538" s="1" t="str">
        <f>IF(A538&gt;0,COUNTIF('Барабан'!K:K,A538),"")</f>
        <v/>
      </c>
      <c r="L538" s="1" t="str">
        <f>IF(A538&gt;0,COUNTIF('Барабан'!V:V,A538),"")</f>
        <v/>
      </c>
      <c r="M538" s="1" t="str">
        <f t="shared" si="3"/>
        <v/>
      </c>
      <c r="N538" s="1" t="str">
        <f>IFERROR(__xludf.DUMMYFUNCTION("IF(A538&gt;0,MIN(FILTER('Барабан'!AJ:AJ,'Барабан'!K:K=A538)),"""")"),"")</f>
        <v/>
      </c>
      <c r="O538" s="16" t="str">
        <f>IFERROR(__xludf.DUMMYFUNCTION("IF(A538&gt;0,IFERROR(MAX(FILTER('Барабан'!AJ:AJ,'Барабан'!V:V=A538)),""–""),"""")"),"")</f>
        <v/>
      </c>
    </row>
    <row r="539" ht="15.75" customHeight="1">
      <c r="A539" s="1" t="str">
        <f>'Справочник'!E534</f>
        <v/>
      </c>
      <c r="B539" s="2" t="str">
        <f>IF(A539&gt;0,SUMIF('Барабан'!K:K,A539,'Барабан'!I:I),"")</f>
        <v/>
      </c>
      <c r="C539" s="2" t="str">
        <f>IF(A539&gt;0,SUMIF('Барабан'!V:V,A539,'Барабан'!T:T),"")</f>
        <v/>
      </c>
      <c r="D539" s="2" t="str">
        <f>IF(A539&gt;0,SUMIF('Барабан'!K:K,A539,'Барабан'!AG:AG)+SUMIF('Барабан'!V:V,A539,'Барабан'!AG:AG),"")</f>
        <v/>
      </c>
      <c r="E539" s="2" t="str">
        <f t="shared" si="1"/>
        <v/>
      </c>
      <c r="F539" s="2" t="str">
        <f t="array" ref="F539">IFERROR(IF(E539=0,0,INDEX('Справочник'!G:G,MATCH(A539,'Справочник'!F:F,0))))</f>
        <v/>
      </c>
   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</c>
      <c r="I539" s="2" t="str">
        <f t="shared" si="4"/>
        <v/>
      </c>
      <c r="J539" s="9" t="str">
        <f t="shared" si="2"/>
        <v/>
      </c>
      <c r="K539" s="1" t="str">
        <f>IF(A539&gt;0,COUNTIF('Барабан'!K:K,A539),"")</f>
        <v/>
      </c>
      <c r="L539" s="1" t="str">
        <f>IF(A539&gt;0,COUNTIF('Барабан'!V:V,A539),"")</f>
        <v/>
      </c>
      <c r="M539" s="1" t="str">
        <f t="shared" si="3"/>
        <v/>
      </c>
      <c r="N539" s="1" t="str">
        <f>IFERROR(__xludf.DUMMYFUNCTION("IF(A539&gt;0,MIN(FILTER('Барабан'!AJ:AJ,'Барабан'!K:K=A539)),"""")"),"")</f>
        <v/>
      </c>
      <c r="O539" s="16" t="str">
        <f>IFERROR(__xludf.DUMMYFUNCTION("IF(A539&gt;0,IFERROR(MAX(FILTER('Барабан'!AJ:AJ,'Барабан'!V:V=A539)),""–""),"""")"),"")</f>
        <v/>
      </c>
    </row>
    <row r="540" ht="15.75" customHeight="1">
      <c r="A540" s="1" t="str">
        <f>'Справочник'!E535</f>
        <v/>
      </c>
      <c r="B540" s="2" t="str">
        <f>IF(A540&gt;0,SUMIF('Барабан'!K:K,A540,'Барабан'!I:I),"")</f>
        <v/>
      </c>
      <c r="C540" s="2" t="str">
        <f>IF(A540&gt;0,SUMIF('Барабан'!V:V,A540,'Барабан'!T:T),"")</f>
        <v/>
      </c>
      <c r="D540" s="2" t="str">
        <f>IF(A540&gt;0,SUMIF('Барабан'!K:K,A540,'Барабан'!AG:AG)+SUMIF('Барабан'!V:V,A540,'Барабан'!AG:AG),"")</f>
        <v/>
      </c>
      <c r="E540" s="2" t="str">
        <f t="shared" si="1"/>
        <v/>
      </c>
      <c r="F540" s="2" t="str">
        <f t="array" ref="F540">IFERROR(IF(E540=0,0,INDEX('Справочник'!G:G,MATCH(A540,'Справочник'!F:F,0))))</f>
        <v/>
      </c>
      <c r="G540" s="2" t="str">
        <f>IF(A540&gt;0,SUMIF('Барабан'!K:K,A540,'Барабан'!P:P),"")</f>
        <v/>
      </c>
      <c r="H540" s="2" t="str">
        <f>IF(A540&gt;0,SUMIF('Барабан'!V:V,A540,'Барабан'!AA:AA),"")</f>
        <v/>
      </c>
      <c r="I540" s="2" t="str">
        <f t="shared" si="4"/>
        <v/>
      </c>
      <c r="J540" s="9" t="str">
        <f t="shared" si="2"/>
        <v/>
      </c>
      <c r="K540" s="1" t="str">
        <f>IF(A540&gt;0,COUNTIF('Барабан'!K:K,A540),"")</f>
        <v/>
      </c>
      <c r="L540" s="1" t="str">
        <f>IF(A540&gt;0,COUNTIF('Барабан'!V:V,A540),"")</f>
        <v/>
      </c>
      <c r="M540" s="1" t="str">
        <f t="shared" si="3"/>
        <v/>
      </c>
      <c r="N540" s="1" t="str">
        <f>IFERROR(__xludf.DUMMYFUNCTION("IF(A540&gt;0,MIN(FILTER('Барабан'!AJ:AJ,'Барабан'!K:K=A540)),"""")"),"")</f>
        <v/>
      </c>
      <c r="O540" s="16" t="str">
        <f>IFERROR(__xludf.DUMMYFUNCTION("IF(A540&gt;0,IFERROR(MAX(FILTER('Барабан'!AJ:AJ,'Барабан'!V:V=A540)),""–""),"""")"),"")</f>
        <v/>
      </c>
    </row>
    <row r="541" ht="15.75" customHeight="1">
      <c r="A541" s="1" t="str">
        <f>'Справочник'!E536</f>
        <v/>
      </c>
      <c r="B541" s="2" t="str">
        <f>IF(A541&gt;0,SUMIF('Барабан'!K:K,A541,'Барабан'!I:I),"")</f>
        <v/>
      </c>
      <c r="C541" s="2" t="str">
        <f>IF(A541&gt;0,SUMIF('Барабан'!V:V,A541,'Барабан'!T:T),"")</f>
        <v/>
      </c>
      <c r="D541" s="2" t="str">
        <f>IF(A541&gt;0,SUMIF('Барабан'!K:K,A541,'Барабан'!AG:AG)+SUMIF('Барабан'!V:V,A541,'Барабан'!AG:AG),"")</f>
        <v/>
      </c>
      <c r="E541" s="2" t="str">
        <f t="shared" si="1"/>
        <v/>
      </c>
      <c r="F541" s="2" t="str">
        <f t="array" ref="F541">IFERROR(IF(E541=0,0,INDEX('Справочник'!G:G,MATCH(A541,'Справочник'!F:F,0))))</f>
        <v/>
      </c>
      <c r="G541" s="2" t="str">
        <f>IF(A541&gt;0,SUMIF('Барабан'!K:K,A541,'Барабан'!P:P),"")</f>
        <v/>
      </c>
      <c r="H541" s="2" t="str">
        <f>IF(A541&gt;0,SUMIF('Барабан'!V:V,A541,'Барабан'!AA:AA),"")</f>
        <v/>
      </c>
      <c r="I541" s="2" t="str">
        <f t="shared" si="4"/>
        <v/>
      </c>
      <c r="J541" s="9" t="str">
        <f t="shared" si="2"/>
        <v/>
      </c>
      <c r="K541" s="1" t="str">
        <f>IF(A541&gt;0,COUNTIF('Барабан'!K:K,A541),"")</f>
        <v/>
      </c>
      <c r="L541" s="1" t="str">
        <f>IF(A541&gt;0,COUNTIF('Барабан'!V:V,A541),"")</f>
        <v/>
      </c>
      <c r="M541" s="1" t="str">
        <f t="shared" si="3"/>
        <v/>
      </c>
      <c r="N541" s="1" t="str">
        <f>IFERROR(__xludf.DUMMYFUNCTION("IF(A541&gt;0,MIN(FILTER('Барабан'!AJ:AJ,'Барабан'!K:K=A541)),"""")"),"")</f>
        <v/>
      </c>
      <c r="O541" s="16" t="str">
        <f>IFERROR(__xludf.DUMMYFUNCTION("IF(A541&gt;0,IFERROR(MAX(FILTER('Барабан'!AJ:AJ,'Барабан'!V:V=A541)),""–""),"""")"),"")</f>
        <v/>
      </c>
    </row>
    <row r="542" ht="15.75" customHeight="1">
      <c r="A542" s="1" t="str">
        <f>'Справочник'!E537</f>
        <v/>
      </c>
      <c r="B542" s="2" t="str">
        <f>IF(A542&gt;0,SUMIF('Барабан'!K:K,A542,'Барабан'!I:I),"")</f>
        <v/>
      </c>
      <c r="C542" s="2" t="str">
        <f>IF(A542&gt;0,SUMIF('Барабан'!V:V,A542,'Барабан'!T:T),"")</f>
        <v/>
      </c>
      <c r="D542" s="2" t="str">
        <f>IF(A542&gt;0,SUMIF('Барабан'!K:K,A542,'Барабан'!AG:AG)+SUMIF('Барабан'!V:V,A542,'Барабан'!AG:AG),"")</f>
        <v/>
      </c>
      <c r="E542" s="2" t="str">
        <f t="shared" si="1"/>
        <v/>
      </c>
      <c r="F542" s="2" t="str">
        <f t="array" ref="F542">IFERROR(IF(E542=0,0,INDEX('Справочник'!G:G,MATCH(A542,'Справочник'!F:F,0))))</f>
        <v/>
      </c>
      <c r="G542" s="2" t="str">
        <f>IF(A542&gt;0,SUMIF('Барабан'!K:K,A542,'Барабан'!P:P),"")</f>
        <v/>
      </c>
      <c r="H542" s="2" t="str">
        <f>IF(A542&gt;0,SUMIF('Барабан'!V:V,A542,'Барабан'!AA:AA),"")</f>
        <v/>
      </c>
      <c r="I542" s="2" t="str">
        <f t="shared" si="4"/>
        <v/>
      </c>
      <c r="J542" s="9" t="str">
        <f t="shared" si="2"/>
        <v/>
      </c>
      <c r="K542" s="1" t="str">
        <f>IF(A542&gt;0,COUNTIF('Барабан'!K:K,A542),"")</f>
        <v/>
      </c>
      <c r="L542" s="1" t="str">
        <f>IF(A542&gt;0,COUNTIF('Барабан'!V:V,A542),"")</f>
        <v/>
      </c>
      <c r="M542" s="1" t="str">
        <f t="shared" si="3"/>
        <v/>
      </c>
      <c r="N542" s="1" t="str">
        <f>IFERROR(__xludf.DUMMYFUNCTION("IF(A542&gt;0,MIN(FILTER('Барабан'!AJ:AJ,'Барабан'!K:K=A542)),"""")"),"")</f>
        <v/>
      </c>
      <c r="O542" s="16" t="str">
        <f>IFERROR(__xludf.DUMMYFUNCTION("IF(A542&gt;0,IFERROR(MAX(FILTER('Барабан'!AJ:AJ,'Барабан'!V:V=A542)),""–""),"""")"),"")</f>
        <v/>
      </c>
    </row>
    <row r="543" ht="15.75" customHeight="1">
      <c r="A543" s="1" t="str">
        <f>'Справочник'!E538</f>
        <v/>
      </c>
      <c r="B543" s="2" t="str">
        <f>IF(A543&gt;0,SUMIF('Барабан'!K:K,A543,'Барабан'!I:I),"")</f>
        <v/>
      </c>
      <c r="C543" s="2" t="str">
        <f>IF(A543&gt;0,SUMIF('Барабан'!V:V,A543,'Барабан'!T:T),"")</f>
        <v/>
      </c>
      <c r="D543" s="2" t="str">
        <f>IF(A543&gt;0,SUMIF('Барабан'!K:K,A543,'Барабан'!AG:AG)+SUMIF('Барабан'!V:V,A543,'Барабан'!AG:AG),"")</f>
        <v/>
      </c>
      <c r="E543" s="2" t="str">
        <f t="shared" si="1"/>
        <v/>
      </c>
      <c r="F543" s="2" t="str">
        <f t="array" ref="F543">IFERROR(IF(E543=0,0,INDEX('Справочник'!G:G,MATCH(A543,'Справочник'!F:F,0))))</f>
        <v/>
      </c>
      <c r="G543" s="2" t="str">
        <f>IF(A543&gt;0,SUMIF('Барабан'!K:K,A543,'Барабан'!P:P),"")</f>
        <v/>
      </c>
      <c r="H543" s="2" t="str">
        <f>IF(A543&gt;0,SUMIF('Барабан'!V:V,A543,'Барабан'!AA:AA),"")</f>
        <v/>
      </c>
      <c r="I543" s="2" t="str">
        <f t="shared" si="4"/>
        <v/>
      </c>
      <c r="J543" s="9" t="str">
        <f t="shared" si="2"/>
        <v/>
      </c>
      <c r="K543" s="1" t="str">
        <f>IF(A543&gt;0,COUNTIF('Барабан'!K:K,A543),"")</f>
        <v/>
      </c>
      <c r="L543" s="1" t="str">
        <f>IF(A543&gt;0,COUNTIF('Барабан'!V:V,A543),"")</f>
        <v/>
      </c>
      <c r="M543" s="1" t="str">
        <f t="shared" si="3"/>
        <v/>
      </c>
      <c r="N543" s="1" t="str">
        <f>IFERROR(__xludf.DUMMYFUNCTION("IF(A543&gt;0,MIN(FILTER('Барабан'!AJ:AJ,'Барабан'!K:K=A543)),"""")"),"")</f>
        <v/>
      </c>
      <c r="O543" s="16" t="str">
        <f>IFERROR(__xludf.DUMMYFUNCTION("IF(A543&gt;0,IFERROR(MAX(FILTER('Барабан'!AJ:AJ,'Барабан'!V:V=A543)),""–""),"""")"),"")</f>
        <v/>
      </c>
    </row>
    <row r="544" ht="15.75" customHeight="1">
      <c r="A544" s="1" t="str">
        <f>'Справочник'!E539</f>
        <v/>
      </c>
      <c r="B544" s="2" t="str">
        <f>IF(A544&gt;0,SUMIF('Барабан'!K:K,A544,'Барабан'!I:I),"")</f>
        <v/>
      </c>
      <c r="C544" s="2" t="str">
        <f>IF(A544&gt;0,SUMIF('Барабан'!V:V,A544,'Барабан'!T:T),"")</f>
        <v/>
      </c>
      <c r="D544" s="2" t="str">
        <f>IF(A544&gt;0,SUMIF('Барабан'!K:K,A544,'Барабан'!AG:AG)+SUMIF('Барабан'!V:V,A544,'Барабан'!AG:AG),"")</f>
        <v/>
      </c>
      <c r="E544" s="2" t="str">
        <f t="shared" si="1"/>
        <v/>
      </c>
      <c r="F544" s="2" t="str">
        <f t="array" ref="F544">IFERROR(IF(E544=0,0,INDEX('Справочник'!G:G,MATCH(A544,'Справочник'!F:F,0))))</f>
        <v/>
      </c>
      <c r="G544" s="2" t="str">
        <f>IF(A544&gt;0,SUMIF('Барабан'!K:K,A544,'Барабан'!P:P),"")</f>
        <v/>
      </c>
      <c r="H544" s="2" t="str">
        <f>IF(A544&gt;0,SUMIF('Барабан'!V:V,A544,'Барабан'!AA:AA),"")</f>
        <v/>
      </c>
      <c r="I544" s="2" t="str">
        <f t="shared" si="4"/>
        <v/>
      </c>
      <c r="J544" s="9" t="str">
        <f t="shared" si="2"/>
        <v/>
      </c>
      <c r="K544" s="1" t="str">
        <f>IF(A544&gt;0,COUNTIF('Барабан'!K:K,A544),"")</f>
        <v/>
      </c>
      <c r="L544" s="1" t="str">
        <f>IF(A544&gt;0,COUNTIF('Барабан'!V:V,A544),"")</f>
        <v/>
      </c>
      <c r="M544" s="1" t="str">
        <f t="shared" si="3"/>
        <v/>
      </c>
      <c r="N544" s="1" t="str">
        <f>IFERROR(__xludf.DUMMYFUNCTION("IF(A544&gt;0,MIN(FILTER('Барабан'!AJ:AJ,'Барабан'!K:K=A544)),"""")"),"")</f>
        <v/>
      </c>
      <c r="O544" s="16" t="str">
        <f>IFERROR(__xludf.DUMMYFUNCTION("IF(A544&gt;0,IFERROR(MAX(FILTER('Барабан'!AJ:AJ,'Барабан'!V:V=A544)),""–""),"""")"),"")</f>
        <v/>
      </c>
    </row>
    <row r="545" ht="15.75" customHeight="1">
      <c r="A545" s="1" t="str">
        <f>'Справочник'!E540</f>
        <v/>
      </c>
      <c r="B545" s="2" t="str">
        <f>IF(A545&gt;0,SUMIF('Барабан'!K:K,A545,'Барабан'!I:I),"")</f>
        <v/>
      </c>
      <c r="C545" s="2" t="str">
        <f>IF(A545&gt;0,SUMIF('Барабан'!V:V,A545,'Барабан'!T:T),"")</f>
        <v/>
      </c>
      <c r="D545" s="2" t="str">
        <f>IF(A545&gt;0,SUMIF('Барабан'!K:K,A545,'Барабан'!AG:AG)+SUMIF('Барабан'!V:V,A545,'Барабан'!AG:AG),"")</f>
        <v/>
      </c>
      <c r="E545" s="2" t="str">
        <f t="shared" si="1"/>
        <v/>
      </c>
      <c r="F545" s="2" t="str">
        <f t="array" ref="F545">IFERROR(IF(E545=0,0,INDEX('Справочник'!G:G,MATCH(A545,'Справочник'!F:F,0))))</f>
        <v/>
      </c>
      <c r="G545" s="2" t="str">
        <f>IF(A545&gt;0,SUMIF('Барабан'!K:K,A545,'Барабан'!P:P),"")</f>
        <v/>
      </c>
      <c r="H545" s="2" t="str">
        <f>IF(A545&gt;0,SUMIF('Барабан'!V:V,A545,'Барабан'!AA:AA),"")</f>
        <v/>
      </c>
      <c r="I545" s="2" t="str">
        <f t="shared" si="4"/>
        <v/>
      </c>
      <c r="J545" s="9" t="str">
        <f t="shared" si="2"/>
        <v/>
      </c>
      <c r="K545" s="1" t="str">
        <f>IF(A545&gt;0,COUNTIF('Барабан'!K:K,A545),"")</f>
        <v/>
      </c>
      <c r="L545" s="1" t="str">
        <f>IF(A545&gt;0,COUNTIF('Барабан'!V:V,A545),"")</f>
        <v/>
      </c>
      <c r="M545" s="1" t="str">
        <f t="shared" si="3"/>
        <v/>
      </c>
      <c r="N545" s="1" t="str">
        <f>IFERROR(__xludf.DUMMYFUNCTION("IF(A545&gt;0,MIN(FILTER('Барабан'!AJ:AJ,'Барабан'!K:K=A545)),"""")"),"")</f>
        <v/>
      </c>
      <c r="O545" s="16" t="str">
        <f>IFERROR(__xludf.DUMMYFUNCTION("IF(A545&gt;0,IFERROR(MAX(FILTER('Барабан'!AJ:AJ,'Барабан'!V:V=A545)),""–""),"""")"),"")</f>
        <v/>
      </c>
    </row>
    <row r="546" ht="15.75" customHeight="1">
      <c r="A546" s="1" t="str">
        <f>'Справочник'!E541</f>
        <v/>
      </c>
      <c r="B546" s="2" t="str">
        <f>IF(A546&gt;0,SUMIF('Барабан'!K:K,A546,'Барабан'!I:I),"")</f>
        <v/>
      </c>
      <c r="C546" s="2" t="str">
        <f>IF(A546&gt;0,SUMIF('Барабан'!V:V,A546,'Барабан'!T:T),"")</f>
        <v/>
      </c>
      <c r="D546" s="2" t="str">
        <f>IF(A546&gt;0,SUMIF('Барабан'!K:K,A546,'Барабан'!AG:AG)+SUMIF('Барабан'!V:V,A546,'Барабан'!AG:AG),"")</f>
        <v/>
      </c>
      <c r="E546" s="2" t="str">
        <f t="shared" si="1"/>
        <v/>
      </c>
      <c r="F546" s="2" t="str">
        <f t="array" ref="F546">IFERROR(IF(E546=0,0,INDEX('Справочник'!G:G,MATCH(A546,'Справочник'!F:F,0))))</f>
        <v/>
      </c>
      <c r="G546" s="2" t="str">
        <f>IF(A546&gt;0,SUMIF('Барабан'!K:K,A546,'Барабан'!P:P),"")</f>
        <v/>
      </c>
      <c r="H546" s="2" t="str">
        <f>IF(A546&gt;0,SUMIF('Барабан'!V:V,A546,'Барабан'!AA:AA),"")</f>
        <v/>
      </c>
      <c r="I546" s="2" t="str">
        <f t="shared" si="4"/>
        <v/>
      </c>
      <c r="J546" s="9" t="str">
        <f t="shared" si="2"/>
        <v/>
      </c>
      <c r="K546" s="1" t="str">
        <f>IF(A546&gt;0,COUNTIF('Барабан'!K:K,A546),"")</f>
        <v/>
      </c>
      <c r="L546" s="1" t="str">
        <f>IF(A546&gt;0,COUNTIF('Барабан'!V:V,A546),"")</f>
        <v/>
      </c>
      <c r="M546" s="1" t="str">
        <f t="shared" si="3"/>
        <v/>
      </c>
      <c r="N546" s="1" t="str">
        <f>IFERROR(__xludf.DUMMYFUNCTION("IF(A546&gt;0,MIN(FILTER('Барабан'!AJ:AJ,'Барабан'!K:K=A546)),"""")"),"")</f>
        <v/>
      </c>
      <c r="O546" s="16" t="str">
        <f>IFERROR(__xludf.DUMMYFUNCTION("IF(A546&gt;0,IFERROR(MAX(FILTER('Барабан'!AJ:AJ,'Барабан'!V:V=A546)),""–""),"""")"),"")</f>
        <v/>
      </c>
    </row>
    <row r="547" ht="15.75" customHeight="1">
      <c r="A547" s="1" t="str">
        <f>'Справочник'!E542</f>
        <v/>
      </c>
      <c r="B547" s="2" t="str">
        <f>IF(A547&gt;0,SUMIF('Барабан'!K:K,A547,'Барабан'!I:I),"")</f>
        <v/>
      </c>
      <c r="C547" s="2" t="str">
        <f>IF(A547&gt;0,SUMIF('Барабан'!V:V,A547,'Барабан'!T:T),"")</f>
        <v/>
      </c>
      <c r="D547" s="2" t="str">
        <f>IF(A547&gt;0,SUMIF('Барабан'!K:K,A547,'Барабан'!AG:AG)+SUMIF('Барабан'!V:V,A547,'Барабан'!AG:AG),"")</f>
        <v/>
      </c>
      <c r="E547" s="2" t="str">
        <f t="shared" si="1"/>
        <v/>
      </c>
      <c r="F547" s="2" t="str">
        <f t="array" ref="F547">IFERROR(IF(E547=0,0,INDEX('Справочник'!G:G,MATCH(A547,'Справочник'!F:F,0))))</f>
        <v/>
      </c>
      <c r="G547" s="2" t="str">
        <f>IF(A547&gt;0,SUMIF('Барабан'!K:K,A547,'Барабан'!P:P),"")</f>
        <v/>
      </c>
      <c r="H547" s="2" t="str">
        <f>IF(A547&gt;0,SUMIF('Барабан'!V:V,A547,'Барабан'!AA:AA),"")</f>
        <v/>
      </c>
      <c r="I547" s="2" t="str">
        <f t="shared" si="4"/>
        <v/>
      </c>
      <c r="J547" s="9" t="str">
        <f t="shared" si="2"/>
        <v/>
      </c>
      <c r="K547" s="1" t="str">
        <f>IF(A547&gt;0,COUNTIF('Барабан'!K:K,A547),"")</f>
        <v/>
      </c>
      <c r="L547" s="1" t="str">
        <f>IF(A547&gt;0,COUNTIF('Барабан'!V:V,A547),"")</f>
        <v/>
      </c>
      <c r="M547" s="1" t="str">
        <f t="shared" si="3"/>
        <v/>
      </c>
      <c r="N547" s="1" t="str">
        <f>IFERROR(__xludf.DUMMYFUNCTION("IF(A547&gt;0,MIN(FILTER('Барабан'!AJ:AJ,'Барабан'!K:K=A547)),"""")"),"")</f>
        <v/>
      </c>
      <c r="O547" s="16" t="str">
        <f>IFERROR(__xludf.DUMMYFUNCTION("IF(A547&gt;0,IFERROR(MAX(FILTER('Барабан'!AJ:AJ,'Барабан'!V:V=A547)),""–""),"""")"),"")</f>
        <v/>
      </c>
    </row>
    <row r="548" ht="15.75" customHeight="1">
      <c r="A548" s="1" t="str">
        <f>'Справочник'!E543</f>
        <v/>
      </c>
      <c r="B548" s="2" t="str">
        <f>IF(A548&gt;0,SUMIF('Барабан'!K:K,A548,'Барабан'!I:I),"")</f>
        <v/>
      </c>
      <c r="C548" s="2" t="str">
        <f>IF(A548&gt;0,SUMIF('Барабан'!V:V,A548,'Барабан'!T:T),"")</f>
        <v/>
      </c>
      <c r="D548" s="2" t="str">
        <f>IF(A548&gt;0,SUMIF('Барабан'!K:K,A548,'Барабан'!AG:AG)+SUMIF('Барабан'!V:V,A548,'Барабан'!AG:AG),"")</f>
        <v/>
      </c>
      <c r="E548" s="2" t="str">
        <f t="shared" si="1"/>
        <v/>
      </c>
      <c r="F548" s="2" t="str">
        <f t="array" ref="F548">IFERROR(IF(E548=0,0,INDEX('Справочник'!G:G,MATCH(A548,'Справочник'!F:F,0))))</f>
        <v/>
      </c>
      <c r="G548" s="2" t="str">
        <f>IF(A548&gt;0,SUMIF('Барабан'!K:K,A548,'Барабан'!P:P),"")</f>
        <v/>
      </c>
      <c r="H548" s="2" t="str">
        <f>IF(A548&gt;0,SUMIF('Барабан'!V:V,A548,'Барабан'!AA:AA),"")</f>
        <v/>
      </c>
      <c r="I548" s="2" t="str">
        <f t="shared" si="4"/>
        <v/>
      </c>
      <c r="J548" s="9" t="str">
        <f t="shared" si="2"/>
        <v/>
      </c>
      <c r="K548" s="1" t="str">
        <f>IF(A548&gt;0,COUNTIF('Барабан'!K:K,A548),"")</f>
        <v/>
      </c>
      <c r="L548" s="1" t="str">
        <f>IF(A548&gt;0,COUNTIF('Барабан'!V:V,A548),"")</f>
        <v/>
      </c>
      <c r="M548" s="1" t="str">
        <f t="shared" si="3"/>
        <v/>
      </c>
      <c r="N548" s="1" t="str">
        <f>IFERROR(__xludf.DUMMYFUNCTION("IF(A548&gt;0,MIN(FILTER('Барабан'!AJ:AJ,'Барабан'!K:K=A548)),"""")"),"")</f>
        <v/>
      </c>
      <c r="O548" s="16" t="str">
        <f>IFERROR(__xludf.DUMMYFUNCTION("IF(A548&gt;0,IFERROR(MAX(FILTER('Барабан'!AJ:AJ,'Барабан'!V:V=A548)),""–""),"""")"),"")</f>
        <v/>
      </c>
    </row>
    <row r="549" ht="15.75" customHeight="1">
      <c r="A549" s="1" t="str">
        <f>'Справочник'!E544</f>
        <v/>
      </c>
      <c r="B549" s="2" t="str">
        <f>IF(A549&gt;0,SUMIF('Барабан'!K:K,A549,'Барабан'!I:I),"")</f>
        <v/>
      </c>
      <c r="C549" s="2" t="str">
        <f>IF(A549&gt;0,SUMIF('Барабан'!V:V,A549,'Барабан'!T:T),"")</f>
        <v/>
      </c>
      <c r="D549" s="2" t="str">
        <f>IF(A549&gt;0,SUMIF('Барабан'!K:K,A549,'Барабан'!AG:AG)+SUMIF('Барабан'!V:V,A549,'Барабан'!AG:AG),"")</f>
        <v/>
      </c>
      <c r="E549" s="2" t="str">
        <f t="shared" si="1"/>
        <v/>
      </c>
      <c r="F549" s="2" t="str">
        <f t="array" ref="F549">IFERROR(IF(E549=0,0,INDEX('Справочник'!G:G,MATCH(A549,'Справочник'!F:F,0))))</f>
        <v/>
      </c>
      <c r="G549" s="2" t="str">
        <f>IF(A549&gt;0,SUMIF('Барабан'!K:K,A549,'Барабан'!P:P),"")</f>
        <v/>
      </c>
      <c r="H549" s="2" t="str">
        <f>IF(A549&gt;0,SUMIF('Барабан'!V:V,A549,'Барабан'!AA:AA),"")</f>
        <v/>
      </c>
      <c r="I549" s="2" t="str">
        <f t="shared" si="4"/>
        <v/>
      </c>
      <c r="J549" s="9" t="str">
        <f t="shared" si="2"/>
        <v/>
      </c>
      <c r="K549" s="1" t="str">
        <f>IF(A549&gt;0,COUNTIF('Барабан'!K:K,A549),"")</f>
        <v/>
      </c>
      <c r="L549" s="1" t="str">
        <f>IF(A549&gt;0,COUNTIF('Барабан'!V:V,A549),"")</f>
        <v/>
      </c>
      <c r="M549" s="1" t="str">
        <f t="shared" si="3"/>
        <v/>
      </c>
      <c r="N549" s="1" t="str">
        <f>IFERROR(__xludf.DUMMYFUNCTION("IF(A549&gt;0,MIN(FILTER('Барабан'!AJ:AJ,'Барабан'!K:K=A549)),"""")"),"")</f>
        <v/>
      </c>
      <c r="O549" s="16" t="str">
        <f>IFERROR(__xludf.DUMMYFUNCTION("IF(A549&gt;0,IFERROR(MAX(FILTER('Барабан'!AJ:AJ,'Барабан'!V:V=A549)),""–""),"""")"),"")</f>
        <v/>
      </c>
    </row>
    <row r="550" ht="15.75" customHeight="1">
      <c r="A550" s="1" t="str">
        <f>'Справочник'!E545</f>
        <v/>
      </c>
      <c r="B550" s="2" t="str">
        <f>IF(A550&gt;0,SUMIF('Барабан'!K:K,A550,'Барабан'!I:I),"")</f>
        <v/>
      </c>
      <c r="C550" s="2" t="str">
        <f>IF(A550&gt;0,SUMIF('Барабан'!V:V,A550,'Барабан'!T:T),"")</f>
        <v/>
      </c>
      <c r="D550" s="2" t="str">
        <f>IF(A550&gt;0,SUMIF('Барабан'!K:K,A550,'Барабан'!AG:AG)+SUMIF('Барабан'!V:V,A550,'Барабан'!AG:AG),"")</f>
        <v/>
      </c>
      <c r="E550" s="2" t="str">
        <f t="shared" si="1"/>
        <v/>
      </c>
      <c r="F550" s="2" t="str">
        <f t="array" ref="F550">IFERROR(IF(E550=0,0,INDEX('Справочник'!G:G,MATCH(A550,'Справочник'!F:F,0))))</f>
        <v/>
      </c>
      <c r="G550" s="2" t="str">
        <f>IF(A550&gt;0,SUMIF('Барабан'!K:K,A550,'Барабан'!P:P),"")</f>
        <v/>
      </c>
      <c r="H550" s="2" t="str">
        <f>IF(A550&gt;0,SUMIF('Барабан'!V:V,A550,'Барабан'!AA:AA),"")</f>
        <v/>
      </c>
      <c r="I550" s="2" t="str">
        <f t="shared" si="4"/>
        <v/>
      </c>
      <c r="J550" s="9" t="str">
        <f t="shared" si="2"/>
        <v/>
      </c>
      <c r="K550" s="1" t="str">
        <f>IF(A550&gt;0,COUNTIF('Барабан'!K:K,A550),"")</f>
        <v/>
      </c>
      <c r="L550" s="1" t="str">
        <f>IF(A550&gt;0,COUNTIF('Барабан'!V:V,A550),"")</f>
        <v/>
      </c>
      <c r="M550" s="1" t="str">
        <f t="shared" si="3"/>
        <v/>
      </c>
      <c r="N550" s="1" t="str">
        <f>IFERROR(__xludf.DUMMYFUNCTION("IF(A550&gt;0,MIN(FILTER('Барабан'!AJ:AJ,'Барабан'!K:K=A550)),"""")"),"")</f>
        <v/>
      </c>
      <c r="O550" s="16" t="str">
        <f>IFERROR(__xludf.DUMMYFUNCTION("IF(A550&gt;0,IFERROR(MAX(FILTER('Барабан'!AJ:AJ,'Барабан'!V:V=A550)),""–""),"""")"),"")</f>
        <v/>
      </c>
    </row>
    <row r="551" ht="15.75" customHeight="1">
      <c r="A551" s="1" t="str">
        <f>'Справочник'!E546</f>
        <v/>
      </c>
      <c r="B551" s="2" t="str">
        <f>IF(A551&gt;0,SUMIF('Барабан'!K:K,A551,'Барабан'!I:I),"")</f>
        <v/>
      </c>
      <c r="C551" s="2" t="str">
        <f>IF(A551&gt;0,SUMIF('Барабан'!V:V,A551,'Барабан'!T:T),"")</f>
        <v/>
      </c>
      <c r="D551" s="2" t="str">
        <f>IF(A551&gt;0,SUMIF('Барабан'!K:K,A551,'Барабан'!AG:AG)+SUMIF('Барабан'!V:V,A551,'Барабан'!AG:AG),"")</f>
        <v/>
      </c>
      <c r="E551" s="2" t="str">
        <f t="shared" si="1"/>
        <v/>
      </c>
      <c r="F551" s="2" t="str">
        <f t="array" ref="F551">IFERROR(IF(E551=0,0,INDEX('Справочник'!G:G,MATCH(A551,'Справочник'!F:F,0))))</f>
        <v/>
      </c>
      <c r="G551" s="2" t="str">
        <f>IF(A551&gt;0,SUMIF('Барабан'!K:K,A551,'Барабан'!P:P),"")</f>
        <v/>
      </c>
      <c r="H551" s="2" t="str">
        <f>IF(A551&gt;0,SUMIF('Барабан'!V:V,A551,'Барабан'!AA:AA),"")</f>
        <v/>
      </c>
      <c r="I551" s="2" t="str">
        <f t="shared" si="4"/>
        <v/>
      </c>
      <c r="J551" s="9" t="str">
        <f t="shared" si="2"/>
        <v/>
      </c>
      <c r="K551" s="1" t="str">
        <f>IF(A551&gt;0,COUNTIF('Барабан'!K:K,A551),"")</f>
        <v/>
      </c>
      <c r="L551" s="1" t="str">
        <f>IF(A551&gt;0,COUNTIF('Барабан'!V:V,A551),"")</f>
        <v/>
      </c>
      <c r="M551" s="1" t="str">
        <f t="shared" si="3"/>
        <v/>
      </c>
      <c r="N551" s="1" t="str">
        <f>IFERROR(__xludf.DUMMYFUNCTION("IF(A551&gt;0,MIN(FILTER('Барабан'!AJ:AJ,'Барабан'!K:K=A551)),"""")"),"")</f>
        <v/>
      </c>
      <c r="O551" s="16" t="str">
        <f>IFERROR(__xludf.DUMMYFUNCTION("IF(A551&gt;0,IFERROR(MAX(FILTER('Барабан'!AJ:AJ,'Барабан'!V:V=A551)),""–""),"""")"),"")</f>
        <v/>
      </c>
    </row>
    <row r="552" ht="15.75" customHeight="1">
      <c r="A552" s="1" t="str">
        <f>'Справочник'!E547</f>
        <v/>
      </c>
      <c r="B552" s="2" t="str">
        <f>IF(A552&gt;0,SUMIF('Барабан'!K:K,A552,'Барабан'!I:I),"")</f>
        <v/>
      </c>
      <c r="C552" s="2" t="str">
        <f>IF(A552&gt;0,SUMIF('Барабан'!V:V,A552,'Барабан'!T:T),"")</f>
        <v/>
      </c>
      <c r="D552" s="2" t="str">
        <f>IF(A552&gt;0,SUMIF('Барабан'!K:K,A552,'Барабан'!AG:AG)+SUMIF('Барабан'!V:V,A552,'Барабан'!AG:AG),"")</f>
        <v/>
      </c>
      <c r="E552" s="2" t="str">
        <f t="shared" si="1"/>
        <v/>
      </c>
      <c r="F552" s="2" t="str">
        <f t="array" ref="F552">IFERROR(IF(E552=0,0,INDEX('Справочник'!G:G,MATCH(A552,'Справочник'!F:F,0))))</f>
        <v/>
      </c>
      <c r="G552" s="2" t="str">
        <f>IF(A552&gt;0,SUMIF('Барабан'!K:K,A552,'Барабан'!P:P),"")</f>
        <v/>
      </c>
      <c r="H552" s="2" t="str">
        <f>IF(A552&gt;0,SUMIF('Барабан'!V:V,A552,'Барабан'!AA:AA),"")</f>
        <v/>
      </c>
      <c r="I552" s="2" t="str">
        <f t="shared" si="4"/>
        <v/>
      </c>
      <c r="J552" s="9" t="str">
        <f t="shared" si="2"/>
        <v/>
      </c>
      <c r="K552" s="1" t="str">
        <f>IF(A552&gt;0,COUNTIF('Барабан'!K:K,A552),"")</f>
        <v/>
      </c>
      <c r="L552" s="1" t="str">
        <f>IF(A552&gt;0,COUNTIF('Барабан'!V:V,A552),"")</f>
        <v/>
      </c>
      <c r="M552" s="1" t="str">
        <f t="shared" si="3"/>
        <v/>
      </c>
      <c r="N552" s="1" t="str">
        <f>IFERROR(__xludf.DUMMYFUNCTION("IF(A552&gt;0,MIN(FILTER('Барабан'!AJ:AJ,'Барабан'!K:K=A552)),"""")"),"")</f>
        <v/>
      </c>
      <c r="O552" s="16" t="str">
        <f>IFERROR(__xludf.DUMMYFUNCTION("IF(A552&gt;0,IFERROR(MAX(FILTER('Барабан'!AJ:AJ,'Барабан'!V:V=A552)),""–""),"""")"),"")</f>
        <v/>
      </c>
    </row>
    <row r="553" ht="15.75" customHeight="1">
      <c r="A553" s="1" t="str">
        <f>'Справочник'!E548</f>
        <v/>
      </c>
      <c r="B553" s="2" t="str">
        <f>IF(A553&gt;0,SUMIF('Барабан'!K:K,A553,'Барабан'!I:I),"")</f>
        <v/>
      </c>
      <c r="C553" s="2" t="str">
        <f>IF(A553&gt;0,SUMIF('Барабан'!V:V,A553,'Барабан'!T:T),"")</f>
        <v/>
      </c>
      <c r="D553" s="2" t="str">
        <f>IF(A553&gt;0,SUMIF('Барабан'!K:K,A553,'Барабан'!AG:AG)+SUMIF('Барабан'!V:V,A553,'Барабан'!AG:AG),"")</f>
        <v/>
      </c>
      <c r="E553" s="2" t="str">
        <f t="shared" si="1"/>
        <v/>
      </c>
      <c r="F553" s="2" t="str">
        <f t="array" ref="F553">IFERROR(IF(E553=0,0,INDEX('Справочник'!G:G,MATCH(A553,'Справочник'!F:F,0))))</f>
        <v/>
      </c>
      <c r="G553" s="2" t="str">
        <f>IF(A553&gt;0,SUMIF('Барабан'!K:K,A553,'Барабан'!P:P),"")</f>
        <v/>
      </c>
      <c r="H553" s="2" t="str">
        <f>IF(A553&gt;0,SUMIF('Барабан'!V:V,A553,'Барабан'!AA:AA),"")</f>
        <v/>
      </c>
      <c r="I553" s="2" t="str">
        <f t="shared" si="4"/>
        <v/>
      </c>
      <c r="J553" s="9" t="str">
        <f t="shared" si="2"/>
        <v/>
      </c>
      <c r="K553" s="1" t="str">
        <f>IF(A553&gt;0,COUNTIF('Барабан'!K:K,A553),"")</f>
        <v/>
      </c>
      <c r="L553" s="1" t="str">
        <f>IF(A553&gt;0,COUNTIF('Барабан'!V:V,A553),"")</f>
        <v/>
      </c>
      <c r="M553" s="1" t="str">
        <f t="shared" si="3"/>
        <v/>
      </c>
      <c r="N553" s="1" t="str">
        <f>IFERROR(__xludf.DUMMYFUNCTION("IF(A553&gt;0,MIN(FILTER('Барабан'!AJ:AJ,'Барабан'!K:K=A553)),"""")"),"")</f>
        <v/>
      </c>
      <c r="O553" s="16" t="str">
        <f>IFERROR(__xludf.DUMMYFUNCTION("IF(A553&gt;0,IFERROR(MAX(FILTER('Барабан'!AJ:AJ,'Барабан'!V:V=A553)),""–""),"""")"),"")</f>
        <v/>
      </c>
    </row>
    <row r="554" ht="15.75" customHeight="1">
      <c r="A554" s="1" t="str">
        <f>'Справочник'!E549</f>
        <v/>
      </c>
      <c r="B554" s="2" t="str">
        <f>IF(A554&gt;0,SUMIF('Барабан'!K:K,A554,'Барабан'!I:I),"")</f>
        <v/>
      </c>
      <c r="C554" s="2" t="str">
        <f>IF(A554&gt;0,SUMIF('Барабан'!V:V,A554,'Барабан'!T:T),"")</f>
        <v/>
      </c>
      <c r="D554" s="2" t="str">
        <f>IF(A554&gt;0,SUMIF('Барабан'!K:K,A554,'Барабан'!AG:AG)+SUMIF('Барабан'!V:V,A554,'Барабан'!AG:AG),"")</f>
        <v/>
      </c>
      <c r="E554" s="2" t="str">
        <f t="shared" si="1"/>
        <v/>
      </c>
      <c r="F554" s="2" t="str">
        <f t="array" ref="F554">IFERROR(IF(E554=0,0,INDEX('Справочник'!G:G,MATCH(A554,'Справочник'!F:F,0))))</f>
        <v/>
      </c>
      <c r="G554" s="2" t="str">
        <f>IF(A554&gt;0,SUMIF('Барабан'!K:K,A554,'Барабан'!P:P),"")</f>
        <v/>
      </c>
      <c r="H554" s="2" t="str">
        <f>IF(A554&gt;0,SUMIF('Барабан'!V:V,A554,'Барабан'!AA:AA),"")</f>
        <v/>
      </c>
      <c r="I554" s="2" t="str">
        <f t="shared" si="4"/>
        <v/>
      </c>
      <c r="J554" s="9" t="str">
        <f t="shared" si="2"/>
        <v/>
      </c>
      <c r="K554" s="1" t="str">
        <f>IF(A554&gt;0,COUNTIF('Барабан'!K:K,A554),"")</f>
        <v/>
      </c>
      <c r="L554" s="1" t="str">
        <f>IF(A554&gt;0,COUNTIF('Барабан'!V:V,A554),"")</f>
        <v/>
      </c>
      <c r="M554" s="1" t="str">
        <f t="shared" si="3"/>
        <v/>
      </c>
      <c r="N554" s="1" t="str">
        <f>IFERROR(__xludf.DUMMYFUNCTION("IF(A554&gt;0,MIN(FILTER('Барабан'!AJ:AJ,'Барабан'!K:K=A554)),"""")"),"")</f>
        <v/>
      </c>
      <c r="O554" s="16" t="str">
        <f>IFERROR(__xludf.DUMMYFUNCTION("IF(A554&gt;0,IFERROR(MAX(FILTER('Барабан'!AJ:AJ,'Барабан'!V:V=A554)),""–""),"""")"),"")</f>
        <v/>
      </c>
    </row>
    <row r="555" ht="15.75" customHeight="1">
      <c r="A555" s="1" t="str">
        <f>'Справочник'!E550</f>
        <v/>
      </c>
      <c r="B555" s="2" t="str">
        <f>IF(A555&gt;0,SUMIF('Барабан'!K:K,A555,'Барабан'!I:I),"")</f>
        <v/>
      </c>
      <c r="C555" s="2" t="str">
        <f>IF(A555&gt;0,SUMIF('Барабан'!V:V,A555,'Барабан'!T:T),"")</f>
        <v/>
      </c>
      <c r="D555" s="2" t="str">
        <f>IF(A555&gt;0,SUMIF('Барабан'!K:K,A555,'Барабан'!AG:AG)+SUMIF('Барабан'!V:V,A555,'Барабан'!AG:AG),"")</f>
        <v/>
      </c>
      <c r="E555" s="2" t="str">
        <f t="shared" si="1"/>
        <v/>
      </c>
      <c r="F555" s="2" t="str">
        <f t="array" ref="F555">IFERROR(IF(E555=0,0,INDEX('Справочник'!G:G,MATCH(A555,'Справочник'!F:F,0))))</f>
        <v/>
      </c>
      <c r="G555" s="2" t="str">
        <f>IF(A555&gt;0,SUMIF('Барабан'!K:K,A555,'Барабан'!P:P),"")</f>
        <v/>
      </c>
      <c r="H555" s="2" t="str">
        <f>IF(A555&gt;0,SUMIF('Барабан'!V:V,A555,'Барабан'!AA:AA),"")</f>
        <v/>
      </c>
      <c r="I555" s="2" t="str">
        <f t="shared" si="4"/>
        <v/>
      </c>
      <c r="J555" s="9" t="str">
        <f t="shared" si="2"/>
        <v/>
      </c>
      <c r="K555" s="1" t="str">
        <f>IF(A555&gt;0,COUNTIF('Барабан'!K:K,A555),"")</f>
        <v/>
      </c>
      <c r="L555" s="1" t="str">
        <f>IF(A555&gt;0,COUNTIF('Барабан'!V:V,A555),"")</f>
        <v/>
      </c>
      <c r="M555" s="1" t="str">
        <f t="shared" si="3"/>
        <v/>
      </c>
      <c r="N555" s="1" t="str">
        <f>IFERROR(__xludf.DUMMYFUNCTION("IF(A555&gt;0,MIN(FILTER('Барабан'!AJ:AJ,'Барабан'!K:K=A555)),"""")"),"")</f>
        <v/>
      </c>
      <c r="O555" s="16" t="str">
        <f>IFERROR(__xludf.DUMMYFUNCTION("IF(A555&gt;0,IFERROR(MAX(FILTER('Барабан'!AJ:AJ,'Барабан'!V:V=A555)),""–""),"""")"),"")</f>
        <v/>
      </c>
    </row>
    <row r="556" ht="15.75" customHeight="1">
      <c r="A556" s="1" t="str">
        <f>'Справочник'!E551</f>
        <v/>
      </c>
      <c r="B556" s="2" t="str">
        <f>IF(A556&gt;0,SUMIF('Барабан'!K:K,A556,'Барабан'!I:I),"")</f>
        <v/>
      </c>
      <c r="C556" s="2" t="str">
        <f>IF(A556&gt;0,SUMIF('Барабан'!V:V,A556,'Барабан'!T:T),"")</f>
        <v/>
      </c>
      <c r="D556" s="2" t="str">
        <f>IF(A556&gt;0,SUMIF('Барабан'!K:K,A556,'Барабан'!AG:AG)+SUMIF('Барабан'!V:V,A556,'Барабан'!AG:AG),"")</f>
        <v/>
      </c>
      <c r="E556" s="2" t="str">
        <f t="shared" si="1"/>
        <v/>
      </c>
      <c r="F556" s="2" t="str">
        <f t="array" ref="F556">IFERROR(IF(E556=0,0,INDEX('Справочник'!G:G,MATCH(A556,'Справочник'!F:F,0))))</f>
        <v/>
      </c>
      <c r="G556" s="2" t="str">
        <f>IF(A556&gt;0,SUMIF('Барабан'!K:K,A556,'Барабан'!P:P),"")</f>
        <v/>
      </c>
      <c r="H556" s="2" t="str">
        <f>IF(A556&gt;0,SUMIF('Барабан'!V:V,A556,'Барабан'!AA:AA),"")</f>
        <v/>
      </c>
      <c r="I556" s="2" t="str">
        <f t="shared" si="4"/>
        <v/>
      </c>
      <c r="J556" s="9" t="str">
        <f t="shared" si="2"/>
        <v/>
      </c>
      <c r="K556" s="1" t="str">
        <f>IF(A556&gt;0,COUNTIF('Барабан'!K:K,A556),"")</f>
        <v/>
      </c>
      <c r="L556" s="1" t="str">
        <f>IF(A556&gt;0,COUNTIF('Барабан'!V:V,A556),"")</f>
        <v/>
      </c>
      <c r="M556" s="1" t="str">
        <f t="shared" si="3"/>
        <v/>
      </c>
      <c r="N556" s="1" t="str">
        <f>IFERROR(__xludf.DUMMYFUNCTION("IF(A556&gt;0,MIN(FILTER('Барабан'!AJ:AJ,'Барабан'!K:K=A556)),"""")"),"")</f>
        <v/>
      </c>
      <c r="O556" s="16" t="str">
        <f>IFERROR(__xludf.DUMMYFUNCTION("IF(A556&gt;0,IFERROR(MAX(FILTER('Барабан'!AJ:AJ,'Барабан'!V:V=A556)),""–""),"""")"),"")</f>
        <v/>
      </c>
    </row>
    <row r="557" ht="15.75" customHeight="1">
      <c r="A557" s="1" t="str">
        <f>'Справочник'!E552</f>
        <v/>
      </c>
      <c r="B557" s="2" t="str">
        <f>IF(A557&gt;0,SUMIF('Барабан'!K:K,A557,'Барабан'!I:I),"")</f>
        <v/>
      </c>
      <c r="C557" s="2" t="str">
        <f>IF(A557&gt;0,SUMIF('Барабан'!V:V,A557,'Барабан'!T:T),"")</f>
        <v/>
      </c>
      <c r="D557" s="2" t="str">
        <f>IF(A557&gt;0,SUMIF('Барабан'!K:K,A557,'Барабан'!AG:AG)+SUMIF('Барабан'!V:V,A557,'Барабан'!AG:AG),"")</f>
        <v/>
      </c>
      <c r="E557" s="2" t="str">
        <f t="shared" si="1"/>
        <v/>
      </c>
      <c r="F557" s="2" t="str">
        <f t="array" ref="F557">IFERROR(IF(E557=0,0,INDEX('Справочник'!G:G,MATCH(A557,'Справочник'!F:F,0))))</f>
        <v/>
      </c>
      <c r="G557" s="2" t="str">
        <f>IF(A557&gt;0,SUMIF('Барабан'!K:K,A557,'Барабан'!P:P),"")</f>
        <v/>
      </c>
      <c r="H557" s="2" t="str">
        <f>IF(A557&gt;0,SUMIF('Барабан'!V:V,A557,'Барабан'!AA:AA),"")</f>
        <v/>
      </c>
      <c r="I557" s="2" t="str">
        <f t="shared" si="4"/>
        <v/>
      </c>
      <c r="J557" s="9" t="str">
        <f t="shared" si="2"/>
        <v/>
      </c>
      <c r="K557" s="1" t="str">
        <f>IF(A557&gt;0,COUNTIF('Барабан'!K:K,A557),"")</f>
        <v/>
      </c>
      <c r="L557" s="1" t="str">
        <f>IF(A557&gt;0,COUNTIF('Барабан'!V:V,A557),"")</f>
        <v/>
      </c>
      <c r="M557" s="1" t="str">
        <f t="shared" si="3"/>
        <v/>
      </c>
      <c r="N557" s="1" t="str">
        <f>IFERROR(__xludf.DUMMYFUNCTION("IF(A557&gt;0,MIN(FILTER('Барабан'!AJ:AJ,'Барабан'!K:K=A557)),"""")"),"")</f>
        <v/>
      </c>
      <c r="O557" s="16" t="str">
        <f>IFERROR(__xludf.DUMMYFUNCTION("IF(A557&gt;0,IFERROR(MAX(FILTER('Барабан'!AJ:AJ,'Барабан'!V:V=A557)),""–""),"""")"),"")</f>
        <v/>
      </c>
    </row>
    <row r="558" ht="15.75" customHeight="1">
      <c r="A558" s="1" t="str">
        <f>'Справочник'!E553</f>
        <v/>
      </c>
      <c r="B558" s="2" t="str">
        <f>IF(A558&gt;0,SUMIF('Барабан'!K:K,A558,'Барабан'!I:I),"")</f>
        <v/>
      </c>
      <c r="C558" s="2" t="str">
        <f>IF(A558&gt;0,SUMIF('Барабан'!V:V,A558,'Барабан'!T:T),"")</f>
        <v/>
      </c>
      <c r="D558" s="2" t="str">
        <f>IF(A558&gt;0,SUMIF('Барабан'!K:K,A558,'Барабан'!AG:AG)+SUMIF('Барабан'!V:V,A558,'Барабан'!AG:AG),"")</f>
        <v/>
      </c>
      <c r="E558" s="2" t="str">
        <f t="shared" si="1"/>
        <v/>
      </c>
      <c r="F558" s="2" t="str">
        <f t="array" ref="F558">IFERROR(IF(E558=0,0,INDEX('Справочник'!G:G,MATCH(A558,'Справочник'!F:F,0))))</f>
        <v/>
      </c>
      <c r="G558" s="2" t="str">
        <f>IF(A558&gt;0,SUMIF('Барабан'!K:K,A558,'Барабан'!P:P),"")</f>
        <v/>
      </c>
      <c r="H558" s="2" t="str">
        <f>IF(A558&gt;0,SUMIF('Барабан'!V:V,A558,'Барабан'!AA:AA),"")</f>
        <v/>
      </c>
      <c r="I558" s="2" t="str">
        <f t="shared" si="4"/>
        <v/>
      </c>
      <c r="J558" s="9" t="str">
        <f t="shared" si="2"/>
        <v/>
      </c>
      <c r="K558" s="1" t="str">
        <f>IF(A558&gt;0,COUNTIF('Барабан'!K:K,A558),"")</f>
        <v/>
      </c>
      <c r="L558" s="1" t="str">
        <f>IF(A558&gt;0,COUNTIF('Барабан'!V:V,A558),"")</f>
        <v/>
      </c>
      <c r="M558" s="1" t="str">
        <f t="shared" si="3"/>
        <v/>
      </c>
      <c r="N558" s="1" t="str">
        <f>IFERROR(__xludf.DUMMYFUNCTION("IF(A558&gt;0,MIN(FILTER('Барабан'!AJ:AJ,'Барабан'!K:K=A558)),"""")"),"")</f>
        <v/>
      </c>
      <c r="O558" s="16" t="str">
        <f>IFERROR(__xludf.DUMMYFUNCTION("IF(A558&gt;0,IFERROR(MAX(FILTER('Барабан'!AJ:AJ,'Барабан'!V:V=A558)),""–""),"""")"),"")</f>
        <v/>
      </c>
    </row>
    <row r="559" ht="15.75" customHeight="1">
      <c r="A559" s="1" t="str">
        <f>'Справочник'!E554</f>
        <v/>
      </c>
      <c r="B559" s="2" t="str">
        <f>IF(A559&gt;0,SUMIF('Барабан'!K:K,A559,'Барабан'!I:I),"")</f>
        <v/>
      </c>
      <c r="C559" s="2" t="str">
        <f>IF(A559&gt;0,SUMIF('Барабан'!V:V,A559,'Барабан'!T:T),"")</f>
        <v/>
      </c>
      <c r="D559" s="2" t="str">
        <f>IF(A559&gt;0,SUMIF('Барабан'!K:K,A559,'Барабан'!AG:AG)+SUMIF('Барабан'!V:V,A559,'Барабан'!AG:AG),"")</f>
        <v/>
      </c>
      <c r="E559" s="2" t="str">
        <f t="shared" si="1"/>
        <v/>
      </c>
      <c r="F559" s="2" t="str">
        <f t="array" ref="F559">IFERROR(IF(E559=0,0,INDEX('Справочник'!G:G,MATCH(A559,'Справочник'!F:F,0))))</f>
        <v/>
      </c>
      <c r="G559" s="2" t="str">
        <f>IF(A559&gt;0,SUMIF('Барабан'!K:K,A559,'Барабан'!P:P),"")</f>
        <v/>
      </c>
      <c r="H559" s="2" t="str">
        <f>IF(A559&gt;0,SUMIF('Барабан'!V:V,A559,'Барабан'!AA:AA),"")</f>
        <v/>
      </c>
      <c r="I559" s="2" t="str">
        <f t="shared" si="4"/>
        <v/>
      </c>
      <c r="J559" s="9" t="str">
        <f t="shared" si="2"/>
        <v/>
      </c>
      <c r="K559" s="1" t="str">
        <f>IF(A559&gt;0,COUNTIF('Барабан'!K:K,A559),"")</f>
        <v/>
      </c>
      <c r="L559" s="1" t="str">
        <f>IF(A559&gt;0,COUNTIF('Барабан'!V:V,A559),"")</f>
        <v/>
      </c>
      <c r="M559" s="1" t="str">
        <f t="shared" si="3"/>
        <v/>
      </c>
      <c r="N559" s="1" t="str">
        <f>IFERROR(__xludf.DUMMYFUNCTION("IF(A559&gt;0,MIN(FILTER('Барабан'!AJ:AJ,'Барабан'!K:K=A559)),"""")"),"")</f>
        <v/>
      </c>
      <c r="O559" s="16" t="str">
        <f>IFERROR(__xludf.DUMMYFUNCTION("IF(A559&gt;0,IFERROR(MAX(FILTER('Барабан'!AJ:AJ,'Барабан'!V:V=A559)),""–""),"""")"),"")</f>
        <v/>
      </c>
    </row>
    <row r="560" ht="15.75" customHeight="1">
      <c r="A560" s="1" t="str">
        <f>'Справочник'!E555</f>
        <v/>
      </c>
      <c r="B560" s="2" t="str">
        <f>IF(A560&gt;0,SUMIF('Барабан'!K:K,A560,'Барабан'!I:I),"")</f>
        <v/>
      </c>
      <c r="C560" s="2" t="str">
        <f>IF(A560&gt;0,SUMIF('Барабан'!V:V,A560,'Барабан'!T:T),"")</f>
        <v/>
      </c>
      <c r="D560" s="2" t="str">
        <f>IF(A560&gt;0,SUMIF('Барабан'!K:K,A560,'Барабан'!AG:AG)+SUMIF('Барабан'!V:V,A560,'Барабан'!AG:AG),"")</f>
        <v/>
      </c>
      <c r="E560" s="2" t="str">
        <f t="shared" si="1"/>
        <v/>
      </c>
      <c r="F560" s="2" t="str">
        <f t="array" ref="F560">IFERROR(IF(E560=0,0,INDEX('Справочник'!G:G,MATCH(A560,'Справочник'!F:F,0))))</f>
        <v/>
      </c>
      <c r="G560" s="2" t="str">
        <f>IF(A560&gt;0,SUMIF('Барабан'!K:K,A560,'Барабан'!P:P),"")</f>
        <v/>
      </c>
      <c r="H560" s="2" t="str">
        <f>IF(A560&gt;0,SUMIF('Барабан'!V:V,A560,'Барабан'!AA:AA),"")</f>
        <v/>
      </c>
      <c r="I560" s="2" t="str">
        <f t="shared" si="4"/>
        <v/>
      </c>
      <c r="J560" s="9" t="str">
        <f t="shared" si="2"/>
        <v/>
      </c>
      <c r="K560" s="1" t="str">
        <f>IF(A560&gt;0,COUNTIF('Барабан'!K:K,A560),"")</f>
        <v/>
      </c>
      <c r="L560" s="1" t="str">
        <f>IF(A560&gt;0,COUNTIF('Барабан'!V:V,A560),"")</f>
        <v/>
      </c>
      <c r="M560" s="1" t="str">
        <f t="shared" si="3"/>
        <v/>
      </c>
      <c r="N560" s="1" t="str">
        <f>IFERROR(__xludf.DUMMYFUNCTION("IF(A560&gt;0,MIN(FILTER('Барабан'!AJ:AJ,'Барабан'!K:K=A560)),"""")"),"")</f>
        <v/>
      </c>
      <c r="O560" s="16" t="str">
        <f>IFERROR(__xludf.DUMMYFUNCTION("IF(A560&gt;0,IFERROR(MAX(FILTER('Барабан'!AJ:AJ,'Барабан'!V:V=A560)),""–""),"""")"),"")</f>
        <v/>
      </c>
    </row>
    <row r="561" ht="15.75" customHeight="1">
      <c r="A561" s="1" t="str">
        <f>'Справочник'!E556</f>
        <v/>
      </c>
      <c r="B561" s="2" t="str">
        <f>IF(A561&gt;0,SUMIF('Барабан'!K:K,A561,'Барабан'!I:I),"")</f>
        <v/>
      </c>
      <c r="C561" s="2" t="str">
        <f>IF(A561&gt;0,SUMIF('Барабан'!V:V,A561,'Барабан'!T:T),"")</f>
        <v/>
      </c>
      <c r="D561" s="2" t="str">
        <f>IF(A561&gt;0,SUMIF('Барабан'!K:K,A561,'Барабан'!AG:AG)+SUMIF('Барабан'!V:V,A561,'Барабан'!AG:AG),"")</f>
        <v/>
      </c>
      <c r="E561" s="2" t="str">
        <f t="shared" si="1"/>
        <v/>
      </c>
      <c r="F561" s="2" t="str">
        <f t="array" ref="F561">IFERROR(IF(E561=0,0,INDEX('Справочник'!G:G,MATCH(A561,'Справочник'!F:F,0))))</f>
        <v/>
      </c>
      <c r="G561" s="2" t="str">
        <f>IF(A561&gt;0,SUMIF('Барабан'!K:K,A561,'Барабан'!P:P),"")</f>
        <v/>
      </c>
      <c r="H561" s="2" t="str">
        <f>IF(A561&gt;0,SUMIF('Барабан'!V:V,A561,'Барабан'!AA:AA),"")</f>
        <v/>
      </c>
      <c r="I561" s="2" t="str">
        <f t="shared" si="4"/>
        <v/>
      </c>
      <c r="J561" s="9" t="str">
        <f t="shared" si="2"/>
        <v/>
      </c>
      <c r="K561" s="1" t="str">
        <f>IF(A561&gt;0,COUNTIF('Барабан'!K:K,A561),"")</f>
        <v/>
      </c>
      <c r="L561" s="1" t="str">
        <f>IF(A561&gt;0,COUNTIF('Барабан'!V:V,A561),"")</f>
        <v/>
      </c>
      <c r="M561" s="1" t="str">
        <f t="shared" si="3"/>
        <v/>
      </c>
      <c r="N561" s="1" t="str">
        <f>IFERROR(__xludf.DUMMYFUNCTION("IF(A561&gt;0,MIN(FILTER('Барабан'!AJ:AJ,'Барабан'!K:K=A561)),"""")"),"")</f>
        <v/>
      </c>
      <c r="O561" s="16" t="str">
        <f>IFERROR(__xludf.DUMMYFUNCTION("IF(A561&gt;0,IFERROR(MAX(FILTER('Барабан'!AJ:AJ,'Барабан'!V:V=A561)),""–""),"""")"),"")</f>
        <v/>
      </c>
    </row>
    <row r="562" ht="15.75" customHeight="1">
      <c r="A562" s="1" t="str">
        <f>'Справочник'!E557</f>
        <v/>
      </c>
      <c r="B562" s="2" t="str">
        <f>IF(A562&gt;0,SUMIF('Барабан'!K:K,A562,'Барабан'!I:I),"")</f>
        <v/>
      </c>
      <c r="C562" s="2" t="str">
        <f>IF(A562&gt;0,SUMIF('Барабан'!V:V,A562,'Барабан'!T:T),"")</f>
        <v/>
      </c>
      <c r="D562" s="2" t="str">
        <f>IF(A562&gt;0,SUMIF('Барабан'!K:K,A562,'Барабан'!AG:AG)+SUMIF('Барабан'!V:V,A562,'Барабан'!AG:AG),"")</f>
        <v/>
      </c>
      <c r="E562" s="2" t="str">
        <f t="shared" si="1"/>
        <v/>
      </c>
      <c r="F562" s="2" t="str">
        <f t="array" ref="F562">IFERROR(IF(E562=0,0,INDEX('Справочник'!G:G,MATCH(A562,'Справочник'!F:F,0))))</f>
        <v/>
      </c>
      <c r="G562" s="2" t="str">
        <f>IF(A562&gt;0,SUMIF('Барабан'!K:K,A562,'Барабан'!P:P),"")</f>
        <v/>
      </c>
      <c r="H562" s="2" t="str">
        <f>IF(A562&gt;0,SUMIF('Барабан'!V:V,A562,'Барабан'!AA:AA),"")</f>
        <v/>
      </c>
      <c r="I562" s="2" t="str">
        <f t="shared" si="4"/>
        <v/>
      </c>
      <c r="J562" s="9" t="str">
        <f t="shared" si="2"/>
        <v/>
      </c>
      <c r="K562" s="1" t="str">
        <f>IF(A562&gt;0,COUNTIF('Барабан'!K:K,A562),"")</f>
        <v/>
      </c>
      <c r="L562" s="1" t="str">
        <f>IF(A562&gt;0,COUNTIF('Барабан'!V:V,A562),"")</f>
        <v/>
      </c>
      <c r="M562" s="1" t="str">
        <f t="shared" si="3"/>
        <v/>
      </c>
      <c r="N562" s="1" t="str">
        <f>IFERROR(__xludf.DUMMYFUNCTION("IF(A562&gt;0,MIN(FILTER('Барабан'!AJ:AJ,'Барабан'!K:K=A562)),"""")"),"")</f>
        <v/>
      </c>
      <c r="O562" s="16" t="str">
        <f>IFERROR(__xludf.DUMMYFUNCTION("IF(A562&gt;0,IFERROR(MAX(FILTER('Барабан'!AJ:AJ,'Барабан'!V:V=A562)),""–""),"""")"),"")</f>
        <v/>
      </c>
    </row>
    <row r="563" ht="15.75" customHeight="1">
      <c r="A563" s="1" t="str">
        <f>'Справочник'!E558</f>
        <v/>
      </c>
      <c r="B563" s="2" t="str">
        <f>IF(A563&gt;0,SUMIF('Барабан'!K:K,A563,'Барабан'!I:I),"")</f>
        <v/>
      </c>
      <c r="C563" s="2" t="str">
        <f>IF(A563&gt;0,SUMIF('Барабан'!V:V,A563,'Барабан'!T:T),"")</f>
        <v/>
      </c>
      <c r="D563" s="2" t="str">
        <f>IF(A563&gt;0,SUMIF('Барабан'!K:K,A563,'Барабан'!AG:AG)+SUMIF('Барабан'!V:V,A563,'Барабан'!AG:AG),"")</f>
        <v/>
      </c>
      <c r="E563" s="2" t="str">
        <f t="shared" si="1"/>
        <v/>
      </c>
      <c r="F563" s="2" t="str">
        <f t="array" ref="F563">IFERROR(IF(E563=0,0,INDEX('Справочник'!G:G,MATCH(A563,'Справочник'!F:F,0))))</f>
        <v/>
      </c>
      <c r="G563" s="2" t="str">
        <f>IF(A563&gt;0,SUMIF('Барабан'!K:K,A563,'Барабан'!P:P),"")</f>
        <v/>
      </c>
      <c r="H563" s="2" t="str">
        <f>IF(A563&gt;0,SUMIF('Барабан'!V:V,A563,'Барабан'!AA:AA),"")</f>
        <v/>
      </c>
      <c r="I563" s="2" t="str">
        <f t="shared" si="4"/>
        <v/>
      </c>
      <c r="J563" s="9" t="str">
        <f t="shared" si="2"/>
        <v/>
      </c>
      <c r="K563" s="1" t="str">
        <f>IF(A563&gt;0,COUNTIF('Барабан'!K:K,A563),"")</f>
        <v/>
      </c>
      <c r="L563" s="1" t="str">
        <f>IF(A563&gt;0,COUNTIF('Барабан'!V:V,A563),"")</f>
        <v/>
      </c>
      <c r="M563" s="1" t="str">
        <f t="shared" si="3"/>
        <v/>
      </c>
      <c r="N563" s="1" t="str">
        <f>IFERROR(__xludf.DUMMYFUNCTION("IF(A563&gt;0,MIN(FILTER('Барабан'!AJ:AJ,'Барабан'!K:K=A563)),"""")"),"")</f>
        <v/>
      </c>
      <c r="O563" s="16" t="str">
        <f>IFERROR(__xludf.DUMMYFUNCTION("IF(A563&gt;0,IFERROR(MAX(FILTER('Барабан'!AJ:AJ,'Барабан'!V:V=A563)),""–""),"""")"),"")</f>
        <v/>
      </c>
    </row>
    <row r="564" ht="15.75" customHeight="1">
      <c r="A564" s="1" t="str">
        <f>'Справочник'!E559</f>
        <v/>
      </c>
      <c r="B564" s="2" t="str">
        <f>IF(A564&gt;0,SUMIF('Барабан'!K:K,A564,'Барабан'!I:I),"")</f>
        <v/>
      </c>
      <c r="C564" s="2" t="str">
        <f>IF(A564&gt;0,SUMIF('Барабан'!V:V,A564,'Барабан'!T:T),"")</f>
        <v/>
      </c>
      <c r="D564" s="2" t="str">
        <f>IF(A564&gt;0,SUMIF('Барабан'!K:K,A564,'Барабан'!AG:AG)+SUMIF('Барабан'!V:V,A564,'Барабан'!AG:AG),"")</f>
        <v/>
      </c>
      <c r="E564" s="2" t="str">
        <f t="shared" si="1"/>
        <v/>
      </c>
      <c r="F564" s="2" t="str">
        <f t="array" ref="F564">IFERROR(IF(E564=0,0,INDEX('Справочник'!G:G,MATCH(A564,'Справочник'!F:F,0))))</f>
        <v/>
      </c>
      <c r="G564" s="2" t="str">
        <f>IF(A564&gt;0,SUMIF('Барабан'!K:K,A564,'Барабан'!P:P),"")</f>
        <v/>
      </c>
      <c r="H564" s="2" t="str">
        <f>IF(A564&gt;0,SUMIF('Барабан'!V:V,A564,'Барабан'!AA:AA),"")</f>
        <v/>
      </c>
      <c r="I564" s="2" t="str">
        <f t="shared" si="4"/>
        <v/>
      </c>
      <c r="J564" s="9" t="str">
        <f t="shared" si="2"/>
        <v/>
      </c>
      <c r="K564" s="1" t="str">
        <f>IF(A564&gt;0,COUNTIF('Барабан'!K:K,A564),"")</f>
        <v/>
      </c>
      <c r="L564" s="1" t="str">
        <f>IF(A564&gt;0,COUNTIF('Барабан'!V:V,A564),"")</f>
        <v/>
      </c>
      <c r="M564" s="1" t="str">
        <f t="shared" si="3"/>
        <v/>
      </c>
      <c r="N564" s="1" t="str">
        <f>IFERROR(__xludf.DUMMYFUNCTION("IF(A564&gt;0,MIN(FILTER('Барабан'!AJ:AJ,'Барабан'!K:K=A564)),"""")"),"")</f>
        <v/>
      </c>
      <c r="O564" s="16" t="str">
        <f>IFERROR(__xludf.DUMMYFUNCTION("IF(A564&gt;0,IFERROR(MAX(FILTER('Барабан'!AJ:AJ,'Барабан'!V:V=A564)),""–""),"""")"),"")</f>
        <v/>
      </c>
    </row>
    <row r="565" ht="15.75" customHeight="1">
      <c r="A565" s="1" t="str">
        <f>'Справочник'!E560</f>
        <v/>
      </c>
      <c r="B565" s="2" t="str">
        <f>IF(A565&gt;0,SUMIF('Барабан'!K:K,A565,'Барабан'!I:I),"")</f>
        <v/>
      </c>
      <c r="C565" s="2" t="str">
        <f>IF(A565&gt;0,SUMIF('Барабан'!V:V,A565,'Барабан'!T:T),"")</f>
        <v/>
      </c>
      <c r="D565" s="2" t="str">
        <f>IF(A565&gt;0,SUMIF('Барабан'!K:K,A565,'Барабан'!AG:AG)+SUMIF('Барабан'!V:V,A565,'Барабан'!AG:AG),"")</f>
        <v/>
      </c>
      <c r="E565" s="2" t="str">
        <f t="shared" si="1"/>
        <v/>
      </c>
      <c r="F565" s="2" t="str">
        <f t="array" ref="F565">IFERROR(IF(E565=0,0,INDEX('Справочник'!G:G,MATCH(A565,'Справочник'!F:F,0))))</f>
        <v/>
      </c>
      <c r="G565" s="2" t="str">
        <f>IF(A565&gt;0,SUMIF('Барабан'!K:K,A565,'Барабан'!P:P),"")</f>
        <v/>
      </c>
      <c r="H565" s="2" t="str">
        <f>IF(A565&gt;0,SUMIF('Барабан'!V:V,A565,'Барабан'!AA:AA),"")</f>
        <v/>
      </c>
      <c r="I565" s="2" t="str">
        <f t="shared" si="4"/>
        <v/>
      </c>
      <c r="J565" s="9" t="str">
        <f t="shared" si="2"/>
        <v/>
      </c>
      <c r="K565" s="1" t="str">
        <f>IF(A565&gt;0,COUNTIF('Барабан'!K:K,A565),"")</f>
        <v/>
      </c>
      <c r="L565" s="1" t="str">
        <f>IF(A565&gt;0,COUNTIF('Барабан'!V:V,A565),"")</f>
        <v/>
      </c>
      <c r="M565" s="1" t="str">
        <f t="shared" si="3"/>
        <v/>
      </c>
      <c r="N565" s="1" t="str">
        <f>IFERROR(__xludf.DUMMYFUNCTION("IF(A565&gt;0,MIN(FILTER('Барабан'!AJ:AJ,'Барабан'!K:K=A565)),"""")"),"")</f>
        <v/>
      </c>
      <c r="O565" s="16" t="str">
        <f>IFERROR(__xludf.DUMMYFUNCTION("IF(A565&gt;0,IFERROR(MAX(FILTER('Барабан'!AJ:AJ,'Барабан'!V:V=A565)),""–""),"""")"),"")</f>
        <v/>
      </c>
    </row>
    <row r="566" ht="15.75" customHeight="1">
      <c r="A566" s="1" t="str">
        <f>'Справочник'!E561</f>
        <v/>
      </c>
      <c r="B566" s="2" t="str">
        <f>IF(A566&gt;0,SUMIF('Барабан'!K:K,A566,'Барабан'!I:I),"")</f>
        <v/>
      </c>
      <c r="C566" s="2" t="str">
        <f>IF(A566&gt;0,SUMIF('Барабан'!V:V,A566,'Барабан'!T:T),"")</f>
        <v/>
      </c>
      <c r="D566" s="2" t="str">
        <f>IF(A566&gt;0,SUMIF('Барабан'!K:K,A566,'Барабан'!AG:AG)+SUMIF('Барабан'!V:V,A566,'Барабан'!AG:AG),"")</f>
        <v/>
      </c>
      <c r="E566" s="2" t="str">
        <f t="shared" si="1"/>
        <v/>
      </c>
      <c r="F566" s="2" t="str">
        <f t="array" ref="F566">IFERROR(IF(E566=0,0,INDEX('Справочник'!G:G,MATCH(A566,'Справочник'!F:F,0))))</f>
        <v/>
      </c>
      <c r="G566" s="2" t="str">
        <f>IF(A566&gt;0,SUMIF('Барабан'!K:K,A566,'Барабан'!P:P),"")</f>
        <v/>
      </c>
      <c r="H566" s="2" t="str">
        <f>IF(A566&gt;0,SUMIF('Барабан'!V:V,A566,'Барабан'!AA:AA),"")</f>
        <v/>
      </c>
      <c r="I566" s="2" t="str">
        <f t="shared" si="4"/>
        <v/>
      </c>
      <c r="J566" s="9" t="str">
        <f t="shared" si="2"/>
        <v/>
      </c>
      <c r="K566" s="1" t="str">
        <f>IF(A566&gt;0,COUNTIF('Барабан'!K:K,A566),"")</f>
        <v/>
      </c>
      <c r="L566" s="1" t="str">
        <f>IF(A566&gt;0,COUNTIF('Барабан'!V:V,A566),"")</f>
        <v/>
      </c>
      <c r="M566" s="1" t="str">
        <f t="shared" si="3"/>
        <v/>
      </c>
      <c r="N566" s="1" t="str">
        <f>IFERROR(__xludf.DUMMYFUNCTION("IF(A566&gt;0,MIN(FILTER('Барабан'!AJ:AJ,'Барабан'!K:K=A566)),"""")"),"")</f>
        <v/>
      </c>
      <c r="O566" s="16" t="str">
        <f>IFERROR(__xludf.DUMMYFUNCTION("IF(A566&gt;0,IFERROR(MAX(FILTER('Барабан'!AJ:AJ,'Барабан'!V:V=A566)),""–""),"""")"),"")</f>
        <v/>
      </c>
    </row>
    <row r="567" ht="15.75" customHeight="1">
      <c r="A567" s="1" t="str">
        <f>'Справочник'!E562</f>
        <v/>
      </c>
      <c r="B567" s="2" t="str">
        <f>IF(A567&gt;0,SUMIF('Барабан'!K:K,A567,'Барабан'!I:I),"")</f>
        <v/>
      </c>
      <c r="C567" s="2" t="str">
        <f>IF(A567&gt;0,SUMIF('Барабан'!V:V,A567,'Барабан'!T:T),"")</f>
        <v/>
      </c>
      <c r="D567" s="2" t="str">
        <f>IF(A567&gt;0,SUMIF('Барабан'!K:K,A567,'Барабан'!AG:AG)+SUMIF('Барабан'!V:V,A567,'Барабан'!AG:AG),"")</f>
        <v/>
      </c>
      <c r="E567" s="2" t="str">
        <f t="shared" si="1"/>
        <v/>
      </c>
      <c r="F567" s="2" t="str">
        <f t="array" ref="F567">IFERROR(IF(E567=0,0,INDEX('Справочник'!G:G,MATCH(A567,'Справочник'!F:F,0))))</f>
        <v/>
      </c>
      <c r="G567" s="2" t="str">
        <f>IF(A567&gt;0,SUMIF('Барабан'!K:K,A567,'Барабан'!P:P),"")</f>
        <v/>
      </c>
      <c r="H567" s="2" t="str">
        <f>IF(A567&gt;0,SUMIF('Барабан'!V:V,A567,'Барабан'!AA:AA),"")</f>
        <v/>
      </c>
      <c r="I567" s="2" t="str">
        <f t="shared" si="4"/>
        <v/>
      </c>
      <c r="J567" s="9" t="str">
        <f t="shared" si="2"/>
        <v/>
      </c>
      <c r="K567" s="1" t="str">
        <f>IF(A567&gt;0,COUNTIF('Барабан'!K:K,A567),"")</f>
        <v/>
      </c>
      <c r="L567" s="1" t="str">
        <f>IF(A567&gt;0,COUNTIF('Барабан'!V:V,A567),"")</f>
        <v/>
      </c>
      <c r="M567" s="1" t="str">
        <f t="shared" si="3"/>
        <v/>
      </c>
      <c r="N567" s="1" t="str">
        <f>IFERROR(__xludf.DUMMYFUNCTION("IF(A567&gt;0,MIN(FILTER('Барабан'!AJ:AJ,'Барабан'!K:K=A567)),"""")"),"")</f>
        <v/>
      </c>
      <c r="O567" s="16" t="str">
        <f>IFERROR(__xludf.DUMMYFUNCTION("IF(A567&gt;0,IFERROR(MAX(FILTER('Барабан'!AJ:AJ,'Барабан'!V:V=A567)),""–""),"""")"),"")</f>
        <v/>
      </c>
    </row>
    <row r="568" ht="15.75" customHeight="1">
      <c r="A568" s="1" t="str">
        <f>'Справочник'!E563</f>
        <v/>
      </c>
      <c r="B568" s="2" t="str">
        <f>IF(A568&gt;0,SUMIF('Барабан'!K:K,A568,'Барабан'!I:I),"")</f>
        <v/>
      </c>
      <c r="C568" s="2" t="str">
        <f>IF(A568&gt;0,SUMIF('Барабан'!V:V,A568,'Барабан'!T:T),"")</f>
        <v/>
      </c>
      <c r="D568" s="2" t="str">
        <f>IF(A568&gt;0,SUMIF('Барабан'!K:K,A568,'Барабан'!AG:AG)+SUMIF('Барабан'!V:V,A568,'Барабан'!AG:AG),"")</f>
        <v/>
      </c>
      <c r="E568" s="2" t="str">
        <f t="shared" si="1"/>
        <v/>
      </c>
      <c r="F568" s="2" t="str">
        <f t="array" ref="F568">IFERROR(IF(E568=0,0,INDEX('Справочник'!G:G,MATCH(A568,'Справочник'!F:F,0))))</f>
        <v/>
      </c>
      <c r="G568" s="2" t="str">
        <f>IF(A568&gt;0,SUMIF('Барабан'!K:K,A568,'Барабан'!P:P),"")</f>
        <v/>
      </c>
      <c r="H568" s="2" t="str">
        <f>IF(A568&gt;0,SUMIF('Барабан'!V:V,A568,'Барабан'!AA:AA),"")</f>
        <v/>
      </c>
      <c r="I568" s="2" t="str">
        <f t="shared" si="4"/>
        <v/>
      </c>
      <c r="J568" s="9" t="str">
        <f t="shared" si="2"/>
        <v/>
      </c>
      <c r="K568" s="1" t="str">
        <f>IF(A568&gt;0,COUNTIF('Барабан'!K:K,A568),"")</f>
        <v/>
      </c>
      <c r="L568" s="1" t="str">
        <f>IF(A568&gt;0,COUNTIF('Барабан'!V:V,A568),"")</f>
        <v/>
      </c>
      <c r="M568" s="1" t="str">
        <f t="shared" si="3"/>
        <v/>
      </c>
      <c r="N568" s="1" t="str">
        <f>IFERROR(__xludf.DUMMYFUNCTION("IF(A568&gt;0,MIN(FILTER('Барабан'!AJ:AJ,'Барабан'!K:K=A568)),"""")"),"")</f>
        <v/>
      </c>
      <c r="O568" s="16" t="str">
        <f>IFERROR(__xludf.DUMMYFUNCTION("IF(A568&gt;0,IFERROR(MAX(FILTER('Барабан'!AJ:AJ,'Барабан'!V:V=A568)),""–""),"""")"),"")</f>
        <v/>
      </c>
    </row>
    <row r="569" ht="15.75" customHeight="1">
      <c r="A569" s="1" t="str">
        <f>'Справочник'!E564</f>
        <v/>
      </c>
      <c r="B569" s="2" t="str">
        <f>IF(A569&gt;0,SUMIF('Барабан'!K:K,A569,'Барабан'!I:I),"")</f>
        <v/>
      </c>
      <c r="C569" s="2" t="str">
        <f>IF(A569&gt;0,SUMIF('Барабан'!V:V,A569,'Барабан'!T:T),"")</f>
        <v/>
      </c>
      <c r="D569" s="2" t="str">
        <f>IF(A569&gt;0,SUMIF('Барабан'!K:K,A569,'Барабан'!AG:AG)+SUMIF('Барабан'!V:V,A569,'Барабан'!AG:AG),"")</f>
        <v/>
      </c>
      <c r="E569" s="2" t="str">
        <f t="shared" si="1"/>
        <v/>
      </c>
      <c r="F569" s="2" t="str">
        <f t="array" ref="F569">IFERROR(IF(E569=0,0,INDEX('Справочник'!G:G,MATCH(A569,'Справочник'!F:F,0))))</f>
        <v/>
      </c>
      <c r="G569" s="2" t="str">
        <f>IF(A569&gt;0,SUMIF('Барабан'!K:K,A569,'Барабан'!P:P),"")</f>
        <v/>
      </c>
      <c r="H569" s="2" t="str">
        <f>IF(A569&gt;0,SUMIF('Барабан'!V:V,A569,'Барабан'!AA:AA),"")</f>
        <v/>
      </c>
      <c r="I569" s="2" t="str">
        <f t="shared" si="4"/>
        <v/>
      </c>
      <c r="J569" s="9" t="str">
        <f t="shared" si="2"/>
        <v/>
      </c>
      <c r="K569" s="1" t="str">
        <f>IF(A569&gt;0,COUNTIF('Барабан'!K:K,A569),"")</f>
        <v/>
      </c>
      <c r="L569" s="1" t="str">
        <f>IF(A569&gt;0,COUNTIF('Барабан'!V:V,A569),"")</f>
        <v/>
      </c>
      <c r="M569" s="1" t="str">
        <f t="shared" si="3"/>
        <v/>
      </c>
      <c r="N569" s="1" t="str">
        <f>IFERROR(__xludf.DUMMYFUNCTION("IF(A569&gt;0,MIN(FILTER('Барабан'!AJ:AJ,'Барабан'!K:K=A569)),"""")"),"")</f>
        <v/>
      </c>
      <c r="O569" s="16" t="str">
        <f>IFERROR(__xludf.DUMMYFUNCTION("IF(A569&gt;0,IFERROR(MAX(FILTER('Барабан'!AJ:AJ,'Барабан'!V:V=A569)),""–""),"""")"),"")</f>
        <v/>
      </c>
    </row>
    <row r="570" ht="15.75" customHeight="1">
      <c r="A570" s="1" t="str">
        <f>'Справочник'!E565</f>
        <v/>
      </c>
      <c r="B570" s="2" t="str">
        <f>IF(A570&gt;0,SUMIF('Барабан'!K:K,A570,'Барабан'!I:I),"")</f>
        <v/>
      </c>
      <c r="C570" s="2" t="str">
        <f>IF(A570&gt;0,SUMIF('Барабан'!V:V,A570,'Барабан'!T:T),"")</f>
        <v/>
      </c>
      <c r="D570" s="2" t="str">
        <f>IF(A570&gt;0,SUMIF('Барабан'!K:K,A570,'Барабан'!AG:AG)+SUMIF('Барабан'!V:V,A570,'Барабан'!AG:AG),"")</f>
        <v/>
      </c>
      <c r="E570" s="2" t="str">
        <f t="shared" si="1"/>
        <v/>
      </c>
      <c r="F570" s="2" t="str">
        <f t="array" ref="F570">IFERROR(IF(E570=0,0,INDEX('Справочник'!G:G,MATCH(A570,'Справочник'!F:F,0))))</f>
        <v/>
      </c>
      <c r="G570" s="2" t="str">
        <f>IF(A570&gt;0,SUMIF('Барабан'!K:K,A570,'Барабан'!P:P),"")</f>
        <v/>
      </c>
      <c r="H570" s="2" t="str">
        <f>IF(A570&gt;0,SUMIF('Барабан'!V:V,A570,'Барабан'!AA:AA),"")</f>
        <v/>
      </c>
      <c r="I570" s="2" t="str">
        <f t="shared" si="4"/>
        <v/>
      </c>
      <c r="J570" s="9" t="str">
        <f t="shared" si="2"/>
        <v/>
      </c>
      <c r="K570" s="1" t="str">
        <f>IF(A570&gt;0,COUNTIF('Барабан'!K:K,A570),"")</f>
        <v/>
      </c>
      <c r="L570" s="1" t="str">
        <f>IF(A570&gt;0,COUNTIF('Барабан'!V:V,A570),"")</f>
        <v/>
      </c>
      <c r="M570" s="1" t="str">
        <f t="shared" si="3"/>
        <v/>
      </c>
      <c r="N570" s="1" t="str">
        <f>IFERROR(__xludf.DUMMYFUNCTION("IF(A570&gt;0,MIN(FILTER('Барабан'!AJ:AJ,'Барабан'!K:K=A570)),"""")"),"")</f>
        <v/>
      </c>
      <c r="O570" s="16" t="str">
        <f>IFERROR(__xludf.DUMMYFUNCTION("IF(A570&gt;0,IFERROR(MAX(FILTER('Барабан'!AJ:AJ,'Барабан'!V:V=A570)),""–""),"""")"),"")</f>
        <v/>
      </c>
    </row>
    <row r="571" ht="15.75" customHeight="1">
      <c r="A571" s="1" t="str">
        <f>'Справочник'!E566</f>
        <v/>
      </c>
      <c r="B571" s="2" t="str">
        <f>IF(A571&gt;0,SUMIF('Барабан'!K:K,A571,'Барабан'!I:I),"")</f>
        <v/>
      </c>
      <c r="C571" s="2" t="str">
        <f>IF(A571&gt;0,SUMIF('Барабан'!V:V,A571,'Барабан'!T:T),"")</f>
        <v/>
      </c>
      <c r="D571" s="2" t="str">
        <f>IF(A571&gt;0,SUMIF('Барабан'!K:K,A571,'Барабан'!AG:AG)+SUMIF('Барабан'!V:V,A571,'Барабан'!AG:AG),"")</f>
        <v/>
      </c>
      <c r="E571" s="2" t="str">
        <f t="shared" si="1"/>
        <v/>
      </c>
      <c r="F571" s="2" t="str">
        <f t="array" ref="F571">IFERROR(IF(E571=0,0,INDEX('Справочник'!G:G,MATCH(A571,'Справочник'!F:F,0))))</f>
        <v/>
      </c>
      <c r="G571" s="2" t="str">
        <f>IF(A571&gt;0,SUMIF('Барабан'!K:K,A571,'Барабан'!P:P),"")</f>
        <v/>
      </c>
      <c r="H571" s="2" t="str">
        <f>IF(A571&gt;0,SUMIF('Барабан'!V:V,A571,'Барабан'!AA:AA),"")</f>
        <v/>
      </c>
      <c r="I571" s="2" t="str">
        <f t="shared" si="4"/>
        <v/>
      </c>
      <c r="J571" s="9" t="str">
        <f t="shared" si="2"/>
        <v/>
      </c>
      <c r="K571" s="1" t="str">
        <f>IF(A571&gt;0,COUNTIF('Барабан'!K:K,A571),"")</f>
        <v/>
      </c>
      <c r="L571" s="1" t="str">
        <f>IF(A571&gt;0,COUNTIF('Барабан'!V:V,A571),"")</f>
        <v/>
      </c>
      <c r="M571" s="1" t="str">
        <f t="shared" si="3"/>
        <v/>
      </c>
      <c r="N571" s="1" t="str">
        <f>IFERROR(__xludf.DUMMYFUNCTION("IF(A571&gt;0,MIN(FILTER('Барабан'!AJ:AJ,'Барабан'!K:K=A571)),"""")"),"")</f>
        <v/>
      </c>
      <c r="O571" s="16" t="str">
        <f>IFERROR(__xludf.DUMMYFUNCTION("IF(A571&gt;0,IFERROR(MAX(FILTER('Барабан'!AJ:AJ,'Барабан'!V:V=A571)),""–""),"""")"),"")</f>
        <v/>
      </c>
    </row>
    <row r="572" ht="15.75" customHeight="1">
      <c r="A572" s="1" t="str">
        <f>'Справочник'!E567</f>
        <v/>
      </c>
      <c r="B572" s="2" t="str">
        <f>IF(A572&gt;0,SUMIF('Барабан'!K:K,A572,'Барабан'!I:I),"")</f>
        <v/>
      </c>
      <c r="C572" s="2" t="str">
        <f>IF(A572&gt;0,SUMIF('Барабан'!V:V,A572,'Барабан'!T:T),"")</f>
        <v/>
      </c>
      <c r="D572" s="2" t="str">
        <f>IF(A572&gt;0,SUMIF('Барабан'!K:K,A572,'Барабан'!AG:AG)+SUMIF('Барабан'!V:V,A572,'Барабан'!AG:AG),"")</f>
        <v/>
      </c>
      <c r="E572" s="2" t="str">
        <f t="shared" si="1"/>
        <v/>
      </c>
      <c r="F572" s="2" t="str">
        <f t="array" ref="F572">IFERROR(IF(E572=0,0,INDEX('Справочник'!G:G,MATCH(A572,'Справочник'!F:F,0))))</f>
        <v/>
      </c>
      <c r="G572" s="2" t="str">
        <f>IF(A572&gt;0,SUMIF('Барабан'!K:K,A572,'Барабан'!P:P),"")</f>
        <v/>
      </c>
      <c r="H572" s="2" t="str">
        <f>IF(A572&gt;0,SUMIF('Барабан'!V:V,A572,'Барабан'!AA:AA),"")</f>
        <v/>
      </c>
      <c r="I572" s="2" t="str">
        <f t="shared" si="4"/>
        <v/>
      </c>
      <c r="J572" s="9" t="str">
        <f t="shared" si="2"/>
        <v/>
      </c>
      <c r="K572" s="1" t="str">
        <f>IF(A572&gt;0,COUNTIF('Барабан'!K:K,A572),"")</f>
        <v/>
      </c>
      <c r="L572" s="1" t="str">
        <f>IF(A572&gt;0,COUNTIF('Барабан'!V:V,A572),"")</f>
        <v/>
      </c>
      <c r="M572" s="1" t="str">
        <f t="shared" si="3"/>
        <v/>
      </c>
      <c r="N572" s="1" t="str">
        <f>IFERROR(__xludf.DUMMYFUNCTION("IF(A572&gt;0,MIN(FILTER('Барабан'!AJ:AJ,'Барабан'!K:K=A572)),"""")"),"")</f>
        <v/>
      </c>
      <c r="O572" s="16" t="str">
        <f>IFERROR(__xludf.DUMMYFUNCTION("IF(A572&gt;0,IFERROR(MAX(FILTER('Барабан'!AJ:AJ,'Барабан'!V:V=A572)),""–""),"""")"),"")</f>
        <v/>
      </c>
    </row>
    <row r="573" ht="15.75" customHeight="1">
      <c r="A573" s="1" t="str">
        <f>'Справочник'!E568</f>
        <v/>
      </c>
      <c r="B573" s="2" t="str">
        <f>IF(A573&gt;0,SUMIF('Барабан'!K:K,A573,'Барабан'!I:I),"")</f>
        <v/>
      </c>
      <c r="C573" s="2" t="str">
        <f>IF(A573&gt;0,SUMIF('Барабан'!V:V,A573,'Барабан'!T:T),"")</f>
        <v/>
      </c>
      <c r="D573" s="2" t="str">
        <f>IF(A573&gt;0,SUMIF('Барабан'!K:K,A573,'Барабан'!AG:AG)+SUMIF('Барабан'!V:V,A573,'Барабан'!AG:AG),"")</f>
        <v/>
      </c>
      <c r="E573" s="2" t="str">
        <f t="shared" si="1"/>
        <v/>
      </c>
      <c r="F573" s="2" t="str">
        <f t="array" ref="F573">IFERROR(IF(E573=0,0,INDEX('Справочник'!G:G,MATCH(A573,'Справочник'!F:F,0))))</f>
        <v/>
      </c>
      <c r="G573" s="2" t="str">
        <f>IF(A573&gt;0,SUMIF('Барабан'!K:K,A573,'Барабан'!P:P),"")</f>
        <v/>
      </c>
      <c r="H573" s="2" t="str">
        <f>IF(A573&gt;0,SUMIF('Барабан'!V:V,A573,'Барабан'!AA:AA),"")</f>
        <v/>
      </c>
      <c r="I573" s="2" t="str">
        <f t="shared" si="4"/>
        <v/>
      </c>
      <c r="J573" s="9" t="str">
        <f t="shared" si="2"/>
        <v/>
      </c>
      <c r="K573" s="1" t="str">
        <f>IF(A573&gt;0,COUNTIF('Барабан'!K:K,A573),"")</f>
        <v/>
      </c>
      <c r="L573" s="1" t="str">
        <f>IF(A573&gt;0,COUNTIF('Барабан'!V:V,A573),"")</f>
        <v/>
      </c>
      <c r="M573" s="1" t="str">
        <f t="shared" si="3"/>
        <v/>
      </c>
      <c r="N573" s="1" t="str">
        <f>IFERROR(__xludf.DUMMYFUNCTION("IF(A573&gt;0,MIN(FILTER('Барабан'!AJ:AJ,'Барабан'!K:K=A573)),"""")"),"")</f>
        <v/>
      </c>
      <c r="O573" s="16" t="str">
        <f>IFERROR(__xludf.DUMMYFUNCTION("IF(A573&gt;0,IFERROR(MAX(FILTER('Барабан'!AJ:AJ,'Барабан'!V:V=A573)),""–""),"""")"),"")</f>
        <v/>
      </c>
    </row>
    <row r="574" ht="15.75" customHeight="1">
      <c r="A574" s="1" t="str">
        <f>'Справочник'!E569</f>
        <v/>
      </c>
      <c r="B574" s="2" t="str">
        <f>IF(A574&gt;0,SUMIF('Барабан'!K:K,A574,'Барабан'!I:I),"")</f>
        <v/>
      </c>
      <c r="C574" s="2" t="str">
        <f>IF(A574&gt;0,SUMIF('Барабан'!V:V,A574,'Барабан'!T:T),"")</f>
        <v/>
      </c>
      <c r="D574" s="2" t="str">
        <f>IF(A574&gt;0,SUMIF('Барабан'!K:K,A574,'Барабан'!AG:AG)+SUMIF('Барабан'!V:V,A574,'Барабан'!AG:AG),"")</f>
        <v/>
      </c>
      <c r="E574" s="2" t="str">
        <f t="shared" si="1"/>
        <v/>
      </c>
      <c r="F574" s="2" t="str">
        <f t="array" ref="F574">IFERROR(IF(E574=0,0,INDEX('Справочник'!G:G,MATCH(A574,'Справочник'!F:F,0))))</f>
        <v/>
      </c>
      <c r="G574" s="2" t="str">
        <f>IF(A574&gt;0,SUMIF('Барабан'!K:K,A574,'Барабан'!P:P),"")</f>
        <v/>
      </c>
      <c r="H574" s="2" t="str">
        <f>IF(A574&gt;0,SUMIF('Барабан'!V:V,A574,'Барабан'!AA:AA),"")</f>
        <v/>
      </c>
      <c r="I574" s="2" t="str">
        <f t="shared" si="4"/>
        <v/>
      </c>
      <c r="J574" s="9" t="str">
        <f t="shared" si="2"/>
        <v/>
      </c>
      <c r="K574" s="1" t="str">
        <f>IF(A574&gt;0,COUNTIF('Барабан'!K:K,A574),"")</f>
        <v/>
      </c>
      <c r="L574" s="1" t="str">
        <f>IF(A574&gt;0,COUNTIF('Барабан'!V:V,A574),"")</f>
        <v/>
      </c>
      <c r="M574" s="1" t="str">
        <f t="shared" si="3"/>
        <v/>
      </c>
      <c r="N574" s="1" t="str">
        <f>IFERROR(__xludf.DUMMYFUNCTION("IF(A574&gt;0,MIN(FILTER('Барабан'!AJ:AJ,'Барабан'!K:K=A574)),"""")"),"")</f>
        <v/>
      </c>
      <c r="O574" s="16" t="str">
        <f>IFERROR(__xludf.DUMMYFUNCTION("IF(A574&gt;0,IFERROR(MAX(FILTER('Барабан'!AJ:AJ,'Барабан'!V:V=A574)),""–""),"""")"),"")</f>
        <v/>
      </c>
    </row>
    <row r="575" ht="15.75" customHeight="1">
      <c r="A575" s="1" t="str">
        <f>'Справочник'!E570</f>
        <v/>
      </c>
      <c r="B575" s="2" t="str">
        <f>IF(A575&gt;0,SUMIF('Барабан'!K:K,A575,'Барабан'!I:I),"")</f>
        <v/>
      </c>
      <c r="C575" s="2" t="str">
        <f>IF(A575&gt;0,SUMIF('Барабан'!V:V,A575,'Барабан'!T:T),"")</f>
        <v/>
      </c>
      <c r="D575" s="2" t="str">
        <f>IF(A575&gt;0,SUMIF('Барабан'!K:K,A575,'Барабан'!AG:AG)+SUMIF('Барабан'!V:V,A575,'Барабан'!AG:AG),"")</f>
        <v/>
      </c>
      <c r="E575" s="2" t="str">
        <f t="shared" si="1"/>
        <v/>
      </c>
      <c r="F575" s="2" t="str">
        <f t="array" ref="F575">IFERROR(IF(E575=0,0,INDEX('Справочник'!G:G,MATCH(A575,'Справочник'!F:F,0))))</f>
        <v/>
      </c>
      <c r="G575" s="2" t="str">
        <f>IF(A575&gt;0,SUMIF('Барабан'!K:K,A575,'Барабан'!P:P),"")</f>
        <v/>
      </c>
      <c r="H575" s="2" t="str">
        <f>IF(A575&gt;0,SUMIF('Барабан'!V:V,A575,'Барабан'!AA:AA),"")</f>
        <v/>
      </c>
      <c r="I575" s="2" t="str">
        <f t="shared" si="4"/>
        <v/>
      </c>
      <c r="J575" s="9" t="str">
        <f t="shared" si="2"/>
        <v/>
      </c>
      <c r="K575" s="1" t="str">
        <f>IF(A575&gt;0,COUNTIF('Барабан'!K:K,A575),"")</f>
        <v/>
      </c>
      <c r="L575" s="1" t="str">
        <f>IF(A575&gt;0,COUNTIF('Барабан'!V:V,A575),"")</f>
        <v/>
      </c>
      <c r="M575" s="1" t="str">
        <f t="shared" si="3"/>
        <v/>
      </c>
      <c r="N575" s="1" t="str">
        <f>IFERROR(__xludf.DUMMYFUNCTION("IF(A575&gt;0,MIN(FILTER('Барабан'!AJ:AJ,'Барабан'!K:K=A575)),"""")"),"")</f>
        <v/>
      </c>
      <c r="O575" s="16" t="str">
        <f>IFERROR(__xludf.DUMMYFUNCTION("IF(A575&gt;0,IFERROR(MAX(FILTER('Барабан'!AJ:AJ,'Барабан'!V:V=A575)),""–""),"""")"),"")</f>
        <v/>
      </c>
    </row>
    <row r="576" ht="15.75" customHeight="1">
      <c r="A576" s="1" t="str">
        <f>'Справочник'!E571</f>
        <v/>
      </c>
      <c r="B576" s="2" t="str">
        <f>IF(A576&gt;0,SUMIF('Барабан'!K:K,A576,'Барабан'!I:I),"")</f>
        <v/>
      </c>
      <c r="C576" s="2" t="str">
        <f>IF(A576&gt;0,SUMIF('Барабан'!V:V,A576,'Барабан'!T:T),"")</f>
        <v/>
      </c>
      <c r="D576" s="2" t="str">
        <f>IF(A576&gt;0,SUMIF('Барабан'!K:K,A576,'Барабан'!AG:AG)+SUMIF('Барабан'!V:V,A576,'Барабан'!AG:AG),"")</f>
        <v/>
      </c>
      <c r="E576" s="2" t="str">
        <f t="shared" si="1"/>
        <v/>
      </c>
      <c r="F576" s="2" t="str">
        <f t="array" ref="F576">IFERROR(IF(E576=0,0,INDEX('Справочник'!G:G,MATCH(A576,'Справочник'!F:F,0))))</f>
        <v/>
      </c>
      <c r="G576" s="2" t="str">
        <f>IF(A576&gt;0,SUMIF('Барабан'!K:K,A576,'Барабан'!P:P),"")</f>
        <v/>
      </c>
      <c r="H576" s="2" t="str">
        <f>IF(A576&gt;0,SUMIF('Барабан'!V:V,A576,'Барабан'!AA:AA),"")</f>
        <v/>
      </c>
      <c r="I576" s="2" t="str">
        <f t="shared" si="4"/>
        <v/>
      </c>
      <c r="J576" s="9" t="str">
        <f t="shared" si="2"/>
        <v/>
      </c>
      <c r="K576" s="1" t="str">
        <f>IF(A576&gt;0,COUNTIF('Барабан'!K:K,A576),"")</f>
        <v/>
      </c>
      <c r="L576" s="1" t="str">
        <f>IF(A576&gt;0,COUNTIF('Барабан'!V:V,A576),"")</f>
        <v/>
      </c>
      <c r="M576" s="1" t="str">
        <f t="shared" si="3"/>
        <v/>
      </c>
      <c r="N576" s="1" t="str">
        <f>IFERROR(__xludf.DUMMYFUNCTION("IF(A576&gt;0,MIN(FILTER('Барабан'!AJ:AJ,'Барабан'!K:K=A576)),"""")"),"")</f>
        <v/>
      </c>
      <c r="O576" s="16" t="str">
        <f>IFERROR(__xludf.DUMMYFUNCTION("IF(A576&gt;0,IFERROR(MAX(FILTER('Барабан'!AJ:AJ,'Барабан'!V:V=A576)),""–""),"""")"),"")</f>
        <v/>
      </c>
    </row>
    <row r="577" ht="15.75" customHeight="1">
      <c r="A577" s="1" t="str">
        <f>'Справочник'!E572</f>
        <v/>
      </c>
      <c r="B577" s="2" t="str">
        <f>IF(A577&gt;0,SUMIF('Барабан'!K:K,A577,'Барабан'!I:I),"")</f>
        <v/>
      </c>
      <c r="C577" s="2" t="str">
        <f>IF(A577&gt;0,SUMIF('Барабан'!V:V,A577,'Барабан'!T:T),"")</f>
        <v/>
      </c>
      <c r="D577" s="2" t="str">
        <f>IF(A577&gt;0,SUMIF('Барабан'!K:K,A577,'Барабан'!AG:AG)+SUMIF('Барабан'!V:V,A577,'Барабан'!AG:AG),"")</f>
        <v/>
      </c>
      <c r="E577" s="2" t="str">
        <f t="shared" si="1"/>
        <v/>
      </c>
      <c r="F577" s="2" t="str">
        <f t="array" ref="F577">IFERROR(IF(E577=0,0,INDEX('Справочник'!G:G,MATCH(A577,'Справочник'!F:F,0))))</f>
        <v/>
      </c>
      <c r="G577" s="2" t="str">
        <f>IF(A577&gt;0,SUMIF('Барабан'!K:K,A577,'Барабан'!P:P),"")</f>
        <v/>
      </c>
      <c r="H577" s="2" t="str">
        <f>IF(A577&gt;0,SUMIF('Барабан'!V:V,A577,'Барабан'!AA:AA),"")</f>
        <v/>
      </c>
      <c r="I577" s="2" t="str">
        <f t="shared" si="4"/>
        <v/>
      </c>
      <c r="J577" s="9" t="str">
        <f t="shared" si="2"/>
        <v/>
      </c>
      <c r="K577" s="1" t="str">
        <f>IF(A577&gt;0,COUNTIF('Барабан'!K:K,A577),"")</f>
        <v/>
      </c>
      <c r="L577" s="1" t="str">
        <f>IF(A577&gt;0,COUNTIF('Барабан'!V:V,A577),"")</f>
        <v/>
      </c>
      <c r="M577" s="1" t="str">
        <f t="shared" si="3"/>
        <v/>
      </c>
      <c r="N577" s="1" t="str">
        <f>IFERROR(__xludf.DUMMYFUNCTION("IF(A577&gt;0,MIN(FILTER('Барабан'!AJ:AJ,'Барабан'!K:K=A577)),"""")"),"")</f>
        <v/>
      </c>
      <c r="O577" s="16" t="str">
        <f>IFERROR(__xludf.DUMMYFUNCTION("IF(A577&gt;0,IFERROR(MAX(FILTER('Барабан'!AJ:AJ,'Барабан'!V:V=A577)),""–""),"""")"),"")</f>
        <v/>
      </c>
    </row>
    <row r="578" ht="15.75" customHeight="1">
      <c r="A578" s="1" t="str">
        <f>'Справочник'!E573</f>
        <v/>
      </c>
      <c r="B578" s="2" t="str">
        <f>IF(A578&gt;0,SUMIF('Барабан'!K:K,A578,'Барабан'!I:I),"")</f>
        <v/>
      </c>
      <c r="C578" s="2" t="str">
        <f>IF(A578&gt;0,SUMIF('Барабан'!V:V,A578,'Барабан'!T:T),"")</f>
        <v/>
      </c>
      <c r="D578" s="2" t="str">
        <f>IF(A578&gt;0,SUMIF('Барабан'!K:K,A578,'Барабан'!AG:AG)+SUMIF('Барабан'!V:V,A578,'Барабан'!AG:AG),"")</f>
        <v/>
      </c>
      <c r="E578" s="2" t="str">
        <f t="shared" si="1"/>
        <v/>
      </c>
      <c r="F578" s="2" t="str">
        <f t="array" ref="F578">IFERROR(IF(E578=0,0,INDEX('Справочник'!G:G,MATCH(A578,'Справочник'!F:F,0))))</f>
        <v/>
      </c>
      <c r="G578" s="2" t="str">
        <f>IF(A578&gt;0,SUMIF('Барабан'!K:K,A578,'Барабан'!P:P),"")</f>
        <v/>
      </c>
      <c r="H578" s="2" t="str">
        <f>IF(A578&gt;0,SUMIF('Барабан'!V:V,A578,'Барабан'!AA:AA),"")</f>
        <v/>
      </c>
      <c r="I578" s="2" t="str">
        <f t="shared" si="4"/>
        <v/>
      </c>
      <c r="J578" s="9" t="str">
        <f t="shared" si="2"/>
        <v/>
      </c>
      <c r="K578" s="1" t="str">
        <f>IF(A578&gt;0,COUNTIF('Барабан'!K:K,A578),"")</f>
        <v/>
      </c>
      <c r="L578" s="1" t="str">
        <f>IF(A578&gt;0,COUNTIF('Барабан'!V:V,A578),"")</f>
        <v/>
      </c>
      <c r="M578" s="1" t="str">
        <f t="shared" si="3"/>
        <v/>
      </c>
      <c r="N578" s="1" t="str">
        <f>IFERROR(__xludf.DUMMYFUNCTION("IF(A578&gt;0,MIN(FILTER('Барабан'!AJ:AJ,'Барабан'!K:K=A578)),"""")"),"")</f>
        <v/>
      </c>
      <c r="O578" s="16" t="str">
        <f>IFERROR(__xludf.DUMMYFUNCTION("IF(A578&gt;0,IFERROR(MAX(FILTER('Барабан'!AJ:AJ,'Барабан'!V:V=A578)),""–""),"""")"),"")</f>
        <v/>
      </c>
    </row>
    <row r="579" ht="15.75" customHeight="1">
      <c r="A579" s="1" t="str">
        <f>'Справочник'!E574</f>
        <v/>
      </c>
      <c r="B579" s="2" t="str">
        <f>IF(A579&gt;0,SUMIF('Барабан'!K:K,A579,'Барабан'!I:I),"")</f>
        <v/>
      </c>
      <c r="C579" s="2" t="str">
        <f>IF(A579&gt;0,SUMIF('Барабан'!V:V,A579,'Барабан'!T:T),"")</f>
        <v/>
      </c>
      <c r="D579" s="2" t="str">
        <f>IF(A579&gt;0,SUMIF('Барабан'!K:K,A579,'Барабан'!AG:AG)+SUMIF('Барабан'!V:V,A579,'Барабан'!AG:AG),"")</f>
        <v/>
      </c>
      <c r="E579" s="2" t="str">
        <f t="shared" si="1"/>
        <v/>
      </c>
      <c r="F579" s="2" t="str">
        <f t="array" ref="F579">IFERROR(IF(E579=0,0,INDEX('Справочник'!G:G,MATCH(A579,'Справочник'!F:F,0))))</f>
        <v/>
      </c>
      <c r="G579" s="2" t="str">
        <f>IF(A579&gt;0,SUMIF('Барабан'!K:K,A579,'Барабан'!P:P),"")</f>
        <v/>
      </c>
      <c r="H579" s="2" t="str">
        <f>IF(A579&gt;0,SUMIF('Барабан'!V:V,A579,'Барабан'!AA:AA),"")</f>
        <v/>
      </c>
      <c r="I579" s="2" t="str">
        <f t="shared" si="4"/>
        <v/>
      </c>
      <c r="J579" s="9" t="str">
        <f t="shared" si="2"/>
        <v/>
      </c>
      <c r="K579" s="1" t="str">
        <f>IF(A579&gt;0,COUNTIF('Барабан'!K:K,A579),"")</f>
        <v/>
      </c>
      <c r="L579" s="1" t="str">
        <f>IF(A579&gt;0,COUNTIF('Барабан'!V:V,A579),"")</f>
        <v/>
      </c>
      <c r="M579" s="1" t="str">
        <f t="shared" si="3"/>
        <v/>
      </c>
      <c r="N579" s="1" t="str">
        <f>IFERROR(__xludf.DUMMYFUNCTION("IF(A579&gt;0,MIN(FILTER('Барабан'!AJ:AJ,'Барабан'!K:K=A579)),"""")"),"")</f>
        <v/>
      </c>
      <c r="O579" s="16" t="str">
        <f>IFERROR(__xludf.DUMMYFUNCTION("IF(A579&gt;0,IFERROR(MAX(FILTER('Барабан'!AJ:AJ,'Барабан'!V:V=A579)),""–""),"""")"),"")</f>
        <v/>
      </c>
    </row>
    <row r="580" ht="15.75" customHeight="1">
      <c r="A580" s="1" t="str">
        <f>'Справочник'!E575</f>
        <v/>
      </c>
      <c r="B580" s="2" t="str">
        <f>IF(A580&gt;0,SUMIF('Барабан'!K:K,A580,'Барабан'!I:I),"")</f>
        <v/>
      </c>
      <c r="C580" s="2" t="str">
        <f>IF(A580&gt;0,SUMIF('Барабан'!V:V,A580,'Барабан'!T:T),"")</f>
        <v/>
      </c>
      <c r="D580" s="2" t="str">
        <f>IF(A580&gt;0,SUMIF('Барабан'!K:K,A580,'Барабан'!AG:AG)+SUMIF('Барабан'!V:V,A580,'Барабан'!AG:AG),"")</f>
        <v/>
      </c>
      <c r="E580" s="2" t="str">
        <f t="shared" si="1"/>
        <v/>
      </c>
      <c r="F580" s="2" t="str">
        <f t="array" ref="F580">IFERROR(IF(E580=0,0,INDEX('Справочник'!G:G,MATCH(A580,'Справочник'!F:F,0))))</f>
        <v/>
      </c>
      <c r="G580" s="2" t="str">
        <f>IF(A580&gt;0,SUMIF('Барабан'!K:K,A580,'Барабан'!P:P),"")</f>
        <v/>
      </c>
      <c r="H580" s="2" t="str">
        <f>IF(A580&gt;0,SUMIF('Барабан'!V:V,A580,'Барабан'!AA:AA),"")</f>
        <v/>
      </c>
      <c r="I580" s="2" t="str">
        <f t="shared" si="4"/>
        <v/>
      </c>
      <c r="J580" s="9" t="str">
        <f t="shared" si="2"/>
        <v/>
      </c>
      <c r="K580" s="1" t="str">
        <f>IF(A580&gt;0,COUNTIF('Барабан'!K:K,A580),"")</f>
        <v/>
      </c>
      <c r="L580" s="1" t="str">
        <f>IF(A580&gt;0,COUNTIF('Барабан'!V:V,A580),"")</f>
        <v/>
      </c>
      <c r="M580" s="1" t="str">
        <f t="shared" si="3"/>
        <v/>
      </c>
      <c r="N580" s="1" t="str">
        <f>IFERROR(__xludf.DUMMYFUNCTION("IF(A580&gt;0,MIN(FILTER('Барабан'!AJ:AJ,'Барабан'!K:K=A580)),"""")"),"")</f>
        <v/>
      </c>
      <c r="O580" s="16" t="str">
        <f>IFERROR(__xludf.DUMMYFUNCTION("IF(A580&gt;0,IFERROR(MAX(FILTER('Барабан'!AJ:AJ,'Барабан'!V:V=A580)),""–""),"""")"),"")</f>
        <v/>
      </c>
    </row>
    <row r="581" ht="15.75" customHeight="1">
      <c r="A581" s="1" t="str">
        <f>'Справочник'!E576</f>
        <v/>
      </c>
      <c r="B581" s="2" t="str">
        <f>IF(A581&gt;0,SUMIF('Барабан'!K:K,A581,'Барабан'!I:I),"")</f>
        <v/>
      </c>
      <c r="C581" s="2" t="str">
        <f>IF(A581&gt;0,SUMIF('Барабан'!V:V,A581,'Барабан'!T:T),"")</f>
        <v/>
      </c>
      <c r="D581" s="2" t="str">
        <f>IF(A581&gt;0,SUMIF('Барабан'!K:K,A581,'Барабан'!AG:AG)+SUMIF('Барабан'!V:V,A581,'Барабан'!AG:AG),"")</f>
        <v/>
      </c>
      <c r="E581" s="2" t="str">
        <f t="shared" si="1"/>
        <v/>
      </c>
      <c r="F581" s="2" t="str">
        <f t="array" ref="F581">IFERROR(IF(E581=0,0,INDEX('Справочник'!G:G,MATCH(A581,'Справочник'!F:F,0))))</f>
        <v/>
      </c>
      <c r="G581" s="2" t="str">
        <f>IF(A581&gt;0,SUMIF('Барабан'!K:K,A581,'Барабан'!P:P),"")</f>
        <v/>
      </c>
      <c r="H581" s="2" t="str">
        <f>IF(A581&gt;0,SUMIF('Барабан'!V:V,A581,'Барабан'!AA:AA),"")</f>
        <v/>
      </c>
      <c r="I581" s="2" t="str">
        <f t="shared" si="4"/>
        <v/>
      </c>
      <c r="J581" s="9" t="str">
        <f t="shared" si="2"/>
        <v/>
      </c>
      <c r="K581" s="1" t="str">
        <f>IF(A581&gt;0,COUNTIF('Барабан'!K:K,A581),"")</f>
        <v/>
      </c>
      <c r="L581" s="1" t="str">
        <f>IF(A581&gt;0,COUNTIF('Барабан'!V:V,A581),"")</f>
        <v/>
      </c>
      <c r="M581" s="1" t="str">
        <f t="shared" si="3"/>
        <v/>
      </c>
      <c r="N581" s="1" t="str">
        <f>IFERROR(__xludf.DUMMYFUNCTION("IF(A581&gt;0,MIN(FILTER('Барабан'!AJ:AJ,'Барабан'!K:K=A581)),"""")"),"")</f>
        <v/>
      </c>
      <c r="O581" s="16" t="str">
        <f>IFERROR(__xludf.DUMMYFUNCTION("IF(A581&gt;0,IFERROR(MAX(FILTER('Барабан'!AJ:AJ,'Барабан'!V:V=A581)),""–""),"""")"),"")</f>
        <v/>
      </c>
    </row>
    <row r="582" ht="15.75" customHeight="1">
      <c r="A582" s="1" t="str">
        <f>'Справочник'!E577</f>
        <v/>
      </c>
      <c r="B582" s="2" t="str">
        <f>IF(A582&gt;0,SUMIF('Барабан'!K:K,A582,'Барабан'!I:I),"")</f>
        <v/>
      </c>
      <c r="C582" s="2" t="str">
        <f>IF(A582&gt;0,SUMIF('Барабан'!V:V,A582,'Барабан'!T:T),"")</f>
        <v/>
      </c>
      <c r="D582" s="2" t="str">
        <f>IF(A582&gt;0,SUMIF('Барабан'!K:K,A582,'Барабан'!AG:AG)+SUMIF('Барабан'!V:V,A582,'Барабан'!AG:AG),"")</f>
        <v/>
      </c>
      <c r="E582" s="2" t="str">
        <f t="shared" si="1"/>
        <v/>
      </c>
      <c r="F582" s="2" t="str">
        <f t="array" ref="F582">IFERROR(IF(E582=0,0,INDEX('Справочник'!G:G,MATCH(A582,'Справочник'!F:F,0))))</f>
        <v/>
      </c>
      <c r="G582" s="2" t="str">
        <f>IF(A582&gt;0,SUMIF('Барабан'!K:K,A582,'Барабан'!P:P),"")</f>
        <v/>
      </c>
      <c r="H582" s="2" t="str">
        <f>IF(A582&gt;0,SUMIF('Барабан'!V:V,A582,'Барабан'!AA:AA),"")</f>
        <v/>
      </c>
      <c r="I582" s="2" t="str">
        <f t="shared" si="4"/>
        <v/>
      </c>
      <c r="J582" s="9" t="str">
        <f t="shared" si="2"/>
        <v/>
      </c>
      <c r="K582" s="1" t="str">
        <f>IF(A582&gt;0,COUNTIF('Барабан'!K:K,A582),"")</f>
        <v/>
      </c>
      <c r="L582" s="1" t="str">
        <f>IF(A582&gt;0,COUNTIF('Барабан'!V:V,A582),"")</f>
        <v/>
      </c>
      <c r="M582" s="1" t="str">
        <f t="shared" si="3"/>
        <v/>
      </c>
      <c r="N582" s="1" t="str">
        <f>IFERROR(__xludf.DUMMYFUNCTION("IF(A582&gt;0,MIN(FILTER('Барабан'!AJ:AJ,'Барабан'!K:K=A582)),"""")"),"")</f>
        <v/>
      </c>
      <c r="O582" s="16" t="str">
        <f>IFERROR(__xludf.DUMMYFUNCTION("IF(A582&gt;0,IFERROR(MAX(FILTER('Барабан'!AJ:AJ,'Барабан'!V:V=A582)),""–""),"""")"),"")</f>
        <v/>
      </c>
    </row>
    <row r="583" ht="15.75" customHeight="1">
      <c r="A583" s="1" t="str">
        <f>'Справочник'!E578</f>
        <v/>
      </c>
      <c r="B583" s="2" t="str">
        <f>IF(A583&gt;0,SUMIF('Барабан'!K:K,A583,'Барабан'!I:I),"")</f>
        <v/>
      </c>
      <c r="C583" s="2" t="str">
        <f>IF(A583&gt;0,SUMIF('Барабан'!V:V,A583,'Барабан'!T:T),"")</f>
        <v/>
      </c>
      <c r="D583" s="2" t="str">
        <f>IF(A583&gt;0,SUMIF('Барабан'!K:K,A583,'Барабан'!AG:AG)+SUMIF('Барабан'!V:V,A583,'Барабан'!AG:AG),"")</f>
        <v/>
      </c>
      <c r="E583" s="2" t="str">
        <f t="shared" si="1"/>
        <v/>
      </c>
      <c r="F583" s="2" t="str">
        <f t="array" ref="F583">IFERROR(IF(E583=0,0,INDEX('Справочник'!G:G,MATCH(A583,'Справочник'!F:F,0))))</f>
        <v/>
      </c>
      <c r="G583" s="2" t="str">
        <f>IF(A583&gt;0,SUMIF('Барабан'!K:K,A583,'Барабан'!P:P),"")</f>
        <v/>
      </c>
      <c r="H583" s="2" t="str">
        <f>IF(A583&gt;0,SUMIF('Барабан'!V:V,A583,'Барабан'!AA:AA),"")</f>
        <v/>
      </c>
      <c r="I583" s="2" t="str">
        <f t="shared" si="4"/>
        <v/>
      </c>
      <c r="J583" s="9" t="str">
        <f t="shared" si="2"/>
        <v/>
      </c>
      <c r="K583" s="1" t="str">
        <f>IF(A583&gt;0,COUNTIF('Барабан'!K:K,A583),"")</f>
        <v/>
      </c>
      <c r="L583" s="1" t="str">
        <f>IF(A583&gt;0,COUNTIF('Барабан'!V:V,A583),"")</f>
        <v/>
      </c>
      <c r="M583" s="1" t="str">
        <f t="shared" si="3"/>
        <v/>
      </c>
      <c r="N583" s="1" t="str">
        <f>IFERROR(__xludf.DUMMYFUNCTION("IF(A583&gt;0,MIN(FILTER('Барабан'!AJ:AJ,'Барабан'!K:K=A583)),"""")"),"")</f>
        <v/>
      </c>
      <c r="O583" s="16" t="str">
        <f>IFERROR(__xludf.DUMMYFUNCTION("IF(A583&gt;0,IFERROR(MAX(FILTER('Барабан'!AJ:AJ,'Барабан'!V:V=A583)),""–""),"""")"),"")</f>
        <v/>
      </c>
    </row>
    <row r="584" ht="15.75" customHeight="1">
      <c r="A584" s="1" t="str">
        <f>'Справочник'!E579</f>
        <v/>
      </c>
      <c r="B584" s="2" t="str">
        <f>IF(A584&gt;0,SUMIF('Барабан'!K:K,A584,'Барабан'!I:I),"")</f>
        <v/>
      </c>
      <c r="C584" s="2" t="str">
        <f>IF(A584&gt;0,SUMIF('Барабан'!V:V,A584,'Барабан'!T:T),"")</f>
        <v/>
      </c>
      <c r="D584" s="2" t="str">
        <f>IF(A584&gt;0,SUMIF('Барабан'!K:K,A584,'Барабан'!AG:AG)+SUMIF('Барабан'!V:V,A584,'Барабан'!AG:AG),"")</f>
        <v/>
      </c>
      <c r="E584" s="2" t="str">
        <f t="shared" si="1"/>
        <v/>
      </c>
      <c r="F584" s="2" t="str">
        <f t="array" ref="F584">IFERROR(IF(E584=0,0,INDEX('Справочник'!G:G,MATCH(A584,'Справочник'!F:F,0))))</f>
        <v/>
      </c>
      <c r="G584" s="2" t="str">
        <f>IF(A584&gt;0,SUMIF('Барабан'!K:K,A584,'Барабан'!P:P),"")</f>
        <v/>
      </c>
      <c r="H584" s="2" t="str">
        <f>IF(A584&gt;0,SUMIF('Барабан'!V:V,A584,'Барабан'!AA:AA),"")</f>
        <v/>
      </c>
      <c r="I584" s="2" t="str">
        <f t="shared" si="4"/>
        <v/>
      </c>
      <c r="J584" s="9" t="str">
        <f t="shared" si="2"/>
        <v/>
      </c>
      <c r="K584" s="1" t="str">
        <f>IF(A584&gt;0,COUNTIF('Барабан'!K:K,A584),"")</f>
        <v/>
      </c>
      <c r="L584" s="1" t="str">
        <f>IF(A584&gt;0,COUNTIF('Барабан'!V:V,A584),"")</f>
        <v/>
      </c>
      <c r="M584" s="1" t="str">
        <f t="shared" si="3"/>
        <v/>
      </c>
      <c r="N584" s="1" t="str">
        <f>IFERROR(__xludf.DUMMYFUNCTION("IF(A584&gt;0,MIN(FILTER('Барабан'!AJ:AJ,'Барабан'!K:K=A584)),"""")"),"")</f>
        <v/>
      </c>
      <c r="O584" s="16" t="str">
        <f>IFERROR(__xludf.DUMMYFUNCTION("IF(A584&gt;0,IFERROR(MAX(FILTER('Барабан'!AJ:AJ,'Барабан'!V:V=A584)),""–""),"""")"),"")</f>
        <v/>
      </c>
    </row>
    <row r="585" ht="15.75" customHeight="1">
      <c r="A585" s="1" t="str">
        <f>'Справочник'!E580</f>
        <v/>
      </c>
      <c r="B585" s="2" t="str">
        <f>IF(A585&gt;0,SUMIF('Барабан'!K:K,A585,'Барабан'!I:I),"")</f>
        <v/>
      </c>
      <c r="C585" s="2" t="str">
        <f>IF(A585&gt;0,SUMIF('Барабан'!V:V,A585,'Барабан'!T:T),"")</f>
        <v/>
      </c>
      <c r="D585" s="2" t="str">
        <f>IF(A585&gt;0,SUMIF('Барабан'!K:K,A585,'Барабан'!AG:AG)+SUMIF('Барабан'!V:V,A585,'Барабан'!AG:AG),"")</f>
        <v/>
      </c>
      <c r="E585" s="2" t="str">
        <f t="shared" si="1"/>
        <v/>
      </c>
      <c r="F585" s="2" t="str">
        <f t="array" ref="F585">IFERROR(IF(E585=0,0,INDEX('Справочник'!G:G,MATCH(A585,'Справочник'!F:F,0))))</f>
        <v/>
      </c>
      <c r="G585" s="2" t="str">
        <f>IF(A585&gt;0,SUMIF('Барабан'!K:K,A585,'Барабан'!P:P),"")</f>
        <v/>
      </c>
      <c r="H585" s="2" t="str">
        <f>IF(A585&gt;0,SUMIF('Барабан'!V:V,A585,'Барабан'!AA:AA),"")</f>
        <v/>
      </c>
      <c r="I585" s="2" t="str">
        <f t="shared" si="4"/>
        <v/>
      </c>
      <c r="J585" s="9" t="str">
        <f t="shared" si="2"/>
        <v/>
      </c>
      <c r="K585" s="1" t="str">
        <f>IF(A585&gt;0,COUNTIF('Барабан'!K:K,A585),"")</f>
        <v/>
      </c>
      <c r="L585" s="1" t="str">
        <f>IF(A585&gt;0,COUNTIF('Барабан'!V:V,A585),"")</f>
        <v/>
      </c>
      <c r="M585" s="1" t="str">
        <f t="shared" si="3"/>
        <v/>
      </c>
      <c r="N585" s="1" t="str">
        <f>IFERROR(__xludf.DUMMYFUNCTION("IF(A585&gt;0,MIN(FILTER('Барабан'!AJ:AJ,'Барабан'!K:K=A585)),"""")"),"")</f>
        <v/>
      </c>
      <c r="O585" s="16" t="str">
        <f>IFERROR(__xludf.DUMMYFUNCTION("IF(A585&gt;0,IFERROR(MAX(FILTER('Барабан'!AJ:AJ,'Барабан'!V:V=A585)),""–""),"""")"),"")</f>
        <v/>
      </c>
    </row>
    <row r="586" ht="15.75" customHeight="1">
      <c r="A586" s="1" t="str">
        <f>'Справочник'!E581</f>
        <v/>
      </c>
      <c r="B586" s="2" t="str">
        <f>IF(A586&gt;0,SUMIF('Барабан'!K:K,A586,'Барабан'!I:I),"")</f>
        <v/>
      </c>
      <c r="C586" s="2" t="str">
        <f>IF(A586&gt;0,SUMIF('Барабан'!V:V,A586,'Барабан'!T:T),"")</f>
        <v/>
      </c>
      <c r="D586" s="2" t="str">
        <f>IF(A586&gt;0,SUMIF('Барабан'!K:K,A586,'Барабан'!AG:AG)+SUMIF('Барабан'!V:V,A586,'Барабан'!AG:AG),"")</f>
        <v/>
      </c>
      <c r="E586" s="2" t="str">
        <f t="shared" si="1"/>
        <v/>
      </c>
      <c r="F586" s="2" t="str">
        <f t="array" ref="F586">IFERROR(IF(E586=0,0,INDEX('Справочник'!G:G,MATCH(A586,'Справочник'!F:F,0))))</f>
        <v/>
      </c>
      <c r="G586" s="2" t="str">
        <f>IF(A586&gt;0,SUMIF('Барабан'!K:K,A586,'Барабан'!P:P),"")</f>
        <v/>
      </c>
      <c r="H586" s="2" t="str">
        <f>IF(A586&gt;0,SUMIF('Барабан'!V:V,A586,'Барабан'!AA:AA),"")</f>
        <v/>
      </c>
      <c r="I586" s="2" t="str">
        <f t="shared" si="4"/>
        <v/>
      </c>
      <c r="J586" s="9" t="str">
        <f t="shared" si="2"/>
        <v/>
      </c>
      <c r="K586" s="1" t="str">
        <f>IF(A586&gt;0,COUNTIF('Барабан'!K:K,A586),"")</f>
        <v/>
      </c>
      <c r="L586" s="1" t="str">
        <f>IF(A586&gt;0,COUNTIF('Барабан'!V:V,A586),"")</f>
        <v/>
      </c>
      <c r="M586" s="1" t="str">
        <f t="shared" si="3"/>
        <v/>
      </c>
      <c r="N586" s="1" t="str">
        <f>IFERROR(__xludf.DUMMYFUNCTION("IF(A586&gt;0,MIN(FILTER('Барабан'!AJ:AJ,'Барабан'!K:K=A586)),"""")"),"")</f>
        <v/>
      </c>
      <c r="O586" s="16" t="str">
        <f>IFERROR(__xludf.DUMMYFUNCTION("IF(A586&gt;0,IFERROR(MAX(FILTER('Барабан'!AJ:AJ,'Барабан'!V:V=A586)),""–""),"""")"),"")</f>
        <v/>
      </c>
    </row>
    <row r="587" ht="15.75" customHeight="1">
      <c r="A587" s="1" t="str">
        <f>'Справочник'!E582</f>
        <v/>
      </c>
      <c r="B587" s="2" t="str">
        <f>IF(A587&gt;0,SUMIF('Барабан'!K:K,A587,'Барабан'!I:I),"")</f>
        <v/>
      </c>
      <c r="C587" s="2" t="str">
        <f>IF(A587&gt;0,SUMIF('Барабан'!V:V,A587,'Барабан'!T:T),"")</f>
        <v/>
      </c>
      <c r="D587" s="2" t="str">
        <f>IF(A587&gt;0,SUMIF('Барабан'!K:K,A587,'Барабан'!AG:AG)+SUMIF('Барабан'!V:V,A587,'Барабан'!AG:AG),"")</f>
        <v/>
      </c>
      <c r="E587" s="2" t="str">
        <f t="shared" si="1"/>
        <v/>
      </c>
      <c r="F587" s="2" t="str">
        <f t="array" ref="F587">IFERROR(IF(E587=0,0,INDEX('Справочник'!G:G,MATCH(A587,'Справочник'!F:F,0))))</f>
        <v/>
      </c>
      <c r="G587" s="2" t="str">
        <f>IF(A587&gt;0,SUMIF('Барабан'!K:K,A587,'Барабан'!P:P),"")</f>
        <v/>
      </c>
      <c r="H587" s="2" t="str">
        <f>IF(A587&gt;0,SUMIF('Барабан'!V:V,A587,'Барабан'!AA:AA),"")</f>
        <v/>
      </c>
      <c r="I587" s="2" t="str">
        <f t="shared" si="4"/>
        <v/>
      </c>
      <c r="J587" s="9" t="str">
        <f t="shared" si="2"/>
        <v/>
      </c>
      <c r="K587" s="1" t="str">
        <f>IF(A587&gt;0,COUNTIF('Барабан'!K:K,A587),"")</f>
        <v/>
      </c>
      <c r="L587" s="1" t="str">
        <f>IF(A587&gt;0,COUNTIF('Барабан'!V:V,A587),"")</f>
        <v/>
      </c>
      <c r="M587" s="1" t="str">
        <f t="shared" si="3"/>
        <v/>
      </c>
      <c r="N587" s="1" t="str">
        <f>IFERROR(__xludf.DUMMYFUNCTION("IF(A587&gt;0,MIN(FILTER('Барабан'!AJ:AJ,'Барабан'!K:K=A587)),"""")"),"")</f>
        <v/>
      </c>
      <c r="O587" s="16" t="str">
        <f>IFERROR(__xludf.DUMMYFUNCTION("IF(A587&gt;0,IFERROR(MAX(FILTER('Барабан'!AJ:AJ,'Барабан'!V:V=A587)),""–""),"""")"),"")</f>
        <v/>
      </c>
    </row>
    <row r="588" ht="15.75" customHeight="1">
      <c r="A588" s="1" t="str">
        <f>'Справочник'!E583</f>
        <v/>
      </c>
      <c r="B588" s="2" t="str">
        <f>IF(A588&gt;0,SUMIF('Барабан'!K:K,A588,'Барабан'!I:I),"")</f>
        <v/>
      </c>
      <c r="C588" s="2" t="str">
        <f>IF(A588&gt;0,SUMIF('Барабан'!V:V,A588,'Барабан'!T:T),"")</f>
        <v/>
      </c>
      <c r="D588" s="2" t="str">
        <f>IF(A588&gt;0,SUMIF('Барабан'!K:K,A588,'Барабан'!AG:AG)+SUMIF('Барабан'!V:V,A588,'Барабан'!AG:AG),"")</f>
        <v/>
      </c>
      <c r="E588" s="2" t="str">
        <f t="shared" si="1"/>
        <v/>
      </c>
      <c r="F588" s="2" t="str">
        <f t="array" ref="F588">IFERROR(IF(E588=0,0,INDEX('Справочник'!G:G,MATCH(A588,'Справочник'!F:F,0))))</f>
        <v/>
      </c>
      <c r="G588" s="2" t="str">
        <f>IF(A588&gt;0,SUMIF('Барабан'!K:K,A588,'Барабан'!P:P),"")</f>
        <v/>
      </c>
      <c r="H588" s="2" t="str">
        <f>IF(A588&gt;0,SUMIF('Барабан'!V:V,A588,'Барабан'!AA:AA),"")</f>
        <v/>
      </c>
      <c r="I588" s="2" t="str">
        <f t="shared" si="4"/>
        <v/>
      </c>
      <c r="J588" s="9" t="str">
        <f t="shared" si="2"/>
        <v/>
      </c>
      <c r="K588" s="1" t="str">
        <f>IF(A588&gt;0,COUNTIF('Барабан'!K:K,A588),"")</f>
        <v/>
      </c>
      <c r="L588" s="1" t="str">
        <f>IF(A588&gt;0,COUNTIF('Барабан'!V:V,A588),"")</f>
        <v/>
      </c>
      <c r="M588" s="1" t="str">
        <f t="shared" si="3"/>
        <v/>
      </c>
      <c r="N588" s="1" t="str">
        <f>IFERROR(__xludf.DUMMYFUNCTION("IF(A588&gt;0,MIN(FILTER('Барабан'!AJ:AJ,'Барабан'!K:K=A588)),"""")"),"")</f>
        <v/>
      </c>
      <c r="O588" s="16" t="str">
        <f>IFERROR(__xludf.DUMMYFUNCTION("IF(A588&gt;0,IFERROR(MAX(FILTER('Барабан'!AJ:AJ,'Барабан'!V:V=A588)),""–""),"""")"),"")</f>
        <v/>
      </c>
    </row>
    <row r="589" ht="15.75" customHeight="1">
      <c r="A589" s="1" t="str">
        <f>'Справочник'!E584</f>
        <v/>
      </c>
      <c r="B589" s="2" t="str">
        <f>IF(A589&gt;0,SUMIF('Барабан'!K:K,A589,'Барабан'!I:I),"")</f>
        <v/>
      </c>
      <c r="C589" s="2" t="str">
        <f>IF(A589&gt;0,SUMIF('Барабан'!V:V,A589,'Барабан'!T:T),"")</f>
        <v/>
      </c>
      <c r="D589" s="2" t="str">
        <f>IF(A589&gt;0,SUMIF('Барабан'!K:K,A589,'Барабан'!AG:AG)+SUMIF('Барабан'!V:V,A589,'Барабан'!AG:AG),"")</f>
        <v/>
      </c>
      <c r="E589" s="2" t="str">
        <f t="shared" si="1"/>
        <v/>
      </c>
      <c r="F589" s="2" t="str">
        <f t="array" ref="F589">IFERROR(IF(E589=0,0,INDEX('Справочник'!G:G,MATCH(A589,'Справочник'!F:F,0))))</f>
        <v/>
      </c>
      <c r="G589" s="2" t="str">
        <f>IF(A589&gt;0,SUMIF('Барабан'!K:K,A589,'Барабан'!P:P),"")</f>
        <v/>
      </c>
      <c r="H589" s="2" t="str">
        <f>IF(A589&gt;0,SUMIF('Барабан'!V:V,A589,'Барабан'!AA:AA),"")</f>
        <v/>
      </c>
      <c r="I589" s="2" t="str">
        <f t="shared" si="4"/>
        <v/>
      </c>
      <c r="J589" s="9" t="str">
        <f t="shared" si="2"/>
        <v/>
      </c>
      <c r="K589" s="1" t="str">
        <f>IF(A589&gt;0,COUNTIF('Барабан'!K:K,A589),"")</f>
        <v/>
      </c>
      <c r="L589" s="1" t="str">
        <f>IF(A589&gt;0,COUNTIF('Барабан'!V:V,A589),"")</f>
        <v/>
      </c>
      <c r="M589" s="1" t="str">
        <f t="shared" si="3"/>
        <v/>
      </c>
      <c r="N589" s="1" t="str">
        <f>IFERROR(__xludf.DUMMYFUNCTION("IF(A589&gt;0,MIN(FILTER('Барабан'!AJ:AJ,'Барабан'!K:K=A589)),"""")"),"")</f>
        <v/>
      </c>
      <c r="O589" s="16" t="str">
        <f>IFERROR(__xludf.DUMMYFUNCTION("IF(A589&gt;0,IFERROR(MAX(FILTER('Барабан'!AJ:AJ,'Барабан'!V:V=A589)),""–""),"""")"),"")</f>
        <v/>
      </c>
    </row>
    <row r="590" ht="15.75" customHeight="1">
      <c r="A590" s="1" t="str">
        <f>'Справочник'!E585</f>
        <v/>
      </c>
      <c r="B590" s="2" t="str">
        <f>IF(A590&gt;0,SUMIF('Барабан'!K:K,A590,'Барабан'!I:I),"")</f>
        <v/>
      </c>
      <c r="C590" s="2" t="str">
        <f>IF(A590&gt;0,SUMIF('Барабан'!V:V,A590,'Барабан'!T:T),"")</f>
        <v/>
      </c>
      <c r="D590" s="2" t="str">
        <f>IF(A590&gt;0,SUMIF('Барабан'!K:K,A590,'Барабан'!AG:AG)+SUMIF('Барабан'!V:V,A590,'Барабан'!AG:AG),"")</f>
        <v/>
      </c>
      <c r="E590" s="2" t="str">
        <f t="shared" si="1"/>
        <v/>
      </c>
      <c r="F590" s="2" t="str">
        <f t="array" ref="F590">IFERROR(IF(E590=0,0,INDEX('Справочник'!G:G,MATCH(A590,'Справочник'!F:F,0))))</f>
        <v/>
      </c>
      <c r="G590" s="2" t="str">
        <f>IF(A590&gt;0,SUMIF('Барабан'!K:K,A590,'Барабан'!P:P),"")</f>
        <v/>
      </c>
      <c r="H590" s="2" t="str">
        <f>IF(A590&gt;0,SUMIF('Барабан'!V:V,A590,'Барабан'!AA:AA),"")</f>
        <v/>
      </c>
      <c r="I590" s="2" t="str">
        <f t="shared" si="4"/>
        <v/>
      </c>
      <c r="J590" s="9" t="str">
        <f t="shared" si="2"/>
        <v/>
      </c>
      <c r="K590" s="1" t="str">
        <f>IF(A590&gt;0,COUNTIF('Барабан'!K:K,A590),"")</f>
        <v/>
      </c>
      <c r="L590" s="1" t="str">
        <f>IF(A590&gt;0,COUNTIF('Барабан'!V:V,A590),"")</f>
        <v/>
      </c>
      <c r="M590" s="1" t="str">
        <f t="shared" si="3"/>
        <v/>
      </c>
      <c r="N590" s="1" t="str">
        <f>IFERROR(__xludf.DUMMYFUNCTION("IF(A590&gt;0,MIN(FILTER('Барабан'!AJ:AJ,'Барабан'!K:K=A590)),"""")"),"")</f>
        <v/>
      </c>
      <c r="O590" s="16" t="str">
        <f>IFERROR(__xludf.DUMMYFUNCTION("IF(A590&gt;0,IFERROR(MAX(FILTER('Барабан'!AJ:AJ,'Барабан'!V:V=A590)),""–""),"""")"),"")</f>
        <v/>
      </c>
    </row>
    <row r="591" ht="15.75" customHeight="1">
      <c r="A591" s="1" t="str">
        <f>'Справочник'!E586</f>
        <v/>
      </c>
      <c r="B591" s="2" t="str">
        <f>IF(A591&gt;0,SUMIF('Барабан'!K:K,A591,'Барабан'!I:I),"")</f>
        <v/>
      </c>
      <c r="C591" s="2" t="str">
        <f>IF(A591&gt;0,SUMIF('Барабан'!V:V,A591,'Барабан'!T:T),"")</f>
        <v/>
      </c>
      <c r="D591" s="2" t="str">
        <f>IF(A591&gt;0,SUMIF('Барабан'!K:K,A591,'Барабан'!AG:AG)+SUMIF('Барабан'!V:V,A591,'Барабан'!AG:AG),"")</f>
        <v/>
      </c>
      <c r="E591" s="2" t="str">
        <f t="shared" si="1"/>
        <v/>
      </c>
      <c r="F591" s="2" t="str">
        <f t="array" ref="F591">IFERROR(IF(E591=0,0,INDEX('Справочник'!G:G,MATCH(A591,'Справочник'!F:F,0))))</f>
        <v/>
      </c>
      <c r="G591" s="2" t="str">
        <f>IF(A591&gt;0,SUMIF('Барабан'!K:K,A591,'Барабан'!P:P),"")</f>
        <v/>
      </c>
      <c r="H591" s="2" t="str">
        <f>IF(A591&gt;0,SUMIF('Барабан'!V:V,A591,'Барабан'!AA:AA),"")</f>
        <v/>
      </c>
      <c r="I591" s="2" t="str">
        <f t="shared" si="4"/>
        <v/>
      </c>
      <c r="J591" s="9" t="str">
        <f t="shared" si="2"/>
        <v/>
      </c>
      <c r="K591" s="1" t="str">
        <f>IF(A591&gt;0,COUNTIF('Барабан'!K:K,A591),"")</f>
        <v/>
      </c>
      <c r="L591" s="1" t="str">
        <f>IF(A591&gt;0,COUNTIF('Барабан'!V:V,A591),"")</f>
        <v/>
      </c>
      <c r="M591" s="1" t="str">
        <f t="shared" si="3"/>
        <v/>
      </c>
      <c r="N591" s="1" t="str">
        <f>IFERROR(__xludf.DUMMYFUNCTION("IF(A591&gt;0,MIN(FILTER('Барабан'!AJ:AJ,'Барабан'!K:K=A591)),"""")"),"")</f>
        <v/>
      </c>
      <c r="O591" s="16" t="str">
        <f>IFERROR(__xludf.DUMMYFUNCTION("IF(A591&gt;0,IFERROR(MAX(FILTER('Барабан'!AJ:AJ,'Барабан'!V:V=A591)),""–""),"""")"),"")</f>
        <v/>
      </c>
    </row>
    <row r="592" ht="15.75" customHeight="1">
      <c r="A592" s="1" t="str">
        <f>'Справочник'!E587</f>
        <v/>
      </c>
      <c r="B592" s="2" t="str">
        <f>IF(A592&gt;0,SUMIF('Барабан'!K:K,A592,'Барабан'!I:I),"")</f>
        <v/>
      </c>
      <c r="C592" s="2" t="str">
        <f>IF(A592&gt;0,SUMIF('Барабан'!V:V,A592,'Барабан'!T:T),"")</f>
        <v/>
      </c>
      <c r="D592" s="2" t="str">
        <f>IF(A592&gt;0,SUMIF('Барабан'!K:K,A592,'Барабан'!AG:AG)+SUMIF('Барабан'!V:V,A592,'Барабан'!AG:AG),"")</f>
        <v/>
      </c>
      <c r="E592" s="2" t="str">
        <f t="shared" si="1"/>
        <v/>
      </c>
      <c r="F592" s="2" t="str">
        <f t="array" ref="F592">IFERROR(IF(E592=0,0,INDEX('Справочник'!G:G,MATCH(A592,'Справочник'!F:F,0))))</f>
        <v/>
      </c>
      <c r="G592" s="2" t="str">
        <f>IF(A592&gt;0,SUMIF('Барабан'!K:K,A592,'Барабан'!P:P),"")</f>
        <v/>
      </c>
      <c r="H592" s="2" t="str">
        <f>IF(A592&gt;0,SUMIF('Барабан'!V:V,A592,'Барабан'!AA:AA),"")</f>
        <v/>
      </c>
      <c r="I592" s="2" t="str">
        <f t="shared" si="4"/>
        <v/>
      </c>
      <c r="J592" s="9" t="str">
        <f t="shared" si="2"/>
        <v/>
      </c>
      <c r="K592" s="1" t="str">
        <f>IF(A592&gt;0,COUNTIF('Барабан'!K:K,A592),"")</f>
        <v/>
      </c>
      <c r="L592" s="1" t="str">
        <f>IF(A592&gt;0,COUNTIF('Барабан'!V:V,A592),"")</f>
        <v/>
      </c>
      <c r="M592" s="1" t="str">
        <f t="shared" si="3"/>
        <v/>
      </c>
      <c r="N592" s="1" t="str">
        <f>IFERROR(__xludf.DUMMYFUNCTION("IF(A592&gt;0,MIN(FILTER('Барабан'!AJ:AJ,'Барабан'!K:K=A592)),"""")"),"")</f>
        <v/>
      </c>
      <c r="O592" s="16" t="str">
        <f>IFERROR(__xludf.DUMMYFUNCTION("IF(A592&gt;0,IFERROR(MAX(FILTER('Барабан'!AJ:AJ,'Барабан'!V:V=A592)),""–""),"""")"),"")</f>
        <v/>
      </c>
    </row>
    <row r="593" ht="15.75" customHeight="1">
      <c r="A593" s="1" t="str">
        <f>'Справочник'!E588</f>
        <v/>
      </c>
      <c r="B593" s="2" t="str">
        <f>IF(A593&gt;0,SUMIF('Барабан'!K:K,A593,'Барабан'!I:I),"")</f>
        <v/>
      </c>
      <c r="C593" s="2" t="str">
        <f>IF(A593&gt;0,SUMIF('Барабан'!V:V,A593,'Барабан'!T:T),"")</f>
        <v/>
      </c>
      <c r="D593" s="2" t="str">
        <f>IF(A593&gt;0,SUMIF('Барабан'!K:K,A593,'Барабан'!AG:AG)+SUMIF('Барабан'!V:V,A593,'Барабан'!AG:AG),"")</f>
        <v/>
      </c>
      <c r="E593" s="2" t="str">
        <f t="shared" si="1"/>
        <v/>
      </c>
      <c r="F593" s="2" t="str">
        <f t="array" ref="F593">IFERROR(IF(E593=0,0,INDEX('Справочник'!G:G,MATCH(A593,'Справочник'!F:F,0))))</f>
        <v/>
      </c>
      <c r="G593" s="2" t="str">
        <f>IF(A593&gt;0,SUMIF('Барабан'!K:K,A593,'Барабан'!P:P),"")</f>
        <v/>
      </c>
      <c r="H593" s="2" t="str">
        <f>IF(A593&gt;0,SUMIF('Барабан'!V:V,A593,'Барабан'!AA:AA),"")</f>
        <v/>
      </c>
      <c r="I593" s="2" t="str">
        <f t="shared" si="4"/>
        <v/>
      </c>
      <c r="J593" s="9" t="str">
        <f t="shared" si="2"/>
        <v/>
      </c>
      <c r="K593" s="1" t="str">
        <f>IF(A593&gt;0,COUNTIF('Барабан'!K:K,A593),"")</f>
        <v/>
      </c>
      <c r="L593" s="1" t="str">
        <f>IF(A593&gt;0,COUNTIF('Барабан'!V:V,A593),"")</f>
        <v/>
      </c>
      <c r="M593" s="1" t="str">
        <f t="shared" si="3"/>
        <v/>
      </c>
      <c r="N593" s="1" t="str">
        <f>IFERROR(__xludf.DUMMYFUNCTION("IF(A593&gt;0,MIN(FILTER('Барабан'!AJ:AJ,'Барабан'!K:K=A593)),"""")"),"")</f>
        <v/>
      </c>
      <c r="O593" s="16" t="str">
        <f>IFERROR(__xludf.DUMMYFUNCTION("IF(A593&gt;0,IFERROR(MAX(FILTER('Барабан'!AJ:AJ,'Барабан'!V:V=A593)),""–""),"""")"),"")</f>
        <v/>
      </c>
    </row>
    <row r="594" ht="15.75" customHeight="1">
      <c r="A594" s="1" t="str">
        <f>'Справочник'!E589</f>
        <v/>
      </c>
      <c r="B594" s="2" t="str">
        <f>IF(A594&gt;0,SUMIF('Барабан'!K:K,A594,'Барабан'!I:I),"")</f>
        <v/>
      </c>
      <c r="C594" s="2" t="str">
        <f>IF(A594&gt;0,SUMIF('Барабан'!V:V,A594,'Барабан'!T:T),"")</f>
        <v/>
      </c>
      <c r="D594" s="2" t="str">
        <f>IF(A594&gt;0,SUMIF('Барабан'!K:K,A594,'Барабан'!AG:AG)+SUMIF('Барабан'!V:V,A594,'Барабан'!AG:AG),"")</f>
        <v/>
      </c>
      <c r="E594" s="2" t="str">
        <f t="shared" si="1"/>
        <v/>
      </c>
      <c r="F594" s="2" t="str">
        <f t="array" ref="F594">IFERROR(IF(E594=0,0,INDEX('Справочник'!G:G,MATCH(A594,'Справочник'!F:F,0))))</f>
        <v/>
      </c>
      <c r="G594" s="2" t="str">
        <f>IF(A594&gt;0,SUMIF('Барабан'!K:K,A594,'Барабан'!P:P),"")</f>
        <v/>
      </c>
      <c r="H594" s="2" t="str">
        <f>IF(A594&gt;0,SUMIF('Барабан'!V:V,A594,'Барабан'!AA:AA),"")</f>
        <v/>
      </c>
      <c r="I594" s="2" t="str">
        <f t="shared" si="4"/>
        <v/>
      </c>
      <c r="J594" s="9" t="str">
        <f t="shared" si="2"/>
        <v/>
      </c>
      <c r="K594" s="1" t="str">
        <f>IF(A594&gt;0,COUNTIF('Барабан'!K:K,A594),"")</f>
        <v/>
      </c>
      <c r="L594" s="1" t="str">
        <f>IF(A594&gt;0,COUNTIF('Барабан'!V:V,A594),"")</f>
        <v/>
      </c>
      <c r="M594" s="1" t="str">
        <f t="shared" si="3"/>
        <v/>
      </c>
      <c r="N594" s="1" t="str">
        <f>IFERROR(__xludf.DUMMYFUNCTION("IF(A594&gt;0,MIN(FILTER('Барабан'!AJ:AJ,'Барабан'!K:K=A594)),"""")"),"")</f>
        <v/>
      </c>
      <c r="O594" s="16" t="str">
        <f>IFERROR(__xludf.DUMMYFUNCTION("IF(A594&gt;0,IFERROR(MAX(FILTER('Барабан'!AJ:AJ,'Барабан'!V:V=A594)),""–""),"""")"),"")</f>
        <v/>
      </c>
    </row>
    <row r="595" ht="15.75" customHeight="1">
      <c r="A595" s="1" t="str">
        <f>'Справочник'!E590</f>
        <v/>
      </c>
      <c r="B595" s="2" t="str">
        <f>IF(A595&gt;0,SUMIF('Барабан'!K:K,A595,'Барабан'!I:I),"")</f>
        <v/>
      </c>
      <c r="C595" s="2" t="str">
        <f>IF(A595&gt;0,SUMIF('Барабан'!V:V,A595,'Барабан'!T:T),"")</f>
        <v/>
      </c>
      <c r="D595" s="2" t="str">
        <f>IF(A595&gt;0,SUMIF('Барабан'!K:K,A595,'Барабан'!AG:AG)+SUMIF('Барабан'!V:V,A595,'Барабан'!AG:AG),"")</f>
        <v/>
      </c>
      <c r="E595" s="2" t="str">
        <f t="shared" si="1"/>
        <v/>
      </c>
      <c r="F595" s="2" t="str">
        <f t="array" ref="F595">IFERROR(IF(E595=0,0,INDEX('Справочник'!G:G,MATCH(A595,'Справочник'!F:F,0))))</f>
        <v/>
      </c>
      <c r="G595" s="2" t="str">
        <f>IF(A595&gt;0,SUMIF('Барабан'!K:K,A595,'Барабан'!P:P),"")</f>
        <v/>
      </c>
      <c r="H595" s="2" t="str">
        <f>IF(A595&gt;0,SUMIF('Барабан'!V:V,A595,'Барабан'!AA:AA),"")</f>
        <v/>
      </c>
      <c r="I595" s="2" t="str">
        <f t="shared" si="4"/>
        <v/>
      </c>
      <c r="J595" s="9" t="str">
        <f t="shared" si="2"/>
        <v/>
      </c>
      <c r="K595" s="1" t="str">
        <f>IF(A595&gt;0,COUNTIF('Барабан'!K:K,A595),"")</f>
        <v/>
      </c>
      <c r="L595" s="1" t="str">
        <f>IF(A595&gt;0,COUNTIF('Барабан'!V:V,A595),"")</f>
        <v/>
      </c>
      <c r="M595" s="1" t="str">
        <f t="shared" si="3"/>
        <v/>
      </c>
      <c r="N595" s="1" t="str">
        <f>IFERROR(__xludf.DUMMYFUNCTION("IF(A595&gt;0,MIN(FILTER('Барабан'!AJ:AJ,'Барабан'!K:K=A595)),"""")"),"")</f>
        <v/>
      </c>
      <c r="O595" s="16" t="str">
        <f>IFERROR(__xludf.DUMMYFUNCTION("IF(A595&gt;0,IFERROR(MAX(FILTER('Барабан'!AJ:AJ,'Барабан'!V:V=A595)),""–""),"""")"),"")</f>
        <v/>
      </c>
    </row>
    <row r="596" ht="15.75" customHeight="1">
      <c r="A596" s="1" t="str">
        <f>'Справочник'!E591</f>
        <v/>
      </c>
      <c r="B596" s="2" t="str">
        <f>IF(A596&gt;0,SUMIF('Барабан'!K:K,A596,'Барабан'!I:I),"")</f>
        <v/>
      </c>
      <c r="C596" s="2" t="str">
        <f>IF(A596&gt;0,SUMIF('Барабан'!V:V,A596,'Барабан'!T:T),"")</f>
        <v/>
      </c>
      <c r="D596" s="2" t="str">
        <f>IF(A596&gt;0,SUMIF('Барабан'!K:K,A596,'Барабан'!AG:AG)+SUMIF('Барабан'!V:V,A596,'Барабан'!AG:AG),"")</f>
        <v/>
      </c>
      <c r="E596" s="2" t="str">
        <f t="shared" si="1"/>
        <v/>
      </c>
      <c r="F596" s="2" t="str">
        <f t="array" ref="F596">IFERROR(IF(E596=0,0,INDEX('Справочник'!G:G,MATCH(A596,'Справочник'!F:F,0))))</f>
        <v/>
      </c>
      <c r="G596" s="2" t="str">
        <f>IF(A596&gt;0,SUMIF('Барабан'!K:K,A596,'Барабан'!P:P),"")</f>
        <v/>
      </c>
      <c r="H596" s="2" t="str">
        <f>IF(A596&gt;0,SUMIF('Барабан'!V:V,A596,'Барабан'!AA:AA),"")</f>
        <v/>
      </c>
      <c r="I596" s="2" t="str">
        <f t="shared" si="4"/>
        <v/>
      </c>
      <c r="J596" s="9" t="str">
        <f t="shared" si="2"/>
        <v/>
      </c>
      <c r="K596" s="1" t="str">
        <f>IF(A596&gt;0,COUNTIF('Барабан'!K:K,A596),"")</f>
        <v/>
      </c>
      <c r="L596" s="1" t="str">
        <f>IF(A596&gt;0,COUNTIF('Барабан'!V:V,A596),"")</f>
        <v/>
      </c>
      <c r="M596" s="1" t="str">
        <f t="shared" si="3"/>
        <v/>
      </c>
      <c r="N596" s="1" t="str">
        <f>IFERROR(__xludf.DUMMYFUNCTION("IF(A596&gt;0,MIN(FILTER('Барабан'!AJ:AJ,'Барабан'!K:K=A596)),"""")"),"")</f>
        <v/>
      </c>
      <c r="O596" s="16" t="str">
        <f>IFERROR(__xludf.DUMMYFUNCTION("IF(A596&gt;0,IFERROR(MAX(FILTER('Барабан'!AJ:AJ,'Барабан'!V:V=A596)),""–""),"""")"),"")</f>
        <v/>
      </c>
    </row>
    <row r="597" ht="15.75" customHeight="1">
      <c r="A597" s="1" t="str">
        <f>'Справочник'!E592</f>
        <v/>
      </c>
      <c r="B597" s="2" t="str">
        <f>IF(A597&gt;0,SUMIF('Барабан'!K:K,A597,'Барабан'!I:I),"")</f>
        <v/>
      </c>
      <c r="C597" s="2" t="str">
        <f>IF(A597&gt;0,SUMIF('Барабан'!V:V,A597,'Барабан'!T:T),"")</f>
        <v/>
      </c>
      <c r="D597" s="2" t="str">
        <f>IF(A597&gt;0,SUMIF('Барабан'!K:K,A597,'Барабан'!AG:AG)+SUMIF('Барабан'!V:V,A597,'Барабан'!AG:AG),"")</f>
        <v/>
      </c>
      <c r="E597" s="2" t="str">
        <f t="shared" si="1"/>
        <v/>
      </c>
      <c r="F597" s="2" t="str">
        <f t="array" ref="F597">IFERROR(IF(E597=0,0,INDEX('Справочник'!G:G,MATCH(A597,'Справочник'!F:F,0))))</f>
        <v/>
      </c>
      <c r="G597" s="2" t="str">
        <f>IF(A597&gt;0,SUMIF('Барабан'!K:K,A597,'Барабан'!P:P),"")</f>
        <v/>
      </c>
      <c r="H597" s="2" t="str">
        <f>IF(A597&gt;0,SUMIF('Барабан'!V:V,A597,'Барабан'!AA:AA),"")</f>
        <v/>
      </c>
      <c r="I597" s="2" t="str">
        <f t="shared" si="4"/>
        <v/>
      </c>
      <c r="J597" s="9" t="str">
        <f t="shared" si="2"/>
        <v/>
      </c>
      <c r="K597" s="1" t="str">
        <f>IF(A597&gt;0,COUNTIF('Барабан'!K:K,A597),"")</f>
        <v/>
      </c>
      <c r="L597" s="1" t="str">
        <f>IF(A597&gt;0,COUNTIF('Барабан'!V:V,A597),"")</f>
        <v/>
      </c>
      <c r="M597" s="1" t="str">
        <f t="shared" si="3"/>
        <v/>
      </c>
      <c r="N597" s="1" t="str">
        <f>IFERROR(__xludf.DUMMYFUNCTION("IF(A597&gt;0,MIN(FILTER('Барабан'!AJ:AJ,'Барабан'!K:K=A597)),"""")"),"")</f>
        <v/>
      </c>
      <c r="O597" s="16" t="str">
        <f>IFERROR(__xludf.DUMMYFUNCTION("IF(A597&gt;0,IFERROR(MAX(FILTER('Барабан'!AJ:AJ,'Барабан'!V:V=A597)),""–""),"""")"),"")</f>
        <v/>
      </c>
    </row>
    <row r="598" ht="15.75" customHeight="1">
      <c r="A598" s="1" t="str">
        <f>'Справочник'!E593</f>
        <v/>
      </c>
      <c r="B598" s="2" t="str">
        <f>IF(A598&gt;0,SUMIF('Барабан'!K:K,A598,'Барабан'!I:I),"")</f>
        <v/>
      </c>
      <c r="C598" s="2" t="str">
        <f>IF(A598&gt;0,SUMIF('Барабан'!V:V,A598,'Барабан'!T:T),"")</f>
        <v/>
      </c>
      <c r="D598" s="2" t="str">
        <f>IF(A598&gt;0,SUMIF('Барабан'!K:K,A598,'Барабан'!AG:AG)+SUMIF('Барабан'!V:V,A598,'Барабан'!AG:AG),"")</f>
        <v/>
      </c>
      <c r="E598" s="2" t="str">
        <f t="shared" si="1"/>
        <v/>
      </c>
      <c r="F598" s="2" t="str">
        <f t="array" ref="F598">IFERROR(IF(E598=0,0,INDEX('Справочник'!G:G,MATCH(A598,'Справочник'!F:F,0))))</f>
        <v/>
      </c>
      <c r="G598" s="2" t="str">
        <f>IF(A598&gt;0,SUMIF('Барабан'!K:K,A598,'Барабан'!P:P),"")</f>
        <v/>
      </c>
      <c r="H598" s="2" t="str">
        <f>IF(A598&gt;0,SUMIF('Барабан'!V:V,A598,'Барабан'!AA:AA),"")</f>
        <v/>
      </c>
      <c r="I598" s="2" t="str">
        <f t="shared" si="4"/>
        <v/>
      </c>
      <c r="J598" s="9" t="str">
        <f t="shared" si="2"/>
        <v/>
      </c>
      <c r="K598" s="1" t="str">
        <f>IF(A598&gt;0,COUNTIF('Барабан'!K:K,A598),"")</f>
        <v/>
      </c>
      <c r="L598" s="1" t="str">
        <f>IF(A598&gt;0,COUNTIF('Барабан'!V:V,A598),"")</f>
        <v/>
      </c>
      <c r="M598" s="1" t="str">
        <f t="shared" si="3"/>
        <v/>
      </c>
      <c r="N598" s="1" t="str">
        <f>IFERROR(__xludf.DUMMYFUNCTION("IF(A598&gt;0,MIN(FILTER('Барабан'!AJ:AJ,'Барабан'!K:K=A598)),"""")"),"")</f>
        <v/>
      </c>
      <c r="O598" s="16" t="str">
        <f>IFERROR(__xludf.DUMMYFUNCTION("IF(A598&gt;0,IFERROR(MAX(FILTER('Барабан'!AJ:AJ,'Барабан'!V:V=A598)),""–""),"""")"),"")</f>
        <v/>
      </c>
    </row>
    <row r="599" ht="15.75" customHeight="1">
      <c r="A599" s="1" t="str">
        <f>'Справочник'!E594</f>
        <v/>
      </c>
      <c r="B599" s="2" t="str">
        <f>IF(A599&gt;0,SUMIF('Барабан'!K:K,A599,'Барабан'!I:I),"")</f>
        <v/>
      </c>
      <c r="C599" s="2" t="str">
        <f>IF(A599&gt;0,SUMIF('Барабан'!V:V,A599,'Барабан'!T:T),"")</f>
        <v/>
      </c>
      <c r="D599" s="2" t="str">
        <f>IF(A599&gt;0,SUMIF('Барабан'!K:K,A599,'Барабан'!AG:AG)+SUMIF('Барабан'!V:V,A599,'Барабан'!AG:AG),"")</f>
        <v/>
      </c>
      <c r="E599" s="2" t="str">
        <f t="shared" si="1"/>
        <v/>
      </c>
      <c r="F599" s="2" t="str">
        <f t="array" ref="F599">IFERROR(IF(E599=0,0,INDEX('Справочник'!G:G,MATCH(A599,'Справочник'!F:F,0))))</f>
        <v/>
      </c>
      <c r="G599" s="2" t="str">
        <f>IF(A599&gt;0,SUMIF('Барабан'!K:K,A599,'Барабан'!P:P),"")</f>
        <v/>
      </c>
      <c r="H599" s="2" t="str">
        <f>IF(A599&gt;0,SUMIF('Барабан'!V:V,A599,'Барабан'!AA:AA),"")</f>
        <v/>
      </c>
      <c r="I599" s="2" t="str">
        <f t="shared" si="4"/>
        <v/>
      </c>
      <c r="J599" s="9" t="str">
        <f t="shared" si="2"/>
        <v/>
      </c>
      <c r="K599" s="1" t="str">
        <f>IF(A599&gt;0,COUNTIF('Барабан'!K:K,A599),"")</f>
        <v/>
      </c>
      <c r="L599" s="1" t="str">
        <f>IF(A599&gt;0,COUNTIF('Барабан'!V:V,A599),"")</f>
        <v/>
      </c>
      <c r="M599" s="1" t="str">
        <f t="shared" si="3"/>
        <v/>
      </c>
      <c r="N599" s="1" t="str">
        <f>IFERROR(__xludf.DUMMYFUNCTION("IF(A599&gt;0,MIN(FILTER('Барабан'!AJ:AJ,'Барабан'!K:K=A599)),"""")"),"")</f>
        <v/>
      </c>
      <c r="O599" s="16" t="str">
        <f>IFERROR(__xludf.DUMMYFUNCTION("IF(A599&gt;0,IFERROR(MAX(FILTER('Барабан'!AJ:AJ,'Барабан'!V:V=A599)),""–""),"""")"),"")</f>
        <v/>
      </c>
    </row>
    <row r="600" ht="15.75" customHeight="1">
      <c r="A600" s="1" t="str">
        <f>'Справочник'!E595</f>
        <v/>
      </c>
      <c r="B600" s="2" t="str">
        <f>IF(A600&gt;0,SUMIF('Барабан'!K:K,A600,'Барабан'!I:I),"")</f>
        <v/>
      </c>
      <c r="C600" s="2" t="str">
        <f>IF(A600&gt;0,SUMIF('Барабан'!V:V,A600,'Барабан'!T:T),"")</f>
        <v/>
      </c>
      <c r="D600" s="2" t="str">
        <f>IF(A600&gt;0,SUMIF('Барабан'!K:K,A600,'Барабан'!AG:AG)+SUMIF('Барабан'!V:V,A600,'Барабан'!AG:AG),"")</f>
        <v/>
      </c>
      <c r="E600" s="2" t="str">
        <f t="shared" si="1"/>
        <v/>
      </c>
      <c r="F600" s="2" t="str">
        <f t="array" ref="F600">IFERROR(IF(E600=0,0,INDEX('Справочник'!G:G,MATCH(A600,'Справочник'!F:F,0))))</f>
        <v/>
      </c>
      <c r="G600" s="2" t="str">
        <f>IF(A600&gt;0,SUMIF('Барабан'!K:K,A600,'Барабан'!P:P),"")</f>
        <v/>
      </c>
      <c r="H600" s="2" t="str">
        <f>IF(A600&gt;0,SUMIF('Барабан'!V:V,A600,'Барабан'!AA:AA),"")</f>
        <v/>
      </c>
      <c r="I600" s="2" t="str">
        <f t="shared" si="4"/>
        <v/>
      </c>
      <c r="J600" s="9" t="str">
        <f t="shared" si="2"/>
        <v/>
      </c>
      <c r="K600" s="1" t="str">
        <f>IF(A600&gt;0,COUNTIF('Барабан'!K:K,A600),"")</f>
        <v/>
      </c>
      <c r="L600" s="1" t="str">
        <f>IF(A600&gt;0,COUNTIF('Барабан'!V:V,A600),"")</f>
        <v/>
      </c>
      <c r="M600" s="1" t="str">
        <f t="shared" si="3"/>
        <v/>
      </c>
      <c r="N600" s="1" t="str">
        <f>IFERROR(__xludf.DUMMYFUNCTION("IF(A600&gt;0,MIN(FILTER('Барабан'!AJ:AJ,'Барабан'!K:K=A600)),"""")"),"")</f>
        <v/>
      </c>
      <c r="O600" s="16" t="str">
        <f>IFERROR(__xludf.DUMMYFUNCTION("IF(A600&gt;0,IFERROR(MAX(FILTER('Барабан'!AJ:AJ,'Барабан'!V:V=A600)),""–""),"""")"),"")</f>
        <v/>
      </c>
    </row>
    <row r="601" ht="15.75" customHeight="1">
      <c r="A601" s="1" t="str">
        <f>'Справочник'!E596</f>
        <v/>
      </c>
      <c r="B601" s="2" t="str">
        <f>IF(A601&gt;0,SUMIF('Барабан'!K:K,A601,'Барабан'!I:I),"")</f>
        <v/>
      </c>
      <c r="C601" s="2" t="str">
        <f>IF(A601&gt;0,SUMIF('Барабан'!V:V,A601,'Барабан'!T:T),"")</f>
        <v/>
      </c>
      <c r="D601" s="2" t="str">
        <f>IF(A601&gt;0,SUMIF('Барабан'!K:K,A601,'Барабан'!AG:AG)+SUMIF('Барабан'!V:V,A601,'Барабан'!AG:AG),"")</f>
        <v/>
      </c>
      <c r="E601" s="2" t="str">
        <f t="shared" si="1"/>
        <v/>
      </c>
      <c r="F601" s="2" t="str">
        <f t="array" ref="F601">IFERROR(IF(E601=0,0,INDEX('Справочник'!G:G,MATCH(A601,'Справочник'!F:F,0))))</f>
        <v/>
      </c>
      <c r="G601" s="2" t="str">
        <f>IF(A601&gt;0,SUMIF('Барабан'!K:K,A601,'Барабан'!P:P),"")</f>
        <v/>
      </c>
      <c r="H601" s="2" t="str">
        <f>IF(A601&gt;0,SUMIF('Барабан'!V:V,A601,'Барабан'!AA:AA),"")</f>
        <v/>
      </c>
      <c r="I601" s="2" t="str">
        <f t="shared" si="4"/>
        <v/>
      </c>
      <c r="J601" s="9" t="str">
        <f t="shared" si="2"/>
        <v/>
      </c>
      <c r="K601" s="1" t="str">
        <f>IF(A601&gt;0,COUNTIF('Барабан'!K:K,A601),"")</f>
        <v/>
      </c>
      <c r="L601" s="1" t="str">
        <f>IF(A601&gt;0,COUNTIF('Барабан'!V:V,A601),"")</f>
        <v/>
      </c>
      <c r="M601" s="1" t="str">
        <f t="shared" si="3"/>
        <v/>
      </c>
      <c r="N601" s="1" t="str">
        <f>IFERROR(__xludf.DUMMYFUNCTION("IF(A601&gt;0,MIN(FILTER('Барабан'!AJ:AJ,'Барабан'!K:K=A601)),"""")"),"")</f>
        <v/>
      </c>
      <c r="O601" s="16" t="str">
        <f>IFERROR(__xludf.DUMMYFUNCTION("IF(A601&gt;0,IFERROR(MAX(FILTER('Барабан'!AJ:AJ,'Барабан'!V:V=A601)),""–""),"""")"),"")</f>
        <v/>
      </c>
    </row>
    <row r="602" ht="15.75" customHeight="1">
      <c r="A602" s="1" t="str">
        <f>'Справочник'!E597</f>
        <v/>
      </c>
      <c r="B602" s="2" t="str">
        <f>IF(A602&gt;0,SUMIF('Барабан'!K:K,A602,'Барабан'!I:I),"")</f>
        <v/>
      </c>
      <c r="C602" s="2" t="str">
        <f>IF(A602&gt;0,SUMIF('Барабан'!V:V,A602,'Барабан'!T:T),"")</f>
        <v/>
      </c>
      <c r="D602" s="2" t="str">
        <f>IF(A602&gt;0,SUMIF('Барабан'!K:K,A602,'Барабан'!AG:AG)+SUMIF('Барабан'!V:V,A602,'Барабан'!AG:AG),"")</f>
        <v/>
      </c>
      <c r="E602" s="2" t="str">
        <f t="shared" si="1"/>
        <v/>
      </c>
      <c r="F602" s="2" t="str">
        <f t="array" ref="F602">IFERROR(IF(E602=0,0,INDEX('Справочник'!G:G,MATCH(A602,'Справочник'!F:F,0))))</f>
        <v/>
      </c>
      <c r="G602" s="2" t="str">
        <f>IF(A602&gt;0,SUMIF('Барабан'!K:K,A602,'Барабан'!P:P),"")</f>
        <v/>
      </c>
      <c r="H602" s="2" t="str">
        <f>IF(A602&gt;0,SUMIF('Барабан'!V:V,A602,'Барабан'!AA:AA),"")</f>
        <v/>
      </c>
      <c r="I602" s="2" t="str">
        <f t="shared" si="4"/>
        <v/>
      </c>
      <c r="J602" s="9" t="str">
        <f t="shared" si="2"/>
        <v/>
      </c>
      <c r="K602" s="1" t="str">
        <f>IF(A602&gt;0,COUNTIF('Барабан'!K:K,A602),"")</f>
        <v/>
      </c>
      <c r="L602" s="1" t="str">
        <f>IF(A602&gt;0,COUNTIF('Барабан'!V:V,A602),"")</f>
        <v/>
      </c>
      <c r="M602" s="1" t="str">
        <f t="shared" si="3"/>
        <v/>
      </c>
      <c r="N602" s="1" t="str">
        <f>IFERROR(__xludf.DUMMYFUNCTION("IF(A602&gt;0,MIN(FILTER('Барабан'!AJ:AJ,'Барабан'!K:K=A602)),"""")"),"")</f>
        <v/>
      </c>
      <c r="O602" s="16" t="str">
        <f>IFERROR(__xludf.DUMMYFUNCTION("IF(A602&gt;0,IFERROR(MAX(FILTER('Барабан'!AJ:AJ,'Барабан'!V:V=A602)),""–""),"""")"),"")</f>
        <v/>
      </c>
    </row>
    <row r="603" ht="15.75" customHeight="1">
      <c r="A603" s="1" t="str">
        <f>'Справочник'!E598</f>
        <v/>
      </c>
      <c r="B603" s="2" t="str">
        <f>IF(A603&gt;0,SUMIF('Барабан'!K:K,A603,'Барабан'!I:I),"")</f>
        <v/>
      </c>
      <c r="C603" s="2" t="str">
        <f>IF(A603&gt;0,SUMIF('Барабан'!V:V,A603,'Барабан'!T:T),"")</f>
        <v/>
      </c>
      <c r="D603" s="2" t="str">
        <f>IF(A603&gt;0,SUMIF('Барабан'!K:K,A603,'Барабан'!AG:AG)+SUMIF('Барабан'!V:V,A603,'Барабан'!AG:AG),"")</f>
        <v/>
      </c>
      <c r="E603" s="2" t="str">
        <f t="shared" si="1"/>
        <v/>
      </c>
      <c r="F603" s="2" t="str">
        <f t="array" ref="F603">IFERROR(IF(E603=0,0,INDEX('Справочник'!G:G,MATCH(A603,'Справочник'!F:F,0))))</f>
        <v/>
      </c>
      <c r="G603" s="2" t="str">
        <f>IF(A603&gt;0,SUMIF('Барабан'!K:K,A603,'Барабан'!P:P),"")</f>
        <v/>
      </c>
      <c r="H603" s="2" t="str">
        <f>IF(A603&gt;0,SUMIF('Барабан'!V:V,A603,'Барабан'!AA:AA),"")</f>
        <v/>
      </c>
      <c r="I603" s="2" t="str">
        <f t="shared" si="4"/>
        <v/>
      </c>
      <c r="J603" s="9" t="str">
        <f t="shared" si="2"/>
        <v/>
      </c>
      <c r="K603" s="1" t="str">
        <f>IF(A603&gt;0,COUNTIF('Барабан'!K:K,A603),"")</f>
        <v/>
      </c>
      <c r="L603" s="1" t="str">
        <f>IF(A603&gt;0,COUNTIF('Барабан'!V:V,A603),"")</f>
        <v/>
      </c>
      <c r="M603" s="1" t="str">
        <f t="shared" si="3"/>
        <v/>
      </c>
      <c r="N603" s="1" t="str">
        <f>IFERROR(__xludf.DUMMYFUNCTION("IF(A603&gt;0,MIN(FILTER('Барабан'!AJ:AJ,'Барабан'!K:K=A603)),"""")"),"")</f>
        <v/>
      </c>
      <c r="O603" s="16" t="str">
        <f>IFERROR(__xludf.DUMMYFUNCTION("IF(A603&gt;0,IFERROR(MAX(FILTER('Барабан'!AJ:AJ,'Барабан'!V:V=A603)),""–""),"""")"),"")</f>
        <v/>
      </c>
    </row>
    <row r="604" ht="15.75" customHeight="1">
      <c r="A604" s="1" t="str">
        <f>'Справочник'!E599</f>
        <v/>
      </c>
      <c r="B604" s="2" t="str">
        <f>IF(A604&gt;0,SUMIF('Барабан'!K:K,A604,'Барабан'!I:I),"")</f>
        <v/>
      </c>
      <c r="C604" s="2" t="str">
        <f>IF(A604&gt;0,SUMIF('Барабан'!V:V,A604,'Барабан'!T:T),"")</f>
        <v/>
      </c>
      <c r="D604" s="2" t="str">
        <f>IF(A604&gt;0,SUMIF('Барабан'!K:K,A604,'Барабан'!AG:AG)+SUMIF('Барабан'!V:V,A604,'Барабан'!AG:AG),"")</f>
        <v/>
      </c>
      <c r="E604" s="2" t="str">
        <f t="shared" si="1"/>
        <v/>
      </c>
      <c r="F604" s="2" t="str">
        <f t="array" ref="F604">IFERROR(IF(E604=0,0,INDEX('Справочник'!G:G,MATCH(A604,'Справочник'!F:F,0))))</f>
        <v/>
      </c>
      <c r="G604" s="2" t="str">
        <f>IF(A604&gt;0,SUMIF('Барабан'!K:K,A604,'Барабан'!P:P),"")</f>
        <v/>
      </c>
      <c r="H604" s="2" t="str">
        <f>IF(A604&gt;0,SUMIF('Барабан'!V:V,A604,'Барабан'!AA:AA),"")</f>
        <v/>
      </c>
      <c r="I604" s="2" t="str">
        <f t="shared" si="4"/>
        <v/>
      </c>
      <c r="J604" s="9" t="str">
        <f t="shared" si="2"/>
        <v/>
      </c>
      <c r="K604" s="1" t="str">
        <f>IF(A604&gt;0,COUNTIF('Барабан'!K:K,A604),"")</f>
        <v/>
      </c>
      <c r="L604" s="1" t="str">
        <f>IF(A604&gt;0,COUNTIF('Барабан'!V:V,A604),"")</f>
        <v/>
      </c>
      <c r="M604" s="1" t="str">
        <f t="shared" si="3"/>
        <v/>
      </c>
      <c r="N604" s="1" t="str">
        <f>IFERROR(__xludf.DUMMYFUNCTION("IF(A604&gt;0,MIN(FILTER('Барабан'!AJ:AJ,'Барабан'!K:K=A604)),"""")"),"")</f>
        <v/>
      </c>
      <c r="O604" s="16" t="str">
        <f>IFERROR(__xludf.DUMMYFUNCTION("IF(A604&gt;0,IFERROR(MAX(FILTER('Барабан'!AJ:AJ,'Барабан'!V:V=A604)),""–""),"""")"),"")</f>
        <v/>
      </c>
    </row>
    <row r="605" ht="15.75" customHeight="1">
      <c r="A605" s="1" t="str">
        <f>'Справочник'!E600</f>
        <v/>
      </c>
      <c r="B605" s="2" t="str">
        <f>IF(A605&gt;0,SUMIF('Барабан'!K:K,A605,'Барабан'!I:I),"")</f>
        <v/>
      </c>
      <c r="C605" s="2" t="str">
        <f>IF(A605&gt;0,SUMIF('Барабан'!V:V,A605,'Барабан'!T:T),"")</f>
        <v/>
      </c>
      <c r="D605" s="2" t="str">
        <f>IF(A605&gt;0,SUMIF('Барабан'!K:K,A605,'Барабан'!AG:AG)+SUMIF('Барабан'!V:V,A605,'Барабан'!AG:AG),"")</f>
        <v/>
      </c>
      <c r="E605" s="2" t="str">
        <f t="shared" si="1"/>
        <v/>
      </c>
      <c r="F605" s="2" t="str">
        <f t="array" ref="F605">IFERROR(IF(E605=0,0,INDEX('Справочник'!G:G,MATCH(A605,'Справочник'!F:F,0))))</f>
        <v/>
      </c>
      <c r="G605" s="2" t="str">
        <f>IF(A605&gt;0,SUMIF('Барабан'!K:K,A605,'Барабан'!P:P),"")</f>
        <v/>
      </c>
      <c r="H605" s="2" t="str">
        <f>IF(A605&gt;0,SUMIF('Барабан'!V:V,A605,'Барабан'!AA:AA),"")</f>
        <v/>
      </c>
      <c r="I605" s="2" t="str">
        <f t="shared" si="4"/>
        <v/>
      </c>
      <c r="J605" s="9" t="str">
        <f t="shared" si="2"/>
        <v/>
      </c>
      <c r="K605" s="1" t="str">
        <f>IF(A605&gt;0,COUNTIF('Барабан'!K:K,A605),"")</f>
        <v/>
      </c>
      <c r="L605" s="1" t="str">
        <f>IF(A605&gt;0,COUNTIF('Барабан'!V:V,A605),"")</f>
        <v/>
      </c>
      <c r="M605" s="1" t="str">
        <f t="shared" si="3"/>
        <v/>
      </c>
      <c r="N605" s="1" t="str">
        <f>IFERROR(__xludf.DUMMYFUNCTION("IF(A605&gt;0,MIN(FILTER('Барабан'!AJ:AJ,'Барабан'!K:K=A605)),"""")"),"")</f>
        <v/>
      </c>
      <c r="O605" s="16" t="str">
        <f>IFERROR(__xludf.DUMMYFUNCTION("IF(A605&gt;0,IFERROR(MAX(FILTER('Барабан'!AJ:AJ,'Барабан'!V:V=A605)),""–""),"""")"),"")</f>
        <v/>
      </c>
    </row>
    <row r="606" ht="15.75" customHeight="1">
      <c r="A606" s="1" t="str">
        <f>'Справочник'!E601</f>
        <v/>
      </c>
      <c r="B606" s="2" t="str">
        <f>IF(A606&gt;0,SUMIF('Барабан'!K:K,A606,'Барабан'!I:I),"")</f>
        <v/>
      </c>
      <c r="C606" s="2" t="str">
        <f>IF(A606&gt;0,SUMIF('Барабан'!V:V,A606,'Барабан'!T:T),"")</f>
        <v/>
      </c>
      <c r="D606" s="2" t="str">
        <f>IF(A606&gt;0,SUMIF('Барабан'!K:K,A606,'Барабан'!AG:AG)+SUMIF('Барабан'!V:V,A606,'Барабан'!AG:AG),"")</f>
        <v/>
      </c>
      <c r="E606" s="2" t="str">
        <f t="shared" si="1"/>
        <v/>
      </c>
      <c r="F606" s="2" t="str">
        <f t="array" ref="F606">IFERROR(IF(E606=0,0,INDEX('Справочник'!G:G,MATCH(A606,'Справочник'!F:F,0))))</f>
        <v/>
      </c>
      <c r="G606" s="2" t="str">
        <f>IF(A606&gt;0,SUMIF('Барабан'!K:K,A606,'Барабан'!P:P),"")</f>
        <v/>
      </c>
      <c r="H606" s="2" t="str">
        <f>IF(A606&gt;0,SUMIF('Барабан'!V:V,A606,'Барабан'!AA:AA),"")</f>
        <v/>
      </c>
      <c r="I606" s="2" t="str">
        <f t="shared" si="4"/>
        <v/>
      </c>
      <c r="J606" s="9" t="str">
        <f t="shared" si="2"/>
        <v/>
      </c>
      <c r="K606" s="1" t="str">
        <f>IF(A606&gt;0,COUNTIF('Барабан'!K:K,A606),"")</f>
        <v/>
      </c>
      <c r="L606" s="1" t="str">
        <f>IF(A606&gt;0,COUNTIF('Барабан'!V:V,A606),"")</f>
        <v/>
      </c>
      <c r="M606" s="1" t="str">
        <f t="shared" si="3"/>
        <v/>
      </c>
      <c r="N606" s="1" t="str">
        <f>IFERROR(__xludf.DUMMYFUNCTION("IF(A606&gt;0,MIN(FILTER('Барабан'!AJ:AJ,'Барабан'!K:K=A606)),"""")"),"")</f>
        <v/>
      </c>
      <c r="O606" s="16" t="str">
        <f>IFERROR(__xludf.DUMMYFUNCTION("IF(A606&gt;0,IFERROR(MAX(FILTER('Барабан'!AJ:AJ,'Барабан'!V:V=A606)),""–""),"""")"),"")</f>
        <v/>
      </c>
    </row>
    <row r="607" ht="15.75" customHeight="1">
      <c r="A607" s="1" t="str">
        <f>'Справочник'!E602</f>
        <v/>
      </c>
      <c r="B607" s="2" t="str">
        <f>IF(A607&gt;0,SUMIF('Барабан'!K:K,A607,'Барабан'!I:I),"")</f>
        <v/>
      </c>
      <c r="C607" s="2" t="str">
        <f>IF(A607&gt;0,SUMIF('Барабан'!V:V,A607,'Барабан'!T:T),"")</f>
        <v/>
      </c>
      <c r="D607" s="2" t="str">
        <f>IF(A607&gt;0,SUMIF('Барабан'!K:K,A607,'Барабан'!AG:AG)+SUMIF('Барабан'!V:V,A607,'Барабан'!AG:AG),"")</f>
        <v/>
      </c>
      <c r="E607" s="2" t="str">
        <f t="shared" si="1"/>
        <v/>
      </c>
      <c r="F607" s="2" t="str">
        <f t="array" ref="F607">IFERROR(IF(E607=0,0,INDEX('Справочник'!G:G,MATCH(A607,'Справочник'!F:F,0))))</f>
        <v/>
      </c>
      <c r="G607" s="2" t="str">
        <f>IF(A607&gt;0,SUMIF('Барабан'!K:K,A607,'Барабан'!P:P),"")</f>
        <v/>
      </c>
      <c r="H607" s="2" t="str">
        <f>IF(A607&gt;0,SUMIF('Барабан'!V:V,A607,'Барабан'!AA:AA),"")</f>
        <v/>
      </c>
      <c r="I607" s="2" t="str">
        <f t="shared" si="4"/>
        <v/>
      </c>
      <c r="J607" s="9" t="str">
        <f t="shared" si="2"/>
        <v/>
      </c>
      <c r="K607" s="1" t="str">
        <f>IF(A607&gt;0,COUNTIF('Барабан'!K:K,A607),"")</f>
        <v/>
      </c>
      <c r="L607" s="1" t="str">
        <f>IF(A607&gt;0,COUNTIF('Барабан'!V:V,A607),"")</f>
        <v/>
      </c>
      <c r="M607" s="1" t="str">
        <f t="shared" si="3"/>
        <v/>
      </c>
      <c r="N607" s="1" t="str">
        <f>IFERROR(__xludf.DUMMYFUNCTION("IF(A607&gt;0,MIN(FILTER('Барабан'!AJ:AJ,'Барабан'!K:K=A607)),"""")"),"")</f>
        <v/>
      </c>
      <c r="O607" s="16" t="str">
        <f>IFERROR(__xludf.DUMMYFUNCTION("IF(A607&gt;0,IFERROR(MAX(FILTER('Барабан'!AJ:AJ,'Барабан'!V:V=A607)),""–""),"""")"),"")</f>
        <v/>
      </c>
    </row>
    <row r="608" ht="15.75" customHeight="1">
      <c r="A608" s="1" t="str">
        <f>'Справочник'!E603</f>
        <v/>
      </c>
      <c r="B608" s="2" t="str">
        <f>IF(A608&gt;0,SUMIF('Барабан'!K:K,A608,'Барабан'!I:I),"")</f>
        <v/>
      </c>
      <c r="C608" s="2" t="str">
        <f>IF(A608&gt;0,SUMIF('Барабан'!V:V,A608,'Барабан'!T:T),"")</f>
        <v/>
      </c>
      <c r="D608" s="2" t="str">
        <f>IF(A608&gt;0,SUMIF('Барабан'!K:K,A608,'Барабан'!AG:AG)+SUMIF('Барабан'!V:V,A608,'Барабан'!AG:AG),"")</f>
        <v/>
      </c>
      <c r="E608" s="2" t="str">
        <f t="shared" si="1"/>
        <v/>
      </c>
      <c r="F608" s="2" t="str">
        <f t="array" ref="F608">IFERROR(IF(E608=0,0,INDEX('Справочник'!G:G,MATCH(A608,'Справочник'!F:F,0))))</f>
        <v/>
      </c>
      <c r="G608" s="2" t="str">
        <f>IF(A608&gt;0,SUMIF('Барабан'!K:K,A608,'Барабан'!P:P),"")</f>
        <v/>
      </c>
      <c r="H608" s="2" t="str">
        <f>IF(A608&gt;0,SUMIF('Барабан'!V:V,A608,'Барабан'!AA:AA),"")</f>
        <v/>
      </c>
      <c r="I608" s="2" t="str">
        <f t="shared" si="4"/>
        <v/>
      </c>
      <c r="J608" s="9" t="str">
        <f t="shared" si="2"/>
        <v/>
      </c>
      <c r="K608" s="1" t="str">
        <f>IF(A608&gt;0,COUNTIF('Барабан'!K:K,A608),"")</f>
        <v/>
      </c>
      <c r="L608" s="1" t="str">
        <f>IF(A608&gt;0,COUNTIF('Барабан'!V:V,A608),"")</f>
        <v/>
      </c>
      <c r="M608" s="1" t="str">
        <f t="shared" si="3"/>
        <v/>
      </c>
      <c r="N608" s="1" t="str">
        <f>IFERROR(__xludf.DUMMYFUNCTION("IF(A608&gt;0,MIN(FILTER('Барабан'!AJ:AJ,'Барабан'!K:K=A608)),"""")"),"")</f>
        <v/>
      </c>
      <c r="O608" s="16" t="str">
        <f>IFERROR(__xludf.DUMMYFUNCTION("IF(A608&gt;0,IFERROR(MAX(FILTER('Барабан'!AJ:AJ,'Барабан'!V:V=A608)),""–""),"""")"),"")</f>
        <v/>
      </c>
    </row>
    <row r="609" ht="15.75" customHeight="1">
      <c r="A609" s="1" t="str">
        <f>'Справочник'!E604</f>
        <v/>
      </c>
      <c r="B609" s="2" t="str">
        <f>IF(A609&gt;0,SUMIF('Барабан'!K:K,A609,'Барабан'!I:I),"")</f>
        <v/>
      </c>
      <c r="C609" s="2" t="str">
        <f>IF(A609&gt;0,SUMIF('Барабан'!V:V,A609,'Барабан'!T:T),"")</f>
        <v/>
      </c>
      <c r="D609" s="2" t="str">
        <f>IF(A609&gt;0,SUMIF('Барабан'!K:K,A609,'Барабан'!AG:AG)+SUMIF('Барабан'!V:V,A609,'Барабан'!AG:AG),"")</f>
        <v/>
      </c>
      <c r="E609" s="2" t="str">
        <f t="shared" si="1"/>
        <v/>
      </c>
      <c r="F609" s="2" t="str">
        <f t="array" ref="F609">IFERROR(IF(E609=0,0,INDEX('Справочник'!G:G,MATCH(A609,'Справочник'!F:F,0))))</f>
        <v/>
      </c>
      <c r="G609" s="2" t="str">
        <f>IF(A609&gt;0,SUMIF('Барабан'!K:K,A609,'Барабан'!P:P),"")</f>
        <v/>
      </c>
      <c r="H609" s="2" t="str">
        <f>IF(A609&gt;0,SUMIF('Барабан'!V:V,A609,'Барабан'!AA:AA),"")</f>
        <v/>
      </c>
      <c r="I609" s="2" t="str">
        <f t="shared" si="4"/>
        <v/>
      </c>
      <c r="J609" s="9" t="str">
        <f t="shared" si="2"/>
        <v/>
      </c>
      <c r="K609" s="1" t="str">
        <f>IF(A609&gt;0,COUNTIF('Барабан'!K:K,A609),"")</f>
        <v/>
      </c>
      <c r="L609" s="1" t="str">
        <f>IF(A609&gt;0,COUNTIF('Барабан'!V:V,A609),"")</f>
        <v/>
      </c>
      <c r="M609" s="1" t="str">
        <f t="shared" si="3"/>
        <v/>
      </c>
      <c r="N609" s="1" t="str">
        <f>IFERROR(__xludf.DUMMYFUNCTION("IF(A609&gt;0,MIN(FILTER('Барабан'!AJ:AJ,'Барабан'!K:K=A609)),"""")"),"")</f>
        <v/>
      </c>
      <c r="O609" s="16" t="str">
        <f>IFERROR(__xludf.DUMMYFUNCTION("IF(A609&gt;0,IFERROR(MAX(FILTER('Барабан'!AJ:AJ,'Барабан'!V:V=A609)),""–""),"""")"),"")</f>
        <v/>
      </c>
    </row>
    <row r="610" ht="15.75" customHeight="1">
      <c r="A610" s="1" t="str">
        <f>'Справочник'!E605</f>
        <v/>
      </c>
      <c r="B610" s="2" t="str">
        <f>IF(A610&gt;0,SUMIF('Барабан'!K:K,A610,'Барабан'!I:I),"")</f>
        <v/>
      </c>
      <c r="C610" s="2" t="str">
        <f>IF(A610&gt;0,SUMIF('Барабан'!V:V,A610,'Барабан'!T:T),"")</f>
        <v/>
      </c>
      <c r="D610" s="2" t="str">
        <f>IF(A610&gt;0,SUMIF('Барабан'!K:K,A610,'Барабан'!AG:AG)+SUMIF('Барабан'!V:V,A610,'Барабан'!AG:AG),"")</f>
        <v/>
      </c>
      <c r="E610" s="2" t="str">
        <f t="shared" si="1"/>
        <v/>
      </c>
      <c r="F610" s="2" t="str">
        <f t="array" ref="F610">IFERROR(IF(E610=0,0,INDEX('Справочник'!G:G,MATCH(A610,'Справочник'!F:F,0))))</f>
        <v/>
      </c>
      <c r="G610" s="2" t="str">
        <f>IF(A610&gt;0,SUMIF('Барабан'!K:K,A610,'Барабан'!P:P),"")</f>
        <v/>
      </c>
      <c r="H610" s="2" t="str">
        <f>IF(A610&gt;0,SUMIF('Барабан'!V:V,A610,'Барабан'!AA:AA),"")</f>
        <v/>
      </c>
      <c r="I610" s="2" t="str">
        <f t="shared" si="4"/>
        <v/>
      </c>
      <c r="J610" s="9" t="str">
        <f t="shared" si="2"/>
        <v/>
      </c>
      <c r="K610" s="1" t="str">
        <f>IF(A610&gt;0,COUNTIF('Барабан'!K:K,A610),"")</f>
        <v/>
      </c>
      <c r="L610" s="1" t="str">
        <f>IF(A610&gt;0,COUNTIF('Барабан'!V:V,A610),"")</f>
        <v/>
      </c>
      <c r="M610" s="1" t="str">
        <f t="shared" si="3"/>
        <v/>
      </c>
      <c r="N610" s="1" t="str">
        <f>IFERROR(__xludf.DUMMYFUNCTION("IF(A610&gt;0,MIN(FILTER('Барабан'!AJ:AJ,'Барабан'!K:K=A610)),"""")"),"")</f>
        <v/>
      </c>
      <c r="O610" s="16" t="str">
        <f>IFERROR(__xludf.DUMMYFUNCTION("IF(A610&gt;0,IFERROR(MAX(FILTER('Барабан'!AJ:AJ,'Барабан'!V:V=A610)),""–""),"""")"),"")</f>
        <v/>
      </c>
    </row>
    <row r="611" ht="15.75" customHeight="1">
      <c r="A611" s="1" t="str">
        <f>'Справочник'!E606</f>
        <v/>
      </c>
      <c r="B611" s="2" t="str">
        <f>IF(A611&gt;0,SUMIF('Барабан'!K:K,A611,'Барабан'!I:I),"")</f>
        <v/>
      </c>
      <c r="C611" s="2" t="str">
        <f>IF(A611&gt;0,SUMIF('Барабан'!V:V,A611,'Барабан'!T:T),"")</f>
        <v/>
      </c>
      <c r="D611" s="2" t="str">
        <f>IF(A611&gt;0,SUMIF('Барабан'!K:K,A611,'Барабан'!AG:AG)+SUMIF('Барабан'!V:V,A611,'Барабан'!AG:AG),"")</f>
        <v/>
      </c>
      <c r="E611" s="2" t="str">
        <f t="shared" si="1"/>
        <v/>
      </c>
      <c r="F611" s="2" t="str">
        <f t="array" ref="F611">IFERROR(IF(E611=0,0,INDEX('Справочник'!G:G,MATCH(A611,'Справочник'!F:F,0))))</f>
        <v/>
      </c>
      <c r="G611" s="2" t="str">
        <f>IF(A611&gt;0,SUMIF('Барабан'!K:K,A611,'Барабан'!P:P),"")</f>
        <v/>
      </c>
      <c r="H611" s="2" t="str">
        <f>IF(A611&gt;0,SUMIF('Барабан'!V:V,A611,'Барабан'!AA:AA),"")</f>
        <v/>
      </c>
      <c r="I611" s="2" t="str">
        <f t="shared" si="4"/>
        <v/>
      </c>
      <c r="J611" s="9" t="str">
        <f t="shared" si="2"/>
        <v/>
      </c>
      <c r="K611" s="1" t="str">
        <f>IF(A611&gt;0,COUNTIF('Барабан'!K:K,A611),"")</f>
        <v/>
      </c>
      <c r="L611" s="1" t="str">
        <f>IF(A611&gt;0,COUNTIF('Барабан'!V:V,A611),"")</f>
        <v/>
      </c>
      <c r="M611" s="1" t="str">
        <f t="shared" si="3"/>
        <v/>
      </c>
      <c r="N611" s="1" t="str">
        <f>IFERROR(__xludf.DUMMYFUNCTION("IF(A611&gt;0,MIN(FILTER('Барабан'!AJ:AJ,'Барабан'!K:K=A611)),"""")"),"")</f>
        <v/>
      </c>
      <c r="O611" s="16" t="str">
        <f>IFERROR(__xludf.DUMMYFUNCTION("IF(A611&gt;0,IFERROR(MAX(FILTER('Барабан'!AJ:AJ,'Барабан'!V:V=A611)),""–""),"""")"),"")</f>
        <v/>
      </c>
    </row>
    <row r="612" ht="15.75" customHeight="1">
      <c r="A612" s="1" t="str">
        <f>'Справочник'!E607</f>
        <v/>
      </c>
      <c r="B612" s="2" t="str">
        <f>IF(A612&gt;0,SUMIF('Барабан'!K:K,A612,'Барабан'!I:I),"")</f>
        <v/>
      </c>
      <c r="C612" s="2" t="str">
        <f>IF(A612&gt;0,SUMIF('Барабан'!V:V,A612,'Барабан'!T:T),"")</f>
        <v/>
      </c>
      <c r="D612" s="2" t="str">
        <f>IF(A612&gt;0,SUMIF('Барабан'!K:K,A612,'Барабан'!AG:AG)+SUMIF('Барабан'!V:V,A612,'Барабан'!AG:AG),"")</f>
        <v/>
      </c>
      <c r="E612" s="2" t="str">
        <f t="shared" si="1"/>
        <v/>
      </c>
      <c r="F612" s="2" t="str">
        <f t="array" ref="F612">IFERROR(IF(E612=0,0,INDEX('Справочник'!G:G,MATCH(A612,'Справочник'!F:F,0))))</f>
        <v/>
      </c>
      <c r="G612" s="2" t="str">
        <f>IF(A612&gt;0,SUMIF('Барабан'!K:K,A612,'Барабан'!P:P),"")</f>
        <v/>
      </c>
      <c r="H612" s="2" t="str">
        <f>IF(A612&gt;0,SUMIF('Барабан'!V:V,A612,'Барабан'!AA:AA),"")</f>
        <v/>
      </c>
      <c r="I612" s="2" t="str">
        <f t="shared" si="4"/>
        <v/>
      </c>
      <c r="J612" s="9" t="str">
        <f t="shared" si="2"/>
        <v/>
      </c>
      <c r="K612" s="1" t="str">
        <f>IF(A612&gt;0,COUNTIF('Барабан'!K:K,A612),"")</f>
        <v/>
      </c>
      <c r="L612" s="1" t="str">
        <f>IF(A612&gt;0,COUNTIF('Барабан'!V:V,A612),"")</f>
        <v/>
      </c>
      <c r="M612" s="1" t="str">
        <f t="shared" si="3"/>
        <v/>
      </c>
      <c r="N612" s="1" t="str">
        <f>IFERROR(__xludf.DUMMYFUNCTION("IF(A612&gt;0,MIN(FILTER('Барабан'!AJ:AJ,'Барабан'!K:K=A612)),"""")"),"")</f>
        <v/>
      </c>
      <c r="O612" s="16" t="str">
        <f>IFERROR(__xludf.DUMMYFUNCTION("IF(A612&gt;0,IFERROR(MAX(FILTER('Барабан'!AJ:AJ,'Барабан'!V:V=A612)),""–""),"""")"),"")</f>
        <v/>
      </c>
    </row>
    <row r="613" ht="15.75" customHeight="1">
      <c r="A613" s="1" t="str">
        <f>'Справочник'!E608</f>
        <v/>
      </c>
      <c r="B613" s="2" t="str">
        <f>IF(A613&gt;0,SUMIF('Барабан'!K:K,A613,'Барабан'!I:I),"")</f>
        <v/>
      </c>
      <c r="C613" s="2" t="str">
        <f>IF(A613&gt;0,SUMIF('Барабан'!V:V,A613,'Барабан'!T:T),"")</f>
        <v/>
      </c>
      <c r="D613" s="2" t="str">
        <f>IF(A613&gt;0,SUMIF('Барабан'!K:K,A613,'Барабан'!AG:AG)+SUMIF('Барабан'!V:V,A613,'Барабан'!AG:AG),"")</f>
        <v/>
      </c>
      <c r="E613" s="2" t="str">
        <f t="shared" si="1"/>
        <v/>
      </c>
      <c r="F613" s="2" t="str">
        <f t="array" ref="F613">IFERROR(IF(E613=0,0,INDEX('Справочник'!G:G,MATCH(A613,'Справочник'!F:F,0))))</f>
        <v/>
      </c>
      <c r="G613" s="2" t="str">
        <f>IF(A613&gt;0,SUMIF('Барабан'!K:K,A613,'Барабан'!P:P),"")</f>
        <v/>
      </c>
      <c r="H613" s="2" t="str">
        <f>IF(A613&gt;0,SUMIF('Барабан'!V:V,A613,'Барабан'!AA:AA),"")</f>
        <v/>
      </c>
      <c r="I613" s="2" t="str">
        <f t="shared" si="4"/>
        <v/>
      </c>
      <c r="J613" s="9" t="str">
        <f t="shared" si="2"/>
        <v/>
      </c>
      <c r="K613" s="1" t="str">
        <f>IF(A613&gt;0,COUNTIF('Барабан'!K:K,A613),"")</f>
        <v/>
      </c>
      <c r="L613" s="1" t="str">
        <f>IF(A613&gt;0,COUNTIF('Барабан'!V:V,A613),"")</f>
        <v/>
      </c>
      <c r="M613" s="1" t="str">
        <f t="shared" si="3"/>
        <v/>
      </c>
      <c r="N613" s="1" t="str">
        <f>IFERROR(__xludf.DUMMYFUNCTION("IF(A613&gt;0,MIN(FILTER('Барабан'!AJ:AJ,'Барабан'!K:K=A613)),"""")"),"")</f>
        <v/>
      </c>
      <c r="O613" s="16" t="str">
        <f>IFERROR(__xludf.DUMMYFUNCTION("IF(A613&gt;0,IFERROR(MAX(FILTER('Барабан'!AJ:AJ,'Барабан'!V:V=A613)),""–""),"""")"),"")</f>
        <v/>
      </c>
    </row>
    <row r="614" ht="15.75" customHeight="1">
      <c r="A614" s="1" t="str">
        <f>'Справочник'!E609</f>
        <v/>
      </c>
      <c r="B614" s="2" t="str">
        <f>IF(A614&gt;0,SUMIF('Барабан'!K:K,A614,'Барабан'!I:I),"")</f>
        <v/>
      </c>
      <c r="C614" s="2" t="str">
        <f>IF(A614&gt;0,SUMIF('Барабан'!V:V,A614,'Барабан'!T:T),"")</f>
        <v/>
      </c>
      <c r="D614" s="2" t="str">
        <f>IF(A614&gt;0,SUMIF('Барабан'!K:K,A614,'Барабан'!AG:AG)+SUMIF('Барабан'!V:V,A614,'Барабан'!AG:AG),"")</f>
        <v/>
      </c>
      <c r="E614" s="2" t="str">
        <f t="shared" si="1"/>
        <v/>
      </c>
      <c r="F614" s="2" t="str">
        <f t="array" ref="F614">IFERROR(IF(E614=0,0,INDEX('Справочник'!G:G,MATCH(A614,'Справочник'!F:F,0))))</f>
        <v/>
      </c>
      <c r="G614" s="2" t="str">
        <f>IF(A614&gt;0,SUMIF('Барабан'!K:K,A614,'Барабан'!P:P),"")</f>
        <v/>
      </c>
      <c r="H614" s="2" t="str">
        <f>IF(A614&gt;0,SUMIF('Барабан'!V:V,A614,'Барабан'!AA:AA),"")</f>
        <v/>
      </c>
      <c r="I614" s="2" t="str">
        <f t="shared" si="4"/>
        <v/>
      </c>
      <c r="J614" s="9" t="str">
        <f t="shared" si="2"/>
        <v/>
      </c>
      <c r="K614" s="1" t="str">
        <f>IF(A614&gt;0,COUNTIF('Барабан'!K:K,A614),"")</f>
        <v/>
      </c>
      <c r="L614" s="1" t="str">
        <f>IF(A614&gt;0,COUNTIF('Барабан'!V:V,A614),"")</f>
        <v/>
      </c>
      <c r="M614" s="1" t="str">
        <f t="shared" si="3"/>
        <v/>
      </c>
      <c r="N614" s="1" t="str">
        <f>IFERROR(__xludf.DUMMYFUNCTION("IF(A614&gt;0,MIN(FILTER('Барабан'!AJ:AJ,'Барабан'!K:K=A614)),"""")"),"")</f>
        <v/>
      </c>
      <c r="O614" s="16" t="str">
        <f>IFERROR(__xludf.DUMMYFUNCTION("IF(A614&gt;0,IFERROR(MAX(FILTER('Барабан'!AJ:AJ,'Барабан'!V:V=A614)),""–""),"""")"),"")</f>
        <v/>
      </c>
    </row>
    <row r="615" ht="15.75" customHeight="1">
      <c r="A615" s="1" t="str">
        <f>'Справочник'!E610</f>
        <v/>
      </c>
      <c r="B615" s="2" t="str">
        <f>IF(A615&gt;0,SUMIF('Барабан'!K:K,A615,'Барабан'!I:I),"")</f>
        <v/>
      </c>
      <c r="C615" s="2" t="str">
        <f>IF(A615&gt;0,SUMIF('Барабан'!V:V,A615,'Барабан'!T:T),"")</f>
        <v/>
      </c>
      <c r="D615" s="2" t="str">
        <f>IF(A615&gt;0,SUMIF('Барабан'!K:K,A615,'Барабан'!AG:AG)+SUMIF('Барабан'!V:V,A615,'Барабан'!AG:AG),"")</f>
        <v/>
      </c>
      <c r="E615" s="2" t="str">
        <f t="shared" si="1"/>
        <v/>
      </c>
      <c r="F615" s="2" t="str">
        <f t="array" ref="F615">IFERROR(IF(E615=0,0,INDEX('Справочник'!G:G,MATCH(A615,'Справочник'!F:F,0))))</f>
        <v/>
      </c>
      <c r="G615" s="2" t="str">
        <f>IF(A615&gt;0,SUMIF('Барабан'!K:K,A615,'Барабан'!P:P),"")</f>
        <v/>
      </c>
      <c r="H615" s="2" t="str">
        <f>IF(A615&gt;0,SUMIF('Барабан'!V:V,A615,'Барабан'!AA:AA),"")</f>
        <v/>
      </c>
      <c r="I615" s="2" t="str">
        <f t="shared" si="4"/>
        <v/>
      </c>
      <c r="J615" s="9" t="str">
        <f t="shared" si="2"/>
        <v/>
      </c>
      <c r="K615" s="1" t="str">
        <f>IF(A615&gt;0,COUNTIF('Барабан'!K:K,A615),"")</f>
        <v/>
      </c>
      <c r="L615" s="1" t="str">
        <f>IF(A615&gt;0,COUNTIF('Барабан'!V:V,A615),"")</f>
        <v/>
      </c>
      <c r="M615" s="1" t="str">
        <f t="shared" si="3"/>
        <v/>
      </c>
      <c r="N615" s="1" t="str">
        <f>IFERROR(__xludf.DUMMYFUNCTION("IF(A615&gt;0,MIN(FILTER('Барабан'!AJ:AJ,'Барабан'!K:K=A615)),"""")"),"")</f>
        <v/>
      </c>
      <c r="O615" s="16" t="str">
        <f>IFERROR(__xludf.DUMMYFUNCTION("IF(A615&gt;0,IFERROR(MAX(FILTER('Барабан'!AJ:AJ,'Барабан'!V:V=A615)),""–""),"""")"),"")</f>
        <v/>
      </c>
    </row>
    <row r="616" ht="15.75" customHeight="1">
      <c r="A616" s="1" t="str">
        <f>'Справочник'!E611</f>
        <v/>
      </c>
      <c r="B616" s="2" t="str">
        <f>IF(A616&gt;0,SUMIF('Барабан'!K:K,A616,'Барабан'!I:I),"")</f>
        <v/>
      </c>
      <c r="C616" s="2" t="str">
        <f>IF(A616&gt;0,SUMIF('Барабан'!V:V,A616,'Барабан'!T:T),"")</f>
        <v/>
      </c>
      <c r="D616" s="2" t="str">
        <f>IF(A616&gt;0,SUMIF('Барабан'!K:K,A616,'Барабан'!AG:AG)+SUMIF('Барабан'!V:V,A616,'Барабан'!AG:AG),"")</f>
        <v/>
      </c>
      <c r="E616" s="2" t="str">
        <f t="shared" si="1"/>
        <v/>
      </c>
      <c r="F616" s="2" t="str">
        <f t="array" ref="F616">IFERROR(IF(E616=0,0,INDEX('Справочник'!G:G,MATCH(A616,'Справочник'!F:F,0))))</f>
        <v/>
      </c>
      <c r="G616" s="2" t="str">
        <f>IF(A616&gt;0,SUMIF('Барабан'!K:K,A616,'Барабан'!P:P),"")</f>
        <v/>
      </c>
      <c r="H616" s="2" t="str">
        <f>IF(A616&gt;0,SUMIF('Барабан'!V:V,A616,'Барабан'!AA:AA),"")</f>
        <v/>
      </c>
      <c r="I616" s="2" t="str">
        <f t="shared" si="4"/>
        <v/>
      </c>
      <c r="J616" s="9" t="str">
        <f t="shared" si="2"/>
        <v/>
      </c>
      <c r="K616" s="1" t="str">
        <f>IF(A616&gt;0,COUNTIF('Барабан'!K:K,A616),"")</f>
        <v/>
      </c>
      <c r="L616" s="1" t="str">
        <f>IF(A616&gt;0,COUNTIF('Барабан'!V:V,A616),"")</f>
        <v/>
      </c>
      <c r="M616" s="1" t="str">
        <f t="shared" si="3"/>
        <v/>
      </c>
      <c r="N616" s="1" t="str">
        <f>IFERROR(__xludf.DUMMYFUNCTION("IF(A616&gt;0,MIN(FILTER('Барабан'!AJ:AJ,'Барабан'!K:K=A616)),"""")"),"")</f>
        <v/>
      </c>
      <c r="O616" s="16" t="str">
        <f>IFERROR(__xludf.DUMMYFUNCTION("IF(A616&gt;0,IFERROR(MAX(FILTER('Барабан'!AJ:AJ,'Барабан'!V:V=A616)),""–""),"""")"),"")</f>
        <v/>
      </c>
    </row>
    <row r="617" ht="15.75" customHeight="1">
      <c r="A617" s="1" t="str">
        <f>'Справочник'!E612</f>
        <v/>
      </c>
      <c r="B617" s="2" t="str">
        <f>IF(A617&gt;0,SUMIF('Барабан'!K:K,A617,'Барабан'!I:I),"")</f>
        <v/>
      </c>
      <c r="C617" s="2" t="str">
        <f>IF(A617&gt;0,SUMIF('Барабан'!V:V,A617,'Барабан'!T:T),"")</f>
        <v/>
      </c>
      <c r="D617" s="2" t="str">
        <f>IF(A617&gt;0,SUMIF('Барабан'!K:K,A617,'Барабан'!AG:AG)+SUMIF('Барабан'!V:V,A617,'Барабан'!AG:AG),"")</f>
        <v/>
      </c>
      <c r="E617" s="2" t="str">
        <f t="shared" si="1"/>
        <v/>
      </c>
      <c r="F617" s="2" t="str">
        <f t="array" ref="F617">IFERROR(IF(E617=0,0,INDEX('Справочник'!G:G,MATCH(A617,'Справочник'!F:F,0))))</f>
        <v/>
      </c>
      <c r="G617" s="2" t="str">
        <f>IF(A617&gt;0,SUMIF('Барабан'!K:K,A617,'Барабан'!P:P),"")</f>
        <v/>
      </c>
      <c r="H617" s="2" t="str">
        <f>IF(A617&gt;0,SUMIF('Барабан'!V:V,A617,'Барабан'!AA:AA),"")</f>
        <v/>
      </c>
      <c r="I617" s="2" t="str">
        <f t="shared" si="4"/>
        <v/>
      </c>
      <c r="J617" s="9" t="str">
        <f t="shared" si="2"/>
        <v/>
      </c>
      <c r="K617" s="1" t="str">
        <f>IF(A617&gt;0,COUNTIF('Барабан'!K:K,A617),"")</f>
        <v/>
      </c>
      <c r="L617" s="1" t="str">
        <f>IF(A617&gt;0,COUNTIF('Барабан'!V:V,A617),"")</f>
        <v/>
      </c>
      <c r="M617" s="1" t="str">
        <f t="shared" si="3"/>
        <v/>
      </c>
      <c r="N617" s="1" t="str">
        <f>IFERROR(__xludf.DUMMYFUNCTION("IF(A617&gt;0,MIN(FILTER('Барабан'!AJ:AJ,'Барабан'!K:K=A617)),"""")"),"")</f>
        <v/>
      </c>
      <c r="O617" s="16" t="str">
        <f>IFERROR(__xludf.DUMMYFUNCTION("IF(A617&gt;0,IFERROR(MAX(FILTER('Барабан'!AJ:AJ,'Барабан'!V:V=A617)),""–""),"""")"),"")</f>
        <v/>
      </c>
    </row>
    <row r="618" ht="15.75" customHeight="1">
      <c r="A618" s="1" t="str">
        <f>'Справочник'!E613</f>
        <v/>
      </c>
      <c r="B618" s="2" t="str">
        <f>IF(A618&gt;0,SUMIF('Барабан'!K:K,A618,'Барабан'!I:I),"")</f>
        <v/>
      </c>
      <c r="C618" s="2" t="str">
        <f>IF(A618&gt;0,SUMIF('Барабан'!V:V,A618,'Барабан'!T:T),"")</f>
        <v/>
      </c>
      <c r="D618" s="2" t="str">
        <f>IF(A618&gt;0,SUMIF('Барабан'!K:K,A618,'Барабан'!AG:AG)+SUMIF('Барабан'!V:V,A618,'Барабан'!AG:AG),"")</f>
        <v/>
      </c>
      <c r="E618" s="2" t="str">
        <f t="shared" si="1"/>
        <v/>
      </c>
      <c r="F618" s="2" t="str">
        <f t="array" ref="F618">IFERROR(IF(E618=0,0,INDEX('Справочник'!G:G,MATCH(A618,'Справочник'!F:F,0))))</f>
        <v/>
      </c>
      <c r="G618" s="2" t="str">
        <f>IF(A618&gt;0,SUMIF('Барабан'!K:K,A618,'Барабан'!P:P),"")</f>
        <v/>
      </c>
      <c r="H618" s="2" t="str">
        <f>IF(A618&gt;0,SUMIF('Барабан'!V:V,A618,'Барабан'!AA:AA),"")</f>
        <v/>
      </c>
      <c r="I618" s="2" t="str">
        <f t="shared" si="4"/>
        <v/>
      </c>
      <c r="J618" s="9" t="str">
        <f t="shared" si="2"/>
        <v/>
      </c>
      <c r="K618" s="1" t="str">
        <f>IF(A618&gt;0,COUNTIF('Барабан'!K:K,A618),"")</f>
        <v/>
      </c>
      <c r="L618" s="1" t="str">
        <f>IF(A618&gt;0,COUNTIF('Барабан'!V:V,A618),"")</f>
        <v/>
      </c>
      <c r="M618" s="1" t="str">
        <f t="shared" si="3"/>
        <v/>
      </c>
      <c r="N618" s="1" t="str">
        <f>IFERROR(__xludf.DUMMYFUNCTION("IF(A618&gt;0,MIN(FILTER('Барабан'!AJ:AJ,'Барабан'!K:K=A618)),"""")"),"")</f>
        <v/>
      </c>
      <c r="O618" s="16" t="str">
        <f>IFERROR(__xludf.DUMMYFUNCTION("IF(A618&gt;0,IFERROR(MAX(FILTER('Барабан'!AJ:AJ,'Барабан'!V:V=A618)),""–""),"""")"),"")</f>
        <v/>
      </c>
    </row>
    <row r="619" ht="15.75" customHeight="1">
      <c r="A619" s="1" t="str">
        <f>'Справочник'!E614</f>
        <v/>
      </c>
      <c r="B619" s="2" t="str">
        <f>IF(A619&gt;0,SUMIF('Барабан'!K:K,A619,'Барабан'!I:I),"")</f>
        <v/>
      </c>
      <c r="C619" s="2" t="str">
        <f>IF(A619&gt;0,SUMIF('Барабан'!V:V,A619,'Барабан'!T:T),"")</f>
        <v/>
      </c>
      <c r="D619" s="2" t="str">
        <f>IF(A619&gt;0,SUMIF('Барабан'!K:K,A619,'Барабан'!AG:AG)+SUMIF('Барабан'!V:V,A619,'Барабан'!AG:AG),"")</f>
        <v/>
      </c>
      <c r="E619" s="2" t="str">
        <f t="shared" si="1"/>
        <v/>
      </c>
      <c r="F619" s="2" t="str">
        <f t="array" ref="F619">IFERROR(IF(E619=0,0,INDEX('Справочник'!G:G,MATCH(A619,'Справочник'!F:F,0))))</f>
        <v/>
      </c>
      <c r="G619" s="2" t="str">
        <f>IF(A619&gt;0,SUMIF('Барабан'!K:K,A619,'Барабан'!P:P),"")</f>
        <v/>
      </c>
      <c r="H619" s="2" t="str">
        <f>IF(A619&gt;0,SUMIF('Барабан'!V:V,A619,'Барабан'!AA:AA),"")</f>
        <v/>
      </c>
      <c r="I619" s="2" t="str">
        <f t="shared" si="4"/>
        <v/>
      </c>
      <c r="J619" s="9" t="str">
        <f t="shared" si="2"/>
        <v/>
      </c>
      <c r="K619" s="1" t="str">
        <f>IF(A619&gt;0,COUNTIF('Барабан'!K:K,A619),"")</f>
        <v/>
      </c>
      <c r="L619" s="1" t="str">
        <f>IF(A619&gt;0,COUNTIF('Барабан'!V:V,A619),"")</f>
        <v/>
      </c>
      <c r="M619" s="1" t="str">
        <f t="shared" si="3"/>
        <v/>
      </c>
      <c r="N619" s="1" t="str">
        <f>IFERROR(__xludf.DUMMYFUNCTION("IF(A619&gt;0,MIN(FILTER('Барабан'!AJ:AJ,'Барабан'!K:K=A619)),"""")"),"")</f>
        <v/>
      </c>
      <c r="O619" s="16" t="str">
        <f>IFERROR(__xludf.DUMMYFUNCTION("IF(A619&gt;0,IFERROR(MAX(FILTER('Барабан'!AJ:AJ,'Барабан'!V:V=A619)),""–""),"""")"),"")</f>
        <v/>
      </c>
    </row>
    <row r="620" ht="15.75" customHeight="1">
      <c r="A620" s="1" t="str">
        <f>'Справочник'!E615</f>
        <v/>
      </c>
      <c r="B620" s="2" t="str">
        <f>IF(A620&gt;0,SUMIF('Барабан'!K:K,A620,'Барабан'!I:I),"")</f>
        <v/>
      </c>
      <c r="C620" s="2" t="str">
        <f>IF(A620&gt;0,SUMIF('Барабан'!V:V,A620,'Барабан'!T:T),"")</f>
        <v/>
      </c>
      <c r="D620" s="2" t="str">
        <f>IF(A620&gt;0,SUMIF('Барабан'!K:K,A620,'Барабан'!AG:AG)+SUMIF('Барабан'!V:V,A620,'Барабан'!AG:AG),"")</f>
        <v/>
      </c>
      <c r="E620" s="2" t="str">
        <f t="shared" si="1"/>
        <v/>
      </c>
      <c r="F620" s="2" t="str">
        <f t="array" ref="F620">IFERROR(IF(E620=0,0,INDEX('Справочник'!G:G,MATCH(A620,'Справочник'!F:F,0))))</f>
        <v/>
      </c>
      <c r="G620" s="2" t="str">
        <f>IF(A620&gt;0,SUMIF('Барабан'!K:K,A620,'Барабан'!P:P),"")</f>
        <v/>
      </c>
      <c r="H620" s="2" t="str">
        <f>IF(A620&gt;0,SUMIF('Барабан'!V:V,A620,'Барабан'!AA:AA),"")</f>
        <v/>
      </c>
      <c r="I620" s="2" t="str">
        <f t="shared" si="4"/>
        <v/>
      </c>
      <c r="J620" s="9" t="str">
        <f t="shared" si="2"/>
        <v/>
      </c>
      <c r="K620" s="1" t="str">
        <f>IF(A620&gt;0,COUNTIF('Барабан'!K:K,A620),"")</f>
        <v/>
      </c>
      <c r="L620" s="1" t="str">
        <f>IF(A620&gt;0,COUNTIF('Барабан'!V:V,A620),"")</f>
        <v/>
      </c>
      <c r="M620" s="1" t="str">
        <f t="shared" si="3"/>
        <v/>
      </c>
      <c r="N620" s="1" t="str">
        <f>IFERROR(__xludf.DUMMYFUNCTION("IF(A620&gt;0,MIN(FILTER('Барабан'!AJ:AJ,'Барабан'!K:K=A620)),"""")"),"")</f>
        <v/>
      </c>
      <c r="O620" s="16" t="str">
        <f>IFERROR(__xludf.DUMMYFUNCTION("IF(A620&gt;0,IFERROR(MAX(FILTER('Барабан'!AJ:AJ,'Барабан'!V:V=A620)),""–""),"""")"),"")</f>
        <v/>
      </c>
    </row>
    <row r="621" ht="15.75" customHeight="1">
      <c r="A621" s="1" t="str">
        <f>'Справочник'!E616</f>
        <v/>
      </c>
      <c r="B621" s="2" t="str">
        <f>IF(A621&gt;0,SUMIF('Барабан'!K:K,A621,'Барабан'!I:I),"")</f>
        <v/>
      </c>
      <c r="C621" s="2" t="str">
        <f>IF(A621&gt;0,SUMIF('Барабан'!V:V,A621,'Барабан'!T:T),"")</f>
        <v/>
      </c>
      <c r="D621" s="2" t="str">
        <f>IF(A621&gt;0,SUMIF('Барабан'!K:K,A621,'Барабан'!AG:AG)+SUMIF('Барабан'!V:V,A621,'Барабан'!AG:AG),"")</f>
        <v/>
      </c>
      <c r="E621" s="2" t="str">
        <f t="shared" si="1"/>
        <v/>
      </c>
      <c r="F621" s="2" t="str">
        <f t="array" ref="F621">IFERROR(IF(E621=0,0,INDEX('Справочник'!G:G,MATCH(A621,'Справочник'!F:F,0))))</f>
        <v/>
      </c>
      <c r="G621" s="2" t="str">
        <f>IF(A621&gt;0,SUMIF('Барабан'!K:K,A621,'Барабан'!P:P),"")</f>
        <v/>
      </c>
      <c r="H621" s="2" t="str">
        <f>IF(A621&gt;0,SUMIF('Барабан'!V:V,A621,'Барабан'!AA:AA),"")</f>
        <v/>
      </c>
      <c r="I621" s="2" t="str">
        <f t="shared" si="4"/>
        <v/>
      </c>
      <c r="J621" s="9" t="str">
        <f t="shared" si="2"/>
        <v/>
      </c>
      <c r="K621" s="1" t="str">
        <f>IF(A621&gt;0,COUNTIF('Барабан'!K:K,A621),"")</f>
        <v/>
      </c>
      <c r="L621" s="1" t="str">
        <f>IF(A621&gt;0,COUNTIF('Барабан'!V:V,A621),"")</f>
        <v/>
      </c>
      <c r="M621" s="1" t="str">
        <f t="shared" si="3"/>
        <v/>
      </c>
      <c r="N621" s="1" t="str">
        <f>IFERROR(__xludf.DUMMYFUNCTION("IF(A621&gt;0,MIN(FILTER('Барабан'!AJ:AJ,'Барабан'!K:K=A621)),"""")"),"")</f>
        <v/>
      </c>
      <c r="O621" s="16" t="str">
        <f>IFERROR(__xludf.DUMMYFUNCTION("IF(A621&gt;0,IFERROR(MAX(FILTER('Барабан'!AJ:AJ,'Барабан'!V:V=A621)),""–""),"""")"),"")</f>
        <v/>
      </c>
    </row>
    <row r="622" ht="15.75" customHeight="1">
      <c r="A622" s="1" t="str">
        <f>'Справочник'!E617</f>
        <v/>
      </c>
      <c r="B622" s="2" t="str">
        <f>IF(A622&gt;0,SUMIF('Барабан'!K:K,A622,'Барабан'!I:I),"")</f>
        <v/>
      </c>
      <c r="C622" s="2" t="str">
        <f>IF(A622&gt;0,SUMIF('Барабан'!V:V,A622,'Барабан'!T:T),"")</f>
        <v/>
      </c>
      <c r="D622" s="2" t="str">
        <f>IF(A622&gt;0,SUMIF('Барабан'!K:K,A622,'Барабан'!AG:AG)+SUMIF('Барабан'!V:V,A622,'Барабан'!AG:AG),"")</f>
        <v/>
      </c>
      <c r="E622" s="2" t="str">
        <f t="shared" si="1"/>
        <v/>
      </c>
      <c r="F622" s="2" t="str">
        <f t="array" ref="F622">IFERROR(IF(E622=0,0,INDEX('Справочник'!G:G,MATCH(A622,'Справочник'!F:F,0))))</f>
        <v/>
      </c>
      <c r="G622" s="2" t="str">
        <f>IF(A622&gt;0,SUMIF('Барабан'!K:K,A622,'Барабан'!P:P),"")</f>
        <v/>
      </c>
      <c r="H622" s="2" t="str">
        <f>IF(A622&gt;0,SUMIF('Барабан'!V:V,A622,'Барабан'!AA:AA),"")</f>
        <v/>
      </c>
      <c r="I622" s="2" t="str">
        <f t="shared" si="4"/>
        <v/>
      </c>
      <c r="J622" s="9" t="str">
        <f t="shared" si="2"/>
        <v/>
      </c>
      <c r="K622" s="1" t="str">
        <f>IF(A622&gt;0,COUNTIF('Барабан'!K:K,A622),"")</f>
        <v/>
      </c>
      <c r="L622" s="1" t="str">
        <f>IF(A622&gt;0,COUNTIF('Барабан'!V:V,A622),"")</f>
        <v/>
      </c>
      <c r="M622" s="1" t="str">
        <f t="shared" si="3"/>
        <v/>
      </c>
      <c r="N622" s="1" t="str">
        <f>IFERROR(__xludf.DUMMYFUNCTION("IF(A622&gt;0,MIN(FILTER('Барабан'!AJ:AJ,'Барабан'!K:K=A622)),"""")"),"")</f>
        <v/>
      </c>
      <c r="O622" s="16" t="str">
        <f>IFERROR(__xludf.DUMMYFUNCTION("IF(A622&gt;0,IFERROR(MAX(FILTER('Барабан'!AJ:AJ,'Барабан'!V:V=A622)),""–""),"""")"),"")</f>
        <v/>
      </c>
    </row>
    <row r="623" ht="15.75" customHeight="1">
      <c r="A623" s="1" t="str">
        <f>'Справочник'!E618</f>
        <v/>
      </c>
      <c r="B623" s="2" t="str">
        <f>IF(A623&gt;0,SUMIF('Барабан'!K:K,A623,'Барабан'!I:I),"")</f>
        <v/>
      </c>
      <c r="C623" s="2" t="str">
        <f>IF(A623&gt;0,SUMIF('Барабан'!V:V,A623,'Барабан'!T:T),"")</f>
        <v/>
      </c>
      <c r="D623" s="2" t="str">
        <f>IF(A623&gt;0,SUMIF('Барабан'!K:K,A623,'Барабан'!AG:AG)+SUMIF('Барабан'!V:V,A623,'Барабан'!AG:AG),"")</f>
        <v/>
      </c>
      <c r="E623" s="2" t="str">
        <f t="shared" si="1"/>
        <v/>
      </c>
      <c r="F623" s="2" t="str">
        <f t="array" ref="F623">IFERROR(IF(E623=0,0,INDEX('Справочник'!G:G,MATCH(A623,'Справочник'!F:F,0))))</f>
        <v/>
      </c>
      <c r="G623" s="2" t="str">
        <f>IF(A623&gt;0,SUMIF('Барабан'!K:K,A623,'Барабан'!P:P),"")</f>
        <v/>
      </c>
      <c r="H623" s="2" t="str">
        <f>IF(A623&gt;0,SUMIF('Барабан'!V:V,A623,'Барабан'!AA:AA),"")</f>
        <v/>
      </c>
      <c r="I623" s="2" t="str">
        <f t="shared" si="4"/>
        <v/>
      </c>
      <c r="J623" s="9" t="str">
        <f t="shared" si="2"/>
        <v/>
      </c>
      <c r="K623" s="1" t="str">
        <f>IF(A623&gt;0,COUNTIF('Барабан'!K:K,A623),"")</f>
        <v/>
      </c>
      <c r="L623" s="1" t="str">
        <f>IF(A623&gt;0,COUNTIF('Барабан'!V:V,A623),"")</f>
        <v/>
      </c>
      <c r="M623" s="1" t="str">
        <f t="shared" si="3"/>
        <v/>
      </c>
      <c r="N623" s="1" t="str">
        <f>IFERROR(__xludf.DUMMYFUNCTION("IF(A623&gt;0,MIN(FILTER('Барабан'!AJ:AJ,'Барабан'!K:K=A623)),"""")"),"")</f>
        <v/>
      </c>
      <c r="O623" s="16" t="str">
        <f>IFERROR(__xludf.DUMMYFUNCTION("IF(A623&gt;0,IFERROR(MAX(FILTER('Барабан'!AJ:AJ,'Барабан'!V:V=A623)),""–""),"""")"),"")</f>
        <v/>
      </c>
    </row>
    <row r="624" ht="15.75" customHeight="1">
      <c r="A624" s="1" t="str">
        <f>'Справочник'!E619</f>
        <v/>
      </c>
      <c r="B624" s="2" t="str">
        <f>IF(A624&gt;0,SUMIF('Барабан'!K:K,A624,'Барабан'!I:I),"")</f>
        <v/>
      </c>
      <c r="C624" s="2" t="str">
        <f>IF(A624&gt;0,SUMIF('Барабан'!V:V,A624,'Барабан'!T:T),"")</f>
        <v/>
      </c>
      <c r="D624" s="2" t="str">
        <f>IF(A624&gt;0,SUMIF('Барабан'!K:K,A624,'Барабан'!AG:AG)+SUMIF('Барабан'!V:V,A624,'Барабан'!AG:AG),"")</f>
        <v/>
      </c>
      <c r="E624" s="2" t="str">
        <f t="shared" si="1"/>
        <v/>
      </c>
      <c r="F624" s="2" t="str">
        <f t="array" ref="F624">IFERROR(IF(E624=0,0,INDEX('Справочник'!G:G,MATCH(A624,'Справочник'!F:F,0))))</f>
        <v/>
      </c>
      <c r="G624" s="2" t="str">
        <f>IF(A624&gt;0,SUMIF('Барабан'!K:K,A624,'Барабан'!P:P),"")</f>
        <v/>
      </c>
      <c r="H624" s="2" t="str">
        <f>IF(A624&gt;0,SUMIF('Барабан'!V:V,A624,'Барабан'!AA:AA),"")</f>
        <v/>
      </c>
      <c r="I624" s="2" t="str">
        <f t="shared" si="4"/>
        <v/>
      </c>
      <c r="J624" s="9" t="str">
        <f t="shared" si="2"/>
        <v/>
      </c>
      <c r="K624" s="1" t="str">
        <f>IF(A624&gt;0,COUNTIF('Барабан'!K:K,A624),"")</f>
        <v/>
      </c>
      <c r="L624" s="1" t="str">
        <f>IF(A624&gt;0,COUNTIF('Барабан'!V:V,A624),"")</f>
        <v/>
      </c>
      <c r="M624" s="1" t="str">
        <f t="shared" si="3"/>
        <v/>
      </c>
      <c r="N624" s="1" t="str">
        <f>IFERROR(__xludf.DUMMYFUNCTION("IF(A624&gt;0,MIN(FILTER('Барабан'!AJ:AJ,'Барабан'!K:K=A624)),"""")"),"")</f>
        <v/>
      </c>
      <c r="O624" s="16" t="str">
        <f>IFERROR(__xludf.DUMMYFUNCTION("IF(A624&gt;0,IFERROR(MAX(FILTER('Барабан'!AJ:AJ,'Барабан'!V:V=A624)),""–""),"""")"),"")</f>
        <v/>
      </c>
    </row>
    <row r="625" ht="15.75" customHeight="1">
      <c r="A625" s="1" t="str">
        <f>'Справочник'!E620</f>
        <v/>
      </c>
      <c r="B625" s="2" t="str">
        <f>IF(A625&gt;0,SUMIF('Барабан'!K:K,A625,'Барабан'!I:I),"")</f>
        <v/>
      </c>
      <c r="C625" s="2" t="str">
        <f>IF(A625&gt;0,SUMIF('Барабан'!V:V,A625,'Барабан'!T:T),"")</f>
        <v/>
      </c>
      <c r="D625" s="2" t="str">
        <f>IF(A625&gt;0,SUMIF('Барабан'!K:K,A625,'Барабан'!AG:AG)+SUMIF('Барабан'!V:V,A625,'Барабан'!AG:AG),"")</f>
        <v/>
      </c>
      <c r="E625" s="2" t="str">
        <f t="shared" si="1"/>
        <v/>
      </c>
      <c r="F625" s="2" t="str">
        <f t="array" ref="F625">IFERROR(IF(E625=0,0,INDEX('Справочник'!G:G,MATCH(A625,'Справочник'!F:F,0))))</f>
        <v/>
      </c>
      <c r="G625" s="2" t="str">
        <f>IF(A625&gt;0,SUMIF('Барабан'!K:K,A625,'Барабан'!P:P),"")</f>
        <v/>
      </c>
      <c r="H625" s="2" t="str">
        <f>IF(A625&gt;0,SUMIF('Барабан'!V:V,A625,'Барабан'!AA:AA),"")</f>
        <v/>
      </c>
      <c r="I625" s="2" t="str">
        <f t="shared" si="4"/>
        <v/>
      </c>
      <c r="J625" s="9" t="str">
        <f t="shared" si="2"/>
        <v/>
      </c>
      <c r="K625" s="1" t="str">
        <f>IF(A625&gt;0,COUNTIF('Барабан'!K:K,A625),"")</f>
        <v/>
      </c>
      <c r="L625" s="1" t="str">
        <f>IF(A625&gt;0,COUNTIF('Барабан'!V:V,A625),"")</f>
        <v/>
      </c>
      <c r="M625" s="1" t="str">
        <f t="shared" si="3"/>
        <v/>
      </c>
      <c r="N625" s="1" t="str">
        <f>IFERROR(__xludf.DUMMYFUNCTION("IF(A625&gt;0,MIN(FILTER('Барабан'!AJ:AJ,'Барабан'!K:K=A625)),"""")"),"")</f>
        <v/>
      </c>
      <c r="O625" s="16" t="str">
        <f>IFERROR(__xludf.DUMMYFUNCTION("IF(A625&gt;0,IFERROR(MAX(FILTER('Барабан'!AJ:AJ,'Барабан'!V:V=A625)),""–""),"""")"),"")</f>
        <v/>
      </c>
    </row>
    <row r="626" ht="15.75" customHeight="1">
      <c r="A626" s="1" t="str">
        <f>'Справочник'!E621</f>
        <v/>
      </c>
      <c r="B626" s="2" t="str">
        <f>IF(A626&gt;0,SUMIF('Барабан'!K:K,A626,'Барабан'!I:I),"")</f>
        <v/>
      </c>
      <c r="C626" s="2" t="str">
        <f>IF(A626&gt;0,SUMIF('Барабан'!V:V,A626,'Барабан'!T:T),"")</f>
        <v/>
      </c>
      <c r="D626" s="2" t="str">
        <f>IF(A626&gt;0,SUMIF('Барабан'!K:K,A626,'Барабан'!AG:AG)+SUMIF('Барабан'!V:V,A626,'Барабан'!AG:AG),"")</f>
        <v/>
      </c>
      <c r="E626" s="2" t="str">
        <f t="shared" si="1"/>
        <v/>
      </c>
      <c r="F626" s="2" t="str">
        <f t="array" ref="F626">IFERROR(IF(E626=0,0,INDEX('Справочник'!G:G,MATCH(A626,'Справочник'!F:F,0))))</f>
        <v/>
      </c>
      <c r="G626" s="2" t="str">
        <f>IF(A626&gt;0,SUMIF('Барабан'!K:K,A626,'Барабан'!P:P),"")</f>
        <v/>
      </c>
      <c r="H626" s="2" t="str">
        <f>IF(A626&gt;0,SUMIF('Барабан'!V:V,A626,'Барабан'!AA:AA),"")</f>
        <v/>
      </c>
      <c r="I626" s="2" t="str">
        <f t="shared" si="4"/>
        <v/>
      </c>
      <c r="J626" s="9" t="str">
        <f t="shared" si="2"/>
        <v/>
      </c>
      <c r="K626" s="1" t="str">
        <f>IF(A626&gt;0,COUNTIF('Барабан'!K:K,A626),"")</f>
        <v/>
      </c>
      <c r="L626" s="1" t="str">
        <f>IF(A626&gt;0,COUNTIF('Барабан'!V:V,A626),"")</f>
        <v/>
      </c>
      <c r="M626" s="1" t="str">
        <f t="shared" si="3"/>
        <v/>
      </c>
      <c r="N626" s="1" t="str">
        <f>IFERROR(__xludf.DUMMYFUNCTION("IF(A626&gt;0,MIN(FILTER('Барабан'!AJ:AJ,'Барабан'!K:K=A626)),"""")"),"")</f>
        <v/>
      </c>
      <c r="O626" s="16" t="str">
        <f>IFERROR(__xludf.DUMMYFUNCTION("IF(A626&gt;0,IFERROR(MAX(FILTER('Барабан'!AJ:AJ,'Барабан'!V:V=A626)),""–""),"""")"),"")</f>
        <v/>
      </c>
    </row>
    <row r="627" ht="15.75" customHeight="1">
      <c r="A627" s="1" t="str">
        <f>'Справочник'!E622</f>
        <v/>
      </c>
      <c r="B627" s="2" t="str">
        <f>IF(A627&gt;0,SUMIF('Барабан'!K:K,A627,'Барабан'!I:I),"")</f>
        <v/>
      </c>
      <c r="C627" s="2" t="str">
        <f>IF(A627&gt;0,SUMIF('Барабан'!V:V,A627,'Барабан'!T:T),"")</f>
        <v/>
      </c>
      <c r="D627" s="2" t="str">
        <f>IF(A627&gt;0,SUMIF('Барабан'!K:K,A627,'Барабан'!AG:AG)+SUMIF('Барабан'!V:V,A627,'Барабан'!AG:AG),"")</f>
        <v/>
      </c>
      <c r="E627" s="2" t="str">
        <f t="shared" si="1"/>
        <v/>
      </c>
      <c r="F627" s="2" t="str">
        <f t="array" ref="F627">IFERROR(IF(E627=0,0,INDEX('Справочник'!G:G,MATCH(A627,'Справочник'!F:F,0))))</f>
        <v/>
      </c>
      <c r="G627" s="2" t="str">
        <f>IF(A627&gt;0,SUMIF('Барабан'!K:K,A627,'Барабан'!P:P),"")</f>
        <v/>
      </c>
      <c r="H627" s="2" t="str">
        <f>IF(A627&gt;0,SUMIF('Барабан'!V:V,A627,'Барабан'!AA:AA),"")</f>
        <v/>
      </c>
      <c r="I627" s="2" t="str">
        <f t="shared" si="4"/>
        <v/>
      </c>
      <c r="J627" s="9" t="str">
        <f t="shared" si="2"/>
        <v/>
      </c>
      <c r="K627" s="1" t="str">
        <f>IF(A627&gt;0,COUNTIF('Барабан'!K:K,A627),"")</f>
        <v/>
      </c>
      <c r="L627" s="1" t="str">
        <f>IF(A627&gt;0,COUNTIF('Барабан'!V:V,A627),"")</f>
        <v/>
      </c>
      <c r="M627" s="1" t="str">
        <f t="shared" si="3"/>
        <v/>
      </c>
      <c r="N627" s="1" t="str">
        <f>IFERROR(__xludf.DUMMYFUNCTION("IF(A627&gt;0,MIN(FILTER('Барабан'!AJ:AJ,'Барабан'!K:K=A627)),"""")"),"")</f>
        <v/>
      </c>
      <c r="O627" s="16" t="str">
        <f>IFERROR(__xludf.DUMMYFUNCTION("IF(A627&gt;0,IFERROR(MAX(FILTER('Барабан'!AJ:AJ,'Барабан'!V:V=A627)),""–""),"""")"),"")</f>
        <v/>
      </c>
    </row>
    <row r="628" ht="15.75" customHeight="1">
      <c r="A628" s="1" t="str">
        <f>'Справочник'!E623</f>
        <v/>
      </c>
      <c r="B628" s="2" t="str">
        <f>IF(A628&gt;0,SUMIF('Барабан'!K:K,A628,'Барабан'!I:I),"")</f>
        <v/>
      </c>
      <c r="C628" s="2" t="str">
        <f>IF(A628&gt;0,SUMIF('Барабан'!V:V,A628,'Барабан'!T:T),"")</f>
        <v/>
      </c>
      <c r="D628" s="2" t="str">
        <f>IF(A628&gt;0,SUMIF('Барабан'!K:K,A628,'Барабан'!AG:AG)+SUMIF('Барабан'!V:V,A628,'Барабан'!AG:AG),"")</f>
        <v/>
      </c>
      <c r="E628" s="2" t="str">
        <f t="shared" si="1"/>
        <v/>
      </c>
      <c r="F628" s="2" t="str">
        <f t="array" ref="F628">IFERROR(IF(E628=0,0,INDEX('Справочник'!G:G,MATCH(A628,'Справочник'!F:F,0))))</f>
        <v/>
      </c>
      <c r="G628" s="2" t="str">
        <f>IF(A628&gt;0,SUMIF('Барабан'!K:K,A628,'Барабан'!P:P),"")</f>
        <v/>
      </c>
      <c r="H628" s="2" t="str">
        <f>IF(A628&gt;0,SUMIF('Барабан'!V:V,A628,'Барабан'!AA:AA),"")</f>
        <v/>
      </c>
      <c r="I628" s="2" t="str">
        <f t="shared" si="4"/>
        <v/>
      </c>
      <c r="J628" s="9" t="str">
        <f t="shared" si="2"/>
        <v/>
      </c>
      <c r="K628" s="1" t="str">
        <f>IF(A628&gt;0,COUNTIF('Барабан'!K:K,A628),"")</f>
        <v/>
      </c>
      <c r="L628" s="1" t="str">
        <f>IF(A628&gt;0,COUNTIF('Барабан'!V:V,A628),"")</f>
        <v/>
      </c>
      <c r="M628" s="1" t="str">
        <f t="shared" si="3"/>
        <v/>
      </c>
      <c r="N628" s="1" t="str">
        <f>IFERROR(__xludf.DUMMYFUNCTION("IF(A628&gt;0,MIN(FILTER('Барабан'!AJ:AJ,'Барабан'!K:K=A628)),"""")"),"")</f>
        <v/>
      </c>
      <c r="O628" s="16" t="str">
        <f>IFERROR(__xludf.DUMMYFUNCTION("IF(A628&gt;0,IFERROR(MAX(FILTER('Барабан'!AJ:AJ,'Барабан'!V:V=A628)),""–""),"""")"),"")</f>
        <v/>
      </c>
    </row>
    <row r="629" ht="15.75" customHeight="1">
      <c r="A629" s="1" t="str">
        <f>'Справочник'!E624</f>
        <v/>
      </c>
      <c r="B629" s="2" t="str">
        <f>IF(A629&gt;0,SUMIF('Барабан'!K:K,A629,'Барабан'!I:I),"")</f>
        <v/>
      </c>
      <c r="C629" s="2" t="str">
        <f>IF(A629&gt;0,SUMIF('Барабан'!V:V,A629,'Барабан'!T:T),"")</f>
        <v/>
      </c>
      <c r="D629" s="2" t="str">
        <f>IF(A629&gt;0,SUMIF('Барабан'!K:K,A629,'Барабан'!AG:AG)+SUMIF('Барабан'!V:V,A629,'Барабан'!AG:AG),"")</f>
        <v/>
      </c>
      <c r="E629" s="2" t="str">
        <f t="shared" si="1"/>
        <v/>
      </c>
      <c r="F629" s="2" t="str">
        <f t="array" ref="F629">IFERROR(IF(E629=0,0,INDEX('Справочник'!G:G,MATCH(A629,'Справочник'!F:F,0))))</f>
        <v/>
      </c>
      <c r="G629" s="2" t="str">
        <f>IF(A629&gt;0,SUMIF('Барабан'!K:K,A629,'Барабан'!P:P),"")</f>
        <v/>
      </c>
      <c r="H629" s="2" t="str">
        <f>IF(A629&gt;0,SUMIF('Барабан'!V:V,A629,'Барабан'!AA:AA),"")</f>
        <v/>
      </c>
      <c r="I629" s="2" t="str">
        <f t="shared" si="4"/>
        <v/>
      </c>
      <c r="J629" s="9" t="str">
        <f t="shared" si="2"/>
        <v/>
      </c>
      <c r="K629" s="1" t="str">
        <f>IF(A629&gt;0,COUNTIF('Барабан'!K:K,A629),"")</f>
        <v/>
      </c>
      <c r="L629" s="1" t="str">
        <f>IF(A629&gt;0,COUNTIF('Барабан'!V:V,A629),"")</f>
        <v/>
      </c>
      <c r="M629" s="1" t="str">
        <f t="shared" si="3"/>
        <v/>
      </c>
      <c r="N629" s="1" t="str">
        <f>IFERROR(__xludf.DUMMYFUNCTION("IF(A629&gt;0,MIN(FILTER('Барабан'!AJ:AJ,'Барабан'!K:K=A629)),"""")"),"")</f>
        <v/>
      </c>
      <c r="O629" s="16" t="str">
        <f>IFERROR(__xludf.DUMMYFUNCTION("IF(A629&gt;0,IFERROR(MAX(FILTER('Барабан'!AJ:AJ,'Барабан'!V:V=A629)),""–""),"""")"),"")</f>
        <v/>
      </c>
    </row>
    <row r="630" ht="15.75" customHeight="1">
      <c r="A630" s="1" t="str">
        <f>'Справочник'!E625</f>
        <v/>
      </c>
      <c r="B630" s="2" t="str">
        <f>IF(A630&gt;0,SUMIF('Барабан'!K:K,A630,'Барабан'!I:I),"")</f>
        <v/>
      </c>
      <c r="C630" s="2" t="str">
        <f>IF(A630&gt;0,SUMIF('Барабан'!V:V,A630,'Барабан'!T:T),"")</f>
        <v/>
      </c>
      <c r="D630" s="2" t="str">
        <f>IF(A630&gt;0,SUMIF('Барабан'!K:K,A630,'Барабан'!AG:AG)+SUMIF('Барабан'!V:V,A630,'Барабан'!AG:AG),"")</f>
        <v/>
      </c>
      <c r="E630" s="2" t="str">
        <f t="shared" si="1"/>
        <v/>
      </c>
      <c r="F630" s="2" t="str">
        <f t="array" ref="F630">IFERROR(IF(E630=0,0,INDEX('Справочник'!G:G,MATCH(A630,'Справочник'!F:F,0))))</f>
        <v/>
      </c>
      <c r="G630" s="2" t="str">
        <f>IF(A630&gt;0,SUMIF('Барабан'!K:K,A630,'Барабан'!P:P),"")</f>
        <v/>
      </c>
      <c r="H630" s="2" t="str">
        <f>IF(A630&gt;0,SUMIF('Барабан'!V:V,A630,'Барабан'!AA:AA),"")</f>
        <v/>
      </c>
      <c r="I630" s="2" t="str">
        <f t="shared" si="4"/>
        <v/>
      </c>
      <c r="J630" s="9" t="str">
        <f t="shared" si="2"/>
        <v/>
      </c>
      <c r="K630" s="1" t="str">
        <f>IF(A630&gt;0,COUNTIF('Барабан'!K:K,A630),"")</f>
        <v/>
      </c>
      <c r="L630" s="1" t="str">
        <f>IF(A630&gt;0,COUNTIF('Барабан'!V:V,A630),"")</f>
        <v/>
      </c>
      <c r="M630" s="1" t="str">
        <f t="shared" si="3"/>
        <v/>
      </c>
      <c r="N630" s="1" t="str">
        <f>IFERROR(__xludf.DUMMYFUNCTION("IF(A630&gt;0,MIN(FILTER('Барабан'!AJ:AJ,'Барабан'!K:K=A630)),"""")"),"")</f>
        <v/>
      </c>
      <c r="O630" s="16" t="str">
        <f>IFERROR(__xludf.DUMMYFUNCTION("IF(A630&gt;0,IFERROR(MAX(FILTER('Барабан'!AJ:AJ,'Барабан'!V:V=A630)),""–""),"""")"),"")</f>
        <v/>
      </c>
    </row>
    <row r="631" ht="15.75" customHeight="1">
      <c r="A631" s="1" t="str">
        <f>'Справочник'!E626</f>
        <v/>
      </c>
      <c r="B631" s="2" t="str">
        <f>IF(A631&gt;0,SUMIF('Барабан'!K:K,A631,'Барабан'!I:I),"")</f>
        <v/>
      </c>
      <c r="C631" s="2" t="str">
        <f>IF(A631&gt;0,SUMIF('Барабан'!V:V,A631,'Барабан'!T:T),"")</f>
        <v/>
      </c>
      <c r="D631" s="2" t="str">
        <f>IF(A631&gt;0,SUMIF('Барабан'!K:K,A631,'Барабан'!AG:AG)+SUMIF('Барабан'!V:V,A631,'Барабан'!AG:AG),"")</f>
        <v/>
      </c>
      <c r="E631" s="2" t="str">
        <f t="shared" si="1"/>
        <v/>
      </c>
      <c r="F631" s="2" t="str">
        <f t="array" ref="F631">IFERROR(IF(E631=0,0,INDEX('Справочник'!G:G,MATCH(A631,'Справочник'!F:F,0))))</f>
        <v/>
      </c>
      <c r="G631" s="2" t="str">
        <f>IF(A631&gt;0,SUMIF('Барабан'!K:K,A631,'Барабан'!P:P),"")</f>
        <v/>
      </c>
      <c r="H631" s="2" t="str">
        <f>IF(A631&gt;0,SUMIF('Барабан'!V:V,A631,'Барабан'!AA:AA),"")</f>
        <v/>
      </c>
      <c r="I631" s="2" t="str">
        <f t="shared" si="4"/>
        <v/>
      </c>
      <c r="J631" s="9" t="str">
        <f t="shared" si="2"/>
        <v/>
      </c>
      <c r="K631" s="1" t="str">
        <f>IF(A631&gt;0,COUNTIF('Барабан'!K:K,A631),"")</f>
        <v/>
      </c>
      <c r="L631" s="1" t="str">
        <f>IF(A631&gt;0,COUNTIF('Барабан'!V:V,A631),"")</f>
        <v/>
      </c>
      <c r="M631" s="1" t="str">
        <f t="shared" si="3"/>
        <v/>
      </c>
      <c r="N631" s="1" t="str">
        <f>IFERROR(__xludf.DUMMYFUNCTION("IF(A631&gt;0,MIN(FILTER('Барабан'!AJ:AJ,'Барабан'!K:K=A631)),"""")"),"")</f>
        <v/>
      </c>
      <c r="O631" s="16" t="str">
        <f>IFERROR(__xludf.DUMMYFUNCTION("IF(A631&gt;0,IFERROR(MAX(FILTER('Барабан'!AJ:AJ,'Барабан'!V:V=A631)),""–""),"""")"),"")</f>
        <v/>
      </c>
    </row>
    <row r="632" ht="15.75" customHeight="1">
      <c r="A632" s="1" t="str">
        <f>'Справочник'!E627</f>
        <v/>
      </c>
      <c r="B632" s="2" t="str">
        <f>IF(A632&gt;0,SUMIF('Барабан'!K:K,A632,'Барабан'!I:I),"")</f>
        <v/>
      </c>
      <c r="C632" s="2" t="str">
        <f>IF(A632&gt;0,SUMIF('Барабан'!V:V,A632,'Барабан'!T:T),"")</f>
        <v/>
      </c>
      <c r="D632" s="2" t="str">
        <f>IF(A632&gt;0,SUMIF('Барабан'!K:K,A632,'Барабан'!AG:AG)+SUMIF('Барабан'!V:V,A632,'Барабан'!AG:AG),"")</f>
        <v/>
      </c>
      <c r="E632" s="2" t="str">
        <f t="shared" si="1"/>
        <v/>
      </c>
      <c r="F632" s="2" t="str">
        <f t="array" ref="F632">IFERROR(IF(E632=0,0,INDEX('Справочник'!G:G,MATCH(A632,'Справочник'!F:F,0))))</f>
        <v/>
      </c>
      <c r="G632" s="2" t="str">
        <f>IF(A632&gt;0,SUMIF('Барабан'!K:K,A632,'Барабан'!P:P),"")</f>
        <v/>
      </c>
      <c r="H632" s="2" t="str">
        <f>IF(A632&gt;0,SUMIF('Барабан'!V:V,A632,'Барабан'!AA:AA),"")</f>
        <v/>
      </c>
      <c r="I632" s="2" t="str">
        <f t="shared" si="4"/>
        <v/>
      </c>
      <c r="J632" s="9" t="str">
        <f t="shared" si="2"/>
        <v/>
      </c>
      <c r="K632" s="1" t="str">
        <f>IF(A632&gt;0,COUNTIF('Барабан'!K:K,A632),"")</f>
        <v/>
      </c>
      <c r="L632" s="1" t="str">
        <f>IF(A632&gt;0,COUNTIF('Барабан'!V:V,A632),"")</f>
        <v/>
      </c>
      <c r="M632" s="1" t="str">
        <f t="shared" si="3"/>
        <v/>
      </c>
      <c r="N632" s="1" t="str">
        <f>IFERROR(__xludf.DUMMYFUNCTION("IF(A632&gt;0,MIN(FILTER('Барабан'!AJ:AJ,'Барабан'!K:K=A632)),"""")"),"")</f>
        <v/>
      </c>
      <c r="O632" s="16" t="str">
        <f>IFERROR(__xludf.DUMMYFUNCTION("IF(A632&gt;0,IFERROR(MAX(FILTER('Барабан'!AJ:AJ,'Барабан'!V:V=A632)),""–""),"""")"),"")</f>
        <v/>
      </c>
    </row>
    <row r="633" ht="15.75" customHeight="1">
      <c r="A633" s="1" t="str">
        <f>'Справочник'!E628</f>
        <v/>
      </c>
      <c r="B633" s="2" t="str">
        <f>IF(A633&gt;0,SUMIF('Барабан'!K:K,A633,'Барабан'!I:I),"")</f>
        <v/>
      </c>
      <c r="C633" s="2" t="str">
        <f>IF(A633&gt;0,SUMIF('Барабан'!V:V,A633,'Барабан'!T:T),"")</f>
        <v/>
      </c>
      <c r="D633" s="2" t="str">
        <f>IF(A633&gt;0,SUMIF('Барабан'!K:K,A633,'Барабан'!AG:AG)+SUMIF('Барабан'!V:V,A633,'Барабан'!AG:AG),"")</f>
        <v/>
      </c>
      <c r="E633" s="2" t="str">
        <f t="shared" si="1"/>
        <v/>
      </c>
      <c r="F633" s="2" t="str">
        <f t="array" ref="F633">IFERROR(IF(E633=0,0,INDEX('Справочник'!G:G,MATCH(A633,'Справочник'!F:F,0))))</f>
        <v/>
      </c>
      <c r="G633" s="2" t="str">
        <f>IF(A633&gt;0,SUMIF('Барабан'!K:K,A633,'Барабан'!P:P),"")</f>
        <v/>
      </c>
      <c r="H633" s="2" t="str">
        <f>IF(A633&gt;0,SUMIF('Барабан'!V:V,A633,'Барабан'!AA:AA),"")</f>
        <v/>
      </c>
      <c r="I633" s="2" t="str">
        <f t="shared" si="4"/>
        <v/>
      </c>
      <c r="J633" s="9" t="str">
        <f t="shared" si="2"/>
        <v/>
      </c>
      <c r="K633" s="1" t="str">
        <f>IF(A633&gt;0,COUNTIF('Барабан'!K:K,A633),"")</f>
        <v/>
      </c>
      <c r="L633" s="1" t="str">
        <f>IF(A633&gt;0,COUNTIF('Барабан'!V:V,A633),"")</f>
        <v/>
      </c>
      <c r="M633" s="1" t="str">
        <f t="shared" si="3"/>
        <v/>
      </c>
      <c r="N633" s="1" t="str">
        <f>IFERROR(__xludf.DUMMYFUNCTION("IF(A633&gt;0,MIN(FILTER('Барабан'!AJ:AJ,'Барабан'!K:K=A633)),"""")"),"")</f>
        <v/>
      </c>
      <c r="O633" s="16" t="str">
        <f>IFERROR(__xludf.DUMMYFUNCTION("IF(A633&gt;0,IFERROR(MAX(FILTER('Барабан'!AJ:AJ,'Барабан'!V:V=A633)),""–""),"""")"),"")</f>
        <v/>
      </c>
    </row>
    <row r="634" ht="15.75" customHeight="1">
      <c r="A634" s="1" t="str">
        <f>'Справочник'!E629</f>
        <v/>
      </c>
      <c r="B634" s="2" t="str">
        <f>IF(A634&gt;0,SUMIF('Барабан'!K:K,A634,'Барабан'!I:I),"")</f>
        <v/>
      </c>
      <c r="C634" s="2" t="str">
        <f>IF(A634&gt;0,SUMIF('Барабан'!V:V,A634,'Барабан'!T:T),"")</f>
        <v/>
      </c>
      <c r="D634" s="2" t="str">
        <f>IF(A634&gt;0,SUMIF('Барабан'!K:K,A634,'Барабан'!AG:AG)+SUMIF('Барабан'!V:V,A634,'Барабан'!AG:AG),"")</f>
        <v/>
      </c>
      <c r="E634" s="2" t="str">
        <f t="shared" si="1"/>
        <v/>
      </c>
      <c r="F634" s="2" t="str">
        <f t="array" ref="F634">IFERROR(IF(E634=0,0,INDEX('Справочник'!G:G,MATCH(A634,'Справочник'!F:F,0))))</f>
        <v/>
      </c>
      <c r="G634" s="2" t="str">
        <f>IF(A634&gt;0,SUMIF('Барабан'!K:K,A634,'Барабан'!P:P),"")</f>
        <v/>
      </c>
      <c r="H634" s="2" t="str">
        <f>IF(A634&gt;0,SUMIF('Барабан'!V:V,A634,'Барабан'!AA:AA),"")</f>
        <v/>
      </c>
      <c r="I634" s="2" t="str">
        <f t="shared" si="4"/>
        <v/>
      </c>
      <c r="J634" s="9" t="str">
        <f t="shared" si="2"/>
        <v/>
      </c>
      <c r="K634" s="1" t="str">
        <f>IF(A634&gt;0,COUNTIF('Барабан'!K:K,A634),"")</f>
        <v/>
      </c>
      <c r="L634" s="1" t="str">
        <f>IF(A634&gt;0,COUNTIF('Барабан'!V:V,A634),"")</f>
        <v/>
      </c>
      <c r="M634" s="1" t="str">
        <f t="shared" si="3"/>
        <v/>
      </c>
      <c r="N634" s="1" t="str">
        <f>IFERROR(__xludf.DUMMYFUNCTION("IF(A634&gt;0,MIN(FILTER('Барабан'!AJ:AJ,'Барабан'!K:K=A634)),"""")"),"")</f>
        <v/>
      </c>
      <c r="O634" s="16" t="str">
        <f>IFERROR(__xludf.DUMMYFUNCTION("IF(A634&gt;0,IFERROR(MAX(FILTER('Барабан'!AJ:AJ,'Барабан'!V:V=A634)),""–""),"""")"),"")</f>
        <v/>
      </c>
    </row>
    <row r="635" ht="15.75" customHeight="1">
      <c r="A635" s="1" t="str">
        <f>'Справочник'!E630</f>
        <v/>
      </c>
      <c r="B635" s="2" t="str">
        <f>IF(A635&gt;0,SUMIF('Барабан'!K:K,A635,'Барабан'!I:I),"")</f>
        <v/>
      </c>
      <c r="C635" s="2" t="str">
        <f>IF(A635&gt;0,SUMIF('Барабан'!V:V,A635,'Барабан'!T:T),"")</f>
        <v/>
      </c>
      <c r="D635" s="2" t="str">
        <f>IF(A635&gt;0,SUMIF('Барабан'!K:K,A635,'Барабан'!AG:AG)+SUMIF('Барабан'!V:V,A635,'Барабан'!AG:AG),"")</f>
        <v/>
      </c>
      <c r="E635" s="2" t="str">
        <f t="shared" si="1"/>
        <v/>
      </c>
      <c r="F635" s="2" t="str">
        <f t="array" ref="F635">IFERROR(IF(E635=0,0,INDEX('Справочник'!G:G,MATCH(A635,'Справочник'!F:F,0))))</f>
        <v/>
      </c>
      <c r="G635" s="2" t="str">
        <f>IF(A635&gt;0,SUMIF('Барабан'!K:K,A635,'Барабан'!P:P),"")</f>
        <v/>
      </c>
      <c r="H635" s="2" t="str">
        <f>IF(A635&gt;0,SUMIF('Барабан'!V:V,A635,'Барабан'!AA:AA),"")</f>
        <v/>
      </c>
      <c r="I635" s="2" t="str">
        <f t="shared" si="4"/>
        <v/>
      </c>
      <c r="J635" s="9" t="str">
        <f t="shared" si="2"/>
        <v/>
      </c>
      <c r="K635" s="1" t="str">
        <f>IF(A635&gt;0,COUNTIF('Барабан'!K:K,A635),"")</f>
        <v/>
      </c>
      <c r="L635" s="1" t="str">
        <f>IF(A635&gt;0,COUNTIF('Барабан'!V:V,A635),"")</f>
        <v/>
      </c>
      <c r="M635" s="1" t="str">
        <f t="shared" si="3"/>
        <v/>
      </c>
      <c r="N635" s="1" t="str">
        <f>IFERROR(__xludf.DUMMYFUNCTION("IF(A635&gt;0,MIN(FILTER('Барабан'!AJ:AJ,'Барабан'!K:K=A635)),"""")"),"")</f>
        <v/>
      </c>
      <c r="O635" s="16" t="str">
        <f>IFERROR(__xludf.DUMMYFUNCTION("IF(A635&gt;0,IFERROR(MAX(FILTER('Барабан'!AJ:AJ,'Барабан'!V:V=A635)),""–""),"""")"),"")</f>
        <v/>
      </c>
    </row>
    <row r="636" ht="15.75" customHeight="1">
      <c r="A636" s="1" t="str">
        <f>'Справочник'!E631</f>
        <v/>
      </c>
      <c r="B636" s="2" t="str">
        <f>IF(A636&gt;0,SUMIF('Барабан'!K:K,A636,'Барабан'!I:I),"")</f>
        <v/>
      </c>
      <c r="C636" s="2" t="str">
        <f>IF(A636&gt;0,SUMIF('Барабан'!V:V,A636,'Барабан'!T:T),"")</f>
        <v/>
      </c>
      <c r="D636" s="2" t="str">
        <f>IF(A636&gt;0,SUMIF('Барабан'!K:K,A636,'Барабан'!AG:AG)+SUMIF('Барабан'!V:V,A636,'Барабан'!AG:AG),"")</f>
        <v/>
      </c>
      <c r="E636" s="2" t="str">
        <f t="shared" si="1"/>
        <v/>
      </c>
      <c r="F636" s="2" t="str">
        <f t="array" ref="F636">IFERROR(IF(E636=0,0,INDEX('Справочник'!G:G,MATCH(A636,'Справочник'!F:F,0))))</f>
        <v/>
      </c>
      <c r="G636" s="2" t="str">
        <f>IF(A636&gt;0,SUMIF('Барабан'!K:K,A636,'Барабан'!P:P),"")</f>
        <v/>
      </c>
      <c r="H636" s="2" t="str">
        <f>IF(A636&gt;0,SUMIF('Барабан'!V:V,A636,'Барабан'!AA:AA),"")</f>
        <v/>
      </c>
      <c r="I636" s="2" t="str">
        <f t="shared" si="4"/>
        <v/>
      </c>
      <c r="J636" s="9" t="str">
        <f t="shared" si="2"/>
        <v/>
      </c>
      <c r="K636" s="1" t="str">
        <f>IF(A636&gt;0,COUNTIF('Барабан'!K:K,A636),"")</f>
        <v/>
      </c>
      <c r="L636" s="1" t="str">
        <f>IF(A636&gt;0,COUNTIF('Барабан'!V:V,A636),"")</f>
        <v/>
      </c>
      <c r="M636" s="1" t="str">
        <f t="shared" si="3"/>
        <v/>
      </c>
      <c r="N636" s="1" t="str">
        <f>IFERROR(__xludf.DUMMYFUNCTION("IF(A636&gt;0,MIN(FILTER('Барабан'!AJ:AJ,'Барабан'!K:K=A636)),"""")"),"")</f>
        <v/>
      </c>
      <c r="O636" s="16" t="str">
        <f>IFERROR(__xludf.DUMMYFUNCTION("IF(A636&gt;0,IFERROR(MAX(FILTER('Барабан'!AJ:AJ,'Барабан'!V:V=A636)),""–""),"""")"),"")</f>
        <v/>
      </c>
    </row>
    <row r="637" ht="15.75" customHeight="1">
      <c r="A637" s="1" t="str">
        <f>'Справочник'!E632</f>
        <v/>
      </c>
      <c r="B637" s="2" t="str">
        <f>IF(A637&gt;0,SUMIF('Барабан'!K:K,A637,'Барабан'!I:I),"")</f>
        <v/>
      </c>
      <c r="C637" s="2" t="str">
        <f>IF(A637&gt;0,SUMIF('Барабан'!V:V,A637,'Барабан'!T:T),"")</f>
        <v/>
      </c>
      <c r="D637" s="2" t="str">
        <f>IF(A637&gt;0,SUMIF('Барабан'!K:K,A637,'Барабан'!AG:AG)+SUMIF('Барабан'!V:V,A637,'Барабан'!AG:AG),"")</f>
        <v/>
      </c>
      <c r="E637" s="2" t="str">
        <f t="shared" si="1"/>
        <v/>
      </c>
      <c r="F637" s="2" t="str">
        <f t="array" ref="F637">IFERROR(IF(E637=0,0,INDEX('Справочник'!G:G,MATCH(A637,'Справочник'!F:F,0))))</f>
        <v/>
      </c>
      <c r="G637" s="2" t="str">
        <f>IF(A637&gt;0,SUMIF('Барабан'!K:K,A637,'Барабан'!P:P),"")</f>
        <v/>
      </c>
      <c r="H637" s="2" t="str">
        <f>IF(A637&gt;0,SUMIF('Барабан'!V:V,A637,'Барабан'!AA:AA),"")</f>
        <v/>
      </c>
      <c r="I637" s="2" t="str">
        <f t="shared" si="4"/>
        <v/>
      </c>
      <c r="J637" s="9" t="str">
        <f t="shared" si="2"/>
        <v/>
      </c>
      <c r="K637" s="1" t="str">
        <f>IF(A637&gt;0,COUNTIF('Барабан'!K:K,A637),"")</f>
        <v/>
      </c>
      <c r="L637" s="1" t="str">
        <f>IF(A637&gt;0,COUNTIF('Барабан'!V:V,A637),"")</f>
        <v/>
      </c>
      <c r="M637" s="1" t="str">
        <f t="shared" si="3"/>
        <v/>
      </c>
      <c r="N637" s="1" t="str">
        <f>IFERROR(__xludf.DUMMYFUNCTION("IF(A637&gt;0,MIN(FILTER('Барабан'!AJ:AJ,'Барабан'!K:K=A637)),"""")"),"")</f>
        <v/>
      </c>
      <c r="O637" s="16" t="str">
        <f>IFERROR(__xludf.DUMMYFUNCTION("IF(A637&gt;0,IFERROR(MAX(FILTER('Барабан'!AJ:AJ,'Барабан'!V:V=A637)),""–""),"""")"),"")</f>
        <v/>
      </c>
    </row>
    <row r="638" ht="15.75" customHeight="1">
      <c r="A638" s="1" t="str">
        <f>'Справочник'!E633</f>
        <v/>
      </c>
      <c r="B638" s="2" t="str">
        <f>IF(A638&gt;0,SUMIF('Барабан'!K:K,A638,'Барабан'!I:I),"")</f>
        <v/>
      </c>
      <c r="C638" s="2" t="str">
        <f>IF(A638&gt;0,SUMIF('Барабан'!V:V,A638,'Барабан'!T:T),"")</f>
        <v/>
      </c>
      <c r="D638" s="2" t="str">
        <f>IF(A638&gt;0,SUMIF('Барабан'!K:K,A638,'Барабан'!AG:AG)+SUMIF('Барабан'!V:V,A638,'Барабан'!AG:AG),"")</f>
        <v/>
      </c>
      <c r="E638" s="2" t="str">
        <f t="shared" si="1"/>
        <v/>
      </c>
      <c r="F638" s="2" t="str">
        <f t="array" ref="F638">IFERROR(IF(E638=0,0,INDEX('Справочник'!G:G,MATCH(A638,'Справочник'!F:F,0))))</f>
        <v/>
      </c>
      <c r="G638" s="2" t="str">
        <f>IF(A638&gt;0,SUMIF('Барабан'!K:K,A638,'Барабан'!P:P),"")</f>
        <v/>
      </c>
      <c r="H638" s="2" t="str">
        <f>IF(A638&gt;0,SUMIF('Барабан'!V:V,A638,'Барабан'!AA:AA),"")</f>
        <v/>
      </c>
      <c r="I638" s="2" t="str">
        <f t="shared" si="4"/>
        <v/>
      </c>
      <c r="J638" s="9" t="str">
        <f t="shared" si="2"/>
        <v/>
      </c>
      <c r="K638" s="1" t="str">
        <f>IF(A638&gt;0,COUNTIF('Барабан'!K:K,A638),"")</f>
        <v/>
      </c>
      <c r="L638" s="1" t="str">
        <f>IF(A638&gt;0,COUNTIF('Барабан'!V:V,A638),"")</f>
        <v/>
      </c>
      <c r="M638" s="1" t="str">
        <f t="shared" si="3"/>
        <v/>
      </c>
      <c r="N638" s="1" t="str">
        <f>IFERROR(__xludf.DUMMYFUNCTION("IF(A638&gt;0,MIN(FILTER('Барабан'!AJ:AJ,'Барабан'!K:K=A638)),"""")"),"")</f>
        <v/>
      </c>
      <c r="O638" s="16" t="str">
        <f>IFERROR(__xludf.DUMMYFUNCTION("IF(A638&gt;0,IFERROR(MAX(FILTER('Барабан'!AJ:AJ,'Барабан'!V:V=A638)),""–""),"""")"),"")</f>
        <v/>
      </c>
    </row>
    <row r="639" ht="15.75" customHeight="1">
      <c r="A639" s="1" t="str">
        <f>'Справочник'!E634</f>
        <v/>
      </c>
      <c r="B639" s="2" t="str">
        <f>IF(A639&gt;0,SUMIF('Барабан'!K:K,A639,'Барабан'!I:I),"")</f>
        <v/>
      </c>
      <c r="C639" s="2" t="str">
        <f>IF(A639&gt;0,SUMIF('Барабан'!V:V,A639,'Барабан'!T:T),"")</f>
        <v/>
      </c>
      <c r="D639" s="2" t="str">
        <f>IF(A639&gt;0,SUMIF('Барабан'!K:K,A639,'Барабан'!AG:AG)+SUMIF('Барабан'!V:V,A639,'Барабан'!AG:AG),"")</f>
        <v/>
      </c>
      <c r="E639" s="2" t="str">
        <f t="shared" si="1"/>
        <v/>
      </c>
      <c r="F639" s="2" t="str">
        <f t="array" ref="F639">IFERROR(IF(E639=0,0,INDEX('Справочник'!G:G,MATCH(A639,'Справочник'!F:F,0))))</f>
        <v/>
      </c>
      <c r="G639" s="2" t="str">
        <f>IF(A639&gt;0,SUMIF('Барабан'!K:K,A639,'Барабан'!P:P),"")</f>
        <v/>
      </c>
      <c r="H639" s="2" t="str">
        <f>IF(A639&gt;0,SUMIF('Барабан'!V:V,A639,'Барабан'!AA:AA),"")</f>
        <v/>
      </c>
      <c r="I639" s="2" t="str">
        <f t="shared" si="4"/>
        <v/>
      </c>
      <c r="J639" s="9" t="str">
        <f t="shared" si="2"/>
        <v/>
      </c>
      <c r="K639" s="1" t="str">
        <f>IF(A639&gt;0,COUNTIF('Барабан'!K:K,A639),"")</f>
        <v/>
      </c>
      <c r="L639" s="1" t="str">
        <f>IF(A639&gt;0,COUNTIF('Барабан'!V:V,A639),"")</f>
        <v/>
      </c>
      <c r="M639" s="1" t="str">
        <f t="shared" si="3"/>
        <v/>
      </c>
      <c r="N639" s="1" t="str">
        <f>IFERROR(__xludf.DUMMYFUNCTION("IF(A639&gt;0,MIN(FILTER('Барабан'!AJ:AJ,'Барабан'!K:K=A639)),"""")"),"")</f>
        <v/>
      </c>
      <c r="O639" s="16" t="str">
        <f>IFERROR(__xludf.DUMMYFUNCTION("IF(A639&gt;0,IFERROR(MAX(FILTER('Барабан'!AJ:AJ,'Барабан'!V:V=A639)),""–""),"""")"),"")</f>
        <v/>
      </c>
    </row>
    <row r="640" ht="15.75" customHeight="1">
      <c r="A640" s="1" t="str">
        <f>'Справочник'!E635</f>
        <v/>
      </c>
      <c r="B640" s="2" t="str">
        <f>IF(A640&gt;0,SUMIF('Барабан'!K:K,A640,'Барабан'!I:I),"")</f>
        <v/>
      </c>
      <c r="C640" s="2" t="str">
        <f>IF(A640&gt;0,SUMIF('Барабан'!V:V,A640,'Барабан'!T:T),"")</f>
        <v/>
      </c>
      <c r="D640" s="2" t="str">
        <f>IF(A640&gt;0,SUMIF('Барабан'!K:K,A640,'Барабан'!AG:AG)+SUMIF('Барабан'!V:V,A640,'Барабан'!AG:AG),"")</f>
        <v/>
      </c>
      <c r="E640" s="2" t="str">
        <f t="shared" si="1"/>
        <v/>
      </c>
      <c r="F640" s="2" t="str">
        <f t="array" ref="F640">IFERROR(IF(E640=0,0,INDEX('Справочник'!G:G,MATCH(A640,'Справочник'!F:F,0))))</f>
        <v/>
      </c>
      <c r="G640" s="2" t="str">
        <f>IF(A640&gt;0,SUMIF('Барабан'!K:K,A640,'Барабан'!P:P),"")</f>
        <v/>
      </c>
      <c r="H640" s="2" t="str">
        <f>IF(A640&gt;0,SUMIF('Барабан'!V:V,A640,'Барабан'!AA:AA),"")</f>
        <v/>
      </c>
      <c r="I640" s="2" t="str">
        <f t="shared" si="4"/>
        <v/>
      </c>
      <c r="J640" s="9" t="str">
        <f t="shared" si="2"/>
        <v/>
      </c>
      <c r="K640" s="1" t="str">
        <f>IF(A640&gt;0,COUNTIF('Барабан'!K:K,A640),"")</f>
        <v/>
      </c>
      <c r="L640" s="1" t="str">
        <f>IF(A640&gt;0,COUNTIF('Барабан'!V:V,A640),"")</f>
        <v/>
      </c>
      <c r="M640" s="1" t="str">
        <f t="shared" si="3"/>
        <v/>
      </c>
      <c r="N640" s="1" t="str">
        <f>IFERROR(__xludf.DUMMYFUNCTION("IF(A640&gt;0,MIN(FILTER('Барабан'!AJ:AJ,'Барабан'!K:K=A640)),"""")"),"")</f>
        <v/>
      </c>
      <c r="O640" s="16" t="str">
        <f>IFERROR(__xludf.DUMMYFUNCTION("IF(A640&gt;0,IFERROR(MAX(FILTER('Барабан'!AJ:AJ,'Барабан'!V:V=A640)),""–""),"""")"),"")</f>
        <v/>
      </c>
    </row>
    <row r="641" ht="15.75" customHeight="1">
      <c r="A641" s="1" t="str">
        <f>'Справочник'!E636</f>
        <v/>
      </c>
      <c r="B641" s="2" t="str">
        <f>IF(A641&gt;0,SUMIF('Барабан'!K:K,A641,'Барабан'!I:I),"")</f>
        <v/>
      </c>
      <c r="C641" s="2" t="str">
        <f>IF(A641&gt;0,SUMIF('Барабан'!V:V,A641,'Барабан'!T:T),"")</f>
        <v/>
      </c>
      <c r="D641" s="2" t="str">
        <f>IF(A641&gt;0,SUMIF('Барабан'!K:K,A641,'Барабан'!AG:AG)+SUMIF('Барабан'!V:V,A641,'Барабан'!AG:AG),"")</f>
        <v/>
      </c>
      <c r="E641" s="2" t="str">
        <f t="shared" si="1"/>
        <v/>
      </c>
      <c r="F641" s="2" t="str">
        <f t="array" ref="F641">IFERROR(IF(E641=0,0,INDEX('Справочник'!G:G,MATCH(A641,'Справочник'!F:F,0))))</f>
        <v/>
      </c>
      <c r="G641" s="2" t="str">
        <f>IF(A641&gt;0,SUMIF('Барабан'!K:K,A641,'Барабан'!P:P),"")</f>
        <v/>
      </c>
      <c r="H641" s="2" t="str">
        <f>IF(A641&gt;0,SUMIF('Барабан'!V:V,A641,'Барабан'!AA:AA),"")</f>
        <v/>
      </c>
      <c r="I641" s="2" t="str">
        <f t="shared" si="4"/>
        <v/>
      </c>
      <c r="J641" s="9" t="str">
        <f t="shared" si="2"/>
        <v/>
      </c>
      <c r="K641" s="1" t="str">
        <f>IF(A641&gt;0,COUNTIF('Барабан'!K:K,A641),"")</f>
        <v/>
      </c>
      <c r="L641" s="1" t="str">
        <f>IF(A641&gt;0,COUNTIF('Барабан'!V:V,A641),"")</f>
        <v/>
      </c>
      <c r="M641" s="1" t="str">
        <f t="shared" si="3"/>
        <v/>
      </c>
      <c r="N641" s="1" t="str">
        <f>IFERROR(__xludf.DUMMYFUNCTION("IF(A641&gt;0,MIN(FILTER('Барабан'!AJ:AJ,'Барабан'!K:K=A641)),"""")"),"")</f>
        <v/>
      </c>
      <c r="O641" s="16" t="str">
        <f>IFERROR(__xludf.DUMMYFUNCTION("IF(A641&gt;0,IFERROR(MAX(FILTER('Барабан'!AJ:AJ,'Барабан'!V:V=A641)),""–""),"""")"),"")</f>
        <v/>
      </c>
    </row>
    <row r="642" ht="15.75" customHeight="1">
      <c r="A642" s="1" t="str">
        <f>'Справочник'!E637</f>
        <v/>
      </c>
      <c r="B642" s="2" t="str">
        <f>IF(A642&gt;0,SUMIF('Барабан'!K:K,A642,'Барабан'!I:I),"")</f>
        <v/>
      </c>
      <c r="C642" s="2" t="str">
        <f>IF(A642&gt;0,SUMIF('Барабан'!V:V,A642,'Барабан'!T:T),"")</f>
        <v/>
      </c>
      <c r="D642" s="2" t="str">
        <f>IF(A642&gt;0,SUMIF('Барабан'!K:K,A642,'Барабан'!AG:AG)+SUMIF('Барабан'!V:V,A642,'Барабан'!AG:AG),"")</f>
        <v/>
      </c>
      <c r="E642" s="2" t="str">
        <f t="shared" si="1"/>
        <v/>
      </c>
      <c r="F642" s="2" t="str">
        <f t="array" ref="F642">IFERROR(IF(E642=0,0,INDEX('Справочник'!G:G,MATCH(A642,'Справочник'!F:F,0))))</f>
        <v/>
      </c>
      <c r="G642" s="2" t="str">
        <f>IF(A642&gt;0,SUMIF('Барабан'!K:K,A642,'Барабан'!P:P),"")</f>
        <v/>
      </c>
      <c r="H642" s="2" t="str">
        <f>IF(A642&gt;0,SUMIF('Барабан'!V:V,A642,'Барабан'!AA:AA),"")</f>
        <v/>
      </c>
      <c r="I642" s="2" t="str">
        <f t="shared" si="4"/>
        <v/>
      </c>
      <c r="J642" s="9" t="str">
        <f t="shared" si="2"/>
        <v/>
      </c>
      <c r="K642" s="1" t="str">
        <f>IF(A642&gt;0,COUNTIF('Барабан'!K:K,A642),"")</f>
        <v/>
      </c>
      <c r="L642" s="1" t="str">
        <f>IF(A642&gt;0,COUNTIF('Барабан'!V:V,A642),"")</f>
        <v/>
      </c>
      <c r="M642" s="1" t="str">
        <f t="shared" si="3"/>
        <v/>
      </c>
      <c r="N642" s="1" t="str">
        <f>IFERROR(__xludf.DUMMYFUNCTION("IF(A642&gt;0,MIN(FILTER('Барабан'!AJ:AJ,'Барабан'!K:K=A642)),"""")"),"")</f>
        <v/>
      </c>
      <c r="O642" s="16" t="str">
        <f>IFERROR(__xludf.DUMMYFUNCTION("IF(A642&gt;0,IFERROR(MAX(FILTER('Барабан'!AJ:AJ,'Барабан'!V:V=A642)),""–""),"""")"),"")</f>
        <v/>
      </c>
    </row>
    <row r="643" ht="15.75" customHeight="1">
      <c r="A643" s="1" t="str">
        <f>'Справочник'!E638</f>
        <v/>
      </c>
      <c r="B643" s="2" t="str">
        <f>IF(A643&gt;0,SUMIF('Барабан'!K:K,A643,'Барабан'!I:I),"")</f>
        <v/>
      </c>
      <c r="C643" s="2" t="str">
        <f>IF(A643&gt;0,SUMIF('Барабан'!V:V,A643,'Барабан'!T:T),"")</f>
        <v/>
      </c>
      <c r="D643" s="2" t="str">
        <f>IF(A643&gt;0,SUMIF('Барабан'!K:K,A643,'Барабан'!AG:AG)+SUMIF('Барабан'!V:V,A643,'Барабан'!AG:AG),"")</f>
        <v/>
      </c>
      <c r="E643" s="2" t="str">
        <f t="shared" si="1"/>
        <v/>
      </c>
      <c r="F643" s="2" t="str">
        <f t="array" ref="F643">IFERROR(IF(E643=0,0,INDEX('Справочник'!G:G,MATCH(A643,'Справочник'!F:F,0))))</f>
        <v/>
      </c>
      <c r="G643" s="2" t="str">
        <f>IF(A643&gt;0,SUMIF('Барабан'!K:K,A643,'Барабан'!P:P),"")</f>
        <v/>
      </c>
      <c r="H643" s="2" t="str">
        <f>IF(A643&gt;0,SUMIF('Барабан'!V:V,A643,'Барабан'!AA:AA),"")</f>
        <v/>
      </c>
      <c r="I643" s="2" t="str">
        <f t="shared" si="4"/>
        <v/>
      </c>
      <c r="J643" s="9" t="str">
        <f t="shared" si="2"/>
        <v/>
      </c>
      <c r="K643" s="1" t="str">
        <f>IF(A643&gt;0,COUNTIF('Барабан'!K:K,A643),"")</f>
        <v/>
      </c>
      <c r="L643" s="1" t="str">
        <f>IF(A643&gt;0,COUNTIF('Барабан'!V:V,A643),"")</f>
        <v/>
      </c>
      <c r="M643" s="1" t="str">
        <f t="shared" si="3"/>
        <v/>
      </c>
      <c r="N643" s="1" t="str">
        <f>IFERROR(__xludf.DUMMYFUNCTION("IF(A643&gt;0,MIN(FILTER('Барабан'!AJ:AJ,'Барабан'!K:K=A643)),"""")"),"")</f>
        <v/>
      </c>
      <c r="O643" s="16" t="str">
        <f>IFERROR(__xludf.DUMMYFUNCTION("IF(A643&gt;0,IFERROR(MAX(FILTER('Барабан'!AJ:AJ,'Барабан'!V:V=A643)),""–""),"""")"),"")</f>
        <v/>
      </c>
    </row>
    <row r="644" ht="15.75" customHeight="1">
      <c r="A644" s="1" t="str">
        <f>'Справочник'!E639</f>
        <v/>
      </c>
      <c r="B644" s="2" t="str">
        <f>IF(A644&gt;0,SUMIF('Барабан'!K:K,A644,'Барабан'!I:I),"")</f>
        <v/>
      </c>
      <c r="C644" s="2" t="str">
        <f>IF(A644&gt;0,SUMIF('Барабан'!V:V,A644,'Барабан'!T:T),"")</f>
        <v/>
      </c>
      <c r="D644" s="2" t="str">
        <f>IF(A644&gt;0,SUMIF('Барабан'!K:K,A644,'Барабан'!AG:AG)+SUMIF('Барабан'!V:V,A644,'Барабан'!AG:AG),"")</f>
        <v/>
      </c>
      <c r="E644" s="2" t="str">
        <f t="shared" si="1"/>
        <v/>
      </c>
      <c r="F644" s="2" t="str">
        <f t="array" ref="F644">IFERROR(IF(E644=0,0,INDEX('Справочник'!G:G,MATCH(A644,'Справочник'!F:F,0))))</f>
        <v/>
      </c>
      <c r="G644" s="2" t="str">
        <f>IF(A644&gt;0,SUMIF('Барабан'!K:K,A644,'Барабан'!P:P),"")</f>
        <v/>
      </c>
      <c r="H644" s="2" t="str">
        <f>IF(A644&gt;0,SUMIF('Барабан'!V:V,A644,'Барабан'!AA:AA),"")</f>
        <v/>
      </c>
      <c r="I644" s="2" t="str">
        <f t="shared" si="4"/>
        <v/>
      </c>
      <c r="J644" s="9" t="str">
        <f t="shared" si="2"/>
        <v/>
      </c>
      <c r="K644" s="1" t="str">
        <f>IF(A644&gt;0,COUNTIF('Барабан'!K:K,A644),"")</f>
        <v/>
      </c>
      <c r="L644" s="1" t="str">
        <f>IF(A644&gt;0,COUNTIF('Барабан'!V:V,A644),"")</f>
        <v/>
      </c>
      <c r="M644" s="1" t="str">
        <f t="shared" si="3"/>
        <v/>
      </c>
      <c r="N644" s="1" t="str">
        <f>IFERROR(__xludf.DUMMYFUNCTION("IF(A644&gt;0,MIN(FILTER('Барабан'!AJ:AJ,'Барабан'!K:K=A644)),"""")"),"")</f>
        <v/>
      </c>
      <c r="O644" s="16" t="str">
        <f>IFERROR(__xludf.DUMMYFUNCTION("IF(A644&gt;0,IFERROR(MAX(FILTER('Барабан'!AJ:AJ,'Барабан'!V:V=A644)),""–""),"""")"),"")</f>
        <v/>
      </c>
    </row>
    <row r="645" ht="15.75" customHeight="1">
      <c r="A645" s="1" t="str">
        <f>'Справочник'!E640</f>
        <v/>
      </c>
      <c r="B645" s="2" t="str">
        <f>IF(A645&gt;0,SUMIF('Барабан'!K:K,A645,'Барабан'!I:I),"")</f>
        <v/>
      </c>
      <c r="C645" s="2" t="str">
        <f>IF(A645&gt;0,SUMIF('Барабан'!V:V,A645,'Барабан'!T:T),"")</f>
        <v/>
      </c>
      <c r="D645" s="2" t="str">
        <f>IF(A645&gt;0,SUMIF('Барабан'!K:K,A645,'Барабан'!AG:AG)+SUMIF('Барабан'!V:V,A645,'Барабан'!AG:AG),"")</f>
        <v/>
      </c>
      <c r="E645" s="2" t="str">
        <f t="shared" si="1"/>
        <v/>
      </c>
      <c r="F645" s="2" t="str">
        <f t="array" ref="F645">IFERROR(IF(E645=0,0,INDEX('Справочник'!G:G,MATCH(A645,'Справочник'!F:F,0))))</f>
        <v/>
      </c>
      <c r="G645" s="2" t="str">
        <f>IF(A645&gt;0,SUMIF('Барабан'!K:K,A645,'Барабан'!P:P),"")</f>
        <v/>
      </c>
      <c r="H645" s="2" t="str">
        <f>IF(A645&gt;0,SUMIF('Барабан'!V:V,A645,'Барабан'!AA:AA),"")</f>
        <v/>
      </c>
      <c r="I645" s="2" t="str">
        <f t="shared" si="4"/>
        <v/>
      </c>
      <c r="J645" s="9" t="str">
        <f t="shared" si="2"/>
        <v/>
      </c>
      <c r="K645" s="1" t="str">
        <f>IF(A645&gt;0,COUNTIF('Барабан'!K:K,A645),"")</f>
        <v/>
      </c>
      <c r="L645" s="1" t="str">
        <f>IF(A645&gt;0,COUNTIF('Барабан'!V:V,A645),"")</f>
        <v/>
      </c>
      <c r="M645" s="1" t="str">
        <f t="shared" si="3"/>
        <v/>
      </c>
      <c r="N645" s="1" t="str">
        <f>IFERROR(__xludf.DUMMYFUNCTION("IF(A645&gt;0,MIN(FILTER('Барабан'!AJ:AJ,'Барабан'!K:K=A645)),"""")"),"")</f>
        <v/>
      </c>
      <c r="O645" s="16" t="str">
        <f>IFERROR(__xludf.DUMMYFUNCTION("IF(A645&gt;0,IFERROR(MAX(FILTER('Барабан'!AJ:AJ,'Барабан'!V:V=A645)),""–""),"""")"),"")</f>
        <v/>
      </c>
    </row>
    <row r="646" ht="15.75" customHeight="1">
      <c r="A646" s="1" t="str">
        <f>'Справочник'!E641</f>
        <v/>
      </c>
      <c r="B646" s="2" t="str">
        <f>IF(A646&gt;0,SUMIF('Барабан'!K:K,A646,'Барабан'!I:I),"")</f>
        <v/>
      </c>
      <c r="C646" s="2" t="str">
        <f>IF(A646&gt;0,SUMIF('Барабан'!V:V,A646,'Барабан'!T:T),"")</f>
        <v/>
      </c>
      <c r="D646" s="2" t="str">
        <f>IF(A646&gt;0,SUMIF('Барабан'!K:K,A646,'Барабан'!AG:AG)+SUMIF('Барабан'!V:V,A646,'Барабан'!AG:AG),"")</f>
        <v/>
      </c>
      <c r="E646" s="2" t="str">
        <f t="shared" si="1"/>
        <v/>
      </c>
      <c r="F646" s="2" t="str">
        <f t="array" ref="F646">IFERROR(IF(E646=0,0,INDEX('Справочник'!G:G,MATCH(A646,'Справочник'!F:F,0))))</f>
        <v/>
      </c>
      <c r="G646" s="2" t="str">
        <f>IF(A646&gt;0,SUMIF('Барабан'!K:K,A646,'Барабан'!P:P),"")</f>
        <v/>
      </c>
      <c r="H646" s="2" t="str">
        <f>IF(A646&gt;0,SUMIF('Барабан'!V:V,A646,'Барабан'!AA:AA),"")</f>
        <v/>
      </c>
      <c r="I646" s="2" t="str">
        <f t="shared" si="4"/>
        <v/>
      </c>
      <c r="J646" s="9" t="str">
        <f t="shared" si="2"/>
        <v/>
      </c>
      <c r="K646" s="1" t="str">
        <f>IF(A646&gt;0,COUNTIF('Барабан'!K:K,A646),"")</f>
        <v/>
      </c>
      <c r="L646" s="1" t="str">
        <f>IF(A646&gt;0,COUNTIF('Барабан'!V:V,A646),"")</f>
        <v/>
      </c>
      <c r="M646" s="1" t="str">
        <f t="shared" si="3"/>
        <v/>
      </c>
      <c r="N646" s="1" t="str">
        <f>IFERROR(__xludf.DUMMYFUNCTION("IF(A646&gt;0,MIN(FILTER('Барабан'!AJ:AJ,'Барабан'!K:K=A646)),"""")"),"")</f>
        <v/>
      </c>
      <c r="O646" s="16" t="str">
        <f>IFERROR(__xludf.DUMMYFUNCTION("IF(A646&gt;0,IFERROR(MAX(FILTER('Барабан'!AJ:AJ,'Барабан'!V:V=A646)),""–""),"""")"),"")</f>
        <v/>
      </c>
    </row>
    <row r="647" ht="15.75" customHeight="1">
      <c r="A647" s="1" t="str">
        <f>'Справочник'!E642</f>
        <v/>
      </c>
      <c r="B647" s="2" t="str">
        <f>IF(A647&gt;0,SUMIF('Барабан'!K:K,A647,'Барабан'!I:I),"")</f>
        <v/>
      </c>
      <c r="C647" s="2" t="str">
        <f>IF(A647&gt;0,SUMIF('Барабан'!V:V,A647,'Барабан'!T:T),"")</f>
        <v/>
      </c>
      <c r="D647" s="2" t="str">
        <f>IF(A647&gt;0,SUMIF('Барабан'!K:K,A647,'Барабан'!AG:AG)+SUMIF('Барабан'!V:V,A647,'Барабан'!AG:AG),"")</f>
        <v/>
      </c>
      <c r="E647" s="2" t="str">
        <f t="shared" si="1"/>
        <v/>
      </c>
      <c r="F647" s="2" t="str">
        <f t="array" ref="F647">IFERROR(IF(E647=0,0,INDEX('Справочник'!G:G,MATCH(A647,'Справочник'!F:F,0))))</f>
        <v/>
      </c>
      <c r="G647" s="2" t="str">
        <f>IF(A647&gt;0,SUMIF('Барабан'!K:K,A647,'Барабан'!P:P),"")</f>
        <v/>
      </c>
      <c r="H647" s="2" t="str">
        <f>IF(A647&gt;0,SUMIF('Барабан'!V:V,A647,'Барабан'!AA:AA),"")</f>
        <v/>
      </c>
      <c r="I647" s="2" t="str">
        <f t="shared" si="4"/>
        <v/>
      </c>
      <c r="J647" s="9" t="str">
        <f t="shared" si="2"/>
        <v/>
      </c>
      <c r="K647" s="1" t="str">
        <f>IF(A647&gt;0,COUNTIF('Барабан'!K:K,A647),"")</f>
        <v/>
      </c>
      <c r="L647" s="1" t="str">
        <f>IF(A647&gt;0,COUNTIF('Барабан'!V:V,A647),"")</f>
        <v/>
      </c>
      <c r="M647" s="1" t="str">
        <f t="shared" si="3"/>
        <v/>
      </c>
      <c r="N647" s="1" t="str">
        <f>IFERROR(__xludf.DUMMYFUNCTION("IF(A647&gt;0,MIN(FILTER('Барабан'!AJ:AJ,'Барабан'!K:K=A647)),"""")"),"")</f>
        <v/>
      </c>
      <c r="O647" s="16" t="str">
        <f>IFERROR(__xludf.DUMMYFUNCTION("IF(A647&gt;0,IFERROR(MAX(FILTER('Барабан'!AJ:AJ,'Барабан'!V:V=A647)),""–""),"""")"),"")</f>
        <v/>
      </c>
    </row>
    <row r="648" ht="15.75" customHeight="1">
      <c r="A648" s="1" t="str">
        <f>'Справочник'!E643</f>
        <v/>
      </c>
      <c r="B648" s="2" t="str">
        <f>IF(A648&gt;0,SUMIF('Барабан'!K:K,A648,'Барабан'!I:I),"")</f>
        <v/>
      </c>
      <c r="C648" s="2" t="str">
        <f>IF(A648&gt;0,SUMIF('Барабан'!V:V,A648,'Барабан'!T:T),"")</f>
        <v/>
      </c>
      <c r="D648" s="2" t="str">
        <f>IF(A648&gt;0,SUMIF('Барабан'!K:K,A648,'Барабан'!AG:AG)+SUMIF('Барабан'!V:V,A648,'Барабан'!AG:AG),"")</f>
        <v/>
      </c>
      <c r="E648" s="2" t="str">
        <f t="shared" si="1"/>
        <v/>
      </c>
      <c r="F648" s="2" t="str">
        <f t="array" ref="F648">IFERROR(IF(E648=0,0,INDEX('Справочник'!G:G,MATCH(A648,'Справочник'!F:F,0))))</f>
        <v/>
      </c>
      <c r="G648" s="2" t="str">
        <f>IF(A648&gt;0,SUMIF('Барабан'!K:K,A648,'Барабан'!P:P),"")</f>
        <v/>
      </c>
      <c r="H648" s="2" t="str">
        <f>IF(A648&gt;0,SUMIF('Барабан'!V:V,A648,'Барабан'!AA:AA),"")</f>
        <v/>
      </c>
      <c r="I648" s="2" t="str">
        <f t="shared" si="4"/>
        <v/>
      </c>
      <c r="J648" s="9" t="str">
        <f t="shared" si="2"/>
        <v/>
      </c>
      <c r="K648" s="1" t="str">
        <f>IF(A648&gt;0,COUNTIF('Барабан'!K:K,A648),"")</f>
        <v/>
      </c>
      <c r="L648" s="1" t="str">
        <f>IF(A648&gt;0,COUNTIF('Барабан'!V:V,A648),"")</f>
        <v/>
      </c>
      <c r="M648" s="1" t="str">
        <f t="shared" si="3"/>
        <v/>
      </c>
      <c r="N648" s="1" t="str">
        <f>IFERROR(__xludf.DUMMYFUNCTION("IF(A648&gt;0,MIN(FILTER('Барабан'!AJ:AJ,'Барабан'!K:K=A648)),"""")"),"")</f>
        <v/>
      </c>
      <c r="O648" s="16" t="str">
        <f>IFERROR(__xludf.DUMMYFUNCTION("IF(A648&gt;0,IFERROR(MAX(FILTER('Барабан'!AJ:AJ,'Барабан'!V:V=A648)),""–""),"""")"),"")</f>
        <v/>
      </c>
    </row>
    <row r="649" ht="15.75" customHeight="1">
      <c r="A649" s="1" t="str">
        <f>'Справочник'!E644</f>
        <v/>
      </c>
      <c r="B649" s="2" t="str">
        <f>IF(A649&gt;0,SUMIF('Барабан'!K:K,A649,'Барабан'!I:I),"")</f>
        <v/>
      </c>
      <c r="C649" s="2" t="str">
        <f>IF(A649&gt;0,SUMIF('Барабан'!V:V,A649,'Барабан'!T:T),"")</f>
        <v/>
      </c>
      <c r="D649" s="2" t="str">
        <f>IF(A649&gt;0,SUMIF('Барабан'!K:K,A649,'Барабан'!AG:AG)+SUMIF('Барабан'!V:V,A649,'Барабан'!AG:AG),"")</f>
        <v/>
      </c>
      <c r="E649" s="2" t="str">
        <f t="shared" si="1"/>
        <v/>
      </c>
      <c r="F649" s="2" t="str">
        <f t="array" ref="F649">IFERROR(IF(E649=0,0,INDEX('Справочник'!G:G,MATCH(A649,'Справочник'!F:F,0))))</f>
        <v/>
      </c>
      <c r="G649" s="2" t="str">
        <f>IF(A649&gt;0,SUMIF('Барабан'!K:K,A649,'Барабан'!P:P),"")</f>
        <v/>
      </c>
      <c r="H649" s="2" t="str">
        <f>IF(A649&gt;0,SUMIF('Барабан'!V:V,A649,'Барабан'!AA:AA),"")</f>
        <v/>
      </c>
      <c r="I649" s="2" t="str">
        <f t="shared" si="4"/>
        <v/>
      </c>
      <c r="J649" s="9" t="str">
        <f t="shared" si="2"/>
        <v/>
      </c>
      <c r="K649" s="1" t="str">
        <f>IF(A649&gt;0,COUNTIF('Барабан'!K:K,A649),"")</f>
        <v/>
      </c>
      <c r="L649" s="1" t="str">
        <f>IF(A649&gt;0,COUNTIF('Барабан'!V:V,A649),"")</f>
        <v/>
      </c>
      <c r="M649" s="1" t="str">
        <f t="shared" si="3"/>
        <v/>
      </c>
      <c r="N649" s="1" t="str">
        <f>IFERROR(__xludf.DUMMYFUNCTION("IF(A649&gt;0,MIN(FILTER('Барабан'!AJ:AJ,'Барабан'!K:K=A649)),"""")"),"")</f>
        <v/>
      </c>
      <c r="O649" s="16" t="str">
        <f>IFERROR(__xludf.DUMMYFUNCTION("IF(A649&gt;0,IFERROR(MAX(FILTER('Барабан'!AJ:AJ,'Барабан'!V:V=A649)),""–""),"""")"),"")</f>
        <v/>
      </c>
    </row>
    <row r="650" ht="15.75" customHeight="1">
      <c r="A650" s="1" t="str">
        <f>'Справочник'!E645</f>
        <v/>
      </c>
      <c r="B650" s="2" t="str">
        <f>IF(A650&gt;0,SUMIF('Барабан'!K:K,A650,'Барабан'!I:I),"")</f>
        <v/>
      </c>
      <c r="C650" s="2" t="str">
        <f>IF(A650&gt;0,SUMIF('Барабан'!V:V,A650,'Барабан'!T:T),"")</f>
        <v/>
      </c>
      <c r="D650" s="2" t="str">
        <f>IF(A650&gt;0,SUMIF('Барабан'!K:K,A650,'Барабан'!AG:AG)+SUMIF('Барабан'!V:V,A650,'Барабан'!AG:AG),"")</f>
        <v/>
      </c>
      <c r="E650" s="2" t="str">
        <f t="shared" si="1"/>
        <v/>
      </c>
      <c r="F650" s="2" t="str">
        <f t="array" ref="F650">IFERROR(IF(E650=0,0,INDEX('Справочник'!G:G,MATCH(A650,'Справочник'!F:F,0))))</f>
        <v/>
      </c>
      <c r="G650" s="2" t="str">
        <f>IF(A650&gt;0,SUMIF('Барабан'!K:K,A650,'Барабан'!P:P),"")</f>
        <v/>
      </c>
      <c r="H650" s="2" t="str">
        <f>IF(A650&gt;0,SUMIF('Барабан'!V:V,A650,'Барабан'!AA:AA),"")</f>
        <v/>
      </c>
      <c r="I650" s="2" t="str">
        <f t="shared" si="4"/>
        <v/>
      </c>
      <c r="J650" s="9" t="str">
        <f t="shared" si="2"/>
        <v/>
      </c>
      <c r="K650" s="1" t="str">
        <f>IF(A650&gt;0,COUNTIF('Барабан'!K:K,A650),"")</f>
        <v/>
      </c>
      <c r="L650" s="1" t="str">
        <f>IF(A650&gt;0,COUNTIF('Барабан'!V:V,A650),"")</f>
        <v/>
      </c>
      <c r="M650" s="1" t="str">
        <f t="shared" si="3"/>
        <v/>
      </c>
      <c r="N650" s="1" t="str">
        <f>IFERROR(__xludf.DUMMYFUNCTION("IF(A650&gt;0,MIN(FILTER('Барабан'!AJ:AJ,'Барабан'!K:K=A650)),"""")"),"")</f>
        <v/>
      </c>
      <c r="O650" s="16" t="str">
        <f>IFERROR(__xludf.DUMMYFUNCTION("IF(A650&gt;0,IFERROR(MAX(FILTER('Барабан'!AJ:AJ,'Барабан'!V:V=A650)),""–""),"""")"),"")</f>
        <v/>
      </c>
    </row>
    <row r="651" ht="15.75" customHeight="1">
      <c r="A651" s="1" t="str">
        <f>'Справочник'!E646</f>
        <v/>
      </c>
      <c r="B651" s="2" t="str">
        <f>IF(A651&gt;0,SUMIF('Барабан'!K:K,A651,'Барабан'!I:I),"")</f>
        <v/>
      </c>
      <c r="C651" s="2" t="str">
        <f>IF(A651&gt;0,SUMIF('Барабан'!V:V,A651,'Барабан'!T:T),"")</f>
        <v/>
      </c>
      <c r="D651" s="2" t="str">
        <f>IF(A651&gt;0,SUMIF('Барабан'!K:K,A651,'Барабан'!AG:AG)+SUMIF('Барабан'!V:V,A651,'Барабан'!AG:AG),"")</f>
        <v/>
      </c>
      <c r="E651" s="2" t="str">
        <f t="shared" si="1"/>
        <v/>
      </c>
      <c r="F651" s="2" t="str">
        <f t="array" ref="F651">IFERROR(IF(E651=0,0,INDEX('Справочник'!G:G,MATCH(A651,'Справочник'!F:F,0))))</f>
        <v/>
      </c>
      <c r="G651" s="2" t="str">
        <f>IF(A651&gt;0,SUMIF('Барабан'!K:K,A651,'Барабан'!P:P),"")</f>
        <v/>
      </c>
      <c r="H651" s="2" t="str">
        <f>IF(A651&gt;0,SUMIF('Барабан'!V:V,A651,'Барабан'!AA:AA),"")</f>
        <v/>
      </c>
      <c r="I651" s="2" t="str">
        <f t="shared" si="4"/>
        <v/>
      </c>
      <c r="J651" s="9" t="str">
        <f t="shared" si="2"/>
        <v/>
      </c>
      <c r="K651" s="1" t="str">
        <f>IF(A651&gt;0,COUNTIF('Барабан'!K:K,A651),"")</f>
        <v/>
      </c>
      <c r="L651" s="1" t="str">
        <f>IF(A651&gt;0,COUNTIF('Барабан'!V:V,A651),"")</f>
        <v/>
      </c>
      <c r="M651" s="1" t="str">
        <f t="shared" si="3"/>
        <v/>
      </c>
      <c r="N651" s="1" t="str">
        <f>IFERROR(__xludf.DUMMYFUNCTION("IF(A651&gt;0,MIN(FILTER('Барабан'!AJ:AJ,'Барабан'!K:K=A651)),"""")"),"")</f>
        <v/>
      </c>
      <c r="O651" s="16" t="str">
        <f>IFERROR(__xludf.DUMMYFUNCTION("IF(A651&gt;0,IFERROR(MAX(FILTER('Барабан'!AJ:AJ,'Барабан'!V:V=A651)),""–""),"""")"),"")</f>
        <v/>
      </c>
    </row>
    <row r="652" ht="15.75" customHeight="1">
      <c r="A652" s="1" t="str">
        <f>'Справочник'!E647</f>
        <v/>
      </c>
      <c r="B652" s="2" t="str">
        <f>IF(A652&gt;0,SUMIF('Барабан'!K:K,A652,'Барабан'!I:I),"")</f>
        <v/>
      </c>
      <c r="C652" s="2" t="str">
        <f>IF(A652&gt;0,SUMIF('Барабан'!V:V,A652,'Барабан'!T:T),"")</f>
        <v/>
      </c>
      <c r="D652" s="2" t="str">
        <f>IF(A652&gt;0,SUMIF('Барабан'!K:K,A652,'Барабан'!AG:AG)+SUMIF('Барабан'!V:V,A652,'Барабан'!AG:AG),"")</f>
        <v/>
      </c>
      <c r="E652" s="2" t="str">
        <f t="shared" si="1"/>
        <v/>
      </c>
      <c r="F652" s="2" t="str">
        <f t="array" ref="F652">IFERROR(IF(E652=0,0,INDEX('Справочник'!G:G,MATCH(A652,'Справочник'!F:F,0))))</f>
        <v/>
      </c>
      <c r="G652" s="2" t="str">
        <f>IF(A652&gt;0,SUMIF('Барабан'!K:K,A652,'Барабан'!P:P),"")</f>
        <v/>
      </c>
      <c r="H652" s="2" t="str">
        <f>IF(A652&gt;0,SUMIF('Барабан'!V:V,A652,'Барабан'!AA:AA),"")</f>
        <v/>
      </c>
      <c r="I652" s="2" t="str">
        <f t="shared" si="4"/>
        <v/>
      </c>
      <c r="J652" s="9" t="str">
        <f t="shared" si="2"/>
        <v/>
      </c>
      <c r="K652" s="1" t="str">
        <f>IF(A652&gt;0,COUNTIF('Барабан'!K:K,A652),"")</f>
        <v/>
      </c>
      <c r="L652" s="1" t="str">
        <f>IF(A652&gt;0,COUNTIF('Барабан'!V:V,A652),"")</f>
        <v/>
      </c>
      <c r="M652" s="1" t="str">
        <f t="shared" si="3"/>
        <v/>
      </c>
      <c r="N652" s="1" t="str">
        <f>IFERROR(__xludf.DUMMYFUNCTION("IF(A652&gt;0,MIN(FILTER('Барабан'!AJ:AJ,'Барабан'!K:K=A652)),"""")"),"")</f>
        <v/>
      </c>
      <c r="O652" s="16" t="str">
        <f>IFERROR(__xludf.DUMMYFUNCTION("IF(A652&gt;0,IFERROR(MAX(FILTER('Барабан'!AJ:AJ,'Барабан'!V:V=A652)),""–""),"""")"),"")</f>
        <v/>
      </c>
    </row>
    <row r="653" ht="15.75" customHeight="1">
      <c r="A653" s="1" t="str">
        <f>'Справочник'!E648</f>
        <v/>
      </c>
      <c r="B653" s="2" t="str">
        <f>IF(A653&gt;0,SUMIF('Барабан'!K:K,A653,'Барабан'!I:I),"")</f>
        <v/>
      </c>
      <c r="C653" s="2" t="str">
        <f>IF(A653&gt;0,SUMIF('Барабан'!V:V,A653,'Барабан'!T:T),"")</f>
        <v/>
      </c>
      <c r="D653" s="2" t="str">
        <f>IF(A653&gt;0,SUMIF('Барабан'!K:K,A653,'Барабан'!AG:AG)+SUMIF('Барабан'!V:V,A653,'Барабан'!AG:AG),"")</f>
        <v/>
      </c>
      <c r="E653" s="2" t="str">
        <f t="shared" si="1"/>
        <v/>
      </c>
      <c r="F653" s="2" t="str">
        <f t="array" ref="F653">IFERROR(IF(E653=0,0,INDEX('Справочник'!G:G,MATCH(A653,'Справочник'!F:F,0))))</f>
        <v/>
      </c>
      <c r="G653" s="2" t="str">
        <f>IF(A653&gt;0,SUMIF('Барабан'!K:K,A653,'Барабан'!P:P),"")</f>
        <v/>
      </c>
      <c r="H653" s="2" t="str">
        <f>IF(A653&gt;0,SUMIF('Барабан'!V:V,A653,'Барабан'!AA:AA),"")</f>
        <v/>
      </c>
      <c r="I653" s="2" t="str">
        <f t="shared" si="4"/>
        <v/>
      </c>
      <c r="J653" s="9" t="str">
        <f t="shared" si="2"/>
        <v/>
      </c>
      <c r="K653" s="1" t="str">
        <f>IF(A653&gt;0,COUNTIF('Барабан'!K:K,A653),"")</f>
        <v/>
      </c>
      <c r="L653" s="1" t="str">
        <f>IF(A653&gt;0,COUNTIF('Барабан'!V:V,A653),"")</f>
        <v/>
      </c>
      <c r="M653" s="1" t="str">
        <f t="shared" si="3"/>
        <v/>
      </c>
      <c r="N653" s="1" t="str">
        <f>IFERROR(__xludf.DUMMYFUNCTION("IF(A653&gt;0,MIN(FILTER('Барабан'!AJ:AJ,'Барабан'!K:K=A653)),"""")"),"")</f>
        <v/>
      </c>
      <c r="O653" s="16" t="str">
        <f>IFERROR(__xludf.DUMMYFUNCTION("IF(A653&gt;0,IFERROR(MAX(FILTER('Барабан'!AJ:AJ,'Барабан'!V:V=A653)),""–""),"""")"),"")</f>
        <v/>
      </c>
    </row>
    <row r="654" ht="15.75" customHeight="1">
      <c r="A654" s="1" t="str">
        <f>'Справочник'!E649</f>
        <v/>
      </c>
      <c r="B654" s="2" t="str">
        <f>IF(A654&gt;0,SUMIF('Барабан'!K:K,A654,'Барабан'!I:I),"")</f>
        <v/>
      </c>
      <c r="C654" s="2" t="str">
        <f>IF(A654&gt;0,SUMIF('Барабан'!V:V,A654,'Барабан'!T:T),"")</f>
        <v/>
      </c>
      <c r="D654" s="2" t="str">
        <f>IF(A654&gt;0,SUMIF('Барабан'!K:K,A654,'Барабан'!AG:AG)+SUMIF('Барабан'!V:V,A654,'Барабан'!AG:AG),"")</f>
        <v/>
      </c>
      <c r="E654" s="2" t="str">
        <f t="shared" si="1"/>
        <v/>
      </c>
      <c r="F654" s="2" t="str">
        <f t="array" ref="F654">IFERROR(IF(E654=0,0,INDEX('Справочник'!G:G,MATCH(A654,'Справочник'!F:F,0))))</f>
        <v/>
      </c>
      <c r="G654" s="2" t="str">
        <f>IF(A654&gt;0,SUMIF('Барабан'!K:K,A654,'Барабан'!P:P),"")</f>
        <v/>
      </c>
      <c r="H654" s="2" t="str">
        <f>IF(A654&gt;0,SUMIF('Барабан'!V:V,A654,'Барабан'!AA:AA),"")</f>
        <v/>
      </c>
      <c r="I654" s="2" t="str">
        <f t="shared" si="4"/>
        <v/>
      </c>
      <c r="J654" s="9" t="str">
        <f t="shared" si="2"/>
        <v/>
      </c>
      <c r="K654" s="1" t="str">
        <f>IF(A654&gt;0,COUNTIF('Барабан'!K:K,A654),"")</f>
        <v/>
      </c>
      <c r="L654" s="1" t="str">
        <f>IF(A654&gt;0,COUNTIF('Барабан'!V:V,A654),"")</f>
        <v/>
      </c>
      <c r="M654" s="1" t="str">
        <f t="shared" si="3"/>
        <v/>
      </c>
      <c r="N654" s="1" t="str">
        <f>IFERROR(__xludf.DUMMYFUNCTION("IF(A654&gt;0,MIN(FILTER('Барабан'!AJ:AJ,'Барабан'!K:K=A654)),"""")"),"")</f>
        <v/>
      </c>
      <c r="O654" s="16" t="str">
        <f>IFERROR(__xludf.DUMMYFUNCTION("IF(A654&gt;0,IFERROR(MAX(FILTER('Барабан'!AJ:AJ,'Барабан'!V:V=A654)),""–""),"""")"),"")</f>
        <v/>
      </c>
    </row>
    <row r="655" ht="15.75" customHeight="1">
      <c r="A655" s="1" t="str">
        <f>'Справочник'!E650</f>
        <v/>
      </c>
      <c r="B655" s="2" t="str">
        <f>IF(A655&gt;0,SUMIF('Барабан'!K:K,A655,'Барабан'!I:I),"")</f>
        <v/>
      </c>
      <c r="C655" s="2" t="str">
        <f>IF(A655&gt;0,SUMIF('Барабан'!V:V,A655,'Барабан'!T:T),"")</f>
        <v/>
      </c>
      <c r="D655" s="2" t="str">
        <f>IF(A655&gt;0,SUMIF('Барабан'!K:K,A655,'Барабан'!AG:AG)+SUMIF('Барабан'!V:V,A655,'Барабан'!AG:AG),"")</f>
        <v/>
      </c>
      <c r="E655" s="2" t="str">
        <f t="shared" si="1"/>
        <v/>
      </c>
      <c r="F655" s="2" t="str">
        <f t="array" ref="F655">IFERROR(IF(E655=0,0,INDEX('Справочник'!G:G,MATCH(A655,'Справочник'!F:F,0))))</f>
        <v/>
      </c>
      <c r="G655" s="2" t="str">
        <f>IF(A655&gt;0,SUMIF('Барабан'!K:K,A655,'Барабан'!P:P),"")</f>
        <v/>
      </c>
      <c r="H655" s="2" t="str">
        <f>IF(A655&gt;0,SUMIF('Барабан'!V:V,A655,'Барабан'!AA:AA),"")</f>
        <v/>
      </c>
      <c r="I655" s="2" t="str">
        <f t="shared" si="4"/>
        <v/>
      </c>
      <c r="J655" s="9" t="str">
        <f t="shared" si="2"/>
        <v/>
      </c>
      <c r="K655" s="1" t="str">
        <f>IF(A655&gt;0,COUNTIF('Барабан'!K:K,A655),"")</f>
        <v/>
      </c>
      <c r="L655" s="1" t="str">
        <f>IF(A655&gt;0,COUNTIF('Барабан'!V:V,A655),"")</f>
        <v/>
      </c>
      <c r="M655" s="1" t="str">
        <f t="shared" si="3"/>
        <v/>
      </c>
      <c r="N655" s="1" t="str">
        <f>IFERROR(__xludf.DUMMYFUNCTION("IF(A655&gt;0,MIN(FILTER('Барабан'!AJ:AJ,'Барабан'!K:K=A655)),"""")"),"")</f>
        <v/>
      </c>
      <c r="O655" s="16" t="str">
        <f>IFERROR(__xludf.DUMMYFUNCTION("IF(A655&gt;0,IFERROR(MAX(FILTER('Барабан'!AJ:AJ,'Барабан'!V:V=A655)),""–""),"""")"),"")</f>
        <v/>
      </c>
    </row>
    <row r="656" ht="15.75" customHeight="1">
      <c r="A656" s="1" t="str">
        <f>'Справочник'!E651</f>
        <v/>
      </c>
      <c r="B656" s="2" t="str">
        <f>IF(A656&gt;0,SUMIF('Барабан'!K:K,A656,'Барабан'!I:I),"")</f>
        <v/>
      </c>
      <c r="C656" s="2" t="str">
        <f>IF(A656&gt;0,SUMIF('Барабан'!V:V,A656,'Барабан'!T:T),"")</f>
        <v/>
      </c>
      <c r="D656" s="2" t="str">
        <f>IF(A656&gt;0,SUMIF('Барабан'!K:K,A656,'Барабан'!AG:AG)+SUMIF('Барабан'!V:V,A656,'Барабан'!AG:AG),"")</f>
        <v/>
      </c>
      <c r="E656" s="2" t="str">
        <f t="shared" si="1"/>
        <v/>
      </c>
      <c r="F656" s="2" t="str">
        <f t="array" ref="F656">IFERROR(IF(E656=0,0,INDEX('Справочник'!G:G,MATCH(A656,'Справочник'!F:F,0))))</f>
        <v/>
      </c>
      <c r="G656" s="2" t="str">
        <f>IF(A656&gt;0,SUMIF('Барабан'!K:K,A656,'Барабан'!P:P),"")</f>
        <v/>
      </c>
      <c r="H656" s="2" t="str">
        <f>IF(A656&gt;0,SUMIF('Барабан'!V:V,A656,'Барабан'!AA:AA),"")</f>
        <v/>
      </c>
      <c r="I656" s="2" t="str">
        <f t="shared" si="4"/>
        <v/>
      </c>
      <c r="J656" s="9" t="str">
        <f t="shared" si="2"/>
        <v/>
      </c>
      <c r="K656" s="1" t="str">
        <f>IF(A656&gt;0,COUNTIF('Барабан'!K:K,A656),"")</f>
        <v/>
      </c>
      <c r="L656" s="1" t="str">
        <f>IF(A656&gt;0,COUNTIF('Барабан'!V:V,A656),"")</f>
        <v/>
      </c>
      <c r="M656" s="1" t="str">
        <f t="shared" si="3"/>
        <v/>
      </c>
      <c r="N656" s="1" t="str">
        <f>IFERROR(__xludf.DUMMYFUNCTION("IF(A656&gt;0,MIN(FILTER('Барабан'!AJ:AJ,'Барабан'!K:K=A656)),"""")"),"")</f>
        <v/>
      </c>
      <c r="O656" s="16" t="str">
        <f>IFERROR(__xludf.DUMMYFUNCTION("IF(A656&gt;0,IFERROR(MAX(FILTER('Барабан'!AJ:AJ,'Барабан'!V:V=A656)),""–""),"""")"),"")</f>
        <v/>
      </c>
    </row>
    <row r="657" ht="15.75" customHeight="1">
      <c r="A657" s="1" t="str">
        <f>'Справочник'!E652</f>
        <v/>
      </c>
      <c r="B657" s="2" t="str">
        <f>IF(A657&gt;0,SUMIF('Барабан'!K:K,A657,'Барабан'!I:I),"")</f>
        <v/>
      </c>
      <c r="C657" s="2" t="str">
        <f>IF(A657&gt;0,SUMIF('Барабан'!V:V,A657,'Барабан'!T:T),"")</f>
        <v/>
      </c>
      <c r="D657" s="2" t="str">
        <f>IF(A657&gt;0,SUMIF('Барабан'!K:K,A657,'Барабан'!AG:AG)+SUMIF('Барабан'!V:V,A657,'Барабан'!AG:AG),"")</f>
        <v/>
      </c>
      <c r="E657" s="2" t="str">
        <f t="shared" si="1"/>
        <v/>
      </c>
      <c r="F657" s="2" t="str">
        <f t="array" ref="F657">IFERROR(IF(E657=0,0,INDEX('Справочник'!G:G,MATCH(A657,'Справочник'!F:F,0))))</f>
        <v/>
      </c>
      <c r="G657" s="2" t="str">
        <f>IF(A657&gt;0,SUMIF('Барабан'!K:K,A657,'Барабан'!P:P),"")</f>
        <v/>
      </c>
      <c r="H657" s="2" t="str">
        <f>IF(A657&gt;0,SUMIF('Барабан'!V:V,A657,'Барабан'!AA:AA),"")</f>
        <v/>
      </c>
      <c r="I657" s="2" t="str">
        <f t="shared" si="4"/>
        <v/>
      </c>
      <c r="J657" s="9" t="str">
        <f t="shared" si="2"/>
        <v/>
      </c>
      <c r="K657" s="1" t="str">
        <f>IF(A657&gt;0,COUNTIF('Барабан'!K:K,A657),"")</f>
        <v/>
      </c>
      <c r="L657" s="1" t="str">
        <f>IF(A657&gt;0,COUNTIF('Барабан'!V:V,A657),"")</f>
        <v/>
      </c>
      <c r="M657" s="1" t="str">
        <f t="shared" si="3"/>
        <v/>
      </c>
      <c r="N657" s="1" t="str">
        <f>IFERROR(__xludf.DUMMYFUNCTION("IF(A657&gt;0,MIN(FILTER('Барабан'!AJ:AJ,'Барабан'!K:K=A657)),"""")"),"")</f>
        <v/>
      </c>
      <c r="O657" s="16" t="str">
        <f>IFERROR(__xludf.DUMMYFUNCTION("IF(A657&gt;0,IFERROR(MAX(FILTER('Барабан'!AJ:AJ,'Барабан'!V:V=A657)),""–""),"""")"),"")</f>
        <v/>
      </c>
    </row>
    <row r="658" ht="15.75" customHeight="1">
      <c r="A658" s="1" t="str">
        <f>'Справочник'!E653</f>
        <v/>
      </c>
      <c r="B658" s="2" t="str">
        <f>IF(A658&gt;0,SUMIF('Барабан'!K:K,A658,'Барабан'!I:I),"")</f>
        <v/>
      </c>
      <c r="C658" s="2" t="str">
        <f>IF(A658&gt;0,SUMIF('Барабан'!V:V,A658,'Барабан'!T:T),"")</f>
        <v/>
      </c>
      <c r="D658" s="2" t="str">
        <f>IF(A658&gt;0,SUMIF('Барабан'!K:K,A658,'Барабан'!AG:AG)+SUMIF('Барабан'!V:V,A658,'Барабан'!AG:AG),"")</f>
        <v/>
      </c>
      <c r="E658" s="2" t="str">
        <f t="shared" si="1"/>
        <v/>
      </c>
      <c r="F658" s="2" t="str">
        <f t="array" ref="F658">IFERROR(IF(E658=0,0,INDEX('Справочник'!G:G,MATCH(A658,'Справочник'!F:F,0))))</f>
        <v/>
      </c>
      <c r="G658" s="2" t="str">
        <f>IF(A658&gt;0,SUMIF('Барабан'!K:K,A658,'Барабан'!P:P),"")</f>
        <v/>
      </c>
      <c r="H658" s="2" t="str">
        <f>IF(A658&gt;0,SUMIF('Барабан'!V:V,A658,'Барабан'!AA:AA),"")</f>
        <v/>
      </c>
      <c r="I658" s="2" t="str">
        <f t="shared" si="4"/>
        <v/>
      </c>
      <c r="J658" s="9" t="str">
        <f t="shared" si="2"/>
        <v/>
      </c>
      <c r="K658" s="1" t="str">
        <f>IF(A658&gt;0,COUNTIF('Барабан'!K:K,A658),"")</f>
        <v/>
      </c>
      <c r="L658" s="1" t="str">
        <f>IF(A658&gt;0,COUNTIF('Барабан'!V:V,A658),"")</f>
        <v/>
      </c>
      <c r="M658" s="1" t="str">
        <f t="shared" si="3"/>
        <v/>
      </c>
      <c r="N658" s="1" t="str">
        <f>IFERROR(__xludf.DUMMYFUNCTION("IF(A658&gt;0,MIN(FILTER('Барабан'!AJ:AJ,'Барабан'!K:K=A658)),"""")"),"")</f>
        <v/>
      </c>
      <c r="O658" s="16" t="str">
        <f>IFERROR(__xludf.DUMMYFUNCTION("IF(A658&gt;0,IFERROR(MAX(FILTER('Барабан'!AJ:AJ,'Барабан'!V:V=A658)),""–""),"""")"),"")</f>
        <v/>
      </c>
    </row>
    <row r="659" ht="15.75" customHeight="1">
      <c r="A659" s="1" t="str">
        <f>'Справочник'!E654</f>
        <v/>
      </c>
      <c r="B659" s="2" t="str">
        <f>IF(A659&gt;0,SUMIF('Барабан'!K:K,A659,'Барабан'!I:I),"")</f>
        <v/>
      </c>
      <c r="C659" s="2" t="str">
        <f>IF(A659&gt;0,SUMIF('Барабан'!V:V,A659,'Барабан'!T:T),"")</f>
        <v/>
      </c>
      <c r="D659" s="2" t="str">
        <f>IF(A659&gt;0,SUMIF('Барабан'!K:K,A659,'Барабан'!AG:AG)+SUMIF('Барабан'!V:V,A659,'Барабан'!AG:AG),"")</f>
        <v/>
      </c>
      <c r="E659" s="2" t="str">
        <f t="shared" si="1"/>
        <v/>
      </c>
      <c r="F659" s="2" t="str">
        <f t="array" ref="F659">IFERROR(IF(E659=0,0,INDEX('Справочник'!G:G,MATCH(A659,'Справочник'!F:F,0))))</f>
        <v/>
      </c>
      <c r="G659" s="2" t="str">
        <f>IF(A659&gt;0,SUMIF('Барабан'!K:K,A659,'Барабан'!P:P),"")</f>
        <v/>
      </c>
      <c r="H659" s="2" t="str">
        <f>IF(A659&gt;0,SUMIF('Барабан'!V:V,A659,'Барабан'!AA:AA),"")</f>
        <v/>
      </c>
      <c r="I659" s="2" t="str">
        <f t="shared" si="4"/>
        <v/>
      </c>
      <c r="J659" s="9" t="str">
        <f t="shared" si="2"/>
        <v/>
      </c>
      <c r="K659" s="1" t="str">
        <f>IF(A659&gt;0,COUNTIF('Барабан'!K:K,A659),"")</f>
        <v/>
      </c>
      <c r="L659" s="1" t="str">
        <f>IF(A659&gt;0,COUNTIF('Барабан'!V:V,A659),"")</f>
        <v/>
      </c>
      <c r="M659" s="1" t="str">
        <f t="shared" si="3"/>
        <v/>
      </c>
      <c r="N659" s="1" t="str">
        <f>IFERROR(__xludf.DUMMYFUNCTION("IF(A659&gt;0,MIN(FILTER('Барабан'!AJ:AJ,'Барабан'!K:K=A659)),"""")"),"")</f>
        <v/>
      </c>
      <c r="O659" s="16" t="str">
        <f>IFERROR(__xludf.DUMMYFUNCTION("IF(A659&gt;0,IFERROR(MAX(FILTER('Барабан'!AJ:AJ,'Барабан'!V:V=A659)),""–""),"""")"),"")</f>
        <v/>
      </c>
    </row>
    <row r="660" ht="15.75" customHeight="1">
      <c r="A660" s="1" t="str">
        <f>'Справочник'!E655</f>
        <v/>
      </c>
      <c r="B660" s="2" t="str">
        <f>IF(A660&gt;0,SUMIF('Барабан'!K:K,A660,'Барабан'!I:I),"")</f>
        <v/>
      </c>
      <c r="C660" s="2" t="str">
        <f>IF(A660&gt;0,SUMIF('Барабан'!V:V,A660,'Барабан'!T:T),"")</f>
        <v/>
      </c>
      <c r="D660" s="2" t="str">
        <f>IF(A660&gt;0,SUMIF('Барабан'!K:K,A660,'Барабан'!AG:AG)+SUMIF('Барабан'!V:V,A660,'Барабан'!AG:AG),"")</f>
        <v/>
      </c>
      <c r="E660" s="2" t="str">
        <f t="shared" si="1"/>
        <v/>
      </c>
      <c r="F660" s="2" t="str">
        <f t="array" ref="F660">IFERROR(IF(E660=0,0,INDEX('Справочник'!G:G,MATCH(A660,'Справочник'!F:F,0))))</f>
        <v/>
      </c>
      <c r="G660" s="2" t="str">
        <f>IF(A660&gt;0,SUMIF('Барабан'!K:K,A660,'Барабан'!P:P),"")</f>
        <v/>
      </c>
      <c r="H660" s="2" t="str">
        <f>IF(A660&gt;0,SUMIF('Барабан'!V:V,A660,'Барабан'!AA:AA),"")</f>
        <v/>
      </c>
      <c r="I660" s="2" t="str">
        <f t="shared" si="4"/>
        <v/>
      </c>
      <c r="J660" s="9" t="str">
        <f t="shared" si="2"/>
        <v/>
      </c>
      <c r="K660" s="1" t="str">
        <f>IF(A660&gt;0,COUNTIF('Барабан'!K:K,A660),"")</f>
        <v/>
      </c>
      <c r="L660" s="1" t="str">
        <f>IF(A660&gt;0,COUNTIF('Барабан'!V:V,A660),"")</f>
        <v/>
      </c>
      <c r="M660" s="1" t="str">
        <f t="shared" si="3"/>
        <v/>
      </c>
      <c r="N660" s="1" t="str">
        <f>IFERROR(__xludf.DUMMYFUNCTION("IF(A660&gt;0,MIN(FILTER('Барабан'!AJ:AJ,'Барабан'!K:K=A660)),"""")"),"")</f>
        <v/>
      </c>
      <c r="O660" s="16" t="str">
        <f>IFERROR(__xludf.DUMMYFUNCTION("IF(A660&gt;0,IFERROR(MAX(FILTER('Барабан'!AJ:AJ,'Барабан'!V:V=A660)),""–""),"""")"),"")</f>
        <v/>
      </c>
    </row>
    <row r="661" ht="15.75" customHeight="1">
      <c r="A661" s="1" t="str">
        <f>'Справочник'!E656</f>
        <v/>
      </c>
      <c r="B661" s="2" t="str">
        <f>IF(A661&gt;0,SUMIF('Барабан'!K:K,A661,'Барабан'!I:I),"")</f>
        <v/>
      </c>
      <c r="C661" s="2" t="str">
        <f>IF(A661&gt;0,SUMIF('Барабан'!V:V,A661,'Барабан'!T:T),"")</f>
        <v/>
      </c>
      <c r="D661" s="2" t="str">
        <f>IF(A661&gt;0,SUMIF('Барабан'!K:K,A661,'Барабан'!AG:AG)+SUMIF('Барабан'!V:V,A661,'Барабан'!AG:AG),"")</f>
        <v/>
      </c>
      <c r="E661" s="2" t="str">
        <f t="shared" si="1"/>
        <v/>
      </c>
      <c r="F661" s="2" t="str">
        <f t="array" ref="F661">IFERROR(IF(E661=0,0,INDEX('Справочник'!G:G,MATCH(A661,'Справочник'!F:F,0))))</f>
        <v/>
      </c>
      <c r="G661" s="2" t="str">
        <f>IF(A661&gt;0,SUMIF('Барабан'!K:K,A661,'Барабан'!P:P),"")</f>
        <v/>
      </c>
      <c r="H661" s="2" t="str">
        <f>IF(A661&gt;0,SUMIF('Барабан'!V:V,A661,'Барабан'!AA:AA),"")</f>
        <v/>
      </c>
      <c r="I661" s="2" t="str">
        <f t="shared" si="4"/>
        <v/>
      </c>
      <c r="J661" s="9" t="str">
        <f t="shared" si="2"/>
        <v/>
      </c>
      <c r="K661" s="1" t="str">
        <f>IF(A661&gt;0,COUNTIF('Барабан'!K:K,A661),"")</f>
        <v/>
      </c>
      <c r="L661" s="1" t="str">
        <f>IF(A661&gt;0,COUNTIF('Барабан'!V:V,A661),"")</f>
        <v/>
      </c>
      <c r="M661" s="1" t="str">
        <f t="shared" si="3"/>
        <v/>
      </c>
      <c r="N661" s="1" t="str">
        <f>IFERROR(__xludf.DUMMYFUNCTION("IF(A661&gt;0,MIN(FILTER('Барабан'!AJ:AJ,'Барабан'!K:K=A661)),"""")"),"")</f>
        <v/>
      </c>
      <c r="O661" s="16" t="str">
        <f>IFERROR(__xludf.DUMMYFUNCTION("IF(A661&gt;0,IFERROR(MAX(FILTER('Барабан'!AJ:AJ,'Барабан'!V:V=A661)),""–""),"""")"),"")</f>
        <v/>
      </c>
    </row>
    <row r="662" ht="15.75" customHeight="1">
      <c r="A662" s="1" t="str">
        <f>'Справочник'!E657</f>
        <v/>
      </c>
      <c r="B662" s="2" t="str">
        <f>IF(A662&gt;0,SUMIF('Барабан'!K:K,A662,'Барабан'!I:I),"")</f>
        <v/>
      </c>
      <c r="C662" s="2" t="str">
        <f>IF(A662&gt;0,SUMIF('Барабан'!V:V,A662,'Барабан'!T:T),"")</f>
        <v/>
      </c>
      <c r="D662" s="2" t="str">
        <f>IF(A662&gt;0,SUMIF('Барабан'!K:K,A662,'Барабан'!AG:AG)+SUMIF('Барабан'!V:V,A662,'Барабан'!AG:AG),"")</f>
        <v/>
      </c>
      <c r="E662" s="2" t="str">
        <f t="shared" si="1"/>
        <v/>
      </c>
      <c r="F662" s="2" t="str">
        <f t="array" ref="F662">IFERROR(IF(E662=0,0,INDEX('Справочник'!G:G,MATCH(A662,'Справочник'!F:F,0))))</f>
        <v/>
      </c>
      <c r="G662" s="2" t="str">
        <f>IF(A662&gt;0,SUMIF('Барабан'!K:K,A662,'Барабан'!P:P),"")</f>
        <v/>
      </c>
      <c r="H662" s="2" t="str">
        <f>IF(A662&gt;0,SUMIF('Барабан'!V:V,A662,'Барабан'!AA:AA),"")</f>
        <v/>
      </c>
      <c r="I662" s="2" t="str">
        <f t="shared" si="4"/>
        <v/>
      </c>
      <c r="J662" s="9" t="str">
        <f t="shared" si="2"/>
        <v/>
      </c>
      <c r="K662" s="1" t="str">
        <f>IF(A662&gt;0,COUNTIF('Барабан'!K:K,A662),"")</f>
        <v/>
      </c>
      <c r="L662" s="1" t="str">
        <f>IF(A662&gt;0,COUNTIF('Барабан'!V:V,A662),"")</f>
        <v/>
      </c>
      <c r="M662" s="1" t="str">
        <f t="shared" si="3"/>
        <v/>
      </c>
      <c r="N662" s="1" t="str">
        <f>IFERROR(__xludf.DUMMYFUNCTION("IF(A662&gt;0,MIN(FILTER('Барабан'!AJ:AJ,'Барабан'!K:K=A662)),"""")"),"")</f>
        <v/>
      </c>
      <c r="O662" s="16" t="str">
        <f>IFERROR(__xludf.DUMMYFUNCTION("IF(A662&gt;0,IFERROR(MAX(FILTER('Барабан'!AJ:AJ,'Барабан'!V:V=A662)),""–""),"""")"),"")</f>
        <v/>
      </c>
    </row>
    <row r="663" ht="15.75" customHeight="1">
      <c r="A663" s="1" t="str">
        <f>'Справочник'!E658</f>
        <v/>
      </c>
      <c r="B663" s="2" t="str">
        <f>IF(A663&gt;0,SUMIF('Барабан'!K:K,A663,'Барабан'!I:I),"")</f>
        <v/>
      </c>
      <c r="C663" s="2" t="str">
        <f>IF(A663&gt;0,SUMIF('Барабан'!V:V,A663,'Барабан'!T:T),"")</f>
        <v/>
      </c>
      <c r="D663" s="2" t="str">
        <f>IF(A663&gt;0,SUMIF('Барабан'!K:K,A663,'Барабан'!AG:AG)+SUMIF('Барабан'!V:V,A663,'Барабан'!AG:AG),"")</f>
        <v/>
      </c>
      <c r="E663" s="2" t="str">
        <f t="shared" si="1"/>
        <v/>
      </c>
      <c r="F663" s="2" t="str">
        <f t="array" ref="F663">IFERROR(IF(E663=0,0,INDEX('Справочник'!G:G,MATCH(A663,'Справочник'!F:F,0))))</f>
        <v/>
      </c>
      <c r="G663" s="2" t="str">
        <f>IF(A663&gt;0,SUMIF('Барабан'!K:K,A663,'Барабан'!P:P),"")</f>
        <v/>
      </c>
      <c r="H663" s="2" t="str">
        <f>IF(A663&gt;0,SUMIF('Барабан'!V:V,A663,'Барабан'!AA:AA),"")</f>
        <v/>
      </c>
      <c r="I663" s="2" t="str">
        <f t="shared" si="4"/>
        <v/>
      </c>
      <c r="J663" s="9" t="str">
        <f t="shared" si="2"/>
        <v/>
      </c>
      <c r="K663" s="1" t="str">
        <f>IF(A663&gt;0,COUNTIF('Барабан'!K:K,A663),"")</f>
        <v/>
      </c>
      <c r="L663" s="1" t="str">
        <f>IF(A663&gt;0,COUNTIF('Барабан'!V:V,A663),"")</f>
        <v/>
      </c>
      <c r="M663" s="1" t="str">
        <f t="shared" si="3"/>
        <v/>
      </c>
      <c r="N663" s="1" t="str">
        <f>IFERROR(__xludf.DUMMYFUNCTION("IF(A663&gt;0,MIN(FILTER('Барабан'!AJ:AJ,'Барабан'!K:K=A663)),"""")"),"")</f>
        <v/>
      </c>
      <c r="O663" s="16" t="str">
        <f>IFERROR(__xludf.DUMMYFUNCTION("IF(A663&gt;0,IFERROR(MAX(FILTER('Барабан'!AJ:AJ,'Барабан'!V:V=A663)),""–""),"""")"),"")</f>
        <v/>
      </c>
    </row>
    <row r="664" ht="15.75" customHeight="1">
      <c r="A664" s="1" t="str">
        <f>'Справочник'!E659</f>
        <v/>
      </c>
      <c r="B664" s="2" t="str">
        <f>IF(A664&gt;0,SUMIF('Барабан'!K:K,A664,'Барабан'!I:I),"")</f>
        <v/>
      </c>
      <c r="C664" s="2" t="str">
        <f>IF(A664&gt;0,SUMIF('Барабан'!V:V,A664,'Барабан'!T:T),"")</f>
        <v/>
      </c>
      <c r="D664" s="2" t="str">
        <f>IF(A664&gt;0,SUMIF('Барабан'!K:K,A664,'Барабан'!AG:AG)+SUMIF('Барабан'!V:V,A664,'Барабан'!AG:AG),"")</f>
        <v/>
      </c>
      <c r="E664" s="2" t="str">
        <f t="shared" si="1"/>
        <v/>
      </c>
      <c r="F664" s="2" t="str">
        <f t="array" ref="F664">IFERROR(IF(E664=0,0,INDEX('Справочник'!G:G,MATCH(A664,'Справочник'!F:F,0))))</f>
        <v/>
      </c>
      <c r="G664" s="2" t="str">
        <f>IF(A664&gt;0,SUMIF('Барабан'!K:K,A664,'Барабан'!P:P),"")</f>
        <v/>
      </c>
      <c r="H664" s="2" t="str">
        <f>IF(A664&gt;0,SUMIF('Барабан'!V:V,A664,'Барабан'!AA:AA),"")</f>
        <v/>
      </c>
      <c r="I664" s="2" t="str">
        <f t="shared" si="4"/>
        <v/>
      </c>
      <c r="J664" s="9" t="str">
        <f t="shared" si="2"/>
        <v/>
      </c>
      <c r="K664" s="1" t="str">
        <f>IF(A664&gt;0,COUNTIF('Барабан'!K:K,A664),"")</f>
        <v/>
      </c>
      <c r="L664" s="1" t="str">
        <f>IF(A664&gt;0,COUNTIF('Барабан'!V:V,A664),"")</f>
        <v/>
      </c>
      <c r="M664" s="1" t="str">
        <f t="shared" si="3"/>
        <v/>
      </c>
      <c r="N664" s="1" t="str">
        <f>IFERROR(__xludf.DUMMYFUNCTION("IF(A664&gt;0,MIN(FILTER('Барабан'!AJ:AJ,'Барабан'!K:K=A664)),"""")"),"")</f>
        <v/>
      </c>
      <c r="O664" s="16" t="str">
        <f>IFERROR(__xludf.DUMMYFUNCTION("IF(A664&gt;0,IFERROR(MAX(FILTER('Барабан'!AJ:AJ,'Барабан'!V:V=A664)),""–""),"""")"),"")</f>
        <v/>
      </c>
    </row>
    <row r="665" ht="15.75" customHeight="1">
      <c r="A665" s="1" t="str">
        <f>'Справочник'!E660</f>
        <v/>
      </c>
      <c r="B665" s="2" t="str">
        <f>IF(A665&gt;0,SUMIF('Барабан'!K:K,A665,'Барабан'!I:I),"")</f>
        <v/>
      </c>
      <c r="C665" s="2" t="str">
        <f>IF(A665&gt;0,SUMIF('Барабан'!V:V,A665,'Барабан'!T:T),"")</f>
        <v/>
      </c>
      <c r="D665" s="2" t="str">
        <f>IF(A665&gt;0,SUMIF('Барабан'!K:K,A665,'Барабан'!AG:AG)+SUMIF('Барабан'!V:V,A665,'Барабан'!AG:AG),"")</f>
        <v/>
      </c>
      <c r="E665" s="2" t="str">
        <f t="shared" si="1"/>
        <v/>
      </c>
      <c r="F665" s="2" t="str">
        <f t="array" ref="F665">IFERROR(IF(E665=0,0,INDEX('Справочник'!G:G,MATCH(A665,'Справочник'!F:F,0))))</f>
        <v/>
      </c>
      <c r="G665" s="2" t="str">
        <f>IF(A665&gt;0,SUMIF('Барабан'!K:K,A665,'Барабан'!P:P),"")</f>
        <v/>
      </c>
      <c r="H665" s="2" t="str">
        <f>IF(A665&gt;0,SUMIF('Барабан'!V:V,A665,'Барабан'!AA:AA),"")</f>
        <v/>
      </c>
      <c r="I665" s="2" t="str">
        <f t="shared" si="4"/>
        <v/>
      </c>
      <c r="J665" s="9" t="str">
        <f t="shared" si="2"/>
        <v/>
      </c>
      <c r="K665" s="1" t="str">
        <f>IF(A665&gt;0,COUNTIF('Барабан'!K:K,A665),"")</f>
        <v/>
      </c>
      <c r="L665" s="1" t="str">
        <f>IF(A665&gt;0,COUNTIF('Барабан'!V:V,A665),"")</f>
        <v/>
      </c>
      <c r="M665" s="1" t="str">
        <f t="shared" si="3"/>
        <v/>
      </c>
      <c r="N665" s="1" t="str">
        <f>IFERROR(__xludf.DUMMYFUNCTION("IF(A665&gt;0,MIN(FILTER('Барабан'!AJ:AJ,'Барабан'!K:K=A665)),"""")"),"")</f>
        <v/>
      </c>
      <c r="O665" s="16" t="str">
        <f>IFERROR(__xludf.DUMMYFUNCTION("IF(A665&gt;0,IFERROR(MAX(FILTER('Барабан'!AJ:AJ,'Барабан'!V:V=A665)),""–""),"""")"),"")</f>
        <v/>
      </c>
    </row>
    <row r="666" ht="15.75" customHeight="1">
      <c r="A666" s="1" t="str">
        <f>'Справочник'!E661</f>
        <v/>
      </c>
      <c r="B666" s="2" t="str">
        <f>IF(A666&gt;0,SUMIF('Барабан'!K:K,A666,'Барабан'!I:I),"")</f>
        <v/>
      </c>
      <c r="C666" s="2" t="str">
        <f>IF(A666&gt;0,SUMIF('Барабан'!V:V,A666,'Барабан'!T:T),"")</f>
        <v/>
      </c>
      <c r="D666" s="2" t="str">
        <f>IF(A666&gt;0,SUMIF('Барабан'!K:K,A666,'Барабан'!AG:AG)+SUMIF('Барабан'!V:V,A666,'Барабан'!AG:AG),"")</f>
        <v/>
      </c>
      <c r="E666" s="2" t="str">
        <f t="shared" si="1"/>
        <v/>
      </c>
      <c r="F666" s="2" t="str">
        <f t="array" ref="F666">IFERROR(IF(E666=0,0,INDEX('Справочник'!G:G,MATCH(A666,'Справочник'!F:F,0))))</f>
        <v/>
      </c>
      <c r="G666" s="2" t="str">
        <f>IF(A666&gt;0,SUMIF('Барабан'!K:K,A666,'Барабан'!P:P),"")</f>
        <v/>
      </c>
      <c r="H666" s="2" t="str">
        <f>IF(A666&gt;0,SUMIF('Барабан'!V:V,A666,'Барабан'!AA:AA),"")</f>
        <v/>
      </c>
      <c r="I666" s="2" t="str">
        <f t="shared" si="4"/>
        <v/>
      </c>
      <c r="J666" s="9" t="str">
        <f t="shared" si="2"/>
        <v/>
      </c>
      <c r="K666" s="1" t="str">
        <f>IF(A666&gt;0,COUNTIF('Барабан'!K:K,A666),"")</f>
        <v/>
      </c>
      <c r="L666" s="1" t="str">
        <f>IF(A666&gt;0,COUNTIF('Барабан'!V:V,A666),"")</f>
        <v/>
      </c>
      <c r="M666" s="1" t="str">
        <f t="shared" si="3"/>
        <v/>
      </c>
      <c r="N666" s="1" t="str">
        <f>IFERROR(__xludf.DUMMYFUNCTION("IF(A666&gt;0,MIN(FILTER('Барабан'!AJ:AJ,'Барабан'!K:K=A666)),"""")"),"")</f>
        <v/>
      </c>
      <c r="O666" s="16" t="str">
        <f>IFERROR(__xludf.DUMMYFUNCTION("IF(A666&gt;0,IFERROR(MAX(FILTER('Барабан'!AJ:AJ,'Барабан'!V:V=A666)),""–""),"""")"),"")</f>
        <v/>
      </c>
    </row>
    <row r="667" ht="15.75" customHeight="1">
      <c r="A667" s="1" t="str">
        <f>'Справочник'!E662</f>
        <v/>
      </c>
      <c r="B667" s="2" t="str">
        <f>IF(A667&gt;0,SUMIF('Барабан'!K:K,A667,'Барабан'!I:I),"")</f>
        <v/>
      </c>
      <c r="C667" s="2" t="str">
        <f>IF(A667&gt;0,SUMIF('Барабан'!V:V,A667,'Барабан'!T:T),"")</f>
        <v/>
      </c>
      <c r="D667" s="2" t="str">
        <f>IF(A667&gt;0,SUMIF('Барабан'!K:K,A667,'Барабан'!AG:AG)+SUMIF('Барабан'!V:V,A667,'Барабан'!AG:AG),"")</f>
        <v/>
      </c>
      <c r="E667" s="2" t="str">
        <f t="shared" si="1"/>
        <v/>
      </c>
      <c r="F667" s="2" t="str">
        <f t="array" ref="F667">IFERROR(IF(E667=0,0,INDEX('Справочник'!G:G,MATCH(A667,'Справочник'!F:F,0))))</f>
        <v/>
      </c>
      <c r="G667" s="2" t="str">
        <f>IF(A667&gt;0,SUMIF('Барабан'!K:K,A667,'Барабан'!P:P),"")</f>
        <v/>
      </c>
      <c r="H667" s="2" t="str">
        <f>IF(A667&gt;0,SUMIF('Барабан'!V:V,A667,'Барабан'!AA:AA),"")</f>
        <v/>
      </c>
      <c r="I667" s="2" t="str">
        <f t="shared" si="4"/>
        <v/>
      </c>
      <c r="J667" s="9" t="str">
        <f t="shared" si="2"/>
        <v/>
      </c>
      <c r="K667" s="1" t="str">
        <f>IF(A667&gt;0,COUNTIF('Барабан'!K:K,A667),"")</f>
        <v/>
      </c>
      <c r="L667" s="1" t="str">
        <f>IF(A667&gt;0,COUNTIF('Барабан'!V:V,A667),"")</f>
        <v/>
      </c>
      <c r="M667" s="1" t="str">
        <f t="shared" si="3"/>
        <v/>
      </c>
      <c r="N667" s="1" t="str">
        <f>IFERROR(__xludf.DUMMYFUNCTION("IF(A667&gt;0,MIN(FILTER('Барабан'!AJ:AJ,'Барабан'!K:K=A667)),"""")"),"")</f>
        <v/>
      </c>
      <c r="O667" s="16" t="str">
        <f>IFERROR(__xludf.DUMMYFUNCTION("IF(A667&gt;0,IFERROR(MAX(FILTER('Барабан'!AJ:AJ,'Барабан'!V:V=A667)),""–""),"""")"),"")</f>
        <v/>
      </c>
    </row>
    <row r="668" ht="15.75" customHeight="1">
      <c r="A668" s="1" t="str">
        <f>'Справочник'!E663</f>
        <v/>
      </c>
      <c r="B668" s="2" t="str">
        <f>IF(A668&gt;0,SUMIF('Барабан'!K:K,A668,'Барабан'!I:I),"")</f>
        <v/>
      </c>
      <c r="C668" s="2" t="str">
        <f>IF(A668&gt;0,SUMIF('Барабан'!V:V,A668,'Барабан'!T:T),"")</f>
        <v/>
      </c>
      <c r="D668" s="2" t="str">
        <f>IF(A668&gt;0,SUMIF('Барабан'!K:K,A668,'Барабан'!AG:AG)+SUMIF('Барабан'!V:V,A668,'Барабан'!AG:AG),"")</f>
        <v/>
      </c>
      <c r="E668" s="2" t="str">
        <f t="shared" si="1"/>
        <v/>
      </c>
      <c r="F668" s="2" t="str">
        <f t="array" ref="F668">IFERROR(IF(E668=0,0,INDEX('Справочник'!G:G,MATCH(A668,'Справочник'!F:F,0))))</f>
        <v/>
      </c>
      <c r="G668" s="2" t="str">
        <f>IF(A668&gt;0,SUMIF('Барабан'!K:K,A668,'Барабан'!P:P),"")</f>
        <v/>
      </c>
      <c r="H668" s="2" t="str">
        <f>IF(A668&gt;0,SUMIF('Барабан'!V:V,A668,'Барабан'!AA:AA),"")</f>
        <v/>
      </c>
      <c r="I668" s="2" t="str">
        <f t="shared" si="4"/>
        <v/>
      </c>
      <c r="J668" s="9" t="str">
        <f t="shared" si="2"/>
        <v/>
      </c>
      <c r="K668" s="1" t="str">
        <f>IF(A668&gt;0,COUNTIF('Барабан'!K:K,A668),"")</f>
        <v/>
      </c>
      <c r="L668" s="1" t="str">
        <f>IF(A668&gt;0,COUNTIF('Барабан'!V:V,A668),"")</f>
        <v/>
      </c>
      <c r="M668" s="1" t="str">
        <f t="shared" si="3"/>
        <v/>
      </c>
      <c r="N668" s="1" t="str">
        <f>IFERROR(__xludf.DUMMYFUNCTION("IF(A668&gt;0,MIN(FILTER('Барабан'!AJ:AJ,'Барабан'!K:K=A668)),"""")"),"")</f>
        <v/>
      </c>
      <c r="O668" s="16" t="str">
        <f>IFERROR(__xludf.DUMMYFUNCTION("IF(A668&gt;0,IFERROR(MAX(FILTER('Барабан'!AJ:AJ,'Барабан'!V:V=A668)),""–""),"""")"),"")</f>
        <v/>
      </c>
    </row>
    <row r="669" ht="15.75" customHeight="1">
      <c r="A669" s="1" t="str">
        <f>'Справочник'!E664</f>
        <v/>
      </c>
      <c r="B669" s="2" t="str">
        <f>IF(A669&gt;0,SUMIF('Барабан'!K:K,A669,'Барабан'!I:I),"")</f>
        <v/>
      </c>
      <c r="C669" s="2" t="str">
        <f>IF(A669&gt;0,SUMIF('Барабан'!V:V,A669,'Барабан'!T:T),"")</f>
        <v/>
      </c>
      <c r="D669" s="2" t="str">
        <f>IF(A669&gt;0,SUMIF('Барабан'!K:K,A669,'Барабан'!AG:AG)+SUMIF('Барабан'!V:V,A669,'Барабан'!AG:AG),"")</f>
        <v/>
      </c>
      <c r="E669" s="2" t="str">
        <f t="shared" si="1"/>
        <v/>
      </c>
      <c r="F669" s="2" t="str">
        <f t="array" ref="F669">IFERROR(IF(E669=0,0,INDEX('Справочник'!G:G,MATCH(A669,'Справочник'!F:F,0))))</f>
        <v/>
      </c>
      <c r="G669" s="2" t="str">
        <f>IF(A669&gt;0,SUMIF('Барабан'!K:K,A669,'Барабан'!P:P),"")</f>
        <v/>
      </c>
      <c r="H669" s="2" t="str">
        <f>IF(A669&gt;0,SUMIF('Барабан'!V:V,A669,'Барабан'!AA:AA),"")</f>
        <v/>
      </c>
      <c r="I669" s="2" t="str">
        <f t="shared" si="4"/>
        <v/>
      </c>
      <c r="J669" s="9" t="str">
        <f t="shared" si="2"/>
        <v/>
      </c>
      <c r="K669" s="1" t="str">
        <f>IF(A669&gt;0,COUNTIF('Барабан'!K:K,A669),"")</f>
        <v/>
      </c>
      <c r="L669" s="1" t="str">
        <f>IF(A669&gt;0,COUNTIF('Барабан'!V:V,A669),"")</f>
        <v/>
      </c>
      <c r="M669" s="1" t="str">
        <f t="shared" si="3"/>
        <v/>
      </c>
      <c r="N669" s="1" t="str">
        <f>IFERROR(__xludf.DUMMYFUNCTION("IF(A669&gt;0,MIN(FILTER('Барабан'!AJ:AJ,'Барабан'!K:K=A669)),"""")"),"")</f>
        <v/>
      </c>
      <c r="O669" s="16" t="str">
        <f>IFERROR(__xludf.DUMMYFUNCTION("IF(A669&gt;0,IFERROR(MAX(FILTER('Барабан'!AJ:AJ,'Барабан'!V:V=A669)),""–""),"""")"),"")</f>
        <v/>
      </c>
    </row>
    <row r="670" ht="15.75" customHeight="1">
      <c r="A670" s="1" t="str">
        <f>'Справочник'!E665</f>
        <v/>
      </c>
      <c r="B670" s="2" t="str">
        <f>IF(A670&gt;0,SUMIF('Барабан'!K:K,A670,'Барабан'!I:I),"")</f>
        <v/>
      </c>
      <c r="C670" s="2" t="str">
        <f>IF(A670&gt;0,SUMIF('Барабан'!V:V,A670,'Барабан'!T:T),"")</f>
        <v/>
      </c>
      <c r="D670" s="2" t="str">
        <f>IF(A670&gt;0,SUMIF('Барабан'!K:K,A670,'Барабан'!AG:AG)+SUMIF('Барабан'!V:V,A670,'Барабан'!AG:AG),"")</f>
        <v/>
      </c>
      <c r="E670" s="2" t="str">
        <f t="shared" si="1"/>
        <v/>
      </c>
      <c r="F670" s="2" t="str">
        <f t="array" ref="F670">IFERROR(IF(E670=0,0,INDEX('Справочник'!G:G,MATCH(A670,'Справочник'!F:F,0))))</f>
        <v/>
      </c>
      <c r="G670" s="2" t="str">
        <f>IF(A670&gt;0,SUMIF('Барабан'!K:K,A670,'Барабан'!P:P),"")</f>
        <v/>
      </c>
      <c r="H670" s="2" t="str">
        <f>IF(A670&gt;0,SUMIF('Барабан'!V:V,A670,'Барабан'!AA:AA),"")</f>
        <v/>
      </c>
      <c r="I670" s="2" t="str">
        <f t="shared" si="4"/>
        <v/>
      </c>
      <c r="J670" s="9" t="str">
        <f t="shared" si="2"/>
        <v/>
      </c>
      <c r="K670" s="1" t="str">
        <f>IF(A670&gt;0,COUNTIF('Барабан'!K:K,A670),"")</f>
        <v/>
      </c>
      <c r="L670" s="1" t="str">
        <f>IF(A670&gt;0,COUNTIF('Барабан'!V:V,A670),"")</f>
        <v/>
      </c>
      <c r="M670" s="1" t="str">
        <f t="shared" si="3"/>
        <v/>
      </c>
      <c r="N670" s="1" t="str">
        <f>IFERROR(__xludf.DUMMYFUNCTION("IF(A670&gt;0,MIN(FILTER('Барабан'!AJ:AJ,'Барабан'!K:K=A670)),"""")"),"")</f>
        <v/>
      </c>
      <c r="O670" s="16" t="str">
        <f>IFERROR(__xludf.DUMMYFUNCTION("IF(A670&gt;0,IFERROR(MAX(FILTER('Барабан'!AJ:AJ,'Барабан'!V:V=A670)),""–""),"""")"),"")</f>
        <v/>
      </c>
    </row>
    <row r="671" ht="15.75" customHeight="1">
      <c r="A671" s="1" t="str">
        <f>'Справочник'!E666</f>
        <v/>
      </c>
      <c r="B671" s="2" t="str">
        <f>IF(A671&gt;0,SUMIF('Барабан'!K:K,A671,'Барабан'!I:I),"")</f>
        <v/>
      </c>
      <c r="C671" s="2" t="str">
        <f>IF(A671&gt;0,SUMIF('Барабан'!V:V,A671,'Барабан'!T:T),"")</f>
        <v/>
      </c>
      <c r="D671" s="2" t="str">
        <f>IF(A671&gt;0,SUMIF('Барабан'!K:K,A671,'Барабан'!AG:AG)+SUMIF('Барабан'!V:V,A671,'Барабан'!AG:AG),"")</f>
        <v/>
      </c>
      <c r="E671" s="2" t="str">
        <f t="shared" si="1"/>
        <v/>
      </c>
      <c r="F671" s="2" t="str">
        <f t="array" ref="F671">IFERROR(IF(E671=0,0,INDEX('Справочник'!G:G,MATCH(A671,'Справочник'!F:F,0))))</f>
        <v/>
      </c>
      <c r="G671" s="2" t="str">
        <f>IF(A671&gt;0,SUMIF('Барабан'!K:K,A671,'Барабан'!P:P),"")</f>
        <v/>
      </c>
      <c r="H671" s="2" t="str">
        <f>IF(A671&gt;0,SUMIF('Барабан'!V:V,A671,'Барабан'!AA:AA),"")</f>
        <v/>
      </c>
      <c r="I671" s="2" t="str">
        <f t="shared" si="4"/>
        <v/>
      </c>
      <c r="J671" s="9" t="str">
        <f t="shared" si="2"/>
        <v/>
      </c>
      <c r="K671" s="1" t="str">
        <f>IF(A671&gt;0,COUNTIF('Барабан'!K:K,A671),"")</f>
        <v/>
      </c>
      <c r="L671" s="1" t="str">
        <f>IF(A671&gt;0,COUNTIF('Барабан'!V:V,A671),"")</f>
        <v/>
      </c>
      <c r="M671" s="1" t="str">
        <f t="shared" si="3"/>
        <v/>
      </c>
      <c r="N671" s="1" t="str">
        <f>IFERROR(__xludf.DUMMYFUNCTION("IF(A671&gt;0,MIN(FILTER('Барабан'!AJ:AJ,'Барабан'!K:K=A671)),"""")"),"")</f>
        <v/>
      </c>
      <c r="O671" s="16" t="str">
        <f>IFERROR(__xludf.DUMMYFUNCTION("IF(A671&gt;0,IFERROR(MAX(FILTER('Барабан'!AJ:AJ,'Барабан'!V:V=A671)),""–""),"""")"),"")</f>
        <v/>
      </c>
    </row>
    <row r="672" ht="15.75" customHeight="1">
      <c r="A672" s="1" t="str">
        <f>'Справочник'!E667</f>
        <v/>
      </c>
      <c r="B672" s="2" t="str">
        <f>IF(A672&gt;0,SUMIF('Барабан'!K:K,A672,'Барабан'!I:I),"")</f>
        <v/>
      </c>
      <c r="C672" s="2" t="str">
        <f>IF(A672&gt;0,SUMIF('Барабан'!V:V,A672,'Барабан'!T:T),"")</f>
        <v/>
      </c>
      <c r="D672" s="2" t="str">
        <f>IF(A672&gt;0,SUMIF('Барабан'!K:K,A672,'Барабан'!AG:AG)+SUMIF('Барабан'!V:V,A672,'Барабан'!AG:AG),"")</f>
        <v/>
      </c>
      <c r="E672" s="2" t="str">
        <f t="shared" si="1"/>
        <v/>
      </c>
      <c r="F672" s="2" t="str">
        <f t="array" ref="F672">IFERROR(IF(E672=0,0,INDEX('Справочник'!G:G,MATCH(A672,'Справочник'!F:F,0))))</f>
        <v/>
      </c>
      <c r="G672" s="2" t="str">
        <f>IF(A672&gt;0,SUMIF('Барабан'!K:K,A672,'Барабан'!P:P),"")</f>
        <v/>
      </c>
      <c r="H672" s="2" t="str">
        <f>IF(A672&gt;0,SUMIF('Барабан'!V:V,A672,'Барабан'!AA:AA),"")</f>
        <v/>
      </c>
      <c r="I672" s="2" t="str">
        <f t="shared" si="4"/>
        <v/>
      </c>
      <c r="J672" s="9" t="str">
        <f t="shared" si="2"/>
        <v/>
      </c>
      <c r="K672" s="1" t="str">
        <f>IF(A672&gt;0,COUNTIF('Барабан'!K:K,A672),"")</f>
        <v/>
      </c>
      <c r="L672" s="1" t="str">
        <f>IF(A672&gt;0,COUNTIF('Барабан'!V:V,A672),"")</f>
        <v/>
      </c>
      <c r="M672" s="1" t="str">
        <f t="shared" si="3"/>
        <v/>
      </c>
      <c r="N672" s="1" t="str">
        <f>IFERROR(__xludf.DUMMYFUNCTION("IF(A672&gt;0,MIN(FILTER('Барабан'!AJ:AJ,'Барабан'!K:K=A672)),"""")"),"")</f>
        <v/>
      </c>
      <c r="O672" s="16" t="str">
        <f>IFERROR(__xludf.DUMMYFUNCTION("IF(A672&gt;0,IFERROR(MAX(FILTER('Барабан'!AJ:AJ,'Барабан'!V:V=A672)),""–""),"""")"),"")</f>
        <v/>
      </c>
    </row>
    <row r="673" ht="15.75" customHeight="1">
      <c r="A673" s="1" t="str">
        <f>'Справочник'!E668</f>
        <v/>
      </c>
      <c r="B673" s="2" t="str">
        <f>IF(A673&gt;0,SUMIF('Барабан'!K:K,A673,'Барабан'!I:I),"")</f>
        <v/>
      </c>
      <c r="C673" s="2" t="str">
        <f>IF(A673&gt;0,SUMIF('Барабан'!V:V,A673,'Барабан'!T:T),"")</f>
        <v/>
      </c>
      <c r="D673" s="2" t="str">
        <f>IF(A673&gt;0,SUMIF('Барабан'!K:K,A673,'Барабан'!AG:AG)+SUMIF('Барабан'!V:V,A673,'Барабан'!AG:AG),"")</f>
        <v/>
      </c>
      <c r="E673" s="2" t="str">
        <f t="shared" si="1"/>
        <v/>
      </c>
      <c r="F673" s="2" t="str">
        <f t="array" ref="F673">IFERROR(IF(E673=0,0,INDEX('Справочник'!G:G,MATCH(A673,'Справочник'!F:F,0))))</f>
        <v/>
      </c>
      <c r="G673" s="2" t="str">
        <f>IF(A673&gt;0,SUMIF('Барабан'!K:K,A673,'Барабан'!P:P),"")</f>
        <v/>
      </c>
      <c r="H673" s="2" t="str">
        <f>IF(A673&gt;0,SUMIF('Барабан'!V:V,A673,'Барабан'!AA:AA),"")</f>
        <v/>
      </c>
      <c r="I673" s="2" t="str">
        <f t="shared" si="4"/>
        <v/>
      </c>
      <c r="J673" s="9" t="str">
        <f t="shared" si="2"/>
        <v/>
      </c>
      <c r="K673" s="1" t="str">
        <f>IF(A673&gt;0,COUNTIF('Барабан'!K:K,A673),"")</f>
        <v/>
      </c>
      <c r="L673" s="1" t="str">
        <f>IF(A673&gt;0,COUNTIF('Барабан'!V:V,A673),"")</f>
        <v/>
      </c>
      <c r="M673" s="1" t="str">
        <f t="shared" si="3"/>
        <v/>
      </c>
      <c r="N673" s="1" t="str">
        <f>IFERROR(__xludf.DUMMYFUNCTION("IF(A673&gt;0,MIN(FILTER('Барабан'!AJ:AJ,'Барабан'!K:K=A673)),"""")"),"")</f>
        <v/>
      </c>
      <c r="O673" s="16" t="str">
        <f>IFERROR(__xludf.DUMMYFUNCTION("IF(A673&gt;0,IFERROR(MAX(FILTER('Барабан'!AJ:AJ,'Барабан'!V:V=A673)),""–""),"""")"),"")</f>
        <v/>
      </c>
    </row>
    <row r="674" ht="15.75" customHeight="1">
      <c r="A674" s="1" t="str">
        <f>'Справочник'!E669</f>
        <v/>
      </c>
      <c r="B674" s="2" t="str">
        <f>IF(A674&gt;0,SUMIF('Барабан'!K:K,A674,'Барабан'!I:I),"")</f>
        <v/>
      </c>
      <c r="C674" s="2" t="str">
        <f>IF(A674&gt;0,SUMIF('Барабан'!V:V,A674,'Барабан'!T:T),"")</f>
        <v/>
      </c>
      <c r="D674" s="2" t="str">
        <f>IF(A674&gt;0,SUMIF('Барабан'!K:K,A674,'Барабан'!AG:AG)+SUMIF('Барабан'!V:V,A674,'Барабан'!AG:AG),"")</f>
        <v/>
      </c>
      <c r="E674" s="2" t="str">
        <f t="shared" si="1"/>
        <v/>
      </c>
      <c r="F674" s="2" t="str">
        <f t="array" ref="F674">IFERROR(IF(E674=0,0,INDEX('Справочник'!G:G,MATCH(A674,'Справочник'!F:F,0))))</f>
        <v/>
      </c>
      <c r="G674" s="2" t="str">
        <f>IF(A674&gt;0,SUMIF('Барабан'!K:K,A674,'Барабан'!P:P),"")</f>
        <v/>
      </c>
      <c r="H674" s="2" t="str">
        <f>IF(A674&gt;0,SUMIF('Барабан'!V:V,A674,'Барабан'!AA:AA),"")</f>
        <v/>
      </c>
      <c r="I674" s="2" t="str">
        <f t="shared" si="4"/>
        <v/>
      </c>
      <c r="J674" s="9" t="str">
        <f t="shared" si="2"/>
        <v/>
      </c>
      <c r="K674" s="1" t="str">
        <f>IF(A674&gt;0,COUNTIF('Барабан'!K:K,A674),"")</f>
        <v/>
      </c>
      <c r="L674" s="1" t="str">
        <f>IF(A674&gt;0,COUNTIF('Барабан'!V:V,A674),"")</f>
        <v/>
      </c>
      <c r="M674" s="1" t="str">
        <f t="shared" si="3"/>
        <v/>
      </c>
      <c r="N674" s="1" t="str">
        <f>IFERROR(__xludf.DUMMYFUNCTION("IF(A674&gt;0,MIN(FILTER('Барабан'!AJ:AJ,'Барабан'!K:K=A674)),"""")"),"")</f>
        <v/>
      </c>
      <c r="O674" s="16" t="str">
        <f>IFERROR(__xludf.DUMMYFUNCTION("IF(A674&gt;0,IFERROR(MAX(FILTER('Барабан'!AJ:AJ,'Барабан'!V:V=A674)),""–""),"""")"),"")</f>
        <v/>
      </c>
    </row>
    <row r="675" ht="15.75" customHeight="1">
      <c r="A675" s="1" t="str">
        <f>'Справочник'!E670</f>
        <v/>
      </c>
      <c r="B675" s="2" t="str">
        <f>IF(A675&gt;0,SUMIF('Барабан'!K:K,A675,'Барабан'!I:I),"")</f>
        <v/>
      </c>
      <c r="C675" s="2" t="str">
        <f>IF(A675&gt;0,SUMIF('Барабан'!V:V,A675,'Барабан'!T:T),"")</f>
        <v/>
      </c>
      <c r="D675" s="2" t="str">
        <f>IF(A675&gt;0,SUMIF('Барабан'!K:K,A675,'Барабан'!AG:AG)+SUMIF('Барабан'!V:V,A675,'Барабан'!AG:AG),"")</f>
        <v/>
      </c>
      <c r="E675" s="2" t="str">
        <f t="shared" si="1"/>
        <v/>
      </c>
      <c r="F675" s="2" t="str">
        <f t="array" ref="F675">IFERROR(IF(E675=0,0,INDEX('Справочник'!G:G,MATCH(A675,'Справочник'!F:F,0))))</f>
        <v/>
      </c>
      <c r="G675" s="2" t="str">
        <f>IF(A675&gt;0,SUMIF('Барабан'!K:K,A675,'Барабан'!P:P),"")</f>
        <v/>
      </c>
      <c r="H675" s="2" t="str">
        <f>IF(A675&gt;0,SUMIF('Барабан'!V:V,A675,'Барабан'!AA:AA),"")</f>
        <v/>
      </c>
      <c r="I675" s="2" t="str">
        <f t="shared" si="4"/>
        <v/>
      </c>
      <c r="J675" s="9" t="str">
        <f t="shared" si="2"/>
        <v/>
      </c>
      <c r="K675" s="1" t="str">
        <f>IF(A675&gt;0,COUNTIF('Барабан'!K:K,A675),"")</f>
        <v/>
      </c>
      <c r="L675" s="1" t="str">
        <f>IF(A675&gt;0,COUNTIF('Барабан'!V:V,A675),"")</f>
        <v/>
      </c>
      <c r="M675" s="1" t="str">
        <f t="shared" si="3"/>
        <v/>
      </c>
      <c r="N675" s="1" t="str">
        <f>IFERROR(__xludf.DUMMYFUNCTION("IF(A675&gt;0,MIN(FILTER('Барабан'!AJ:AJ,'Барабан'!K:K=A675)),"""")"),"")</f>
        <v/>
      </c>
      <c r="O675" s="16" t="str">
        <f>IFERROR(__xludf.DUMMYFUNCTION("IF(A675&gt;0,IFERROR(MAX(FILTER('Барабан'!AJ:AJ,'Барабан'!V:V=A675)),""–""),"""")"),"")</f>
        <v/>
      </c>
    </row>
    <row r="676" ht="15.75" customHeight="1">
      <c r="A676" s="1" t="str">
        <f>'Справочник'!E671</f>
        <v/>
      </c>
      <c r="B676" s="2" t="str">
        <f>IF(A676&gt;0,SUMIF('Барабан'!K:K,A676,'Барабан'!I:I),"")</f>
        <v/>
      </c>
      <c r="C676" s="2" t="str">
        <f>IF(A676&gt;0,SUMIF('Барабан'!V:V,A676,'Барабан'!T:T),"")</f>
        <v/>
      </c>
      <c r="D676" s="2" t="str">
        <f>IF(A676&gt;0,SUMIF('Барабан'!K:K,A676,'Барабан'!AG:AG)+SUMIF('Барабан'!V:V,A676,'Барабан'!AG:AG),"")</f>
        <v/>
      </c>
      <c r="E676" s="2" t="str">
        <f t="shared" si="1"/>
        <v/>
      </c>
      <c r="F676" s="2" t="str">
        <f t="array" ref="F676">IFERROR(IF(E676=0,0,INDEX('Справочник'!G:G,MATCH(A676,'Справочник'!F:F,0))))</f>
        <v/>
      </c>
      <c r="G676" s="2" t="str">
        <f>IF(A676&gt;0,SUMIF('Барабан'!K:K,A676,'Барабан'!P:P),"")</f>
        <v/>
      </c>
      <c r="H676" s="2" t="str">
        <f>IF(A676&gt;0,SUMIF('Барабан'!V:V,A676,'Барабан'!AA:AA),"")</f>
        <v/>
      </c>
      <c r="I676" s="2" t="str">
        <f t="shared" si="4"/>
        <v/>
      </c>
      <c r="J676" s="9" t="str">
        <f t="shared" si="2"/>
        <v/>
      </c>
      <c r="K676" s="1" t="str">
        <f>IF(A676&gt;0,COUNTIF('Барабан'!K:K,A676),"")</f>
        <v/>
      </c>
      <c r="L676" s="1" t="str">
        <f>IF(A676&gt;0,COUNTIF('Барабан'!V:V,A676),"")</f>
        <v/>
      </c>
      <c r="M676" s="1" t="str">
        <f t="shared" si="3"/>
        <v/>
      </c>
      <c r="N676" s="1" t="str">
        <f>IFERROR(__xludf.DUMMYFUNCTION("IF(A676&gt;0,MIN(FILTER('Барабан'!AJ:AJ,'Барабан'!K:K=A676)),"""")"),"")</f>
        <v/>
      </c>
      <c r="O676" s="16" t="str">
        <f>IFERROR(__xludf.DUMMYFUNCTION("IF(A676&gt;0,IFERROR(MAX(FILTER('Барабан'!AJ:AJ,'Барабан'!V:V=A676)),""–""),"""")"),"")</f>
        <v/>
      </c>
    </row>
    <row r="677" ht="15.75" customHeight="1">
      <c r="A677" s="1" t="str">
        <f>'Справочник'!E672</f>
        <v/>
      </c>
      <c r="B677" s="2" t="str">
        <f>IF(A677&gt;0,SUMIF('Барабан'!K:K,A677,'Барабан'!I:I),"")</f>
        <v/>
      </c>
      <c r="C677" s="2" t="str">
        <f>IF(A677&gt;0,SUMIF('Барабан'!V:V,A677,'Барабан'!T:T),"")</f>
        <v/>
      </c>
      <c r="D677" s="2" t="str">
        <f>IF(A677&gt;0,SUMIF('Барабан'!K:K,A677,'Барабан'!AG:AG)+SUMIF('Барабан'!V:V,A677,'Барабан'!AG:AG),"")</f>
        <v/>
      </c>
      <c r="E677" s="2" t="str">
        <f t="shared" si="1"/>
        <v/>
      </c>
      <c r="F677" s="2" t="str">
        <f t="array" ref="F677">IFERROR(IF(E677=0,0,INDEX('Справочник'!G:G,MATCH(A677,'Справочник'!F:F,0))))</f>
        <v/>
      </c>
      <c r="G677" s="2" t="str">
        <f>IF(A677&gt;0,SUMIF('Барабан'!K:K,A677,'Барабан'!P:P),"")</f>
        <v/>
      </c>
      <c r="H677" s="2" t="str">
        <f>IF(A677&gt;0,SUMIF('Барабан'!V:V,A677,'Барабан'!AA:AA),"")</f>
        <v/>
      </c>
      <c r="I677" s="2" t="str">
        <f t="shared" si="4"/>
        <v/>
      </c>
      <c r="J677" s="9" t="str">
        <f t="shared" si="2"/>
        <v/>
      </c>
      <c r="K677" s="1" t="str">
        <f>IF(A677&gt;0,COUNTIF('Барабан'!K:K,A677),"")</f>
        <v/>
      </c>
      <c r="L677" s="1" t="str">
        <f>IF(A677&gt;0,COUNTIF('Барабан'!V:V,A677),"")</f>
        <v/>
      </c>
      <c r="M677" s="1" t="str">
        <f t="shared" si="3"/>
        <v/>
      </c>
      <c r="N677" s="1" t="str">
        <f>IFERROR(__xludf.DUMMYFUNCTION("IF(A677&gt;0,MIN(FILTER('Барабан'!AJ:AJ,'Барабан'!K:K=A677)),"""")"),"")</f>
        <v/>
      </c>
      <c r="O677" s="16" t="str">
        <f>IFERROR(__xludf.DUMMYFUNCTION("IF(A677&gt;0,IFERROR(MAX(FILTER('Барабан'!AJ:AJ,'Барабан'!V:V=A677)),""–""),"""")"),"")</f>
        <v/>
      </c>
    </row>
    <row r="678" ht="15.75" customHeight="1">
      <c r="A678" s="1" t="str">
        <f>'Справочник'!E673</f>
        <v/>
      </c>
      <c r="B678" s="2" t="str">
        <f>IF(A678&gt;0,SUMIF('Барабан'!K:K,A678,'Барабан'!I:I),"")</f>
        <v/>
      </c>
      <c r="C678" s="2" t="str">
        <f>IF(A678&gt;0,SUMIF('Барабан'!V:V,A678,'Барабан'!T:T),"")</f>
        <v/>
      </c>
      <c r="D678" s="2" t="str">
        <f>IF(A678&gt;0,SUMIF('Барабан'!K:K,A678,'Барабан'!AG:AG)+SUMIF('Барабан'!V:V,A678,'Барабан'!AG:AG),"")</f>
        <v/>
      </c>
      <c r="E678" s="2" t="str">
        <f t="shared" si="1"/>
        <v/>
      </c>
      <c r="F678" s="2" t="str">
        <f t="array" ref="F678">IFERROR(IF(E678=0,0,INDEX('Справочник'!G:G,MATCH(A678,'Справочник'!F:F,0))))</f>
        <v/>
      </c>
      <c r="G678" s="2" t="str">
        <f>IF(A678&gt;0,SUMIF('Барабан'!K:K,A678,'Барабан'!P:P),"")</f>
        <v/>
      </c>
      <c r="H678" s="2" t="str">
        <f>IF(A678&gt;0,SUMIF('Барабан'!V:V,A678,'Барабан'!AA:AA),"")</f>
        <v/>
      </c>
      <c r="I678" s="2" t="str">
        <f t="shared" si="4"/>
        <v/>
      </c>
      <c r="J678" s="9" t="str">
        <f t="shared" si="2"/>
        <v/>
      </c>
      <c r="K678" s="1" t="str">
        <f>IF(A678&gt;0,COUNTIF('Барабан'!K:K,A678),"")</f>
        <v/>
      </c>
      <c r="L678" s="1" t="str">
        <f>IF(A678&gt;0,COUNTIF('Барабан'!V:V,A678),"")</f>
        <v/>
      </c>
      <c r="M678" s="1" t="str">
        <f t="shared" si="3"/>
        <v/>
      </c>
      <c r="N678" s="1" t="str">
        <f>IFERROR(__xludf.DUMMYFUNCTION("IF(A678&gt;0,MIN(FILTER('Барабан'!AJ:AJ,'Барабан'!K:K=A678)),"""")"),"")</f>
        <v/>
      </c>
      <c r="O678" s="16" t="str">
        <f>IFERROR(__xludf.DUMMYFUNCTION("IF(A678&gt;0,IFERROR(MAX(FILTER('Барабан'!AJ:AJ,'Барабан'!V:V=A678)),""–""),"""")"),"")</f>
        <v/>
      </c>
    </row>
    <row r="679" ht="15.75" customHeight="1">
      <c r="A679" s="1" t="str">
        <f>'Справочник'!E674</f>
        <v/>
      </c>
      <c r="B679" s="2" t="str">
        <f>IF(A679&gt;0,SUMIF('Барабан'!K:K,A679,'Барабан'!I:I),"")</f>
        <v/>
      </c>
      <c r="C679" s="2" t="str">
        <f>IF(A679&gt;0,SUMIF('Барабан'!V:V,A679,'Барабан'!T:T),"")</f>
        <v/>
      </c>
      <c r="D679" s="2" t="str">
        <f>IF(A679&gt;0,SUMIF('Барабан'!K:K,A679,'Барабан'!AG:AG)+SUMIF('Барабан'!V:V,A679,'Барабан'!AG:AG),"")</f>
        <v/>
      </c>
      <c r="E679" s="2" t="str">
        <f t="shared" si="1"/>
        <v/>
      </c>
      <c r="F679" s="2" t="str">
        <f t="array" ref="F679">IFERROR(IF(E679=0,0,INDEX('Справочник'!G:G,MATCH(A679,'Справочник'!F:F,0))))</f>
        <v/>
      </c>
      <c r="G679" s="2" t="str">
        <f>IF(A679&gt;0,SUMIF('Барабан'!K:K,A679,'Барабан'!P:P),"")</f>
        <v/>
      </c>
      <c r="H679" s="2" t="str">
        <f>IF(A679&gt;0,SUMIF('Барабан'!V:V,A679,'Барабан'!AA:AA),"")</f>
        <v/>
      </c>
      <c r="I679" s="2" t="str">
        <f t="shared" si="4"/>
        <v/>
      </c>
      <c r="J679" s="9" t="str">
        <f t="shared" si="2"/>
        <v/>
      </c>
      <c r="K679" s="1" t="str">
        <f>IF(A679&gt;0,COUNTIF('Барабан'!K:K,A679),"")</f>
        <v/>
      </c>
      <c r="L679" s="1" t="str">
        <f>IF(A679&gt;0,COUNTIF('Барабан'!V:V,A679),"")</f>
        <v/>
      </c>
      <c r="M679" s="1" t="str">
        <f t="shared" si="3"/>
        <v/>
      </c>
      <c r="N679" s="1" t="str">
        <f>IFERROR(__xludf.DUMMYFUNCTION("IF(A679&gt;0,MIN(FILTER('Барабан'!AJ:AJ,'Барабан'!K:K=A679)),"""")"),"")</f>
        <v/>
      </c>
      <c r="O679" s="16" t="str">
        <f>IFERROR(__xludf.DUMMYFUNCTION("IF(A679&gt;0,IFERROR(MAX(FILTER('Барабан'!AJ:AJ,'Барабан'!V:V=A679)),""–""),"""")"),"")</f>
        <v/>
      </c>
    </row>
    <row r="680" ht="15.75" customHeight="1">
      <c r="A680" s="1" t="str">
        <f>'Справочник'!E675</f>
        <v/>
      </c>
      <c r="B680" s="2" t="str">
        <f>IF(A680&gt;0,SUMIF('Барабан'!K:K,A680,'Барабан'!I:I),"")</f>
        <v/>
      </c>
      <c r="C680" s="2" t="str">
        <f>IF(A680&gt;0,SUMIF('Барабан'!V:V,A680,'Барабан'!T:T),"")</f>
        <v/>
      </c>
      <c r="D680" s="2" t="str">
        <f>IF(A680&gt;0,SUMIF('Барабан'!K:K,A680,'Барабан'!AG:AG)+SUMIF('Барабан'!V:V,A680,'Барабан'!AG:AG),"")</f>
        <v/>
      </c>
      <c r="E680" s="2" t="str">
        <f t="shared" si="1"/>
        <v/>
      </c>
      <c r="F680" s="2" t="str">
        <f t="array" ref="F680">IFERROR(IF(E680=0,0,INDEX('Справочник'!G:G,MATCH(A680,'Справочник'!F:F,0))))</f>
        <v/>
      </c>
      <c r="G680" s="2" t="str">
        <f>IF(A680&gt;0,SUMIF('Барабан'!K:K,A680,'Барабан'!P:P),"")</f>
        <v/>
      </c>
      <c r="H680" s="2" t="str">
        <f>IF(A680&gt;0,SUMIF('Барабан'!V:V,A680,'Барабан'!AA:AA),"")</f>
        <v/>
      </c>
      <c r="I680" s="2" t="str">
        <f t="shared" si="4"/>
        <v/>
      </c>
      <c r="J680" s="9" t="str">
        <f t="shared" si="2"/>
        <v/>
      </c>
      <c r="K680" s="1" t="str">
        <f>IF(A680&gt;0,COUNTIF('Барабан'!K:K,A680),"")</f>
        <v/>
      </c>
      <c r="L680" s="1" t="str">
        <f>IF(A680&gt;0,COUNTIF('Барабан'!V:V,A680),"")</f>
        <v/>
      </c>
      <c r="M680" s="1" t="str">
        <f t="shared" si="3"/>
        <v/>
      </c>
      <c r="N680" s="1" t="str">
        <f>IFERROR(__xludf.DUMMYFUNCTION("IF(A680&gt;0,MIN(FILTER('Барабан'!AJ:AJ,'Барабан'!K:K=A680)),"""")"),"")</f>
        <v/>
      </c>
      <c r="O680" s="16" t="str">
        <f>IFERROR(__xludf.DUMMYFUNCTION("IF(A680&gt;0,IFERROR(MAX(FILTER('Барабан'!AJ:AJ,'Барабан'!V:V=A680)),""–""),"""")"),"")</f>
        <v/>
      </c>
    </row>
    <row r="681" ht="15.75" customHeight="1">
      <c r="A681" s="1" t="str">
        <f>'Справочник'!E676</f>
        <v/>
      </c>
      <c r="B681" s="2" t="str">
        <f>IF(A681&gt;0,SUMIF('Барабан'!K:K,A681,'Барабан'!I:I),"")</f>
        <v/>
      </c>
      <c r="C681" s="2" t="str">
        <f>IF(A681&gt;0,SUMIF('Барабан'!V:V,A681,'Барабан'!T:T),"")</f>
        <v/>
      </c>
      <c r="D681" s="2" t="str">
        <f>IF(A681&gt;0,SUMIF('Барабан'!K:K,A681,'Барабан'!AG:AG)+SUMIF('Барабан'!V:V,A681,'Барабан'!AG:AG),"")</f>
        <v/>
      </c>
      <c r="E681" s="2" t="str">
        <f t="shared" si="1"/>
        <v/>
      </c>
      <c r="F681" s="2" t="str">
        <f t="array" ref="F681">IFERROR(IF(E681=0,0,INDEX('Справочник'!G:G,MATCH(A681,'Справочник'!F:F,0))))</f>
        <v/>
      </c>
      <c r="G681" s="2" t="str">
        <f>IF(A681&gt;0,SUMIF('Барабан'!K:K,A681,'Барабан'!P:P),"")</f>
        <v/>
      </c>
      <c r="H681" s="2" t="str">
        <f>IF(A681&gt;0,SUMIF('Барабан'!V:V,A681,'Барабан'!AA:AA),"")</f>
        <v/>
      </c>
      <c r="I681" s="2" t="str">
        <f t="shared" si="4"/>
        <v/>
      </c>
      <c r="J681" s="9" t="str">
        <f t="shared" si="2"/>
        <v/>
      </c>
      <c r="K681" s="1" t="str">
        <f>IF(A681&gt;0,COUNTIF('Барабан'!K:K,A681),"")</f>
        <v/>
      </c>
      <c r="L681" s="1" t="str">
        <f>IF(A681&gt;0,COUNTIF('Барабан'!V:V,A681),"")</f>
        <v/>
      </c>
      <c r="M681" s="1" t="str">
        <f t="shared" si="3"/>
        <v/>
      </c>
      <c r="N681" s="1" t="str">
        <f>IFERROR(__xludf.DUMMYFUNCTION("IF(A681&gt;0,MIN(FILTER('Барабан'!AJ:AJ,'Барабан'!K:K=A681)),"""")"),"")</f>
        <v/>
      </c>
      <c r="O681" s="16" t="str">
        <f>IFERROR(__xludf.DUMMYFUNCTION("IF(A681&gt;0,IFERROR(MAX(FILTER('Барабан'!AJ:AJ,'Барабан'!V:V=A681)),""–""),"""")"),"")</f>
        <v/>
      </c>
    </row>
    <row r="682" ht="15.75" customHeight="1">
      <c r="A682" s="1" t="str">
        <f>'Справочник'!E677</f>
        <v/>
      </c>
      <c r="B682" s="2" t="str">
        <f>IF(A682&gt;0,SUMIF('Барабан'!K:K,A682,'Барабан'!I:I),"")</f>
        <v/>
      </c>
      <c r="C682" s="2" t="str">
        <f>IF(A682&gt;0,SUMIF('Барабан'!V:V,A682,'Барабан'!T:T),"")</f>
        <v/>
      </c>
      <c r="D682" s="2" t="str">
        <f>IF(A682&gt;0,SUMIF('Барабан'!K:K,A682,'Барабан'!AG:AG)+SUMIF('Барабан'!V:V,A682,'Барабан'!AG:AG),"")</f>
        <v/>
      </c>
      <c r="E682" s="2" t="str">
        <f t="shared" si="1"/>
        <v/>
      </c>
      <c r="F682" s="2" t="str">
        <f t="array" ref="F682">IFERROR(IF(E682=0,0,INDEX('Справочник'!G:G,MATCH(A682,'Справочник'!F:F,0))))</f>
        <v/>
      </c>
      <c r="G682" s="2" t="str">
        <f>IF(A682&gt;0,SUMIF('Барабан'!K:K,A682,'Барабан'!P:P),"")</f>
        <v/>
      </c>
      <c r="H682" s="2" t="str">
        <f>IF(A682&gt;0,SUMIF('Барабан'!V:V,A682,'Барабан'!AA:AA),"")</f>
        <v/>
      </c>
      <c r="I682" s="2" t="str">
        <f t="shared" si="4"/>
        <v/>
      </c>
      <c r="J682" s="9" t="str">
        <f t="shared" si="2"/>
        <v/>
      </c>
      <c r="K682" s="1" t="str">
        <f>IF(A682&gt;0,COUNTIF('Барабан'!K:K,A682),"")</f>
        <v/>
      </c>
      <c r="L682" s="1" t="str">
        <f>IF(A682&gt;0,COUNTIF('Барабан'!V:V,A682),"")</f>
        <v/>
      </c>
      <c r="M682" s="1" t="str">
        <f t="shared" si="3"/>
        <v/>
      </c>
      <c r="N682" s="1" t="str">
        <f>IFERROR(__xludf.DUMMYFUNCTION("IF(A682&gt;0,MIN(FILTER('Барабан'!AJ:AJ,'Барабан'!K:K=A682)),"""")"),"")</f>
        <v/>
      </c>
      <c r="O682" s="16" t="str">
        <f>IFERROR(__xludf.DUMMYFUNCTION("IF(A682&gt;0,IFERROR(MAX(FILTER('Барабан'!AJ:AJ,'Барабан'!V:V=A682)),""–""),"""")"),"")</f>
        <v/>
      </c>
    </row>
    <row r="683" ht="15.75" customHeight="1">
      <c r="A683" s="1" t="str">
        <f>'Справочник'!E678</f>
        <v/>
      </c>
      <c r="B683" s="2" t="str">
        <f>IF(A683&gt;0,SUMIF('Барабан'!K:K,A683,'Барабан'!I:I),"")</f>
        <v/>
      </c>
      <c r="C683" s="2" t="str">
        <f>IF(A683&gt;0,SUMIF('Барабан'!V:V,A683,'Барабан'!T:T),"")</f>
        <v/>
      </c>
      <c r="D683" s="2" t="str">
        <f>IF(A683&gt;0,SUMIF('Барабан'!K:K,A683,'Барабан'!AG:AG)+SUMIF('Барабан'!V:V,A683,'Барабан'!AG:AG),"")</f>
        <v/>
      </c>
      <c r="E683" s="2" t="str">
        <f t="shared" si="1"/>
        <v/>
      </c>
      <c r="F683" s="2" t="str">
        <f t="array" ref="F683">IFERROR(IF(E683=0,0,INDEX('Справочник'!G:G,MATCH(A683,'Справочник'!F:F,0))))</f>
        <v/>
      </c>
      <c r="G683" s="2" t="str">
        <f>IF(A683&gt;0,SUMIF('Барабан'!K:K,A683,'Барабан'!P:P),"")</f>
        <v/>
      </c>
      <c r="H683" s="2" t="str">
        <f>IF(A683&gt;0,SUMIF('Барабан'!V:V,A683,'Барабан'!AA:AA),"")</f>
        <v/>
      </c>
      <c r="I683" s="2" t="str">
        <f t="shared" si="4"/>
        <v/>
      </c>
      <c r="J683" s="9" t="str">
        <f t="shared" si="2"/>
        <v/>
      </c>
      <c r="K683" s="1" t="str">
        <f>IF(A683&gt;0,COUNTIF('Барабан'!K:K,A683),"")</f>
        <v/>
      </c>
      <c r="L683" s="1" t="str">
        <f>IF(A683&gt;0,COUNTIF('Барабан'!V:V,A683),"")</f>
        <v/>
      </c>
      <c r="M683" s="1" t="str">
        <f t="shared" si="3"/>
        <v/>
      </c>
      <c r="N683" s="1" t="str">
        <f>IFERROR(__xludf.DUMMYFUNCTION("IF(A683&gt;0,MIN(FILTER('Барабан'!AJ:AJ,'Барабан'!K:K=A683)),"""")"),"")</f>
        <v/>
      </c>
      <c r="O683" s="16" t="str">
        <f>IFERROR(__xludf.DUMMYFUNCTION("IF(A683&gt;0,IFERROR(MAX(FILTER('Барабан'!AJ:AJ,'Барабан'!V:V=A683)),""–""),"""")"),"")</f>
        <v/>
      </c>
    </row>
    <row r="684" ht="15.75" customHeight="1">
      <c r="A684" s="1" t="str">
        <f>'Справочник'!E679</f>
        <v/>
      </c>
      <c r="B684" s="2" t="str">
        <f>IF(A684&gt;0,SUMIF('Барабан'!K:K,A684,'Барабан'!I:I),"")</f>
        <v/>
      </c>
      <c r="C684" s="2" t="str">
        <f>IF(A684&gt;0,SUMIF('Барабан'!V:V,A684,'Барабан'!T:T),"")</f>
        <v/>
      </c>
      <c r="D684" s="2" t="str">
        <f>IF(A684&gt;0,SUMIF('Барабан'!K:K,A684,'Барабан'!AG:AG)+SUMIF('Барабан'!V:V,A684,'Барабан'!AG:AG),"")</f>
        <v/>
      </c>
      <c r="E684" s="2" t="str">
        <f t="shared" si="1"/>
        <v/>
      </c>
      <c r="F684" s="2" t="str">
        <f t="array" ref="F684">IFERROR(IF(E684=0,0,INDEX('Справочник'!G:G,MATCH(A684,'Справочник'!F:F,0))))</f>
        <v/>
      </c>
      <c r="G684" s="2" t="str">
        <f>IF(A684&gt;0,SUMIF('Барабан'!K:K,A684,'Барабан'!P:P),"")</f>
        <v/>
      </c>
      <c r="H684" s="2" t="str">
        <f>IF(A684&gt;0,SUMIF('Барабан'!V:V,A684,'Барабан'!AA:AA),"")</f>
        <v/>
      </c>
      <c r="I684" s="2" t="str">
        <f t="shared" si="4"/>
        <v/>
      </c>
      <c r="J684" s="9" t="str">
        <f t="shared" si="2"/>
        <v/>
      </c>
      <c r="K684" s="1" t="str">
        <f>IF(A684&gt;0,COUNTIF('Барабан'!K:K,A684),"")</f>
        <v/>
      </c>
      <c r="L684" s="1" t="str">
        <f>IF(A684&gt;0,COUNTIF('Барабан'!V:V,A684),"")</f>
        <v/>
      </c>
      <c r="M684" s="1" t="str">
        <f t="shared" si="3"/>
        <v/>
      </c>
      <c r="N684" s="1" t="str">
        <f>IFERROR(__xludf.DUMMYFUNCTION("IF(A684&gt;0,MIN(FILTER('Барабан'!AJ:AJ,'Барабан'!K:K=A684)),"""")"),"")</f>
        <v/>
      </c>
      <c r="O684" s="16" t="str">
        <f>IFERROR(__xludf.DUMMYFUNCTION("IF(A684&gt;0,IFERROR(MAX(FILTER('Барабан'!AJ:AJ,'Барабан'!V:V=A684)),""–""),"""")"),"")</f>
        <v/>
      </c>
    </row>
    <row r="685" ht="15.75" customHeight="1">
      <c r="A685" s="1" t="str">
        <f>'Справочник'!E680</f>
        <v/>
      </c>
      <c r="B685" s="2" t="str">
        <f>IF(A685&gt;0,SUMIF('Барабан'!K:K,A685,'Барабан'!I:I),"")</f>
        <v/>
      </c>
      <c r="C685" s="2" t="str">
        <f>IF(A685&gt;0,SUMIF('Барабан'!V:V,A685,'Барабан'!T:T),"")</f>
        <v/>
      </c>
      <c r="D685" s="2" t="str">
        <f>IF(A685&gt;0,SUMIF('Барабан'!K:K,A685,'Барабан'!AG:AG)+SUMIF('Барабан'!V:V,A685,'Барабан'!AG:AG),"")</f>
        <v/>
      </c>
      <c r="E685" s="2" t="str">
        <f t="shared" si="1"/>
        <v/>
      </c>
      <c r="F685" s="2" t="str">
        <f t="array" ref="F685">IFERROR(IF(E685=0,0,INDEX('Справочник'!G:G,MATCH(A685,'Справочник'!F:F,0))))</f>
        <v/>
      </c>
      <c r="G685" s="2" t="str">
        <f>IF(A685&gt;0,SUMIF('Барабан'!K:K,A685,'Барабан'!P:P),"")</f>
        <v/>
      </c>
      <c r="H685" s="2" t="str">
        <f>IF(A685&gt;0,SUMIF('Барабан'!V:V,A685,'Барабан'!AA:AA),"")</f>
        <v/>
      </c>
      <c r="I685" s="2" t="str">
        <f t="shared" si="4"/>
        <v/>
      </c>
      <c r="J685" s="9" t="str">
        <f t="shared" si="2"/>
        <v/>
      </c>
      <c r="K685" s="1" t="str">
        <f>IF(A685&gt;0,COUNTIF('Барабан'!K:K,A685),"")</f>
        <v/>
      </c>
      <c r="L685" s="1" t="str">
        <f>IF(A685&gt;0,COUNTIF('Барабан'!V:V,A685),"")</f>
        <v/>
      </c>
      <c r="M685" s="1" t="str">
        <f t="shared" si="3"/>
        <v/>
      </c>
      <c r="N685" s="1" t="str">
        <f>IFERROR(__xludf.DUMMYFUNCTION("IF(A685&gt;0,MIN(FILTER('Барабан'!AJ:AJ,'Барабан'!K:K=A685)),"""")"),"")</f>
        <v/>
      </c>
      <c r="O685" s="16" t="str">
        <f>IFERROR(__xludf.DUMMYFUNCTION("IF(A685&gt;0,IFERROR(MAX(FILTER('Барабан'!AJ:AJ,'Барабан'!V:V=A685)),""–""),"""")"),"")</f>
        <v/>
      </c>
    </row>
    <row r="686" ht="15.75" customHeight="1">
      <c r="A686" s="1" t="str">
        <f>'Справочник'!E681</f>
        <v/>
      </c>
      <c r="B686" s="2" t="str">
        <f>IF(A686&gt;0,SUMIF('Барабан'!K:K,A686,'Барабан'!I:I),"")</f>
        <v/>
      </c>
      <c r="C686" s="2" t="str">
        <f>IF(A686&gt;0,SUMIF('Барабан'!V:V,A686,'Барабан'!T:T),"")</f>
        <v/>
      </c>
      <c r="D686" s="2" t="str">
        <f>IF(A686&gt;0,SUMIF('Барабан'!K:K,A686,'Барабан'!AG:AG)+SUMIF('Барабан'!V:V,A686,'Барабан'!AG:AG),"")</f>
        <v/>
      </c>
      <c r="E686" s="2" t="str">
        <f t="shared" si="1"/>
        <v/>
      </c>
      <c r="F686" s="2" t="str">
        <f t="array" ref="F686">IFERROR(IF(E686=0,0,INDEX('Справочник'!G:G,MATCH(A686,'Справочник'!F:F,0))))</f>
        <v/>
      </c>
      <c r="G686" s="2" t="str">
        <f>IF(A686&gt;0,SUMIF('Барабан'!K:K,A686,'Барабан'!P:P),"")</f>
        <v/>
      </c>
      <c r="H686" s="2" t="str">
        <f>IF(A686&gt;0,SUMIF('Барабан'!V:V,A686,'Барабан'!AA:AA),"")</f>
        <v/>
      </c>
      <c r="I686" s="2" t="str">
        <f t="shared" si="4"/>
        <v/>
      </c>
      <c r="J686" s="9" t="str">
        <f t="shared" si="2"/>
        <v/>
      </c>
      <c r="K686" s="1" t="str">
        <f>IF(A686&gt;0,COUNTIF('Барабан'!K:K,A686),"")</f>
        <v/>
      </c>
      <c r="L686" s="1" t="str">
        <f>IF(A686&gt;0,COUNTIF('Барабан'!V:V,A686),"")</f>
        <v/>
      </c>
      <c r="M686" s="1" t="str">
        <f t="shared" si="3"/>
        <v/>
      </c>
      <c r="N686" s="1" t="str">
        <f>IFERROR(__xludf.DUMMYFUNCTION("IF(A686&gt;0,MIN(FILTER('Барабан'!AJ:AJ,'Барабан'!K:K=A686)),"""")"),"")</f>
        <v/>
      </c>
      <c r="O686" s="16" t="str">
        <f>IFERROR(__xludf.DUMMYFUNCTION("IF(A686&gt;0,IFERROR(MAX(FILTER('Барабан'!AJ:AJ,'Барабан'!V:V=A686)),""–""),"""")"),"")</f>
        <v/>
      </c>
    </row>
    <row r="687" ht="15.75" customHeight="1">
      <c r="A687" s="1" t="str">
        <f>'Справочник'!E682</f>
        <v/>
      </c>
      <c r="B687" s="2" t="str">
        <f>IF(A687&gt;0,SUMIF('Барабан'!K:K,A687,'Барабан'!I:I),"")</f>
        <v/>
      </c>
      <c r="C687" s="2" t="str">
        <f>IF(A687&gt;0,SUMIF('Барабан'!V:V,A687,'Барабан'!T:T),"")</f>
        <v/>
      </c>
      <c r="D687" s="2" t="str">
        <f>IF(A687&gt;0,SUMIF('Барабан'!K:K,A687,'Барабан'!AG:AG)+SUMIF('Барабан'!V:V,A687,'Барабан'!AG:AG),"")</f>
        <v/>
      </c>
      <c r="E687" s="2" t="str">
        <f t="shared" si="1"/>
        <v/>
      </c>
      <c r="F687" s="2" t="str">
        <f t="array" ref="F687">IFERROR(IF(E687=0,0,INDEX('Справочник'!G:G,MATCH(A687,'Справочник'!F:F,0))))</f>
        <v/>
      </c>
      <c r="G687" s="2" t="str">
        <f>IF(A687&gt;0,SUMIF('Барабан'!K:K,A687,'Барабан'!P:P),"")</f>
        <v/>
      </c>
      <c r="H687" s="2" t="str">
        <f>IF(A687&gt;0,SUMIF('Барабан'!V:V,A687,'Барабан'!AA:AA),"")</f>
        <v/>
      </c>
      <c r="I687" s="2" t="str">
        <f t="shared" si="4"/>
        <v/>
      </c>
      <c r="J687" s="9" t="str">
        <f t="shared" si="2"/>
        <v/>
      </c>
      <c r="K687" s="1" t="str">
        <f>IF(A687&gt;0,COUNTIF('Барабан'!K:K,A687),"")</f>
        <v/>
      </c>
      <c r="L687" s="1" t="str">
        <f>IF(A687&gt;0,COUNTIF('Барабан'!V:V,A687),"")</f>
        <v/>
      </c>
      <c r="M687" s="1" t="str">
        <f t="shared" si="3"/>
        <v/>
      </c>
      <c r="N687" s="1" t="str">
        <f>IFERROR(__xludf.DUMMYFUNCTION("IF(A687&gt;0,MIN(FILTER('Барабан'!AJ:AJ,'Барабан'!K:K=A687)),"""")"),"")</f>
        <v/>
      </c>
      <c r="O687" s="16" t="str">
        <f>IFERROR(__xludf.DUMMYFUNCTION("IF(A687&gt;0,IFERROR(MAX(FILTER('Барабан'!AJ:AJ,'Барабан'!V:V=A687)),""–""),"""")"),"")</f>
        <v/>
      </c>
    </row>
    <row r="688" ht="15.75" customHeight="1">
      <c r="A688" s="1" t="str">
        <f>'Справочник'!E683</f>
        <v/>
      </c>
      <c r="B688" s="2" t="str">
        <f>IF(A688&gt;0,SUMIF('Барабан'!K:K,A688,'Барабан'!I:I),"")</f>
        <v/>
      </c>
      <c r="C688" s="2" t="str">
        <f>IF(A688&gt;0,SUMIF('Барабан'!V:V,A688,'Барабан'!T:T),"")</f>
        <v/>
      </c>
      <c r="D688" s="2" t="str">
        <f>IF(A688&gt;0,SUMIF('Барабан'!K:K,A688,'Барабан'!AG:AG)+SUMIF('Барабан'!V:V,A688,'Барабан'!AG:AG),"")</f>
        <v/>
      </c>
      <c r="E688" s="2" t="str">
        <f t="shared" si="1"/>
        <v/>
      </c>
      <c r="F688" s="2" t="str">
        <f t="array" ref="F688">IFERROR(IF(E688=0,0,INDEX('Справочник'!G:G,MATCH(A688,'Справочник'!F:F,0))))</f>
        <v/>
      </c>
      <c r="G688" s="2" t="str">
        <f>IF(A688&gt;0,SUMIF('Барабан'!K:K,A688,'Барабан'!P:P),"")</f>
        <v/>
      </c>
      <c r="H688" s="2" t="str">
        <f>IF(A688&gt;0,SUMIF('Барабан'!V:V,A688,'Барабан'!AA:AA),"")</f>
        <v/>
      </c>
      <c r="I688" s="2" t="str">
        <f t="shared" si="4"/>
        <v/>
      </c>
      <c r="J688" s="9" t="str">
        <f t="shared" si="2"/>
        <v/>
      </c>
      <c r="K688" s="1" t="str">
        <f>IF(A688&gt;0,COUNTIF('Барабан'!K:K,A688),"")</f>
        <v/>
      </c>
      <c r="L688" s="1" t="str">
        <f>IF(A688&gt;0,COUNTIF('Барабан'!V:V,A688),"")</f>
        <v/>
      </c>
      <c r="M688" s="1" t="str">
        <f t="shared" si="3"/>
        <v/>
      </c>
      <c r="N688" s="1" t="str">
        <f>IFERROR(__xludf.DUMMYFUNCTION("IF(A688&gt;0,MIN(FILTER('Барабан'!AJ:AJ,'Барабан'!K:K=A688)),"""")"),"")</f>
        <v/>
      </c>
      <c r="O688" s="16" t="str">
        <f>IFERROR(__xludf.DUMMYFUNCTION("IF(A688&gt;0,IFERROR(MAX(FILTER('Барабан'!AJ:AJ,'Барабан'!V:V=A688)),""–""),"""")"),"")</f>
        <v/>
      </c>
    </row>
    <row r="689" ht="15.75" customHeight="1">
      <c r="A689" s="1" t="str">
        <f>'Справочник'!E684</f>
        <v/>
      </c>
      <c r="B689" s="2" t="str">
        <f>IF(A689&gt;0,SUMIF('Барабан'!K:K,A689,'Барабан'!I:I),"")</f>
        <v/>
      </c>
      <c r="C689" s="2" t="str">
        <f>IF(A689&gt;0,SUMIF('Барабан'!V:V,A689,'Барабан'!T:T),"")</f>
        <v/>
      </c>
      <c r="D689" s="2" t="str">
        <f>IF(A689&gt;0,SUMIF('Барабан'!K:K,A689,'Барабан'!AG:AG)+SUMIF('Барабан'!V:V,A689,'Барабан'!AG:AG),"")</f>
        <v/>
      </c>
      <c r="E689" s="2" t="str">
        <f t="shared" si="1"/>
        <v/>
      </c>
      <c r="F689" s="2" t="str">
        <f t="array" ref="F689">IFERROR(IF(E689=0,0,INDEX('Справочник'!G:G,MATCH(A689,'Справочник'!F:F,0))))</f>
        <v/>
      </c>
      <c r="G689" s="2" t="str">
        <f>IF(A689&gt;0,SUMIF('Барабан'!K:K,A689,'Барабан'!P:P),"")</f>
        <v/>
      </c>
      <c r="H689" s="2" t="str">
        <f>IF(A689&gt;0,SUMIF('Барабан'!V:V,A689,'Барабан'!AA:AA),"")</f>
        <v/>
      </c>
      <c r="I689" s="2" t="str">
        <f t="shared" si="4"/>
        <v/>
      </c>
      <c r="J689" s="9" t="str">
        <f t="shared" si="2"/>
        <v/>
      </c>
      <c r="K689" s="1" t="str">
        <f>IF(A689&gt;0,COUNTIF('Барабан'!K:K,A689),"")</f>
        <v/>
      </c>
      <c r="L689" s="1" t="str">
        <f>IF(A689&gt;0,COUNTIF('Барабан'!V:V,A689),"")</f>
        <v/>
      </c>
      <c r="M689" s="1" t="str">
        <f t="shared" si="3"/>
        <v/>
      </c>
      <c r="N689" s="1" t="str">
        <f>IFERROR(__xludf.DUMMYFUNCTION("IF(A689&gt;0,MIN(FILTER('Барабан'!AJ:AJ,'Барабан'!K:K=A689)),"""")"),"")</f>
        <v/>
      </c>
      <c r="O689" s="16" t="str">
        <f>IFERROR(__xludf.DUMMYFUNCTION("IF(A689&gt;0,IFERROR(MAX(FILTER('Барабан'!AJ:AJ,'Барабан'!V:V=A689)),""–""),"""")"),"")</f>
        <v/>
      </c>
    </row>
    <row r="690" ht="15.75" customHeight="1">
      <c r="A690" s="1" t="str">
        <f>'Справочник'!E685</f>
        <v/>
      </c>
      <c r="B690" s="2" t="str">
        <f>IF(A690&gt;0,SUMIF('Барабан'!K:K,A690,'Барабан'!I:I),"")</f>
        <v/>
      </c>
      <c r="C690" s="2" t="str">
        <f>IF(A690&gt;0,SUMIF('Барабан'!V:V,A690,'Барабан'!T:T),"")</f>
        <v/>
      </c>
      <c r="D690" s="2" t="str">
        <f>IF(A690&gt;0,SUMIF('Барабан'!K:K,A690,'Барабан'!AG:AG)+SUMIF('Барабан'!V:V,A690,'Барабан'!AG:AG),"")</f>
        <v/>
      </c>
      <c r="E690" s="2" t="str">
        <f t="shared" si="1"/>
        <v/>
      </c>
      <c r="F690" s="2" t="str">
        <f t="array" ref="F690">IFERROR(IF(E690=0,0,INDEX('Справочник'!G:G,MATCH(A690,'Справочник'!F:F,0))))</f>
        <v/>
      </c>
      <c r="G690" s="2" t="str">
        <f>IF(A690&gt;0,SUMIF('Барабан'!K:K,A690,'Барабан'!P:P),"")</f>
        <v/>
      </c>
      <c r="H690" s="2" t="str">
        <f>IF(A690&gt;0,SUMIF('Барабан'!V:V,A690,'Барабан'!AA:AA),"")</f>
        <v/>
      </c>
      <c r="I690" s="2" t="str">
        <f t="shared" si="4"/>
        <v/>
      </c>
      <c r="J690" s="9" t="str">
        <f t="shared" si="2"/>
        <v/>
      </c>
      <c r="K690" s="1" t="str">
        <f>IF(A690&gt;0,COUNTIF('Барабан'!K:K,A690),"")</f>
        <v/>
      </c>
      <c r="L690" s="1" t="str">
        <f>IF(A690&gt;0,COUNTIF('Барабан'!V:V,A690),"")</f>
        <v/>
      </c>
      <c r="M690" s="1" t="str">
        <f t="shared" si="3"/>
        <v/>
      </c>
      <c r="N690" s="1" t="str">
        <f>IFERROR(__xludf.DUMMYFUNCTION("IF(A690&gt;0,MIN(FILTER('Барабан'!AJ:AJ,'Барабан'!K:K=A690)),"""")"),"")</f>
        <v/>
      </c>
      <c r="O690" s="16" t="str">
        <f>IFERROR(__xludf.DUMMYFUNCTION("IF(A690&gt;0,IFERROR(MAX(FILTER('Барабан'!AJ:AJ,'Барабан'!V:V=A690)),""–""),"""")"),"")</f>
        <v/>
      </c>
    </row>
    <row r="691" ht="15.75" customHeight="1">
      <c r="A691" s="1" t="str">
        <f>'Справочник'!E686</f>
        <v/>
      </c>
      <c r="B691" s="2" t="str">
        <f>IF(A691&gt;0,SUMIF('Барабан'!K:K,A691,'Барабан'!I:I),"")</f>
        <v/>
      </c>
      <c r="C691" s="2" t="str">
        <f>IF(A691&gt;0,SUMIF('Барабан'!V:V,A691,'Барабан'!T:T),"")</f>
        <v/>
      </c>
      <c r="D691" s="2" t="str">
        <f>IF(A691&gt;0,SUMIF('Барабан'!K:K,A691,'Барабан'!AG:AG)+SUMIF('Барабан'!V:V,A691,'Барабан'!AG:AG),"")</f>
        <v/>
      </c>
      <c r="E691" s="2" t="str">
        <f t="shared" si="1"/>
        <v/>
      </c>
      <c r="F691" s="2" t="str">
        <f t="array" ref="F691">IFERROR(IF(E691=0,0,INDEX('Справочник'!G:G,MATCH(A691,'Справочник'!F:F,0))))</f>
        <v/>
      </c>
      <c r="G691" s="2" t="str">
        <f>IF(A691&gt;0,SUMIF('Барабан'!K:K,A691,'Барабан'!P:P),"")</f>
        <v/>
      </c>
      <c r="H691" s="2" t="str">
        <f>IF(A691&gt;0,SUMIF('Барабан'!V:V,A691,'Барабан'!AA:AA),"")</f>
        <v/>
      </c>
      <c r="I691" s="2" t="str">
        <f t="shared" si="4"/>
        <v/>
      </c>
      <c r="J691" s="9" t="str">
        <f t="shared" si="2"/>
        <v/>
      </c>
      <c r="K691" s="1" t="str">
        <f>IF(A691&gt;0,COUNTIF('Барабан'!K:K,A691),"")</f>
        <v/>
      </c>
      <c r="L691" s="1" t="str">
        <f>IF(A691&gt;0,COUNTIF('Барабан'!V:V,A691),"")</f>
        <v/>
      </c>
      <c r="M691" s="1" t="str">
        <f t="shared" si="3"/>
        <v/>
      </c>
      <c r="N691" s="1" t="str">
        <f>IFERROR(__xludf.DUMMYFUNCTION("IF(A691&gt;0,MIN(FILTER('Барабан'!AJ:AJ,'Барабан'!K:K=A691)),"""")"),"")</f>
        <v/>
      </c>
      <c r="O691" s="16" t="str">
        <f>IFERROR(__xludf.DUMMYFUNCTION("IF(A691&gt;0,IFERROR(MAX(FILTER('Барабан'!AJ:AJ,'Барабан'!V:V=A691)),""–""),"""")"),"")</f>
        <v/>
      </c>
    </row>
    <row r="692" ht="15.75" customHeight="1">
      <c r="A692" s="1" t="str">
        <f>'Справочник'!E687</f>
        <v/>
      </c>
      <c r="B692" s="2" t="str">
        <f>IF(A692&gt;0,SUMIF('Барабан'!K:K,A692,'Барабан'!I:I),"")</f>
        <v/>
      </c>
      <c r="C692" s="2" t="str">
        <f>IF(A692&gt;0,SUMIF('Барабан'!V:V,A692,'Барабан'!T:T),"")</f>
        <v/>
      </c>
      <c r="D692" s="2" t="str">
        <f>IF(A692&gt;0,SUMIF('Барабан'!K:K,A692,'Барабан'!AG:AG)+SUMIF('Барабан'!V:V,A692,'Барабан'!AG:AG),"")</f>
        <v/>
      </c>
      <c r="E692" s="2" t="str">
        <f t="shared" si="1"/>
        <v/>
      </c>
      <c r="F692" s="2" t="str">
        <f t="array" ref="F692">IFERROR(IF(E692=0,0,INDEX('Справочник'!G:G,MATCH(A692,'Справочник'!F:F,0))))</f>
        <v/>
      </c>
      <c r="G692" s="2" t="str">
        <f>IF(A692&gt;0,SUMIF('Барабан'!K:K,A692,'Барабан'!P:P),"")</f>
        <v/>
      </c>
      <c r="H692" s="2" t="str">
        <f>IF(A692&gt;0,SUMIF('Барабан'!V:V,A692,'Барабан'!AA:AA),"")</f>
        <v/>
      </c>
      <c r="I692" s="2" t="str">
        <f t="shared" si="4"/>
        <v/>
      </c>
      <c r="J692" s="9" t="str">
        <f t="shared" si="2"/>
        <v/>
      </c>
      <c r="K692" s="1" t="str">
        <f>IF(A692&gt;0,COUNTIF('Барабан'!K:K,A692),"")</f>
        <v/>
      </c>
      <c r="L692" s="1" t="str">
        <f>IF(A692&gt;0,COUNTIF('Барабан'!V:V,A692),"")</f>
        <v/>
      </c>
      <c r="M692" s="1" t="str">
        <f t="shared" si="3"/>
        <v/>
      </c>
      <c r="N692" s="1" t="str">
        <f>IFERROR(__xludf.DUMMYFUNCTION("IF(A692&gt;0,MIN(FILTER('Барабан'!AJ:AJ,'Барабан'!K:K=A692)),"""")"),"")</f>
        <v/>
      </c>
      <c r="O692" s="16" t="str">
        <f>IFERROR(__xludf.DUMMYFUNCTION("IF(A692&gt;0,IFERROR(MAX(FILTER('Барабан'!AJ:AJ,'Барабан'!V:V=A692)),""–""),"""")"),"")</f>
        <v/>
      </c>
    </row>
    <row r="693" ht="15.75" customHeight="1">
      <c r="A693" s="1" t="str">
        <f>'Справочник'!E688</f>
        <v/>
      </c>
      <c r="B693" s="2" t="str">
        <f>IF(A693&gt;0,SUMIF('Барабан'!K:K,A693,'Барабан'!I:I),"")</f>
        <v/>
      </c>
      <c r="C693" s="2" t="str">
        <f>IF(A693&gt;0,SUMIF('Барабан'!V:V,A693,'Барабан'!T:T),"")</f>
        <v/>
      </c>
      <c r="D693" s="2" t="str">
        <f>IF(A693&gt;0,SUMIF('Барабан'!K:K,A693,'Барабан'!AG:AG)+SUMIF('Барабан'!V:V,A693,'Барабан'!AG:AG),"")</f>
        <v/>
      </c>
      <c r="E693" s="2" t="str">
        <f t="shared" si="1"/>
        <v/>
      </c>
      <c r="F693" s="2" t="str">
        <f t="array" ref="F693">IFERROR(IF(E693=0,0,INDEX('Справочник'!G:G,MATCH(A693,'Справочник'!F:F,0))))</f>
        <v/>
      </c>
      <c r="G693" s="2" t="str">
        <f>IF(A693&gt;0,SUMIF('Барабан'!K:K,A693,'Барабан'!P:P),"")</f>
        <v/>
      </c>
      <c r="H693" s="2" t="str">
        <f>IF(A693&gt;0,SUMIF('Барабан'!V:V,A693,'Барабан'!AA:AA),"")</f>
        <v/>
      </c>
      <c r="I693" s="2" t="str">
        <f t="shared" si="4"/>
        <v/>
      </c>
      <c r="J693" s="9" t="str">
        <f t="shared" si="2"/>
        <v/>
      </c>
      <c r="K693" s="1" t="str">
        <f>IF(A693&gt;0,COUNTIF('Барабан'!K:K,A693),"")</f>
        <v/>
      </c>
      <c r="L693" s="1" t="str">
        <f>IF(A693&gt;0,COUNTIF('Барабан'!V:V,A693),"")</f>
        <v/>
      </c>
      <c r="M693" s="1" t="str">
        <f t="shared" si="3"/>
        <v/>
      </c>
      <c r="N693" s="1" t="str">
        <f>IFERROR(__xludf.DUMMYFUNCTION("IF(A693&gt;0,MIN(FILTER('Барабан'!AJ:AJ,'Барабан'!K:K=A693)),"""")"),"")</f>
        <v/>
      </c>
      <c r="O693" s="16" t="str">
        <f>IFERROR(__xludf.DUMMYFUNCTION("IF(A693&gt;0,IFERROR(MAX(FILTER('Барабан'!AJ:AJ,'Барабан'!V:V=A693)),""–""),"""")"),"")</f>
        <v/>
      </c>
    </row>
    <row r="694" ht="15.75" customHeight="1">
      <c r="A694" s="1" t="str">
        <f>'Справочник'!E689</f>
        <v/>
      </c>
      <c r="B694" s="2" t="str">
        <f>IF(A694&gt;0,SUMIF('Барабан'!K:K,A694,'Барабан'!I:I),"")</f>
        <v/>
      </c>
      <c r="C694" s="2" t="str">
        <f>IF(A694&gt;0,SUMIF('Барабан'!V:V,A694,'Барабан'!T:T),"")</f>
        <v/>
      </c>
      <c r="D694" s="2" t="str">
        <f>IF(A694&gt;0,SUMIF('Барабан'!K:K,A694,'Барабан'!AG:AG)+SUMIF('Барабан'!V:V,A694,'Барабан'!AG:AG),"")</f>
        <v/>
      </c>
      <c r="E694" s="2" t="str">
        <f t="shared" si="1"/>
        <v/>
      </c>
      <c r="F694" s="2" t="str">
        <f t="array" ref="F694">IFERROR(IF(E694=0,0,INDEX('Справочник'!G:G,MATCH(A694,'Справочник'!F:F,0))))</f>
        <v/>
      </c>
      <c r="G694" s="2" t="str">
        <f>IF(A694&gt;0,SUMIF('Барабан'!K:K,A694,'Барабан'!P:P),"")</f>
        <v/>
      </c>
      <c r="H694" s="2" t="str">
        <f>IF(A694&gt;0,SUMIF('Барабан'!V:V,A694,'Барабан'!AA:AA),"")</f>
        <v/>
      </c>
      <c r="I694" s="2" t="str">
        <f t="shared" si="4"/>
        <v/>
      </c>
      <c r="J694" s="9" t="str">
        <f t="shared" si="2"/>
        <v/>
      </c>
      <c r="K694" s="1" t="str">
        <f>IF(A694&gt;0,COUNTIF('Барабан'!K:K,A694),"")</f>
        <v/>
      </c>
      <c r="L694" s="1" t="str">
        <f>IF(A694&gt;0,COUNTIF('Барабан'!V:V,A694),"")</f>
        <v/>
      </c>
      <c r="M694" s="1" t="str">
        <f t="shared" si="3"/>
        <v/>
      </c>
      <c r="N694" s="1" t="str">
        <f>IFERROR(__xludf.DUMMYFUNCTION("IF(A694&gt;0,MIN(FILTER('Барабан'!AJ:AJ,'Барабан'!K:K=A694)),"""")"),"")</f>
        <v/>
      </c>
      <c r="O694" s="16" t="str">
        <f>IFERROR(__xludf.DUMMYFUNCTION("IF(A694&gt;0,IFERROR(MAX(FILTER('Барабан'!AJ:AJ,'Барабан'!V:V=A694)),""–""),"""")"),"")</f>
        <v/>
      </c>
    </row>
    <row r="695" ht="15.75" customHeight="1">
      <c r="A695" s="1" t="str">
        <f>'Справочник'!E690</f>
        <v/>
      </c>
      <c r="B695" s="2" t="str">
        <f>IF(A695&gt;0,SUMIF('Барабан'!K:K,A695,'Барабан'!I:I),"")</f>
        <v/>
      </c>
      <c r="C695" s="2" t="str">
        <f>IF(A695&gt;0,SUMIF('Барабан'!V:V,A695,'Барабан'!T:T),"")</f>
        <v/>
      </c>
      <c r="D695" s="2" t="str">
        <f>IF(A695&gt;0,SUMIF('Барабан'!K:K,A695,'Барабан'!AG:AG)+SUMIF('Барабан'!V:V,A695,'Барабан'!AG:AG),"")</f>
        <v/>
      </c>
      <c r="E695" s="2" t="str">
        <f t="shared" si="1"/>
        <v/>
      </c>
      <c r="F695" s="2" t="str">
        <f t="array" ref="F695">IFERROR(IF(E695=0,0,INDEX('Справочник'!G:G,MATCH(A695,'Справочник'!F:F,0))))</f>
        <v/>
      </c>
      <c r="G695" s="2" t="str">
        <f>IF(A695&gt;0,SUMIF('Барабан'!K:K,A695,'Барабан'!P:P),"")</f>
        <v/>
      </c>
      <c r="H695" s="2" t="str">
        <f>IF(A695&gt;0,SUMIF('Барабан'!V:V,A695,'Барабан'!AA:AA),"")</f>
        <v/>
      </c>
      <c r="I695" s="2" t="str">
        <f t="shared" si="4"/>
        <v/>
      </c>
      <c r="J695" s="9" t="str">
        <f t="shared" si="2"/>
        <v/>
      </c>
      <c r="K695" s="1" t="str">
        <f>IF(A695&gt;0,COUNTIF('Барабан'!K:K,A695),"")</f>
        <v/>
      </c>
      <c r="L695" s="1" t="str">
        <f>IF(A695&gt;0,COUNTIF('Барабан'!V:V,A695),"")</f>
        <v/>
      </c>
      <c r="M695" s="1" t="str">
        <f t="shared" si="3"/>
        <v/>
      </c>
      <c r="N695" s="1" t="str">
        <f>IFERROR(__xludf.DUMMYFUNCTION("IF(A695&gt;0,MIN(FILTER('Барабан'!AJ:AJ,'Барабан'!K:K=A695)),"""")"),"")</f>
        <v/>
      </c>
      <c r="O695" s="16" t="str">
        <f>IFERROR(__xludf.DUMMYFUNCTION("IF(A695&gt;0,IFERROR(MAX(FILTER('Барабан'!AJ:AJ,'Барабан'!V:V=A695)),""–""),"""")"),"")</f>
        <v/>
      </c>
    </row>
    <row r="696" ht="15.75" customHeight="1">
      <c r="A696" s="1" t="str">
        <f>'Справочник'!E691</f>
        <v/>
      </c>
      <c r="B696" s="2" t="str">
        <f>IF(A696&gt;0,SUMIF('Барабан'!K:K,A696,'Барабан'!I:I),"")</f>
        <v/>
      </c>
      <c r="C696" s="2" t="str">
        <f>IF(A696&gt;0,SUMIF('Барабан'!V:V,A696,'Барабан'!T:T),"")</f>
        <v/>
      </c>
      <c r="D696" s="2" t="str">
        <f>IF(A696&gt;0,SUMIF('Барабан'!K:K,A696,'Барабан'!AG:AG)+SUMIF('Барабан'!V:V,A696,'Барабан'!AG:AG),"")</f>
        <v/>
      </c>
      <c r="E696" s="2" t="str">
        <f t="shared" si="1"/>
        <v/>
      </c>
      <c r="F696" s="2" t="str">
        <f t="array" ref="F696">IFERROR(IF(E696=0,0,INDEX('Справочник'!G:G,MATCH(A696,'Справочник'!F:F,0))))</f>
        <v/>
      </c>
      <c r="G696" s="2" t="str">
        <f>IF(A696&gt;0,SUMIF('Барабан'!K:K,A696,'Барабан'!P:P),"")</f>
        <v/>
      </c>
      <c r="H696" s="2" t="str">
        <f>IF(A696&gt;0,SUMIF('Барабан'!V:V,A696,'Барабан'!AA:AA),"")</f>
        <v/>
      </c>
      <c r="I696" s="2" t="str">
        <f t="shared" si="4"/>
        <v/>
      </c>
      <c r="J696" s="9" t="str">
        <f t="shared" si="2"/>
        <v/>
      </c>
      <c r="K696" s="1" t="str">
        <f>IF(A696&gt;0,COUNTIF('Барабан'!K:K,A696),"")</f>
        <v/>
      </c>
      <c r="L696" s="1" t="str">
        <f>IF(A696&gt;0,COUNTIF('Барабан'!V:V,A696),"")</f>
        <v/>
      </c>
      <c r="M696" s="1" t="str">
        <f t="shared" si="3"/>
        <v/>
      </c>
      <c r="N696" s="1" t="str">
        <f>IFERROR(__xludf.DUMMYFUNCTION("IF(A696&gt;0,MIN(FILTER('Барабан'!AJ:AJ,'Барабан'!K:K=A696)),"""")"),"")</f>
        <v/>
      </c>
      <c r="O696" s="16" t="str">
        <f>IFERROR(__xludf.DUMMYFUNCTION("IF(A696&gt;0,IFERROR(MAX(FILTER('Барабан'!AJ:AJ,'Барабан'!V:V=A696)),""–""),"""")"),"")</f>
        <v/>
      </c>
    </row>
    <row r="697" ht="15.75" customHeight="1">
      <c r="A697" s="1" t="str">
        <f>'Справочник'!E692</f>
        <v/>
      </c>
      <c r="B697" s="2" t="str">
        <f>IF(A697&gt;0,SUMIF('Барабан'!K:K,A697,'Барабан'!I:I),"")</f>
        <v/>
      </c>
      <c r="C697" s="2" t="str">
        <f>IF(A697&gt;0,SUMIF('Барабан'!V:V,A697,'Барабан'!T:T),"")</f>
        <v/>
      </c>
      <c r="D697" s="2" t="str">
        <f>IF(A697&gt;0,SUMIF('Барабан'!K:K,A697,'Барабан'!AG:AG)+SUMIF('Барабан'!V:V,A697,'Барабан'!AG:AG),"")</f>
        <v/>
      </c>
      <c r="E697" s="2" t="str">
        <f t="shared" si="1"/>
        <v/>
      </c>
      <c r="F697" s="2" t="str">
        <f t="array" ref="F697">IFERROR(IF(E697=0,0,INDEX('Справочник'!G:G,MATCH(A697,'Справочник'!F:F,0))))</f>
        <v/>
      </c>
      <c r="G697" s="2" t="str">
        <f>IF(A697&gt;0,SUMIF('Барабан'!K:K,A697,'Барабан'!P:P),"")</f>
        <v/>
      </c>
      <c r="H697" s="2" t="str">
        <f>IF(A697&gt;0,SUMIF('Барабан'!V:V,A697,'Барабан'!AA:AA),"")</f>
        <v/>
      </c>
      <c r="I697" s="2" t="str">
        <f t="shared" si="4"/>
        <v/>
      </c>
      <c r="J697" s="9" t="str">
        <f t="shared" si="2"/>
        <v/>
      </c>
      <c r="K697" s="1" t="str">
        <f>IF(A697&gt;0,COUNTIF('Барабан'!K:K,A697),"")</f>
        <v/>
      </c>
      <c r="L697" s="1" t="str">
        <f>IF(A697&gt;0,COUNTIF('Барабан'!V:V,A697),"")</f>
        <v/>
      </c>
      <c r="M697" s="1" t="str">
        <f t="shared" si="3"/>
        <v/>
      </c>
      <c r="N697" s="1" t="str">
        <f>IFERROR(__xludf.DUMMYFUNCTION("IF(A697&gt;0,MIN(FILTER('Барабан'!AJ:AJ,'Барабан'!K:K=A697)),"""")"),"")</f>
        <v/>
      </c>
      <c r="O697" s="16" t="str">
        <f>IFERROR(__xludf.DUMMYFUNCTION("IF(A697&gt;0,IFERROR(MAX(FILTER('Барабан'!AJ:AJ,'Барабан'!V:V=A697)),""–""),"""")"),"")</f>
        <v/>
      </c>
    </row>
    <row r="698" ht="15.75" customHeight="1">
      <c r="A698" s="1" t="str">
        <f>'Справочник'!E693</f>
        <v/>
      </c>
      <c r="B698" s="2" t="str">
        <f>IF(A698&gt;0,SUMIF('Барабан'!K:K,A698,'Барабан'!I:I),"")</f>
        <v/>
      </c>
      <c r="C698" s="2" t="str">
        <f>IF(A698&gt;0,SUMIF('Барабан'!V:V,A698,'Барабан'!T:T),"")</f>
        <v/>
      </c>
      <c r="D698" s="2" t="str">
        <f>IF(A698&gt;0,SUMIF('Барабан'!K:K,A698,'Барабан'!AG:AG)+SUMIF('Барабан'!V:V,A698,'Барабан'!AG:AG),"")</f>
        <v/>
      </c>
      <c r="E698" s="2" t="str">
        <f t="shared" si="1"/>
        <v/>
      </c>
      <c r="F698" s="2" t="str">
        <f t="array" ref="F698">IFERROR(IF(E698=0,0,INDEX('Справочник'!G:G,MATCH(A698,'Справочник'!F:F,0))))</f>
        <v/>
      </c>
      <c r="G698" s="2" t="str">
        <f>IF(A698&gt;0,SUMIF('Барабан'!K:K,A698,'Барабан'!P:P),"")</f>
        <v/>
      </c>
      <c r="H698" s="2" t="str">
        <f>IF(A698&gt;0,SUMIF('Барабан'!V:V,A698,'Барабан'!AA:AA),"")</f>
        <v/>
      </c>
      <c r="I698" s="2" t="str">
        <f t="shared" si="4"/>
        <v/>
      </c>
      <c r="J698" s="9" t="str">
        <f t="shared" si="2"/>
        <v/>
      </c>
      <c r="K698" s="1" t="str">
        <f>IF(A698&gt;0,COUNTIF('Барабан'!K:K,A698),"")</f>
        <v/>
      </c>
      <c r="L698" s="1" t="str">
        <f>IF(A698&gt;0,COUNTIF('Барабан'!V:V,A698),"")</f>
        <v/>
      </c>
      <c r="M698" s="1" t="str">
        <f t="shared" si="3"/>
        <v/>
      </c>
      <c r="N698" s="1" t="str">
        <f>IFERROR(__xludf.DUMMYFUNCTION("IF(A698&gt;0,MIN(FILTER('Барабан'!AJ:AJ,'Барабан'!K:K=A698)),"""")"),"")</f>
        <v/>
      </c>
      <c r="O698" s="16" t="str">
        <f>IFERROR(__xludf.DUMMYFUNCTION("IF(A698&gt;0,IFERROR(MAX(FILTER('Барабан'!AJ:AJ,'Барабан'!V:V=A698)),""–""),"""")"),"")</f>
        <v/>
      </c>
    </row>
    <row r="699" ht="15.75" customHeight="1">
      <c r="A699" s="1" t="str">
        <f>'Справочник'!E694</f>
        <v/>
      </c>
      <c r="B699" s="2" t="str">
        <f>IF(A699&gt;0,SUMIF('Барабан'!K:K,A699,'Барабан'!I:I),"")</f>
        <v/>
      </c>
      <c r="C699" s="2" t="str">
        <f>IF(A699&gt;0,SUMIF('Барабан'!V:V,A699,'Барабан'!T:T),"")</f>
        <v/>
      </c>
      <c r="D699" s="2" t="str">
        <f>IF(A699&gt;0,SUMIF('Барабан'!K:K,A699,'Барабан'!AG:AG)+SUMIF('Барабан'!V:V,A699,'Барабан'!AG:AG),"")</f>
        <v/>
      </c>
      <c r="E699" s="2" t="str">
        <f t="shared" si="1"/>
        <v/>
      </c>
      <c r="F699" s="2" t="str">
        <f t="array" ref="F699">IFERROR(IF(E699=0,0,INDEX('Справочник'!G:G,MATCH(A699,'Справочник'!F:F,0))))</f>
        <v/>
      </c>
      <c r="G699" s="2" t="str">
        <f>IF(A699&gt;0,SUMIF('Барабан'!K:K,A699,'Барабан'!P:P),"")</f>
        <v/>
      </c>
      <c r="H699" s="2" t="str">
        <f>IF(A699&gt;0,SUMIF('Барабан'!V:V,A699,'Барабан'!AA:AA),"")</f>
        <v/>
      </c>
      <c r="I699" s="2" t="str">
        <f t="shared" si="4"/>
        <v/>
      </c>
      <c r="J699" s="9" t="str">
        <f t="shared" si="2"/>
        <v/>
      </c>
      <c r="K699" s="1" t="str">
        <f>IF(A699&gt;0,COUNTIF('Барабан'!K:K,A699),"")</f>
        <v/>
      </c>
      <c r="L699" s="1" t="str">
        <f>IF(A699&gt;0,COUNTIF('Барабан'!V:V,A699),"")</f>
        <v/>
      </c>
      <c r="M699" s="1" t="str">
        <f t="shared" si="3"/>
        <v/>
      </c>
      <c r="N699" s="1" t="str">
        <f>IFERROR(__xludf.DUMMYFUNCTION("IF(A699&gt;0,MIN(FILTER('Барабан'!AJ:AJ,'Барабан'!K:K=A699)),"""")"),"")</f>
        <v/>
      </c>
      <c r="O699" s="16" t="str">
        <f>IFERROR(__xludf.DUMMYFUNCTION("IF(A699&gt;0,IFERROR(MAX(FILTER('Барабан'!AJ:AJ,'Барабан'!V:V=A699)),""–""),"""")"),"")</f>
        <v/>
      </c>
    </row>
    <row r="700" ht="15.75" customHeight="1">
      <c r="A700" s="1" t="str">
        <f>'Справочник'!E695</f>
        <v/>
      </c>
      <c r="B700" s="2" t="str">
        <f>IF(A700&gt;0,SUMIF('Барабан'!K:K,A700,'Барабан'!I:I),"")</f>
        <v/>
      </c>
      <c r="C700" s="2" t="str">
        <f>IF(A700&gt;0,SUMIF('Барабан'!V:V,A700,'Барабан'!T:T),"")</f>
        <v/>
      </c>
      <c r="D700" s="2" t="str">
        <f>IF(A700&gt;0,SUMIF('Барабан'!K:K,A700,'Барабан'!AG:AG)+SUMIF('Барабан'!V:V,A700,'Барабан'!AG:AG),"")</f>
        <v/>
      </c>
      <c r="E700" s="2" t="str">
        <f t="shared" si="1"/>
        <v/>
      </c>
      <c r="F700" s="2" t="str">
        <f t="array" ref="F700">IFERROR(IF(E700=0,0,INDEX('Справочник'!G:G,MATCH(A700,'Справочник'!F:F,0))))</f>
        <v/>
      </c>
      <c r="G700" s="2" t="str">
        <f>IF(A700&gt;0,SUMIF('Барабан'!K:K,A700,'Барабан'!P:P),"")</f>
        <v/>
      </c>
      <c r="H700" s="2" t="str">
        <f>IF(A700&gt;0,SUMIF('Барабан'!V:V,A700,'Барабан'!AA:AA),"")</f>
        <v/>
      </c>
      <c r="I700" s="2" t="str">
        <f t="shared" si="4"/>
        <v/>
      </c>
      <c r="J700" s="9" t="str">
        <f t="shared" si="2"/>
        <v/>
      </c>
      <c r="K700" s="1" t="str">
        <f>IF(A700&gt;0,COUNTIF('Барабан'!K:K,A700),"")</f>
        <v/>
      </c>
      <c r="L700" s="1" t="str">
        <f>IF(A700&gt;0,COUNTIF('Барабан'!V:V,A700),"")</f>
        <v/>
      </c>
      <c r="M700" s="1" t="str">
        <f t="shared" si="3"/>
        <v/>
      </c>
      <c r="N700" s="1" t="str">
        <f>IFERROR(__xludf.DUMMYFUNCTION("IF(A700&gt;0,MIN(FILTER('Барабан'!AJ:AJ,'Барабан'!K:K=A700)),"""")"),"")</f>
        <v/>
      </c>
      <c r="O700" s="16" t="str">
        <f>IFERROR(__xludf.DUMMYFUNCTION("IF(A700&gt;0,IFERROR(MAX(FILTER('Барабан'!AJ:AJ,'Барабан'!V:V=A700)),""–""),"""")"),"")</f>
        <v/>
      </c>
    </row>
    <row r="701" ht="15.75" customHeight="1">
      <c r="A701" s="1" t="str">
        <f>'Справочник'!E696</f>
        <v/>
      </c>
      <c r="B701" s="2" t="str">
        <f>IF(A701&gt;0,SUMIF('Барабан'!K:K,A701,'Барабан'!I:I),"")</f>
        <v/>
      </c>
      <c r="C701" s="2" t="str">
        <f>IF(A701&gt;0,SUMIF('Барабан'!V:V,A701,'Барабан'!T:T),"")</f>
        <v/>
      </c>
      <c r="D701" s="2" t="str">
        <f>IF(A701&gt;0,SUMIF('Барабан'!K:K,A701,'Барабан'!AG:AG)+SUMIF('Барабан'!V:V,A701,'Барабан'!AG:AG),"")</f>
        <v/>
      </c>
      <c r="E701" s="2" t="str">
        <f t="shared" si="1"/>
        <v/>
      </c>
      <c r="F701" s="2" t="str">
        <f t="array" ref="F701">IFERROR(IF(E701=0,0,INDEX('Справочник'!G:G,MATCH(A701,'Справочник'!F:F,0))))</f>
        <v/>
      </c>
      <c r="G701" s="2" t="str">
        <f>IF(A701&gt;0,SUMIF('Барабан'!K:K,A701,'Барабан'!P:P),"")</f>
        <v/>
      </c>
      <c r="H701" s="2" t="str">
        <f>IF(A701&gt;0,SUMIF('Барабан'!V:V,A701,'Барабан'!AA:AA),"")</f>
        <v/>
      </c>
      <c r="I701" s="2" t="str">
        <f t="shared" si="4"/>
        <v/>
      </c>
      <c r="J701" s="9" t="str">
        <f t="shared" si="2"/>
        <v/>
      </c>
      <c r="K701" s="1" t="str">
        <f>IF(A701&gt;0,COUNTIF('Барабан'!K:K,A701),"")</f>
        <v/>
      </c>
      <c r="L701" s="1" t="str">
        <f>IF(A701&gt;0,COUNTIF('Барабан'!V:V,A701),"")</f>
        <v/>
      </c>
      <c r="M701" s="1" t="str">
        <f t="shared" si="3"/>
        <v/>
      </c>
      <c r="N701" s="1" t="str">
        <f>IFERROR(__xludf.DUMMYFUNCTION("IF(A701&gt;0,MIN(FILTER('Барабан'!AJ:AJ,'Барабан'!K:K=A701)),"""")"),"")</f>
        <v/>
      </c>
      <c r="O701" s="16" t="str">
        <f>IFERROR(__xludf.DUMMYFUNCTION("IF(A701&gt;0,IFERROR(MAX(FILTER('Барабан'!AJ:AJ,'Барабан'!V:V=A701)),""–""),"""")"),"")</f>
        <v/>
      </c>
    </row>
    <row r="702" ht="15.75" customHeight="1">
      <c r="A702" s="1" t="str">
        <f>'Справочник'!E697</f>
        <v/>
      </c>
      <c r="B702" s="2" t="str">
        <f>IF(A702&gt;0,SUMIF('Барабан'!K:K,A702,'Барабан'!I:I),"")</f>
        <v/>
      </c>
      <c r="C702" s="2" t="str">
        <f>IF(A702&gt;0,SUMIF('Барабан'!V:V,A702,'Барабан'!T:T),"")</f>
        <v/>
      </c>
      <c r="D702" s="2" t="str">
        <f>IF(A702&gt;0,SUMIF('Барабан'!K:K,A702,'Барабан'!AG:AG)+SUMIF('Барабан'!V:V,A702,'Барабан'!AG:AG),"")</f>
        <v/>
      </c>
      <c r="E702" s="2" t="str">
        <f t="shared" si="1"/>
        <v/>
      </c>
      <c r="F702" s="2" t="str">
        <f t="array" ref="F702">IFERROR(IF(E702=0,0,INDEX('Справочник'!G:G,MATCH(A702,'Справочник'!F:F,0))))</f>
        <v/>
      </c>
      <c r="G702" s="2" t="str">
        <f>IF(A702&gt;0,SUMIF('Барабан'!K:K,A702,'Барабан'!P:P),"")</f>
        <v/>
      </c>
      <c r="H702" s="2" t="str">
        <f>IF(A702&gt;0,SUMIF('Барабан'!V:V,A702,'Барабан'!AA:AA),"")</f>
        <v/>
      </c>
      <c r="I702" s="2" t="str">
        <f t="shared" si="4"/>
        <v/>
      </c>
      <c r="J702" s="9" t="str">
        <f t="shared" si="2"/>
        <v/>
      </c>
      <c r="K702" s="1" t="str">
        <f>IF(A702&gt;0,COUNTIF('Барабан'!K:K,A702),"")</f>
        <v/>
      </c>
      <c r="L702" s="1" t="str">
        <f>IF(A702&gt;0,COUNTIF('Барабан'!V:V,A702),"")</f>
        <v/>
      </c>
      <c r="M702" s="1" t="str">
        <f t="shared" si="3"/>
        <v/>
      </c>
      <c r="N702" s="1" t="str">
        <f>IFERROR(__xludf.DUMMYFUNCTION("IF(A702&gt;0,MIN(FILTER('Барабан'!AJ:AJ,'Барабан'!K:K=A702)),"""")"),"")</f>
        <v/>
      </c>
      <c r="O702" s="16" t="str">
        <f>IFERROR(__xludf.DUMMYFUNCTION("IF(A702&gt;0,IFERROR(MAX(FILTER('Барабан'!AJ:AJ,'Барабан'!V:V=A702)),""–""),"""")"),"")</f>
        <v/>
      </c>
    </row>
    <row r="703" ht="15.75" customHeight="1">
      <c r="A703" s="1" t="str">
        <f>'Справочник'!E698</f>
        <v/>
      </c>
      <c r="B703" s="2" t="str">
        <f>IF(A703&gt;0,SUMIF('Барабан'!K:K,A703,'Барабан'!I:I),"")</f>
        <v/>
      </c>
      <c r="C703" s="2" t="str">
        <f>IF(A703&gt;0,SUMIF('Барабан'!V:V,A703,'Барабан'!T:T),"")</f>
        <v/>
      </c>
      <c r="D703" s="2" t="str">
        <f>IF(A703&gt;0,SUMIF('Барабан'!K:K,A703,'Барабан'!AG:AG)+SUMIF('Барабан'!V:V,A703,'Барабан'!AG:AG),"")</f>
        <v/>
      </c>
      <c r="E703" s="2" t="str">
        <f t="shared" si="1"/>
        <v/>
      </c>
      <c r="F703" s="2" t="str">
        <f t="array" ref="F703">IFERROR(IF(E703=0,0,INDEX('Справочник'!G:G,MATCH(A703,'Справочник'!F:F,0))))</f>
        <v/>
      </c>
      <c r="G703" s="2" t="str">
        <f>IF(A703&gt;0,SUMIF('Барабан'!K:K,A703,'Барабан'!P:P),"")</f>
        <v/>
      </c>
      <c r="H703" s="2" t="str">
        <f>IF(A703&gt;0,SUMIF('Барабан'!V:V,A703,'Барабан'!AA:AA),"")</f>
        <v/>
      </c>
      <c r="I703" s="2" t="str">
        <f t="shared" si="4"/>
        <v/>
      </c>
      <c r="J703" s="9" t="str">
        <f t="shared" si="2"/>
        <v/>
      </c>
      <c r="K703" s="1" t="str">
        <f>IF(A703&gt;0,COUNTIF('Барабан'!K:K,A703),"")</f>
        <v/>
      </c>
      <c r="L703" s="1" t="str">
        <f>IF(A703&gt;0,COUNTIF('Барабан'!V:V,A703),"")</f>
        <v/>
      </c>
      <c r="M703" s="1" t="str">
        <f t="shared" si="3"/>
        <v/>
      </c>
      <c r="N703" s="1" t="str">
        <f>IFERROR(__xludf.DUMMYFUNCTION("IF(A703&gt;0,MIN(FILTER('Барабан'!AJ:AJ,'Барабан'!K:K=A703)),"""")"),"")</f>
        <v/>
      </c>
      <c r="O703" s="16" t="str">
        <f>IFERROR(__xludf.DUMMYFUNCTION("IF(A703&gt;0,IFERROR(MAX(FILTER('Барабан'!AJ:AJ,'Барабан'!V:V=A703)),""–""),"""")"),"")</f>
        <v/>
      </c>
    </row>
    <row r="704" ht="15.75" customHeight="1">
      <c r="A704" s="1" t="str">
        <f>'Справочник'!E699</f>
        <v/>
      </c>
      <c r="B704" s="2" t="str">
        <f>IF(A704&gt;0,SUMIF('Барабан'!K:K,A704,'Барабан'!I:I),"")</f>
        <v/>
      </c>
      <c r="C704" s="2" t="str">
        <f>IF(A704&gt;0,SUMIF('Барабан'!V:V,A704,'Барабан'!T:T),"")</f>
        <v/>
      </c>
      <c r="D704" s="2" t="str">
        <f>IF(A704&gt;0,SUMIF('Барабан'!K:K,A704,'Барабан'!AG:AG)+SUMIF('Барабан'!V:V,A704,'Барабан'!AG:AG),"")</f>
        <v/>
      </c>
      <c r="E704" s="2" t="str">
        <f t="shared" si="1"/>
        <v/>
      </c>
      <c r="F704" s="2" t="str">
        <f t="array" ref="F704">IFERROR(IF(E704=0,0,INDEX('Справочник'!G:G,MATCH(A704,'Справочник'!F:F,0))))</f>
        <v/>
      </c>
      <c r="G704" s="2" t="str">
        <f>IF(A704&gt;0,SUMIF('Барабан'!K:K,A704,'Барабан'!P:P),"")</f>
        <v/>
      </c>
      <c r="H704" s="2" t="str">
        <f>IF(A704&gt;0,SUMIF('Барабан'!V:V,A704,'Барабан'!AA:AA),"")</f>
        <v/>
      </c>
      <c r="I704" s="2" t="str">
        <f t="shared" si="4"/>
        <v/>
      </c>
      <c r="J704" s="9" t="str">
        <f t="shared" si="2"/>
        <v/>
      </c>
      <c r="K704" s="1" t="str">
        <f>IF(A704&gt;0,COUNTIF('Барабан'!K:K,A704),"")</f>
        <v/>
      </c>
      <c r="L704" s="1" t="str">
        <f>IF(A704&gt;0,COUNTIF('Барабан'!V:V,A704),"")</f>
        <v/>
      </c>
      <c r="M704" s="1" t="str">
        <f t="shared" si="3"/>
        <v/>
      </c>
      <c r="N704" s="1" t="str">
        <f>IFERROR(__xludf.DUMMYFUNCTION("IF(A704&gt;0,MIN(FILTER('Барабан'!AJ:AJ,'Барабан'!K:K=A704)),"""")"),"")</f>
        <v/>
      </c>
      <c r="O704" s="16" t="str">
        <f>IFERROR(__xludf.DUMMYFUNCTION("IF(A704&gt;0,IFERROR(MAX(FILTER('Барабан'!AJ:AJ,'Барабан'!V:V=A704)),""–""),"""")"),"")</f>
        <v/>
      </c>
    </row>
    <row r="705" ht="15.75" customHeight="1">
      <c r="A705" s="1" t="str">
        <f>'Справочник'!E700</f>
        <v/>
      </c>
      <c r="B705" s="2" t="str">
        <f>IF(A705&gt;0,SUMIF('Барабан'!K:K,A705,'Барабан'!I:I),"")</f>
        <v/>
      </c>
      <c r="C705" s="2" t="str">
        <f>IF(A705&gt;0,SUMIF('Барабан'!V:V,A705,'Барабан'!T:T),"")</f>
        <v/>
      </c>
      <c r="D705" s="2" t="str">
        <f>IF(A705&gt;0,SUMIF('Барабан'!K:K,A705,'Барабан'!AG:AG)+SUMIF('Барабан'!V:V,A705,'Барабан'!AG:AG),"")</f>
        <v/>
      </c>
      <c r="E705" s="2" t="str">
        <f t="shared" si="1"/>
        <v/>
      </c>
      <c r="F705" s="2" t="str">
        <f t="array" ref="F705">IFERROR(IF(E705=0,0,INDEX('Справочник'!G:G,MATCH(A705,'Справочник'!F:F,0))))</f>
        <v/>
      </c>
      <c r="G705" s="2" t="str">
        <f>IF(A705&gt;0,SUMIF('Барабан'!K:K,A705,'Барабан'!P:P),"")</f>
        <v/>
      </c>
      <c r="H705" s="2" t="str">
        <f>IF(A705&gt;0,SUMIF('Барабан'!V:V,A705,'Барабан'!AA:AA),"")</f>
        <v/>
      </c>
      <c r="I705" s="2" t="str">
        <f t="shared" si="4"/>
        <v/>
      </c>
      <c r="J705" s="9" t="str">
        <f t="shared" si="2"/>
        <v/>
      </c>
      <c r="K705" s="1" t="str">
        <f>IF(A705&gt;0,COUNTIF('Барабан'!K:K,A705),"")</f>
        <v/>
      </c>
      <c r="L705" s="1" t="str">
        <f>IF(A705&gt;0,COUNTIF('Барабан'!V:V,A705),"")</f>
        <v/>
      </c>
      <c r="M705" s="1" t="str">
        <f t="shared" si="3"/>
        <v/>
      </c>
      <c r="N705" s="1" t="str">
        <f>IFERROR(__xludf.DUMMYFUNCTION("IF(A705&gt;0,MIN(FILTER('Барабан'!AJ:AJ,'Барабан'!K:K=A705)),"""")"),"")</f>
        <v/>
      </c>
      <c r="O705" s="16" t="str">
        <f>IFERROR(__xludf.DUMMYFUNCTION("IF(A705&gt;0,IFERROR(MAX(FILTER('Барабан'!AJ:AJ,'Барабан'!V:V=A705)),""–""),"""")"),"")</f>
        <v/>
      </c>
    </row>
    <row r="706" ht="15.75" customHeight="1">
      <c r="A706" s="1" t="str">
        <f>'Справочник'!E701</f>
        <v/>
      </c>
      <c r="B706" s="2" t="str">
        <f>IF(A706&gt;0,SUMIF('Барабан'!K:K,A706,'Барабан'!I:I),"")</f>
        <v/>
      </c>
      <c r="C706" s="2" t="str">
        <f>IF(A706&gt;0,SUMIF('Барабан'!V:V,A706,'Барабан'!T:T),"")</f>
        <v/>
      </c>
      <c r="D706" s="2" t="str">
        <f>IF(A706&gt;0,SUMIF('Барабан'!K:K,A706,'Барабан'!AG:AG)+SUMIF('Барабан'!V:V,A706,'Барабан'!AG:AG),"")</f>
        <v/>
      </c>
      <c r="E706" s="2" t="str">
        <f t="shared" si="1"/>
        <v/>
      </c>
      <c r="F706" s="2" t="str">
        <f t="array" ref="F706">IFERROR(IF(E706=0,0,INDEX('Справочник'!G:G,MATCH(A706,'Справочник'!F:F,0))))</f>
        <v/>
      </c>
      <c r="G706" s="2" t="str">
        <f>IF(A706&gt;0,SUMIF('Барабан'!K:K,A706,'Барабан'!P:P),"")</f>
        <v/>
      </c>
      <c r="H706" s="2" t="str">
        <f>IF(A706&gt;0,SUMIF('Барабан'!V:V,A706,'Барабан'!AA:AA),"")</f>
        <v/>
      </c>
      <c r="I706" s="2" t="str">
        <f t="shared" si="4"/>
        <v/>
      </c>
      <c r="J706" s="9" t="str">
        <f t="shared" si="2"/>
        <v/>
      </c>
      <c r="K706" s="1" t="str">
        <f>IF(A706&gt;0,COUNTIF('Барабан'!K:K,A706),"")</f>
        <v/>
      </c>
      <c r="L706" s="1" t="str">
        <f>IF(A706&gt;0,COUNTIF('Барабан'!V:V,A706),"")</f>
        <v/>
      </c>
      <c r="M706" s="1" t="str">
        <f t="shared" si="3"/>
        <v/>
      </c>
      <c r="N706" s="1" t="str">
        <f>IFERROR(__xludf.DUMMYFUNCTION("IF(A706&gt;0,MIN(FILTER('Барабан'!AJ:AJ,'Барабан'!K:K=A706)),"""")"),"")</f>
        <v/>
      </c>
      <c r="O706" s="16" t="str">
        <f>IFERROR(__xludf.DUMMYFUNCTION("IF(A706&gt;0,IFERROR(MAX(FILTER('Барабан'!AJ:AJ,'Барабан'!V:V=A706)),""–""),"""")"),"")</f>
        <v/>
      </c>
    </row>
    <row r="707" ht="15.75" customHeight="1">
      <c r="A707" s="1" t="str">
        <f>'Справочник'!E702</f>
        <v/>
      </c>
      <c r="B707" s="2" t="str">
        <f>IF(A707&gt;0,SUMIF('Барабан'!K:K,A707,'Барабан'!I:I),"")</f>
        <v/>
      </c>
      <c r="C707" s="2" t="str">
        <f>IF(A707&gt;0,SUMIF('Барабан'!V:V,A707,'Барабан'!T:T),"")</f>
        <v/>
      </c>
      <c r="D707" s="2" t="str">
        <f>IF(A707&gt;0,SUMIF('Барабан'!K:K,A707,'Барабан'!AG:AG)+SUMIF('Барабан'!V:V,A707,'Барабан'!AG:AG),"")</f>
        <v/>
      </c>
      <c r="E707" s="2" t="str">
        <f t="shared" si="1"/>
        <v/>
      </c>
      <c r="F707" s="2" t="str">
        <f t="array" ref="F707">IFERROR(IF(E707=0,0,INDEX('Справочник'!G:G,MATCH(A707,'Справочник'!F:F,0))))</f>
        <v/>
      </c>
      <c r="G707" s="2" t="str">
        <f>IF(A707&gt;0,SUMIF('Барабан'!K:K,A707,'Барабан'!P:P),"")</f>
        <v/>
      </c>
      <c r="H707" s="2" t="str">
        <f>IF(A707&gt;0,SUMIF('Барабан'!V:V,A707,'Барабан'!AA:AA),"")</f>
        <v/>
      </c>
      <c r="I707" s="2" t="str">
        <f t="shared" si="4"/>
        <v/>
      </c>
      <c r="J707" s="9" t="str">
        <f t="shared" si="2"/>
        <v/>
      </c>
      <c r="K707" s="1" t="str">
        <f>IF(A707&gt;0,COUNTIF('Барабан'!K:K,A707),"")</f>
        <v/>
      </c>
      <c r="L707" s="1" t="str">
        <f>IF(A707&gt;0,COUNTIF('Барабан'!V:V,A707),"")</f>
        <v/>
      </c>
      <c r="M707" s="1" t="str">
        <f t="shared" si="3"/>
        <v/>
      </c>
      <c r="N707" s="1" t="str">
        <f>IFERROR(__xludf.DUMMYFUNCTION("IF(A707&gt;0,MIN(FILTER('Барабан'!AJ:AJ,'Барабан'!K:K=A707)),"""")"),"")</f>
        <v/>
      </c>
      <c r="O707" s="16" t="str">
        <f>IFERROR(__xludf.DUMMYFUNCTION("IF(A707&gt;0,IFERROR(MAX(FILTER('Барабан'!AJ:AJ,'Барабан'!V:V=A707)),""–""),"""")"),"")</f>
        <v/>
      </c>
    </row>
    <row r="708" ht="15.75" customHeight="1">
      <c r="A708" s="1" t="str">
        <f>'Справочник'!E703</f>
        <v/>
      </c>
      <c r="B708" s="2" t="str">
        <f>IF(A708&gt;0,SUMIF('Барабан'!K:K,A708,'Барабан'!I:I),"")</f>
        <v/>
      </c>
      <c r="C708" s="2" t="str">
        <f>IF(A708&gt;0,SUMIF('Барабан'!V:V,A708,'Барабан'!T:T),"")</f>
        <v/>
      </c>
      <c r="D708" s="2" t="str">
        <f>IF(A708&gt;0,SUMIF('Барабан'!K:K,A708,'Барабан'!AG:AG)+SUMIF('Барабан'!V:V,A708,'Барабан'!AG:AG),"")</f>
        <v/>
      </c>
      <c r="E708" s="2" t="str">
        <f t="shared" si="1"/>
        <v/>
      </c>
      <c r="F708" s="2" t="str">
        <f t="array" ref="F708">IFERROR(IF(E708=0,0,INDEX('Справочник'!G:G,MATCH(A708,'Справочник'!F:F,0))))</f>
        <v/>
      </c>
      <c r="G708" s="2" t="str">
        <f>IF(A708&gt;0,SUMIF('Барабан'!K:K,A708,'Барабан'!P:P),"")</f>
        <v/>
      </c>
      <c r="H708" s="2" t="str">
        <f>IF(A708&gt;0,SUMIF('Барабан'!V:V,A708,'Барабан'!AA:AA),"")</f>
        <v/>
      </c>
      <c r="I708" s="2" t="str">
        <f t="shared" si="4"/>
        <v/>
      </c>
      <c r="J708" s="9" t="str">
        <f t="shared" si="2"/>
        <v/>
      </c>
      <c r="K708" s="1" t="str">
        <f>IF(A708&gt;0,COUNTIF('Барабан'!K:K,A708),"")</f>
        <v/>
      </c>
      <c r="L708" s="1" t="str">
        <f>IF(A708&gt;0,COUNTIF('Барабан'!V:V,A708),"")</f>
        <v/>
      </c>
      <c r="M708" s="1" t="str">
        <f t="shared" si="3"/>
        <v/>
      </c>
      <c r="N708" s="1" t="str">
        <f>IFERROR(__xludf.DUMMYFUNCTION("IF(A708&gt;0,MIN(FILTER('Барабан'!AJ:AJ,'Барабан'!K:K=A708)),"""")"),"")</f>
        <v/>
      </c>
      <c r="O708" s="16" t="str">
        <f>IFERROR(__xludf.DUMMYFUNCTION("IF(A708&gt;0,IFERROR(MAX(FILTER('Барабан'!AJ:AJ,'Барабан'!V:V=A708)),""–""),"""")"),"")</f>
        <v/>
      </c>
    </row>
    <row r="709" ht="15.75" customHeight="1">
      <c r="A709" s="1" t="str">
        <f>'Справочник'!E704</f>
        <v/>
      </c>
      <c r="B709" s="2" t="str">
        <f>IF(A709&gt;0,SUMIF('Барабан'!K:K,A709,'Барабан'!I:I),"")</f>
        <v/>
      </c>
      <c r="C709" s="2" t="str">
        <f>IF(A709&gt;0,SUMIF('Барабан'!V:V,A709,'Барабан'!T:T),"")</f>
        <v/>
      </c>
      <c r="D709" s="2" t="str">
        <f>IF(A709&gt;0,SUMIF('Барабан'!K:K,A709,'Барабан'!AG:AG)+SUMIF('Барабан'!V:V,A709,'Барабан'!AG:AG),"")</f>
        <v/>
      </c>
      <c r="E709" s="2" t="str">
        <f t="shared" si="1"/>
        <v/>
      </c>
      <c r="F709" s="2" t="str">
        <f t="array" ref="F709">IFERROR(IF(E709=0,0,INDEX('Справочник'!G:G,MATCH(A709,'Справочник'!F:F,0))))</f>
        <v/>
      </c>
      <c r="G709" s="2" t="str">
        <f>IF(A709&gt;0,SUMIF('Барабан'!K:K,A709,'Барабан'!P:P),"")</f>
        <v/>
      </c>
      <c r="H709" s="2" t="str">
        <f>IF(A709&gt;0,SUMIF('Барабан'!V:V,A709,'Барабан'!AA:AA),"")</f>
        <v/>
      </c>
      <c r="I709" s="2" t="str">
        <f t="shared" si="4"/>
        <v/>
      </c>
      <c r="J709" s="9" t="str">
        <f t="shared" si="2"/>
        <v/>
      </c>
      <c r="K709" s="1" t="str">
        <f>IF(A709&gt;0,COUNTIF('Барабан'!K:K,A709),"")</f>
        <v/>
      </c>
      <c r="L709" s="1" t="str">
        <f>IF(A709&gt;0,COUNTIF('Барабан'!V:V,A709),"")</f>
        <v/>
      </c>
      <c r="M709" s="1" t="str">
        <f t="shared" si="3"/>
        <v/>
      </c>
      <c r="N709" s="1" t="str">
        <f>IFERROR(__xludf.DUMMYFUNCTION("IF(A709&gt;0,MIN(FILTER('Барабан'!AJ:AJ,'Барабан'!K:K=A709)),"""")"),"")</f>
        <v/>
      </c>
      <c r="O709" s="16" t="str">
        <f>IFERROR(__xludf.DUMMYFUNCTION("IF(A709&gt;0,IFERROR(MAX(FILTER('Барабан'!AJ:AJ,'Барабан'!V:V=A709)),""–""),"""")"),"")</f>
        <v/>
      </c>
    </row>
    <row r="710" ht="15.75" customHeight="1">
      <c r="A710" s="1" t="str">
        <f>'Справочник'!E705</f>
        <v/>
      </c>
      <c r="B710" s="2" t="str">
        <f>IF(A710&gt;0,SUMIF('Барабан'!K:K,A710,'Барабан'!I:I),"")</f>
        <v/>
      </c>
      <c r="C710" s="2" t="str">
        <f>IF(A710&gt;0,SUMIF('Барабан'!V:V,A710,'Барабан'!T:T),"")</f>
        <v/>
      </c>
      <c r="D710" s="2" t="str">
        <f>IF(A710&gt;0,SUMIF('Барабан'!K:K,A710,'Барабан'!AG:AG)+SUMIF('Барабан'!V:V,A710,'Барабан'!AG:AG),"")</f>
        <v/>
      </c>
      <c r="E710" s="2" t="str">
        <f t="shared" si="1"/>
        <v/>
      </c>
      <c r="F710" s="2" t="str">
        <f t="array" ref="F710">IFERROR(IF(E710=0,0,INDEX('Справочник'!G:G,MATCH(A710,'Справочник'!F:F,0))))</f>
        <v/>
      </c>
      <c r="G710" s="2" t="str">
        <f>IF(A710&gt;0,SUMIF('Барабан'!K:K,A710,'Барабан'!P:P),"")</f>
        <v/>
      </c>
      <c r="H710" s="2" t="str">
        <f>IF(A710&gt;0,SUMIF('Барабан'!V:V,A710,'Барабан'!AA:AA),"")</f>
        <v/>
      </c>
      <c r="I710" s="2" t="str">
        <f t="shared" si="4"/>
        <v/>
      </c>
      <c r="J710" s="9" t="str">
        <f t="shared" si="2"/>
        <v/>
      </c>
      <c r="K710" s="1" t="str">
        <f>IF(A710&gt;0,COUNTIF('Барабан'!K:K,A710),"")</f>
        <v/>
      </c>
      <c r="L710" s="1" t="str">
        <f>IF(A710&gt;0,COUNTIF('Барабан'!V:V,A710),"")</f>
        <v/>
      </c>
      <c r="M710" s="1" t="str">
        <f t="shared" si="3"/>
        <v/>
      </c>
      <c r="N710" s="1" t="str">
        <f>IFERROR(__xludf.DUMMYFUNCTION("IF(A710&gt;0,MIN(FILTER('Барабан'!AJ:AJ,'Барабан'!K:K=A710)),"""")"),"")</f>
        <v/>
      </c>
      <c r="O710" s="16" t="str">
        <f>IFERROR(__xludf.DUMMYFUNCTION("IF(A710&gt;0,IFERROR(MAX(FILTER('Барабан'!AJ:AJ,'Барабан'!V:V=A710)),""–""),"""")"),"")</f>
        <v/>
      </c>
    </row>
    <row r="711" ht="15.75" customHeight="1">
      <c r="A711" s="1" t="str">
        <f>'Справочник'!E706</f>
        <v/>
      </c>
      <c r="B711" s="2" t="str">
        <f>IF(A711&gt;0,SUMIF('Барабан'!K:K,A711,'Барабан'!I:I),"")</f>
        <v/>
      </c>
      <c r="C711" s="2" t="str">
        <f>IF(A711&gt;0,SUMIF('Барабан'!V:V,A711,'Барабан'!T:T),"")</f>
        <v/>
      </c>
      <c r="D711" s="2" t="str">
        <f>IF(A711&gt;0,SUMIF('Барабан'!K:K,A711,'Барабан'!AG:AG)+SUMIF('Барабан'!V:V,A711,'Барабан'!AG:AG),"")</f>
        <v/>
      </c>
      <c r="E711" s="2" t="str">
        <f t="shared" si="1"/>
        <v/>
      </c>
      <c r="F711" s="2" t="str">
        <f t="array" ref="F711">IFERROR(IF(E711=0,0,INDEX('Справочник'!G:G,MATCH(A711,'Справочник'!F:F,0))))</f>
        <v/>
      </c>
      <c r="G711" s="2" t="str">
        <f>IF(A711&gt;0,SUMIF('Барабан'!K:K,A711,'Барабан'!P:P),"")</f>
        <v/>
      </c>
      <c r="H711" s="2" t="str">
        <f>IF(A711&gt;0,SUMIF('Барабан'!V:V,A711,'Барабан'!AA:AA),"")</f>
        <v/>
      </c>
      <c r="I711" s="2" t="str">
        <f t="shared" si="4"/>
        <v/>
      </c>
      <c r="J711" s="9" t="str">
        <f t="shared" si="2"/>
        <v/>
      </c>
      <c r="K711" s="1" t="str">
        <f>IF(A711&gt;0,COUNTIF('Барабан'!K:K,A711),"")</f>
        <v/>
      </c>
      <c r="L711" s="1" t="str">
        <f>IF(A711&gt;0,COUNTIF('Барабан'!V:V,A711),"")</f>
        <v/>
      </c>
      <c r="M711" s="1" t="str">
        <f t="shared" si="3"/>
        <v/>
      </c>
      <c r="N711" s="1" t="str">
        <f>IFERROR(__xludf.DUMMYFUNCTION("IF(A711&gt;0,MIN(FILTER('Барабан'!AJ:AJ,'Барабан'!K:K=A711)),"""")"),"")</f>
        <v/>
      </c>
      <c r="O711" s="16" t="str">
        <f>IFERROR(__xludf.DUMMYFUNCTION("IF(A711&gt;0,IFERROR(MAX(FILTER('Барабан'!AJ:AJ,'Барабан'!V:V=A711)),""–""),"""")"),"")</f>
        <v/>
      </c>
    </row>
    <row r="712" ht="15.75" customHeight="1">
      <c r="A712" s="1" t="str">
        <f>'Справочник'!E707</f>
        <v/>
      </c>
      <c r="B712" s="2" t="str">
        <f>IF(A712&gt;0,SUMIF('Барабан'!K:K,A712,'Барабан'!I:I),"")</f>
        <v/>
      </c>
      <c r="C712" s="2" t="str">
        <f>IF(A712&gt;0,SUMIF('Барабан'!V:V,A712,'Барабан'!T:T),"")</f>
        <v/>
      </c>
      <c r="D712" s="2" t="str">
        <f>IF(A712&gt;0,SUMIF('Барабан'!K:K,A712,'Барабан'!AG:AG)+SUMIF('Барабан'!V:V,A712,'Барабан'!AG:AG),"")</f>
        <v/>
      </c>
      <c r="E712" s="2" t="str">
        <f t="shared" si="1"/>
        <v/>
      </c>
      <c r="F712" s="2" t="str">
        <f t="array" ref="F712">IFERROR(IF(E712=0,0,INDEX('Справочник'!G:G,MATCH(A712,'Справочник'!F:F,0))))</f>
        <v/>
      </c>
      <c r="G712" s="2" t="str">
        <f>IF(A712&gt;0,SUMIF('Барабан'!K:K,A712,'Барабан'!P:P),"")</f>
        <v/>
      </c>
      <c r="H712" s="2" t="str">
        <f>IF(A712&gt;0,SUMIF('Барабан'!V:V,A712,'Барабан'!AA:AA),"")</f>
        <v/>
      </c>
      <c r="I712" s="2" t="str">
        <f t="shared" si="4"/>
        <v/>
      </c>
      <c r="J712" s="9" t="str">
        <f t="shared" si="2"/>
        <v/>
      </c>
      <c r="K712" s="1" t="str">
        <f>IF(A712&gt;0,COUNTIF('Барабан'!K:K,A712),"")</f>
        <v/>
      </c>
      <c r="L712" s="1" t="str">
        <f>IF(A712&gt;0,COUNTIF('Барабан'!V:V,A712),"")</f>
        <v/>
      </c>
      <c r="M712" s="1" t="str">
        <f t="shared" si="3"/>
        <v/>
      </c>
      <c r="N712" s="1" t="str">
        <f>IFERROR(__xludf.DUMMYFUNCTION("IF(A712&gt;0,MIN(FILTER('Барабан'!AJ:AJ,'Барабан'!K:K=A712)),"""")"),"")</f>
        <v/>
      </c>
      <c r="O712" s="16" t="str">
        <f>IFERROR(__xludf.DUMMYFUNCTION("IF(A712&gt;0,IFERROR(MAX(FILTER('Барабан'!AJ:AJ,'Барабан'!V:V=A712)),""–""),"""")"),"")</f>
        <v/>
      </c>
    </row>
    <row r="713" ht="15.75" customHeight="1">
      <c r="A713" s="1" t="str">
        <f>'Справочник'!E708</f>
        <v/>
      </c>
      <c r="B713" s="2" t="str">
        <f>IF(A713&gt;0,SUMIF('Барабан'!K:K,A713,'Барабан'!I:I),"")</f>
        <v/>
      </c>
      <c r="C713" s="2" t="str">
        <f>IF(A713&gt;0,SUMIF('Барабан'!V:V,A713,'Барабан'!T:T),"")</f>
        <v/>
      </c>
      <c r="D713" s="2" t="str">
        <f>IF(A713&gt;0,SUMIF('Барабан'!K:K,A713,'Барабан'!AG:AG)+SUMIF('Барабан'!V:V,A713,'Барабан'!AG:AG),"")</f>
        <v/>
      </c>
      <c r="E713" s="2" t="str">
        <f t="shared" si="1"/>
        <v/>
      </c>
      <c r="F713" s="2" t="str">
        <f t="array" ref="F713">IFERROR(IF(E713=0,0,INDEX('Справочник'!G:G,MATCH(A713,'Справочник'!F:F,0))))</f>
        <v/>
      </c>
      <c r="G713" s="2" t="str">
        <f>IF(A713&gt;0,SUMIF('Барабан'!K:K,A713,'Барабан'!P:P),"")</f>
        <v/>
      </c>
      <c r="H713" s="2" t="str">
        <f>IF(A713&gt;0,SUMIF('Барабан'!V:V,A713,'Барабан'!AA:AA),"")</f>
        <v/>
      </c>
      <c r="I713" s="2" t="str">
        <f t="shared" si="4"/>
        <v/>
      </c>
      <c r="J713" s="9" t="str">
        <f t="shared" si="2"/>
        <v/>
      </c>
      <c r="K713" s="1" t="str">
        <f>IF(A713&gt;0,COUNTIF('Барабан'!K:K,A713),"")</f>
        <v/>
      </c>
      <c r="L713" s="1" t="str">
        <f>IF(A713&gt;0,COUNTIF('Барабан'!V:V,A713),"")</f>
        <v/>
      </c>
      <c r="M713" s="1" t="str">
        <f t="shared" si="3"/>
        <v/>
      </c>
      <c r="N713" s="1" t="str">
        <f>IFERROR(__xludf.DUMMYFUNCTION("IF(A713&gt;0,MIN(FILTER('Барабан'!AJ:AJ,'Барабан'!K:K=A713)),"""")"),"")</f>
        <v/>
      </c>
      <c r="O713" s="16" t="str">
        <f>IFERROR(__xludf.DUMMYFUNCTION("IF(A713&gt;0,IFERROR(MAX(FILTER('Барабан'!AJ:AJ,'Барабан'!V:V=A713)),""–""),"""")"),"")</f>
        <v/>
      </c>
    </row>
    <row r="714" ht="15.75" customHeight="1">
      <c r="A714" s="1" t="str">
        <f>'Справочник'!E709</f>
        <v/>
      </c>
      <c r="B714" s="2" t="str">
        <f>IF(A714&gt;0,SUMIF('Барабан'!K:K,A714,'Барабан'!I:I),"")</f>
        <v/>
      </c>
      <c r="C714" s="2" t="str">
        <f>IF(A714&gt;0,SUMIF('Барабан'!V:V,A714,'Барабан'!T:T),"")</f>
        <v/>
      </c>
      <c r="D714" s="2" t="str">
        <f>IF(A714&gt;0,SUMIF('Барабан'!K:K,A714,'Барабан'!AG:AG)+SUMIF('Барабан'!V:V,A714,'Барабан'!AG:AG),"")</f>
        <v/>
      </c>
      <c r="E714" s="2" t="str">
        <f t="shared" si="1"/>
        <v/>
      </c>
      <c r="F714" s="2" t="str">
        <f t="array" ref="F714">IFERROR(IF(E714=0,0,INDEX('Справочник'!G:G,MATCH(A714,'Справочник'!F:F,0))))</f>
        <v/>
      </c>
      <c r="G714" s="2" t="str">
        <f>IF(A714&gt;0,SUMIF('Барабан'!K:K,A714,'Барабан'!P:P),"")</f>
        <v/>
      </c>
      <c r="H714" s="2" t="str">
        <f>IF(A714&gt;0,SUMIF('Барабан'!V:V,A714,'Барабан'!AA:AA),"")</f>
        <v/>
      </c>
      <c r="I714" s="2" t="str">
        <f t="shared" si="4"/>
        <v/>
      </c>
      <c r="J714" s="9" t="str">
        <f t="shared" si="2"/>
        <v/>
      </c>
      <c r="K714" s="1" t="str">
        <f>IF(A714&gt;0,COUNTIF('Барабан'!K:K,A714),"")</f>
        <v/>
      </c>
      <c r="L714" s="1" t="str">
        <f>IF(A714&gt;0,COUNTIF('Барабан'!V:V,A714),"")</f>
        <v/>
      </c>
      <c r="M714" s="1" t="str">
        <f t="shared" si="3"/>
        <v/>
      </c>
      <c r="N714" s="1" t="str">
        <f>IFERROR(__xludf.DUMMYFUNCTION("IF(A714&gt;0,MIN(FILTER('Барабан'!AJ:AJ,'Барабан'!K:K=A714)),"""")"),"")</f>
        <v/>
      </c>
      <c r="O714" s="16" t="str">
        <f>IFERROR(__xludf.DUMMYFUNCTION("IF(A714&gt;0,IFERROR(MAX(FILTER('Барабан'!AJ:AJ,'Барабан'!V:V=A714)),""–""),"""")"),"")</f>
        <v/>
      </c>
    </row>
    <row r="715" ht="15.75" customHeight="1">
      <c r="A715" s="1" t="str">
        <f>'Справочник'!E710</f>
        <v/>
      </c>
      <c r="B715" s="2" t="str">
        <f>IF(A715&gt;0,SUMIF('Барабан'!K:K,A715,'Барабан'!I:I),"")</f>
        <v/>
      </c>
      <c r="C715" s="2" t="str">
        <f>IF(A715&gt;0,SUMIF('Барабан'!V:V,A715,'Барабан'!T:T),"")</f>
        <v/>
      </c>
      <c r="D715" s="2" t="str">
        <f>IF(A715&gt;0,SUMIF('Барабан'!K:K,A715,'Барабан'!AG:AG)+SUMIF('Барабан'!V:V,A715,'Барабан'!AG:AG),"")</f>
        <v/>
      </c>
      <c r="E715" s="2" t="str">
        <f t="shared" si="1"/>
        <v/>
      </c>
      <c r="F715" s="2" t="str">
        <f t="array" ref="F715">IFERROR(IF(E715=0,0,INDEX('Справочник'!G:G,MATCH(A715,'Справочник'!F:F,0))))</f>
        <v/>
      </c>
      <c r="G715" s="2" t="str">
        <f>IF(A715&gt;0,SUMIF('Барабан'!K:K,A715,'Барабан'!P:P),"")</f>
        <v/>
      </c>
      <c r="H715" s="2" t="str">
        <f>IF(A715&gt;0,SUMIF('Барабан'!V:V,A715,'Барабан'!AA:AA),"")</f>
        <v/>
      </c>
      <c r="I715" s="2" t="str">
        <f t="shared" si="4"/>
        <v/>
      </c>
      <c r="J715" s="9" t="str">
        <f t="shared" si="2"/>
        <v/>
      </c>
      <c r="K715" s="1" t="str">
        <f>IF(A715&gt;0,COUNTIF('Барабан'!K:K,A715),"")</f>
        <v/>
      </c>
      <c r="L715" s="1" t="str">
        <f>IF(A715&gt;0,COUNTIF('Барабан'!V:V,A715),"")</f>
        <v/>
      </c>
      <c r="M715" s="1" t="str">
        <f t="shared" si="3"/>
        <v/>
      </c>
      <c r="N715" s="1" t="str">
        <f>IFERROR(__xludf.DUMMYFUNCTION("IF(A715&gt;0,MIN(FILTER('Барабан'!AJ:AJ,'Барабан'!K:K=A715)),"""")"),"")</f>
        <v/>
      </c>
      <c r="O715" s="16" t="str">
        <f>IFERROR(__xludf.DUMMYFUNCTION("IF(A715&gt;0,IFERROR(MAX(FILTER('Барабан'!AJ:AJ,'Барабан'!V:V=A715)),""–""),"""")"),"")</f>
        <v/>
      </c>
    </row>
    <row r="716" ht="15.75" customHeight="1">
      <c r="A716" s="1" t="str">
        <f>'Справочник'!E711</f>
        <v/>
      </c>
      <c r="B716" s="2" t="str">
        <f>IF(A716&gt;0,SUMIF('Барабан'!K:K,A716,'Барабан'!I:I),"")</f>
        <v/>
      </c>
      <c r="C716" s="2" t="str">
        <f>IF(A716&gt;0,SUMIF('Барабан'!V:V,A716,'Барабан'!T:T),"")</f>
        <v/>
      </c>
      <c r="D716" s="2" t="str">
        <f>IF(A716&gt;0,SUMIF('Барабан'!K:K,A716,'Барабан'!AG:AG)+SUMIF('Барабан'!V:V,A716,'Барабан'!AG:AG),"")</f>
        <v/>
      </c>
      <c r="E716" s="2" t="str">
        <f t="shared" si="1"/>
        <v/>
      </c>
      <c r="F716" s="2" t="str">
        <f t="array" ref="F716">IFERROR(IF(E716=0,0,INDEX('Справочник'!G:G,MATCH(A716,'Справочник'!F:F,0))))</f>
        <v/>
      </c>
      <c r="G716" s="2" t="str">
        <f>IF(A716&gt;0,SUMIF('Барабан'!K:K,A716,'Барабан'!P:P),"")</f>
        <v/>
      </c>
      <c r="H716" s="2" t="str">
        <f>IF(A716&gt;0,SUMIF('Барабан'!V:V,A716,'Барабан'!AA:AA),"")</f>
        <v/>
      </c>
      <c r="I716" s="2" t="str">
        <f t="shared" si="4"/>
        <v/>
      </c>
      <c r="J716" s="9" t="str">
        <f t="shared" si="2"/>
        <v/>
      </c>
      <c r="K716" s="1" t="str">
        <f>IF(A716&gt;0,COUNTIF('Барабан'!K:K,A716),"")</f>
        <v/>
      </c>
      <c r="L716" s="1" t="str">
        <f>IF(A716&gt;0,COUNTIF('Барабан'!V:V,A716),"")</f>
        <v/>
      </c>
      <c r="M716" s="1" t="str">
        <f t="shared" si="3"/>
        <v/>
      </c>
      <c r="N716" s="1" t="str">
        <f>IFERROR(__xludf.DUMMYFUNCTION("IF(A716&gt;0,MIN(FILTER('Барабан'!AJ:AJ,'Барабан'!K:K=A716)),"""")"),"")</f>
        <v/>
      </c>
      <c r="O716" s="16" t="str">
        <f>IFERROR(__xludf.DUMMYFUNCTION("IF(A716&gt;0,IFERROR(MAX(FILTER('Барабан'!AJ:AJ,'Барабан'!V:V=A716)),""–""),"""")"),"")</f>
        <v/>
      </c>
    </row>
    <row r="717" ht="15.75" customHeight="1">
      <c r="A717" s="1" t="str">
        <f>'Справочник'!E712</f>
        <v/>
      </c>
      <c r="B717" s="2" t="str">
        <f>IF(A717&gt;0,SUMIF('Барабан'!K:K,A717,'Барабан'!I:I),"")</f>
        <v/>
      </c>
      <c r="C717" s="2" t="str">
        <f>IF(A717&gt;0,SUMIF('Барабан'!V:V,A717,'Барабан'!T:T),"")</f>
        <v/>
      </c>
      <c r="D717" s="2" t="str">
        <f>IF(A717&gt;0,SUMIF('Барабан'!K:K,A717,'Барабан'!AG:AG)+SUMIF('Барабан'!V:V,A717,'Барабан'!AG:AG),"")</f>
        <v/>
      </c>
      <c r="E717" s="2" t="str">
        <f t="shared" si="1"/>
        <v/>
      </c>
      <c r="F717" s="2" t="str">
        <f t="array" ref="F717">IFERROR(IF(E717=0,0,INDEX('Справочник'!G:G,MATCH(A717,'Справочник'!F:F,0))))</f>
        <v/>
      </c>
      <c r="G717" s="2" t="str">
        <f>IF(A717&gt;0,SUMIF('Барабан'!K:K,A717,'Барабан'!P:P),"")</f>
        <v/>
      </c>
      <c r="H717" s="2" t="str">
        <f>IF(A717&gt;0,SUMIF('Барабан'!V:V,A717,'Барабан'!AA:AA),"")</f>
        <v/>
      </c>
      <c r="I717" s="2" t="str">
        <f t="shared" si="4"/>
        <v/>
      </c>
      <c r="J717" s="9" t="str">
        <f t="shared" si="2"/>
        <v/>
      </c>
      <c r="K717" s="1" t="str">
        <f>IF(A717&gt;0,COUNTIF('Барабан'!K:K,A717),"")</f>
        <v/>
      </c>
      <c r="L717" s="1" t="str">
        <f>IF(A717&gt;0,COUNTIF('Барабан'!V:V,A717),"")</f>
        <v/>
      </c>
      <c r="M717" s="1" t="str">
        <f t="shared" si="3"/>
        <v/>
      </c>
      <c r="N717" s="1" t="str">
        <f>IFERROR(__xludf.DUMMYFUNCTION("IF(A717&gt;0,MIN(FILTER('Барабан'!AJ:AJ,'Барабан'!K:K=A717)),"""")"),"")</f>
        <v/>
      </c>
      <c r="O717" s="16" t="str">
        <f>IFERROR(__xludf.DUMMYFUNCTION("IF(A717&gt;0,IFERROR(MAX(FILTER('Барабан'!AJ:AJ,'Барабан'!V:V=A717)),""–""),"""")"),"")</f>
        <v/>
      </c>
    </row>
    <row r="718" ht="15.75" customHeight="1">
      <c r="A718" s="1" t="str">
        <f>'Справочник'!E713</f>
        <v/>
      </c>
      <c r="B718" s="2" t="str">
        <f>IF(A718&gt;0,SUMIF('Барабан'!K:K,A718,'Барабан'!I:I),"")</f>
        <v/>
      </c>
      <c r="C718" s="2" t="str">
        <f>IF(A718&gt;0,SUMIF('Барабан'!V:V,A718,'Барабан'!T:T),"")</f>
        <v/>
      </c>
      <c r="D718" s="2" t="str">
        <f>IF(A718&gt;0,SUMIF('Барабан'!K:K,A718,'Барабан'!AG:AG)+SUMIF('Барабан'!V:V,A718,'Барабан'!AG:AG),"")</f>
        <v/>
      </c>
      <c r="E718" s="2" t="str">
        <f t="shared" si="1"/>
        <v/>
      </c>
      <c r="F718" s="2" t="str">
        <f t="array" ref="F718">IFERROR(IF(E718=0,0,INDEX('Справочник'!G:G,MATCH(A718,'Справочник'!F:F,0))))</f>
        <v/>
      </c>
      <c r="G718" s="2" t="str">
        <f>IF(A718&gt;0,SUMIF('Барабан'!K:K,A718,'Барабан'!P:P),"")</f>
        <v/>
      </c>
      <c r="H718" s="2" t="str">
        <f>IF(A718&gt;0,SUMIF('Барабан'!V:V,A718,'Барабан'!AA:AA),"")</f>
        <v/>
      </c>
      <c r="I718" s="2" t="str">
        <f t="shared" si="4"/>
        <v/>
      </c>
      <c r="J718" s="9" t="str">
        <f t="shared" si="2"/>
        <v/>
      </c>
      <c r="K718" s="1" t="str">
        <f>IF(A718&gt;0,COUNTIF('Барабан'!K:K,A718),"")</f>
        <v/>
      </c>
      <c r="L718" s="1" t="str">
        <f>IF(A718&gt;0,COUNTIF('Барабан'!V:V,A718),"")</f>
        <v/>
      </c>
      <c r="M718" s="1" t="str">
        <f t="shared" si="3"/>
        <v/>
      </c>
      <c r="N718" s="1" t="str">
        <f>IFERROR(__xludf.DUMMYFUNCTION("IF(A718&gt;0,MIN(FILTER('Барабан'!AJ:AJ,'Барабан'!K:K=A718)),"""")"),"")</f>
        <v/>
      </c>
      <c r="O718" s="16" t="str">
        <f>IFERROR(__xludf.DUMMYFUNCTION("IF(A718&gt;0,IFERROR(MAX(FILTER('Барабан'!AJ:AJ,'Барабан'!V:V=A718)),""–""),"""")"),"")</f>
        <v/>
      </c>
    </row>
    <row r="719" ht="15.75" customHeight="1">
      <c r="A719" s="1" t="str">
        <f>'Справочник'!E714</f>
        <v/>
      </c>
      <c r="B719" s="2" t="str">
        <f>IF(A719&gt;0,SUMIF('Барабан'!K:K,A719,'Барабан'!I:I),"")</f>
        <v/>
      </c>
      <c r="C719" s="2" t="str">
        <f>IF(A719&gt;0,SUMIF('Барабан'!V:V,A719,'Барабан'!T:T),"")</f>
        <v/>
      </c>
      <c r="D719" s="2" t="str">
        <f>IF(A719&gt;0,SUMIF('Барабан'!K:K,A719,'Барабан'!AG:AG)+SUMIF('Барабан'!V:V,A719,'Барабан'!AG:AG),"")</f>
        <v/>
      </c>
      <c r="E719" s="2" t="str">
        <f t="shared" si="1"/>
        <v/>
      </c>
      <c r="F719" s="2" t="str">
        <f t="array" ref="F719">IFERROR(IF(E719=0,0,INDEX('Справочник'!G:G,MATCH(A719,'Справочник'!F:F,0))))</f>
        <v/>
      </c>
      <c r="G719" s="2" t="str">
        <f>IF(A719&gt;0,SUMIF('Барабан'!K:K,A719,'Барабан'!P:P),"")</f>
        <v/>
      </c>
      <c r="H719" s="2" t="str">
        <f>IF(A719&gt;0,SUMIF('Барабан'!V:V,A719,'Барабан'!AA:AA),"")</f>
        <v/>
      </c>
      <c r="I719" s="2" t="str">
        <f t="shared" si="4"/>
        <v/>
      </c>
      <c r="J719" s="9" t="str">
        <f t="shared" si="2"/>
        <v/>
      </c>
      <c r="K719" s="1" t="str">
        <f>IF(A719&gt;0,COUNTIF('Барабан'!K:K,A719),"")</f>
        <v/>
      </c>
      <c r="L719" s="1" t="str">
        <f>IF(A719&gt;0,COUNTIF('Барабан'!V:V,A719),"")</f>
        <v/>
      </c>
      <c r="M719" s="1" t="str">
        <f t="shared" si="3"/>
        <v/>
      </c>
      <c r="N719" s="1" t="str">
        <f>IFERROR(__xludf.DUMMYFUNCTION("IF(A719&gt;0,MIN(FILTER('Барабан'!AJ:AJ,'Барабан'!K:K=A719)),"""")"),"")</f>
        <v/>
      </c>
      <c r="O719" s="16" t="str">
        <f>IFERROR(__xludf.DUMMYFUNCTION("IF(A719&gt;0,IFERROR(MAX(FILTER('Барабан'!AJ:AJ,'Барабан'!V:V=A719)),""–""),"""")"),"")</f>
        <v/>
      </c>
    </row>
    <row r="720" ht="15.75" customHeight="1">
      <c r="A720" s="1" t="str">
        <f>'Справочник'!E715</f>
        <v/>
      </c>
      <c r="B720" s="2" t="str">
        <f>IF(A720&gt;0,SUMIF('Барабан'!K:K,A720,'Барабан'!I:I),"")</f>
        <v/>
      </c>
      <c r="C720" s="2" t="str">
        <f>IF(A720&gt;0,SUMIF('Барабан'!V:V,A720,'Барабан'!T:T),"")</f>
        <v/>
      </c>
      <c r="D720" s="2" t="str">
        <f>IF(A720&gt;0,SUMIF('Барабан'!K:K,A720,'Барабан'!AG:AG)+SUMIF('Барабан'!V:V,A720,'Барабан'!AG:AG),"")</f>
        <v/>
      </c>
      <c r="E720" s="2" t="str">
        <f t="shared" si="1"/>
        <v/>
      </c>
      <c r="F720" s="2" t="str">
        <f t="array" ref="F720">IFERROR(IF(E720=0,0,INDEX('Справочник'!G:G,MATCH(A720,'Справочник'!F:F,0))))</f>
        <v/>
      </c>
      <c r="G720" s="2" t="str">
        <f>IF(A720&gt;0,SUMIF('Барабан'!K:K,A720,'Барабан'!P:P),"")</f>
        <v/>
      </c>
      <c r="H720" s="2" t="str">
        <f>IF(A720&gt;0,SUMIF('Барабан'!V:V,A720,'Барабан'!AA:AA),"")</f>
        <v/>
      </c>
      <c r="I720" s="2" t="str">
        <f t="shared" si="4"/>
        <v/>
      </c>
      <c r="J720" s="9" t="str">
        <f t="shared" si="2"/>
        <v/>
      </c>
      <c r="K720" s="1" t="str">
        <f>IF(A720&gt;0,COUNTIF('Барабан'!K:K,A720),"")</f>
        <v/>
      </c>
      <c r="L720" s="1" t="str">
        <f>IF(A720&gt;0,COUNTIF('Барабан'!V:V,A720),"")</f>
        <v/>
      </c>
      <c r="M720" s="1" t="str">
        <f t="shared" si="3"/>
        <v/>
      </c>
      <c r="N720" s="1" t="str">
        <f>IFERROR(__xludf.DUMMYFUNCTION("IF(A720&gt;0,MIN(FILTER('Барабан'!AJ:AJ,'Барабан'!K:K=A720)),"""")"),"")</f>
        <v/>
      </c>
      <c r="O720" s="16" t="str">
        <f>IFERROR(__xludf.DUMMYFUNCTION("IF(A720&gt;0,IFERROR(MAX(FILTER('Барабан'!AJ:AJ,'Барабан'!V:V=A720)),""–""),"""")"),"")</f>
        <v/>
      </c>
    </row>
    <row r="721" ht="15.75" customHeight="1">
      <c r="A721" s="1" t="str">
        <f>'Справочник'!E716</f>
        <v/>
      </c>
      <c r="B721" s="2" t="str">
        <f>IF(A721&gt;0,SUMIF('Барабан'!K:K,A721,'Барабан'!I:I),"")</f>
        <v/>
      </c>
      <c r="C721" s="2" t="str">
        <f>IF(A721&gt;0,SUMIF('Барабан'!V:V,A721,'Барабан'!T:T),"")</f>
        <v/>
      </c>
      <c r="D721" s="2" t="str">
        <f>IF(A721&gt;0,SUMIF('Барабан'!K:K,A721,'Барабан'!AG:AG)+SUMIF('Барабан'!V:V,A721,'Барабан'!AG:AG),"")</f>
        <v/>
      </c>
      <c r="E721" s="2" t="str">
        <f t="shared" si="1"/>
        <v/>
      </c>
      <c r="F721" s="2" t="str">
        <f t="array" ref="F721">IFERROR(IF(E721=0,0,INDEX('Справочник'!G:G,MATCH(A721,'Справочник'!F:F,0))))</f>
        <v/>
      </c>
      <c r="G721" s="2" t="str">
        <f>IF(A721&gt;0,SUMIF('Барабан'!K:K,A721,'Барабан'!P:P),"")</f>
        <v/>
      </c>
      <c r="H721" s="2" t="str">
        <f>IF(A721&gt;0,SUMIF('Барабан'!V:V,A721,'Барабан'!AA:AA),"")</f>
        <v/>
      </c>
      <c r="I721" s="2" t="str">
        <f t="shared" si="4"/>
        <v/>
      </c>
      <c r="J721" s="9" t="str">
        <f t="shared" si="2"/>
        <v/>
      </c>
      <c r="K721" s="1" t="str">
        <f>IF(A721&gt;0,COUNTIF('Барабан'!K:K,A721),"")</f>
        <v/>
      </c>
      <c r="L721" s="1" t="str">
        <f>IF(A721&gt;0,COUNTIF('Барабан'!V:V,A721),"")</f>
        <v/>
      </c>
      <c r="M721" s="1" t="str">
        <f t="shared" si="3"/>
        <v/>
      </c>
      <c r="N721" s="1" t="str">
        <f>IFERROR(__xludf.DUMMYFUNCTION("IF(A721&gt;0,MIN(FILTER('Барабан'!AJ:AJ,'Барабан'!K:K=A721)),"""")"),"")</f>
        <v/>
      </c>
      <c r="O721" s="16" t="str">
        <f>IFERROR(__xludf.DUMMYFUNCTION("IF(A721&gt;0,IFERROR(MAX(FILTER('Барабан'!AJ:AJ,'Барабан'!V:V=A721)),""–""),"""")"),"")</f>
        <v/>
      </c>
    </row>
    <row r="722" ht="15.75" customHeight="1">
      <c r="A722" s="1" t="str">
        <f>'Справочник'!E717</f>
        <v/>
      </c>
      <c r="B722" s="2" t="str">
        <f>IF(A722&gt;0,SUMIF('Барабан'!K:K,A722,'Барабан'!I:I),"")</f>
        <v/>
      </c>
      <c r="C722" s="2" t="str">
        <f>IF(A722&gt;0,SUMIF('Барабан'!V:V,A722,'Барабан'!T:T),"")</f>
        <v/>
      </c>
      <c r="D722" s="2" t="str">
        <f>IF(A722&gt;0,SUMIF('Барабан'!K:K,A722,'Барабан'!AG:AG)+SUMIF('Барабан'!V:V,A722,'Барабан'!AG:AG),"")</f>
        <v/>
      </c>
      <c r="E722" s="2" t="str">
        <f t="shared" si="1"/>
        <v/>
      </c>
      <c r="F722" s="2" t="str">
        <f t="array" ref="F722">IFERROR(IF(E722=0,0,INDEX('Справочник'!G:G,MATCH(A722,'Справочник'!F:F,0))))</f>
        <v/>
      </c>
      <c r="G722" s="2" t="str">
        <f>IF(A722&gt;0,SUMIF('Барабан'!K:K,A722,'Барабан'!P:P),"")</f>
        <v/>
      </c>
      <c r="H722" s="2" t="str">
        <f>IF(A722&gt;0,SUMIF('Барабан'!V:V,A722,'Барабан'!AA:AA),"")</f>
        <v/>
      </c>
      <c r="I722" s="2" t="str">
        <f t="shared" si="4"/>
        <v/>
      </c>
      <c r="J722" s="9" t="str">
        <f t="shared" si="2"/>
        <v/>
      </c>
      <c r="K722" s="1" t="str">
        <f>IF(A722&gt;0,COUNTIF('Барабан'!K:K,A722),"")</f>
        <v/>
      </c>
      <c r="L722" s="1" t="str">
        <f>IF(A722&gt;0,COUNTIF('Барабан'!V:V,A722),"")</f>
        <v/>
      </c>
      <c r="M722" s="1" t="str">
        <f t="shared" si="3"/>
        <v/>
      </c>
      <c r="N722" s="1" t="str">
        <f>IFERROR(__xludf.DUMMYFUNCTION("IF(A722&gt;0,MIN(FILTER('Барабан'!AJ:AJ,'Барабан'!K:K=A722)),"""")"),"")</f>
        <v/>
      </c>
      <c r="O722" s="16" t="str">
        <f>IFERROR(__xludf.DUMMYFUNCTION("IF(A722&gt;0,IFERROR(MAX(FILTER('Барабан'!AJ:AJ,'Барабан'!V:V=A722)),""–""),"""")"),"")</f>
        <v/>
      </c>
    </row>
    <row r="723" ht="15.75" customHeight="1">
      <c r="A723" s="1" t="str">
        <f>'Справочник'!E718</f>
        <v/>
      </c>
      <c r="B723" s="2" t="str">
        <f>IF(A723&gt;0,SUMIF('Барабан'!K:K,A723,'Барабан'!I:I),"")</f>
        <v/>
      </c>
      <c r="C723" s="2" t="str">
        <f>IF(A723&gt;0,SUMIF('Барабан'!V:V,A723,'Барабан'!T:T),"")</f>
        <v/>
      </c>
      <c r="D723" s="2" t="str">
        <f>IF(A723&gt;0,SUMIF('Барабан'!K:K,A723,'Барабан'!AG:AG)+SUMIF('Барабан'!V:V,A723,'Барабан'!AG:AG),"")</f>
        <v/>
      </c>
      <c r="E723" s="2" t="str">
        <f t="shared" si="1"/>
        <v/>
      </c>
      <c r="F723" s="2" t="str">
        <f t="array" ref="F723">IFERROR(IF(E723=0,0,INDEX('Справочник'!G:G,MATCH(A723,'Справочник'!F:F,0))))</f>
        <v/>
      </c>
      <c r="G723" s="2" t="str">
        <f>IF(A723&gt;0,SUMIF('Барабан'!K:K,A723,'Барабан'!P:P),"")</f>
        <v/>
      </c>
      <c r="H723" s="2" t="str">
        <f>IF(A723&gt;0,SUMIF('Барабан'!V:V,A723,'Барабан'!AA:AA),"")</f>
        <v/>
      </c>
      <c r="I723" s="2" t="str">
        <f t="shared" si="4"/>
        <v/>
      </c>
      <c r="J723" s="9" t="str">
        <f t="shared" si="2"/>
        <v/>
      </c>
      <c r="K723" s="1" t="str">
        <f>IF(A723&gt;0,COUNTIF('Барабан'!K:K,A723),"")</f>
        <v/>
      </c>
      <c r="L723" s="1" t="str">
        <f>IF(A723&gt;0,COUNTIF('Барабан'!V:V,A723),"")</f>
        <v/>
      </c>
      <c r="M723" s="1" t="str">
        <f t="shared" si="3"/>
        <v/>
      </c>
      <c r="N723" s="1" t="str">
        <f>IFERROR(__xludf.DUMMYFUNCTION("IF(A723&gt;0,MIN(FILTER('Барабан'!AJ:AJ,'Барабан'!K:K=A723)),"""")"),"")</f>
        <v/>
      </c>
      <c r="O723" s="16" t="str">
        <f>IFERROR(__xludf.DUMMYFUNCTION("IF(A723&gt;0,IFERROR(MAX(FILTER('Барабан'!AJ:AJ,'Барабан'!V:V=A723)),""–""),"""")"),"")</f>
        <v/>
      </c>
    </row>
    <row r="724" ht="15.75" customHeight="1">
      <c r="A724" s="1" t="str">
        <f>'Справочник'!E719</f>
        <v/>
      </c>
      <c r="B724" s="2" t="str">
        <f>IF(A724&gt;0,SUMIF('Барабан'!K:K,A724,'Барабан'!I:I),"")</f>
        <v/>
      </c>
      <c r="C724" s="2" t="str">
        <f>IF(A724&gt;0,SUMIF('Барабан'!V:V,A724,'Барабан'!T:T),"")</f>
        <v/>
      </c>
      <c r="D724" s="2" t="str">
        <f>IF(A724&gt;0,SUMIF('Барабан'!K:K,A724,'Барабан'!AG:AG)+SUMIF('Барабан'!V:V,A724,'Барабан'!AG:AG),"")</f>
        <v/>
      </c>
      <c r="E724" s="2" t="str">
        <f t="shared" si="1"/>
        <v/>
      </c>
      <c r="F724" s="2" t="str">
        <f t="array" ref="F724">IFERROR(IF(E724=0,0,INDEX('Справочник'!G:G,MATCH(A724,'Справочник'!F:F,0))))</f>
        <v/>
      </c>
      <c r="G724" s="2" t="str">
        <f>IF(A724&gt;0,SUMIF('Барабан'!K:K,A724,'Барабан'!P:P),"")</f>
        <v/>
      </c>
      <c r="H724" s="2" t="str">
        <f>IF(A724&gt;0,SUMIF('Барабан'!V:V,A724,'Барабан'!AA:AA),"")</f>
        <v/>
      </c>
      <c r="I724" s="2" t="str">
        <f t="shared" si="4"/>
        <v/>
      </c>
      <c r="J724" s="9" t="str">
        <f t="shared" si="2"/>
        <v/>
      </c>
      <c r="K724" s="1" t="str">
        <f>IF(A724&gt;0,COUNTIF('Барабан'!K:K,A724),"")</f>
        <v/>
      </c>
      <c r="L724" s="1" t="str">
        <f>IF(A724&gt;0,COUNTIF('Барабан'!V:V,A724),"")</f>
        <v/>
      </c>
      <c r="M724" s="1" t="str">
        <f t="shared" si="3"/>
        <v/>
      </c>
      <c r="N724" s="1" t="str">
        <f>IFERROR(__xludf.DUMMYFUNCTION("IF(A724&gt;0,MIN(FILTER('Барабан'!AJ:AJ,'Барабан'!K:K=A724)),"""")"),"")</f>
        <v/>
      </c>
      <c r="O724" s="16" t="str">
        <f>IFERROR(__xludf.DUMMYFUNCTION("IF(A724&gt;0,IFERROR(MAX(FILTER('Барабан'!AJ:AJ,'Барабан'!V:V=A724)),""–""),"""")"),"")</f>
        <v/>
      </c>
    </row>
    <row r="725" ht="15.75" customHeight="1">
      <c r="A725" s="1" t="str">
        <f>'Справочник'!E720</f>
        <v/>
      </c>
      <c r="B725" s="2" t="str">
        <f>IF(A725&gt;0,SUMIF('Барабан'!K:K,A725,'Барабан'!I:I),"")</f>
        <v/>
      </c>
      <c r="C725" s="2" t="str">
        <f>IF(A725&gt;0,SUMIF('Барабан'!V:V,A725,'Барабан'!T:T),"")</f>
        <v/>
      </c>
      <c r="D725" s="2" t="str">
        <f>IF(A725&gt;0,SUMIF('Барабан'!K:K,A725,'Барабан'!AG:AG)+SUMIF('Барабан'!V:V,A725,'Барабан'!AG:AG),"")</f>
        <v/>
      </c>
      <c r="E725" s="2" t="str">
        <f t="shared" si="1"/>
        <v/>
      </c>
      <c r="F725" s="2" t="str">
        <f t="array" ref="F725">IFERROR(IF(E725=0,0,INDEX('Справочник'!G:G,MATCH(A725,'Справочник'!F:F,0))))</f>
        <v/>
      </c>
      <c r="G725" s="2" t="str">
        <f>IF(A725&gt;0,SUMIF('Барабан'!K:K,A725,'Барабан'!P:P),"")</f>
        <v/>
      </c>
      <c r="H725" s="2" t="str">
        <f>IF(A725&gt;0,SUMIF('Барабан'!V:V,A725,'Барабан'!AA:AA),"")</f>
        <v/>
      </c>
      <c r="I725" s="2" t="str">
        <f t="shared" si="4"/>
        <v/>
      </c>
      <c r="J725" s="9" t="str">
        <f t="shared" si="2"/>
        <v/>
      </c>
      <c r="K725" s="1" t="str">
        <f>IF(A725&gt;0,COUNTIF('Барабан'!K:K,A725),"")</f>
        <v/>
      </c>
      <c r="L725" s="1" t="str">
        <f>IF(A725&gt;0,COUNTIF('Барабан'!V:V,A725),"")</f>
        <v/>
      </c>
      <c r="M725" s="1" t="str">
        <f t="shared" si="3"/>
        <v/>
      </c>
      <c r="N725" s="1" t="str">
        <f>IFERROR(__xludf.DUMMYFUNCTION("IF(A725&gt;0,MIN(FILTER('Барабан'!AJ:AJ,'Барабан'!K:K=A725)),"""")"),"")</f>
        <v/>
      </c>
      <c r="O725" s="16" t="str">
        <f>IFERROR(__xludf.DUMMYFUNCTION("IF(A725&gt;0,IFERROR(MAX(FILTER('Барабан'!AJ:AJ,'Барабан'!V:V=A725)),""–""),"""")"),"")</f>
        <v/>
      </c>
    </row>
    <row r="726" ht="15.75" customHeight="1">
      <c r="A726" s="1" t="str">
        <f>'Справочник'!E721</f>
        <v/>
      </c>
      <c r="B726" s="2" t="str">
        <f>IF(A726&gt;0,SUMIF('Барабан'!K:K,A726,'Барабан'!I:I),"")</f>
        <v/>
      </c>
      <c r="C726" s="2" t="str">
        <f>IF(A726&gt;0,SUMIF('Барабан'!V:V,A726,'Барабан'!T:T),"")</f>
        <v/>
      </c>
      <c r="D726" s="2" t="str">
        <f>IF(A726&gt;0,SUMIF('Барабан'!K:K,A726,'Барабан'!AG:AG)+SUMIF('Барабан'!V:V,A726,'Барабан'!AG:AG),"")</f>
        <v/>
      </c>
      <c r="E726" s="2" t="str">
        <f t="shared" si="1"/>
        <v/>
      </c>
      <c r="F726" s="2" t="str">
        <f t="array" ref="F726">IFERROR(IF(E726=0,0,INDEX('Справочник'!G:G,MATCH(A726,'Справочник'!F:F,0))))</f>
        <v/>
      </c>
      <c r="G726" s="2" t="str">
        <f>IF(A726&gt;0,SUMIF('Барабан'!K:K,A726,'Барабан'!P:P),"")</f>
        <v/>
      </c>
      <c r="H726" s="2" t="str">
        <f>IF(A726&gt;0,SUMIF('Барабан'!V:V,A726,'Барабан'!AA:AA),"")</f>
        <v/>
      </c>
      <c r="I726" s="2" t="str">
        <f t="shared" si="4"/>
        <v/>
      </c>
      <c r="J726" s="9" t="str">
        <f t="shared" si="2"/>
        <v/>
      </c>
      <c r="K726" s="1" t="str">
        <f>IF(A726&gt;0,COUNTIF('Барабан'!K:K,A726),"")</f>
        <v/>
      </c>
      <c r="L726" s="1" t="str">
        <f>IF(A726&gt;0,COUNTIF('Барабан'!V:V,A726),"")</f>
        <v/>
      </c>
      <c r="M726" s="1" t="str">
        <f t="shared" si="3"/>
        <v/>
      </c>
      <c r="N726" s="1" t="str">
        <f>IFERROR(__xludf.DUMMYFUNCTION("IF(A726&gt;0,MIN(FILTER('Барабан'!AJ:AJ,'Барабан'!K:K=A726)),"""")"),"")</f>
        <v/>
      </c>
      <c r="O726" s="16" t="str">
        <f>IFERROR(__xludf.DUMMYFUNCTION("IF(A726&gt;0,IFERROR(MAX(FILTER('Барабан'!AJ:AJ,'Барабан'!V:V=A726)),""–""),"""")"),"")</f>
        <v/>
      </c>
    </row>
    <row r="727" ht="15.75" customHeight="1">
      <c r="A727" s="1" t="str">
        <f>'Справочник'!E722</f>
        <v/>
      </c>
      <c r="B727" s="2" t="str">
        <f>IF(A727&gt;0,SUMIF('Барабан'!K:K,A727,'Барабан'!I:I),"")</f>
        <v/>
      </c>
      <c r="C727" s="2" t="str">
        <f>IF(A727&gt;0,SUMIF('Барабан'!V:V,A727,'Барабан'!T:T),"")</f>
        <v/>
      </c>
      <c r="D727" s="2" t="str">
        <f>IF(A727&gt;0,SUMIF('Барабан'!K:K,A727,'Барабан'!AG:AG)+SUMIF('Барабан'!V:V,A727,'Барабан'!AG:AG),"")</f>
        <v/>
      </c>
      <c r="E727" s="2" t="str">
        <f t="shared" si="1"/>
        <v/>
      </c>
      <c r="F727" s="2" t="str">
        <f t="array" ref="F727">IFERROR(IF(E727=0,0,INDEX('Справочник'!G:G,MATCH(A727,'Справочник'!F:F,0))))</f>
        <v/>
      </c>
      <c r="G727" s="2" t="str">
        <f>IF(A727&gt;0,SUMIF('Барабан'!K:K,A727,'Барабан'!P:P),"")</f>
        <v/>
      </c>
      <c r="H727" s="2" t="str">
        <f>IF(A727&gt;0,SUMIF('Барабан'!V:V,A727,'Барабан'!AA:AA),"")</f>
        <v/>
      </c>
      <c r="I727" s="2" t="str">
        <f t="shared" si="4"/>
        <v/>
      </c>
      <c r="J727" s="9" t="str">
        <f t="shared" si="2"/>
        <v/>
      </c>
      <c r="K727" s="1" t="str">
        <f>IF(A727&gt;0,COUNTIF('Барабан'!K:K,A727),"")</f>
        <v/>
      </c>
      <c r="L727" s="1" t="str">
        <f>IF(A727&gt;0,COUNTIF('Барабан'!V:V,A727),"")</f>
        <v/>
      </c>
      <c r="M727" s="1" t="str">
        <f t="shared" si="3"/>
        <v/>
      </c>
      <c r="N727" s="1" t="str">
        <f>IFERROR(__xludf.DUMMYFUNCTION("IF(A727&gt;0,MIN(FILTER('Барабан'!AJ:AJ,'Барабан'!K:K=A727)),"""")"),"")</f>
        <v/>
      </c>
      <c r="O727" s="16" t="str">
        <f>IFERROR(__xludf.DUMMYFUNCTION("IF(A727&gt;0,IFERROR(MAX(FILTER('Барабан'!AJ:AJ,'Барабан'!V:V=A727)),""–""),"""")"),"")</f>
        <v/>
      </c>
    </row>
    <row r="728" ht="15.75" customHeight="1">
      <c r="A728" s="1" t="str">
        <f>'Справочник'!E723</f>
        <v/>
      </c>
      <c r="B728" s="2" t="str">
        <f>IF(A728&gt;0,SUMIF('Барабан'!K:K,A728,'Барабан'!I:I),"")</f>
        <v/>
      </c>
      <c r="C728" s="2" t="str">
        <f>IF(A728&gt;0,SUMIF('Барабан'!V:V,A728,'Барабан'!T:T),"")</f>
        <v/>
      </c>
      <c r="D728" s="2" t="str">
        <f>IF(A728&gt;0,SUMIF('Барабан'!K:K,A728,'Барабан'!AG:AG)+SUMIF('Барабан'!V:V,A728,'Барабан'!AG:AG),"")</f>
        <v/>
      </c>
      <c r="E728" s="2" t="str">
        <f t="shared" si="1"/>
        <v/>
      </c>
      <c r="F728" s="2" t="str">
        <f t="array" ref="F728">IFERROR(IF(E728=0,0,INDEX('Справочник'!G:G,MATCH(A728,'Справочник'!F:F,0))))</f>
        <v/>
      </c>
      <c r="G728" s="2" t="str">
        <f>IF(A728&gt;0,SUMIF('Барабан'!K:K,A728,'Барабан'!P:P),"")</f>
        <v/>
      </c>
      <c r="H728" s="2" t="str">
        <f>IF(A728&gt;0,SUMIF('Барабан'!V:V,A728,'Барабан'!AA:AA),"")</f>
        <v/>
      </c>
      <c r="I728" s="2" t="str">
        <f t="shared" si="4"/>
        <v/>
      </c>
      <c r="J728" s="9" t="str">
        <f t="shared" si="2"/>
        <v/>
      </c>
      <c r="K728" s="1" t="str">
        <f>IF(A728&gt;0,COUNTIF('Барабан'!K:K,A728),"")</f>
        <v/>
      </c>
      <c r="L728" s="1" t="str">
        <f>IF(A728&gt;0,COUNTIF('Барабан'!V:V,A728),"")</f>
        <v/>
      </c>
      <c r="M728" s="1" t="str">
        <f t="shared" si="3"/>
        <v/>
      </c>
      <c r="N728" s="1" t="str">
        <f>IFERROR(__xludf.DUMMYFUNCTION("IF(A728&gt;0,MIN(FILTER('Барабан'!AJ:AJ,'Барабан'!K:K=A728)),"""")"),"")</f>
        <v/>
      </c>
      <c r="O728" s="16" t="str">
        <f>IFERROR(__xludf.DUMMYFUNCTION("IF(A728&gt;0,IFERROR(MAX(FILTER('Барабан'!AJ:AJ,'Барабан'!V:V=A728)),""–""),"""")"),"")</f>
        <v/>
      </c>
    </row>
    <row r="729" ht="15.75" customHeight="1">
      <c r="A729" s="1" t="str">
        <f>'Справочник'!E724</f>
        <v/>
      </c>
      <c r="B729" s="2" t="str">
        <f>IF(A729&gt;0,SUMIF('Барабан'!K:K,A729,'Барабан'!I:I),"")</f>
        <v/>
      </c>
      <c r="C729" s="2" t="str">
        <f>IF(A729&gt;0,SUMIF('Барабан'!V:V,A729,'Барабан'!T:T),"")</f>
        <v/>
      </c>
      <c r="D729" s="2" t="str">
        <f>IF(A729&gt;0,SUMIF('Барабан'!K:K,A729,'Барабан'!AG:AG)+SUMIF('Барабан'!V:V,A729,'Барабан'!AG:AG),"")</f>
        <v/>
      </c>
      <c r="E729" s="2" t="str">
        <f t="shared" si="1"/>
        <v/>
      </c>
      <c r="F729" s="2" t="str">
        <f t="array" ref="F729">IFERROR(IF(E729=0,0,INDEX('Справочник'!G:G,MATCH(A729,'Справочник'!F:F,0))))</f>
        <v/>
      </c>
      <c r="G729" s="2" t="str">
        <f>IF(A729&gt;0,SUMIF('Барабан'!K:K,A729,'Барабан'!P:P),"")</f>
        <v/>
      </c>
      <c r="H729" s="2" t="str">
        <f>IF(A729&gt;0,SUMIF('Барабан'!V:V,A729,'Барабан'!AA:AA),"")</f>
        <v/>
      </c>
      <c r="I729" s="2" t="str">
        <f t="shared" si="4"/>
        <v/>
      </c>
      <c r="J729" s="9" t="str">
        <f t="shared" si="2"/>
        <v/>
      </c>
      <c r="K729" s="1" t="str">
        <f>IF(A729&gt;0,COUNTIF('Барабан'!K:K,A729),"")</f>
        <v/>
      </c>
      <c r="L729" s="1" t="str">
        <f>IF(A729&gt;0,COUNTIF('Барабан'!V:V,A729),"")</f>
        <v/>
      </c>
      <c r="M729" s="1" t="str">
        <f t="shared" si="3"/>
        <v/>
      </c>
      <c r="N729" s="1" t="str">
        <f>IFERROR(__xludf.DUMMYFUNCTION("IF(A729&gt;0,MIN(FILTER('Барабан'!AJ:AJ,'Барабан'!K:K=A729)),"""")"),"")</f>
        <v/>
      </c>
      <c r="O729" s="16" t="str">
        <f>IFERROR(__xludf.DUMMYFUNCTION("IF(A729&gt;0,IFERROR(MAX(FILTER('Барабан'!AJ:AJ,'Барабан'!V:V=A729)),""–""),"""")"),"")</f>
        <v/>
      </c>
    </row>
    <row r="730" ht="15.75" customHeight="1">
      <c r="A730" s="1" t="str">
        <f>'Справочник'!E725</f>
        <v/>
      </c>
      <c r="B730" s="2" t="str">
        <f>IF(A730&gt;0,SUMIF('Барабан'!K:K,A730,'Барабан'!I:I),"")</f>
        <v/>
      </c>
      <c r="C730" s="2" t="str">
        <f>IF(A730&gt;0,SUMIF('Барабан'!V:V,A730,'Барабан'!T:T),"")</f>
        <v/>
      </c>
      <c r="D730" s="2" t="str">
        <f>IF(A730&gt;0,SUMIF('Барабан'!K:K,A730,'Барабан'!AG:AG)+SUMIF('Барабан'!V:V,A730,'Барабан'!AG:AG),"")</f>
        <v/>
      </c>
      <c r="E730" s="2" t="str">
        <f t="shared" si="1"/>
        <v/>
      </c>
      <c r="F730" s="2" t="str">
        <f t="array" ref="F730">IFERROR(IF(E730=0,0,INDEX('Справочник'!G:G,MATCH(A730,'Справочник'!F:F,0))))</f>
        <v/>
      </c>
      <c r="G730" s="2" t="str">
        <f>IF(A730&gt;0,SUMIF('Барабан'!K:K,A730,'Барабан'!P:P),"")</f>
        <v/>
      </c>
      <c r="H730" s="2" t="str">
        <f>IF(A730&gt;0,SUMIF('Барабан'!V:V,A730,'Барабан'!AA:AA),"")</f>
        <v/>
      </c>
      <c r="I730" s="2" t="str">
        <f t="shared" si="4"/>
        <v/>
      </c>
      <c r="J730" s="9" t="str">
        <f t="shared" si="2"/>
        <v/>
      </c>
      <c r="K730" s="1" t="str">
        <f>IF(A730&gt;0,COUNTIF('Барабан'!K:K,A730),"")</f>
        <v/>
      </c>
      <c r="L730" s="1" t="str">
        <f>IF(A730&gt;0,COUNTIF('Барабан'!V:V,A730),"")</f>
        <v/>
      </c>
      <c r="M730" s="1" t="str">
        <f t="shared" si="3"/>
        <v/>
      </c>
      <c r="N730" s="1" t="str">
        <f>IFERROR(__xludf.DUMMYFUNCTION("IF(A730&gt;0,MIN(FILTER('Барабан'!AJ:AJ,'Барабан'!K:K=A730)),"""")"),"")</f>
        <v/>
      </c>
      <c r="O730" s="16" t="str">
        <f>IFERROR(__xludf.DUMMYFUNCTION("IF(A730&gt;0,IFERROR(MAX(FILTER('Барабан'!AJ:AJ,'Барабан'!V:V=A730)),""–""),"""")"),"")</f>
        <v/>
      </c>
    </row>
    <row r="731" ht="15.75" customHeight="1">
      <c r="A731" s="1" t="str">
        <f>'Справочник'!E726</f>
        <v/>
      </c>
      <c r="B731" s="2" t="str">
        <f>IF(A731&gt;0,SUMIF('Барабан'!K:K,A731,'Барабан'!I:I),"")</f>
        <v/>
      </c>
      <c r="C731" s="2" t="str">
        <f>IF(A731&gt;0,SUMIF('Барабан'!V:V,A731,'Барабан'!T:T),"")</f>
        <v/>
      </c>
      <c r="D731" s="2" t="str">
        <f>IF(A731&gt;0,SUMIF('Барабан'!K:K,A731,'Барабан'!AG:AG)+SUMIF('Барабан'!V:V,A731,'Барабан'!AG:AG),"")</f>
        <v/>
      </c>
      <c r="E731" s="2" t="str">
        <f t="shared" si="1"/>
        <v/>
      </c>
      <c r="F731" s="2" t="str">
        <f t="array" ref="F731">IFERROR(IF(E731=0,0,INDEX('Справочник'!G:G,MATCH(A731,'Справочник'!F:F,0))))</f>
        <v/>
      </c>
      <c r="G731" s="2" t="str">
        <f>IF(A731&gt;0,SUMIF('Барабан'!K:K,A731,'Барабан'!P:P),"")</f>
        <v/>
      </c>
      <c r="H731" s="2" t="str">
        <f>IF(A731&gt;0,SUMIF('Барабан'!V:V,A731,'Барабан'!AA:AA),"")</f>
        <v/>
      </c>
      <c r="I731" s="2" t="str">
        <f t="shared" si="4"/>
        <v/>
      </c>
      <c r="J731" s="9" t="str">
        <f t="shared" si="2"/>
        <v/>
      </c>
      <c r="K731" s="1" t="str">
        <f>IF(A731&gt;0,COUNTIF('Барабан'!K:K,A731),"")</f>
        <v/>
      </c>
      <c r="L731" s="1" t="str">
        <f>IF(A731&gt;0,COUNTIF('Барабан'!V:V,A731),"")</f>
        <v/>
      </c>
      <c r="M731" s="1" t="str">
        <f t="shared" si="3"/>
        <v/>
      </c>
      <c r="N731" s="1" t="str">
        <f>IFERROR(__xludf.DUMMYFUNCTION("IF(A731&gt;0,MIN(FILTER('Барабан'!AJ:AJ,'Барабан'!K:K=A731)),"""")"),"")</f>
        <v/>
      </c>
      <c r="O731" s="16" t="str">
        <f>IFERROR(__xludf.DUMMYFUNCTION("IF(A731&gt;0,IFERROR(MAX(FILTER('Барабан'!AJ:AJ,'Барабан'!V:V=A731)),""–""),"""")"),"")</f>
        <v/>
      </c>
    </row>
    <row r="732" ht="15.75" customHeight="1">
      <c r="A732" s="1" t="str">
        <f>'Справочник'!E727</f>
        <v/>
      </c>
      <c r="B732" s="2" t="str">
        <f>IF(A732&gt;0,SUMIF('Барабан'!K:K,A732,'Барабан'!I:I),"")</f>
        <v/>
      </c>
      <c r="C732" s="2" t="str">
        <f>IF(A732&gt;0,SUMIF('Барабан'!V:V,A732,'Барабан'!T:T),"")</f>
        <v/>
      </c>
      <c r="D732" s="2" t="str">
        <f>IF(A732&gt;0,SUMIF('Барабан'!K:K,A732,'Барабан'!AG:AG)+SUMIF('Барабан'!V:V,A732,'Барабан'!AG:AG),"")</f>
        <v/>
      </c>
      <c r="E732" s="2" t="str">
        <f t="shared" si="1"/>
        <v/>
      </c>
      <c r="F732" s="2" t="str">
        <f t="array" ref="F732">IFERROR(IF(E732=0,0,INDEX('Справочник'!G:G,MATCH(A732,'Справочник'!F:F,0))))</f>
        <v/>
      </c>
      <c r="G732" s="2" t="str">
        <f>IF(A732&gt;0,SUMIF('Барабан'!K:K,A732,'Барабан'!P:P),"")</f>
        <v/>
      </c>
      <c r="H732" s="2" t="str">
        <f>IF(A732&gt;0,SUMIF('Барабан'!V:V,A732,'Барабан'!AA:AA),"")</f>
        <v/>
      </c>
      <c r="I732" s="2" t="str">
        <f t="shared" si="4"/>
        <v/>
      </c>
      <c r="J732" s="9" t="str">
        <f t="shared" si="2"/>
        <v/>
      </c>
      <c r="K732" s="1" t="str">
        <f>IF(A732&gt;0,COUNTIF('Барабан'!K:K,A732),"")</f>
        <v/>
      </c>
      <c r="L732" s="1" t="str">
        <f>IF(A732&gt;0,COUNTIF('Барабан'!V:V,A732),"")</f>
        <v/>
      </c>
      <c r="M732" s="1" t="str">
        <f t="shared" si="3"/>
        <v/>
      </c>
      <c r="N732" s="1" t="str">
        <f>IFERROR(__xludf.DUMMYFUNCTION("IF(A732&gt;0,MIN(FILTER('Барабан'!AJ:AJ,'Барабан'!K:K=A732)),"""")"),"")</f>
        <v/>
      </c>
      <c r="O732" s="16" t="str">
        <f>IFERROR(__xludf.DUMMYFUNCTION("IF(A732&gt;0,IFERROR(MAX(FILTER('Барабан'!AJ:AJ,'Барабан'!V:V=A732)),""–""),"""")"),"")</f>
        <v/>
      </c>
    </row>
    <row r="733" ht="15.75" customHeight="1">
      <c r="A733" s="1" t="str">
        <f>'Справочник'!E728</f>
        <v/>
      </c>
      <c r="B733" s="2" t="str">
        <f>IF(A733&gt;0,SUMIF('Барабан'!K:K,A733,'Барабан'!I:I),"")</f>
        <v/>
      </c>
      <c r="C733" s="2" t="str">
        <f>IF(A733&gt;0,SUMIF('Барабан'!V:V,A733,'Барабан'!T:T),"")</f>
        <v/>
      </c>
      <c r="D733" s="2" t="str">
        <f>IF(A733&gt;0,SUMIF('Барабан'!K:K,A733,'Барабан'!AG:AG)+SUMIF('Барабан'!V:V,A733,'Барабан'!AG:AG),"")</f>
        <v/>
      </c>
      <c r="E733" s="2" t="str">
        <f t="shared" si="1"/>
        <v/>
      </c>
      <c r="F733" s="2" t="str">
        <f t="array" ref="F733">IFERROR(IF(E733=0,0,INDEX('Справочник'!G:G,MATCH(A733,'Справочник'!F:F,0))))</f>
        <v/>
      </c>
      <c r="G733" s="2" t="str">
        <f>IF(A733&gt;0,SUMIF('Барабан'!K:K,A733,'Барабан'!P:P),"")</f>
        <v/>
      </c>
      <c r="H733" s="2" t="str">
        <f>IF(A733&gt;0,SUMIF('Барабан'!V:V,A733,'Барабан'!AA:AA),"")</f>
        <v/>
      </c>
      <c r="I733" s="2" t="str">
        <f t="shared" si="4"/>
        <v/>
      </c>
      <c r="J733" s="9" t="str">
        <f t="shared" si="2"/>
        <v/>
      </c>
      <c r="K733" s="1" t="str">
        <f>IF(A733&gt;0,COUNTIF('Барабан'!K:K,A733),"")</f>
        <v/>
      </c>
      <c r="L733" s="1" t="str">
        <f>IF(A733&gt;0,COUNTIF('Барабан'!V:V,A733),"")</f>
        <v/>
      </c>
      <c r="M733" s="1" t="str">
        <f t="shared" si="3"/>
        <v/>
      </c>
      <c r="N733" s="1" t="str">
        <f>IFERROR(__xludf.DUMMYFUNCTION("IF(A733&gt;0,MIN(FILTER('Барабан'!AJ:AJ,'Барабан'!K:K=A733)),"""")"),"")</f>
        <v/>
      </c>
      <c r="O733" s="16" t="str">
        <f>IFERROR(__xludf.DUMMYFUNCTION("IF(A733&gt;0,IFERROR(MAX(FILTER('Барабан'!AJ:AJ,'Барабан'!V:V=A733)),""–""),"""")"),"")</f>
        <v/>
      </c>
    </row>
    <row r="734" ht="15.75" customHeight="1">
      <c r="A734" s="1" t="str">
        <f>'Справочник'!E729</f>
        <v/>
      </c>
      <c r="B734" s="2" t="str">
        <f>IF(A734&gt;0,SUMIF('Барабан'!K:K,A734,'Барабан'!I:I),"")</f>
        <v/>
      </c>
      <c r="C734" s="2" t="str">
        <f>IF(A734&gt;0,SUMIF('Барабан'!V:V,A734,'Барабан'!T:T),"")</f>
        <v/>
      </c>
      <c r="D734" s="2" t="str">
        <f>IF(A734&gt;0,SUMIF('Барабан'!K:K,A734,'Барабан'!AG:AG)+SUMIF('Барабан'!V:V,A734,'Барабан'!AG:AG),"")</f>
        <v/>
      </c>
      <c r="E734" s="2" t="str">
        <f t="shared" si="1"/>
        <v/>
      </c>
      <c r="F734" s="2" t="str">
        <f t="array" ref="F734">IFERROR(IF(E734=0,0,INDEX('Справочник'!G:G,MATCH(A734,'Справочник'!F:F,0))))</f>
        <v/>
      </c>
      <c r="G734" s="2" t="str">
        <f>IF(A734&gt;0,SUMIF('Барабан'!K:K,A734,'Барабан'!P:P),"")</f>
        <v/>
      </c>
      <c r="H734" s="2" t="str">
        <f>IF(A734&gt;0,SUMIF('Барабан'!V:V,A734,'Барабан'!AA:AA),"")</f>
        <v/>
      </c>
      <c r="I734" s="2" t="str">
        <f t="shared" si="4"/>
        <v/>
      </c>
      <c r="J734" s="9" t="str">
        <f t="shared" si="2"/>
        <v/>
      </c>
      <c r="K734" s="1" t="str">
        <f>IF(A734&gt;0,COUNTIF('Барабан'!K:K,A734),"")</f>
        <v/>
      </c>
      <c r="L734" s="1" t="str">
        <f>IF(A734&gt;0,COUNTIF('Барабан'!V:V,A734),"")</f>
        <v/>
      </c>
      <c r="M734" s="1" t="str">
        <f t="shared" si="3"/>
        <v/>
      </c>
      <c r="N734" s="1" t="str">
        <f>IFERROR(__xludf.DUMMYFUNCTION("IF(A734&gt;0,MIN(FILTER('Барабан'!AJ:AJ,'Барабан'!K:K=A734)),"""")"),"")</f>
        <v/>
      </c>
      <c r="O734" s="16" t="str">
        <f>IFERROR(__xludf.DUMMYFUNCTION("IF(A734&gt;0,IFERROR(MAX(FILTER('Барабан'!AJ:AJ,'Барабан'!V:V=A734)),""–""),"""")"),"")</f>
        <v/>
      </c>
    </row>
    <row r="735" ht="15.75" customHeight="1">
      <c r="A735" s="1" t="str">
        <f>'Справочник'!E730</f>
        <v/>
      </c>
      <c r="B735" s="2" t="str">
        <f>IF(A735&gt;0,SUMIF('Барабан'!K:K,A735,'Барабан'!I:I),"")</f>
        <v/>
      </c>
      <c r="C735" s="2" t="str">
        <f>IF(A735&gt;0,SUMIF('Барабан'!V:V,A735,'Барабан'!T:T),"")</f>
        <v/>
      </c>
      <c r="D735" s="2" t="str">
        <f>IF(A735&gt;0,SUMIF('Барабан'!K:K,A735,'Барабан'!AG:AG)+SUMIF('Барабан'!V:V,A735,'Барабан'!AG:AG),"")</f>
        <v/>
      </c>
      <c r="E735" s="2" t="str">
        <f t="shared" si="1"/>
        <v/>
      </c>
      <c r="F735" s="2" t="str">
        <f t="array" ref="F735">IFERROR(IF(E735=0,0,INDEX('Справочник'!G:G,MATCH(A735,'Справочник'!F:F,0))))</f>
        <v/>
      </c>
      <c r="G735" s="2" t="str">
        <f>IF(A735&gt;0,SUMIF('Барабан'!K:K,A735,'Барабан'!P:P),"")</f>
        <v/>
      </c>
      <c r="H735" s="2" t="str">
        <f>IF(A735&gt;0,SUMIF('Барабан'!V:V,A735,'Барабан'!AA:AA),"")</f>
        <v/>
      </c>
      <c r="I735" s="2" t="str">
        <f t="shared" si="4"/>
        <v/>
      </c>
      <c r="J735" s="9" t="str">
        <f t="shared" si="2"/>
        <v/>
      </c>
      <c r="K735" s="1" t="str">
        <f>IF(A735&gt;0,COUNTIF('Барабан'!K:K,A735),"")</f>
        <v/>
      </c>
      <c r="L735" s="1" t="str">
        <f>IF(A735&gt;0,COUNTIF('Барабан'!V:V,A735),"")</f>
        <v/>
      </c>
      <c r="M735" s="1" t="str">
        <f t="shared" si="3"/>
        <v/>
      </c>
      <c r="N735" s="1" t="str">
        <f>IFERROR(__xludf.DUMMYFUNCTION("IF(A735&gt;0,MIN(FILTER('Барабан'!AJ:AJ,'Барабан'!K:K=A735)),"""")"),"")</f>
        <v/>
      </c>
      <c r="O735" s="16" t="str">
        <f>IFERROR(__xludf.DUMMYFUNCTION("IF(A735&gt;0,IFERROR(MAX(FILTER('Барабан'!AJ:AJ,'Барабан'!V:V=A735)),""–""),"""")"),"")</f>
        <v/>
      </c>
    </row>
    <row r="736" ht="15.75" customHeight="1">
      <c r="A736" s="1" t="str">
        <f>'Справочник'!E731</f>
        <v/>
      </c>
      <c r="B736" s="2" t="str">
        <f>IF(A736&gt;0,SUMIF('Барабан'!K:K,A736,'Барабан'!I:I),"")</f>
        <v/>
      </c>
      <c r="C736" s="2" t="str">
        <f>IF(A736&gt;0,SUMIF('Барабан'!V:V,A736,'Барабан'!T:T),"")</f>
        <v/>
      </c>
      <c r="D736" s="2" t="str">
        <f>IF(A736&gt;0,SUMIF('Барабан'!K:K,A736,'Барабан'!AG:AG)+SUMIF('Барабан'!V:V,A736,'Барабан'!AG:AG),"")</f>
        <v/>
      </c>
      <c r="E736" s="2" t="str">
        <f t="shared" si="1"/>
        <v/>
      </c>
      <c r="F736" s="2" t="str">
        <f t="array" ref="F736">IFERROR(IF(E736=0,0,INDEX('Справочник'!G:G,MATCH(A736,'Справочник'!F:F,0))))</f>
        <v/>
      </c>
      <c r="G736" s="2" t="str">
        <f>IF(A736&gt;0,SUMIF('Барабан'!K:K,A736,'Барабан'!P:P),"")</f>
        <v/>
      </c>
      <c r="H736" s="2" t="str">
        <f>IF(A736&gt;0,SUMIF('Барабан'!V:V,A736,'Барабан'!AA:AA),"")</f>
        <v/>
      </c>
      <c r="I736" s="2" t="str">
        <f t="shared" si="4"/>
        <v/>
      </c>
      <c r="J736" s="9" t="str">
        <f t="shared" si="2"/>
        <v/>
      </c>
      <c r="K736" s="1" t="str">
        <f>IF(A736&gt;0,COUNTIF('Барабан'!K:K,A736),"")</f>
        <v/>
      </c>
      <c r="L736" s="1" t="str">
        <f>IF(A736&gt;0,COUNTIF('Барабан'!V:V,A736),"")</f>
        <v/>
      </c>
      <c r="M736" s="1" t="str">
        <f t="shared" si="3"/>
        <v/>
      </c>
      <c r="N736" s="1" t="str">
        <f>IFERROR(__xludf.DUMMYFUNCTION("IF(A736&gt;0,MIN(FILTER('Барабан'!AJ:AJ,'Барабан'!K:K=A736)),"""")"),"")</f>
        <v/>
      </c>
      <c r="O736" s="16" t="str">
        <f>IFERROR(__xludf.DUMMYFUNCTION("IF(A736&gt;0,IFERROR(MAX(FILTER('Барабан'!AJ:AJ,'Барабан'!V:V=A736)),""–""),"""")"),"")</f>
        <v/>
      </c>
    </row>
    <row r="737" ht="15.75" customHeight="1">
      <c r="A737" s="1" t="str">
        <f>'Справочник'!E732</f>
        <v/>
      </c>
      <c r="B737" s="2" t="str">
        <f>IF(A737&gt;0,SUMIF('Барабан'!K:K,A737,'Барабан'!I:I),"")</f>
        <v/>
      </c>
      <c r="C737" s="2" t="str">
        <f>IF(A737&gt;0,SUMIF('Барабан'!V:V,A737,'Барабан'!T:T),"")</f>
        <v/>
      </c>
      <c r="D737" s="2" t="str">
        <f>IF(A737&gt;0,SUMIF('Барабан'!K:K,A737,'Барабан'!AG:AG)+SUMIF('Барабан'!V:V,A737,'Барабан'!AG:AG),"")</f>
        <v/>
      </c>
      <c r="E737" s="2" t="str">
        <f t="shared" si="1"/>
        <v/>
      </c>
      <c r="F737" s="2" t="str">
        <f t="array" ref="F737">IFERROR(IF(E737=0,0,INDEX('Справочник'!G:G,MATCH(A737,'Справочник'!F:F,0))))</f>
        <v/>
      </c>
      <c r="G737" s="2" t="str">
        <f>IF(A737&gt;0,SUMIF('Барабан'!K:K,A737,'Барабан'!P:P),"")</f>
        <v/>
      </c>
      <c r="H737" s="2" t="str">
        <f>IF(A737&gt;0,SUMIF('Барабан'!V:V,A737,'Барабан'!AA:AA),"")</f>
        <v/>
      </c>
      <c r="I737" s="2" t="str">
        <f t="shared" si="4"/>
        <v/>
      </c>
      <c r="J737" s="9" t="str">
        <f t="shared" si="2"/>
        <v/>
      </c>
      <c r="K737" s="1" t="str">
        <f>IF(A737&gt;0,COUNTIF('Барабан'!K:K,A737),"")</f>
        <v/>
      </c>
      <c r="L737" s="1" t="str">
        <f>IF(A737&gt;0,COUNTIF('Барабан'!V:V,A737),"")</f>
        <v/>
      </c>
      <c r="M737" s="1" t="str">
        <f t="shared" si="3"/>
        <v/>
      </c>
      <c r="N737" s="1" t="str">
        <f>IFERROR(__xludf.DUMMYFUNCTION("IF(A737&gt;0,MIN(FILTER('Барабан'!AJ:AJ,'Барабан'!K:K=A737)),"""")"),"")</f>
        <v/>
      </c>
      <c r="O737" s="16" t="str">
        <f>IFERROR(__xludf.DUMMYFUNCTION("IF(A737&gt;0,IFERROR(MAX(FILTER('Барабан'!AJ:AJ,'Барабан'!V:V=A737)),""–""),"""")"),"")</f>
        <v/>
      </c>
    </row>
    <row r="738" ht="15.75" customHeight="1">
      <c r="A738" s="1" t="str">
        <f>'Справочник'!E733</f>
        <v/>
      </c>
      <c r="B738" s="2" t="str">
        <f>IF(A738&gt;0,SUMIF('Барабан'!K:K,A738,'Барабан'!I:I),"")</f>
        <v/>
      </c>
      <c r="C738" s="2" t="str">
        <f>IF(A738&gt;0,SUMIF('Барабан'!V:V,A738,'Барабан'!T:T),"")</f>
        <v/>
      </c>
      <c r="D738" s="2" t="str">
        <f>IF(A738&gt;0,SUMIF('Барабан'!K:K,A738,'Барабан'!AG:AG)+SUMIF('Барабан'!V:V,A738,'Барабан'!AG:AG),"")</f>
        <v/>
      </c>
      <c r="E738" s="2" t="str">
        <f t="shared" si="1"/>
        <v/>
      </c>
      <c r="F738" s="2" t="str">
        <f t="array" ref="F738">IFERROR(IF(E738=0,0,INDEX('Справочник'!G:G,MATCH(A738,'Справочник'!F:F,0))))</f>
        <v/>
      </c>
      <c r="G738" s="2" t="str">
        <f>IF(A738&gt;0,SUMIF('Барабан'!K:K,A738,'Барабан'!P:P),"")</f>
        <v/>
      </c>
      <c r="H738" s="2" t="str">
        <f>IF(A738&gt;0,SUMIF('Барабан'!V:V,A738,'Барабан'!AA:AA),"")</f>
        <v/>
      </c>
      <c r="I738" s="2" t="str">
        <f t="shared" si="4"/>
        <v/>
      </c>
      <c r="J738" s="9" t="str">
        <f t="shared" si="2"/>
        <v/>
      </c>
      <c r="K738" s="1" t="str">
        <f>IF(A738&gt;0,COUNTIF('Барабан'!K:K,A738),"")</f>
        <v/>
      </c>
      <c r="L738" s="1" t="str">
        <f>IF(A738&gt;0,COUNTIF('Барабан'!V:V,A738),"")</f>
        <v/>
      </c>
      <c r="M738" s="1" t="str">
        <f t="shared" si="3"/>
        <v/>
      </c>
      <c r="N738" s="1" t="str">
        <f>IFERROR(__xludf.DUMMYFUNCTION("IF(A738&gt;0,MIN(FILTER('Барабан'!AJ:AJ,'Барабан'!K:K=A738)),"""")"),"")</f>
        <v/>
      </c>
      <c r="O738" s="16" t="str">
        <f>IFERROR(__xludf.DUMMYFUNCTION("IF(A738&gt;0,IFERROR(MAX(FILTER('Барабан'!AJ:AJ,'Барабан'!V:V=A738)),""–""),"""")"),"")</f>
        <v/>
      </c>
    </row>
    <row r="739" ht="15.75" customHeight="1">
      <c r="A739" s="1" t="str">
        <f>'Справочник'!E734</f>
        <v/>
      </c>
      <c r="B739" s="2" t="str">
        <f>IF(A739&gt;0,SUMIF('Барабан'!K:K,A739,'Барабан'!I:I),"")</f>
        <v/>
      </c>
      <c r="C739" s="2" t="str">
        <f>IF(A739&gt;0,SUMIF('Барабан'!V:V,A739,'Барабан'!T:T),"")</f>
        <v/>
      </c>
      <c r="D739" s="2" t="str">
        <f>IF(A739&gt;0,SUMIF('Барабан'!K:K,A739,'Барабан'!AG:AG)+SUMIF('Барабан'!V:V,A739,'Барабан'!AG:AG),"")</f>
        <v/>
      </c>
      <c r="E739" s="2" t="str">
        <f t="shared" si="1"/>
        <v/>
      </c>
      <c r="F739" s="2" t="str">
        <f t="array" ref="F739">IFERROR(IF(E739=0,0,INDEX('Справочник'!G:G,MATCH(A739,'Справочник'!F:F,0))))</f>
        <v/>
      </c>
      <c r="G739" s="2" t="str">
        <f>IF(A739&gt;0,SUMIF('Барабан'!K:K,A739,'Барабан'!P:P),"")</f>
        <v/>
      </c>
      <c r="H739" s="2" t="str">
        <f>IF(A739&gt;0,SUMIF('Барабан'!V:V,A739,'Барабан'!AA:AA),"")</f>
        <v/>
      </c>
      <c r="I739" s="2" t="str">
        <f t="shared" si="4"/>
        <v/>
      </c>
      <c r="J739" s="9" t="str">
        <f t="shared" si="2"/>
        <v/>
      </c>
      <c r="K739" s="1" t="str">
        <f>IF(A739&gt;0,COUNTIF('Барабан'!K:K,A739),"")</f>
        <v/>
      </c>
      <c r="L739" s="1" t="str">
        <f>IF(A739&gt;0,COUNTIF('Барабан'!V:V,A739),"")</f>
        <v/>
      </c>
      <c r="M739" s="1" t="str">
        <f t="shared" si="3"/>
        <v/>
      </c>
      <c r="N739" s="1" t="str">
        <f>IFERROR(__xludf.DUMMYFUNCTION("IF(A739&gt;0,MIN(FILTER('Барабан'!AJ:AJ,'Барабан'!K:K=A739)),"""")"),"")</f>
        <v/>
      </c>
      <c r="O739" s="16" t="str">
        <f>IFERROR(__xludf.DUMMYFUNCTION("IF(A739&gt;0,IFERROR(MAX(FILTER('Барабан'!AJ:AJ,'Барабан'!V:V=A739)),""–""),"""")"),"")</f>
        <v/>
      </c>
    </row>
    <row r="740" ht="15.75" customHeight="1">
      <c r="A740" s="1" t="str">
        <f>'Справочник'!E735</f>
        <v/>
      </c>
      <c r="B740" s="2" t="str">
        <f>IF(A740&gt;0,SUMIF('Барабан'!K:K,A740,'Барабан'!I:I),"")</f>
        <v/>
      </c>
      <c r="C740" s="2" t="str">
        <f>IF(A740&gt;0,SUMIF('Барабан'!V:V,A740,'Барабан'!T:T),"")</f>
        <v/>
      </c>
      <c r="D740" s="2" t="str">
        <f>IF(A740&gt;0,SUMIF('Барабан'!K:K,A740,'Барабан'!AG:AG)+SUMIF('Барабан'!V:V,A740,'Барабан'!AG:AG),"")</f>
        <v/>
      </c>
      <c r="E740" s="2" t="str">
        <f t="shared" si="1"/>
        <v/>
      </c>
      <c r="F740" s="2" t="str">
        <f t="array" ref="F740">IFERROR(IF(E740=0,0,INDEX('Справочник'!G:G,MATCH(A740,'Справочник'!F:F,0))))</f>
        <v/>
      </c>
      <c r="G740" s="2" t="str">
        <f>IF(A740&gt;0,SUMIF('Барабан'!K:K,A740,'Барабан'!P:P),"")</f>
        <v/>
      </c>
      <c r="H740" s="2" t="str">
        <f>IF(A740&gt;0,SUMIF('Барабан'!V:V,A740,'Барабан'!AA:AA),"")</f>
        <v/>
      </c>
      <c r="I740" s="2" t="str">
        <f t="shared" si="4"/>
        <v/>
      </c>
      <c r="J740" s="9" t="str">
        <f t="shared" si="2"/>
        <v/>
      </c>
      <c r="K740" s="1" t="str">
        <f>IF(A740&gt;0,COUNTIF('Барабан'!K:K,A740),"")</f>
        <v/>
      </c>
      <c r="L740" s="1" t="str">
        <f>IF(A740&gt;0,COUNTIF('Барабан'!V:V,A740),"")</f>
        <v/>
      </c>
      <c r="M740" s="1" t="str">
        <f t="shared" si="3"/>
        <v/>
      </c>
      <c r="N740" s="1" t="str">
        <f>IFERROR(__xludf.DUMMYFUNCTION("IF(A740&gt;0,MIN(FILTER('Барабан'!AJ:AJ,'Барабан'!K:K=A740)),"""")"),"")</f>
        <v/>
      </c>
      <c r="O740" s="16" t="str">
        <f>IFERROR(__xludf.DUMMYFUNCTION("IF(A740&gt;0,IFERROR(MAX(FILTER('Барабан'!AJ:AJ,'Барабан'!V:V=A740)),""–""),"""")"),"")</f>
        <v/>
      </c>
    </row>
    <row r="741" ht="15.75" customHeight="1">
      <c r="A741" s="1" t="str">
        <f>'Справочник'!E736</f>
        <v/>
      </c>
      <c r="B741" s="2" t="str">
        <f>IF(A741&gt;0,SUMIF('Барабан'!K:K,A741,'Барабан'!I:I),"")</f>
        <v/>
      </c>
      <c r="C741" s="2" t="str">
        <f>IF(A741&gt;0,SUMIF('Барабан'!V:V,A741,'Барабан'!T:T),"")</f>
        <v/>
      </c>
      <c r="D741" s="2" t="str">
        <f>IF(A741&gt;0,SUMIF('Барабан'!K:K,A741,'Барабан'!AG:AG)+SUMIF('Барабан'!V:V,A741,'Барабан'!AG:AG),"")</f>
        <v/>
      </c>
      <c r="E741" s="2" t="str">
        <f t="shared" si="1"/>
        <v/>
      </c>
      <c r="F741" s="2" t="str">
        <f t="array" ref="F741">IFERROR(IF(E741=0,0,INDEX('Справочник'!G:G,MATCH(A741,'Справочник'!F:F,0))))</f>
        <v/>
      </c>
      <c r="G741" s="2" t="str">
        <f>IF(A741&gt;0,SUMIF('Барабан'!K:K,A741,'Барабан'!P:P),"")</f>
        <v/>
      </c>
      <c r="H741" s="2" t="str">
        <f>IF(A741&gt;0,SUMIF('Барабан'!V:V,A741,'Барабан'!AA:AA),"")</f>
        <v/>
      </c>
      <c r="I741" s="2" t="str">
        <f t="shared" si="4"/>
        <v/>
      </c>
      <c r="J741" s="9" t="str">
        <f t="shared" si="2"/>
        <v/>
      </c>
      <c r="K741" s="1" t="str">
        <f>IF(A741&gt;0,COUNTIF('Барабан'!K:K,A741),"")</f>
        <v/>
      </c>
      <c r="L741" s="1" t="str">
        <f>IF(A741&gt;0,COUNTIF('Барабан'!V:V,A741),"")</f>
        <v/>
      </c>
      <c r="M741" s="1" t="str">
        <f t="shared" si="3"/>
        <v/>
      </c>
      <c r="N741" s="1" t="str">
        <f>IFERROR(__xludf.DUMMYFUNCTION("IF(A741&gt;0,MIN(FILTER('Барабан'!AJ:AJ,'Барабан'!K:K=A741)),"""")"),"")</f>
        <v/>
      </c>
      <c r="O741" s="16" t="str">
        <f>IFERROR(__xludf.DUMMYFUNCTION("IF(A741&gt;0,IFERROR(MAX(FILTER('Барабан'!AJ:AJ,'Барабан'!V:V=A741)),""–""),"""")"),"")</f>
        <v/>
      </c>
    </row>
    <row r="742" ht="15.75" customHeight="1">
      <c r="A742" s="1" t="str">
        <f>'Справочник'!E737</f>
        <v/>
      </c>
      <c r="B742" s="2" t="str">
        <f>IF(A742&gt;0,SUMIF('Барабан'!K:K,A742,'Барабан'!I:I),"")</f>
        <v/>
      </c>
      <c r="C742" s="2" t="str">
        <f>IF(A742&gt;0,SUMIF('Барабан'!V:V,A742,'Барабан'!T:T),"")</f>
        <v/>
      </c>
      <c r="D742" s="2" t="str">
        <f>IF(A742&gt;0,SUMIF('Барабан'!K:K,A742,'Барабан'!AG:AG)+SUMIF('Барабан'!V:V,A742,'Барабан'!AG:AG),"")</f>
        <v/>
      </c>
      <c r="E742" s="2" t="str">
        <f t="shared" si="1"/>
        <v/>
      </c>
      <c r="F742" s="2" t="str">
        <f t="array" ref="F742">IFERROR(IF(E742=0,0,INDEX('Справочник'!G:G,MATCH(A742,'Справочник'!F:F,0))))</f>
        <v/>
      </c>
      <c r="G742" s="2" t="str">
        <f>IF(A742&gt;0,SUMIF('Барабан'!K:K,A742,'Барабан'!P:P),"")</f>
        <v/>
      </c>
      <c r="H742" s="2" t="str">
        <f>IF(A742&gt;0,SUMIF('Барабан'!V:V,A742,'Барабан'!AA:AA),"")</f>
        <v/>
      </c>
      <c r="I742" s="2" t="str">
        <f t="shared" si="4"/>
        <v/>
      </c>
      <c r="J742" s="9" t="str">
        <f t="shared" si="2"/>
        <v/>
      </c>
      <c r="K742" s="1" t="str">
        <f>IF(A742&gt;0,COUNTIF('Барабан'!K:K,A742),"")</f>
        <v/>
      </c>
      <c r="L742" s="1" t="str">
        <f>IF(A742&gt;0,COUNTIF('Барабан'!V:V,A742),"")</f>
        <v/>
      </c>
      <c r="M742" s="1" t="str">
        <f t="shared" si="3"/>
        <v/>
      </c>
      <c r="N742" s="1" t="str">
        <f>IFERROR(__xludf.DUMMYFUNCTION("IF(A742&gt;0,MIN(FILTER('Барабан'!AJ:AJ,'Барабан'!K:K=A742)),"""")"),"")</f>
        <v/>
      </c>
      <c r="O742" s="16" t="str">
        <f>IFERROR(__xludf.DUMMYFUNCTION("IF(A742&gt;0,IFERROR(MAX(FILTER('Барабан'!AJ:AJ,'Барабан'!V:V=A742)),""–""),"""")"),"")</f>
        <v/>
      </c>
    </row>
    <row r="743" ht="15.75" customHeight="1">
      <c r="A743" s="1" t="str">
        <f>'Справочник'!E738</f>
        <v/>
      </c>
      <c r="B743" s="2" t="str">
        <f>IF(A743&gt;0,SUMIF('Барабан'!K:K,A743,'Барабан'!I:I),"")</f>
        <v/>
      </c>
      <c r="C743" s="2" t="str">
        <f>IF(A743&gt;0,SUMIF('Барабан'!V:V,A743,'Барабан'!T:T),"")</f>
        <v/>
      </c>
      <c r="D743" s="2" t="str">
        <f>IF(A743&gt;0,SUMIF('Барабан'!K:K,A743,'Барабан'!AG:AG)+SUMIF('Барабан'!V:V,A743,'Барабан'!AG:AG),"")</f>
        <v/>
      </c>
      <c r="E743" s="2" t="str">
        <f t="shared" si="1"/>
        <v/>
      </c>
      <c r="F743" s="2" t="str">
        <f t="array" ref="F743">IFERROR(IF(E743=0,0,INDEX('Справочник'!G:G,MATCH(A743,'Справочник'!F:F,0))))</f>
        <v/>
      </c>
      <c r="G743" s="2" t="str">
        <f>IF(A743&gt;0,SUMIF('Барабан'!K:K,A743,'Барабан'!P:P),"")</f>
        <v/>
      </c>
      <c r="H743" s="2" t="str">
        <f>IF(A743&gt;0,SUMIF('Барабан'!V:V,A743,'Барабан'!AA:AA),"")</f>
        <v/>
      </c>
      <c r="I743" s="2" t="str">
        <f t="shared" si="4"/>
        <v/>
      </c>
      <c r="J743" s="9" t="str">
        <f t="shared" si="2"/>
        <v/>
      </c>
      <c r="K743" s="1" t="str">
        <f>IF(A743&gt;0,COUNTIF('Барабан'!K:K,A743),"")</f>
        <v/>
      </c>
      <c r="L743" s="1" t="str">
        <f>IF(A743&gt;0,COUNTIF('Барабан'!V:V,A743),"")</f>
        <v/>
      </c>
      <c r="M743" s="1" t="str">
        <f t="shared" si="3"/>
        <v/>
      </c>
      <c r="N743" s="1" t="str">
        <f>IFERROR(__xludf.DUMMYFUNCTION("IF(A743&gt;0,MIN(FILTER('Барабан'!AJ:AJ,'Барабан'!K:K=A743)),"""")"),"")</f>
        <v/>
      </c>
      <c r="O743" s="16" t="str">
        <f>IFERROR(__xludf.DUMMYFUNCTION("IF(A743&gt;0,IFERROR(MAX(FILTER('Барабан'!AJ:AJ,'Барабан'!V:V=A743)),""–""),"""")"),"")</f>
        <v/>
      </c>
    </row>
    <row r="744" ht="15.75" customHeight="1">
      <c r="A744" s="1" t="str">
        <f>'Справочник'!E739</f>
        <v/>
      </c>
      <c r="B744" s="2" t="str">
        <f>IF(A744&gt;0,SUMIF('Барабан'!K:K,A744,'Барабан'!I:I),"")</f>
        <v/>
      </c>
      <c r="C744" s="2" t="str">
        <f>IF(A744&gt;0,SUMIF('Барабан'!V:V,A744,'Барабан'!T:T),"")</f>
        <v/>
      </c>
      <c r="D744" s="2" t="str">
        <f>IF(A744&gt;0,SUMIF('Барабан'!K:K,A744,'Барабан'!AG:AG)+SUMIF('Барабан'!V:V,A744,'Барабан'!AG:AG),"")</f>
        <v/>
      </c>
      <c r="E744" s="2" t="str">
        <f t="shared" si="1"/>
        <v/>
      </c>
      <c r="F744" s="2" t="str">
        <f t="array" ref="F744">IFERROR(IF(E744=0,0,INDEX('Справочник'!G:G,MATCH(A744,'Справочник'!F:F,0))))</f>
        <v/>
      </c>
      <c r="G744" s="2" t="str">
        <f>IF(A744&gt;0,SUMIF('Барабан'!K:K,A744,'Барабан'!P:P),"")</f>
        <v/>
      </c>
      <c r="H744" s="2" t="str">
        <f>IF(A744&gt;0,SUMIF('Барабан'!V:V,A744,'Барабан'!AA:AA),"")</f>
        <v/>
      </c>
      <c r="I744" s="2" t="str">
        <f t="shared" si="4"/>
        <v/>
      </c>
      <c r="J744" s="9" t="str">
        <f t="shared" si="2"/>
        <v/>
      </c>
      <c r="K744" s="1" t="str">
        <f>IF(A744&gt;0,COUNTIF('Барабан'!K:K,A744),"")</f>
        <v/>
      </c>
      <c r="L744" s="1" t="str">
        <f>IF(A744&gt;0,COUNTIF('Барабан'!V:V,A744),"")</f>
        <v/>
      </c>
      <c r="M744" s="1" t="str">
        <f t="shared" si="3"/>
        <v/>
      </c>
      <c r="N744" s="1" t="str">
        <f>IFERROR(__xludf.DUMMYFUNCTION("IF(A744&gt;0,MIN(FILTER('Барабан'!AJ:AJ,'Барабан'!K:K=A744)),"""")"),"")</f>
        <v/>
      </c>
      <c r="O744" s="16" t="str">
        <f>IFERROR(__xludf.DUMMYFUNCTION("IF(A744&gt;0,IFERROR(MAX(FILTER('Барабан'!AJ:AJ,'Барабан'!V:V=A744)),""–""),"""")"),"")</f>
        <v/>
      </c>
    </row>
    <row r="745" ht="15.75" customHeight="1">
      <c r="A745" s="1" t="str">
        <f>'Справочник'!E740</f>
        <v/>
      </c>
      <c r="B745" s="2" t="str">
        <f>IF(A745&gt;0,SUMIF('Барабан'!K:K,A745,'Барабан'!I:I),"")</f>
        <v/>
      </c>
      <c r="C745" s="2" t="str">
        <f>IF(A745&gt;0,SUMIF('Барабан'!V:V,A745,'Барабан'!T:T),"")</f>
        <v/>
      </c>
      <c r="D745" s="2" t="str">
        <f>IF(A745&gt;0,SUMIF('Барабан'!K:K,A745,'Барабан'!AG:AG)+SUMIF('Барабан'!V:V,A745,'Барабан'!AG:AG),"")</f>
        <v/>
      </c>
      <c r="E745" s="2" t="str">
        <f t="shared" si="1"/>
        <v/>
      </c>
      <c r="F745" s="2" t="str">
        <f t="array" ref="F745">IFERROR(IF(E745=0,0,INDEX('Справочник'!G:G,MATCH(A745,'Справочник'!F:F,0))))</f>
        <v/>
      </c>
      <c r="G745" s="2" t="str">
        <f>IF(A745&gt;0,SUMIF('Барабан'!K:K,A745,'Барабан'!P:P),"")</f>
        <v/>
      </c>
      <c r="H745" s="2" t="str">
        <f>IF(A745&gt;0,SUMIF('Барабан'!V:V,A745,'Барабан'!AA:AA),"")</f>
        <v/>
      </c>
      <c r="I745" s="2" t="str">
        <f t="shared" si="4"/>
        <v/>
      </c>
      <c r="J745" s="9" t="str">
        <f t="shared" si="2"/>
        <v/>
      </c>
      <c r="K745" s="1" t="str">
        <f>IF(A745&gt;0,COUNTIF('Барабан'!K:K,A745),"")</f>
        <v/>
      </c>
      <c r="L745" s="1" t="str">
        <f>IF(A745&gt;0,COUNTIF('Барабан'!V:V,A745),"")</f>
        <v/>
      </c>
      <c r="M745" s="1" t="str">
        <f t="shared" si="3"/>
        <v/>
      </c>
      <c r="N745" s="1" t="str">
        <f>IFERROR(__xludf.DUMMYFUNCTION("IF(A745&gt;0,MIN(FILTER('Барабан'!AJ:AJ,'Барабан'!K:K=A745)),"""")"),"")</f>
        <v/>
      </c>
      <c r="O745" s="16" t="str">
        <f>IFERROR(__xludf.DUMMYFUNCTION("IF(A745&gt;0,IFERROR(MAX(FILTER('Барабан'!AJ:AJ,'Барабан'!V:V=A745)),""–""),"""")"),"")</f>
        <v/>
      </c>
    </row>
    <row r="746" ht="15.75" customHeight="1">
      <c r="A746" s="1" t="str">
        <f>'Справочник'!E741</f>
        <v/>
      </c>
      <c r="B746" s="2" t="str">
        <f>IF(A746&gt;0,SUMIF('Барабан'!K:K,A746,'Барабан'!I:I),"")</f>
        <v/>
      </c>
      <c r="C746" s="2" t="str">
        <f>IF(A746&gt;0,SUMIF('Барабан'!V:V,A746,'Барабан'!T:T),"")</f>
        <v/>
      </c>
      <c r="D746" s="2" t="str">
        <f>IF(A746&gt;0,SUMIF('Барабан'!K:K,A746,'Барабан'!AG:AG)+SUMIF('Барабан'!V:V,A746,'Барабан'!AG:AG),"")</f>
        <v/>
      </c>
      <c r="E746" s="2" t="str">
        <f t="shared" si="1"/>
        <v/>
      </c>
      <c r="F746" s="2" t="str">
        <f t="array" ref="F746">IFERROR(IF(E746=0,0,INDEX('Справочник'!G:G,MATCH(A746,'Справочник'!F:F,0))))</f>
        <v/>
      </c>
      <c r="G746" s="2" t="str">
        <f>IF(A746&gt;0,SUMIF('Барабан'!K:K,A746,'Барабан'!P:P),"")</f>
        <v/>
      </c>
      <c r="H746" s="2" t="str">
        <f>IF(A746&gt;0,SUMIF('Барабан'!V:V,A746,'Барабан'!AA:AA),"")</f>
        <v/>
      </c>
      <c r="I746" s="2" t="str">
        <f t="shared" si="4"/>
        <v/>
      </c>
      <c r="J746" s="9" t="str">
        <f t="shared" si="2"/>
        <v/>
      </c>
      <c r="K746" s="1" t="str">
        <f>IF(A746&gt;0,COUNTIF('Барабан'!K:K,A746),"")</f>
        <v/>
      </c>
      <c r="L746" s="1" t="str">
        <f>IF(A746&gt;0,COUNTIF('Барабан'!V:V,A746),"")</f>
        <v/>
      </c>
      <c r="M746" s="1" t="str">
        <f t="shared" si="3"/>
        <v/>
      </c>
      <c r="N746" s="1" t="str">
        <f>IFERROR(__xludf.DUMMYFUNCTION("IF(A746&gt;0,MIN(FILTER('Барабан'!AJ:AJ,'Барабан'!K:K=A746)),"""")"),"")</f>
        <v/>
      </c>
      <c r="O746" s="16" t="str">
        <f>IFERROR(__xludf.DUMMYFUNCTION("IF(A746&gt;0,IFERROR(MAX(FILTER('Барабан'!AJ:AJ,'Барабан'!V:V=A746)),""–""),"""")"),"")</f>
        <v/>
      </c>
    </row>
    <row r="747" ht="15.75" customHeight="1">
      <c r="A747" s="1" t="str">
        <f>'Справочник'!E742</f>
        <v/>
      </c>
      <c r="B747" s="2" t="str">
        <f>IF(A747&gt;0,SUMIF('Барабан'!K:K,A747,'Барабан'!I:I),"")</f>
        <v/>
      </c>
      <c r="C747" s="2" t="str">
        <f>IF(A747&gt;0,SUMIF('Барабан'!V:V,A747,'Барабан'!T:T),"")</f>
        <v/>
      </c>
      <c r="D747" s="2" t="str">
        <f>IF(A747&gt;0,SUMIF('Барабан'!K:K,A747,'Барабан'!AG:AG)+SUMIF('Барабан'!V:V,A747,'Барабан'!AG:AG),"")</f>
        <v/>
      </c>
      <c r="E747" s="2" t="str">
        <f t="shared" si="1"/>
        <v/>
      </c>
      <c r="F747" s="2" t="str">
        <f t="array" ref="F747">IFERROR(IF(E747=0,0,INDEX('Справочник'!G:G,MATCH(A747,'Справочник'!F:F,0))))</f>
        <v/>
      </c>
      <c r="G747" s="2" t="str">
        <f>IF(A747&gt;0,SUMIF('Барабан'!K:K,A747,'Барабан'!P:P),"")</f>
        <v/>
      </c>
      <c r="H747" s="2" t="str">
        <f>IF(A747&gt;0,SUMIF('Барабан'!V:V,A747,'Барабан'!AA:AA),"")</f>
        <v/>
      </c>
      <c r="I747" s="2" t="str">
        <f t="shared" si="4"/>
        <v/>
      </c>
      <c r="J747" s="9" t="str">
        <f t="shared" si="2"/>
        <v/>
      </c>
      <c r="K747" s="1" t="str">
        <f>IF(A747&gt;0,COUNTIF('Барабан'!K:K,A747),"")</f>
        <v/>
      </c>
      <c r="L747" s="1" t="str">
        <f>IF(A747&gt;0,COUNTIF('Барабан'!V:V,A747),"")</f>
        <v/>
      </c>
      <c r="M747" s="1" t="str">
        <f t="shared" si="3"/>
        <v/>
      </c>
      <c r="N747" s="1" t="str">
        <f>IFERROR(__xludf.DUMMYFUNCTION("IF(A747&gt;0,MIN(FILTER('Барабан'!AJ:AJ,'Барабан'!K:K=A747)),"""")"),"")</f>
        <v/>
      </c>
      <c r="O747" s="16" t="str">
        <f>IFERROR(__xludf.DUMMYFUNCTION("IF(A747&gt;0,IFERROR(MAX(FILTER('Барабан'!AJ:AJ,'Барабан'!V:V=A747)),""–""),"""")"),"")</f>
        <v/>
      </c>
    </row>
    <row r="748" ht="15.75" customHeight="1">
      <c r="A748" s="1" t="str">
        <f>'Справочник'!E743</f>
        <v/>
      </c>
      <c r="B748" s="2" t="str">
        <f>IF(A748&gt;0,SUMIF('Барабан'!K:K,A748,'Барабан'!I:I),"")</f>
        <v/>
      </c>
      <c r="C748" s="2" t="str">
        <f>IF(A748&gt;0,SUMIF('Барабан'!V:V,A748,'Барабан'!T:T),"")</f>
        <v/>
      </c>
      <c r="D748" s="2" t="str">
        <f>IF(A748&gt;0,SUMIF('Барабан'!K:K,A748,'Барабан'!AG:AG)+SUMIF('Барабан'!V:V,A748,'Барабан'!AG:AG),"")</f>
        <v/>
      </c>
      <c r="E748" s="2" t="str">
        <f t="shared" si="1"/>
        <v/>
      </c>
      <c r="F748" s="2" t="str">
        <f t="array" ref="F748">IFERROR(IF(E748=0,0,INDEX('Справочник'!G:G,MATCH(A748,'Справочник'!F:F,0))))</f>
        <v/>
      </c>
      <c r="G748" s="2" t="str">
        <f>IF(A748&gt;0,SUMIF('Барабан'!K:K,A748,'Барабан'!P:P),"")</f>
        <v/>
      </c>
      <c r="H748" s="2" t="str">
        <f>IF(A748&gt;0,SUMIF('Барабан'!V:V,A748,'Барабан'!AA:AA),"")</f>
        <v/>
      </c>
      <c r="I748" s="2" t="str">
        <f t="shared" si="4"/>
        <v/>
      </c>
      <c r="J748" s="9" t="str">
        <f t="shared" si="2"/>
        <v/>
      </c>
      <c r="K748" s="1" t="str">
        <f>IF(A748&gt;0,COUNTIF('Барабан'!K:K,A748),"")</f>
        <v/>
      </c>
      <c r="L748" s="1" t="str">
        <f>IF(A748&gt;0,COUNTIF('Барабан'!V:V,A748),"")</f>
        <v/>
      </c>
      <c r="M748" s="1" t="str">
        <f t="shared" si="3"/>
        <v/>
      </c>
      <c r="N748" s="1" t="str">
        <f>IFERROR(__xludf.DUMMYFUNCTION("IF(A748&gt;0,MIN(FILTER('Барабан'!AJ:AJ,'Барабан'!K:K=A748)),"""")"),"")</f>
        <v/>
      </c>
      <c r="O748" s="16" t="str">
        <f>IFERROR(__xludf.DUMMYFUNCTION("IF(A748&gt;0,IFERROR(MAX(FILTER('Барабан'!AJ:AJ,'Барабан'!V:V=A748)),""–""),"""")"),"")</f>
        <v/>
      </c>
    </row>
    <row r="749" ht="15.75" customHeight="1">
      <c r="A749" s="1" t="str">
        <f>'Справочник'!E744</f>
        <v/>
      </c>
      <c r="B749" s="2" t="str">
        <f>IF(A749&gt;0,SUMIF('Барабан'!K:K,A749,'Барабан'!I:I),"")</f>
        <v/>
      </c>
      <c r="C749" s="2" t="str">
        <f>IF(A749&gt;0,SUMIF('Барабан'!V:V,A749,'Барабан'!T:T),"")</f>
        <v/>
      </c>
      <c r="D749" s="2" t="str">
        <f>IF(A749&gt;0,SUMIF('Барабан'!K:K,A749,'Барабан'!AG:AG)+SUMIF('Барабан'!V:V,A749,'Барабан'!AG:AG),"")</f>
        <v/>
      </c>
      <c r="E749" s="2" t="str">
        <f t="shared" si="1"/>
        <v/>
      </c>
      <c r="F749" s="2" t="str">
        <f t="array" ref="F749">IFERROR(IF(E749=0,0,INDEX('Справочник'!G:G,MATCH(A749,'Справочник'!F:F,0))))</f>
        <v/>
      </c>
      <c r="G749" s="2" t="str">
        <f>IF(A749&gt;0,SUMIF('Барабан'!K:K,A749,'Барабан'!P:P),"")</f>
        <v/>
      </c>
      <c r="H749" s="2" t="str">
        <f>IF(A749&gt;0,SUMIF('Барабан'!V:V,A749,'Барабан'!AA:AA),"")</f>
        <v/>
      </c>
      <c r="I749" s="2" t="str">
        <f t="shared" si="4"/>
        <v/>
      </c>
      <c r="J749" s="9" t="str">
        <f t="shared" si="2"/>
        <v/>
      </c>
      <c r="K749" s="1" t="str">
        <f>IF(A749&gt;0,COUNTIF('Барабан'!K:K,A749),"")</f>
        <v/>
      </c>
      <c r="L749" s="1" t="str">
        <f>IF(A749&gt;0,COUNTIF('Барабан'!V:V,A749),"")</f>
        <v/>
      </c>
      <c r="M749" s="1" t="str">
        <f t="shared" si="3"/>
        <v/>
      </c>
      <c r="N749" s="1" t="str">
        <f>IFERROR(__xludf.DUMMYFUNCTION("IF(A749&gt;0,MIN(FILTER('Барабан'!AJ:AJ,'Барабан'!K:K=A749)),"""")"),"")</f>
        <v/>
      </c>
      <c r="O749" s="16" t="str">
        <f>IFERROR(__xludf.DUMMYFUNCTION("IF(A749&gt;0,IFERROR(MAX(FILTER('Барабан'!AJ:AJ,'Барабан'!V:V=A749)),""–""),"""")"),"")</f>
        <v/>
      </c>
    </row>
    <row r="750" ht="15.75" customHeight="1">
      <c r="A750" s="1" t="str">
        <f>'Справочник'!E745</f>
        <v/>
      </c>
      <c r="B750" s="2" t="str">
        <f>IF(A750&gt;0,SUMIF('Барабан'!K:K,A750,'Барабан'!I:I),"")</f>
        <v/>
      </c>
      <c r="C750" s="2" t="str">
        <f>IF(A750&gt;0,SUMIF('Барабан'!V:V,A750,'Барабан'!T:T),"")</f>
        <v/>
      </c>
      <c r="D750" s="2" t="str">
        <f>IF(A750&gt;0,SUMIF('Барабан'!K:K,A750,'Барабан'!AG:AG)+SUMIF('Барабан'!V:V,A750,'Барабан'!AG:AG),"")</f>
        <v/>
      </c>
      <c r="E750" s="2" t="str">
        <f t="shared" si="1"/>
        <v/>
      </c>
      <c r="F750" s="2" t="str">
        <f t="array" ref="F750">IFERROR(IF(E750=0,0,INDEX('Справочник'!G:G,MATCH(A750,'Справочник'!F:F,0))))</f>
        <v/>
      </c>
      <c r="G750" s="2" t="str">
        <f>IF(A750&gt;0,SUMIF('Барабан'!K:K,A750,'Барабан'!P:P),"")</f>
        <v/>
      </c>
      <c r="H750" s="2" t="str">
        <f>IF(A750&gt;0,SUMIF('Барабан'!V:V,A750,'Барабан'!AA:AA),"")</f>
        <v/>
      </c>
      <c r="I750" s="2" t="str">
        <f t="shared" si="4"/>
        <v/>
      </c>
      <c r="J750" s="9" t="str">
        <f t="shared" si="2"/>
        <v/>
      </c>
      <c r="K750" s="1" t="str">
        <f>IF(A750&gt;0,COUNTIF('Барабан'!K:K,A750),"")</f>
        <v/>
      </c>
      <c r="L750" s="1" t="str">
        <f>IF(A750&gt;0,COUNTIF('Барабан'!V:V,A750),"")</f>
        <v/>
      </c>
      <c r="M750" s="1" t="str">
        <f t="shared" si="3"/>
        <v/>
      </c>
      <c r="N750" s="1" t="str">
        <f>IFERROR(__xludf.DUMMYFUNCTION("IF(A750&gt;0,MIN(FILTER('Барабан'!AJ:AJ,'Барабан'!K:K=A750)),"""")"),"")</f>
        <v/>
      </c>
      <c r="O750" s="16" t="str">
        <f>IFERROR(__xludf.DUMMYFUNCTION("IF(A750&gt;0,IFERROR(MAX(FILTER('Барабан'!AJ:AJ,'Барабан'!V:V=A750)),""–""),"""")"),"")</f>
        <v/>
      </c>
    </row>
    <row r="751" ht="15.75" customHeight="1">
      <c r="A751" s="1" t="str">
        <f>'Справочник'!E746</f>
        <v/>
      </c>
      <c r="B751" s="2" t="str">
        <f>IF(A751&gt;0,SUMIF('Барабан'!K:K,A751,'Барабан'!I:I),"")</f>
        <v/>
      </c>
      <c r="C751" s="2" t="str">
        <f>IF(A751&gt;0,SUMIF('Барабан'!V:V,A751,'Барабан'!T:T),"")</f>
        <v/>
      </c>
      <c r="D751" s="2" t="str">
        <f>IF(A751&gt;0,SUMIF('Барабан'!K:K,A751,'Барабан'!AG:AG)+SUMIF('Барабан'!V:V,A751,'Барабан'!AG:AG),"")</f>
        <v/>
      </c>
      <c r="E751" s="2" t="str">
        <f t="shared" si="1"/>
        <v/>
      </c>
      <c r="F751" s="2" t="str">
        <f t="array" ref="F751">IFERROR(IF(E751=0,0,INDEX('Справочник'!G:G,MATCH(A751,'Справочник'!F:F,0))))</f>
        <v/>
      </c>
      <c r="G751" s="2" t="str">
        <f>IF(A751&gt;0,SUMIF('Барабан'!K:K,A751,'Барабан'!P:P),"")</f>
        <v/>
      </c>
      <c r="H751" s="2" t="str">
        <f>IF(A751&gt;0,SUMIF('Барабан'!V:V,A751,'Барабан'!AA:AA),"")</f>
        <v/>
      </c>
      <c r="I751" s="2" t="str">
        <f t="shared" si="4"/>
        <v/>
      </c>
      <c r="J751" s="9" t="str">
        <f t="shared" si="2"/>
        <v/>
      </c>
      <c r="K751" s="1" t="str">
        <f>IF(A751&gt;0,COUNTIF('Барабан'!K:K,A751),"")</f>
        <v/>
      </c>
      <c r="L751" s="1" t="str">
        <f>IF(A751&gt;0,COUNTIF('Барабан'!V:V,A751),"")</f>
        <v/>
      </c>
      <c r="M751" s="1" t="str">
        <f t="shared" si="3"/>
        <v/>
      </c>
      <c r="N751" s="1" t="str">
        <f>IFERROR(__xludf.DUMMYFUNCTION("IF(A751&gt;0,MIN(FILTER('Барабан'!AJ:AJ,'Барабан'!K:K=A751)),"""")"),"")</f>
        <v/>
      </c>
      <c r="O751" s="16" t="str">
        <f>IFERROR(__xludf.DUMMYFUNCTION("IF(A751&gt;0,IFERROR(MAX(FILTER('Барабан'!AJ:AJ,'Барабан'!V:V=A751)),""–""),"""")"),"")</f>
        <v/>
      </c>
    </row>
    <row r="752" ht="15.75" customHeight="1">
      <c r="A752" s="1" t="str">
        <f>'Справочник'!E747</f>
        <v/>
      </c>
      <c r="B752" s="2" t="str">
        <f>IF(A752&gt;0,SUMIF('Барабан'!K:K,A752,'Барабан'!I:I),"")</f>
        <v/>
      </c>
      <c r="C752" s="2" t="str">
        <f>IF(A752&gt;0,SUMIF('Барабан'!V:V,A752,'Барабан'!T:T),"")</f>
        <v/>
      </c>
      <c r="D752" s="2" t="str">
        <f>IF(A752&gt;0,SUMIF('Барабан'!K:K,A752,'Барабан'!AG:AG)+SUMIF('Барабан'!V:V,A752,'Барабан'!AG:AG),"")</f>
        <v/>
      </c>
      <c r="E752" s="2" t="str">
        <f t="shared" si="1"/>
        <v/>
      </c>
      <c r="F752" s="2" t="str">
        <f t="array" ref="F752">IFERROR(IF(E752=0,0,INDEX('Справочник'!G:G,MATCH(A752,'Справочник'!F:F,0))))</f>
        <v/>
      </c>
      <c r="G752" s="2" t="str">
        <f>IF(A752&gt;0,SUMIF('Барабан'!K:K,A752,'Барабан'!P:P),"")</f>
        <v/>
      </c>
      <c r="H752" s="2" t="str">
        <f>IF(A752&gt;0,SUMIF('Барабан'!V:V,A752,'Барабан'!AA:AA),"")</f>
        <v/>
      </c>
      <c r="I752" s="2" t="str">
        <f t="shared" si="4"/>
        <v/>
      </c>
      <c r="J752" s="9" t="str">
        <f t="shared" si="2"/>
        <v/>
      </c>
      <c r="K752" s="1" t="str">
        <f>IF(A752&gt;0,COUNTIF('Барабан'!K:K,A752),"")</f>
        <v/>
      </c>
      <c r="L752" s="1" t="str">
        <f>IF(A752&gt;0,COUNTIF('Барабан'!V:V,A752),"")</f>
        <v/>
      </c>
      <c r="M752" s="1" t="str">
        <f t="shared" si="3"/>
        <v/>
      </c>
      <c r="N752" s="1" t="str">
        <f>IFERROR(__xludf.DUMMYFUNCTION("IF(A752&gt;0,MIN(FILTER('Барабан'!AJ:AJ,'Барабан'!K:K=A752)),"""")"),"")</f>
        <v/>
      </c>
      <c r="O752" s="16" t="str">
        <f>IFERROR(__xludf.DUMMYFUNCTION("IF(A752&gt;0,IFERROR(MAX(FILTER('Барабан'!AJ:AJ,'Барабан'!V:V=A752)),""–""),"""")"),"")</f>
        <v/>
      </c>
    </row>
    <row r="753" ht="15.75" customHeight="1">
      <c r="A753" s="1" t="str">
        <f>'Справочник'!E748</f>
        <v/>
      </c>
      <c r="B753" s="2" t="str">
        <f>IF(A753&gt;0,SUMIF('Барабан'!K:K,A753,'Барабан'!I:I),"")</f>
        <v/>
      </c>
      <c r="C753" s="2" t="str">
        <f>IF(A753&gt;0,SUMIF('Барабан'!V:V,A753,'Барабан'!T:T),"")</f>
        <v/>
      </c>
      <c r="D753" s="2" t="str">
        <f>IF(A753&gt;0,SUMIF('Барабан'!K:K,A753,'Барабан'!AG:AG)+SUMIF('Барабан'!V:V,A753,'Барабан'!AG:AG),"")</f>
        <v/>
      </c>
      <c r="E753" s="2" t="str">
        <f t="shared" si="1"/>
        <v/>
      </c>
      <c r="F753" s="2" t="str">
        <f t="array" ref="F753">IFERROR(IF(E753=0,0,INDEX('Справочник'!G:G,MATCH(A753,'Справочник'!F:F,0))))</f>
        <v/>
      </c>
      <c r="G753" s="2" t="str">
        <f>IF(A753&gt;0,SUMIF('Барабан'!K:K,A753,'Барабан'!P:P),"")</f>
        <v/>
      </c>
      <c r="H753" s="2" t="str">
        <f>IF(A753&gt;0,SUMIF('Барабан'!V:V,A753,'Барабан'!AA:AA),"")</f>
        <v/>
      </c>
      <c r="I753" s="2" t="str">
        <f t="shared" si="4"/>
        <v/>
      </c>
      <c r="J753" s="9" t="str">
        <f t="shared" si="2"/>
        <v/>
      </c>
      <c r="K753" s="1" t="str">
        <f>IF(A753&gt;0,COUNTIF('Барабан'!K:K,A753),"")</f>
        <v/>
      </c>
      <c r="L753" s="1" t="str">
        <f>IF(A753&gt;0,COUNTIF('Барабан'!V:V,A753),"")</f>
        <v/>
      </c>
      <c r="M753" s="1" t="str">
        <f t="shared" si="3"/>
        <v/>
      </c>
      <c r="N753" s="1" t="str">
        <f>IFERROR(__xludf.DUMMYFUNCTION("IF(A753&gt;0,MIN(FILTER('Барабан'!AJ:AJ,'Барабан'!K:K=A753)),"""")"),"")</f>
        <v/>
      </c>
      <c r="O753" s="16" t="str">
        <f>IFERROR(__xludf.DUMMYFUNCTION("IF(A753&gt;0,IFERROR(MAX(FILTER('Барабан'!AJ:AJ,'Барабан'!V:V=A753)),""–""),"""")"),"")</f>
        <v/>
      </c>
    </row>
    <row r="754" ht="15.75" customHeight="1">
      <c r="A754" s="1" t="str">
        <f>'Справочник'!E749</f>
        <v/>
      </c>
      <c r="B754" s="2" t="str">
        <f>IF(A754&gt;0,SUMIF('Барабан'!K:K,A754,'Барабан'!I:I),"")</f>
        <v/>
      </c>
      <c r="C754" s="2" t="str">
        <f>IF(A754&gt;0,SUMIF('Барабан'!V:V,A754,'Барабан'!T:T),"")</f>
        <v/>
      </c>
      <c r="D754" s="2" t="str">
        <f>IF(A754&gt;0,SUMIF('Барабан'!K:K,A754,'Барабан'!AG:AG)+SUMIF('Барабан'!V:V,A754,'Барабан'!AG:AG),"")</f>
        <v/>
      </c>
      <c r="E754" s="2" t="str">
        <f t="shared" si="1"/>
        <v/>
      </c>
      <c r="F754" s="2" t="str">
        <f t="array" ref="F754">IFERROR(IF(E754=0,0,INDEX('Справочник'!G:G,MATCH(A754,'Справочник'!F:F,0))))</f>
        <v/>
      </c>
      <c r="G754" s="2" t="str">
        <f>IF(A754&gt;0,SUMIF('Барабан'!K:K,A754,'Барабан'!P:P),"")</f>
        <v/>
      </c>
      <c r="H754" s="2" t="str">
        <f>IF(A754&gt;0,SUMIF('Барабан'!V:V,A754,'Барабан'!AA:AA),"")</f>
        <v/>
      </c>
      <c r="I754" s="2" t="str">
        <f t="shared" si="4"/>
        <v/>
      </c>
      <c r="J754" s="9" t="str">
        <f t="shared" si="2"/>
        <v/>
      </c>
      <c r="K754" s="1" t="str">
        <f>IF(A754&gt;0,COUNTIF('Барабан'!K:K,A754),"")</f>
        <v/>
      </c>
      <c r="L754" s="1" t="str">
        <f>IF(A754&gt;0,COUNTIF('Барабан'!V:V,A754),"")</f>
        <v/>
      </c>
      <c r="M754" s="1" t="str">
        <f t="shared" si="3"/>
        <v/>
      </c>
      <c r="N754" s="1" t="str">
        <f>IFERROR(__xludf.DUMMYFUNCTION("IF(A754&gt;0,MIN(FILTER('Барабан'!AJ:AJ,'Барабан'!K:K=A754)),"""")"),"")</f>
        <v/>
      </c>
      <c r="O754" s="16" t="str">
        <f>IFERROR(__xludf.DUMMYFUNCTION("IF(A754&gt;0,IFERROR(MAX(FILTER('Барабан'!AJ:AJ,'Барабан'!V:V=A754)),""–""),"""")"),"")</f>
        <v/>
      </c>
    </row>
    <row r="755" ht="15.75" customHeight="1">
      <c r="A755" s="1" t="str">
        <f>'Справочник'!E750</f>
        <v/>
      </c>
      <c r="B755" s="2" t="str">
        <f>IF(A755&gt;0,SUMIF('Барабан'!K:K,A755,'Барабан'!I:I),"")</f>
        <v/>
      </c>
      <c r="C755" s="2" t="str">
        <f>IF(A755&gt;0,SUMIF('Барабан'!V:V,A755,'Барабан'!T:T),"")</f>
        <v/>
      </c>
      <c r="D755" s="2" t="str">
        <f>IF(A755&gt;0,SUMIF('Барабан'!K:K,A755,'Барабан'!AG:AG)+SUMIF('Барабан'!V:V,A755,'Барабан'!AG:AG),"")</f>
        <v/>
      </c>
      <c r="E755" s="2" t="str">
        <f t="shared" si="1"/>
        <v/>
      </c>
      <c r="F755" s="2" t="str">
        <f t="array" ref="F755">IFERROR(IF(E755=0,0,INDEX('Справочник'!G:G,MATCH(A755,'Справочник'!F:F,0))))</f>
        <v/>
      </c>
      <c r="G755" s="2" t="str">
        <f>IF(A755&gt;0,SUMIF('Барабан'!K:K,A755,'Барабан'!P:P),"")</f>
        <v/>
      </c>
      <c r="H755" s="2" t="str">
        <f>IF(A755&gt;0,SUMIF('Барабан'!V:V,A755,'Барабан'!AA:AA),"")</f>
        <v/>
      </c>
      <c r="I755" s="2" t="str">
        <f t="shared" si="4"/>
        <v/>
      </c>
      <c r="J755" s="9" t="str">
        <f t="shared" si="2"/>
        <v/>
      </c>
      <c r="K755" s="1" t="str">
        <f>IF(A755&gt;0,COUNTIF('Барабан'!K:K,A755),"")</f>
        <v/>
      </c>
      <c r="L755" s="1" t="str">
        <f>IF(A755&gt;0,COUNTIF('Барабан'!V:V,A755),"")</f>
        <v/>
      </c>
      <c r="M755" s="1" t="str">
        <f t="shared" si="3"/>
        <v/>
      </c>
      <c r="N755" s="1" t="str">
        <f>IFERROR(__xludf.DUMMYFUNCTION("IF(A755&gt;0,MIN(FILTER('Барабан'!AJ:AJ,'Барабан'!K:K=A755)),"""")"),"")</f>
        <v/>
      </c>
      <c r="O755" s="16" t="str">
        <f>IFERROR(__xludf.DUMMYFUNCTION("IF(A755&gt;0,IFERROR(MAX(FILTER('Барабан'!AJ:AJ,'Барабан'!V:V=A755)),""–""),"""")"),"")</f>
        <v/>
      </c>
    </row>
    <row r="756" ht="15.75" customHeight="1">
      <c r="A756" s="1" t="str">
        <f>'Справочник'!E751</f>
        <v/>
      </c>
      <c r="B756" s="2" t="str">
        <f>IF(A756&gt;0,SUMIF('Барабан'!K:K,A756,'Барабан'!I:I),"")</f>
        <v/>
      </c>
      <c r="C756" s="2" t="str">
        <f>IF(A756&gt;0,SUMIF('Барабан'!V:V,A756,'Барабан'!T:T),"")</f>
        <v/>
      </c>
      <c r="D756" s="2" t="str">
        <f>IF(A756&gt;0,SUMIF('Барабан'!K:K,A756,'Барабан'!AG:AG)+SUMIF('Барабан'!V:V,A756,'Барабан'!AG:AG),"")</f>
        <v/>
      </c>
      <c r="E756" s="2" t="str">
        <f t="shared" si="1"/>
        <v/>
      </c>
      <c r="F756" s="2" t="str">
        <f t="array" ref="F756">IFERROR(IF(E756=0,0,INDEX('Справочник'!G:G,MATCH(A756,'Справочник'!F:F,0))))</f>
        <v/>
      </c>
      <c r="G756" s="2" t="str">
        <f>IF(A756&gt;0,SUMIF('Барабан'!K:K,A756,'Барабан'!P:P),"")</f>
        <v/>
      </c>
      <c r="H756" s="2" t="str">
        <f>IF(A756&gt;0,SUMIF('Барабан'!V:V,A756,'Барабан'!AA:AA),"")</f>
        <v/>
      </c>
      <c r="I756" s="2" t="str">
        <f t="shared" si="4"/>
        <v/>
      </c>
      <c r="J756" s="9" t="str">
        <f t="shared" si="2"/>
        <v/>
      </c>
      <c r="K756" s="1" t="str">
        <f>IF(A756&gt;0,COUNTIF('Барабан'!K:K,A756),"")</f>
        <v/>
      </c>
      <c r="L756" s="1" t="str">
        <f>IF(A756&gt;0,COUNTIF('Барабан'!V:V,A756),"")</f>
        <v/>
      </c>
      <c r="M756" s="1" t="str">
        <f t="shared" si="3"/>
        <v/>
      </c>
      <c r="N756" s="1" t="str">
        <f>IFERROR(__xludf.DUMMYFUNCTION("IF(A756&gt;0,MIN(FILTER('Барабан'!AJ:AJ,'Барабан'!K:K=A756)),"""")"),"")</f>
        <v/>
      </c>
      <c r="O756" s="16" t="str">
        <f>IFERROR(__xludf.DUMMYFUNCTION("IF(A756&gt;0,IFERROR(MAX(FILTER('Барабан'!AJ:AJ,'Барабан'!V:V=A756)),""–""),"""")"),"")</f>
        <v/>
      </c>
    </row>
    <row r="757" ht="15.75" customHeight="1">
      <c r="A757" s="1" t="str">
        <f>'Справочник'!E752</f>
        <v/>
      </c>
      <c r="B757" s="2" t="str">
        <f>IF(A757&gt;0,SUMIF('Барабан'!K:K,A757,'Барабан'!I:I),"")</f>
        <v/>
      </c>
      <c r="C757" s="2" t="str">
        <f>IF(A757&gt;0,SUMIF('Барабан'!V:V,A757,'Барабан'!T:T),"")</f>
        <v/>
      </c>
      <c r="D757" s="2" t="str">
        <f>IF(A757&gt;0,SUMIF('Барабан'!K:K,A757,'Барабан'!AG:AG)+SUMIF('Барабан'!V:V,A757,'Барабан'!AG:AG),"")</f>
        <v/>
      </c>
      <c r="E757" s="2" t="str">
        <f t="shared" si="1"/>
        <v/>
      </c>
      <c r="F757" s="2" t="str">
        <f t="array" ref="F757">IFERROR(IF(E757=0,0,INDEX('Справочник'!G:G,MATCH(A757,'Справочник'!F:F,0))))</f>
        <v/>
      </c>
      <c r="G757" s="2" t="str">
        <f>IF(A757&gt;0,SUMIF('Барабан'!K:K,A757,'Барабан'!P:P),"")</f>
        <v/>
      </c>
      <c r="H757" s="2" t="str">
        <f>IF(A757&gt;0,SUMIF('Барабан'!V:V,A757,'Барабан'!AA:AA),"")</f>
        <v/>
      </c>
      <c r="I757" s="2" t="str">
        <f t="shared" si="4"/>
        <v/>
      </c>
      <c r="J757" s="9" t="str">
        <f t="shared" si="2"/>
        <v/>
      </c>
      <c r="K757" s="1" t="str">
        <f>IF(A757&gt;0,COUNTIF('Барабан'!K:K,A757),"")</f>
        <v/>
      </c>
      <c r="L757" s="1" t="str">
        <f>IF(A757&gt;0,COUNTIF('Барабан'!V:V,A757),"")</f>
        <v/>
      </c>
      <c r="M757" s="1" t="str">
        <f t="shared" si="3"/>
        <v/>
      </c>
      <c r="N757" s="1" t="str">
        <f>IFERROR(__xludf.DUMMYFUNCTION("IF(A757&gt;0,MIN(FILTER('Барабан'!AJ:AJ,'Барабан'!K:K=A757)),"""")"),"")</f>
        <v/>
      </c>
      <c r="O757" s="16" t="str">
        <f>IFERROR(__xludf.DUMMYFUNCTION("IF(A757&gt;0,IFERROR(MAX(FILTER('Барабан'!AJ:AJ,'Барабан'!V:V=A757)),""–""),"""")"),"")</f>
        <v/>
      </c>
    </row>
    <row r="758" ht="15.75" customHeight="1">
      <c r="A758" s="1" t="str">
        <f>'Справочник'!E753</f>
        <v/>
      </c>
      <c r="B758" s="2" t="str">
        <f>IF(A758&gt;0,SUMIF('Барабан'!K:K,A758,'Барабан'!I:I),"")</f>
        <v/>
      </c>
      <c r="C758" s="2" t="str">
        <f>IF(A758&gt;0,SUMIF('Барабан'!V:V,A758,'Барабан'!T:T),"")</f>
        <v/>
      </c>
      <c r="D758" s="2" t="str">
        <f>IF(A758&gt;0,SUMIF('Барабан'!K:K,A758,'Барабан'!AG:AG)+SUMIF('Барабан'!V:V,A758,'Барабан'!AG:AG),"")</f>
        <v/>
      </c>
      <c r="E758" s="2" t="str">
        <f t="shared" si="1"/>
        <v/>
      </c>
      <c r="F758" s="2" t="str">
        <f t="array" ref="F758">IFERROR(IF(E758=0,0,INDEX('Справочник'!G:G,MATCH(A758,'Справочник'!F:F,0))))</f>
        <v/>
      </c>
      <c r="G758" s="2" t="str">
        <f>IF(A758&gt;0,SUMIF('Барабан'!K:K,A758,'Барабан'!P:P),"")</f>
        <v/>
      </c>
      <c r="H758" s="2" t="str">
        <f>IF(A758&gt;0,SUMIF('Барабан'!V:V,A758,'Барабан'!AA:AA),"")</f>
        <v/>
      </c>
      <c r="I758" s="2" t="str">
        <f t="shared" si="4"/>
        <v/>
      </c>
      <c r="J758" s="9" t="str">
        <f t="shared" si="2"/>
        <v/>
      </c>
      <c r="K758" s="1" t="str">
        <f>IF(A758&gt;0,COUNTIF('Барабан'!K:K,A758),"")</f>
        <v/>
      </c>
      <c r="L758" s="1" t="str">
        <f>IF(A758&gt;0,COUNTIF('Барабан'!V:V,A758),"")</f>
        <v/>
      </c>
      <c r="M758" s="1" t="str">
        <f t="shared" si="3"/>
        <v/>
      </c>
      <c r="N758" s="1" t="str">
        <f>IFERROR(__xludf.DUMMYFUNCTION("IF(A758&gt;0,MIN(FILTER('Барабан'!AJ:AJ,'Барабан'!K:K=A758)),"""")"),"")</f>
        <v/>
      </c>
      <c r="O758" s="16" t="str">
        <f>IFERROR(__xludf.DUMMYFUNCTION("IF(A758&gt;0,IFERROR(MAX(FILTER('Барабан'!AJ:AJ,'Барабан'!V:V=A758)),""–""),"""")"),"")</f>
        <v/>
      </c>
    </row>
    <row r="759" ht="15.75" customHeight="1">
      <c r="A759" s="1" t="str">
        <f>'Справочник'!E754</f>
        <v/>
      </c>
      <c r="B759" s="2" t="str">
        <f>IF(A759&gt;0,SUMIF('Барабан'!K:K,A759,'Барабан'!I:I),"")</f>
        <v/>
      </c>
      <c r="C759" s="2" t="str">
        <f>IF(A759&gt;0,SUMIF('Барабан'!V:V,A759,'Барабан'!T:T),"")</f>
        <v/>
      </c>
      <c r="D759" s="2" t="str">
        <f>IF(A759&gt;0,SUMIF('Барабан'!K:K,A759,'Барабан'!AG:AG)+SUMIF('Барабан'!V:V,A759,'Барабан'!AG:AG),"")</f>
        <v/>
      </c>
      <c r="E759" s="2" t="str">
        <f t="shared" si="1"/>
        <v/>
      </c>
      <c r="F759" s="2" t="str">
        <f t="array" ref="F759">IFERROR(IF(E759=0,0,INDEX('Справочник'!G:G,MATCH(A759,'Справочник'!F:F,0))))</f>
        <v/>
      </c>
      <c r="G759" s="2" t="str">
        <f>IF(A759&gt;0,SUMIF('Барабан'!K:K,A759,'Барабан'!P:P),"")</f>
        <v/>
      </c>
      <c r="H759" s="2" t="str">
        <f>IF(A759&gt;0,SUMIF('Барабан'!V:V,A759,'Барабан'!AA:AA),"")</f>
        <v/>
      </c>
      <c r="I759" s="2" t="str">
        <f t="shared" si="4"/>
        <v/>
      </c>
      <c r="J759" s="9" t="str">
        <f t="shared" si="2"/>
        <v/>
      </c>
      <c r="K759" s="1" t="str">
        <f>IF(A759&gt;0,COUNTIF('Барабан'!K:K,A759),"")</f>
        <v/>
      </c>
      <c r="L759" s="1" t="str">
        <f>IF(A759&gt;0,COUNTIF('Барабан'!V:V,A759),"")</f>
        <v/>
      </c>
      <c r="M759" s="1" t="str">
        <f t="shared" si="3"/>
        <v/>
      </c>
      <c r="N759" s="1" t="str">
        <f>IFERROR(__xludf.DUMMYFUNCTION("IF(A759&gt;0,MIN(FILTER('Барабан'!AJ:AJ,'Барабан'!K:K=A759)),"""")"),"")</f>
        <v/>
      </c>
      <c r="O759" s="16" t="str">
        <f>IFERROR(__xludf.DUMMYFUNCTION("IF(A759&gt;0,IFERROR(MAX(FILTER('Барабан'!AJ:AJ,'Барабан'!V:V=A759)),""–""),"""")"),"")</f>
        <v/>
      </c>
    </row>
    <row r="760" ht="15.75" customHeight="1">
      <c r="A760" s="1" t="str">
        <f>'Справочник'!E755</f>
        <v/>
      </c>
      <c r="B760" s="2" t="str">
        <f>IF(A760&gt;0,SUMIF('Барабан'!K:K,A760,'Барабан'!I:I),"")</f>
        <v/>
      </c>
      <c r="C760" s="2" t="str">
        <f>IF(A760&gt;0,SUMIF('Барабан'!V:V,A760,'Барабан'!T:T),"")</f>
        <v/>
      </c>
      <c r="D760" s="2" t="str">
        <f>IF(A760&gt;0,SUMIF('Барабан'!K:K,A760,'Барабан'!AG:AG)+SUMIF('Барабан'!V:V,A760,'Барабан'!AG:AG),"")</f>
        <v/>
      </c>
      <c r="E760" s="2" t="str">
        <f t="shared" si="1"/>
        <v/>
      </c>
      <c r="F760" s="2" t="str">
        <f t="array" ref="F760">IFERROR(IF(E760=0,0,INDEX('Справочник'!G:G,MATCH(A760,'Справочник'!F:F,0))))</f>
        <v/>
      </c>
      <c r="G760" s="2" t="str">
        <f>IF(A760&gt;0,SUMIF('Барабан'!K:K,A760,'Барабан'!P:P),"")</f>
        <v/>
      </c>
      <c r="H760" s="2" t="str">
        <f>IF(A760&gt;0,SUMIF('Барабан'!V:V,A760,'Барабан'!AA:AA),"")</f>
        <v/>
      </c>
      <c r="I760" s="2" t="str">
        <f t="shared" si="4"/>
        <v/>
      </c>
      <c r="J760" s="9" t="str">
        <f t="shared" si="2"/>
        <v/>
      </c>
      <c r="K760" s="1" t="str">
        <f>IF(A760&gt;0,COUNTIF('Барабан'!K:K,A760),"")</f>
        <v/>
      </c>
      <c r="L760" s="1" t="str">
        <f>IF(A760&gt;0,COUNTIF('Барабан'!V:V,A760),"")</f>
        <v/>
      </c>
      <c r="M760" s="1" t="str">
        <f t="shared" si="3"/>
        <v/>
      </c>
      <c r="N760" s="1" t="str">
        <f>IFERROR(__xludf.DUMMYFUNCTION("IF(A760&gt;0,MIN(FILTER('Барабан'!AJ:AJ,'Барабан'!K:K=A760)),"""")"),"")</f>
        <v/>
      </c>
      <c r="O760" s="16" t="str">
        <f>IFERROR(__xludf.DUMMYFUNCTION("IF(A760&gt;0,IFERROR(MAX(FILTER('Барабан'!AJ:AJ,'Барабан'!V:V=A760)),""–""),"""")"),"")</f>
        <v/>
      </c>
    </row>
    <row r="761" ht="15.75" customHeight="1">
      <c r="A761" s="1" t="str">
        <f>'Справочник'!E756</f>
        <v/>
      </c>
      <c r="B761" s="2" t="str">
        <f>IF(A761&gt;0,SUMIF('Барабан'!K:K,A761,'Барабан'!I:I),"")</f>
        <v/>
      </c>
      <c r="C761" s="2" t="str">
        <f>IF(A761&gt;0,SUMIF('Барабан'!V:V,A761,'Барабан'!T:T),"")</f>
        <v/>
      </c>
      <c r="D761" s="2" t="str">
        <f>IF(A761&gt;0,SUMIF('Барабан'!K:K,A761,'Барабан'!AG:AG)+SUMIF('Барабан'!V:V,A761,'Барабан'!AG:AG),"")</f>
        <v/>
      </c>
      <c r="E761" s="2" t="str">
        <f t="shared" si="1"/>
        <v/>
      </c>
      <c r="F761" s="2" t="str">
        <f t="array" ref="F761">IFERROR(IF(E761=0,0,INDEX('Справочник'!G:G,MATCH(A761,'Справочник'!F:F,0))))</f>
        <v/>
      </c>
      <c r="G761" s="2" t="str">
        <f>IF(A761&gt;0,SUMIF('Барабан'!K:K,A761,'Барабан'!P:P),"")</f>
        <v/>
      </c>
      <c r="H761" s="2" t="str">
        <f>IF(A761&gt;0,SUMIF('Барабан'!V:V,A761,'Барабан'!AA:AA),"")</f>
        <v/>
      </c>
      <c r="I761" s="2" t="str">
        <f t="shared" si="4"/>
        <v/>
      </c>
      <c r="J761" s="9" t="str">
        <f t="shared" si="2"/>
        <v/>
      </c>
      <c r="K761" s="1" t="str">
        <f>IF(A761&gt;0,COUNTIF('Барабан'!K:K,A761),"")</f>
        <v/>
      </c>
      <c r="L761" s="1" t="str">
        <f>IF(A761&gt;0,COUNTIF('Барабан'!V:V,A761),"")</f>
        <v/>
      </c>
      <c r="M761" s="1" t="str">
        <f t="shared" si="3"/>
        <v/>
      </c>
      <c r="N761" s="1" t="str">
        <f>IFERROR(__xludf.DUMMYFUNCTION("IF(A761&gt;0,MIN(FILTER('Барабан'!AJ:AJ,'Барабан'!K:K=A761)),"""")"),"")</f>
        <v/>
      </c>
      <c r="O761" s="16" t="str">
        <f>IFERROR(__xludf.DUMMYFUNCTION("IF(A761&gt;0,IFERROR(MAX(FILTER('Барабан'!AJ:AJ,'Барабан'!V:V=A761)),""–""),"""")"),"")</f>
        <v/>
      </c>
    </row>
    <row r="762" ht="15.75" customHeight="1">
      <c r="A762" s="1" t="str">
        <f>'Справочник'!E757</f>
        <v/>
      </c>
      <c r="B762" s="2" t="str">
        <f>IF(A762&gt;0,SUMIF('Барабан'!K:K,A762,'Барабан'!I:I),"")</f>
        <v/>
      </c>
      <c r="C762" s="2" t="str">
        <f>IF(A762&gt;0,SUMIF('Барабан'!V:V,A762,'Барабан'!T:T),"")</f>
        <v/>
      </c>
      <c r="D762" s="2" t="str">
        <f>IF(A762&gt;0,SUMIF('Барабан'!K:K,A762,'Барабан'!AG:AG)+SUMIF('Барабан'!V:V,A762,'Барабан'!AG:AG),"")</f>
        <v/>
      </c>
      <c r="E762" s="2" t="str">
        <f t="shared" si="1"/>
        <v/>
      </c>
      <c r="F762" s="2" t="str">
        <f t="array" ref="F762">IFERROR(IF(E762=0,0,INDEX('Справочник'!G:G,MATCH(A762,'Справочник'!F:F,0))))</f>
        <v/>
      </c>
      <c r="G762" s="2" t="str">
        <f>IF(A762&gt;0,SUMIF('Барабан'!K:K,A762,'Барабан'!P:P),"")</f>
        <v/>
      </c>
      <c r="H762" s="2" t="str">
        <f>IF(A762&gt;0,SUMIF('Барабан'!V:V,A762,'Барабан'!AA:AA),"")</f>
        <v/>
      </c>
      <c r="I762" s="2" t="str">
        <f t="shared" si="4"/>
        <v/>
      </c>
      <c r="J762" s="9" t="str">
        <f t="shared" si="2"/>
        <v/>
      </c>
      <c r="K762" s="1" t="str">
        <f>IF(A762&gt;0,COUNTIF('Барабан'!K:K,A762),"")</f>
        <v/>
      </c>
      <c r="L762" s="1" t="str">
        <f>IF(A762&gt;0,COUNTIF('Барабан'!V:V,A762),"")</f>
        <v/>
      </c>
      <c r="M762" s="1" t="str">
        <f t="shared" si="3"/>
        <v/>
      </c>
      <c r="N762" s="1" t="str">
        <f>IFERROR(__xludf.DUMMYFUNCTION("IF(A762&gt;0,MIN(FILTER('Барабан'!AJ:AJ,'Барабан'!K:K=A762)),"""")"),"")</f>
        <v/>
      </c>
      <c r="O762" s="16" t="str">
        <f>IFERROR(__xludf.DUMMYFUNCTION("IF(A762&gt;0,IFERROR(MAX(FILTER('Барабан'!AJ:AJ,'Барабан'!V:V=A762)),""–""),"""")"),"")</f>
        <v/>
      </c>
    </row>
    <row r="763" ht="15.75" customHeight="1">
      <c r="A763" s="1" t="str">
        <f>'Справочник'!E758</f>
        <v/>
      </c>
      <c r="B763" s="2" t="str">
        <f>IF(A763&gt;0,SUMIF('Барабан'!K:K,A763,'Барабан'!I:I),"")</f>
        <v/>
      </c>
      <c r="C763" s="2" t="str">
        <f>IF(A763&gt;0,SUMIF('Барабан'!V:V,A763,'Барабан'!T:T),"")</f>
        <v/>
      </c>
      <c r="D763" s="2" t="str">
        <f>IF(A763&gt;0,SUMIF('Барабан'!K:K,A763,'Барабан'!AG:AG)+SUMIF('Барабан'!V:V,A763,'Барабан'!AG:AG),"")</f>
        <v/>
      </c>
      <c r="E763" s="2" t="str">
        <f t="shared" si="1"/>
        <v/>
      </c>
      <c r="F763" s="2" t="str">
        <f t="array" ref="F763">IFERROR(IF(E763=0,0,INDEX('Справочник'!G:G,MATCH(A763,'Справочник'!F:F,0))))</f>
        <v/>
      </c>
      <c r="G763" s="2" t="str">
        <f>IF(A763&gt;0,SUMIF('Барабан'!K:K,A763,'Барабан'!P:P),"")</f>
        <v/>
      </c>
      <c r="H763" s="2" t="str">
        <f>IF(A763&gt;0,SUMIF('Барабан'!V:V,A763,'Барабан'!AA:AA),"")</f>
        <v/>
      </c>
      <c r="I763" s="2" t="str">
        <f t="shared" si="4"/>
        <v/>
      </c>
      <c r="J763" s="9" t="str">
        <f t="shared" si="2"/>
        <v/>
      </c>
      <c r="K763" s="1" t="str">
        <f>IF(A763&gt;0,COUNTIF('Барабан'!K:K,A763),"")</f>
        <v/>
      </c>
      <c r="L763" s="1" t="str">
        <f>IF(A763&gt;0,COUNTIF('Барабан'!V:V,A763),"")</f>
        <v/>
      </c>
      <c r="M763" s="1" t="str">
        <f t="shared" si="3"/>
        <v/>
      </c>
      <c r="N763" s="1" t="str">
        <f>IFERROR(__xludf.DUMMYFUNCTION("IF(A763&gt;0,MIN(FILTER('Барабан'!AJ:AJ,'Барабан'!K:K=A763)),"""")"),"")</f>
        <v/>
      </c>
      <c r="O763" s="16" t="str">
        <f>IFERROR(__xludf.DUMMYFUNCTION("IF(A763&gt;0,IFERROR(MAX(FILTER('Барабан'!AJ:AJ,'Барабан'!V:V=A763)),""–""),"""")"),"")</f>
        <v/>
      </c>
    </row>
    <row r="764" ht="15.75" customHeight="1">
      <c r="A764" s="1" t="str">
        <f>'Справочник'!E759</f>
        <v/>
      </c>
      <c r="B764" s="2" t="str">
        <f>IF(A764&gt;0,SUMIF('Барабан'!K:K,A764,'Барабан'!I:I),"")</f>
        <v/>
      </c>
      <c r="C764" s="2" t="str">
        <f>IF(A764&gt;0,SUMIF('Барабан'!V:V,A764,'Барабан'!T:T),"")</f>
        <v/>
      </c>
      <c r="D764" s="2" t="str">
        <f>IF(A764&gt;0,SUMIF('Барабан'!K:K,A764,'Барабан'!AG:AG)+SUMIF('Барабан'!V:V,A764,'Барабан'!AG:AG),"")</f>
        <v/>
      </c>
      <c r="E764" s="2" t="str">
        <f t="shared" si="1"/>
        <v/>
      </c>
      <c r="F764" s="2" t="str">
        <f t="array" ref="F764">IFERROR(IF(E764=0,0,INDEX('Справочник'!G:G,MATCH(A764,'Справочник'!F:F,0))))</f>
        <v/>
      </c>
      <c r="G764" s="2" t="str">
        <f>IF(A764&gt;0,SUMIF('Барабан'!K:K,A764,'Барабан'!P:P),"")</f>
        <v/>
      </c>
      <c r="H764" s="2" t="str">
        <f>IF(A764&gt;0,SUMIF('Барабан'!V:V,A764,'Барабан'!AA:AA),"")</f>
        <v/>
      </c>
      <c r="I764" s="2" t="str">
        <f t="shared" si="4"/>
        <v/>
      </c>
      <c r="J764" s="9" t="str">
        <f t="shared" si="2"/>
        <v/>
      </c>
      <c r="K764" s="1" t="str">
        <f>IF(A764&gt;0,COUNTIF('Барабан'!K:K,A764),"")</f>
        <v/>
      </c>
      <c r="L764" s="1" t="str">
        <f>IF(A764&gt;0,COUNTIF('Барабан'!V:V,A764),"")</f>
        <v/>
      </c>
      <c r="M764" s="1" t="str">
        <f t="shared" si="3"/>
        <v/>
      </c>
      <c r="N764" s="1" t="str">
        <f>IFERROR(__xludf.DUMMYFUNCTION("IF(A764&gt;0,MIN(FILTER('Барабан'!AJ:AJ,'Барабан'!K:K=A764)),"""")"),"")</f>
        <v/>
      </c>
      <c r="O764" s="16" t="str">
        <f>IFERROR(__xludf.DUMMYFUNCTION("IF(A764&gt;0,IFERROR(MAX(FILTER('Барабан'!AJ:AJ,'Барабан'!V:V=A764)),""–""),"""")"),"")</f>
        <v/>
      </c>
    </row>
    <row r="765" ht="15.75" customHeight="1">
      <c r="A765" s="1" t="str">
        <f>'Справочник'!E760</f>
        <v/>
      </c>
      <c r="B765" s="2" t="str">
        <f>IF(A765&gt;0,SUMIF('Барабан'!K:K,A765,'Барабан'!I:I),"")</f>
        <v/>
      </c>
      <c r="C765" s="2" t="str">
        <f>IF(A765&gt;0,SUMIF('Барабан'!V:V,A765,'Барабан'!T:T),"")</f>
        <v/>
      </c>
      <c r="D765" s="2" t="str">
        <f>IF(A765&gt;0,SUMIF('Барабан'!K:K,A765,'Барабан'!AG:AG)+SUMIF('Барабан'!V:V,A765,'Барабан'!AG:AG),"")</f>
        <v/>
      </c>
      <c r="E765" s="2" t="str">
        <f t="shared" si="1"/>
        <v/>
      </c>
      <c r="F765" s="2" t="str">
        <f t="array" ref="F765">IFERROR(IF(E765=0,0,INDEX('Справочник'!G:G,MATCH(A765,'Справочник'!F:F,0))))</f>
        <v/>
      </c>
      <c r="G765" s="2" t="str">
        <f>IF(A765&gt;0,SUMIF('Барабан'!K:K,A765,'Барабан'!P:P),"")</f>
        <v/>
      </c>
      <c r="H765" s="2" t="str">
        <f>IF(A765&gt;0,SUMIF('Барабан'!V:V,A765,'Барабан'!AA:AA),"")</f>
        <v/>
      </c>
      <c r="I765" s="2" t="str">
        <f t="shared" si="4"/>
        <v/>
      </c>
      <c r="J765" s="9" t="str">
        <f t="shared" si="2"/>
        <v/>
      </c>
      <c r="K765" s="1" t="str">
        <f>IF(A765&gt;0,COUNTIF('Барабан'!K:K,A765),"")</f>
        <v/>
      </c>
      <c r="L765" s="1" t="str">
        <f>IF(A765&gt;0,COUNTIF('Барабан'!V:V,A765),"")</f>
        <v/>
      </c>
      <c r="M765" s="1" t="str">
        <f t="shared" si="3"/>
        <v/>
      </c>
      <c r="N765" s="1" t="str">
        <f>IFERROR(__xludf.DUMMYFUNCTION("IF(A765&gt;0,MIN(FILTER('Барабан'!AJ:AJ,'Барабан'!K:K=A765)),"""")"),"")</f>
        <v/>
      </c>
      <c r="O765" s="16" t="str">
        <f>IFERROR(__xludf.DUMMYFUNCTION("IF(A765&gt;0,IFERROR(MAX(FILTER('Барабан'!AJ:AJ,'Барабан'!V:V=A765)),""–""),"""")"),"")</f>
        <v/>
      </c>
    </row>
    <row r="766" ht="15.75" customHeight="1">
      <c r="A766" s="1" t="str">
        <f>'Справочник'!E761</f>
        <v/>
      </c>
      <c r="B766" s="2" t="str">
        <f>IF(A766&gt;0,SUMIF('Барабан'!K:K,A766,'Барабан'!I:I),"")</f>
        <v/>
      </c>
      <c r="C766" s="2" t="str">
        <f>IF(A766&gt;0,SUMIF('Барабан'!V:V,A766,'Барабан'!T:T),"")</f>
        <v/>
      </c>
      <c r="D766" s="2" t="str">
        <f>IF(A766&gt;0,SUMIF('Барабан'!K:K,A766,'Барабан'!AG:AG)+SUMIF('Барабан'!V:V,A766,'Барабан'!AG:AG),"")</f>
        <v/>
      </c>
      <c r="E766" s="2" t="str">
        <f t="shared" si="1"/>
        <v/>
      </c>
      <c r="F766" s="2" t="str">
        <f t="array" ref="F766">IFERROR(IF(E766=0,0,INDEX('Справочник'!G:G,MATCH(A766,'Справочник'!F:F,0))))</f>
        <v/>
      </c>
      <c r="G766" s="2" t="str">
        <f>IF(A766&gt;0,SUMIF('Барабан'!K:K,A766,'Барабан'!P:P),"")</f>
        <v/>
      </c>
      <c r="H766" s="2" t="str">
        <f>IF(A766&gt;0,SUMIF('Барабан'!V:V,A766,'Барабан'!AA:AA),"")</f>
        <v/>
      </c>
      <c r="I766" s="2" t="str">
        <f t="shared" si="4"/>
        <v/>
      </c>
      <c r="J766" s="9" t="str">
        <f t="shared" si="2"/>
        <v/>
      </c>
      <c r="K766" s="1" t="str">
        <f>IF(A766&gt;0,COUNTIF('Барабан'!K:K,A766),"")</f>
        <v/>
      </c>
      <c r="L766" s="1" t="str">
        <f>IF(A766&gt;0,COUNTIF('Барабан'!V:V,A766),"")</f>
        <v/>
      </c>
      <c r="M766" s="1" t="str">
        <f t="shared" si="3"/>
        <v/>
      </c>
      <c r="N766" s="1" t="str">
        <f>IFERROR(__xludf.DUMMYFUNCTION("IF(A766&gt;0,MIN(FILTER('Барабан'!AJ:AJ,'Барабан'!K:K=A766)),"""")"),"")</f>
        <v/>
      </c>
      <c r="O766" s="16" t="str">
        <f>IFERROR(__xludf.DUMMYFUNCTION("IF(A766&gt;0,IFERROR(MAX(FILTER('Барабан'!AJ:AJ,'Барабан'!V:V=A766)),""–""),"""")"),"")</f>
        <v/>
      </c>
    </row>
    <row r="767" ht="15.75" customHeight="1">
      <c r="A767" s="1" t="str">
        <f>'Справочник'!E762</f>
        <v/>
      </c>
      <c r="B767" s="2" t="str">
        <f>IF(A767&gt;0,SUMIF('Барабан'!K:K,A767,'Барабан'!I:I),"")</f>
        <v/>
      </c>
      <c r="C767" s="2" t="str">
        <f>IF(A767&gt;0,SUMIF('Барабан'!V:V,A767,'Барабан'!T:T),"")</f>
        <v/>
      </c>
      <c r="D767" s="2" t="str">
        <f>IF(A767&gt;0,SUMIF('Барабан'!K:K,A767,'Барабан'!AG:AG)+SUMIF('Барабан'!V:V,A767,'Барабан'!AG:AG),"")</f>
        <v/>
      </c>
      <c r="E767" s="2" t="str">
        <f t="shared" si="1"/>
        <v/>
      </c>
      <c r="F767" s="2" t="str">
        <f t="array" ref="F767">IFERROR(IF(E767=0,0,INDEX('Справочник'!G:G,MATCH(A767,'Справочник'!F:F,0))))</f>
        <v/>
      </c>
      <c r="G767" s="2" t="str">
        <f>IF(A767&gt;0,SUMIF('Барабан'!K:K,A767,'Барабан'!P:P),"")</f>
        <v/>
      </c>
      <c r="H767" s="2" t="str">
        <f>IF(A767&gt;0,SUMIF('Барабан'!V:V,A767,'Барабан'!AA:AA),"")</f>
        <v/>
      </c>
      <c r="I767" s="2" t="str">
        <f t="shared" si="4"/>
        <v/>
      </c>
      <c r="J767" s="9" t="str">
        <f t="shared" si="2"/>
        <v/>
      </c>
      <c r="K767" s="1" t="str">
        <f>IF(A767&gt;0,COUNTIF('Барабан'!K:K,A767),"")</f>
        <v/>
      </c>
      <c r="L767" s="1" t="str">
        <f>IF(A767&gt;0,COUNTIF('Барабан'!V:V,A767),"")</f>
        <v/>
      </c>
      <c r="M767" s="1" t="str">
        <f t="shared" si="3"/>
        <v/>
      </c>
      <c r="N767" s="1" t="str">
        <f>IFERROR(__xludf.DUMMYFUNCTION("IF(A767&gt;0,MIN(FILTER('Барабан'!AJ:AJ,'Барабан'!K:K=A767)),"""")"),"")</f>
        <v/>
      </c>
      <c r="O767" s="16" t="str">
        <f>IFERROR(__xludf.DUMMYFUNCTION("IF(A767&gt;0,IFERROR(MAX(FILTER('Барабан'!AJ:AJ,'Барабан'!V:V=A767)),""–""),"""")"),"")</f>
        <v/>
      </c>
    </row>
    <row r="768" ht="15.75" customHeight="1">
      <c r="A768" s="1" t="str">
        <f>'Справочник'!E763</f>
        <v/>
      </c>
      <c r="B768" s="2" t="str">
        <f>IF(A768&gt;0,SUMIF('Барабан'!K:K,A768,'Барабан'!I:I),"")</f>
        <v/>
      </c>
      <c r="C768" s="2" t="str">
        <f>IF(A768&gt;0,SUMIF('Барабан'!V:V,A768,'Барабан'!T:T),"")</f>
        <v/>
      </c>
      <c r="D768" s="2" t="str">
        <f>IF(A768&gt;0,SUMIF('Барабан'!K:K,A768,'Барабан'!AG:AG)+SUMIF('Барабан'!V:V,A768,'Барабан'!AG:AG),"")</f>
        <v/>
      </c>
      <c r="E768" s="2" t="str">
        <f t="shared" si="1"/>
        <v/>
      </c>
      <c r="F768" s="2" t="str">
        <f t="array" ref="F768">IFERROR(IF(E768=0,0,INDEX('Справочник'!G:G,MATCH(A768,'Справочник'!F:F,0))))</f>
        <v/>
      </c>
      <c r="G768" s="2" t="str">
        <f>IF(A768&gt;0,SUMIF('Барабан'!K:K,A768,'Барабан'!P:P),"")</f>
        <v/>
      </c>
      <c r="H768" s="2" t="str">
        <f>IF(A768&gt;0,SUMIF('Барабан'!V:V,A768,'Барабан'!AA:AA),"")</f>
        <v/>
      </c>
      <c r="I768" s="2" t="str">
        <f t="shared" si="4"/>
        <v/>
      </c>
      <c r="J768" s="9" t="str">
        <f t="shared" si="2"/>
        <v/>
      </c>
      <c r="K768" s="1" t="str">
        <f>IF(A768&gt;0,COUNTIF('Барабан'!K:K,A768),"")</f>
        <v/>
      </c>
      <c r="L768" s="1" t="str">
        <f>IF(A768&gt;0,COUNTIF('Барабан'!V:V,A768),"")</f>
        <v/>
      </c>
      <c r="M768" s="1" t="str">
        <f t="shared" si="3"/>
        <v/>
      </c>
      <c r="N768" s="1" t="str">
        <f>IFERROR(__xludf.DUMMYFUNCTION("IF(A768&gt;0,MIN(FILTER('Барабан'!AJ:AJ,'Барабан'!K:K=A768)),"""")"),"")</f>
        <v/>
      </c>
      <c r="O768" s="16" t="str">
        <f>IFERROR(__xludf.DUMMYFUNCTION("IF(A768&gt;0,IFERROR(MAX(FILTER('Барабан'!AJ:AJ,'Барабан'!V:V=A768)),""–""),"""")"),"")</f>
        <v/>
      </c>
    </row>
    <row r="769" ht="15.75" customHeight="1">
      <c r="A769" s="1" t="str">
        <f>'Справочник'!E764</f>
        <v/>
      </c>
      <c r="B769" s="2" t="str">
        <f>IF(A769&gt;0,SUMIF('Барабан'!K:K,A769,'Барабан'!I:I),"")</f>
        <v/>
      </c>
      <c r="C769" s="2" t="str">
        <f>IF(A769&gt;0,SUMIF('Барабан'!V:V,A769,'Барабан'!T:T),"")</f>
        <v/>
      </c>
      <c r="D769" s="2" t="str">
        <f>IF(A769&gt;0,SUMIF('Барабан'!K:K,A769,'Барабан'!AG:AG)+SUMIF('Барабан'!V:V,A769,'Барабан'!AG:AG),"")</f>
        <v/>
      </c>
      <c r="E769" s="2" t="str">
        <f t="shared" si="1"/>
        <v/>
      </c>
      <c r="F769" s="2" t="str">
        <f t="array" ref="F769">IFERROR(IF(E769=0,0,INDEX('Справочник'!G:G,MATCH(A769,'Справочник'!F:F,0))))</f>
        <v/>
      </c>
      <c r="G769" s="2" t="str">
        <f>IF(A769&gt;0,SUMIF('Барабан'!K:K,A769,'Барабан'!P:P),"")</f>
        <v/>
      </c>
      <c r="H769" s="2" t="str">
        <f>IF(A769&gt;0,SUMIF('Барабан'!V:V,A769,'Барабан'!AA:AA),"")</f>
        <v/>
      </c>
      <c r="I769" s="2" t="str">
        <f t="shared" si="4"/>
        <v/>
      </c>
      <c r="J769" s="9" t="str">
        <f t="shared" si="2"/>
        <v/>
      </c>
      <c r="K769" s="1" t="str">
        <f>IF(A769&gt;0,COUNTIF('Барабан'!K:K,A769),"")</f>
        <v/>
      </c>
      <c r="L769" s="1" t="str">
        <f>IF(A769&gt;0,COUNTIF('Барабан'!V:V,A769),"")</f>
        <v/>
      </c>
      <c r="M769" s="1" t="str">
        <f t="shared" si="3"/>
        <v/>
      </c>
      <c r="N769" s="1" t="str">
        <f>IFERROR(__xludf.DUMMYFUNCTION("IF(A769&gt;0,MIN(FILTER('Барабан'!AJ:AJ,'Барабан'!K:K=A769)),"""")"),"")</f>
        <v/>
      </c>
      <c r="O769" s="16" t="str">
        <f>IFERROR(__xludf.DUMMYFUNCTION("IF(A769&gt;0,IFERROR(MAX(FILTER('Барабан'!AJ:AJ,'Барабан'!V:V=A769)),""–""),"""")"),"")</f>
        <v/>
      </c>
    </row>
    <row r="770" ht="15.75" customHeight="1">
      <c r="A770" s="1" t="str">
        <f>'Справочник'!E765</f>
        <v/>
      </c>
      <c r="B770" s="2" t="str">
        <f>IF(A770&gt;0,SUMIF('Барабан'!K:K,A770,'Барабан'!I:I),"")</f>
        <v/>
      </c>
      <c r="C770" s="2" t="str">
        <f>IF(A770&gt;0,SUMIF('Барабан'!V:V,A770,'Барабан'!T:T),"")</f>
        <v/>
      </c>
      <c r="D770" s="2" t="str">
        <f>IF(A770&gt;0,SUMIF('Барабан'!K:K,A770,'Барабан'!AG:AG)+SUMIF('Барабан'!V:V,A770,'Барабан'!AG:AG),"")</f>
        <v/>
      </c>
      <c r="E770" s="2" t="str">
        <f t="shared" si="1"/>
        <v/>
      </c>
      <c r="F770" s="2" t="str">
        <f t="array" ref="F770">IFERROR(IF(E770=0,0,INDEX('Справочник'!G:G,MATCH(A770,'Справочник'!F:F,0))))</f>
        <v/>
      </c>
      <c r="G770" s="2" t="str">
        <f>IF(A770&gt;0,SUMIF('Барабан'!K:K,A770,'Барабан'!P:P),"")</f>
        <v/>
      </c>
      <c r="H770" s="2" t="str">
        <f>IF(A770&gt;0,SUMIF('Барабан'!V:V,A770,'Барабан'!AA:AA),"")</f>
        <v/>
      </c>
      <c r="I770" s="2" t="str">
        <f t="shared" si="4"/>
        <v/>
      </c>
      <c r="J770" s="9" t="str">
        <f t="shared" si="2"/>
        <v/>
      </c>
      <c r="K770" s="1" t="str">
        <f>IF(A770&gt;0,COUNTIF('Барабан'!K:K,A770),"")</f>
        <v/>
      </c>
      <c r="L770" s="1" t="str">
        <f>IF(A770&gt;0,COUNTIF('Барабан'!V:V,A770),"")</f>
        <v/>
      </c>
      <c r="M770" s="1" t="str">
        <f t="shared" si="3"/>
        <v/>
      </c>
      <c r="N770" s="1" t="str">
        <f>IFERROR(__xludf.DUMMYFUNCTION("IF(A770&gt;0,MIN(FILTER('Барабан'!AJ:AJ,'Барабан'!K:K=A770)),"""")"),"")</f>
        <v/>
      </c>
      <c r="O770" s="16" t="str">
        <f>IFERROR(__xludf.DUMMYFUNCTION("IF(A770&gt;0,IFERROR(MAX(FILTER('Барабан'!AJ:AJ,'Барабан'!V:V=A770)),""–""),"""")"),"")</f>
        <v/>
      </c>
    </row>
    <row r="771" ht="15.75" customHeight="1">
      <c r="A771" s="1" t="str">
        <f>'Справочник'!E766</f>
        <v/>
      </c>
      <c r="B771" s="2" t="str">
        <f>IF(A771&gt;0,SUMIF('Барабан'!K:K,A771,'Барабан'!I:I),"")</f>
        <v/>
      </c>
      <c r="C771" s="2" t="str">
        <f>IF(A771&gt;0,SUMIF('Барабан'!V:V,A771,'Барабан'!T:T),"")</f>
        <v/>
      </c>
      <c r="D771" s="2" t="str">
        <f>IF(A771&gt;0,SUMIF('Барабан'!K:K,A771,'Барабан'!AG:AG)+SUMIF('Барабан'!V:V,A771,'Барабан'!AG:AG),"")</f>
        <v/>
      </c>
      <c r="E771" s="2" t="str">
        <f t="shared" si="1"/>
        <v/>
      </c>
      <c r="F771" s="2" t="str">
        <f t="array" ref="F771">IFERROR(IF(E771=0,0,INDEX('Справочник'!G:G,MATCH(A771,'Справочник'!F:F,0))))</f>
        <v/>
      </c>
      <c r="G771" s="2" t="str">
        <f>IF(A771&gt;0,SUMIF('Барабан'!K:K,A771,'Барабан'!P:P),"")</f>
        <v/>
      </c>
      <c r="H771" s="2" t="str">
        <f>IF(A771&gt;0,SUMIF('Барабан'!V:V,A771,'Барабан'!AA:AA),"")</f>
        <v/>
      </c>
      <c r="I771" s="2" t="str">
        <f t="shared" si="4"/>
        <v/>
      </c>
      <c r="J771" s="9" t="str">
        <f t="shared" si="2"/>
        <v/>
      </c>
      <c r="K771" s="1" t="str">
        <f>IF(A771&gt;0,COUNTIF('Барабан'!K:K,A771),"")</f>
        <v/>
      </c>
      <c r="L771" s="1" t="str">
        <f>IF(A771&gt;0,COUNTIF('Барабан'!V:V,A771),"")</f>
        <v/>
      </c>
      <c r="M771" s="1" t="str">
        <f t="shared" si="3"/>
        <v/>
      </c>
      <c r="N771" s="1" t="str">
        <f>IFERROR(__xludf.DUMMYFUNCTION("IF(A771&gt;0,MIN(FILTER('Барабан'!AJ:AJ,'Барабан'!K:K=A771)),"""")"),"")</f>
        <v/>
      </c>
      <c r="O771" s="16" t="str">
        <f>IFERROR(__xludf.DUMMYFUNCTION("IF(A771&gt;0,IFERROR(MAX(FILTER('Барабан'!AJ:AJ,'Барабан'!V:V=A771)),""–""),"""")"),"")</f>
        <v/>
      </c>
    </row>
    <row r="772" ht="15.75" customHeight="1">
      <c r="A772" s="1" t="str">
        <f>'Справочник'!E767</f>
        <v/>
      </c>
      <c r="B772" s="2" t="str">
        <f>IF(A772&gt;0,SUMIF('Барабан'!K:K,A772,'Барабан'!I:I),"")</f>
        <v/>
      </c>
      <c r="C772" s="2" t="str">
        <f>IF(A772&gt;0,SUMIF('Барабан'!V:V,A772,'Барабан'!T:T),"")</f>
        <v/>
      </c>
      <c r="D772" s="2" t="str">
        <f>IF(A772&gt;0,SUMIF('Барабан'!K:K,A772,'Барабан'!AG:AG)+SUMIF('Барабан'!V:V,A772,'Барабан'!AG:AG),"")</f>
        <v/>
      </c>
      <c r="E772" s="2" t="str">
        <f t="shared" si="1"/>
        <v/>
      </c>
      <c r="F772" s="2" t="str">
        <f t="array" ref="F772">IFERROR(IF(E772=0,0,INDEX('Справочник'!G:G,MATCH(A772,'Справочник'!F:F,0))))</f>
        <v/>
      </c>
      <c r="G772" s="2" t="str">
        <f>IF(A772&gt;0,SUMIF('Барабан'!K:K,A772,'Барабан'!P:P),"")</f>
        <v/>
      </c>
      <c r="H772" s="2" t="str">
        <f>IF(A772&gt;0,SUMIF('Барабан'!V:V,A772,'Барабан'!AA:AA),"")</f>
        <v/>
      </c>
      <c r="I772" s="2" t="str">
        <f t="shared" si="4"/>
        <v/>
      </c>
      <c r="J772" s="9" t="str">
        <f t="shared" si="2"/>
        <v/>
      </c>
      <c r="K772" s="1" t="str">
        <f>IF(A772&gt;0,COUNTIF('Барабан'!K:K,A772),"")</f>
        <v/>
      </c>
      <c r="L772" s="1" t="str">
        <f>IF(A772&gt;0,COUNTIF('Барабан'!V:V,A772),"")</f>
        <v/>
      </c>
      <c r="M772" s="1" t="str">
        <f t="shared" si="3"/>
        <v/>
      </c>
      <c r="N772" s="1" t="str">
        <f>IFERROR(__xludf.DUMMYFUNCTION("IF(A772&gt;0,MIN(FILTER('Барабан'!AJ:AJ,'Барабан'!K:K=A772)),"""")"),"")</f>
        <v/>
      </c>
      <c r="O772" s="16" t="str">
        <f>IFERROR(__xludf.DUMMYFUNCTION("IF(A772&gt;0,IFERROR(MAX(FILTER('Барабан'!AJ:AJ,'Барабан'!V:V=A772)),""–""),"""")"),"")</f>
        <v/>
      </c>
    </row>
    <row r="773" ht="15.75" customHeight="1">
      <c r="A773" s="1" t="str">
        <f>'Справочник'!E768</f>
        <v/>
      </c>
      <c r="B773" s="2" t="str">
        <f>IF(A773&gt;0,SUMIF('Барабан'!K:K,A773,'Барабан'!I:I),"")</f>
        <v/>
      </c>
      <c r="C773" s="2" t="str">
        <f>IF(A773&gt;0,SUMIF('Барабан'!V:V,A773,'Барабан'!T:T),"")</f>
        <v/>
      </c>
      <c r="D773" s="2" t="str">
        <f>IF(A773&gt;0,SUMIF('Барабан'!K:K,A773,'Барабан'!AG:AG)+SUMIF('Барабан'!V:V,A773,'Барабан'!AG:AG),"")</f>
        <v/>
      </c>
      <c r="E773" s="2" t="str">
        <f t="shared" si="1"/>
        <v/>
      </c>
      <c r="F773" s="2" t="str">
        <f t="array" ref="F773">IFERROR(IF(E773=0,0,INDEX('Справочник'!G:G,MATCH(A773,'Справочник'!F:F,0))))</f>
        <v/>
      </c>
      <c r="G773" s="2" t="str">
        <f>IF(A773&gt;0,SUMIF('Барабан'!K:K,A773,'Барабан'!P:P),"")</f>
        <v/>
      </c>
      <c r="H773" s="2" t="str">
        <f>IF(A773&gt;0,SUMIF('Барабан'!V:V,A773,'Барабан'!AA:AA),"")</f>
        <v/>
      </c>
      <c r="I773" s="2" t="str">
        <f t="shared" si="4"/>
        <v/>
      </c>
      <c r="J773" s="9" t="str">
        <f t="shared" si="2"/>
        <v/>
      </c>
      <c r="K773" s="1" t="str">
        <f>IF(A773&gt;0,COUNTIF('Барабан'!K:K,A773),"")</f>
        <v/>
      </c>
      <c r="L773" s="1" t="str">
        <f>IF(A773&gt;0,COUNTIF('Барабан'!V:V,A773),"")</f>
        <v/>
      </c>
      <c r="M773" s="1" t="str">
        <f t="shared" si="3"/>
        <v/>
      </c>
      <c r="N773" s="1" t="str">
        <f>IFERROR(__xludf.DUMMYFUNCTION("IF(A773&gt;0,MIN(FILTER('Барабан'!AJ:AJ,'Барабан'!K:K=A773)),"""")"),"")</f>
        <v/>
      </c>
      <c r="O773" s="16" t="str">
        <f>IFERROR(__xludf.DUMMYFUNCTION("IF(A773&gt;0,IFERROR(MAX(FILTER('Барабан'!AJ:AJ,'Барабан'!V:V=A773)),""–""),"""")"),"")</f>
        <v/>
      </c>
    </row>
    <row r="774" ht="15.75" customHeight="1">
      <c r="A774" s="1" t="str">
        <f>'Справочник'!E769</f>
        <v/>
      </c>
      <c r="B774" s="2" t="str">
        <f>IF(A774&gt;0,SUMIF('Барабан'!K:K,A774,'Барабан'!I:I),"")</f>
        <v/>
      </c>
      <c r="C774" s="2" t="str">
        <f>IF(A774&gt;0,SUMIF('Барабан'!V:V,A774,'Барабан'!T:T),"")</f>
        <v/>
      </c>
      <c r="D774" s="2" t="str">
        <f>IF(A774&gt;0,SUMIF('Барабан'!K:K,A774,'Барабан'!AG:AG)+SUMIF('Барабан'!V:V,A774,'Барабан'!AG:AG),"")</f>
        <v/>
      </c>
      <c r="E774" s="2" t="str">
        <f t="shared" si="1"/>
        <v/>
      </c>
      <c r="F774" s="2" t="str">
        <f t="array" ref="F774">IFERROR(IF(E774=0,0,INDEX('Справочник'!G:G,MATCH(A774,'Справочник'!F:F,0))))</f>
        <v/>
      </c>
      <c r="G774" s="2" t="str">
        <f>IF(A774&gt;0,SUMIF('Барабан'!K:K,A774,'Барабан'!P:P),"")</f>
        <v/>
      </c>
      <c r="H774" s="2" t="str">
        <f>IF(A774&gt;0,SUMIF('Барабан'!V:V,A774,'Барабан'!AA:AA),"")</f>
        <v/>
      </c>
      <c r="I774" s="2" t="str">
        <f t="shared" si="4"/>
        <v/>
      </c>
      <c r="J774" s="9" t="str">
        <f t="shared" si="2"/>
        <v/>
      </c>
      <c r="K774" s="1" t="str">
        <f>IF(A774&gt;0,COUNTIF('Барабан'!K:K,A774),"")</f>
        <v/>
      </c>
      <c r="L774" s="1" t="str">
        <f>IF(A774&gt;0,COUNTIF('Барабан'!V:V,A774),"")</f>
        <v/>
      </c>
      <c r="M774" s="1" t="str">
        <f t="shared" si="3"/>
        <v/>
      </c>
      <c r="N774" s="1" t="str">
        <f>IFERROR(__xludf.DUMMYFUNCTION("IF(A774&gt;0,MIN(FILTER('Барабан'!AJ:AJ,'Барабан'!K:K=A774)),"""")"),"")</f>
        <v/>
      </c>
      <c r="O774" s="16" t="str">
        <f>IFERROR(__xludf.DUMMYFUNCTION("IF(A774&gt;0,IFERROR(MAX(FILTER('Барабан'!AJ:AJ,'Барабан'!V:V=A774)),""–""),"""")"),"")</f>
        <v/>
      </c>
    </row>
    <row r="775" ht="15.75" customHeight="1">
      <c r="A775" s="1" t="str">
        <f>'Справочник'!E770</f>
        <v/>
      </c>
      <c r="B775" s="2" t="str">
        <f>IF(A775&gt;0,SUMIF('Барабан'!K:K,A775,'Барабан'!I:I),"")</f>
        <v/>
      </c>
      <c r="C775" s="2" t="str">
        <f>IF(A775&gt;0,SUMIF('Барабан'!V:V,A775,'Барабан'!T:T),"")</f>
        <v/>
      </c>
      <c r="D775" s="2" t="str">
        <f>IF(A775&gt;0,SUMIF('Барабан'!K:K,A775,'Барабан'!AG:AG)+SUMIF('Барабан'!V:V,A775,'Барабан'!AG:AG),"")</f>
        <v/>
      </c>
      <c r="E775" s="2" t="str">
        <f t="shared" si="1"/>
        <v/>
      </c>
      <c r="F775" s="2" t="str">
        <f t="array" ref="F775">IFERROR(IF(E775=0,0,INDEX('Справочник'!G:G,MATCH(A775,'Справочник'!F:F,0))))</f>
        <v/>
      </c>
      <c r="G775" s="2" t="str">
        <f>IF(A775&gt;0,SUMIF('Барабан'!K:K,A775,'Барабан'!P:P),"")</f>
        <v/>
      </c>
      <c r="H775" s="2" t="str">
        <f>IF(A775&gt;0,SUMIF('Барабан'!V:V,A775,'Барабан'!AA:AA),"")</f>
        <v/>
      </c>
      <c r="I775" s="2" t="str">
        <f t="shared" si="4"/>
        <v/>
      </c>
      <c r="J775" s="9" t="str">
        <f t="shared" si="2"/>
        <v/>
      </c>
      <c r="K775" s="1" t="str">
        <f>IF(A775&gt;0,COUNTIF('Барабан'!K:K,A775),"")</f>
        <v/>
      </c>
      <c r="L775" s="1" t="str">
        <f>IF(A775&gt;0,COUNTIF('Барабан'!V:V,A775),"")</f>
        <v/>
      </c>
      <c r="M775" s="1" t="str">
        <f t="shared" si="3"/>
        <v/>
      </c>
      <c r="N775" s="1" t="str">
        <f>IFERROR(__xludf.DUMMYFUNCTION("IF(A775&gt;0,MIN(FILTER('Барабан'!AJ:AJ,'Барабан'!K:K=A775)),"""")"),"")</f>
        <v/>
      </c>
      <c r="O775" s="16" t="str">
        <f>IFERROR(__xludf.DUMMYFUNCTION("IF(A775&gt;0,IFERROR(MAX(FILTER('Барабан'!AJ:AJ,'Барабан'!V:V=A775)),""–""),"""")"),"")</f>
        <v/>
      </c>
    </row>
    <row r="776" ht="15.75" customHeight="1">
      <c r="A776" s="1" t="str">
        <f>'Справочник'!E771</f>
        <v/>
      </c>
      <c r="B776" s="2" t="str">
        <f>IF(A776&gt;0,SUMIF('Барабан'!K:K,A776,'Барабан'!I:I),"")</f>
        <v/>
      </c>
      <c r="C776" s="2" t="str">
        <f>IF(A776&gt;0,SUMIF('Барабан'!V:V,A776,'Барабан'!T:T),"")</f>
        <v/>
      </c>
      <c r="D776" s="2" t="str">
        <f>IF(A776&gt;0,SUMIF('Барабан'!K:K,A776,'Барабан'!AG:AG)+SUMIF('Барабан'!V:V,A776,'Барабан'!AG:AG),"")</f>
        <v/>
      </c>
      <c r="E776" s="2" t="str">
        <f t="shared" si="1"/>
        <v/>
      </c>
      <c r="F776" s="2" t="str">
        <f t="array" ref="F776">IFERROR(IF(E776=0,0,INDEX('Справочник'!G:G,MATCH(A776,'Справочник'!F:F,0))))</f>
        <v/>
      </c>
      <c r="G776" s="2" t="str">
        <f>IF(A776&gt;0,SUMIF('Барабан'!K:K,A776,'Барабан'!P:P),"")</f>
        <v/>
      </c>
      <c r="H776" s="2" t="str">
        <f>IF(A776&gt;0,SUMIF('Барабан'!V:V,A776,'Барабан'!AA:AA),"")</f>
        <v/>
      </c>
      <c r="I776" s="2" t="str">
        <f t="shared" si="4"/>
        <v/>
      </c>
      <c r="J776" s="9" t="str">
        <f t="shared" si="2"/>
        <v/>
      </c>
      <c r="K776" s="1" t="str">
        <f>IF(A776&gt;0,COUNTIF('Барабан'!K:K,A776),"")</f>
        <v/>
      </c>
      <c r="L776" s="1" t="str">
        <f>IF(A776&gt;0,COUNTIF('Барабан'!V:V,A776),"")</f>
        <v/>
      </c>
      <c r="M776" s="1" t="str">
        <f t="shared" si="3"/>
        <v/>
      </c>
      <c r="N776" s="1" t="str">
        <f>IFERROR(__xludf.DUMMYFUNCTION("IF(A776&gt;0,MIN(FILTER('Барабан'!AJ:AJ,'Барабан'!K:K=A776)),"""")"),"")</f>
        <v/>
      </c>
      <c r="O776" s="16" t="str">
        <f>IFERROR(__xludf.DUMMYFUNCTION("IF(A776&gt;0,IFERROR(MAX(FILTER('Барабан'!AJ:AJ,'Барабан'!V:V=A776)),""–""),"""")"),"")</f>
        <v/>
      </c>
    </row>
    <row r="777" ht="15.75" customHeight="1">
      <c r="A777" s="1" t="str">
        <f>'Справочник'!E772</f>
        <v/>
      </c>
      <c r="B777" s="2" t="str">
        <f>IF(A777&gt;0,SUMIF('Барабан'!K:K,A777,'Барабан'!I:I),"")</f>
        <v/>
      </c>
      <c r="C777" s="2" t="str">
        <f>IF(A777&gt;0,SUMIF('Барабан'!V:V,A777,'Барабан'!T:T),"")</f>
        <v/>
      </c>
      <c r="D777" s="2" t="str">
        <f>IF(A777&gt;0,SUMIF('Барабан'!K:K,A777,'Барабан'!AG:AG)+SUMIF('Барабан'!V:V,A777,'Барабан'!AG:AG),"")</f>
        <v/>
      </c>
      <c r="E777" s="2" t="str">
        <f t="shared" si="1"/>
        <v/>
      </c>
      <c r="F777" s="2" t="str">
        <f t="array" ref="F777">IFERROR(IF(E777=0,0,INDEX('Справочник'!G:G,MATCH(A777,'Справочник'!F:F,0))))</f>
        <v/>
      </c>
      <c r="G777" s="2" t="str">
        <f>IF(A777&gt;0,SUMIF('Барабан'!K:K,A777,'Барабан'!P:P),"")</f>
        <v/>
      </c>
      <c r="H777" s="2" t="str">
        <f>IF(A777&gt;0,SUMIF('Барабан'!V:V,A777,'Барабан'!AA:AA),"")</f>
        <v/>
      </c>
      <c r="I777" s="2" t="str">
        <f t="shared" si="4"/>
        <v/>
      </c>
      <c r="J777" s="9" t="str">
        <f t="shared" si="2"/>
        <v/>
      </c>
      <c r="K777" s="1" t="str">
        <f>IF(A777&gt;0,COUNTIF('Барабан'!K:K,A777),"")</f>
        <v/>
      </c>
      <c r="L777" s="1" t="str">
        <f>IF(A777&gt;0,COUNTIF('Барабан'!V:V,A777),"")</f>
        <v/>
      </c>
      <c r="M777" s="1" t="str">
        <f t="shared" si="3"/>
        <v/>
      </c>
      <c r="N777" s="1" t="str">
        <f>IFERROR(__xludf.DUMMYFUNCTION("IF(A777&gt;0,MIN(FILTER('Барабан'!AJ:AJ,'Барабан'!K:K=A777)),"""")"),"")</f>
        <v/>
      </c>
      <c r="O777" s="16" t="str">
        <f>IFERROR(__xludf.DUMMYFUNCTION("IF(A777&gt;0,IFERROR(MAX(FILTER('Барабан'!AJ:AJ,'Барабан'!V:V=A777)),""–""),"""")"),"")</f>
        <v/>
      </c>
    </row>
    <row r="778" ht="15.75" customHeight="1">
      <c r="A778" s="1" t="str">
        <f>'Справочник'!E773</f>
        <v/>
      </c>
      <c r="B778" s="2" t="str">
        <f>IF(A778&gt;0,SUMIF('Барабан'!K:K,A778,'Барабан'!I:I),"")</f>
        <v/>
      </c>
      <c r="C778" s="2" t="str">
        <f>IF(A778&gt;0,SUMIF('Барабан'!V:V,A778,'Барабан'!T:T),"")</f>
        <v/>
      </c>
      <c r="D778" s="2" t="str">
        <f>IF(A778&gt;0,SUMIF('Барабан'!K:K,A778,'Барабан'!AG:AG)+SUMIF('Барабан'!V:V,A778,'Барабан'!AG:AG),"")</f>
        <v/>
      </c>
      <c r="E778" s="2" t="str">
        <f t="shared" si="1"/>
        <v/>
      </c>
      <c r="F778" s="2" t="str">
        <f t="array" ref="F778">IFERROR(IF(E778=0,0,INDEX('Справочник'!G:G,MATCH(A778,'Справочник'!F:F,0))))</f>
        <v/>
      </c>
      <c r="G778" s="2" t="str">
        <f>IF(A778&gt;0,SUMIF('Барабан'!K:K,A778,'Барабан'!P:P),"")</f>
        <v/>
      </c>
      <c r="H778" s="2" t="str">
        <f>IF(A778&gt;0,SUMIF('Барабан'!V:V,A778,'Барабан'!AA:AA),"")</f>
        <v/>
      </c>
      <c r="I778" s="2" t="str">
        <f t="shared" si="4"/>
        <v/>
      </c>
      <c r="J778" s="9" t="str">
        <f t="shared" si="2"/>
        <v/>
      </c>
      <c r="K778" s="1" t="str">
        <f>IF(A778&gt;0,COUNTIF('Барабан'!K:K,A778),"")</f>
        <v/>
      </c>
      <c r="L778" s="1" t="str">
        <f>IF(A778&gt;0,COUNTIF('Барабан'!V:V,A778),"")</f>
        <v/>
      </c>
      <c r="M778" s="1" t="str">
        <f t="shared" si="3"/>
        <v/>
      </c>
      <c r="N778" s="1" t="str">
        <f>IFERROR(__xludf.DUMMYFUNCTION("IF(A778&gt;0,MIN(FILTER('Барабан'!AJ:AJ,'Барабан'!K:K=A778)),"""")"),"")</f>
        <v/>
      </c>
      <c r="O778" s="16" t="str">
        <f>IFERROR(__xludf.DUMMYFUNCTION("IF(A778&gt;0,IFERROR(MAX(FILTER('Барабан'!AJ:AJ,'Барабан'!V:V=A778)),""–""),"""")"),"")</f>
        <v/>
      </c>
    </row>
    <row r="779" ht="15.75" customHeight="1">
      <c r="A779" s="1" t="str">
        <f>'Справочник'!E774</f>
        <v/>
      </c>
      <c r="B779" s="2" t="str">
        <f>IF(A779&gt;0,SUMIF('Барабан'!K:K,A779,'Барабан'!I:I),"")</f>
        <v/>
      </c>
      <c r="C779" s="2" t="str">
        <f>IF(A779&gt;0,SUMIF('Барабан'!V:V,A779,'Барабан'!T:T),"")</f>
        <v/>
      </c>
      <c r="D779" s="2" t="str">
        <f>IF(A779&gt;0,SUMIF('Барабан'!K:K,A779,'Барабан'!AG:AG)+SUMIF('Барабан'!V:V,A779,'Барабан'!AG:AG),"")</f>
        <v/>
      </c>
      <c r="E779" s="2" t="str">
        <f t="shared" si="1"/>
        <v/>
      </c>
      <c r="F779" s="2" t="str">
        <f t="array" ref="F779">IFERROR(IF(E779=0,0,INDEX('Справочник'!G:G,MATCH(A779,'Справочник'!F:F,0))))</f>
        <v/>
      </c>
      <c r="G779" s="2" t="str">
        <f>IF(A779&gt;0,SUMIF('Барабан'!K:K,A779,'Барабан'!P:P),"")</f>
        <v/>
      </c>
      <c r="H779" s="2" t="str">
        <f>IF(A779&gt;0,SUMIF('Барабан'!V:V,A779,'Барабан'!AA:AA),"")</f>
        <v/>
      </c>
      <c r="I779" s="2" t="str">
        <f t="shared" si="4"/>
        <v/>
      </c>
      <c r="J779" s="9" t="str">
        <f t="shared" si="2"/>
        <v/>
      </c>
      <c r="K779" s="1" t="str">
        <f>IF(A779&gt;0,COUNTIF('Барабан'!K:K,A779),"")</f>
        <v/>
      </c>
      <c r="L779" s="1" t="str">
        <f>IF(A779&gt;0,COUNTIF('Барабан'!V:V,A779),"")</f>
        <v/>
      </c>
      <c r="M779" s="1" t="str">
        <f t="shared" si="3"/>
        <v/>
      </c>
      <c r="N779" s="1" t="str">
        <f>IFERROR(__xludf.DUMMYFUNCTION("IF(A779&gt;0,MIN(FILTER('Барабан'!AJ:AJ,'Барабан'!K:K=A779)),"""")"),"")</f>
        <v/>
      </c>
      <c r="O779" s="16" t="str">
        <f>IFERROR(__xludf.DUMMYFUNCTION("IF(A779&gt;0,IFERROR(MAX(FILTER('Барабан'!AJ:AJ,'Барабан'!V:V=A779)),""–""),"""")"),"")</f>
        <v/>
      </c>
    </row>
    <row r="780" ht="15.75" customHeight="1">
      <c r="A780" s="1" t="str">
        <f>'Справочник'!E775</f>
        <v/>
      </c>
      <c r="B780" s="2" t="str">
        <f>IF(A780&gt;0,SUMIF('Барабан'!K:K,A780,'Барабан'!I:I),"")</f>
        <v/>
      </c>
      <c r="C780" s="2" t="str">
        <f>IF(A780&gt;0,SUMIF('Барабан'!V:V,A780,'Барабан'!T:T),"")</f>
        <v/>
      </c>
      <c r="D780" s="2" t="str">
        <f>IF(A780&gt;0,SUMIF('Барабан'!K:K,A780,'Барабан'!AG:AG)+SUMIF('Барабан'!V:V,A780,'Барабан'!AG:AG),"")</f>
        <v/>
      </c>
      <c r="E780" s="2" t="str">
        <f t="shared" si="1"/>
        <v/>
      </c>
      <c r="F780" s="2" t="str">
        <f t="array" ref="F780">IFERROR(IF(E780=0,0,INDEX('Справочник'!G:G,MATCH(A780,'Справочник'!F:F,0))))</f>
        <v/>
      </c>
      <c r="G780" s="2" t="str">
        <f>IF(A780&gt;0,SUMIF('Барабан'!K:K,A780,'Барабан'!P:P),"")</f>
        <v/>
      </c>
      <c r="H780" s="2" t="str">
        <f>IF(A780&gt;0,SUMIF('Барабан'!V:V,A780,'Барабан'!AA:AA),"")</f>
        <v/>
      </c>
      <c r="I780" s="2" t="str">
        <f t="shared" si="4"/>
        <v/>
      </c>
      <c r="J780" s="9" t="str">
        <f t="shared" si="2"/>
        <v/>
      </c>
      <c r="K780" s="1" t="str">
        <f>IF(A780&gt;0,COUNTIF('Барабан'!K:K,A780),"")</f>
        <v/>
      </c>
      <c r="L780" s="1" t="str">
        <f>IF(A780&gt;0,COUNTIF('Барабан'!V:V,A780),"")</f>
        <v/>
      </c>
      <c r="M780" s="1" t="str">
        <f t="shared" si="3"/>
        <v/>
      </c>
      <c r="N780" s="1" t="str">
        <f>IFERROR(__xludf.DUMMYFUNCTION("IF(A780&gt;0,MIN(FILTER('Барабан'!AJ:AJ,'Барабан'!K:K=A780)),"""")"),"")</f>
        <v/>
      </c>
      <c r="O780" s="16" t="str">
        <f>IFERROR(__xludf.DUMMYFUNCTION("IF(A780&gt;0,IFERROR(MAX(FILTER('Барабан'!AJ:AJ,'Барабан'!V:V=A780)),""–""),"""")"),"")</f>
        <v/>
      </c>
    </row>
    <row r="781" ht="15.75" customHeight="1">
      <c r="A781" s="1" t="str">
        <f>'Справочник'!E776</f>
        <v/>
      </c>
      <c r="B781" s="2" t="str">
        <f>IF(A781&gt;0,SUMIF('Барабан'!K:K,A781,'Барабан'!I:I),"")</f>
        <v/>
      </c>
      <c r="C781" s="2" t="str">
        <f>IF(A781&gt;0,SUMIF('Барабан'!V:V,A781,'Барабан'!T:T),"")</f>
        <v/>
      </c>
      <c r="D781" s="2" t="str">
        <f>IF(A781&gt;0,SUMIF('Барабан'!K:K,A781,'Барабан'!AG:AG)+SUMIF('Барабан'!V:V,A781,'Барабан'!AG:AG),"")</f>
        <v/>
      </c>
      <c r="E781" s="2" t="str">
        <f t="shared" si="1"/>
        <v/>
      </c>
      <c r="F781" s="2" t="str">
        <f t="array" ref="F781">IFERROR(IF(E781=0,0,INDEX('Справочник'!G:G,MATCH(A781,'Справочник'!F:F,0))))</f>
        <v/>
      </c>
      <c r="G781" s="2" t="str">
        <f>IF(A781&gt;0,SUMIF('Барабан'!K:K,A781,'Барабан'!P:P),"")</f>
        <v/>
      </c>
      <c r="H781" s="2" t="str">
        <f>IF(A781&gt;0,SUMIF('Барабан'!V:V,A781,'Барабан'!AA:AA),"")</f>
        <v/>
      </c>
      <c r="I781" s="2" t="str">
        <f t="shared" si="4"/>
        <v/>
      </c>
      <c r="J781" s="9" t="str">
        <f t="shared" si="2"/>
        <v/>
      </c>
      <c r="K781" s="1" t="str">
        <f>IF(A781&gt;0,COUNTIF('Барабан'!K:K,A781),"")</f>
        <v/>
      </c>
      <c r="L781" s="1" t="str">
        <f>IF(A781&gt;0,COUNTIF('Барабан'!V:V,A781),"")</f>
        <v/>
      </c>
      <c r="M781" s="1" t="str">
        <f t="shared" si="3"/>
        <v/>
      </c>
      <c r="N781" s="1" t="str">
        <f>IFERROR(__xludf.DUMMYFUNCTION("IF(A781&gt;0,MIN(FILTER('Барабан'!AJ:AJ,'Барабан'!K:K=A781)),"""")"),"")</f>
        <v/>
      </c>
      <c r="O781" s="16" t="str">
        <f>IFERROR(__xludf.DUMMYFUNCTION("IF(A781&gt;0,IFERROR(MAX(FILTER('Барабан'!AJ:AJ,'Барабан'!V:V=A781)),""–""),"""")"),"")</f>
        <v/>
      </c>
    </row>
    <row r="782" ht="15.75" customHeight="1">
      <c r="A782" s="1" t="str">
        <f>'Справочник'!E777</f>
        <v/>
      </c>
      <c r="B782" s="2" t="str">
        <f>IF(A782&gt;0,SUMIF('Барабан'!K:K,A782,'Барабан'!I:I),"")</f>
        <v/>
      </c>
      <c r="C782" s="2" t="str">
        <f>IF(A782&gt;0,SUMIF('Барабан'!V:V,A782,'Барабан'!T:T),"")</f>
        <v/>
      </c>
      <c r="D782" s="2" t="str">
        <f>IF(A782&gt;0,SUMIF('Барабан'!K:K,A782,'Барабан'!AG:AG)+SUMIF('Барабан'!V:V,A782,'Барабан'!AG:AG),"")</f>
        <v/>
      </c>
      <c r="E782" s="2" t="str">
        <f t="shared" si="1"/>
        <v/>
      </c>
      <c r="F782" s="2" t="str">
        <f t="array" ref="F782">IFERROR(IF(E782=0,0,INDEX('Справочник'!G:G,MATCH(A782,'Справочник'!F:F,0))))</f>
        <v/>
      </c>
      <c r="G782" s="2" t="str">
        <f>IF(A782&gt;0,SUMIF('Барабан'!K:K,A782,'Барабан'!P:P),"")</f>
        <v/>
      </c>
      <c r="H782" s="2" t="str">
        <f>IF(A782&gt;0,SUMIF('Барабан'!V:V,A782,'Барабан'!AA:AA),"")</f>
        <v/>
      </c>
      <c r="I782" s="2" t="str">
        <f t="shared" si="4"/>
        <v/>
      </c>
      <c r="J782" s="9" t="str">
        <f t="shared" si="2"/>
        <v/>
      </c>
      <c r="K782" s="1" t="str">
        <f>IF(A782&gt;0,COUNTIF('Барабан'!K:K,A782),"")</f>
        <v/>
      </c>
      <c r="L782" s="1" t="str">
        <f>IF(A782&gt;0,COUNTIF('Барабан'!V:V,A782),"")</f>
        <v/>
      </c>
      <c r="M782" s="1" t="str">
        <f t="shared" si="3"/>
        <v/>
      </c>
      <c r="N782" s="1" t="str">
        <f>IFERROR(__xludf.DUMMYFUNCTION("IF(A782&gt;0,MIN(FILTER('Барабан'!AJ:AJ,'Барабан'!K:K=A782)),"""")"),"")</f>
        <v/>
      </c>
      <c r="O782" s="16" t="str">
        <f>IFERROR(__xludf.DUMMYFUNCTION("IF(A782&gt;0,IFERROR(MAX(FILTER('Барабан'!AJ:AJ,'Барабан'!V:V=A782)),""–""),"""")"),"")</f>
        <v/>
      </c>
    </row>
    <row r="783" ht="15.75" customHeight="1">
      <c r="A783" s="1" t="str">
        <f>'Справочник'!E778</f>
        <v/>
      </c>
      <c r="B783" s="2" t="str">
        <f>IF(A783&gt;0,SUMIF('Барабан'!K:K,A783,'Барабан'!I:I),"")</f>
        <v/>
      </c>
      <c r="C783" s="2" t="str">
        <f>IF(A783&gt;0,SUMIF('Барабан'!V:V,A783,'Барабан'!T:T),"")</f>
        <v/>
      </c>
      <c r="D783" s="2" t="str">
        <f>IF(A783&gt;0,SUMIF('Барабан'!K:K,A783,'Барабан'!AG:AG)+SUMIF('Барабан'!V:V,A783,'Барабан'!AG:AG),"")</f>
        <v/>
      </c>
      <c r="E783" s="2" t="str">
        <f t="shared" si="1"/>
        <v/>
      </c>
      <c r="F783" s="2" t="str">
        <f t="array" ref="F783">IFERROR(IF(E783=0,0,INDEX('Справочник'!G:G,MATCH(A783,'Справочник'!F:F,0))))</f>
        <v/>
      </c>
      <c r="G783" s="2" t="str">
        <f>IF(A783&gt;0,SUMIF('Барабан'!K:K,A783,'Барабан'!P:P),"")</f>
        <v/>
      </c>
      <c r="H783" s="2" t="str">
        <f>IF(A783&gt;0,SUMIF('Барабан'!V:V,A783,'Барабан'!AA:AA),"")</f>
        <v/>
      </c>
      <c r="I783" s="2" t="str">
        <f t="shared" si="4"/>
        <v/>
      </c>
      <c r="J783" s="9" t="str">
        <f t="shared" si="2"/>
        <v/>
      </c>
      <c r="K783" s="1" t="str">
        <f>IF(A783&gt;0,COUNTIF('Барабан'!K:K,A783),"")</f>
        <v/>
      </c>
      <c r="L783" s="1" t="str">
        <f>IF(A783&gt;0,COUNTIF('Барабан'!V:V,A783),"")</f>
        <v/>
      </c>
      <c r="M783" s="1" t="str">
        <f t="shared" si="3"/>
        <v/>
      </c>
      <c r="N783" s="1" t="str">
        <f>IFERROR(__xludf.DUMMYFUNCTION("IF(A783&gt;0,MIN(FILTER('Барабан'!AJ:AJ,'Барабан'!K:K=A783)),"""")"),"")</f>
        <v/>
      </c>
      <c r="O783" s="16" t="str">
        <f>IFERROR(__xludf.DUMMYFUNCTION("IF(A783&gt;0,IFERROR(MAX(FILTER('Барабан'!AJ:AJ,'Барабан'!V:V=A783)),""–""),"""")"),"")</f>
        <v/>
      </c>
    </row>
    <row r="784" ht="15.75" customHeight="1">
      <c r="A784" s="1" t="str">
        <f>'Справочник'!E779</f>
        <v/>
      </c>
      <c r="B784" s="2" t="str">
        <f>IF(A784&gt;0,SUMIF('Барабан'!K:K,A784,'Барабан'!I:I),"")</f>
        <v/>
      </c>
      <c r="C784" s="2" t="str">
        <f>IF(A784&gt;0,SUMIF('Барабан'!V:V,A784,'Барабан'!T:T),"")</f>
        <v/>
      </c>
      <c r="D784" s="2" t="str">
        <f>IF(A784&gt;0,SUMIF('Барабан'!K:K,A784,'Барабан'!AG:AG)+SUMIF('Барабан'!V:V,A784,'Барабан'!AG:AG),"")</f>
        <v/>
      </c>
      <c r="E784" s="2" t="str">
        <f t="shared" si="1"/>
        <v/>
      </c>
      <c r="F784" s="2" t="str">
        <f t="array" ref="F784">IFERROR(IF(E784=0,0,INDEX('Справочник'!G:G,MATCH(A784,'Справочник'!F:F,0))))</f>
        <v/>
      </c>
      <c r="G784" s="2" t="str">
        <f>IF(A784&gt;0,SUMIF('Барабан'!K:K,A784,'Барабан'!P:P),"")</f>
        <v/>
      </c>
      <c r="H784" s="2" t="str">
        <f>IF(A784&gt;0,SUMIF('Барабан'!V:V,A784,'Барабан'!AA:AA),"")</f>
        <v/>
      </c>
      <c r="I784" s="2" t="str">
        <f t="shared" si="4"/>
        <v/>
      </c>
      <c r="J784" s="9" t="str">
        <f t="shared" si="2"/>
        <v/>
      </c>
      <c r="K784" s="1" t="str">
        <f>IF(A784&gt;0,COUNTIF('Барабан'!K:K,A784),"")</f>
        <v/>
      </c>
      <c r="L784" s="1" t="str">
        <f>IF(A784&gt;0,COUNTIF('Барабан'!V:V,A784),"")</f>
        <v/>
      </c>
      <c r="M784" s="1" t="str">
        <f t="shared" si="3"/>
        <v/>
      </c>
      <c r="N784" s="1" t="str">
        <f>IFERROR(__xludf.DUMMYFUNCTION("IF(A784&gt;0,MIN(FILTER('Барабан'!AJ:AJ,'Барабан'!K:K=A784)),"""")"),"")</f>
        <v/>
      </c>
      <c r="O784" s="16" t="str">
        <f>IFERROR(__xludf.DUMMYFUNCTION("IF(A784&gt;0,IFERROR(MAX(FILTER('Барабан'!AJ:AJ,'Барабан'!V:V=A784)),""–""),"""")"),"")</f>
        <v/>
      </c>
    </row>
    <row r="785" ht="15.75" customHeight="1">
      <c r="A785" s="1" t="str">
        <f>'Справочник'!E780</f>
        <v/>
      </c>
      <c r="B785" s="2" t="str">
        <f>IF(A785&gt;0,SUMIF('Барабан'!K:K,A785,'Барабан'!I:I),"")</f>
        <v/>
      </c>
      <c r="C785" s="2" t="str">
        <f>IF(A785&gt;0,SUMIF('Барабан'!V:V,A785,'Барабан'!T:T),"")</f>
        <v/>
      </c>
      <c r="D785" s="2" t="str">
        <f>IF(A785&gt;0,SUMIF('Барабан'!K:K,A785,'Барабан'!AG:AG)+SUMIF('Барабан'!V:V,A785,'Барабан'!AG:AG),"")</f>
        <v/>
      </c>
      <c r="E785" s="2" t="str">
        <f t="shared" si="1"/>
        <v/>
      </c>
      <c r="F785" s="2" t="str">
        <f t="array" ref="F785">IFERROR(IF(E785=0,0,INDEX('Справочник'!G:G,MATCH(A785,'Справочник'!F:F,0))))</f>
        <v/>
      </c>
      <c r="G785" s="2" t="str">
        <f>IF(A785&gt;0,SUMIF('Барабан'!K:K,A785,'Барабан'!P:P),"")</f>
        <v/>
      </c>
      <c r="H785" s="2" t="str">
        <f>IF(A785&gt;0,SUMIF('Барабан'!V:V,A785,'Барабан'!AA:AA),"")</f>
        <v/>
      </c>
      <c r="I785" s="2" t="str">
        <f t="shared" si="4"/>
        <v/>
      </c>
      <c r="J785" s="9" t="str">
        <f t="shared" si="2"/>
        <v/>
      </c>
      <c r="K785" s="1" t="str">
        <f>IF(A785&gt;0,COUNTIF('Барабан'!K:K,A785),"")</f>
        <v/>
      </c>
      <c r="L785" s="1" t="str">
        <f>IF(A785&gt;0,COUNTIF('Барабан'!V:V,A785),"")</f>
        <v/>
      </c>
      <c r="M785" s="1" t="str">
        <f t="shared" si="3"/>
        <v/>
      </c>
      <c r="N785" s="1" t="str">
        <f>IFERROR(__xludf.DUMMYFUNCTION("IF(A785&gt;0,MIN(FILTER('Барабан'!AJ:AJ,'Барабан'!K:K=A785)),"""")"),"")</f>
        <v/>
      </c>
      <c r="O785" s="16" t="str">
        <f>IFERROR(__xludf.DUMMYFUNCTION("IF(A785&gt;0,IFERROR(MAX(FILTER('Барабан'!AJ:AJ,'Барабан'!V:V=A785)),""–""),"""")"),"")</f>
        <v/>
      </c>
    </row>
    <row r="786" ht="15.75" customHeight="1">
      <c r="A786" s="1" t="str">
        <f>'Справочник'!E781</f>
        <v/>
      </c>
      <c r="B786" s="2" t="str">
        <f>IF(A786&gt;0,SUMIF('Барабан'!K:K,A786,'Барабан'!I:I),"")</f>
        <v/>
      </c>
      <c r="C786" s="2" t="str">
        <f>IF(A786&gt;0,SUMIF('Барабан'!V:V,A786,'Барабан'!T:T),"")</f>
        <v/>
      </c>
      <c r="D786" s="2" t="str">
        <f>IF(A786&gt;0,SUMIF('Барабан'!K:K,A786,'Барабан'!AG:AG)+SUMIF('Барабан'!V:V,A786,'Барабан'!AG:AG),"")</f>
        <v/>
      </c>
      <c r="E786" s="2" t="str">
        <f t="shared" si="1"/>
        <v/>
      </c>
      <c r="F786" s="2" t="str">
        <f t="array" ref="F786">IFERROR(IF(E786=0,0,INDEX('Справочник'!G:G,MATCH(A786,'Справочник'!F:F,0))))</f>
        <v/>
      </c>
      <c r="G786" s="2" t="str">
        <f>IF(A786&gt;0,SUMIF('Барабан'!K:K,A786,'Барабан'!P:P),"")</f>
        <v/>
      </c>
      <c r="H786" s="2" t="str">
        <f>IF(A786&gt;0,SUMIF('Барабан'!V:V,A786,'Барабан'!AA:AA),"")</f>
        <v/>
      </c>
      <c r="I786" s="2" t="str">
        <f t="shared" si="4"/>
        <v/>
      </c>
      <c r="J786" s="9" t="str">
        <f t="shared" si="2"/>
        <v/>
      </c>
      <c r="K786" s="1" t="str">
        <f>IF(A786&gt;0,COUNTIF('Барабан'!K:K,A786),"")</f>
        <v/>
      </c>
      <c r="L786" s="1" t="str">
        <f>IF(A786&gt;0,COUNTIF('Барабан'!V:V,A786),"")</f>
        <v/>
      </c>
      <c r="M786" s="1" t="str">
        <f t="shared" si="3"/>
        <v/>
      </c>
      <c r="N786" s="1" t="str">
        <f>IFERROR(__xludf.DUMMYFUNCTION("IF(A786&gt;0,MIN(FILTER('Барабан'!AJ:AJ,'Барабан'!K:K=A786)),"""")"),"")</f>
        <v/>
      </c>
      <c r="O786" s="16" t="str">
        <f>IFERROR(__xludf.DUMMYFUNCTION("IF(A786&gt;0,IFERROR(MAX(FILTER('Барабан'!AJ:AJ,'Барабан'!V:V=A786)),""–""),"""")"),"")</f>
        <v/>
      </c>
    </row>
    <row r="787" ht="15.75" customHeight="1">
      <c r="A787" s="1" t="str">
        <f>'Справочник'!E782</f>
        <v/>
      </c>
      <c r="B787" s="2" t="str">
        <f>IF(A787&gt;0,SUMIF('Барабан'!K:K,A787,'Барабан'!I:I),"")</f>
        <v/>
      </c>
      <c r="C787" s="2" t="str">
        <f>IF(A787&gt;0,SUMIF('Барабан'!V:V,A787,'Барабан'!T:T),"")</f>
        <v/>
      </c>
      <c r="D787" s="2" t="str">
        <f>IF(A787&gt;0,SUMIF('Барабан'!K:K,A787,'Барабан'!AG:AG)+SUMIF('Барабан'!V:V,A787,'Барабан'!AG:AG),"")</f>
        <v/>
      </c>
      <c r="E787" s="2" t="str">
        <f t="shared" si="1"/>
        <v/>
      </c>
      <c r="F787" s="2" t="str">
        <f t="array" ref="F787">IFERROR(IF(E787=0,0,INDEX('Справочник'!G:G,MATCH(A787,'Справочник'!F:F,0))))</f>
        <v/>
      </c>
      <c r="G787" s="2" t="str">
        <f>IF(A787&gt;0,SUMIF('Барабан'!K:K,A787,'Барабан'!P:P),"")</f>
        <v/>
      </c>
      <c r="H787" s="2" t="str">
        <f>IF(A787&gt;0,SUMIF('Барабан'!V:V,A787,'Барабан'!AA:AA),"")</f>
        <v/>
      </c>
      <c r="I787" s="2" t="str">
        <f t="shared" si="4"/>
        <v/>
      </c>
      <c r="J787" s="9" t="str">
        <f t="shared" si="2"/>
        <v/>
      </c>
      <c r="K787" s="1" t="str">
        <f>IF(A787&gt;0,COUNTIF('Барабан'!K:K,A787),"")</f>
        <v/>
      </c>
      <c r="L787" s="1" t="str">
        <f>IF(A787&gt;0,COUNTIF('Барабан'!V:V,A787),"")</f>
        <v/>
      </c>
      <c r="M787" s="1" t="str">
        <f t="shared" si="3"/>
        <v/>
      </c>
      <c r="N787" s="1" t="str">
        <f>IFERROR(__xludf.DUMMYFUNCTION("IF(A787&gt;0,MIN(FILTER('Барабан'!AJ:AJ,'Барабан'!K:K=A787)),"""")"),"")</f>
        <v/>
      </c>
      <c r="O787" s="16" t="str">
        <f>IFERROR(__xludf.DUMMYFUNCTION("IF(A787&gt;0,IFERROR(MAX(FILTER('Барабан'!AJ:AJ,'Барабан'!V:V=A787)),""–""),"""")"),"")</f>
        <v/>
      </c>
    </row>
    <row r="788" ht="15.75" customHeight="1">
      <c r="A788" s="1" t="str">
        <f>'Справочник'!E783</f>
        <v/>
      </c>
      <c r="B788" s="2" t="str">
        <f>IF(A788&gt;0,SUMIF('Барабан'!K:K,A788,'Барабан'!I:I),"")</f>
        <v/>
      </c>
      <c r="C788" s="2" t="str">
        <f>IF(A788&gt;0,SUMIF('Барабан'!V:V,A788,'Барабан'!T:T),"")</f>
        <v/>
      </c>
      <c r="D788" s="2" t="str">
        <f>IF(A788&gt;0,SUMIF('Барабан'!K:K,A788,'Барабан'!AG:AG)+SUMIF('Барабан'!V:V,A788,'Барабан'!AG:AG),"")</f>
        <v/>
      </c>
      <c r="E788" s="2" t="str">
        <f t="shared" si="1"/>
        <v/>
      </c>
      <c r="F788" s="2" t="str">
        <f t="array" ref="F788">IFERROR(IF(E788=0,0,INDEX('Справочник'!G:G,MATCH(A788,'Справочник'!F:F,0))))</f>
        <v/>
      </c>
      <c r="G788" s="2" t="str">
        <f>IF(A788&gt;0,SUMIF('Барабан'!K:K,A788,'Барабан'!P:P),"")</f>
        <v/>
      </c>
      <c r="H788" s="2" t="str">
        <f>IF(A788&gt;0,SUMIF('Барабан'!V:V,A788,'Барабан'!AA:AA),"")</f>
        <v/>
      </c>
      <c r="I788" s="2" t="str">
        <f t="shared" si="4"/>
        <v/>
      </c>
      <c r="J788" s="9" t="str">
        <f t="shared" si="2"/>
        <v/>
      </c>
      <c r="K788" s="1" t="str">
        <f>IF(A788&gt;0,COUNTIF('Барабан'!K:K,A788),"")</f>
        <v/>
      </c>
      <c r="L788" s="1" t="str">
        <f>IF(A788&gt;0,COUNTIF('Барабан'!V:V,A788),"")</f>
        <v/>
      </c>
      <c r="M788" s="1" t="str">
        <f t="shared" si="3"/>
        <v/>
      </c>
      <c r="N788" s="1" t="str">
        <f>IFERROR(__xludf.DUMMYFUNCTION("IF(A788&gt;0,MIN(FILTER('Барабан'!AJ:AJ,'Барабан'!K:K=A788)),"""")"),"")</f>
        <v/>
      </c>
      <c r="O788" s="16" t="str">
        <f>IFERROR(__xludf.DUMMYFUNCTION("IF(A788&gt;0,IFERROR(MAX(FILTER('Барабан'!AJ:AJ,'Барабан'!V:V=A788)),""–""),"""")"),"")</f>
        <v/>
      </c>
    </row>
    <row r="789" ht="15.75" customHeight="1">
      <c r="A789" s="1" t="str">
        <f>'Справочник'!E784</f>
        <v/>
      </c>
      <c r="B789" s="2" t="str">
        <f>IF(A789&gt;0,SUMIF('Барабан'!K:K,A789,'Барабан'!I:I),"")</f>
        <v/>
      </c>
      <c r="C789" s="2" t="str">
        <f>IF(A789&gt;0,SUMIF('Барабан'!V:V,A789,'Барабан'!T:T),"")</f>
        <v/>
      </c>
      <c r="D789" s="2" t="str">
        <f>IF(A789&gt;0,SUMIF('Барабан'!K:K,A789,'Барабан'!AG:AG)+SUMIF('Барабан'!V:V,A789,'Барабан'!AG:AG),"")</f>
        <v/>
      </c>
      <c r="E789" s="2" t="str">
        <f t="shared" si="1"/>
        <v/>
      </c>
      <c r="F789" s="2" t="str">
        <f t="array" ref="F789">IFERROR(IF(E789=0,0,INDEX('Справочник'!G:G,MATCH(A789,'Справочник'!F:F,0))))</f>
        <v/>
      </c>
      <c r="G789" s="2" t="str">
        <f>IF(A789&gt;0,SUMIF('Барабан'!K:K,A789,'Барабан'!P:P),"")</f>
        <v/>
      </c>
      <c r="H789" s="2" t="str">
        <f>IF(A789&gt;0,SUMIF('Барабан'!V:V,A789,'Барабан'!AA:AA),"")</f>
        <v/>
      </c>
      <c r="I789" s="2" t="str">
        <f t="shared" si="4"/>
        <v/>
      </c>
      <c r="J789" s="9" t="str">
        <f t="shared" si="2"/>
        <v/>
      </c>
      <c r="K789" s="1" t="str">
        <f>IF(A789&gt;0,COUNTIF('Барабан'!K:K,A789),"")</f>
        <v/>
      </c>
      <c r="L789" s="1" t="str">
        <f>IF(A789&gt;0,COUNTIF('Барабан'!V:V,A789),"")</f>
        <v/>
      </c>
      <c r="M789" s="1" t="str">
        <f t="shared" si="3"/>
        <v/>
      </c>
      <c r="N789" s="1" t="str">
        <f>IFERROR(__xludf.DUMMYFUNCTION("IF(A789&gt;0,MIN(FILTER('Барабан'!AJ:AJ,'Барабан'!K:K=A789)),"""")"),"")</f>
        <v/>
      </c>
      <c r="O789" s="16" t="str">
        <f>IFERROR(__xludf.DUMMYFUNCTION("IF(A789&gt;0,IFERROR(MAX(FILTER('Барабан'!AJ:AJ,'Барабан'!V:V=A789)),""–""),"""")"),"")</f>
        <v/>
      </c>
    </row>
    <row r="790" ht="15.75" customHeight="1">
      <c r="A790" s="1" t="str">
        <f>'Справочник'!E785</f>
        <v/>
      </c>
      <c r="B790" s="2" t="str">
        <f>IF(A790&gt;0,SUMIF('Барабан'!K:K,A790,'Барабан'!I:I),"")</f>
        <v/>
      </c>
      <c r="C790" s="2" t="str">
        <f>IF(A790&gt;0,SUMIF('Барабан'!V:V,A790,'Барабан'!T:T),"")</f>
        <v/>
      </c>
      <c r="D790" s="2" t="str">
        <f>IF(A790&gt;0,SUMIF('Барабан'!K:K,A790,'Барабан'!AG:AG)+SUMIF('Барабан'!V:V,A790,'Барабан'!AG:AG),"")</f>
        <v/>
      </c>
      <c r="E790" s="2" t="str">
        <f t="shared" si="1"/>
        <v/>
      </c>
      <c r="F790" s="2" t="str">
        <f t="array" ref="F790">IFERROR(IF(E790=0,0,INDEX('Справочник'!G:G,MATCH(A790,'Справочник'!F:F,0))))</f>
        <v/>
      </c>
      <c r="G790" s="2" t="str">
        <f>IF(A790&gt;0,SUMIF('Барабан'!K:K,A790,'Барабан'!P:P),"")</f>
        <v/>
      </c>
      <c r="H790" s="2" t="str">
        <f>IF(A790&gt;0,SUMIF('Барабан'!V:V,A790,'Барабан'!AA:AA),"")</f>
        <v/>
      </c>
      <c r="I790" s="2" t="str">
        <f t="shared" si="4"/>
        <v/>
      </c>
      <c r="J790" s="9" t="str">
        <f t="shared" si="2"/>
        <v/>
      </c>
      <c r="K790" s="1" t="str">
        <f>IF(A790&gt;0,COUNTIF('Барабан'!K:K,A790),"")</f>
        <v/>
      </c>
      <c r="L790" s="1" t="str">
        <f>IF(A790&gt;0,COUNTIF('Барабан'!V:V,A790),"")</f>
        <v/>
      </c>
      <c r="M790" s="1" t="str">
        <f t="shared" si="3"/>
        <v/>
      </c>
      <c r="N790" s="1" t="str">
        <f>IFERROR(__xludf.DUMMYFUNCTION("IF(A790&gt;0,MIN(FILTER('Барабан'!AJ:AJ,'Барабан'!K:K=A790)),"""")"),"")</f>
        <v/>
      </c>
      <c r="O790" s="16" t="str">
        <f>IFERROR(__xludf.DUMMYFUNCTION("IF(A790&gt;0,IFERROR(MAX(FILTER('Барабан'!AJ:AJ,'Барабан'!V:V=A790)),""–""),"""")"),"")</f>
        <v/>
      </c>
    </row>
    <row r="791" ht="15.75" customHeight="1">
      <c r="A791" s="1" t="str">
        <f>'Справочник'!E786</f>
        <v/>
      </c>
      <c r="B791" s="2" t="str">
        <f>IF(A791&gt;0,SUMIF('Барабан'!K:K,A791,'Барабан'!I:I),"")</f>
        <v/>
      </c>
      <c r="C791" s="2" t="str">
        <f>IF(A791&gt;0,SUMIF('Барабан'!V:V,A791,'Барабан'!T:T),"")</f>
        <v/>
      </c>
      <c r="D791" s="2" t="str">
        <f>IF(A791&gt;0,SUMIF('Барабан'!K:K,A791,'Барабан'!AG:AG)+SUMIF('Барабан'!V:V,A791,'Барабан'!AG:AG),"")</f>
        <v/>
      </c>
      <c r="E791" s="2" t="str">
        <f t="shared" si="1"/>
        <v/>
      </c>
      <c r="F791" s="2" t="str">
        <f t="array" ref="F791">IFERROR(IF(E791=0,0,INDEX('Справочник'!G:G,MATCH(A791,'Справочник'!F:F,0))))</f>
        <v/>
      </c>
      <c r="G791" s="2" t="str">
        <f>IF(A791&gt;0,SUMIF('Барабан'!K:K,A791,'Барабан'!P:P),"")</f>
        <v/>
      </c>
      <c r="H791" s="2" t="str">
        <f>IF(A791&gt;0,SUMIF('Барабан'!V:V,A791,'Барабан'!AA:AA),"")</f>
        <v/>
      </c>
      <c r="I791" s="2" t="str">
        <f t="shared" si="4"/>
        <v/>
      </c>
      <c r="J791" s="9" t="str">
        <f t="shared" si="2"/>
        <v/>
      </c>
      <c r="K791" s="1" t="str">
        <f>IF(A791&gt;0,COUNTIF('Барабан'!K:K,A791),"")</f>
        <v/>
      </c>
      <c r="L791" s="1" t="str">
        <f>IF(A791&gt;0,COUNTIF('Барабан'!V:V,A791),"")</f>
        <v/>
      </c>
      <c r="M791" s="1" t="str">
        <f t="shared" si="3"/>
        <v/>
      </c>
      <c r="N791" s="1" t="str">
        <f>IFERROR(__xludf.DUMMYFUNCTION("IF(A791&gt;0,MIN(FILTER('Барабан'!AJ:AJ,'Барабан'!K:K=A791)),"""")"),"")</f>
        <v/>
      </c>
      <c r="O791" s="16" t="str">
        <f>IFERROR(__xludf.DUMMYFUNCTION("IF(A791&gt;0,IFERROR(MAX(FILTER('Барабан'!AJ:AJ,'Барабан'!V:V=A791)),""–""),"""")"),"")</f>
        <v/>
      </c>
    </row>
    <row r="792" ht="15.75" customHeight="1">
      <c r="A792" s="1" t="str">
        <f>'Справочник'!E787</f>
        <v/>
      </c>
      <c r="B792" s="2" t="str">
        <f>IF(A792&gt;0,SUMIF('Барабан'!K:K,A792,'Барабан'!I:I),"")</f>
        <v/>
      </c>
      <c r="C792" s="2" t="str">
        <f>IF(A792&gt;0,SUMIF('Барабан'!V:V,A792,'Барабан'!T:T),"")</f>
        <v/>
      </c>
      <c r="D792" s="2" t="str">
        <f>IF(A792&gt;0,SUMIF('Барабан'!K:K,A792,'Барабан'!AG:AG)+SUMIF('Барабан'!V:V,A792,'Барабан'!AG:AG),"")</f>
        <v/>
      </c>
      <c r="E792" s="2" t="str">
        <f t="shared" si="1"/>
        <v/>
      </c>
      <c r="F792" s="2" t="str">
        <f t="array" ref="F792">IFERROR(IF(E792=0,0,INDEX('Справочник'!G:G,MATCH(A792,'Справочник'!F:F,0))))</f>
        <v/>
      </c>
      <c r="G792" s="2" t="str">
        <f>IF(A792&gt;0,SUMIF('Барабан'!K:K,A792,'Барабан'!P:P),"")</f>
        <v/>
      </c>
      <c r="H792" s="2" t="str">
        <f>IF(A792&gt;0,SUMIF('Барабан'!V:V,A792,'Барабан'!AA:AA),"")</f>
        <v/>
      </c>
      <c r="I792" s="2" t="str">
        <f t="shared" si="4"/>
        <v/>
      </c>
      <c r="J792" s="9" t="str">
        <f t="shared" si="2"/>
        <v/>
      </c>
      <c r="K792" s="1" t="str">
        <f>IF(A792&gt;0,COUNTIF('Барабан'!K:K,A792),"")</f>
        <v/>
      </c>
      <c r="L792" s="1" t="str">
        <f>IF(A792&gt;0,COUNTIF('Барабан'!V:V,A792),"")</f>
        <v/>
      </c>
      <c r="M792" s="1" t="str">
        <f t="shared" si="3"/>
        <v/>
      </c>
      <c r="N792" s="1" t="str">
        <f>IFERROR(__xludf.DUMMYFUNCTION("IF(A792&gt;0,MIN(FILTER('Барабан'!AJ:AJ,'Барабан'!K:K=A792)),"""")"),"")</f>
        <v/>
      </c>
      <c r="O792" s="16" t="str">
        <f>IFERROR(__xludf.DUMMYFUNCTION("IF(A792&gt;0,IFERROR(MAX(FILTER('Барабан'!AJ:AJ,'Барабан'!V:V=A792)),""–""),"""")"),"")</f>
        <v/>
      </c>
    </row>
    <row r="793" ht="15.75" customHeight="1">
      <c r="A793" s="1" t="str">
        <f>'Справочник'!E788</f>
        <v/>
      </c>
      <c r="B793" s="2" t="str">
        <f>IF(A793&gt;0,SUMIF('Барабан'!K:K,A793,'Барабан'!I:I),"")</f>
        <v/>
      </c>
      <c r="C793" s="2" t="str">
        <f>IF(A793&gt;0,SUMIF('Барабан'!V:V,A793,'Барабан'!T:T),"")</f>
        <v/>
      </c>
      <c r="D793" s="2" t="str">
        <f>IF(A793&gt;0,SUMIF('Барабан'!K:K,A793,'Барабан'!AG:AG)+SUMIF('Барабан'!V:V,A793,'Барабан'!AG:AG),"")</f>
        <v/>
      </c>
      <c r="E793" s="2" t="str">
        <f t="shared" si="1"/>
        <v/>
      </c>
      <c r="F793" s="2" t="str">
        <f t="array" ref="F793">IFERROR(IF(E793=0,0,INDEX('Справочник'!G:G,MATCH(A793,'Справочник'!F:F,0))))</f>
        <v/>
      </c>
      <c r="G793" s="2" t="str">
        <f>IF(A793&gt;0,SUMIF('Барабан'!K:K,A793,'Барабан'!P:P),"")</f>
        <v/>
      </c>
      <c r="H793" s="2" t="str">
        <f>IF(A793&gt;0,SUMIF('Барабан'!V:V,A793,'Барабан'!AA:AA),"")</f>
        <v/>
      </c>
      <c r="I793" s="2" t="str">
        <f t="shared" si="4"/>
        <v/>
      </c>
      <c r="J793" s="9" t="str">
        <f t="shared" si="2"/>
        <v/>
      </c>
      <c r="K793" s="1" t="str">
        <f>IF(A793&gt;0,COUNTIF('Барабан'!K:K,A793),"")</f>
        <v/>
      </c>
      <c r="L793" s="1" t="str">
        <f>IF(A793&gt;0,COUNTIF('Барабан'!V:V,A793),"")</f>
        <v/>
      </c>
      <c r="M793" s="1" t="str">
        <f t="shared" si="3"/>
        <v/>
      </c>
      <c r="N793" s="1" t="str">
        <f>IFERROR(__xludf.DUMMYFUNCTION("IF(A793&gt;0,MIN(FILTER('Барабан'!AJ:AJ,'Барабан'!K:K=A793)),"""")"),"")</f>
        <v/>
      </c>
      <c r="O793" s="16" t="str">
        <f>IFERROR(__xludf.DUMMYFUNCTION("IF(A793&gt;0,IFERROR(MAX(FILTER('Барабан'!AJ:AJ,'Барабан'!V:V=A793)),""–""),"""")"),"")</f>
        <v/>
      </c>
    </row>
    <row r="794" ht="15.75" customHeight="1">
      <c r="A794" s="1" t="str">
        <f>'Справочник'!E789</f>
        <v/>
      </c>
      <c r="B794" s="2" t="str">
        <f>IF(A794&gt;0,SUMIF('Барабан'!K:K,A794,'Барабан'!I:I),"")</f>
        <v/>
      </c>
      <c r="C794" s="2" t="str">
        <f>IF(A794&gt;0,SUMIF('Барабан'!V:V,A794,'Барабан'!T:T),"")</f>
        <v/>
      </c>
      <c r="D794" s="2" t="str">
        <f>IF(A794&gt;0,SUMIF('Барабан'!K:K,A794,'Барабан'!AG:AG)+SUMIF('Барабан'!V:V,A794,'Барабан'!AG:AG),"")</f>
        <v/>
      </c>
      <c r="E794" s="2" t="str">
        <f t="shared" si="1"/>
        <v/>
      </c>
      <c r="F794" s="2" t="str">
        <f t="array" ref="F794">IFERROR(IF(E794=0,0,INDEX('Справочник'!G:G,MATCH(A794,'Справочник'!F:F,0))))</f>
        <v/>
      </c>
      <c r="G794" s="2" t="str">
        <f>IF(A794&gt;0,SUMIF('Барабан'!K:K,A794,'Барабан'!P:P),"")</f>
        <v/>
      </c>
      <c r="H794" s="2" t="str">
        <f>IF(A794&gt;0,SUMIF('Барабан'!V:V,A794,'Барабан'!AA:AA),"")</f>
        <v/>
      </c>
      <c r="I794" s="2" t="str">
        <f t="shared" si="4"/>
        <v/>
      </c>
      <c r="J794" s="9" t="str">
        <f t="shared" si="2"/>
        <v/>
      </c>
      <c r="K794" s="1" t="str">
        <f>IF(A794&gt;0,COUNTIF('Барабан'!K:K,A794),"")</f>
        <v/>
      </c>
      <c r="L794" s="1" t="str">
        <f>IF(A794&gt;0,COUNTIF('Барабан'!V:V,A794),"")</f>
        <v/>
      </c>
      <c r="M794" s="1" t="str">
        <f t="shared" si="3"/>
        <v/>
      </c>
      <c r="N794" s="1" t="str">
        <f>IFERROR(__xludf.DUMMYFUNCTION("IF(A794&gt;0,MIN(FILTER('Барабан'!AJ:AJ,'Барабан'!K:K=A794)),"""")"),"")</f>
        <v/>
      </c>
      <c r="O794" s="16" t="str">
        <f>IFERROR(__xludf.DUMMYFUNCTION("IF(A794&gt;0,IFERROR(MAX(FILTER('Барабан'!AJ:AJ,'Барабан'!V:V=A794)),""–""),"""")"),"")</f>
        <v/>
      </c>
    </row>
    <row r="795" ht="15.75" customHeight="1">
      <c r="A795" s="1" t="str">
        <f>'Справочник'!E790</f>
        <v/>
      </c>
      <c r="B795" s="2" t="str">
        <f>IF(A795&gt;0,SUMIF('Барабан'!K:K,A795,'Барабан'!I:I),"")</f>
        <v/>
      </c>
      <c r="C795" s="2" t="str">
        <f>IF(A795&gt;0,SUMIF('Барабан'!V:V,A795,'Барабан'!T:T),"")</f>
        <v/>
      </c>
      <c r="D795" s="2" t="str">
        <f>IF(A795&gt;0,SUMIF('Барабан'!K:K,A795,'Барабан'!AG:AG)+SUMIF('Барабан'!V:V,A795,'Барабан'!AG:AG),"")</f>
        <v/>
      </c>
      <c r="E795" s="2" t="str">
        <f t="shared" si="1"/>
        <v/>
      </c>
      <c r="F795" s="2" t="str">
        <f t="array" ref="F795">IFERROR(IF(E795=0,0,INDEX('Справочник'!G:G,MATCH(A795,'Справочник'!F:F,0))))</f>
        <v/>
      </c>
      <c r="G795" s="2" t="str">
        <f>IF(A795&gt;0,SUMIF('Барабан'!K:K,A795,'Барабан'!P:P),"")</f>
        <v/>
      </c>
      <c r="H795" s="2" t="str">
        <f>IF(A795&gt;0,SUMIF('Барабан'!V:V,A795,'Барабан'!AA:AA),"")</f>
        <v/>
      </c>
      <c r="I795" s="2" t="str">
        <f t="shared" si="4"/>
        <v/>
      </c>
      <c r="J795" s="9" t="str">
        <f t="shared" si="2"/>
        <v/>
      </c>
      <c r="K795" s="1" t="str">
        <f>IF(A795&gt;0,COUNTIF('Барабан'!K:K,A795),"")</f>
        <v/>
      </c>
      <c r="L795" s="1" t="str">
        <f>IF(A795&gt;0,COUNTIF('Барабан'!V:V,A795),"")</f>
        <v/>
      </c>
      <c r="M795" s="1" t="str">
        <f t="shared" si="3"/>
        <v/>
      </c>
      <c r="N795" s="1" t="str">
        <f>IFERROR(__xludf.DUMMYFUNCTION("IF(A795&gt;0,MIN(FILTER('Барабан'!AJ:AJ,'Барабан'!K:K=A795)),"""")"),"")</f>
        <v/>
      </c>
      <c r="O795" s="16" t="str">
        <f>IFERROR(__xludf.DUMMYFUNCTION("IF(A795&gt;0,IFERROR(MAX(FILTER('Барабан'!AJ:AJ,'Барабан'!V:V=A795)),""–""),"""")"),"")</f>
        <v/>
      </c>
    </row>
    <row r="796" ht="15.75" customHeight="1">
      <c r="A796" s="1" t="str">
        <f>'Справочник'!E791</f>
        <v/>
      </c>
      <c r="B796" s="2" t="str">
        <f>IF(A796&gt;0,SUMIF('Барабан'!K:K,A796,'Барабан'!I:I),"")</f>
        <v/>
      </c>
      <c r="C796" s="2" t="str">
        <f>IF(A796&gt;0,SUMIF('Барабан'!V:V,A796,'Барабан'!T:T),"")</f>
        <v/>
      </c>
      <c r="D796" s="2" t="str">
        <f>IF(A796&gt;0,SUMIF('Барабан'!K:K,A796,'Барабан'!AG:AG)+SUMIF('Барабан'!V:V,A796,'Барабан'!AG:AG),"")</f>
        <v/>
      </c>
      <c r="E796" s="2" t="str">
        <f t="shared" si="1"/>
        <v/>
      </c>
      <c r="F796" s="2" t="str">
        <f t="array" ref="F796">IFERROR(IF(E796=0,0,INDEX('Справочник'!G:G,MATCH(A796,'Справочник'!F:F,0))))</f>
        <v/>
      </c>
      <c r="G796" s="2" t="str">
        <f>IF(A796&gt;0,SUMIF('Барабан'!K:K,A796,'Барабан'!P:P),"")</f>
        <v/>
      </c>
      <c r="H796" s="2" t="str">
        <f>IF(A796&gt;0,SUMIF('Барабан'!V:V,A796,'Барабан'!AA:AA),"")</f>
        <v/>
      </c>
      <c r="I796" s="2" t="str">
        <f t="shared" si="4"/>
        <v/>
      </c>
      <c r="J796" s="9" t="str">
        <f t="shared" si="2"/>
        <v/>
      </c>
      <c r="K796" s="1" t="str">
        <f>IF(A796&gt;0,COUNTIF('Барабан'!K:K,A796),"")</f>
        <v/>
      </c>
      <c r="L796" s="1" t="str">
        <f>IF(A796&gt;0,COUNTIF('Барабан'!V:V,A796),"")</f>
        <v/>
      </c>
      <c r="M796" s="1" t="str">
        <f t="shared" si="3"/>
        <v/>
      </c>
      <c r="N796" s="1" t="str">
        <f>IFERROR(__xludf.DUMMYFUNCTION("IF(A796&gt;0,MIN(FILTER('Барабан'!AJ:AJ,'Барабан'!K:K=A796)),"""")"),"")</f>
        <v/>
      </c>
      <c r="O796" s="16" t="str">
        <f>IFERROR(__xludf.DUMMYFUNCTION("IF(A796&gt;0,IFERROR(MAX(FILTER('Барабан'!AJ:AJ,'Барабан'!V:V=A796)),""–""),"""")"),"")</f>
        <v/>
      </c>
    </row>
    <row r="797" ht="15.75" customHeight="1">
      <c r="A797" s="1" t="str">
        <f>'Справочник'!E792</f>
        <v/>
      </c>
      <c r="B797" s="2" t="str">
        <f>IF(A797&gt;0,SUMIF('Барабан'!K:K,A797,'Барабан'!I:I),"")</f>
        <v/>
      </c>
      <c r="C797" s="2" t="str">
        <f>IF(A797&gt;0,SUMIF('Барабан'!V:V,A797,'Барабан'!T:T),"")</f>
        <v/>
      </c>
      <c r="D797" s="2" t="str">
        <f>IF(A797&gt;0,SUMIF('Барабан'!K:K,A797,'Барабан'!AG:AG)+SUMIF('Барабан'!V:V,A797,'Барабан'!AG:AG),"")</f>
        <v/>
      </c>
      <c r="E797" s="2" t="str">
        <f t="shared" si="1"/>
        <v/>
      </c>
      <c r="F797" s="2" t="str">
        <f t="array" ref="F797">IFERROR(IF(E797=0,0,INDEX('Справочник'!G:G,MATCH(A797,'Справочник'!F:F,0))))</f>
        <v/>
      </c>
      <c r="G797" s="2" t="str">
        <f>IF(A797&gt;0,SUMIF('Барабан'!K:K,A797,'Барабан'!P:P),"")</f>
        <v/>
      </c>
      <c r="H797" s="2" t="str">
        <f>IF(A797&gt;0,SUMIF('Барабан'!V:V,A797,'Барабан'!AA:AA),"")</f>
        <v/>
      </c>
      <c r="I797" s="2" t="str">
        <f t="shared" si="4"/>
        <v/>
      </c>
      <c r="J797" s="9" t="str">
        <f t="shared" si="2"/>
        <v/>
      </c>
      <c r="K797" s="1" t="str">
        <f>IF(A797&gt;0,COUNTIF('Барабан'!K:K,A797),"")</f>
        <v/>
      </c>
      <c r="L797" s="1" t="str">
        <f>IF(A797&gt;0,COUNTIF('Барабан'!V:V,A797),"")</f>
        <v/>
      </c>
      <c r="M797" s="1" t="str">
        <f t="shared" si="3"/>
        <v/>
      </c>
      <c r="N797" s="1" t="str">
        <f>IFERROR(__xludf.DUMMYFUNCTION("IF(A797&gt;0,MIN(FILTER('Барабан'!AJ:AJ,'Барабан'!K:K=A797)),"""")"),"")</f>
        <v/>
      </c>
      <c r="O797" s="16" t="str">
        <f>IFERROR(__xludf.DUMMYFUNCTION("IF(A797&gt;0,IFERROR(MAX(FILTER('Барабан'!AJ:AJ,'Барабан'!V:V=A797)),""–""),"""")"),"")</f>
        <v/>
      </c>
    </row>
    <row r="798" ht="15.75" customHeight="1">
      <c r="A798" s="1" t="str">
        <f>'Справочник'!E793</f>
        <v/>
      </c>
      <c r="B798" s="2" t="str">
        <f>IF(A798&gt;0,SUMIF('Барабан'!K:K,A798,'Барабан'!I:I),"")</f>
        <v/>
      </c>
      <c r="C798" s="2" t="str">
        <f>IF(A798&gt;0,SUMIF('Барабан'!V:V,A798,'Барабан'!T:T),"")</f>
        <v/>
      </c>
      <c r="D798" s="2" t="str">
        <f>IF(A798&gt;0,SUMIF('Барабан'!K:K,A798,'Барабан'!AG:AG)+SUMIF('Барабан'!V:V,A798,'Барабан'!AG:AG),"")</f>
        <v/>
      </c>
      <c r="E798" s="2" t="str">
        <f t="shared" si="1"/>
        <v/>
      </c>
      <c r="F798" s="2" t="str">
        <f t="array" ref="F798">IFERROR(IF(E798=0,0,INDEX('Справочник'!G:G,MATCH(A798,'Справочник'!F:F,0))))</f>
        <v/>
      </c>
      <c r="G798" s="2" t="str">
        <f>IF(A798&gt;0,SUMIF('Барабан'!K:K,A798,'Барабан'!P:P),"")</f>
        <v/>
      </c>
      <c r="H798" s="2" t="str">
        <f>IF(A798&gt;0,SUMIF('Барабан'!V:V,A798,'Барабан'!AA:AA),"")</f>
        <v/>
      </c>
      <c r="I798" s="2" t="str">
        <f t="shared" si="4"/>
        <v/>
      </c>
      <c r="J798" s="9" t="str">
        <f t="shared" si="2"/>
        <v/>
      </c>
      <c r="K798" s="1" t="str">
        <f>IF(A798&gt;0,COUNTIF('Барабан'!K:K,A798),"")</f>
        <v/>
      </c>
      <c r="L798" s="1" t="str">
        <f>IF(A798&gt;0,COUNTIF('Барабан'!V:V,A798),"")</f>
        <v/>
      </c>
      <c r="M798" s="1" t="str">
        <f t="shared" si="3"/>
        <v/>
      </c>
      <c r="N798" s="1" t="str">
        <f>IFERROR(__xludf.DUMMYFUNCTION("IF(A798&gt;0,MIN(FILTER('Барабан'!AJ:AJ,'Барабан'!K:K=A798)),"""")"),"")</f>
        <v/>
      </c>
      <c r="O798" s="16" t="str">
        <f>IFERROR(__xludf.DUMMYFUNCTION("IF(A798&gt;0,IFERROR(MAX(FILTER('Барабан'!AJ:AJ,'Барабан'!V:V=A798)),""–""),"""")"),"")</f>
        <v/>
      </c>
    </row>
    <row r="799" ht="15.75" customHeight="1">
      <c r="A799" s="1" t="str">
        <f>'Справочник'!E794</f>
        <v/>
      </c>
      <c r="B799" s="2" t="str">
        <f>IF(A799&gt;0,SUMIF('Барабан'!K:K,A799,'Барабан'!I:I),"")</f>
        <v/>
      </c>
      <c r="C799" s="2" t="str">
        <f>IF(A799&gt;0,SUMIF('Барабан'!V:V,A799,'Барабан'!T:T),"")</f>
        <v/>
      </c>
      <c r="D799" s="2" t="str">
        <f>IF(A799&gt;0,SUMIF('Барабан'!K:K,A799,'Барабан'!AG:AG)+SUMIF('Барабан'!V:V,A799,'Барабан'!AG:AG),"")</f>
        <v/>
      </c>
      <c r="E799" s="2" t="str">
        <f t="shared" si="1"/>
        <v/>
      </c>
      <c r="F799" s="2" t="str">
        <f t="array" ref="F799">IFERROR(IF(E799=0,0,INDEX('Справочник'!G:G,MATCH(A799,'Справочник'!F:F,0))))</f>
        <v/>
      </c>
      <c r="G799" s="2" t="str">
        <f>IF(A799&gt;0,SUMIF('Барабан'!K:K,A799,'Барабан'!P:P),"")</f>
        <v/>
      </c>
      <c r="H799" s="2" t="str">
        <f>IF(A799&gt;0,SUMIF('Барабан'!V:V,A799,'Барабан'!AA:AA),"")</f>
        <v/>
      </c>
      <c r="I799" s="2" t="str">
        <f t="shared" si="4"/>
        <v/>
      </c>
      <c r="J799" s="9" t="str">
        <f t="shared" si="2"/>
        <v/>
      </c>
      <c r="K799" s="1" t="str">
        <f>IF(A799&gt;0,COUNTIF('Барабан'!K:K,A799),"")</f>
        <v/>
      </c>
      <c r="L799" s="1" t="str">
        <f>IF(A799&gt;0,COUNTIF('Барабан'!V:V,A799),"")</f>
        <v/>
      </c>
      <c r="M799" s="1" t="str">
        <f t="shared" si="3"/>
        <v/>
      </c>
      <c r="N799" s="1" t="str">
        <f>IFERROR(__xludf.DUMMYFUNCTION("IF(A799&gt;0,MIN(FILTER('Барабан'!AJ:AJ,'Барабан'!K:K=A799)),"""")"),"")</f>
        <v/>
      </c>
      <c r="O799" s="16" t="str">
        <f>IFERROR(__xludf.DUMMYFUNCTION("IF(A799&gt;0,IFERROR(MAX(FILTER('Барабан'!AJ:AJ,'Барабан'!V:V=A799)),""–""),"""")"),"")</f>
        <v/>
      </c>
    </row>
    <row r="800" ht="15.75" customHeight="1">
      <c r="A800" s="1" t="str">
        <f>'Справочник'!E795</f>
        <v/>
      </c>
      <c r="B800" s="2" t="str">
        <f>IF(A800&gt;0,SUMIF('Барабан'!K:K,A800,'Барабан'!I:I),"")</f>
        <v/>
      </c>
      <c r="C800" s="2" t="str">
        <f>IF(A800&gt;0,SUMIF('Барабан'!V:V,A800,'Барабан'!T:T),"")</f>
        <v/>
      </c>
      <c r="D800" s="2" t="str">
        <f>IF(A800&gt;0,SUMIF('Барабан'!K:K,A800,'Барабан'!AG:AG)+SUMIF('Барабан'!V:V,A800,'Барабан'!AG:AG),"")</f>
        <v/>
      </c>
      <c r="E800" s="2" t="str">
        <f t="shared" si="1"/>
        <v/>
      </c>
      <c r="F800" s="2" t="str">
        <f t="array" ref="F800">IFERROR(IF(E800=0,0,INDEX('Справочник'!G:G,MATCH(A800,'Справочник'!F:F,0))))</f>
        <v/>
      </c>
      <c r="G800" s="2" t="str">
        <f>IF(A800&gt;0,SUMIF('Барабан'!K:K,A800,'Барабан'!P:P),"")</f>
        <v/>
      </c>
      <c r="H800" s="2" t="str">
        <f>IF(A800&gt;0,SUMIF('Барабан'!V:V,A800,'Барабан'!AA:AA),"")</f>
        <v/>
      </c>
      <c r="I800" s="2" t="str">
        <f t="shared" si="4"/>
        <v/>
      </c>
      <c r="J800" s="9" t="str">
        <f t="shared" si="2"/>
        <v/>
      </c>
      <c r="K800" s="1" t="str">
        <f>IF(A800&gt;0,COUNTIF('Барабан'!K:K,A800),"")</f>
        <v/>
      </c>
      <c r="L800" s="1" t="str">
        <f>IF(A800&gt;0,COUNTIF('Барабан'!V:V,A800),"")</f>
        <v/>
      </c>
      <c r="M800" s="1" t="str">
        <f t="shared" si="3"/>
        <v/>
      </c>
      <c r="N800" s="1" t="str">
        <f>IFERROR(__xludf.DUMMYFUNCTION("IF(A800&gt;0,MIN(FILTER('Барабан'!AJ:AJ,'Барабан'!K:K=A800)),"""")"),"")</f>
        <v/>
      </c>
      <c r="O800" s="16" t="str">
        <f>IFERROR(__xludf.DUMMYFUNCTION("IF(A800&gt;0,IFERROR(MAX(FILTER('Барабан'!AJ:AJ,'Барабан'!V:V=A800)),""–""),"""")"),"")</f>
        <v/>
      </c>
    </row>
    <row r="801" ht="15.75" customHeight="1">
      <c r="A801" s="1" t="str">
        <f>'Справочник'!E796</f>
        <v/>
      </c>
      <c r="B801" s="2" t="str">
        <f>IF(A801&gt;0,SUMIF('Барабан'!K:K,A801,'Барабан'!I:I),"")</f>
        <v/>
      </c>
      <c r="C801" s="2" t="str">
        <f>IF(A801&gt;0,SUMIF('Барабан'!V:V,A801,'Барабан'!T:T),"")</f>
        <v/>
      </c>
      <c r="D801" s="2" t="str">
        <f>IF(A801&gt;0,SUMIF('Барабан'!K:K,A801,'Барабан'!AG:AG)+SUMIF('Барабан'!V:V,A801,'Барабан'!AG:AG),"")</f>
        <v/>
      </c>
      <c r="E801" s="2" t="str">
        <f t="shared" si="1"/>
        <v/>
      </c>
      <c r="F801" s="2" t="str">
        <f t="array" ref="F801">IFERROR(IF(E801=0,0,INDEX('Справочник'!G:G,MATCH(A801,'Справочник'!F:F,0))))</f>
        <v/>
      </c>
      <c r="G801" s="2" t="str">
        <f>IF(A801&gt;0,SUMIF('Барабан'!K:K,A801,'Барабан'!P:P),"")</f>
        <v/>
      </c>
      <c r="H801" s="2" t="str">
        <f>IF(A801&gt;0,SUMIF('Барабан'!V:V,A801,'Барабан'!AA:AA),"")</f>
        <v/>
      </c>
      <c r="I801" s="2" t="str">
        <f t="shared" si="4"/>
        <v/>
      </c>
      <c r="J801" s="9" t="str">
        <f t="shared" si="2"/>
        <v/>
      </c>
      <c r="K801" s="1" t="str">
        <f>IF(A801&gt;0,COUNTIF('Барабан'!K:K,A801),"")</f>
        <v/>
      </c>
      <c r="L801" s="1" t="str">
        <f>IF(A801&gt;0,COUNTIF('Барабан'!V:V,A801),"")</f>
        <v/>
      </c>
      <c r="M801" s="1" t="str">
        <f t="shared" si="3"/>
        <v/>
      </c>
      <c r="N801" s="1" t="str">
        <f>IFERROR(__xludf.DUMMYFUNCTION("IF(A801&gt;0,MIN(FILTER('Барабан'!AJ:AJ,'Барабан'!K:K=A801)),"""")"),"")</f>
        <v/>
      </c>
      <c r="O801" s="16" t="str">
        <f>IFERROR(__xludf.DUMMYFUNCTION("IF(A801&gt;0,IFERROR(MAX(FILTER('Барабан'!AJ:AJ,'Барабан'!V:V=A801)),""–""),"""")"),"")</f>
        <v/>
      </c>
    </row>
    <row r="802" ht="15.75" customHeight="1">
      <c r="A802" s="1" t="str">
        <f>'Справочник'!E797</f>
        <v/>
      </c>
      <c r="B802" s="2" t="str">
        <f>IF(A802&gt;0,SUMIF('Барабан'!K:K,A802,'Барабан'!I:I),"")</f>
        <v/>
      </c>
      <c r="C802" s="2" t="str">
        <f>IF(A802&gt;0,SUMIF('Барабан'!V:V,A802,'Барабан'!T:T),"")</f>
        <v/>
      </c>
      <c r="D802" s="2" t="str">
        <f>IF(A802&gt;0,SUMIF('Барабан'!K:K,A802,'Барабан'!AG:AG)+SUMIF('Барабан'!V:V,A802,'Барабан'!AG:AG),"")</f>
        <v/>
      </c>
      <c r="E802" s="2" t="str">
        <f t="shared" si="1"/>
        <v/>
      </c>
      <c r="F802" s="2" t="str">
        <f t="array" ref="F802">IFERROR(IF(E802=0,0,INDEX('Справочник'!G:G,MATCH(A802,'Справочник'!F:F,0))))</f>
        <v/>
      </c>
      <c r="G802" s="2" t="str">
        <f>IF(A802&gt;0,SUMIF('Барабан'!K:K,A802,'Барабан'!P:P),"")</f>
        <v/>
      </c>
      <c r="H802" s="2" t="str">
        <f>IF(A802&gt;0,SUMIF('Барабан'!V:V,A802,'Барабан'!AA:AA),"")</f>
        <v/>
      </c>
      <c r="I802" s="2" t="str">
        <f t="shared" si="4"/>
        <v/>
      </c>
      <c r="J802" s="9" t="str">
        <f t="shared" si="2"/>
        <v/>
      </c>
      <c r="K802" s="1" t="str">
        <f>IF(A802&gt;0,COUNTIF('Барабан'!K:K,A802),"")</f>
        <v/>
      </c>
      <c r="L802" s="1" t="str">
        <f>IF(A802&gt;0,COUNTIF('Барабан'!V:V,A802),"")</f>
        <v/>
      </c>
      <c r="M802" s="1" t="str">
        <f t="shared" si="3"/>
        <v/>
      </c>
      <c r="N802" s="1" t="str">
        <f>IFERROR(__xludf.DUMMYFUNCTION("IF(A802&gt;0,MIN(FILTER('Барабан'!AJ:AJ,'Барабан'!K:K=A802)),"""")"),"")</f>
        <v/>
      </c>
      <c r="O802" s="16" t="str">
        <f>IFERROR(__xludf.DUMMYFUNCTION("IF(A802&gt;0,IFERROR(MAX(FILTER('Барабан'!AJ:AJ,'Барабан'!V:V=A802)),""–""),"""")"),"")</f>
        <v/>
      </c>
    </row>
    <row r="803" ht="15.75" customHeight="1">
      <c r="A803" s="1" t="str">
        <f>'Справочник'!E798</f>
        <v/>
      </c>
      <c r="B803" s="2" t="str">
        <f>IF(A803&gt;0,SUMIF('Барабан'!K:K,A803,'Барабан'!I:I),"")</f>
        <v/>
      </c>
      <c r="C803" s="2" t="str">
        <f>IF(A803&gt;0,SUMIF('Барабан'!V:V,A803,'Барабан'!T:T),"")</f>
        <v/>
      </c>
      <c r="D803" s="2" t="str">
        <f>IF(A803&gt;0,SUMIF('Барабан'!K:K,A803,'Барабан'!AG:AG)+SUMIF('Барабан'!V:V,A803,'Барабан'!AG:AG),"")</f>
        <v/>
      </c>
      <c r="E803" s="2" t="str">
        <f t="shared" si="1"/>
        <v/>
      </c>
      <c r="F803" s="2" t="str">
        <f t="array" ref="F803">IFERROR(IF(E803=0,0,INDEX('Справочник'!G:G,MATCH(A803,'Справочник'!F:F,0))))</f>
        <v/>
      </c>
      <c r="G803" s="2" t="str">
        <f>IF(A803&gt;0,SUMIF('Барабан'!K:K,A803,'Барабан'!P:P),"")</f>
        <v/>
      </c>
      <c r="H803" s="2" t="str">
        <f>IF(A803&gt;0,SUMIF('Барабан'!V:V,A803,'Барабан'!AA:AA),"")</f>
        <v/>
      </c>
      <c r="I803" s="2" t="str">
        <f t="shared" si="4"/>
        <v/>
      </c>
      <c r="J803" s="9" t="str">
        <f t="shared" si="2"/>
        <v/>
      </c>
      <c r="K803" s="1" t="str">
        <f>IF(A803&gt;0,COUNTIF('Барабан'!K:K,A803),"")</f>
        <v/>
      </c>
      <c r="L803" s="1" t="str">
        <f>IF(A803&gt;0,COUNTIF('Барабан'!V:V,A803),"")</f>
        <v/>
      </c>
      <c r="M803" s="1" t="str">
        <f t="shared" si="3"/>
        <v/>
      </c>
      <c r="N803" s="1" t="str">
        <f>IFERROR(__xludf.DUMMYFUNCTION("IF(A803&gt;0,MIN(FILTER('Барабан'!AJ:AJ,'Барабан'!K:K=A803)),"""")"),"")</f>
        <v/>
      </c>
      <c r="O803" s="16" t="str">
        <f>IFERROR(__xludf.DUMMYFUNCTION("IF(A803&gt;0,IFERROR(MAX(FILTER('Барабан'!AJ:AJ,'Барабан'!V:V=A803)),""–""),"""")"),"")</f>
        <v/>
      </c>
    </row>
    <row r="804" ht="15.75" customHeight="1">
      <c r="A804" s="1" t="str">
        <f>'Справочник'!E799</f>
        <v/>
      </c>
      <c r="B804" s="2" t="str">
        <f>IF(A804&gt;0,SUMIF('Барабан'!K:K,A804,'Барабан'!I:I),"")</f>
        <v/>
      </c>
      <c r="C804" s="2" t="str">
        <f>IF(A804&gt;0,SUMIF('Барабан'!V:V,A804,'Барабан'!T:T),"")</f>
        <v/>
      </c>
      <c r="D804" s="2" t="str">
        <f>IF(A804&gt;0,SUMIF('Барабан'!K:K,A804,'Барабан'!AG:AG)+SUMIF('Барабан'!V:V,A804,'Барабан'!AG:AG),"")</f>
        <v/>
      </c>
      <c r="E804" s="2" t="str">
        <f t="shared" si="1"/>
        <v/>
      </c>
      <c r="F804" s="2" t="str">
        <f t="array" ref="F804">IFERROR(IF(E804=0,0,INDEX('Справочник'!G:G,MATCH(A804,'Справочник'!F:F,0))))</f>
        <v/>
      </c>
      <c r="G804" s="2" t="str">
        <f>IF(A804&gt;0,SUMIF('Барабан'!K:K,A804,'Барабан'!P:P),"")</f>
        <v/>
      </c>
      <c r="H804" s="2" t="str">
        <f>IF(A804&gt;0,SUMIF('Барабан'!V:V,A804,'Барабан'!AA:AA),"")</f>
        <v/>
      </c>
      <c r="I804" s="2" t="str">
        <f t="shared" si="4"/>
        <v/>
      </c>
      <c r="J804" s="9" t="str">
        <f t="shared" si="2"/>
        <v/>
      </c>
      <c r="K804" s="1" t="str">
        <f>IF(A804&gt;0,COUNTIF('Барабан'!K:K,A804),"")</f>
        <v/>
      </c>
      <c r="L804" s="1" t="str">
        <f>IF(A804&gt;0,COUNTIF('Барабан'!V:V,A804),"")</f>
        <v/>
      </c>
      <c r="M804" s="1" t="str">
        <f t="shared" si="3"/>
        <v/>
      </c>
      <c r="N804" s="1" t="str">
        <f>IFERROR(__xludf.DUMMYFUNCTION("IF(A804&gt;0,MIN(FILTER('Барабан'!AJ:AJ,'Барабан'!K:K=A804)),"""")"),"")</f>
        <v/>
      </c>
      <c r="O804" s="16" t="str">
        <f>IFERROR(__xludf.DUMMYFUNCTION("IF(A804&gt;0,IFERROR(MAX(FILTER('Барабан'!AJ:AJ,'Барабан'!V:V=A804)),""–""),"""")"),"")</f>
        <v/>
      </c>
    </row>
    <row r="805" ht="15.75" customHeight="1">
      <c r="A805" s="1" t="str">
        <f>'Справочник'!E800</f>
        <v/>
      </c>
      <c r="B805" s="2" t="str">
        <f>IF(A805&gt;0,SUMIF('Барабан'!K:K,A805,'Барабан'!I:I),"")</f>
        <v/>
      </c>
      <c r="C805" s="2" t="str">
        <f>IF(A805&gt;0,SUMIF('Барабан'!V:V,A805,'Барабан'!T:T),"")</f>
        <v/>
      </c>
      <c r="D805" s="2" t="str">
        <f>IF(A805&gt;0,SUMIF('Барабан'!K:K,A805,'Барабан'!AG:AG)+SUMIF('Барабан'!V:V,A805,'Барабан'!AG:AG),"")</f>
        <v/>
      </c>
      <c r="E805" s="2" t="str">
        <f t="shared" si="1"/>
        <v/>
      </c>
      <c r="F805" s="2" t="str">
        <f t="array" ref="F805">IFERROR(IF(E805=0,0,INDEX('Справочник'!G:G,MATCH(A805,'Справочник'!F:F,0))))</f>
        <v/>
      </c>
      <c r="G805" s="2" t="str">
        <f>IF(A805&gt;0,SUMIF('Барабан'!K:K,A805,'Барабан'!P:P),"")</f>
        <v/>
      </c>
      <c r="H805" s="2" t="str">
        <f>IF(A805&gt;0,SUMIF('Барабан'!V:V,A805,'Барабан'!AA:AA),"")</f>
        <v/>
      </c>
      <c r="I805" s="2" t="str">
        <f t="shared" si="4"/>
        <v/>
      </c>
      <c r="J805" s="9" t="str">
        <f t="shared" si="2"/>
        <v/>
      </c>
      <c r="K805" s="1" t="str">
        <f>IF(A805&gt;0,COUNTIF('Барабан'!K:K,A805),"")</f>
        <v/>
      </c>
      <c r="L805" s="1" t="str">
        <f>IF(A805&gt;0,COUNTIF('Барабан'!V:V,A805),"")</f>
        <v/>
      </c>
      <c r="M805" s="1" t="str">
        <f t="shared" si="3"/>
        <v/>
      </c>
      <c r="N805" s="1" t="str">
        <f>IFERROR(__xludf.DUMMYFUNCTION("IF(A805&gt;0,MIN(FILTER('Барабан'!AJ:AJ,'Барабан'!K:K=A805)),"""")"),"")</f>
        <v/>
      </c>
      <c r="O805" s="16" t="str">
        <f>IFERROR(__xludf.DUMMYFUNCTION("IF(A805&gt;0,IFERROR(MAX(FILTER('Барабан'!AJ:AJ,'Барабан'!V:V=A805)),""–""),"""")"),"")</f>
        <v/>
      </c>
    </row>
    <row r="806" ht="15.75" customHeight="1">
      <c r="A806" s="1" t="str">
        <f>'Справочник'!E801</f>
        <v/>
      </c>
      <c r="B806" s="2" t="str">
        <f>IF(A806&gt;0,SUMIF('Барабан'!K:K,A806,'Барабан'!I:I),"")</f>
        <v/>
      </c>
      <c r="C806" s="2" t="str">
        <f>IF(A806&gt;0,SUMIF('Барабан'!V:V,A806,'Барабан'!T:T),"")</f>
        <v/>
      </c>
      <c r="D806" s="2" t="str">
        <f>IF(A806&gt;0,SUMIF('Барабан'!K:K,A806,'Барабан'!AG:AG)+SUMIF('Барабан'!V:V,A806,'Барабан'!AG:AG),"")</f>
        <v/>
      </c>
      <c r="E806" s="2" t="str">
        <f t="shared" si="1"/>
        <v/>
      </c>
      <c r="F806" s="2" t="str">
        <f t="array" ref="F806">IFERROR(IF(E806=0,0,INDEX('Справочник'!G:G,MATCH(A806,'Справочник'!F:F,0))))</f>
        <v/>
      </c>
      <c r="G806" s="2" t="str">
        <f>IF(A806&gt;0,SUMIF('Барабан'!K:K,A806,'Барабан'!P:P),"")</f>
        <v/>
      </c>
      <c r="H806" s="2" t="str">
        <f>IF(A806&gt;0,SUMIF('Барабан'!V:V,A806,'Барабан'!AA:AA),"")</f>
        <v/>
      </c>
      <c r="I806" s="2" t="str">
        <f t="shared" si="4"/>
        <v/>
      </c>
      <c r="J806" s="9" t="str">
        <f t="shared" si="2"/>
        <v/>
      </c>
      <c r="K806" s="1" t="str">
        <f>IF(A806&gt;0,COUNTIF('Барабан'!K:K,A806),"")</f>
        <v/>
      </c>
      <c r="L806" s="1" t="str">
        <f>IF(A806&gt;0,COUNTIF('Барабан'!V:V,A806),"")</f>
        <v/>
      </c>
      <c r="M806" s="1" t="str">
        <f t="shared" si="3"/>
        <v/>
      </c>
      <c r="N806" s="1" t="str">
        <f>IFERROR(__xludf.DUMMYFUNCTION("IF(A806&gt;0,MIN(FILTER('Барабан'!AJ:AJ,'Барабан'!K:K=A806)),"""")"),"")</f>
        <v/>
      </c>
      <c r="O806" s="16" t="str">
        <f>IFERROR(__xludf.DUMMYFUNCTION("IF(A806&gt;0,IFERROR(MAX(FILTER('Барабан'!AJ:AJ,'Барабан'!V:V=A806)),""–""),"""")"),"")</f>
        <v/>
      </c>
    </row>
    <row r="807" ht="15.75" customHeight="1">
      <c r="A807" s="1" t="str">
        <f>'Справочник'!E802</f>
        <v/>
      </c>
      <c r="B807" s="2" t="str">
        <f>IF(A807&gt;0,SUMIF('Барабан'!K:K,A807,'Барабан'!I:I),"")</f>
        <v/>
      </c>
      <c r="C807" s="2" t="str">
        <f>IF(A807&gt;0,SUMIF('Барабан'!V:V,A807,'Барабан'!T:T),"")</f>
        <v/>
      </c>
      <c r="D807" s="2" t="str">
        <f>IF(A807&gt;0,SUMIF('Барабан'!K:K,A807,'Барабан'!AG:AG)+SUMIF('Барабан'!V:V,A807,'Барабан'!AG:AG),"")</f>
        <v/>
      </c>
      <c r="E807" s="2" t="str">
        <f t="shared" si="1"/>
        <v/>
      </c>
      <c r="F807" s="2" t="str">
        <f t="array" ref="F807">IFERROR(IF(E807=0,0,INDEX('Справочник'!G:G,MATCH(A807,'Справочник'!F:F,0))))</f>
        <v/>
      </c>
      <c r="G807" s="2" t="str">
        <f>IF(A807&gt;0,SUMIF('Барабан'!K:K,A807,'Барабан'!P:P),"")</f>
        <v/>
      </c>
      <c r="H807" s="2" t="str">
        <f>IF(A807&gt;0,SUMIF('Барабан'!V:V,A807,'Барабан'!AA:AA),"")</f>
        <v/>
      </c>
      <c r="I807" s="2" t="str">
        <f t="shared" si="4"/>
        <v/>
      </c>
      <c r="J807" s="9" t="str">
        <f t="shared" si="2"/>
        <v/>
      </c>
      <c r="K807" s="1" t="str">
        <f>IF(A807&gt;0,COUNTIF('Барабан'!K:K,A807),"")</f>
        <v/>
      </c>
      <c r="L807" s="1" t="str">
        <f>IF(A807&gt;0,COUNTIF('Барабан'!V:V,A807),"")</f>
        <v/>
      </c>
      <c r="M807" s="1" t="str">
        <f t="shared" si="3"/>
        <v/>
      </c>
      <c r="N807" s="1" t="str">
        <f>IFERROR(__xludf.DUMMYFUNCTION("IF(A807&gt;0,MIN(FILTER('Барабан'!AJ:AJ,'Барабан'!K:K=A807)),"""")"),"")</f>
        <v/>
      </c>
      <c r="O807" s="16" t="str">
        <f>IFERROR(__xludf.DUMMYFUNCTION("IF(A807&gt;0,IFERROR(MAX(FILTER('Барабан'!AJ:AJ,'Барабан'!V:V=A807)),""–""),"""")"),"")</f>
        <v/>
      </c>
    </row>
    <row r="808" ht="15.75" customHeight="1">
      <c r="A808" s="1" t="str">
        <f>'Справочник'!E803</f>
        <v/>
      </c>
      <c r="B808" s="2" t="str">
        <f>IF(A808&gt;0,SUMIF('Барабан'!K:K,A808,'Барабан'!I:I),"")</f>
        <v/>
      </c>
      <c r="C808" s="2" t="str">
        <f>IF(A808&gt;0,SUMIF('Барабан'!V:V,A808,'Барабан'!T:T),"")</f>
        <v/>
      </c>
      <c r="D808" s="2" t="str">
        <f>IF(A808&gt;0,SUMIF('Барабан'!K:K,A808,'Барабан'!AG:AG)+SUMIF('Барабан'!V:V,A808,'Барабан'!AG:AG),"")</f>
        <v/>
      </c>
      <c r="E808" s="2" t="str">
        <f t="shared" si="1"/>
        <v/>
      </c>
      <c r="F808" s="2" t="str">
        <f t="array" ref="F808">IFERROR(IF(E808=0,0,INDEX('Справочник'!G:G,MATCH(A808,'Справочник'!F:F,0))))</f>
        <v/>
      </c>
      <c r="G808" s="2" t="str">
        <f>IF(A808&gt;0,SUMIF('Барабан'!K:K,A808,'Барабан'!P:P),"")</f>
        <v/>
      </c>
      <c r="H808" s="2" t="str">
        <f>IF(A808&gt;0,SUMIF('Барабан'!V:V,A808,'Барабан'!AA:AA),"")</f>
        <v/>
      </c>
      <c r="I808" s="2" t="str">
        <f t="shared" si="4"/>
        <v/>
      </c>
      <c r="J808" s="9" t="str">
        <f t="shared" si="2"/>
        <v/>
      </c>
      <c r="K808" s="1" t="str">
        <f>IF(A808&gt;0,COUNTIF('Барабан'!K:K,A808),"")</f>
        <v/>
      </c>
      <c r="L808" s="1" t="str">
        <f>IF(A808&gt;0,COUNTIF('Барабан'!V:V,A808),"")</f>
        <v/>
      </c>
      <c r="M808" s="1" t="str">
        <f t="shared" si="3"/>
        <v/>
      </c>
      <c r="N808" s="1" t="str">
        <f>IFERROR(__xludf.DUMMYFUNCTION("IF(A808&gt;0,MIN(FILTER('Барабан'!AJ:AJ,'Барабан'!K:K=A808)),"""")"),"")</f>
        <v/>
      </c>
      <c r="O808" s="16" t="str">
        <f>IFERROR(__xludf.DUMMYFUNCTION("IF(A808&gt;0,IFERROR(MAX(FILTER('Барабан'!AJ:AJ,'Барабан'!V:V=A808)),""–""),"""")"),"")</f>
        <v/>
      </c>
    </row>
    <row r="809" ht="15.75" customHeight="1">
      <c r="A809" s="1" t="str">
        <f>'Справочник'!E804</f>
        <v/>
      </c>
      <c r="B809" s="2" t="str">
        <f>IF(A809&gt;0,SUMIF('Барабан'!K:K,A809,'Барабан'!I:I),"")</f>
        <v/>
      </c>
      <c r="C809" s="2" t="str">
        <f>IF(A809&gt;0,SUMIF('Барабан'!V:V,A809,'Барабан'!T:T),"")</f>
        <v/>
      </c>
      <c r="D809" s="2" t="str">
        <f>IF(A809&gt;0,SUMIF('Барабан'!K:K,A809,'Барабан'!AG:AG)+SUMIF('Барабан'!V:V,A809,'Барабан'!AG:AG),"")</f>
        <v/>
      </c>
      <c r="E809" s="2" t="str">
        <f t="shared" si="1"/>
        <v/>
      </c>
      <c r="F809" s="2" t="str">
        <f t="array" ref="F809">IFERROR(IF(E809=0,0,INDEX('Справочник'!G:G,MATCH(A809,'Справочник'!F:F,0))))</f>
        <v/>
      </c>
      <c r="G809" s="2" t="str">
        <f>IF(A809&gt;0,SUMIF('Барабан'!K:K,A809,'Барабан'!P:P),"")</f>
        <v/>
      </c>
      <c r="H809" s="2" t="str">
        <f>IF(A809&gt;0,SUMIF('Барабан'!V:V,A809,'Барабан'!AA:AA),"")</f>
        <v/>
      </c>
      <c r="I809" s="2" t="str">
        <f t="shared" si="4"/>
        <v/>
      </c>
      <c r="J809" s="9" t="str">
        <f t="shared" si="2"/>
        <v/>
      </c>
      <c r="K809" s="1" t="str">
        <f>IF(A809&gt;0,COUNTIF('Барабан'!K:K,A809),"")</f>
        <v/>
      </c>
      <c r="L809" s="1" t="str">
        <f>IF(A809&gt;0,COUNTIF('Барабан'!V:V,A809),"")</f>
        <v/>
      </c>
      <c r="M809" s="1" t="str">
        <f t="shared" si="3"/>
        <v/>
      </c>
      <c r="N809" s="1" t="str">
        <f>IFERROR(__xludf.DUMMYFUNCTION("IF(A809&gt;0,MIN(FILTER('Барабан'!AJ:AJ,'Барабан'!K:K=A809)),"""")"),"")</f>
        <v/>
      </c>
      <c r="O809" s="16" t="str">
        <f>IFERROR(__xludf.DUMMYFUNCTION("IF(A809&gt;0,IFERROR(MAX(FILTER('Барабан'!AJ:AJ,'Барабан'!V:V=A809)),""–""),"""")"),"")</f>
        <v/>
      </c>
    </row>
    <row r="810" ht="15.75" customHeight="1">
      <c r="A810" s="1" t="str">
        <f>'Справочник'!E805</f>
        <v/>
      </c>
      <c r="B810" s="2" t="str">
        <f>IF(A810&gt;0,SUMIF('Барабан'!K:K,A810,'Барабан'!I:I),"")</f>
        <v/>
      </c>
      <c r="C810" s="2" t="str">
        <f>IF(A810&gt;0,SUMIF('Барабан'!V:V,A810,'Барабан'!T:T),"")</f>
        <v/>
      </c>
      <c r="D810" s="2" t="str">
        <f>IF(A810&gt;0,SUMIF('Барабан'!K:K,A810,'Барабан'!AG:AG)+SUMIF('Барабан'!V:V,A810,'Барабан'!AG:AG),"")</f>
        <v/>
      </c>
      <c r="E810" s="2" t="str">
        <f t="shared" si="1"/>
        <v/>
      </c>
      <c r="F810" s="2" t="str">
        <f t="array" ref="F810">IFERROR(IF(E810=0,0,INDEX('Справочник'!G:G,MATCH(A810,'Справочник'!F:F,0))))</f>
        <v/>
      </c>
      <c r="G810" s="2" t="str">
        <f>IF(A810&gt;0,SUMIF('Барабан'!K:K,A810,'Барабан'!P:P),"")</f>
        <v/>
      </c>
      <c r="H810" s="2" t="str">
        <f>IF(A810&gt;0,SUMIF('Барабан'!V:V,A810,'Барабан'!AA:AA),"")</f>
        <v/>
      </c>
      <c r="I810" s="2" t="str">
        <f t="shared" si="4"/>
        <v/>
      </c>
      <c r="J810" s="9" t="str">
        <f t="shared" si="2"/>
        <v/>
      </c>
      <c r="K810" s="1" t="str">
        <f>IF(A810&gt;0,COUNTIF('Барабан'!K:K,A810),"")</f>
        <v/>
      </c>
      <c r="L810" s="1" t="str">
        <f>IF(A810&gt;0,COUNTIF('Барабан'!V:V,A810),"")</f>
        <v/>
      </c>
      <c r="M810" s="1" t="str">
        <f t="shared" si="3"/>
        <v/>
      </c>
      <c r="N810" s="1" t="str">
        <f>IFERROR(__xludf.DUMMYFUNCTION("IF(A810&gt;0,MIN(FILTER('Барабан'!AJ:AJ,'Барабан'!K:K=A810)),"""")"),"")</f>
        <v/>
      </c>
      <c r="O810" s="16" t="str">
        <f>IFERROR(__xludf.DUMMYFUNCTION("IF(A810&gt;0,IFERROR(MAX(FILTER('Барабан'!AJ:AJ,'Барабан'!V:V=A810)),""–""),"""")"),"")</f>
        <v/>
      </c>
    </row>
    <row r="811" ht="15.75" customHeight="1">
      <c r="A811" s="1" t="str">
        <f>'Справочник'!E806</f>
        <v/>
      </c>
      <c r="B811" s="2" t="str">
        <f>IF(A811&gt;0,SUMIF('Барабан'!K:K,A811,'Барабан'!I:I),"")</f>
        <v/>
      </c>
      <c r="C811" s="2" t="str">
        <f>IF(A811&gt;0,SUMIF('Барабан'!V:V,A811,'Барабан'!T:T),"")</f>
        <v/>
      </c>
      <c r="D811" s="2" t="str">
        <f>IF(A811&gt;0,SUMIF('Барабан'!K:K,A811,'Барабан'!AG:AG)+SUMIF('Барабан'!V:V,A811,'Барабан'!AG:AG),"")</f>
        <v/>
      </c>
      <c r="E811" s="2" t="str">
        <f t="shared" si="1"/>
        <v/>
      </c>
      <c r="F811" s="2" t="str">
        <f t="array" ref="F811">IFERROR(IF(E811=0,0,INDEX('Справочник'!G:G,MATCH(A811,'Справочник'!F:F,0))))</f>
        <v/>
      </c>
      <c r="G811" s="2" t="str">
        <f>IF(A811&gt;0,SUMIF('Барабан'!K:K,A811,'Барабан'!P:P),"")</f>
        <v/>
      </c>
      <c r="H811" s="2" t="str">
        <f>IF(A811&gt;0,SUMIF('Барабан'!V:V,A811,'Барабан'!AA:AA),"")</f>
        <v/>
      </c>
      <c r="I811" s="2" t="str">
        <f t="shared" si="4"/>
        <v/>
      </c>
      <c r="J811" s="9" t="str">
        <f t="shared" si="2"/>
        <v/>
      </c>
      <c r="K811" s="1" t="str">
        <f>IF(A811&gt;0,COUNTIF('Барабан'!K:K,A811),"")</f>
        <v/>
      </c>
      <c r="L811" s="1" t="str">
        <f>IF(A811&gt;0,COUNTIF('Барабан'!V:V,A811),"")</f>
        <v/>
      </c>
      <c r="M811" s="1" t="str">
        <f t="shared" si="3"/>
        <v/>
      </c>
      <c r="N811" s="1" t="str">
        <f>IFERROR(__xludf.DUMMYFUNCTION("IF(A811&gt;0,MIN(FILTER('Барабан'!AJ:AJ,'Барабан'!K:K=A811)),"""")"),"")</f>
        <v/>
      </c>
      <c r="O811" s="16" t="str">
        <f>IFERROR(__xludf.DUMMYFUNCTION("IF(A811&gt;0,IFERROR(MAX(FILTER('Барабан'!AJ:AJ,'Барабан'!V:V=A811)),""–""),"""")"),"")</f>
        <v/>
      </c>
    </row>
    <row r="812" ht="15.75" customHeight="1">
      <c r="A812" s="1" t="str">
        <f>'Справочник'!E807</f>
        <v/>
      </c>
      <c r="B812" s="2" t="str">
        <f>IF(A812&gt;0,SUMIF('Барабан'!K:K,A812,'Барабан'!I:I),"")</f>
        <v/>
      </c>
      <c r="C812" s="2" t="str">
        <f>IF(A812&gt;0,SUMIF('Барабан'!V:V,A812,'Барабан'!T:T),"")</f>
        <v/>
      </c>
      <c r="D812" s="2" t="str">
        <f>IF(A812&gt;0,SUMIF('Барабан'!K:K,A812,'Барабан'!AG:AG)+SUMIF('Барабан'!V:V,A812,'Барабан'!AG:AG),"")</f>
        <v/>
      </c>
      <c r="E812" s="2" t="str">
        <f t="shared" si="1"/>
        <v/>
      </c>
      <c r="F812" s="2" t="str">
        <f t="array" ref="F812">IFERROR(IF(E812=0,0,INDEX('Справочник'!G:G,MATCH(A812,'Справочник'!F:F,0))))</f>
        <v/>
      </c>
      <c r="G812" s="2" t="str">
        <f>IF(A812&gt;0,SUMIF('Барабан'!K:K,A812,'Барабан'!P:P),"")</f>
        <v/>
      </c>
      <c r="H812" s="2" t="str">
        <f>IF(A812&gt;0,SUMIF('Барабан'!V:V,A812,'Барабан'!AA:AA),"")</f>
        <v/>
      </c>
      <c r="I812" s="2" t="str">
        <f t="shared" si="4"/>
        <v/>
      </c>
      <c r="J812" s="9" t="str">
        <f t="shared" si="2"/>
        <v/>
      </c>
      <c r="K812" s="1" t="str">
        <f>IF(A812&gt;0,COUNTIF('Барабан'!K:K,A812),"")</f>
        <v/>
      </c>
      <c r="L812" s="1" t="str">
        <f>IF(A812&gt;0,COUNTIF('Барабан'!V:V,A812),"")</f>
        <v/>
      </c>
      <c r="M812" s="1" t="str">
        <f t="shared" si="3"/>
        <v/>
      </c>
      <c r="N812" s="1" t="str">
        <f>IFERROR(__xludf.DUMMYFUNCTION("IF(A812&gt;0,MIN(FILTER('Барабан'!AJ:AJ,'Барабан'!K:K=A812)),"""")"),"")</f>
        <v/>
      </c>
      <c r="O812" s="16" t="str">
        <f>IFERROR(__xludf.DUMMYFUNCTION("IF(A812&gt;0,IFERROR(MAX(FILTER('Барабан'!AJ:AJ,'Барабан'!V:V=A812)),""–""),"""")"),"")</f>
        <v/>
      </c>
    </row>
    <row r="813" ht="15.75" customHeight="1">
      <c r="A813" s="1" t="str">
        <f>'Справочник'!E808</f>
        <v/>
      </c>
      <c r="B813" s="2" t="str">
        <f>IF(A813&gt;0,SUMIF('Барабан'!K:K,A813,'Барабан'!I:I),"")</f>
        <v/>
      </c>
      <c r="C813" s="2" t="str">
        <f>IF(A813&gt;0,SUMIF('Барабан'!V:V,A813,'Барабан'!T:T),"")</f>
        <v/>
      </c>
      <c r="D813" s="2" t="str">
        <f>IF(A813&gt;0,SUMIF('Барабан'!K:K,A813,'Барабан'!AG:AG)+SUMIF('Барабан'!V:V,A813,'Барабан'!AG:AG),"")</f>
        <v/>
      </c>
      <c r="E813" s="2" t="str">
        <f t="shared" si="1"/>
        <v/>
      </c>
      <c r="F813" s="2" t="str">
        <f t="array" ref="F813">IFERROR(IF(E813=0,0,INDEX('Справочник'!G:G,MATCH(A813,'Справочник'!F:F,0))))</f>
        <v/>
      </c>
      <c r="G813" s="2" t="str">
        <f>IF(A813&gt;0,SUMIF('Барабан'!K:K,A813,'Барабан'!P:P),"")</f>
        <v/>
      </c>
      <c r="H813" s="2" t="str">
        <f>IF(A813&gt;0,SUMIF('Барабан'!V:V,A813,'Барабан'!AA:AA),"")</f>
        <v/>
      </c>
      <c r="I813" s="2" t="str">
        <f t="shared" si="4"/>
        <v/>
      </c>
      <c r="J813" s="9" t="str">
        <f t="shared" si="2"/>
        <v/>
      </c>
      <c r="K813" s="1" t="str">
        <f>IF(A813&gt;0,COUNTIF('Барабан'!K:K,A813),"")</f>
        <v/>
      </c>
      <c r="L813" s="1" t="str">
        <f>IF(A813&gt;0,COUNTIF('Барабан'!V:V,A813),"")</f>
        <v/>
      </c>
      <c r="M813" s="1" t="str">
        <f t="shared" si="3"/>
        <v/>
      </c>
      <c r="N813" s="1" t="str">
        <f>IFERROR(__xludf.DUMMYFUNCTION("IF(A813&gt;0,MIN(FILTER('Барабан'!AJ:AJ,'Барабан'!K:K=A813)),"""")"),"")</f>
        <v/>
      </c>
      <c r="O813" s="16" t="str">
        <f>IFERROR(__xludf.DUMMYFUNCTION("IF(A813&gt;0,IFERROR(MAX(FILTER('Барабан'!AJ:AJ,'Барабан'!V:V=A813)),""–""),"""")"),"")</f>
        <v/>
      </c>
    </row>
    <row r="814" ht="15.75" customHeight="1">
      <c r="A814" s="1" t="str">
        <f>'Справочник'!E809</f>
        <v/>
      </c>
      <c r="B814" s="2" t="str">
        <f>IF(A814&gt;0,SUMIF('Барабан'!K:K,A814,'Барабан'!I:I),"")</f>
        <v/>
      </c>
      <c r="C814" s="2" t="str">
        <f>IF(A814&gt;0,SUMIF('Барабан'!V:V,A814,'Барабан'!T:T),"")</f>
        <v/>
      </c>
      <c r="D814" s="2" t="str">
        <f>IF(A814&gt;0,SUMIF('Барабан'!K:K,A814,'Барабан'!AG:AG)+SUMIF('Барабан'!V:V,A814,'Барабан'!AG:AG),"")</f>
        <v/>
      </c>
      <c r="E814" s="2" t="str">
        <f t="shared" si="1"/>
        <v/>
      </c>
      <c r="F814" s="2" t="str">
        <f t="array" ref="F814">IFERROR(IF(E814=0,0,INDEX('Справочник'!G:G,MATCH(A814,'Справочник'!F:F,0))))</f>
        <v/>
      </c>
      <c r="G814" s="2" t="str">
        <f>IF(A814&gt;0,SUMIF('Барабан'!K:K,A814,'Барабан'!P:P),"")</f>
        <v/>
      </c>
      <c r="H814" s="2" t="str">
        <f>IF(A814&gt;0,SUMIF('Барабан'!V:V,A814,'Барабан'!AA:AA),"")</f>
        <v/>
      </c>
      <c r="I814" s="2" t="str">
        <f t="shared" si="4"/>
        <v/>
      </c>
      <c r="J814" s="9" t="str">
        <f t="shared" si="2"/>
        <v/>
      </c>
      <c r="K814" s="1" t="str">
        <f>IF(A814&gt;0,COUNTIF('Барабан'!K:K,A814),"")</f>
        <v/>
      </c>
      <c r="L814" s="1" t="str">
        <f>IF(A814&gt;0,COUNTIF('Барабан'!V:V,A814),"")</f>
        <v/>
      </c>
      <c r="M814" s="1" t="str">
        <f t="shared" si="3"/>
        <v/>
      </c>
      <c r="N814" s="1" t="str">
        <f>IFERROR(__xludf.DUMMYFUNCTION("IF(A814&gt;0,MIN(FILTER('Барабан'!AJ:AJ,'Барабан'!K:K=A814)),"""")"),"")</f>
        <v/>
      </c>
      <c r="O814" s="16" t="str">
        <f>IFERROR(__xludf.DUMMYFUNCTION("IF(A814&gt;0,IFERROR(MAX(FILTER('Барабан'!AJ:AJ,'Барабан'!V:V=A814)),""–""),"""")"),"")</f>
        <v/>
      </c>
    </row>
    <row r="815" ht="15.75" customHeight="1">
      <c r="A815" s="1" t="str">
        <f>'Справочник'!E810</f>
        <v/>
      </c>
      <c r="B815" s="2" t="str">
        <f>IF(A815&gt;0,SUMIF('Барабан'!K:K,A815,'Барабан'!I:I),"")</f>
        <v/>
      </c>
      <c r="C815" s="2" t="str">
        <f>IF(A815&gt;0,SUMIF('Барабан'!V:V,A815,'Барабан'!T:T),"")</f>
        <v/>
      </c>
      <c r="D815" s="2" t="str">
        <f>IF(A815&gt;0,SUMIF('Барабан'!K:K,A815,'Барабан'!AG:AG)+SUMIF('Барабан'!V:V,A815,'Барабан'!AG:AG),"")</f>
        <v/>
      </c>
      <c r="E815" s="2" t="str">
        <f t="shared" si="1"/>
        <v/>
      </c>
      <c r="F815" s="2" t="str">
        <f t="array" ref="F815">IFERROR(IF(E815=0,0,INDEX('Справочник'!G:G,MATCH(A815,'Справочник'!F:F,0))))</f>
        <v/>
      </c>
      <c r="G815" s="2" t="str">
        <f>IF(A815&gt;0,SUMIF('Барабан'!K:K,A815,'Барабан'!P:P),"")</f>
        <v/>
      </c>
      <c r="H815" s="2" t="str">
        <f>IF(A815&gt;0,SUMIF('Барабан'!V:V,A815,'Барабан'!AA:AA),"")</f>
        <v/>
      </c>
      <c r="I815" s="2" t="str">
        <f t="shared" si="4"/>
        <v/>
      </c>
      <c r="J815" s="9" t="str">
        <f t="shared" si="2"/>
        <v/>
      </c>
      <c r="K815" s="1" t="str">
        <f>IF(A815&gt;0,COUNTIF('Барабан'!K:K,A815),"")</f>
        <v/>
      </c>
      <c r="L815" s="1" t="str">
        <f>IF(A815&gt;0,COUNTIF('Барабан'!V:V,A815),"")</f>
        <v/>
      </c>
      <c r="M815" s="1" t="str">
        <f t="shared" si="3"/>
        <v/>
      </c>
      <c r="N815" s="1" t="str">
        <f>IFERROR(__xludf.DUMMYFUNCTION("IF(A815&gt;0,MIN(FILTER('Барабан'!AJ:AJ,'Барабан'!K:K=A815)),"""")"),"")</f>
        <v/>
      </c>
      <c r="O815" s="16" t="str">
        <f>IFERROR(__xludf.DUMMYFUNCTION("IF(A815&gt;0,IFERROR(MAX(FILTER('Барабан'!AJ:AJ,'Барабан'!V:V=A815)),""–""),"""")"),"")</f>
        <v/>
      </c>
    </row>
    <row r="816" ht="15.75" customHeight="1">
      <c r="A816" s="1" t="str">
        <f>'Справочник'!E811</f>
        <v/>
      </c>
      <c r="B816" s="2" t="str">
        <f>IF(A816&gt;0,SUMIF('Барабан'!K:K,A816,'Барабан'!I:I),"")</f>
        <v/>
      </c>
      <c r="C816" s="2" t="str">
        <f>IF(A816&gt;0,SUMIF('Барабан'!V:V,A816,'Барабан'!T:T),"")</f>
        <v/>
      </c>
      <c r="D816" s="2" t="str">
        <f>IF(A816&gt;0,SUMIF('Барабан'!K:K,A816,'Барабан'!AG:AG)+SUMIF('Барабан'!V:V,A816,'Барабан'!AG:AG),"")</f>
        <v/>
      </c>
      <c r="E816" s="2" t="str">
        <f t="shared" si="1"/>
        <v/>
      </c>
      <c r="F816" s="2" t="str">
        <f t="array" ref="F816">IFERROR(IF(E816=0,0,INDEX('Справочник'!G:G,MATCH(A816,'Справочник'!F:F,0))))</f>
        <v/>
      </c>
      <c r="G816" s="2" t="str">
        <f>IF(A816&gt;0,SUMIF('Барабан'!K:K,A816,'Барабан'!P:P),"")</f>
        <v/>
      </c>
      <c r="H816" s="2" t="str">
        <f>IF(A816&gt;0,SUMIF('Барабан'!V:V,A816,'Барабан'!AA:AA),"")</f>
        <v/>
      </c>
      <c r="I816" s="2" t="str">
        <f t="shared" si="4"/>
        <v/>
      </c>
      <c r="J816" s="9" t="str">
        <f t="shared" si="2"/>
        <v/>
      </c>
      <c r="K816" s="1" t="str">
        <f>IF(A816&gt;0,COUNTIF('Барабан'!K:K,A816),"")</f>
        <v/>
      </c>
      <c r="L816" s="1" t="str">
        <f>IF(A816&gt;0,COUNTIF('Барабан'!V:V,A816),"")</f>
        <v/>
      </c>
      <c r="M816" s="1" t="str">
        <f t="shared" si="3"/>
        <v/>
      </c>
      <c r="N816" s="1" t="str">
        <f>IFERROR(__xludf.DUMMYFUNCTION("IF(A816&gt;0,MIN(FILTER('Барабан'!AJ:AJ,'Барабан'!K:K=A816)),"""")"),"")</f>
        <v/>
      </c>
      <c r="O816" s="16" t="str">
        <f>IFERROR(__xludf.DUMMYFUNCTION("IF(A816&gt;0,IFERROR(MAX(FILTER('Барабан'!AJ:AJ,'Барабан'!V:V=A816)),""–""),"""")"),"")</f>
        <v/>
      </c>
    </row>
    <row r="817" ht="15.75" customHeight="1">
      <c r="A817" s="1" t="str">
        <f>'Справочник'!E812</f>
        <v/>
      </c>
      <c r="B817" s="2" t="str">
        <f>IF(A817&gt;0,SUMIF('Барабан'!K:K,A817,'Барабан'!I:I),"")</f>
        <v/>
      </c>
      <c r="C817" s="2" t="str">
        <f>IF(A817&gt;0,SUMIF('Барабан'!V:V,A817,'Барабан'!T:T),"")</f>
        <v/>
      </c>
      <c r="D817" s="2" t="str">
        <f>IF(A817&gt;0,SUMIF('Барабан'!K:K,A817,'Барабан'!AG:AG)+SUMIF('Барабан'!V:V,A817,'Барабан'!AG:AG),"")</f>
        <v/>
      </c>
      <c r="E817" s="2" t="str">
        <f t="shared" si="1"/>
        <v/>
      </c>
      <c r="F817" s="2" t="str">
        <f t="array" ref="F817">IFERROR(IF(E817=0,0,INDEX('Справочник'!G:G,MATCH(A817,'Справочник'!F:F,0))))</f>
        <v/>
      </c>
      <c r="G817" s="2" t="str">
        <f>IF(A817&gt;0,SUMIF('Барабан'!K:K,A817,'Барабан'!P:P),"")</f>
        <v/>
      </c>
      <c r="H817" s="2" t="str">
        <f>IF(A817&gt;0,SUMIF('Барабан'!V:V,A817,'Барабан'!AA:AA),"")</f>
        <v/>
      </c>
      <c r="I817" s="2" t="str">
        <f t="shared" si="4"/>
        <v/>
      </c>
      <c r="J817" s="9" t="str">
        <f t="shared" si="2"/>
        <v/>
      </c>
      <c r="K817" s="1" t="str">
        <f>IF(A817&gt;0,COUNTIF('Барабан'!K:K,A817),"")</f>
        <v/>
      </c>
      <c r="L817" s="1" t="str">
        <f>IF(A817&gt;0,COUNTIF('Барабан'!V:V,A817),"")</f>
        <v/>
      </c>
      <c r="M817" s="1" t="str">
        <f t="shared" si="3"/>
        <v/>
      </c>
      <c r="N817" s="1" t="str">
        <f>IFERROR(__xludf.DUMMYFUNCTION("IF(A817&gt;0,MIN(FILTER('Барабан'!AJ:AJ,'Барабан'!K:K=A817)),"""")"),"")</f>
        <v/>
      </c>
      <c r="O817" s="16" t="str">
        <f>IFERROR(__xludf.DUMMYFUNCTION("IF(A817&gt;0,IFERROR(MAX(FILTER('Барабан'!AJ:AJ,'Барабан'!V:V=A817)),""–""),"""")"),"")</f>
        <v/>
      </c>
    </row>
    <row r="818" ht="15.75" customHeight="1">
      <c r="A818" s="1" t="str">
        <f>'Справочник'!E813</f>
        <v/>
      </c>
      <c r="B818" s="2" t="str">
        <f>IF(A818&gt;0,SUMIF('Барабан'!K:K,A818,'Барабан'!I:I),"")</f>
        <v/>
      </c>
      <c r="C818" s="2" t="str">
        <f>IF(A818&gt;0,SUMIF('Барабан'!V:V,A818,'Барабан'!T:T),"")</f>
        <v/>
      </c>
      <c r="D818" s="2" t="str">
        <f>IF(A818&gt;0,SUMIF('Барабан'!K:K,A818,'Барабан'!AG:AG)+SUMIF('Барабан'!V:V,A818,'Барабан'!AG:AG),"")</f>
        <v/>
      </c>
      <c r="E818" s="2" t="str">
        <f t="shared" si="1"/>
        <v/>
      </c>
      <c r="F818" s="2" t="str">
        <f t="array" ref="F818">IFERROR(IF(E818=0,0,INDEX('Справочник'!G:G,MATCH(A818,'Справочник'!F:F,0))))</f>
        <v/>
      </c>
      <c r="G818" s="2" t="str">
        <f>IF(A818&gt;0,SUMIF('Барабан'!K:K,A818,'Барабан'!P:P),"")</f>
        <v/>
      </c>
      <c r="H818" s="2" t="str">
        <f>IF(A818&gt;0,SUMIF('Барабан'!V:V,A818,'Барабан'!AA:AA),"")</f>
        <v/>
      </c>
      <c r="I818" s="2" t="str">
        <f t="shared" si="4"/>
        <v/>
      </c>
      <c r="J818" s="9" t="str">
        <f t="shared" si="2"/>
        <v/>
      </c>
      <c r="K818" s="1" t="str">
        <f>IF(A818&gt;0,COUNTIF('Барабан'!K:K,A818),"")</f>
        <v/>
      </c>
      <c r="L818" s="1" t="str">
        <f>IF(A818&gt;0,COUNTIF('Барабан'!V:V,A818),"")</f>
        <v/>
      </c>
      <c r="M818" s="1" t="str">
        <f t="shared" si="3"/>
        <v/>
      </c>
      <c r="N818" s="1" t="str">
        <f>IFERROR(__xludf.DUMMYFUNCTION("IF(A818&gt;0,MIN(FILTER('Барабан'!AJ:AJ,'Барабан'!K:K=A818)),"""")"),"")</f>
        <v/>
      </c>
      <c r="O818" s="16" t="str">
        <f>IFERROR(__xludf.DUMMYFUNCTION("IF(A818&gt;0,IFERROR(MAX(FILTER('Барабан'!AJ:AJ,'Барабан'!V:V=A818)),""–""),"""")"),"")</f>
        <v/>
      </c>
    </row>
    <row r="819" ht="15.75" customHeight="1">
      <c r="A819" s="1" t="str">
        <f>'Справочник'!E814</f>
        <v/>
      </c>
      <c r="B819" s="2" t="str">
        <f>IF(A819&gt;0,SUMIF('Барабан'!K:K,A819,'Барабан'!I:I),"")</f>
        <v/>
      </c>
      <c r="C819" s="2" t="str">
        <f>IF(A819&gt;0,SUMIF('Барабан'!V:V,A819,'Барабан'!T:T),"")</f>
        <v/>
      </c>
      <c r="D819" s="2" t="str">
        <f>IF(A819&gt;0,SUMIF('Барабан'!K:K,A819,'Барабан'!AG:AG)+SUMIF('Барабан'!V:V,A819,'Барабан'!AG:AG),"")</f>
        <v/>
      </c>
      <c r="E819" s="2" t="str">
        <f t="shared" si="1"/>
        <v/>
      </c>
      <c r="F819" s="2" t="str">
        <f t="array" ref="F819">IFERROR(IF(E819=0,0,INDEX('Справочник'!G:G,MATCH(A819,'Справочник'!F:F,0))))</f>
        <v/>
      </c>
      <c r="G819" s="2" t="str">
        <f>IF(A819&gt;0,SUMIF('Барабан'!K:K,A819,'Барабан'!P:P),"")</f>
        <v/>
      </c>
      <c r="H819" s="2" t="str">
        <f>IF(A819&gt;0,SUMIF('Барабан'!V:V,A819,'Барабан'!AA:AA),"")</f>
        <v/>
      </c>
      <c r="I819" s="2" t="str">
        <f t="shared" si="4"/>
        <v/>
      </c>
      <c r="J819" s="9" t="str">
        <f t="shared" si="2"/>
        <v/>
      </c>
      <c r="K819" s="1" t="str">
        <f>IF(A819&gt;0,COUNTIF('Барабан'!K:K,A819),"")</f>
        <v/>
      </c>
      <c r="L819" s="1" t="str">
        <f>IF(A819&gt;0,COUNTIF('Барабан'!V:V,A819),"")</f>
        <v/>
      </c>
      <c r="M819" s="1" t="str">
        <f t="shared" si="3"/>
        <v/>
      </c>
      <c r="N819" s="1" t="str">
        <f>IFERROR(__xludf.DUMMYFUNCTION("IF(A819&gt;0,MIN(FILTER('Барабан'!AJ:AJ,'Барабан'!K:K=A819)),"""")"),"")</f>
        <v/>
      </c>
      <c r="O819" s="16" t="str">
        <f>IFERROR(__xludf.DUMMYFUNCTION("IF(A819&gt;0,IFERROR(MAX(FILTER('Барабан'!AJ:AJ,'Барабан'!V:V=A819)),""–""),"""")"),"")</f>
        <v/>
      </c>
    </row>
    <row r="820" ht="15.75" customHeight="1">
      <c r="A820" s="1" t="str">
        <f>'Справочник'!E815</f>
        <v/>
      </c>
      <c r="B820" s="2" t="str">
        <f>IF(A820&gt;0,SUMIF('Барабан'!K:K,A820,'Барабан'!I:I),"")</f>
        <v/>
      </c>
      <c r="C820" s="2" t="str">
        <f>IF(A820&gt;0,SUMIF('Барабан'!V:V,A820,'Барабан'!T:T),"")</f>
        <v/>
      </c>
      <c r="D820" s="2" t="str">
        <f>IF(A820&gt;0,SUMIF('Барабан'!K:K,A820,'Барабан'!AG:AG)+SUMIF('Барабан'!V:V,A820,'Барабан'!AG:AG),"")</f>
        <v/>
      </c>
      <c r="E820" s="2" t="str">
        <f t="shared" si="1"/>
        <v/>
      </c>
      <c r="F820" s="2" t="str">
        <f t="array" ref="F820">IFERROR(IF(E820=0,0,INDEX('Справочник'!G:G,MATCH(A820,'Справочник'!F:F,0))))</f>
        <v/>
      </c>
      <c r="G820" s="2" t="str">
        <f>IF(A820&gt;0,SUMIF('Барабан'!K:K,A820,'Барабан'!P:P),"")</f>
        <v/>
      </c>
      <c r="H820" s="2" t="str">
        <f>IF(A820&gt;0,SUMIF('Барабан'!V:V,A820,'Барабан'!AA:AA),"")</f>
        <v/>
      </c>
      <c r="I820" s="2" t="str">
        <f t="shared" si="4"/>
        <v/>
      </c>
      <c r="J820" s="9" t="str">
        <f t="shared" si="2"/>
        <v/>
      </c>
      <c r="K820" s="1" t="str">
        <f>IF(A820&gt;0,COUNTIF('Барабан'!K:K,A820),"")</f>
        <v/>
      </c>
      <c r="L820" s="1" t="str">
        <f>IF(A820&gt;0,COUNTIF('Барабан'!V:V,A820),"")</f>
        <v/>
      </c>
      <c r="M820" s="1" t="str">
        <f t="shared" si="3"/>
        <v/>
      </c>
      <c r="N820" s="1" t="str">
        <f>IFERROR(__xludf.DUMMYFUNCTION("IF(A820&gt;0,MIN(FILTER('Барабан'!AJ:AJ,'Барабан'!K:K=A820)),"""")"),"")</f>
        <v/>
      </c>
      <c r="O820" s="16" t="str">
        <f>IFERROR(__xludf.DUMMYFUNCTION("IF(A820&gt;0,IFERROR(MAX(FILTER('Барабан'!AJ:AJ,'Барабан'!V:V=A820)),""–""),"""")"),"")</f>
        <v/>
      </c>
    </row>
    <row r="821" ht="15.75" customHeight="1">
      <c r="A821" s="1" t="str">
        <f>'Справочник'!E816</f>
        <v/>
      </c>
      <c r="B821" s="2" t="str">
        <f>IF(A821&gt;0,SUMIF('Барабан'!K:K,A821,'Барабан'!I:I),"")</f>
        <v/>
      </c>
      <c r="C821" s="2" t="str">
        <f>IF(A821&gt;0,SUMIF('Барабан'!V:V,A821,'Барабан'!T:T),"")</f>
        <v/>
      </c>
      <c r="D821" s="2" t="str">
        <f>IF(A821&gt;0,SUMIF('Барабан'!K:K,A821,'Барабан'!AG:AG)+SUMIF('Барабан'!V:V,A821,'Барабан'!AG:AG),"")</f>
        <v/>
      </c>
      <c r="E821" s="2" t="str">
        <f t="shared" si="1"/>
        <v/>
      </c>
      <c r="F821" s="2" t="str">
        <f t="array" ref="F821">IFERROR(IF(E821=0,0,INDEX('Справочник'!G:G,MATCH(A821,'Справочник'!F:F,0))))</f>
        <v/>
      </c>
      <c r="G821" s="2" t="str">
        <f>IF(A821&gt;0,SUMIF('Барабан'!K:K,A821,'Барабан'!P:P),"")</f>
        <v/>
      </c>
      <c r="H821" s="2" t="str">
        <f>IF(A821&gt;0,SUMIF('Барабан'!V:V,A821,'Барабан'!AA:AA),"")</f>
        <v/>
      </c>
      <c r="I821" s="2" t="str">
        <f t="shared" si="4"/>
        <v/>
      </c>
      <c r="J821" s="9" t="str">
        <f t="shared" si="2"/>
        <v/>
      </c>
      <c r="K821" s="1" t="str">
        <f>IF(A821&gt;0,COUNTIF('Барабан'!K:K,A821),"")</f>
        <v/>
      </c>
      <c r="L821" s="1" t="str">
        <f>IF(A821&gt;0,COUNTIF('Барабан'!V:V,A821),"")</f>
        <v/>
      </c>
      <c r="M821" s="1" t="str">
        <f t="shared" si="3"/>
        <v/>
      </c>
      <c r="N821" s="1" t="str">
        <f>IFERROR(__xludf.DUMMYFUNCTION("IF(A821&gt;0,MIN(FILTER('Барабан'!AJ:AJ,'Барабан'!K:K=A821)),"""")"),"")</f>
        <v/>
      </c>
      <c r="O821" s="16" t="str">
        <f>IFERROR(__xludf.DUMMYFUNCTION("IF(A821&gt;0,IFERROR(MAX(FILTER('Барабан'!AJ:AJ,'Барабан'!V:V=A821)),""–""),"""")"),"")</f>
        <v/>
      </c>
    </row>
    <row r="822" ht="15.75" customHeight="1">
      <c r="A822" s="1" t="str">
        <f>'Справочник'!E817</f>
        <v/>
      </c>
      <c r="B822" s="2" t="str">
        <f>IF(A822&gt;0,SUMIF('Барабан'!K:K,A822,'Барабан'!I:I),"")</f>
        <v/>
      </c>
      <c r="C822" s="2" t="str">
        <f>IF(A822&gt;0,SUMIF('Барабан'!V:V,A822,'Барабан'!T:T),"")</f>
        <v/>
      </c>
      <c r="D822" s="2" t="str">
        <f>IF(A822&gt;0,SUMIF('Барабан'!K:K,A822,'Барабан'!AG:AG)+SUMIF('Барабан'!V:V,A822,'Барабан'!AG:AG),"")</f>
        <v/>
      </c>
      <c r="E822" s="2" t="str">
        <f t="shared" si="1"/>
        <v/>
      </c>
      <c r="F822" s="2" t="str">
        <f t="array" ref="F822">IFERROR(IF(E822=0,0,INDEX('Справочник'!G:G,MATCH(A822,'Справочник'!F:F,0))))</f>
        <v/>
      </c>
      <c r="G822" s="2" t="str">
        <f>IF(A822&gt;0,SUMIF('Барабан'!K:K,A822,'Барабан'!P:P),"")</f>
        <v/>
      </c>
      <c r="H822" s="2" t="str">
        <f>IF(A822&gt;0,SUMIF('Барабан'!V:V,A822,'Барабан'!AA:AA),"")</f>
        <v/>
      </c>
      <c r="I822" s="2" t="str">
        <f t="shared" si="4"/>
        <v/>
      </c>
      <c r="J822" s="9" t="str">
        <f t="shared" si="2"/>
        <v/>
      </c>
      <c r="K822" s="1" t="str">
        <f>IF(A822&gt;0,COUNTIF('Барабан'!K:K,A822),"")</f>
        <v/>
      </c>
      <c r="L822" s="1" t="str">
        <f>IF(A822&gt;0,COUNTIF('Барабан'!V:V,A822),"")</f>
        <v/>
      </c>
      <c r="M822" s="1" t="str">
        <f t="shared" si="3"/>
        <v/>
      </c>
      <c r="N822" s="1" t="str">
        <f>IFERROR(__xludf.DUMMYFUNCTION("IF(A822&gt;0,MIN(FILTER('Барабан'!AJ:AJ,'Барабан'!K:K=A822)),"""")"),"")</f>
        <v/>
      </c>
      <c r="O822" s="16" t="str">
        <f>IFERROR(__xludf.DUMMYFUNCTION("IF(A822&gt;0,IFERROR(MAX(FILTER('Барабан'!AJ:AJ,'Барабан'!V:V=A822)),""–""),"""")"),"")</f>
        <v/>
      </c>
    </row>
    <row r="823" ht="15.75" customHeight="1">
      <c r="A823" s="1" t="str">
        <f>'Справочник'!E818</f>
        <v/>
      </c>
      <c r="B823" s="2" t="str">
        <f>IF(A823&gt;0,SUMIF('Барабан'!K:K,A823,'Барабан'!I:I),"")</f>
        <v/>
      </c>
      <c r="C823" s="2" t="str">
        <f>IF(A823&gt;0,SUMIF('Барабан'!V:V,A823,'Барабан'!T:T),"")</f>
        <v/>
      </c>
      <c r="D823" s="2" t="str">
        <f>IF(A823&gt;0,SUMIF('Барабан'!K:K,A823,'Барабан'!AG:AG)+SUMIF('Барабан'!V:V,A823,'Барабан'!AG:AG),"")</f>
        <v/>
      </c>
      <c r="E823" s="2" t="str">
        <f t="shared" si="1"/>
        <v/>
      </c>
      <c r="F823" s="2" t="str">
        <f t="array" ref="F823">IFERROR(IF(E823=0,0,INDEX('Справочник'!G:G,MATCH(A823,'Справочник'!F:F,0))))</f>
        <v/>
      </c>
      <c r="G823" s="2" t="str">
        <f>IF(A823&gt;0,SUMIF('Барабан'!K:K,A823,'Барабан'!P:P),"")</f>
        <v/>
      </c>
      <c r="H823" s="2" t="str">
        <f>IF(A823&gt;0,SUMIF('Барабан'!V:V,A823,'Барабан'!AA:AA),"")</f>
        <v/>
      </c>
      <c r="I823" s="2" t="str">
        <f t="shared" si="4"/>
        <v/>
      </c>
      <c r="J823" s="9" t="str">
        <f t="shared" si="2"/>
        <v/>
      </c>
      <c r="K823" s="1" t="str">
        <f>IF(A823&gt;0,COUNTIF('Барабан'!K:K,A823),"")</f>
        <v/>
      </c>
      <c r="L823" s="1" t="str">
        <f>IF(A823&gt;0,COUNTIF('Барабан'!V:V,A823),"")</f>
        <v/>
      </c>
      <c r="M823" s="1" t="str">
        <f t="shared" si="3"/>
        <v/>
      </c>
      <c r="N823" s="1" t="str">
        <f>IFERROR(__xludf.DUMMYFUNCTION("IF(A823&gt;0,MIN(FILTER('Барабан'!AJ:AJ,'Барабан'!K:K=A823)),"""")"),"")</f>
        <v/>
      </c>
      <c r="O823" s="16" t="str">
        <f>IFERROR(__xludf.DUMMYFUNCTION("IF(A823&gt;0,IFERROR(MAX(FILTER('Барабан'!AJ:AJ,'Барабан'!V:V=A823)),""–""),"""")"),"")</f>
        <v/>
      </c>
    </row>
    <row r="824" ht="15.75" customHeight="1">
      <c r="A824" s="1" t="str">
        <f>'Справочник'!E819</f>
        <v/>
      </c>
      <c r="B824" s="2" t="str">
        <f>IF(A824&gt;0,SUMIF('Барабан'!K:K,A824,'Барабан'!I:I),"")</f>
        <v/>
      </c>
      <c r="C824" s="2" t="str">
        <f>IF(A824&gt;0,SUMIF('Барабан'!V:V,A824,'Барабан'!T:T),"")</f>
        <v/>
      </c>
      <c r="D824" s="2" t="str">
        <f>IF(A824&gt;0,SUMIF('Барабан'!K:K,A824,'Барабан'!AG:AG)+SUMIF('Барабан'!V:V,A824,'Барабан'!AG:AG),"")</f>
        <v/>
      </c>
      <c r="E824" s="2" t="str">
        <f t="shared" si="1"/>
        <v/>
      </c>
      <c r="F824" s="2" t="str">
        <f t="array" ref="F824">IFERROR(IF(E824=0,0,INDEX('Справочник'!G:G,MATCH(A824,'Справочник'!F:F,0))))</f>
        <v/>
      </c>
      <c r="G824" s="2" t="str">
        <f>IF(A824&gt;0,SUMIF('Барабан'!K:K,A824,'Барабан'!P:P),"")</f>
        <v/>
      </c>
      <c r="H824" s="2" t="str">
        <f>IF(A824&gt;0,SUMIF('Барабан'!V:V,A824,'Барабан'!AA:AA),"")</f>
        <v/>
      </c>
      <c r="I824" s="2" t="str">
        <f t="shared" si="4"/>
        <v/>
      </c>
      <c r="J824" s="9" t="str">
        <f t="shared" si="2"/>
        <v/>
      </c>
      <c r="K824" s="1" t="str">
        <f>IF(A824&gt;0,COUNTIF('Барабан'!K:K,A824),"")</f>
        <v/>
      </c>
      <c r="L824" s="1" t="str">
        <f>IF(A824&gt;0,COUNTIF('Барабан'!V:V,A824),"")</f>
        <v/>
      </c>
      <c r="M824" s="1" t="str">
        <f t="shared" si="3"/>
        <v/>
      </c>
      <c r="N824" s="1" t="str">
        <f>IFERROR(__xludf.DUMMYFUNCTION("IF(A824&gt;0,MIN(FILTER('Барабан'!AJ:AJ,'Барабан'!K:K=A824)),"""")"),"")</f>
        <v/>
      </c>
      <c r="O824" s="16" t="str">
        <f>IFERROR(__xludf.DUMMYFUNCTION("IF(A824&gt;0,IFERROR(MAX(FILTER('Барабан'!AJ:AJ,'Барабан'!V:V=A824)),""–""),"""")"),"")</f>
        <v/>
      </c>
    </row>
    <row r="825" ht="15.75" customHeight="1">
      <c r="A825" s="1" t="str">
        <f>'Справочник'!E820</f>
        <v/>
      </c>
      <c r="B825" s="2" t="str">
        <f>IF(A825&gt;0,SUMIF('Барабан'!K:K,A825,'Барабан'!I:I),"")</f>
        <v/>
      </c>
      <c r="C825" s="2" t="str">
        <f>IF(A825&gt;0,SUMIF('Барабан'!V:V,A825,'Барабан'!T:T),"")</f>
        <v/>
      </c>
      <c r="D825" s="2" t="str">
        <f>IF(A825&gt;0,SUMIF('Барабан'!K:K,A825,'Барабан'!AG:AG)+SUMIF('Барабан'!V:V,A825,'Барабан'!AG:AG),"")</f>
        <v/>
      </c>
      <c r="E825" s="2" t="str">
        <f t="shared" si="1"/>
        <v/>
      </c>
      <c r="F825" s="2" t="str">
        <f t="array" ref="F825">IFERROR(IF(E825=0,0,INDEX('Справочник'!G:G,MATCH(A825,'Справочник'!F:F,0))))</f>
        <v/>
      </c>
      <c r="G825" s="2" t="str">
        <f>IF(A825&gt;0,SUMIF('Барабан'!K:K,A825,'Барабан'!P:P),"")</f>
        <v/>
      </c>
      <c r="H825" s="2" t="str">
        <f>IF(A825&gt;0,SUMIF('Барабан'!V:V,A825,'Барабан'!AA:AA),"")</f>
        <v/>
      </c>
      <c r="I825" s="2" t="str">
        <f t="shared" si="4"/>
        <v/>
      </c>
      <c r="J825" s="9" t="str">
        <f t="shared" si="2"/>
        <v/>
      </c>
      <c r="K825" s="1" t="str">
        <f>IF(A825&gt;0,COUNTIF('Барабан'!K:K,A825),"")</f>
        <v/>
      </c>
      <c r="L825" s="1" t="str">
        <f>IF(A825&gt;0,COUNTIF('Барабан'!V:V,A825),"")</f>
        <v/>
      </c>
      <c r="M825" s="1" t="str">
        <f t="shared" si="3"/>
        <v/>
      </c>
      <c r="N825" s="1" t="str">
        <f>IFERROR(__xludf.DUMMYFUNCTION("IF(A825&gt;0,MIN(FILTER('Барабан'!AJ:AJ,'Барабан'!K:K=A825)),"""")"),"")</f>
        <v/>
      </c>
      <c r="O825" s="16" t="str">
        <f>IFERROR(__xludf.DUMMYFUNCTION("IF(A825&gt;0,IFERROR(MAX(FILTER('Барабан'!AJ:AJ,'Барабан'!V:V=A825)),""–""),"""")"),"")</f>
        <v/>
      </c>
    </row>
    <row r="826" ht="15.75" customHeight="1">
      <c r="A826" s="1" t="str">
        <f>'Справочник'!E821</f>
        <v/>
      </c>
      <c r="B826" s="2" t="str">
        <f>IF(A826&gt;0,SUMIF('Барабан'!K:K,A826,'Барабан'!I:I),"")</f>
        <v/>
      </c>
      <c r="C826" s="2" t="str">
        <f>IF(A826&gt;0,SUMIF('Барабан'!V:V,A826,'Барабан'!T:T),"")</f>
        <v/>
      </c>
      <c r="D826" s="2" t="str">
        <f>IF(A826&gt;0,SUMIF('Барабан'!K:K,A826,'Барабан'!AG:AG)+SUMIF('Барабан'!V:V,A826,'Барабан'!AG:AG),"")</f>
        <v/>
      </c>
      <c r="E826" s="2" t="str">
        <f t="shared" si="1"/>
        <v/>
      </c>
      <c r="F826" s="2" t="str">
        <f t="array" ref="F826">IFERROR(IF(E826=0,0,INDEX('Справочник'!G:G,MATCH(A826,'Справочник'!F:F,0))))</f>
        <v/>
      </c>
      <c r="G826" s="2" t="str">
        <f>IF(A826&gt;0,SUMIF('Барабан'!K:K,A826,'Барабан'!P:P),"")</f>
        <v/>
      </c>
      <c r="H826" s="2" t="str">
        <f>IF(A826&gt;0,SUMIF('Барабан'!V:V,A826,'Барабан'!AA:AA),"")</f>
        <v/>
      </c>
      <c r="I826" s="2" t="str">
        <f t="shared" si="4"/>
        <v/>
      </c>
      <c r="J826" s="9" t="str">
        <f t="shared" si="2"/>
        <v/>
      </c>
      <c r="K826" s="1" t="str">
        <f>IF(A826&gt;0,COUNTIF('Барабан'!K:K,A826),"")</f>
        <v/>
      </c>
      <c r="L826" s="1" t="str">
        <f>IF(A826&gt;0,COUNTIF('Барабан'!V:V,A826),"")</f>
        <v/>
      </c>
      <c r="M826" s="1" t="str">
        <f t="shared" si="3"/>
        <v/>
      </c>
      <c r="N826" s="1" t="str">
        <f>IFERROR(__xludf.DUMMYFUNCTION("IF(A826&gt;0,MIN(FILTER('Барабан'!AJ:AJ,'Барабан'!K:K=A826)),"""")"),"")</f>
        <v/>
      </c>
      <c r="O826" s="16" t="str">
        <f>IFERROR(__xludf.DUMMYFUNCTION("IF(A826&gt;0,IFERROR(MAX(FILTER('Барабан'!AJ:AJ,'Барабан'!V:V=A826)),""–""),"""")"),"")</f>
        <v/>
      </c>
    </row>
    <row r="827" ht="15.75" customHeight="1">
      <c r="A827" s="1" t="str">
        <f>'Справочник'!E822</f>
        <v/>
      </c>
      <c r="B827" s="2" t="str">
        <f>IF(A827&gt;0,SUMIF('Барабан'!K:K,A827,'Барабан'!I:I),"")</f>
        <v/>
      </c>
      <c r="C827" s="2" t="str">
        <f>IF(A827&gt;0,SUMIF('Барабан'!V:V,A827,'Барабан'!T:T),"")</f>
        <v/>
      </c>
      <c r="D827" s="2" t="str">
        <f>IF(A827&gt;0,SUMIF('Барабан'!K:K,A827,'Барабан'!AG:AG)+SUMIF('Барабан'!V:V,A827,'Барабан'!AG:AG),"")</f>
        <v/>
      </c>
      <c r="E827" s="2" t="str">
        <f t="shared" si="1"/>
        <v/>
      </c>
      <c r="F827" s="2" t="str">
        <f t="array" ref="F827">IFERROR(IF(E827=0,0,INDEX('Справочник'!G:G,MATCH(A827,'Справочник'!F:F,0))))</f>
        <v/>
      </c>
      <c r="G827" s="2" t="str">
        <f>IF(A827&gt;0,SUMIF('Барабан'!K:K,A827,'Барабан'!P:P),"")</f>
        <v/>
      </c>
      <c r="H827" s="2" t="str">
        <f>IF(A827&gt;0,SUMIF('Барабан'!V:V,A827,'Барабан'!AA:AA),"")</f>
        <v/>
      </c>
      <c r="I827" s="2" t="str">
        <f t="shared" si="4"/>
        <v/>
      </c>
      <c r="J827" s="9" t="str">
        <f t="shared" si="2"/>
        <v/>
      </c>
      <c r="K827" s="1" t="str">
        <f>IF(A827&gt;0,COUNTIF('Барабан'!K:K,A827),"")</f>
        <v/>
      </c>
      <c r="L827" s="1" t="str">
        <f>IF(A827&gt;0,COUNTIF('Барабан'!V:V,A827),"")</f>
        <v/>
      </c>
      <c r="M827" s="1" t="str">
        <f t="shared" si="3"/>
        <v/>
      </c>
      <c r="N827" s="1" t="str">
        <f>IFERROR(__xludf.DUMMYFUNCTION("IF(A827&gt;0,MIN(FILTER('Барабан'!AJ:AJ,'Барабан'!K:K=A827)),"""")"),"")</f>
        <v/>
      </c>
      <c r="O827" s="16" t="str">
        <f>IFERROR(__xludf.DUMMYFUNCTION("IF(A827&gt;0,IFERROR(MAX(FILTER('Барабан'!AJ:AJ,'Барабан'!V:V=A827)),""–""),"""")"),"")</f>
        <v/>
      </c>
    </row>
    <row r="828" ht="15.75" customHeight="1">
      <c r="A828" s="1" t="str">
        <f>'Справочник'!E823</f>
        <v/>
      </c>
      <c r="B828" s="2" t="str">
        <f>IF(A828&gt;0,SUMIF('Барабан'!K:K,A828,'Барабан'!I:I),"")</f>
        <v/>
      </c>
      <c r="C828" s="2" t="str">
        <f>IF(A828&gt;0,SUMIF('Барабан'!V:V,A828,'Барабан'!T:T),"")</f>
        <v/>
      </c>
      <c r="D828" s="2" t="str">
        <f>IF(A828&gt;0,SUMIF('Барабан'!K:K,A828,'Барабан'!AG:AG)+SUMIF('Барабан'!V:V,A828,'Барабан'!AG:AG),"")</f>
        <v/>
      </c>
      <c r="E828" s="2" t="str">
        <f t="shared" si="1"/>
        <v/>
      </c>
      <c r="F828" s="2" t="str">
        <f t="array" ref="F828">IFERROR(IF(E828=0,0,INDEX('Справочник'!G:G,MATCH(A828,'Справочник'!F:F,0))))</f>
        <v/>
      </c>
      <c r="G828" s="2" t="str">
        <f>IF(A828&gt;0,SUMIF('Барабан'!K:K,A828,'Барабан'!P:P),"")</f>
        <v/>
      </c>
      <c r="H828" s="2" t="str">
        <f>IF(A828&gt;0,SUMIF('Барабан'!V:V,A828,'Барабан'!AA:AA),"")</f>
        <v/>
      </c>
      <c r="I828" s="2" t="str">
        <f t="shared" si="4"/>
        <v/>
      </c>
      <c r="J828" s="9" t="str">
        <f t="shared" si="2"/>
        <v/>
      </c>
      <c r="K828" s="1" t="str">
        <f>IF(A828&gt;0,COUNTIF('Барабан'!K:K,A828),"")</f>
        <v/>
      </c>
      <c r="L828" s="1" t="str">
        <f>IF(A828&gt;0,COUNTIF('Барабан'!V:V,A828),"")</f>
        <v/>
      </c>
      <c r="M828" s="1" t="str">
        <f t="shared" si="3"/>
        <v/>
      </c>
      <c r="N828" s="1" t="str">
        <f>IFERROR(__xludf.DUMMYFUNCTION("IF(A828&gt;0,MIN(FILTER('Барабан'!AJ:AJ,'Барабан'!K:K=A828)),"""")"),"")</f>
        <v/>
      </c>
      <c r="O828" s="16" t="str">
        <f>IFERROR(__xludf.DUMMYFUNCTION("IF(A828&gt;0,IFERROR(MAX(FILTER('Барабан'!AJ:AJ,'Барабан'!V:V=A828)),""–""),"""")"),"")</f>
        <v/>
      </c>
    </row>
    <row r="829" ht="15.75" customHeight="1">
      <c r="A829" s="1" t="str">
        <f>'Справочник'!E824</f>
        <v/>
      </c>
      <c r="B829" s="2" t="str">
        <f>IF(A829&gt;0,SUMIF('Барабан'!K:K,A829,'Барабан'!I:I),"")</f>
        <v/>
      </c>
      <c r="C829" s="2" t="str">
        <f>IF(A829&gt;0,SUMIF('Барабан'!V:V,A829,'Барабан'!T:T),"")</f>
        <v/>
      </c>
      <c r="D829" s="2" t="str">
        <f>IF(A829&gt;0,SUMIF('Барабан'!K:K,A829,'Барабан'!AG:AG)+SUMIF('Барабан'!V:V,A829,'Барабан'!AG:AG),"")</f>
        <v/>
      </c>
      <c r="E829" s="2" t="str">
        <f t="shared" si="1"/>
        <v/>
      </c>
      <c r="F829" s="2" t="str">
        <f t="array" ref="F829">IFERROR(IF(E829=0,0,INDEX('Справочник'!G:G,MATCH(A829,'Справочник'!F:F,0))))</f>
        <v/>
      </c>
      <c r="G829" s="2" t="str">
        <f>IF(A829&gt;0,SUMIF('Барабан'!K:K,A829,'Барабан'!P:P),"")</f>
        <v/>
      </c>
      <c r="H829" s="2" t="str">
        <f>IF(A829&gt;0,SUMIF('Барабан'!V:V,A829,'Барабан'!AA:AA),"")</f>
        <v/>
      </c>
      <c r="I829" s="2" t="str">
        <f t="shared" si="4"/>
        <v/>
      </c>
      <c r="J829" s="9" t="str">
        <f t="shared" si="2"/>
        <v/>
      </c>
      <c r="K829" s="1" t="str">
        <f>IF(A829&gt;0,COUNTIF('Барабан'!K:K,A829),"")</f>
        <v/>
      </c>
      <c r="L829" s="1" t="str">
        <f>IF(A829&gt;0,COUNTIF('Барабан'!V:V,A829),"")</f>
        <v/>
      </c>
      <c r="M829" s="1" t="str">
        <f t="shared" si="3"/>
        <v/>
      </c>
      <c r="N829" s="1" t="str">
        <f>IFERROR(__xludf.DUMMYFUNCTION("IF(A829&gt;0,MIN(FILTER('Барабан'!AJ:AJ,'Барабан'!K:K=A829)),"""")"),"")</f>
        <v/>
      </c>
      <c r="O829" s="16" t="str">
        <f>IFERROR(__xludf.DUMMYFUNCTION("IF(A829&gt;0,IFERROR(MAX(FILTER('Барабан'!AJ:AJ,'Барабан'!V:V=A829)),""–""),"""")"),"")</f>
        <v/>
      </c>
    </row>
    <row r="830" ht="15.75" customHeight="1">
      <c r="A830" s="1" t="str">
        <f>'Справочник'!E825</f>
        <v/>
      </c>
      <c r="B830" s="2" t="str">
        <f>IF(A830&gt;0,SUMIF('Барабан'!K:K,A830,'Барабан'!I:I),"")</f>
        <v/>
      </c>
      <c r="C830" s="2" t="str">
        <f>IF(A830&gt;0,SUMIF('Барабан'!V:V,A830,'Барабан'!T:T),"")</f>
        <v/>
      </c>
      <c r="D830" s="2" t="str">
        <f>IF(A830&gt;0,SUMIF('Барабан'!K:K,A830,'Барабан'!AG:AG)+SUMIF('Барабан'!V:V,A830,'Барабан'!AG:AG),"")</f>
        <v/>
      </c>
      <c r="E830" s="2" t="str">
        <f t="shared" si="1"/>
        <v/>
      </c>
      <c r="F830" s="2" t="str">
        <f t="array" ref="F830">IFERROR(IF(E830=0,0,INDEX('Справочник'!G:G,MATCH(A830,'Справочник'!F:F,0))))</f>
        <v/>
      </c>
      <c r="G830" s="2" t="str">
        <f>IF(A830&gt;0,SUMIF('Барабан'!K:K,A830,'Барабан'!P:P),"")</f>
        <v/>
      </c>
      <c r="H830" s="2" t="str">
        <f>IF(A830&gt;0,SUMIF('Барабан'!V:V,A830,'Барабан'!AA:AA),"")</f>
        <v/>
      </c>
      <c r="I830" s="2" t="str">
        <f t="shared" si="4"/>
        <v/>
      </c>
      <c r="J830" s="9" t="str">
        <f t="shared" si="2"/>
        <v/>
      </c>
      <c r="K830" s="1" t="str">
        <f>IF(A830&gt;0,COUNTIF('Барабан'!K:K,A830),"")</f>
        <v/>
      </c>
      <c r="L830" s="1" t="str">
        <f>IF(A830&gt;0,COUNTIF('Барабан'!V:V,A830),"")</f>
        <v/>
      </c>
      <c r="M830" s="1" t="str">
        <f t="shared" si="3"/>
        <v/>
      </c>
      <c r="N830" s="1" t="str">
        <f>IFERROR(__xludf.DUMMYFUNCTION("IF(A830&gt;0,MIN(FILTER('Барабан'!AJ:AJ,'Барабан'!K:K=A830)),"""")"),"")</f>
        <v/>
      </c>
      <c r="O830" s="16" t="str">
        <f>IFERROR(__xludf.DUMMYFUNCTION("IF(A830&gt;0,IFERROR(MAX(FILTER('Барабан'!AJ:AJ,'Барабан'!V:V=A830)),""–""),"""")"),"")</f>
        <v/>
      </c>
    </row>
    <row r="831" ht="15.75" customHeight="1">
      <c r="A831" s="1" t="str">
        <f>'Справочник'!E826</f>
        <v/>
      </c>
      <c r="B831" s="2" t="str">
        <f>IF(A831&gt;0,SUMIF('Барабан'!K:K,A831,'Барабан'!I:I),"")</f>
        <v/>
      </c>
      <c r="C831" s="2" t="str">
        <f>IF(A831&gt;0,SUMIF('Барабан'!V:V,A831,'Барабан'!T:T),"")</f>
        <v/>
      </c>
      <c r="D831" s="2" t="str">
        <f>IF(A831&gt;0,SUMIF('Барабан'!K:K,A831,'Барабан'!AG:AG)+SUMIF('Барабан'!V:V,A831,'Барабан'!AG:AG),"")</f>
        <v/>
      </c>
      <c r="E831" s="2" t="str">
        <f t="shared" si="1"/>
        <v/>
      </c>
      <c r="F831" s="2" t="str">
        <f t="array" ref="F831">IFERROR(IF(E831=0,0,INDEX('Справочник'!G:G,MATCH(A831,'Справочник'!F:F,0))))</f>
        <v/>
      </c>
      <c r="G831" s="2" t="str">
        <f>IF(A831&gt;0,SUMIF('Барабан'!K:K,A831,'Барабан'!P:P),"")</f>
        <v/>
      </c>
      <c r="H831" s="2" t="str">
        <f>IF(A831&gt;0,SUMIF('Барабан'!V:V,A831,'Барабан'!AA:AA),"")</f>
        <v/>
      </c>
      <c r="I831" s="2" t="str">
        <f t="shared" si="4"/>
        <v/>
      </c>
      <c r="J831" s="9" t="str">
        <f t="shared" si="2"/>
        <v/>
      </c>
      <c r="K831" s="1" t="str">
        <f>IF(A831&gt;0,COUNTIF('Барабан'!K:K,A831),"")</f>
        <v/>
      </c>
      <c r="L831" s="1" t="str">
        <f>IF(A831&gt;0,COUNTIF('Барабан'!V:V,A831),"")</f>
        <v/>
      </c>
      <c r="M831" s="1" t="str">
        <f t="shared" si="3"/>
        <v/>
      </c>
      <c r="N831" s="1" t="str">
        <f>IFERROR(__xludf.DUMMYFUNCTION("IF(A831&gt;0,MIN(FILTER('Барабан'!AJ:AJ,'Барабан'!K:K=A831)),"""")"),"")</f>
        <v/>
      </c>
      <c r="O831" s="16" t="str">
        <f>IFERROR(__xludf.DUMMYFUNCTION("IF(A831&gt;0,IFERROR(MAX(FILTER('Барабан'!AJ:AJ,'Барабан'!V:V=A831)),""–""),"""")"),"")</f>
        <v/>
      </c>
    </row>
    <row r="832" ht="15.75" customHeight="1">
      <c r="A832" s="1" t="str">
        <f>'Справочник'!E827</f>
        <v/>
      </c>
      <c r="B832" s="2" t="str">
        <f>IF(A832&gt;0,SUMIF('Барабан'!K:K,A832,'Барабан'!I:I),"")</f>
        <v/>
      </c>
      <c r="C832" s="2" t="str">
        <f>IF(A832&gt;0,SUMIF('Барабан'!V:V,A832,'Барабан'!T:T),"")</f>
        <v/>
      </c>
      <c r="D832" s="2" t="str">
        <f>IF(A832&gt;0,SUMIF('Барабан'!K:K,A832,'Барабан'!AG:AG)+SUMIF('Барабан'!V:V,A832,'Барабан'!AG:AG),"")</f>
        <v/>
      </c>
      <c r="E832" s="2" t="str">
        <f t="shared" si="1"/>
        <v/>
      </c>
      <c r="F832" s="2" t="str">
        <f t="array" ref="F832">IFERROR(IF(E832=0,0,INDEX('Справочник'!G:G,MATCH(A832,'Справочник'!F:F,0))))</f>
        <v/>
      </c>
      <c r="G832" s="2" t="str">
        <f>IF(A832&gt;0,SUMIF('Барабан'!K:K,A832,'Барабан'!P:P),"")</f>
        <v/>
      </c>
      <c r="H832" s="2" t="str">
        <f>IF(A832&gt;0,SUMIF('Барабан'!V:V,A832,'Барабан'!AA:AA),"")</f>
        <v/>
      </c>
      <c r="I832" s="2" t="str">
        <f t="shared" si="4"/>
        <v/>
      </c>
      <c r="J832" s="9" t="str">
        <f t="shared" si="2"/>
        <v/>
      </c>
      <c r="K832" s="1" t="str">
        <f>IF(A832&gt;0,COUNTIF('Барабан'!K:K,A832),"")</f>
        <v/>
      </c>
      <c r="L832" s="1" t="str">
        <f>IF(A832&gt;0,COUNTIF('Барабан'!V:V,A832),"")</f>
        <v/>
      </c>
      <c r="M832" s="1" t="str">
        <f t="shared" si="3"/>
        <v/>
      </c>
      <c r="N832" s="1" t="str">
        <f>IFERROR(__xludf.DUMMYFUNCTION("IF(A832&gt;0,MIN(FILTER('Барабан'!AJ:AJ,'Барабан'!K:K=A832)),"""")"),"")</f>
        <v/>
      </c>
      <c r="O832" s="16" t="str">
        <f>IFERROR(__xludf.DUMMYFUNCTION("IF(A832&gt;0,IFERROR(MAX(FILTER('Барабан'!AJ:AJ,'Барабан'!V:V=A832)),""–""),"""")"),"")</f>
        <v/>
      </c>
    </row>
    <row r="833" ht="15.75" customHeight="1">
      <c r="A833" s="1" t="str">
        <f>'Справочник'!E828</f>
        <v/>
      </c>
      <c r="B833" s="2" t="str">
        <f>IF(A833&gt;0,SUMIF('Барабан'!K:K,A833,'Барабан'!I:I),"")</f>
        <v/>
      </c>
      <c r="C833" s="2" t="str">
        <f>IF(A833&gt;0,SUMIF('Барабан'!V:V,A833,'Барабан'!T:T),"")</f>
        <v/>
      </c>
      <c r="D833" s="2" t="str">
        <f>IF(A833&gt;0,SUMIF('Барабан'!K:K,A833,'Барабан'!AG:AG)+SUMIF('Барабан'!V:V,A833,'Барабан'!AG:AG),"")</f>
        <v/>
      </c>
      <c r="E833" s="2" t="str">
        <f t="shared" si="1"/>
        <v/>
      </c>
      <c r="F833" s="2" t="str">
        <f t="array" ref="F833">IFERROR(IF(E833=0,0,INDEX('Справочник'!G:G,MATCH(A833,'Справочник'!F:F,0))))</f>
        <v/>
      </c>
      <c r="G833" s="2" t="str">
        <f>IF(A833&gt;0,SUMIF('Барабан'!K:K,A833,'Барабан'!P:P),"")</f>
        <v/>
      </c>
      <c r="H833" s="2" t="str">
        <f>IF(A833&gt;0,SUMIF('Барабан'!V:V,A833,'Барабан'!AA:AA),"")</f>
        <v/>
      </c>
      <c r="I833" s="2" t="str">
        <f t="shared" si="4"/>
        <v/>
      </c>
      <c r="J833" s="9" t="str">
        <f t="shared" si="2"/>
        <v/>
      </c>
      <c r="K833" s="1" t="str">
        <f>IF(A833&gt;0,COUNTIF('Барабан'!K:K,A833),"")</f>
        <v/>
      </c>
      <c r="L833" s="1" t="str">
        <f>IF(A833&gt;0,COUNTIF('Барабан'!V:V,A833),"")</f>
        <v/>
      </c>
      <c r="M833" s="1" t="str">
        <f t="shared" si="3"/>
        <v/>
      </c>
      <c r="N833" s="1" t="str">
        <f>IFERROR(__xludf.DUMMYFUNCTION("IF(A833&gt;0,MIN(FILTER('Барабан'!AJ:AJ,'Барабан'!K:K=A833)),"""")"),"")</f>
        <v/>
      </c>
      <c r="O833" s="16" t="str">
        <f>IFERROR(__xludf.DUMMYFUNCTION("IF(A833&gt;0,IFERROR(MAX(FILTER('Барабан'!AJ:AJ,'Барабан'!V:V=A833)),""–""),"""")"),"")</f>
        <v/>
      </c>
    </row>
    <row r="834" ht="15.75" customHeight="1">
      <c r="A834" s="1" t="str">
        <f>'Справочник'!E829</f>
        <v/>
      </c>
      <c r="B834" s="2" t="str">
        <f>IF(A834&gt;0,SUMIF('Барабан'!K:K,A834,'Барабан'!I:I),"")</f>
        <v/>
      </c>
      <c r="C834" s="2" t="str">
        <f>IF(A834&gt;0,SUMIF('Барабан'!V:V,A834,'Барабан'!T:T),"")</f>
        <v/>
      </c>
      <c r="D834" s="2" t="str">
        <f>IF(A834&gt;0,SUMIF('Барабан'!K:K,A834,'Барабан'!AG:AG)+SUMIF('Барабан'!V:V,A834,'Барабан'!AG:AG),"")</f>
        <v/>
      </c>
      <c r="E834" s="2" t="str">
        <f t="shared" si="1"/>
        <v/>
      </c>
      <c r="F834" s="2" t="str">
        <f t="array" ref="F834">IFERROR(IF(E834=0,0,INDEX('Справочник'!G:G,MATCH(A834,'Справочник'!F:F,0))))</f>
        <v/>
      </c>
      <c r="G834" s="2" t="str">
        <f>IF(A834&gt;0,SUMIF('Барабан'!K:K,A834,'Барабан'!P:P),"")</f>
        <v/>
      </c>
      <c r="H834" s="2" t="str">
        <f>IF(A834&gt;0,SUMIF('Барабан'!V:V,A834,'Барабан'!AA:AA),"")</f>
        <v/>
      </c>
      <c r="I834" s="2" t="str">
        <f t="shared" si="4"/>
        <v/>
      </c>
      <c r="J834" s="9" t="str">
        <f t="shared" si="2"/>
        <v/>
      </c>
      <c r="K834" s="1" t="str">
        <f>IF(A834&gt;0,COUNTIF('Барабан'!K:K,A834),"")</f>
        <v/>
      </c>
      <c r="L834" s="1" t="str">
        <f>IF(A834&gt;0,COUNTIF('Барабан'!V:V,A834),"")</f>
        <v/>
      </c>
      <c r="M834" s="1" t="str">
        <f t="shared" si="3"/>
        <v/>
      </c>
      <c r="N834" s="1" t="str">
        <f>IFERROR(__xludf.DUMMYFUNCTION("IF(A834&gt;0,MIN(FILTER('Барабан'!AJ:AJ,'Барабан'!K:K=A834)),"""")"),"")</f>
        <v/>
      </c>
      <c r="O834" s="16" t="str">
        <f>IFERROR(__xludf.DUMMYFUNCTION("IF(A834&gt;0,IFERROR(MAX(FILTER('Барабан'!AJ:AJ,'Барабан'!V:V=A834)),""–""),"""")"),"")</f>
        <v/>
      </c>
    </row>
    <row r="835" ht="15.75" customHeight="1">
      <c r="A835" s="1" t="str">
        <f>'Справочник'!E830</f>
        <v/>
      </c>
      <c r="B835" s="2" t="str">
        <f>IF(A835&gt;0,SUMIF('Барабан'!K:K,A835,'Барабан'!I:I),"")</f>
        <v/>
      </c>
      <c r="C835" s="2" t="str">
        <f>IF(A835&gt;0,SUMIF('Барабан'!V:V,A835,'Барабан'!T:T),"")</f>
        <v/>
      </c>
      <c r="D835" s="2" t="str">
        <f>IF(A835&gt;0,SUMIF('Барабан'!K:K,A835,'Барабан'!AG:AG)+SUMIF('Барабан'!V:V,A835,'Барабан'!AG:AG),"")</f>
        <v/>
      </c>
      <c r="E835" s="2" t="str">
        <f t="shared" si="1"/>
        <v/>
      </c>
      <c r="F835" s="2" t="str">
        <f t="array" ref="F835">IFERROR(IF(E835=0,0,INDEX('Справочник'!G:G,MATCH(A835,'Справочник'!F:F,0))))</f>
        <v/>
      </c>
      <c r="G835" s="2" t="str">
        <f>IF(A835&gt;0,SUMIF('Барабан'!K:K,A835,'Барабан'!P:P),"")</f>
        <v/>
      </c>
      <c r="H835" s="2" t="str">
        <f>IF(A835&gt;0,SUMIF('Барабан'!V:V,A835,'Барабан'!AA:AA),"")</f>
        <v/>
      </c>
      <c r="I835" s="2" t="str">
        <f t="shared" si="4"/>
        <v/>
      </c>
      <c r="J835" s="9" t="str">
        <f t="shared" si="2"/>
        <v/>
      </c>
      <c r="K835" s="1" t="str">
        <f>IF(A835&gt;0,COUNTIF('Барабан'!K:K,A835),"")</f>
        <v/>
      </c>
      <c r="L835" s="1" t="str">
        <f>IF(A835&gt;0,COUNTIF('Барабан'!V:V,A835),"")</f>
        <v/>
      </c>
      <c r="M835" s="1" t="str">
        <f t="shared" si="3"/>
        <v/>
      </c>
      <c r="N835" s="1" t="str">
        <f>IFERROR(__xludf.DUMMYFUNCTION("IF(A835&gt;0,MIN(FILTER('Барабан'!AJ:AJ,'Барабан'!K:K=A835)),"""")"),"")</f>
        <v/>
      </c>
      <c r="O835" s="16" t="str">
        <f>IFERROR(__xludf.DUMMYFUNCTION("IF(A835&gt;0,IFERROR(MAX(FILTER('Барабан'!AJ:AJ,'Барабан'!V:V=A835)),""–""),"""")"),"")</f>
        <v/>
      </c>
    </row>
    <row r="836" ht="15.75" customHeight="1">
      <c r="A836" s="1" t="str">
        <f>'Справочник'!E831</f>
        <v/>
      </c>
      <c r="B836" s="2" t="str">
        <f>IF(A836&gt;0,SUMIF('Барабан'!K:K,A836,'Барабан'!I:I),"")</f>
        <v/>
      </c>
      <c r="C836" s="2" t="str">
        <f>IF(A836&gt;0,SUMIF('Барабан'!V:V,A836,'Барабан'!T:T),"")</f>
        <v/>
      </c>
      <c r="D836" s="2" t="str">
        <f>IF(A836&gt;0,SUMIF('Барабан'!K:K,A836,'Барабан'!AG:AG)+SUMIF('Барабан'!V:V,A836,'Барабан'!AG:AG),"")</f>
        <v/>
      </c>
      <c r="E836" s="2" t="str">
        <f t="shared" si="1"/>
        <v/>
      </c>
      <c r="F836" s="2" t="str">
        <f t="array" ref="F836">IFERROR(IF(E836=0,0,INDEX('Справочник'!G:G,MATCH(A836,'Справочник'!F:F,0))))</f>
        <v/>
      </c>
      <c r="G836" s="2" t="str">
        <f>IF(A836&gt;0,SUMIF('Барабан'!K:K,A836,'Барабан'!P:P),"")</f>
        <v/>
      </c>
      <c r="H836" s="2" t="str">
        <f>IF(A836&gt;0,SUMIF('Барабан'!V:V,A836,'Барабан'!AA:AA),"")</f>
        <v/>
      </c>
      <c r="I836" s="2" t="str">
        <f t="shared" si="4"/>
        <v/>
      </c>
      <c r="J836" s="9" t="str">
        <f t="shared" si="2"/>
        <v/>
      </c>
      <c r="K836" s="1" t="str">
        <f>IF(A836&gt;0,COUNTIF('Барабан'!K:K,A836),"")</f>
        <v/>
      </c>
      <c r="L836" s="1" t="str">
        <f>IF(A836&gt;0,COUNTIF('Барабан'!V:V,A836),"")</f>
        <v/>
      </c>
      <c r="M836" s="1" t="str">
        <f t="shared" si="3"/>
        <v/>
      </c>
      <c r="N836" s="1" t="str">
        <f>IFERROR(__xludf.DUMMYFUNCTION("IF(A836&gt;0,MIN(FILTER('Барабан'!AJ:AJ,'Барабан'!K:K=A836)),"""")"),"")</f>
        <v/>
      </c>
      <c r="O836" s="16" t="str">
        <f>IFERROR(__xludf.DUMMYFUNCTION("IF(A836&gt;0,IFERROR(MAX(FILTER('Барабан'!AJ:AJ,'Барабан'!V:V=A836)),""–""),"""")"),"")</f>
        <v/>
      </c>
    </row>
    <row r="837" ht="15.75" customHeight="1">
      <c r="A837" s="1" t="str">
        <f>'Справочник'!E832</f>
        <v/>
      </c>
      <c r="B837" s="2" t="str">
        <f>IF(A837&gt;0,SUMIF('Барабан'!K:K,A837,'Барабан'!I:I),"")</f>
        <v/>
      </c>
      <c r="C837" s="2" t="str">
        <f>IF(A837&gt;0,SUMIF('Барабан'!V:V,A837,'Барабан'!T:T),"")</f>
        <v/>
      </c>
      <c r="D837" s="2" t="str">
        <f>IF(A837&gt;0,SUMIF('Барабан'!K:K,A837,'Барабан'!AG:AG)+SUMIF('Барабан'!V:V,A837,'Барабан'!AG:AG),"")</f>
        <v/>
      </c>
      <c r="E837" s="2" t="str">
        <f t="shared" si="1"/>
        <v/>
      </c>
      <c r="F837" s="2" t="str">
        <f t="array" ref="F837">IFERROR(IF(E837=0,0,INDEX('Справочник'!G:G,MATCH(A837,'Справочник'!F:F,0))))</f>
        <v/>
      </c>
      <c r="G837" s="2" t="str">
        <f>IF(A837&gt;0,SUMIF('Барабан'!K:K,A837,'Барабан'!P:P),"")</f>
        <v/>
      </c>
      <c r="H837" s="2" t="str">
        <f>IF(A837&gt;0,SUMIF('Барабан'!V:V,A837,'Барабан'!AA:AA),"")</f>
        <v/>
      </c>
      <c r="I837" s="2" t="str">
        <f t="shared" si="4"/>
        <v/>
      </c>
      <c r="J837" s="9" t="str">
        <f t="shared" si="2"/>
        <v/>
      </c>
      <c r="K837" s="1" t="str">
        <f>IF(A837&gt;0,COUNTIF('Барабан'!K:K,A837),"")</f>
        <v/>
      </c>
      <c r="L837" s="1" t="str">
        <f>IF(A837&gt;0,COUNTIF('Барабан'!V:V,A837),"")</f>
        <v/>
      </c>
      <c r="M837" s="1" t="str">
        <f t="shared" si="3"/>
        <v/>
      </c>
      <c r="N837" s="1" t="str">
        <f>IFERROR(__xludf.DUMMYFUNCTION("IF(A837&gt;0,MIN(FILTER('Барабан'!AJ:AJ,'Барабан'!K:K=A837)),"""")"),"")</f>
        <v/>
      </c>
      <c r="O837" s="16" t="str">
        <f>IFERROR(__xludf.DUMMYFUNCTION("IF(A837&gt;0,IFERROR(MAX(FILTER('Барабан'!AJ:AJ,'Барабан'!V:V=A837)),""–""),"""")"),"")</f>
        <v/>
      </c>
    </row>
    <row r="838" ht="15.75" customHeight="1">
      <c r="A838" s="1" t="str">
        <f>'Справочник'!E833</f>
        <v/>
      </c>
      <c r="B838" s="2" t="str">
        <f>IF(A838&gt;0,SUMIF('Барабан'!K:K,A838,'Барабан'!I:I),"")</f>
        <v/>
      </c>
      <c r="C838" s="2" t="str">
        <f>IF(A838&gt;0,SUMIF('Барабан'!V:V,A838,'Барабан'!T:T),"")</f>
        <v/>
      </c>
      <c r="D838" s="2" t="str">
        <f>IF(A838&gt;0,SUMIF('Барабан'!K:K,A838,'Барабан'!AG:AG)+SUMIF('Барабан'!V:V,A838,'Барабан'!AG:AG),"")</f>
        <v/>
      </c>
      <c r="E838" s="2" t="str">
        <f t="shared" si="1"/>
        <v/>
      </c>
      <c r="F838" s="2" t="str">
        <f t="array" ref="F838">IFERROR(IF(E838=0,0,INDEX('Справочник'!G:G,MATCH(A838,'Справочник'!F:F,0))))</f>
        <v/>
      </c>
      <c r="G838" s="2" t="str">
        <f>IF(A838&gt;0,SUMIF('Барабан'!K:K,A838,'Барабан'!P:P),"")</f>
        <v/>
      </c>
      <c r="H838" s="2" t="str">
        <f>IF(A838&gt;0,SUMIF('Барабан'!V:V,A838,'Барабан'!AA:AA),"")</f>
        <v/>
      </c>
      <c r="I838" s="2" t="str">
        <f t="shared" si="4"/>
        <v/>
      </c>
      <c r="J838" s="9" t="str">
        <f t="shared" si="2"/>
        <v/>
      </c>
      <c r="K838" s="1" t="str">
        <f>IF(A838&gt;0,COUNTIF('Барабан'!K:K,A838),"")</f>
        <v/>
      </c>
      <c r="L838" s="1" t="str">
        <f>IF(A838&gt;0,COUNTIF('Барабан'!V:V,A838),"")</f>
        <v/>
      </c>
      <c r="M838" s="1" t="str">
        <f t="shared" si="3"/>
        <v/>
      </c>
      <c r="N838" s="1" t="str">
        <f>IFERROR(__xludf.DUMMYFUNCTION("IF(A838&gt;0,MIN(FILTER('Барабан'!AJ:AJ,'Барабан'!K:K=A838)),"""")"),"")</f>
        <v/>
      </c>
      <c r="O838" s="16" t="str">
        <f>IFERROR(__xludf.DUMMYFUNCTION("IF(A838&gt;0,IFERROR(MAX(FILTER('Барабан'!AJ:AJ,'Барабан'!V:V=A838)),""–""),"""")"),"")</f>
        <v/>
      </c>
    </row>
    <row r="839" ht="15.75" customHeight="1">
      <c r="A839" s="1" t="str">
        <f>'Справочник'!E834</f>
        <v/>
      </c>
      <c r="B839" s="2" t="str">
        <f>IF(A839&gt;0,SUMIF('Барабан'!K:K,A839,'Барабан'!I:I),"")</f>
        <v/>
      </c>
      <c r="C839" s="2" t="str">
        <f>IF(A839&gt;0,SUMIF('Барабан'!V:V,A839,'Барабан'!T:T),"")</f>
        <v/>
      </c>
      <c r="D839" s="2" t="str">
        <f>IF(A839&gt;0,SUMIF('Барабан'!K:K,A839,'Барабан'!AG:AG)+SUMIF('Барабан'!V:V,A839,'Барабан'!AG:AG),"")</f>
        <v/>
      </c>
      <c r="E839" s="2" t="str">
        <f t="shared" si="1"/>
        <v/>
      </c>
      <c r="F839" s="2" t="str">
        <f t="array" ref="F839">IFERROR(IF(E839=0,0,INDEX('Справочник'!G:G,MATCH(A839,'Справочник'!F:F,0))))</f>
        <v/>
      </c>
      <c r="G839" s="2" t="str">
        <f>IF(A839&gt;0,SUMIF('Барабан'!K:K,A839,'Барабан'!P:P),"")</f>
        <v/>
      </c>
      <c r="H839" s="2" t="str">
        <f>IF(A839&gt;0,SUMIF('Барабан'!V:V,A839,'Барабан'!AA:AA),"")</f>
        <v/>
      </c>
      <c r="I839" s="2" t="str">
        <f t="shared" si="4"/>
        <v/>
      </c>
      <c r="J839" s="9" t="str">
        <f t="shared" si="2"/>
        <v/>
      </c>
      <c r="K839" s="1" t="str">
        <f>IF(A839&gt;0,COUNTIF('Барабан'!K:K,A839),"")</f>
        <v/>
      </c>
      <c r="L839" s="1" t="str">
        <f>IF(A839&gt;0,COUNTIF('Барабан'!V:V,A839),"")</f>
        <v/>
      </c>
      <c r="M839" s="1" t="str">
        <f t="shared" si="3"/>
        <v/>
      </c>
      <c r="N839" s="1" t="str">
        <f>IFERROR(__xludf.DUMMYFUNCTION("IF(A839&gt;0,MIN(FILTER('Барабан'!AJ:AJ,'Барабан'!K:K=A839)),"""")"),"")</f>
        <v/>
      </c>
      <c r="O839" s="16" t="str">
        <f>IFERROR(__xludf.DUMMYFUNCTION("IF(A839&gt;0,IFERROR(MAX(FILTER('Барабан'!AJ:AJ,'Барабан'!V:V=A839)),""–""),"""")"),"")</f>
        <v/>
      </c>
    </row>
    <row r="840" ht="15.75" customHeight="1">
      <c r="A840" s="1" t="str">
        <f>'Справочник'!E835</f>
        <v/>
      </c>
      <c r="B840" s="2" t="str">
        <f>IF(A840&gt;0,SUMIF('Барабан'!K:K,A840,'Барабан'!I:I),"")</f>
        <v/>
      </c>
      <c r="C840" s="2" t="str">
        <f>IF(A840&gt;0,SUMIF('Барабан'!V:V,A840,'Барабан'!T:T),"")</f>
        <v/>
      </c>
      <c r="D840" s="2" t="str">
        <f>IF(A840&gt;0,SUMIF('Барабан'!K:K,A840,'Барабан'!AG:AG)+SUMIF('Барабан'!V:V,A840,'Барабан'!AG:AG),"")</f>
        <v/>
      </c>
      <c r="E840" s="2" t="str">
        <f t="shared" si="1"/>
        <v/>
      </c>
      <c r="F840" s="2" t="str">
        <f t="array" ref="F840">IFERROR(IF(E840=0,0,INDEX('Справочник'!G:G,MATCH(A840,'Справочник'!F:F,0))))</f>
        <v/>
      </c>
      <c r="G840" s="2" t="str">
        <f>IF(A840&gt;0,SUMIF('Барабан'!K:K,A840,'Барабан'!P:P),"")</f>
        <v/>
      </c>
      <c r="H840" s="2" t="str">
        <f>IF(A840&gt;0,SUMIF('Барабан'!V:V,A840,'Барабан'!AA:AA),"")</f>
        <v/>
      </c>
      <c r="I840" s="2" t="str">
        <f t="shared" si="4"/>
        <v/>
      </c>
      <c r="J840" s="9" t="str">
        <f t="shared" si="2"/>
        <v/>
      </c>
      <c r="K840" s="1" t="str">
        <f>IF(A840&gt;0,COUNTIF('Барабан'!K:K,A840),"")</f>
        <v/>
      </c>
      <c r="L840" s="1" t="str">
        <f>IF(A840&gt;0,COUNTIF('Барабан'!V:V,A840),"")</f>
        <v/>
      </c>
      <c r="M840" s="1" t="str">
        <f t="shared" si="3"/>
        <v/>
      </c>
      <c r="N840" s="1" t="str">
        <f>IFERROR(__xludf.DUMMYFUNCTION("IF(A840&gt;0,MIN(FILTER('Барабан'!AJ:AJ,'Барабан'!K:K=A840)),"""")"),"")</f>
        <v/>
      </c>
      <c r="O840" s="16" t="str">
        <f>IFERROR(__xludf.DUMMYFUNCTION("IF(A840&gt;0,IFERROR(MAX(FILTER('Барабан'!AJ:AJ,'Барабан'!V:V=A840)),""–""),"""")"),"")</f>
        <v/>
      </c>
    </row>
    <row r="841" ht="15.75" customHeight="1">
      <c r="A841" s="1" t="str">
        <f>'Справочник'!E836</f>
        <v/>
      </c>
      <c r="B841" s="2" t="str">
        <f>IF(A841&gt;0,SUMIF('Барабан'!K:K,A841,'Барабан'!I:I),"")</f>
        <v/>
      </c>
      <c r="C841" s="2" t="str">
        <f>IF(A841&gt;0,SUMIF('Барабан'!V:V,A841,'Барабан'!T:T),"")</f>
        <v/>
      </c>
      <c r="D841" s="2" t="str">
        <f>IF(A841&gt;0,SUMIF('Барабан'!K:K,A841,'Барабан'!AG:AG)+SUMIF('Барабан'!V:V,A841,'Барабан'!AG:AG),"")</f>
        <v/>
      </c>
      <c r="E841" s="2" t="str">
        <f t="shared" si="1"/>
        <v/>
      </c>
      <c r="F841" s="2" t="str">
        <f t="array" ref="F841">IFERROR(IF(E841=0,0,INDEX('Справочник'!G:G,MATCH(A841,'Справочник'!F:F,0))))</f>
        <v/>
      </c>
      <c r="G841" s="2" t="str">
        <f>IF(A841&gt;0,SUMIF('Барабан'!K:K,A841,'Барабан'!P:P),"")</f>
        <v/>
      </c>
      <c r="H841" s="2" t="str">
        <f>IF(A841&gt;0,SUMIF('Барабан'!V:V,A841,'Барабан'!AA:AA),"")</f>
        <v/>
      </c>
      <c r="I841" s="2" t="str">
        <f t="shared" si="4"/>
        <v/>
      </c>
      <c r="J841" s="9" t="str">
        <f t="shared" si="2"/>
        <v/>
      </c>
      <c r="K841" s="1" t="str">
        <f>IF(A841&gt;0,COUNTIF('Барабан'!K:K,A841),"")</f>
        <v/>
      </c>
      <c r="L841" s="1" t="str">
        <f>IF(A841&gt;0,COUNTIF('Барабан'!V:V,A841),"")</f>
        <v/>
      </c>
      <c r="M841" s="1" t="str">
        <f t="shared" si="3"/>
        <v/>
      </c>
      <c r="N841" s="1" t="str">
        <f>IFERROR(__xludf.DUMMYFUNCTION("IF(A841&gt;0,MIN(FILTER('Барабан'!AJ:AJ,'Барабан'!K:K=A841)),"""")"),"")</f>
        <v/>
      </c>
      <c r="O841" s="16" t="str">
        <f>IFERROR(__xludf.DUMMYFUNCTION("IF(A841&gt;0,IFERROR(MAX(FILTER('Барабан'!AJ:AJ,'Барабан'!V:V=A841)),""–""),"""")"),"")</f>
        <v/>
      </c>
    </row>
    <row r="842" ht="15.75" customHeight="1">
      <c r="A842" s="1" t="str">
        <f>'Справочник'!E837</f>
        <v/>
      </c>
      <c r="B842" s="2" t="str">
        <f>IF(A842&gt;0,SUMIF('Барабан'!K:K,A842,'Барабан'!I:I),"")</f>
        <v/>
      </c>
      <c r="C842" s="2" t="str">
        <f>IF(A842&gt;0,SUMIF('Барабан'!V:V,A842,'Барабан'!T:T),"")</f>
        <v/>
      </c>
      <c r="D842" s="2" t="str">
        <f>IF(A842&gt;0,SUMIF('Барабан'!K:K,A842,'Барабан'!AG:AG)+SUMIF('Барабан'!V:V,A842,'Барабан'!AG:AG),"")</f>
        <v/>
      </c>
      <c r="E842" s="2" t="str">
        <f t="shared" si="1"/>
        <v/>
      </c>
      <c r="F842" s="2" t="str">
        <f t="array" ref="F842">IFERROR(IF(E842=0,0,INDEX('Справочник'!G:G,MATCH(A842,'Справочник'!F:F,0))))</f>
        <v/>
      </c>
      <c r="G842" s="2" t="str">
        <f>IF(A842&gt;0,SUMIF('Барабан'!K:K,A842,'Барабан'!P:P),"")</f>
        <v/>
      </c>
      <c r="H842" s="2" t="str">
        <f>IF(A842&gt;0,SUMIF('Барабан'!V:V,A842,'Барабан'!AA:AA),"")</f>
        <v/>
      </c>
      <c r="I842" s="2" t="str">
        <f t="shared" si="4"/>
        <v/>
      </c>
      <c r="J842" s="9" t="str">
        <f t="shared" si="2"/>
        <v/>
      </c>
      <c r="K842" s="1" t="str">
        <f>IF(A842&gt;0,COUNTIF('Барабан'!K:K,A842),"")</f>
        <v/>
      </c>
      <c r="L842" s="1" t="str">
        <f>IF(A842&gt;0,COUNTIF('Барабан'!V:V,A842),"")</f>
        <v/>
      </c>
      <c r="M842" s="1" t="str">
        <f t="shared" si="3"/>
        <v/>
      </c>
      <c r="N842" s="1" t="str">
        <f>IFERROR(__xludf.DUMMYFUNCTION("IF(A842&gt;0,MIN(FILTER('Барабан'!AJ:AJ,'Барабан'!K:K=A842)),"""")"),"")</f>
        <v/>
      </c>
      <c r="O842" s="16" t="str">
        <f>IFERROR(__xludf.DUMMYFUNCTION("IF(A842&gt;0,IFERROR(MAX(FILTER('Барабан'!AJ:AJ,'Барабан'!V:V=A842)),""–""),"""")"),"")</f>
        <v/>
      </c>
    </row>
    <row r="843" ht="15.75" customHeight="1">
      <c r="A843" s="1" t="str">
        <f>'Справочник'!E838</f>
        <v/>
      </c>
      <c r="B843" s="2" t="str">
        <f>IF(A843&gt;0,SUMIF('Барабан'!K:K,A843,'Барабан'!I:I),"")</f>
        <v/>
      </c>
      <c r="C843" s="2" t="str">
        <f>IF(A843&gt;0,SUMIF('Барабан'!V:V,A843,'Барабан'!T:T),"")</f>
        <v/>
      </c>
      <c r="D843" s="2" t="str">
        <f>IF(A843&gt;0,SUMIF('Барабан'!K:K,A843,'Барабан'!AG:AG)+SUMIF('Барабан'!V:V,A843,'Барабан'!AG:AG),"")</f>
        <v/>
      </c>
      <c r="E843" s="2" t="str">
        <f t="shared" si="1"/>
        <v/>
      </c>
      <c r="F843" s="2" t="str">
        <f t="array" ref="F843">IFERROR(IF(E843=0,0,INDEX('Справочник'!G:G,MATCH(A843,'Справочник'!F:F,0))))</f>
        <v/>
      </c>
      <c r="G843" s="2" t="str">
        <f>IF(A843&gt;0,SUMIF('Барабан'!K:K,A843,'Барабан'!P:P),"")</f>
        <v/>
      </c>
      <c r="H843" s="2" t="str">
        <f>IF(A843&gt;0,SUMIF('Барабан'!V:V,A843,'Барабан'!AA:AA),"")</f>
        <v/>
      </c>
      <c r="I843" s="2" t="str">
        <f t="shared" si="4"/>
        <v/>
      </c>
      <c r="J843" s="9" t="str">
        <f t="shared" si="2"/>
        <v/>
      </c>
      <c r="K843" s="1" t="str">
        <f>IF(A843&gt;0,COUNTIF('Барабан'!K:K,A843),"")</f>
        <v/>
      </c>
      <c r="L843" s="1" t="str">
        <f>IF(A843&gt;0,COUNTIF('Барабан'!V:V,A843),"")</f>
        <v/>
      </c>
      <c r="M843" s="1" t="str">
        <f t="shared" si="3"/>
        <v/>
      </c>
      <c r="N843" s="1" t="str">
        <f>IFERROR(__xludf.DUMMYFUNCTION("IF(A843&gt;0,MIN(FILTER('Барабан'!AJ:AJ,'Барабан'!K:K=A843)),"""")"),"")</f>
        <v/>
      </c>
      <c r="O843" s="16" t="str">
        <f>IFERROR(__xludf.DUMMYFUNCTION("IF(A843&gt;0,IFERROR(MAX(FILTER('Барабан'!AJ:AJ,'Барабан'!V:V=A843)),""–""),"""")"),"")</f>
        <v/>
      </c>
    </row>
    <row r="844" ht="15.75" customHeight="1">
      <c r="A844" s="1" t="str">
        <f>'Справочник'!E839</f>
        <v/>
      </c>
      <c r="B844" s="2" t="str">
        <f>IF(A844&gt;0,SUMIF('Барабан'!K:K,A844,'Барабан'!I:I),"")</f>
        <v/>
      </c>
      <c r="C844" s="2" t="str">
        <f>IF(A844&gt;0,SUMIF('Барабан'!V:V,A844,'Барабан'!T:T),"")</f>
        <v/>
      </c>
      <c r="D844" s="2" t="str">
        <f>IF(A844&gt;0,SUMIF('Барабан'!K:K,A844,'Барабан'!AG:AG)+SUMIF('Барабан'!V:V,A844,'Барабан'!AG:AG),"")</f>
        <v/>
      </c>
      <c r="E844" s="2" t="str">
        <f t="shared" si="1"/>
        <v/>
      </c>
      <c r="F844" s="2" t="str">
        <f t="array" ref="F844">IFERROR(IF(E844=0,0,INDEX('Справочник'!G:G,MATCH(A844,'Справочник'!F:F,0))))</f>
        <v/>
      </c>
      <c r="G844" s="2" t="str">
        <f>IF(A844&gt;0,SUMIF('Барабан'!K:K,A844,'Барабан'!P:P),"")</f>
        <v/>
      </c>
      <c r="H844" s="2" t="str">
        <f>IF(A844&gt;0,SUMIF('Барабан'!V:V,A844,'Барабан'!AA:AA),"")</f>
        <v/>
      </c>
      <c r="I844" s="2" t="str">
        <f t="shared" si="4"/>
        <v/>
      </c>
      <c r="J844" s="9" t="str">
        <f t="shared" si="2"/>
        <v/>
      </c>
      <c r="K844" s="1" t="str">
        <f>IF(A844&gt;0,COUNTIF('Барабан'!K:K,A844),"")</f>
        <v/>
      </c>
      <c r="L844" s="1" t="str">
        <f>IF(A844&gt;0,COUNTIF('Барабан'!V:V,A844),"")</f>
        <v/>
      </c>
      <c r="M844" s="1" t="str">
        <f t="shared" si="3"/>
        <v/>
      </c>
      <c r="N844" s="1" t="str">
        <f>IFERROR(__xludf.DUMMYFUNCTION("IF(A844&gt;0,MIN(FILTER('Барабан'!AJ:AJ,'Барабан'!K:K=A844)),"""")"),"")</f>
        <v/>
      </c>
      <c r="O844" s="16" t="str">
        <f>IFERROR(__xludf.DUMMYFUNCTION("IF(A844&gt;0,IFERROR(MAX(FILTER('Барабан'!AJ:AJ,'Барабан'!V:V=A844)),""–""),"""")"),"")</f>
        <v/>
      </c>
    </row>
    <row r="845" ht="15.75" customHeight="1">
      <c r="A845" s="1" t="str">
        <f>'Справочник'!E840</f>
        <v/>
      </c>
      <c r="B845" s="2" t="str">
        <f>IF(A845&gt;0,SUMIF('Барабан'!K:K,A845,'Барабан'!I:I),"")</f>
        <v/>
      </c>
      <c r="C845" s="2" t="str">
        <f>IF(A845&gt;0,SUMIF('Барабан'!V:V,A845,'Барабан'!T:T),"")</f>
        <v/>
      </c>
      <c r="D845" s="2" t="str">
        <f>IF(A845&gt;0,SUMIF('Барабан'!K:K,A845,'Барабан'!AG:AG)+SUMIF('Барабан'!V:V,A845,'Барабан'!AG:AG),"")</f>
        <v/>
      </c>
      <c r="E845" s="2" t="str">
        <f t="shared" si="1"/>
        <v/>
      </c>
      <c r="F845" s="2" t="str">
        <f t="array" ref="F845">IFERROR(IF(E845=0,0,INDEX('Справочник'!G:G,MATCH(A845,'Справочник'!F:F,0))))</f>
        <v/>
      </c>
      <c r="G845" s="2" t="str">
        <f>IF(A845&gt;0,SUMIF('Барабан'!K:K,A845,'Барабан'!P:P),"")</f>
        <v/>
      </c>
      <c r="H845" s="2" t="str">
        <f>IF(A845&gt;0,SUMIF('Барабан'!V:V,A845,'Барабан'!AA:AA),"")</f>
        <v/>
      </c>
      <c r="I845" s="2" t="str">
        <f t="shared" si="4"/>
        <v/>
      </c>
      <c r="J845" s="9" t="str">
        <f t="shared" si="2"/>
        <v/>
      </c>
      <c r="K845" s="1" t="str">
        <f>IF(A845&gt;0,COUNTIF('Барабан'!K:K,A845),"")</f>
        <v/>
      </c>
      <c r="L845" s="1" t="str">
        <f>IF(A845&gt;0,COUNTIF('Барабан'!V:V,A845),"")</f>
        <v/>
      </c>
      <c r="M845" s="1" t="str">
        <f t="shared" si="3"/>
        <v/>
      </c>
      <c r="N845" s="1" t="str">
        <f>IFERROR(__xludf.DUMMYFUNCTION("IF(A845&gt;0,MIN(FILTER('Барабан'!AJ:AJ,'Барабан'!K:K=A845)),"""")"),"")</f>
        <v/>
      </c>
      <c r="O845" s="16" t="str">
        <f>IFERROR(__xludf.DUMMYFUNCTION("IF(A845&gt;0,IFERROR(MAX(FILTER('Барабан'!AJ:AJ,'Барабан'!V:V=A845)),""–""),"""")"),"")</f>
        <v/>
      </c>
    </row>
    <row r="846" ht="15.75" customHeight="1">
      <c r="A846" s="1" t="str">
        <f>'Справочник'!E841</f>
        <v/>
      </c>
      <c r="B846" s="2" t="str">
        <f>IF(A846&gt;0,SUMIF('Барабан'!K:K,A846,'Барабан'!I:I),"")</f>
        <v/>
      </c>
      <c r="C846" s="2" t="str">
        <f>IF(A846&gt;0,SUMIF('Барабан'!V:V,A846,'Барабан'!T:T),"")</f>
        <v/>
      </c>
      <c r="D846" s="2" t="str">
        <f>IF(A846&gt;0,SUMIF('Барабан'!K:K,A846,'Барабан'!AG:AG)+SUMIF('Барабан'!V:V,A846,'Барабан'!AG:AG),"")</f>
        <v/>
      </c>
      <c r="E846" s="2" t="str">
        <f t="shared" si="1"/>
        <v/>
      </c>
      <c r="F846" s="2" t="str">
        <f t="array" ref="F846">IFERROR(IF(E846=0,0,INDEX('Справочник'!G:G,MATCH(A846,'Справочник'!F:F,0))))</f>
        <v/>
      </c>
      <c r="G846" s="2" t="str">
        <f>IF(A846&gt;0,SUMIF('Барабан'!K:K,A846,'Барабан'!P:P),"")</f>
        <v/>
      </c>
      <c r="H846" s="2" t="str">
        <f>IF(A846&gt;0,SUMIF('Барабан'!V:V,A846,'Барабан'!AA:AA),"")</f>
        <v/>
      </c>
      <c r="I846" s="2" t="str">
        <f t="shared" si="4"/>
        <v/>
      </c>
      <c r="J846" s="9" t="str">
        <f t="shared" si="2"/>
        <v/>
      </c>
      <c r="K846" s="1" t="str">
        <f>IF(A846&gt;0,COUNTIF('Барабан'!K:K,A846),"")</f>
        <v/>
      </c>
      <c r="L846" s="1" t="str">
        <f>IF(A846&gt;0,COUNTIF('Барабан'!V:V,A846),"")</f>
        <v/>
      </c>
      <c r="M846" s="1" t="str">
        <f t="shared" si="3"/>
        <v/>
      </c>
      <c r="N846" s="1" t="str">
        <f>IFERROR(__xludf.DUMMYFUNCTION("IF(A846&gt;0,MIN(FILTER('Барабан'!AJ:AJ,'Барабан'!K:K=A846)),"""")"),"")</f>
        <v/>
      </c>
      <c r="O846" s="16" t="str">
        <f>IFERROR(__xludf.DUMMYFUNCTION("IF(A846&gt;0,IFERROR(MAX(FILTER('Барабан'!AJ:AJ,'Барабан'!V:V=A846)),""–""),"""")"),"")</f>
        <v/>
      </c>
    </row>
    <row r="847" ht="15.75" customHeight="1">
      <c r="A847" s="1" t="str">
        <f>'Справочник'!E842</f>
        <v/>
      </c>
      <c r="B847" s="2" t="str">
        <f>IF(A847&gt;0,SUMIF('Барабан'!K:K,A847,'Барабан'!I:I),"")</f>
        <v/>
      </c>
      <c r="C847" s="2" t="str">
        <f>IF(A847&gt;0,SUMIF('Барабан'!V:V,A847,'Барабан'!T:T),"")</f>
        <v/>
      </c>
      <c r="D847" s="2" t="str">
        <f>IF(A847&gt;0,SUMIF('Барабан'!K:K,A847,'Барабан'!AG:AG)+SUMIF('Барабан'!V:V,A847,'Барабан'!AG:AG),"")</f>
        <v/>
      </c>
      <c r="E847" s="2" t="str">
        <f t="shared" si="1"/>
        <v/>
      </c>
      <c r="F847" s="2" t="str">
        <f t="array" ref="F847">IFERROR(IF(E847=0,0,INDEX('Справочник'!G:G,MATCH(A847,'Справочник'!F:F,0))))</f>
        <v/>
      </c>
      <c r="G847" s="2" t="str">
        <f>IF(A847&gt;0,SUMIF('Барабан'!K:K,A847,'Барабан'!P:P),"")</f>
        <v/>
      </c>
      <c r="H847" s="2" t="str">
        <f>IF(A847&gt;0,SUMIF('Барабан'!V:V,A847,'Барабан'!AA:AA),"")</f>
        <v/>
      </c>
      <c r="I847" s="2" t="str">
        <f t="shared" si="4"/>
        <v/>
      </c>
      <c r="J847" s="9" t="str">
        <f t="shared" si="2"/>
        <v/>
      </c>
      <c r="K847" s="1" t="str">
        <f>IF(A847&gt;0,COUNTIF('Барабан'!K:K,A847),"")</f>
        <v/>
      </c>
      <c r="L847" s="1" t="str">
        <f>IF(A847&gt;0,COUNTIF('Барабан'!V:V,A847),"")</f>
        <v/>
      </c>
      <c r="M847" s="1" t="str">
        <f t="shared" si="3"/>
        <v/>
      </c>
      <c r="N847" s="1" t="str">
        <f>IFERROR(__xludf.DUMMYFUNCTION("IF(A847&gt;0,MIN(FILTER('Барабан'!AJ:AJ,'Барабан'!K:K=A847)),"""")"),"")</f>
        <v/>
      </c>
      <c r="O847" s="16" t="str">
        <f>IFERROR(__xludf.DUMMYFUNCTION("IF(A847&gt;0,IFERROR(MAX(FILTER('Барабан'!AJ:AJ,'Барабан'!V:V=A847)),""–""),"""")"),"")</f>
        <v/>
      </c>
    </row>
    <row r="848" ht="15.75" customHeight="1">
      <c r="A848" s="1" t="str">
        <f>'Справочник'!E843</f>
        <v/>
      </c>
      <c r="B848" s="2" t="str">
        <f>IF(A848&gt;0,SUMIF('Барабан'!K:K,A848,'Барабан'!I:I),"")</f>
        <v/>
      </c>
      <c r="C848" s="2" t="str">
        <f>IF(A848&gt;0,SUMIF('Барабан'!V:V,A848,'Барабан'!T:T),"")</f>
        <v/>
      </c>
      <c r="D848" s="2" t="str">
        <f>IF(A848&gt;0,SUMIF('Барабан'!K:K,A848,'Барабан'!AG:AG)+SUMIF('Барабан'!V:V,A848,'Барабан'!AG:AG),"")</f>
        <v/>
      </c>
      <c r="E848" s="2" t="str">
        <f t="shared" si="1"/>
        <v/>
      </c>
      <c r="F848" s="2" t="str">
        <f t="array" ref="F848">IFERROR(IF(E848=0,0,INDEX('Справочник'!G:G,MATCH(A848,'Справочник'!F:F,0))))</f>
        <v/>
      </c>
      <c r="G848" s="2" t="str">
        <f>IF(A848&gt;0,SUMIF('Барабан'!K:K,A848,'Барабан'!P:P),"")</f>
        <v/>
      </c>
      <c r="H848" s="2" t="str">
        <f>IF(A848&gt;0,SUMIF('Барабан'!V:V,A848,'Барабан'!AA:AA),"")</f>
        <v/>
      </c>
      <c r="I848" s="2" t="str">
        <f t="shared" si="4"/>
        <v/>
      </c>
      <c r="J848" s="9" t="str">
        <f t="shared" si="2"/>
        <v/>
      </c>
      <c r="K848" s="1" t="str">
        <f>IF(A848&gt;0,COUNTIF('Барабан'!K:K,A848),"")</f>
        <v/>
      </c>
      <c r="L848" s="1" t="str">
        <f>IF(A848&gt;0,COUNTIF('Барабан'!V:V,A848),"")</f>
        <v/>
      </c>
      <c r="M848" s="1" t="str">
        <f t="shared" si="3"/>
        <v/>
      </c>
      <c r="N848" s="1" t="str">
        <f>IFERROR(__xludf.DUMMYFUNCTION("IF(A848&gt;0,MIN(FILTER('Барабан'!AJ:AJ,'Барабан'!K:K=A848)),"""")"),"")</f>
        <v/>
      </c>
      <c r="O848" s="16" t="str">
        <f>IFERROR(__xludf.DUMMYFUNCTION("IF(A848&gt;0,IFERROR(MAX(FILTER('Барабан'!AJ:AJ,'Барабан'!V:V=A848)),""–""),"""")"),"")</f>
        <v/>
      </c>
    </row>
    <row r="849" ht="15.75" customHeight="1">
      <c r="A849" s="1" t="str">
        <f>'Справочник'!E844</f>
        <v/>
      </c>
      <c r="B849" s="2" t="str">
        <f>IF(A849&gt;0,SUMIF('Барабан'!K:K,A849,'Барабан'!I:I),"")</f>
        <v/>
      </c>
      <c r="C849" s="2" t="str">
        <f>IF(A849&gt;0,SUMIF('Барабан'!V:V,A849,'Барабан'!T:T),"")</f>
        <v/>
      </c>
      <c r="D849" s="2" t="str">
        <f>IF(A849&gt;0,SUMIF('Барабан'!K:K,A849,'Барабан'!AG:AG)+SUMIF('Барабан'!V:V,A849,'Барабан'!AG:AG),"")</f>
        <v/>
      </c>
      <c r="E849" s="2" t="str">
        <f t="shared" si="1"/>
        <v/>
      </c>
      <c r="F849" s="2" t="str">
        <f t="array" ref="F849">IFERROR(IF(E849=0,0,INDEX('Справочник'!G:G,MATCH(A849,'Справочник'!F:F,0))))</f>
        <v/>
      </c>
      <c r="G849" s="2" t="str">
        <f>IF(A849&gt;0,SUMIF('Барабан'!K:K,A849,'Барабан'!P:P),"")</f>
        <v/>
      </c>
      <c r="H849" s="2" t="str">
        <f>IF(A849&gt;0,SUMIF('Барабан'!V:V,A849,'Барабан'!AA:AA),"")</f>
        <v/>
      </c>
      <c r="I849" s="2" t="str">
        <f t="shared" si="4"/>
        <v/>
      </c>
      <c r="J849" s="9" t="str">
        <f t="shared" si="2"/>
        <v/>
      </c>
      <c r="K849" s="1" t="str">
        <f>IF(A849&gt;0,COUNTIF('Барабан'!K:K,A849),"")</f>
        <v/>
      </c>
      <c r="L849" s="1" t="str">
        <f>IF(A849&gt;0,COUNTIF('Барабан'!V:V,A849),"")</f>
        <v/>
      </c>
      <c r="M849" s="1" t="str">
        <f t="shared" si="3"/>
        <v/>
      </c>
      <c r="N849" s="1" t="str">
        <f>IFERROR(__xludf.DUMMYFUNCTION("IF(A849&gt;0,MIN(FILTER('Барабан'!AJ:AJ,'Барабан'!K:K=A849)),"""")"),"")</f>
        <v/>
      </c>
      <c r="O849" s="16" t="str">
        <f>IFERROR(__xludf.DUMMYFUNCTION("IF(A849&gt;0,IFERROR(MAX(FILTER('Барабан'!AJ:AJ,'Барабан'!V:V=A849)),""–""),"""")"),"")</f>
        <v/>
      </c>
    </row>
    <row r="850" ht="15.75" customHeight="1">
      <c r="A850" s="1" t="str">
        <f>'Справочник'!E845</f>
        <v/>
      </c>
      <c r="B850" s="2" t="str">
        <f>IF(A850&gt;0,SUMIF('Барабан'!K:K,A850,'Барабан'!I:I),"")</f>
        <v/>
      </c>
      <c r="C850" s="2" t="str">
        <f>IF(A850&gt;0,SUMIF('Барабан'!V:V,A850,'Барабан'!T:T),"")</f>
        <v/>
      </c>
      <c r="D850" s="2" t="str">
        <f>IF(A850&gt;0,SUMIF('Барабан'!K:K,A850,'Барабан'!AG:AG)+SUMIF('Барабан'!V:V,A850,'Барабан'!AG:AG),"")</f>
        <v/>
      </c>
      <c r="E850" s="2" t="str">
        <f t="shared" si="1"/>
        <v/>
      </c>
      <c r="F850" s="2" t="str">
        <f t="array" ref="F850">IFERROR(IF(E850=0,0,INDEX('Справочник'!G:G,MATCH(A850,'Справочник'!F:F,0))))</f>
        <v/>
      </c>
      <c r="G850" s="2" t="str">
        <f>IF(A850&gt;0,SUMIF('Барабан'!K:K,A850,'Барабан'!P:P),"")</f>
        <v/>
      </c>
      <c r="H850" s="2" t="str">
        <f>IF(A850&gt;0,SUMIF('Барабан'!V:V,A850,'Барабан'!AA:AA),"")</f>
        <v/>
      </c>
      <c r="I850" s="2" t="str">
        <f t="shared" si="4"/>
        <v/>
      </c>
      <c r="J850" s="9" t="str">
        <f t="shared" si="2"/>
        <v/>
      </c>
      <c r="K850" s="1" t="str">
        <f>IF(A850&gt;0,COUNTIF('Барабан'!K:K,A850),"")</f>
        <v/>
      </c>
      <c r="L850" s="1" t="str">
        <f>IF(A850&gt;0,COUNTIF('Барабан'!V:V,A850),"")</f>
        <v/>
      </c>
      <c r="M850" s="1" t="str">
        <f t="shared" si="3"/>
        <v/>
      </c>
      <c r="N850" s="1" t="str">
        <f>IFERROR(__xludf.DUMMYFUNCTION("IF(A850&gt;0,MIN(FILTER('Барабан'!AJ:AJ,'Барабан'!K:K=A850)),"""")"),"")</f>
        <v/>
      </c>
      <c r="O850" s="16" t="str">
        <f>IFERROR(__xludf.DUMMYFUNCTION("IF(A850&gt;0,IFERROR(MAX(FILTER('Барабан'!AJ:AJ,'Барабан'!V:V=A850)),""–""),"""")"),"")</f>
        <v/>
      </c>
    </row>
    <row r="851" ht="15.75" customHeight="1">
      <c r="A851" s="1" t="str">
        <f>'Справочник'!E846</f>
        <v/>
      </c>
      <c r="B851" s="2" t="str">
        <f>IF(A851&gt;0,SUMIF('Барабан'!K:K,A851,'Барабан'!I:I),"")</f>
        <v/>
      </c>
      <c r="C851" s="2" t="str">
        <f>IF(A851&gt;0,SUMIF('Барабан'!V:V,A851,'Барабан'!T:T),"")</f>
        <v/>
      </c>
      <c r="D851" s="2" t="str">
        <f>IF(A851&gt;0,SUMIF('Барабан'!K:K,A851,'Барабан'!AG:AG)+SUMIF('Барабан'!V:V,A851,'Барабан'!AG:AG),"")</f>
        <v/>
      </c>
      <c r="E851" s="2" t="str">
        <f t="shared" si="1"/>
        <v/>
      </c>
      <c r="F851" s="2" t="str">
        <f t="array" ref="F851">IFERROR(IF(E851=0,0,INDEX('Справочник'!G:G,MATCH(A851,'Справочник'!F:F,0))))</f>
        <v/>
      </c>
      <c r="G851" s="2" t="str">
        <f>IF(A851&gt;0,SUMIF('Барабан'!K:K,A851,'Барабан'!P:P),"")</f>
        <v/>
      </c>
      <c r="H851" s="2" t="str">
        <f>IF(A851&gt;0,SUMIF('Барабан'!V:V,A851,'Барабан'!AA:AA),"")</f>
        <v/>
      </c>
      <c r="I851" s="2" t="str">
        <f t="shared" si="4"/>
        <v/>
      </c>
      <c r="J851" s="9" t="str">
        <f t="shared" si="2"/>
        <v/>
      </c>
      <c r="K851" s="1" t="str">
        <f>IF(A851&gt;0,COUNTIF('Барабан'!K:K,A851),"")</f>
        <v/>
      </c>
      <c r="L851" s="1" t="str">
        <f>IF(A851&gt;0,COUNTIF('Барабан'!V:V,A851),"")</f>
        <v/>
      </c>
      <c r="M851" s="1" t="str">
        <f t="shared" si="3"/>
        <v/>
      </c>
      <c r="N851" s="1" t="str">
        <f>IFERROR(__xludf.DUMMYFUNCTION("IF(A851&gt;0,MIN(FILTER('Барабан'!AJ:AJ,'Барабан'!K:K=A851)),"""")"),"")</f>
        <v/>
      </c>
      <c r="O851" s="16" t="str">
        <f>IFERROR(__xludf.DUMMYFUNCTION("IF(A851&gt;0,IFERROR(MAX(FILTER('Барабан'!AJ:AJ,'Барабан'!V:V=A851)),""–""),"""")"),"")</f>
        <v/>
      </c>
    </row>
    <row r="852" ht="15.75" customHeight="1">
      <c r="A852" s="1" t="str">
        <f>'Справочник'!E847</f>
        <v/>
      </c>
      <c r="B852" s="2" t="str">
        <f>IF(A852&gt;0,SUMIF('Барабан'!K:K,A852,'Барабан'!I:I),"")</f>
        <v/>
      </c>
      <c r="C852" s="2" t="str">
        <f>IF(A852&gt;0,SUMIF('Барабан'!V:V,A852,'Барабан'!T:T),"")</f>
        <v/>
      </c>
      <c r="D852" s="2" t="str">
        <f>IF(A852&gt;0,SUMIF('Барабан'!K:K,A852,'Барабан'!AG:AG)+SUMIF('Барабан'!V:V,A852,'Барабан'!AG:AG),"")</f>
        <v/>
      </c>
      <c r="E852" s="2" t="str">
        <f t="shared" si="1"/>
        <v/>
      </c>
      <c r="F852" s="2" t="str">
        <f t="array" ref="F852">IFERROR(IF(E852=0,0,INDEX('Справочник'!G:G,MATCH(A852,'Справочник'!F:F,0))))</f>
        <v/>
      </c>
      <c r="G852" s="2" t="str">
        <f>IF(A852&gt;0,SUMIF('Барабан'!K:K,A852,'Барабан'!P:P),"")</f>
        <v/>
      </c>
      <c r="H852" s="2" t="str">
        <f>IF(A852&gt;0,SUMIF('Барабан'!V:V,A852,'Барабан'!AA:AA),"")</f>
        <v/>
      </c>
      <c r="I852" s="2" t="str">
        <f t="shared" si="4"/>
        <v/>
      </c>
      <c r="J852" s="9" t="str">
        <f t="shared" si="2"/>
        <v/>
      </c>
      <c r="K852" s="1" t="str">
        <f>IF(A852&gt;0,COUNTIF('Барабан'!K:K,A852),"")</f>
        <v/>
      </c>
      <c r="L852" s="1" t="str">
        <f>IF(A852&gt;0,COUNTIF('Барабан'!V:V,A852),"")</f>
        <v/>
      </c>
      <c r="M852" s="1" t="str">
        <f t="shared" si="3"/>
        <v/>
      </c>
      <c r="N852" s="1" t="str">
        <f>IFERROR(__xludf.DUMMYFUNCTION("IF(A852&gt;0,MIN(FILTER('Барабан'!AJ:AJ,'Барабан'!K:K=A852)),"""")"),"")</f>
        <v/>
      </c>
      <c r="O852" s="16" t="str">
        <f>IFERROR(__xludf.DUMMYFUNCTION("IF(A852&gt;0,IFERROR(MAX(FILTER('Барабан'!AJ:AJ,'Барабан'!V:V=A852)),""–""),"""")"),"")</f>
        <v/>
      </c>
    </row>
    <row r="853" ht="15.75" customHeight="1">
      <c r="A853" s="1" t="str">
        <f>'Справочник'!E848</f>
        <v/>
      </c>
      <c r="B853" s="2" t="str">
        <f>IF(A853&gt;0,SUMIF('Барабан'!K:K,A853,'Барабан'!I:I),"")</f>
        <v/>
      </c>
      <c r="C853" s="2" t="str">
        <f>IF(A853&gt;0,SUMIF('Барабан'!V:V,A853,'Барабан'!T:T),"")</f>
        <v/>
      </c>
      <c r="D853" s="2" t="str">
        <f>IF(A853&gt;0,SUMIF('Барабан'!K:K,A853,'Барабан'!AG:AG)+SUMIF('Барабан'!V:V,A853,'Барабан'!AG:AG),"")</f>
        <v/>
      </c>
      <c r="E853" s="2" t="str">
        <f t="shared" si="1"/>
        <v/>
      </c>
      <c r="F853" s="2" t="str">
        <f t="array" ref="F853">IFERROR(IF(E853=0,0,INDEX('Справочник'!G:G,MATCH(A853,'Справочник'!F:F,0))))</f>
        <v/>
      </c>
      <c r="G853" s="2" t="str">
        <f>IF(A853&gt;0,SUMIF('Барабан'!K:K,A853,'Барабан'!P:P),"")</f>
        <v/>
      </c>
      <c r="H853" s="2" t="str">
        <f>IF(A853&gt;0,SUMIF('Барабан'!V:V,A853,'Барабан'!AA:AA),"")</f>
        <v/>
      </c>
      <c r="I853" s="2" t="str">
        <f t="shared" si="4"/>
        <v/>
      </c>
      <c r="J853" s="9" t="str">
        <f t="shared" si="2"/>
        <v/>
      </c>
      <c r="K853" s="1" t="str">
        <f>IF(A853&gt;0,COUNTIF('Барабан'!K:K,A853),"")</f>
        <v/>
      </c>
      <c r="L853" s="1" t="str">
        <f>IF(A853&gt;0,COUNTIF('Барабан'!V:V,A853),"")</f>
        <v/>
      </c>
      <c r="M853" s="1" t="str">
        <f t="shared" si="3"/>
        <v/>
      </c>
      <c r="N853" s="1" t="str">
        <f>IFERROR(__xludf.DUMMYFUNCTION("IF(A853&gt;0,MIN(FILTER('Барабан'!AJ:AJ,'Барабан'!K:K=A853)),"""")"),"")</f>
        <v/>
      </c>
      <c r="O853" s="16" t="str">
        <f>IFERROR(__xludf.DUMMYFUNCTION("IF(A853&gt;0,IFERROR(MAX(FILTER('Барабан'!AJ:AJ,'Барабан'!V:V=A853)),""–""),"""")"),"")</f>
        <v/>
      </c>
    </row>
    <row r="854" ht="15.75" customHeight="1">
      <c r="A854" s="1" t="str">
        <f>'Справочник'!E849</f>
        <v/>
      </c>
      <c r="B854" s="2" t="str">
        <f>IF(A854&gt;0,SUMIF('Барабан'!K:K,A854,'Барабан'!I:I),"")</f>
        <v/>
      </c>
      <c r="C854" s="2" t="str">
        <f>IF(A854&gt;0,SUMIF('Барабан'!V:V,A854,'Барабан'!T:T),"")</f>
        <v/>
      </c>
      <c r="D854" s="2" t="str">
        <f>IF(A854&gt;0,SUMIF('Барабан'!K:K,A854,'Барабан'!AG:AG)+SUMIF('Барабан'!V:V,A854,'Барабан'!AG:AG),"")</f>
        <v/>
      </c>
      <c r="E854" s="2" t="str">
        <f t="shared" si="1"/>
        <v/>
      </c>
      <c r="F854" s="2" t="str">
        <f t="array" ref="F854">IFERROR(IF(E854=0,0,INDEX('Справочник'!G:G,MATCH(A854,'Справочник'!F:F,0))))</f>
        <v/>
      </c>
      <c r="G854" s="2" t="str">
        <f>IF(A854&gt;0,SUMIF('Барабан'!K:K,A854,'Барабан'!P:P),"")</f>
        <v/>
      </c>
      <c r="H854" s="2" t="str">
        <f>IF(A854&gt;0,SUMIF('Барабан'!V:V,A854,'Барабан'!AA:AA),"")</f>
        <v/>
      </c>
      <c r="I854" s="2" t="str">
        <f t="shared" si="4"/>
        <v/>
      </c>
      <c r="J854" s="9" t="str">
        <f t="shared" si="2"/>
        <v/>
      </c>
      <c r="K854" s="1" t="str">
        <f>IF(A854&gt;0,COUNTIF('Барабан'!K:K,A854),"")</f>
        <v/>
      </c>
      <c r="L854" s="1" t="str">
        <f>IF(A854&gt;0,COUNTIF('Барабан'!V:V,A854),"")</f>
        <v/>
      </c>
      <c r="M854" s="1" t="str">
        <f t="shared" si="3"/>
        <v/>
      </c>
      <c r="N854" s="1" t="str">
        <f>IFERROR(__xludf.DUMMYFUNCTION("IF(A854&gt;0,MIN(FILTER('Барабан'!AJ:AJ,'Барабан'!K:K=A854)),"""")"),"")</f>
        <v/>
      </c>
      <c r="O854" s="16" t="str">
        <f>IFERROR(__xludf.DUMMYFUNCTION("IF(A854&gt;0,IFERROR(MAX(FILTER('Барабан'!AJ:AJ,'Барабан'!V:V=A854)),""–""),"""")"),"")</f>
        <v/>
      </c>
    </row>
    <row r="855" ht="15.75" customHeight="1">
      <c r="A855" s="1" t="str">
        <f>'Справочник'!E850</f>
        <v/>
      </c>
      <c r="B855" s="2" t="str">
        <f>IF(A855&gt;0,SUMIF('Барабан'!K:K,A855,'Барабан'!I:I),"")</f>
        <v/>
      </c>
      <c r="C855" s="2" t="str">
        <f>IF(A855&gt;0,SUMIF('Барабан'!V:V,A855,'Барабан'!T:T),"")</f>
        <v/>
      </c>
      <c r="D855" s="2" t="str">
        <f>IF(A855&gt;0,SUMIF('Барабан'!K:K,A855,'Барабан'!AG:AG)+SUMIF('Барабан'!V:V,A855,'Барабан'!AG:AG),"")</f>
        <v/>
      </c>
      <c r="E855" s="2" t="str">
        <f t="shared" si="1"/>
        <v/>
      </c>
      <c r="F855" s="2" t="str">
        <f t="array" ref="F855">IFERROR(IF(E855=0,0,INDEX('Справочник'!G:G,MATCH(A855,'Справочник'!F:F,0))))</f>
        <v/>
      </c>
      <c r="G855" s="2" t="str">
        <f>IF(A855&gt;0,SUMIF('Барабан'!K:K,A855,'Барабан'!P:P),"")</f>
        <v/>
      </c>
      <c r="H855" s="2" t="str">
        <f>IF(A855&gt;0,SUMIF('Барабан'!V:V,A855,'Барабан'!AA:AA),"")</f>
        <v/>
      </c>
      <c r="I855" s="2" t="str">
        <f t="shared" si="4"/>
        <v/>
      </c>
      <c r="J855" s="9" t="str">
        <f t="shared" si="2"/>
        <v/>
      </c>
      <c r="K855" s="1" t="str">
        <f>IF(A855&gt;0,COUNTIF('Барабан'!K:K,A855),"")</f>
        <v/>
      </c>
      <c r="L855" s="1" t="str">
        <f>IF(A855&gt;0,COUNTIF('Барабан'!V:V,A855),"")</f>
        <v/>
      </c>
      <c r="M855" s="1" t="str">
        <f t="shared" si="3"/>
        <v/>
      </c>
      <c r="N855" s="1" t="str">
        <f>IFERROR(__xludf.DUMMYFUNCTION("IF(A855&gt;0,MIN(FILTER('Барабан'!AJ:AJ,'Барабан'!K:K=A855)),"""")"),"")</f>
        <v/>
      </c>
      <c r="O855" s="16" t="str">
        <f>IFERROR(__xludf.DUMMYFUNCTION("IF(A855&gt;0,IFERROR(MAX(FILTER('Барабан'!AJ:AJ,'Барабан'!V:V=A855)),""–""),"""")"),"")</f>
        <v/>
      </c>
    </row>
    <row r="856" ht="15.75" customHeight="1">
      <c r="A856" s="1" t="str">
        <f>'Справочник'!E851</f>
        <v/>
      </c>
      <c r="B856" s="2" t="str">
        <f>IF(A856&gt;0,SUMIF('Барабан'!K:K,A856,'Барабан'!I:I),"")</f>
        <v/>
      </c>
      <c r="C856" s="2" t="str">
        <f>IF(A856&gt;0,SUMIF('Барабан'!V:V,A856,'Барабан'!T:T),"")</f>
        <v/>
      </c>
      <c r="D856" s="2" t="str">
        <f>IF(A856&gt;0,SUMIF('Барабан'!K:K,A856,'Барабан'!AG:AG)+SUMIF('Барабан'!V:V,A856,'Барабан'!AG:AG),"")</f>
        <v/>
      </c>
      <c r="E856" s="2" t="str">
        <f t="shared" si="1"/>
        <v/>
      </c>
      <c r="F856" s="2" t="str">
        <f t="array" ref="F856">IFERROR(IF(E856=0,0,INDEX('Справочник'!G:G,MATCH(A856,'Справочник'!F:F,0))))</f>
        <v/>
      </c>
      <c r="G856" s="2" t="str">
        <f>IF(A856&gt;0,SUMIF('Барабан'!K:K,A856,'Барабан'!P:P),"")</f>
        <v/>
      </c>
      <c r="H856" s="2" t="str">
        <f>IF(A856&gt;0,SUMIF('Барабан'!V:V,A856,'Барабан'!AA:AA),"")</f>
        <v/>
      </c>
      <c r="I856" s="2" t="str">
        <f t="shared" si="4"/>
        <v/>
      </c>
      <c r="J856" s="9" t="str">
        <f t="shared" si="2"/>
        <v/>
      </c>
      <c r="K856" s="1" t="str">
        <f>IF(A856&gt;0,COUNTIF('Барабан'!K:K,A856),"")</f>
        <v/>
      </c>
      <c r="L856" s="1" t="str">
        <f>IF(A856&gt;0,COUNTIF('Барабан'!V:V,A856),"")</f>
        <v/>
      </c>
      <c r="M856" s="1" t="str">
        <f t="shared" si="3"/>
        <v/>
      </c>
      <c r="N856" s="1" t="str">
        <f>IFERROR(__xludf.DUMMYFUNCTION("IF(A856&gt;0,MIN(FILTER('Барабан'!AJ:AJ,'Барабан'!K:K=A856)),"""")"),"")</f>
        <v/>
      </c>
      <c r="O856" s="16" t="str">
        <f>IFERROR(__xludf.DUMMYFUNCTION("IF(A856&gt;0,IFERROR(MAX(FILTER('Барабан'!AJ:AJ,'Барабан'!V:V=A856)),""–""),"""")"),"")</f>
        <v/>
      </c>
    </row>
    <row r="857" ht="15.75" customHeight="1">
      <c r="A857" s="1" t="str">
        <f>'Справочник'!E852</f>
        <v/>
      </c>
      <c r="B857" s="2" t="str">
        <f>IF(A857&gt;0,SUMIF('Барабан'!K:K,A857,'Барабан'!I:I),"")</f>
        <v/>
      </c>
      <c r="C857" s="2" t="str">
        <f>IF(A857&gt;0,SUMIF('Барабан'!V:V,A857,'Барабан'!T:T),"")</f>
        <v/>
      </c>
      <c r="D857" s="2" t="str">
        <f>IF(A857&gt;0,SUMIF('Барабан'!K:K,A857,'Барабан'!AG:AG)+SUMIF('Барабан'!V:V,A857,'Барабан'!AG:AG),"")</f>
        <v/>
      </c>
      <c r="E857" s="2" t="str">
        <f t="shared" si="1"/>
        <v/>
      </c>
      <c r="F857" s="2" t="str">
        <f t="array" ref="F857">IFERROR(IF(E857=0,0,INDEX('Справочник'!G:G,MATCH(A857,'Справочник'!F:F,0))))</f>
        <v/>
      </c>
      <c r="G857" s="2" t="str">
        <f>IF(A857&gt;0,SUMIF('Барабан'!K:K,A857,'Барабан'!P:P),"")</f>
        <v/>
      </c>
      <c r="H857" s="2" t="str">
        <f>IF(A857&gt;0,SUMIF('Барабан'!V:V,A857,'Барабан'!AA:AA),"")</f>
        <v/>
      </c>
      <c r="I857" s="2" t="str">
        <f t="shared" si="4"/>
        <v/>
      </c>
      <c r="J857" s="9" t="str">
        <f t="shared" si="2"/>
        <v/>
      </c>
      <c r="K857" s="1" t="str">
        <f>IF(A857&gt;0,COUNTIF('Барабан'!K:K,A857),"")</f>
        <v/>
      </c>
      <c r="L857" s="1" t="str">
        <f>IF(A857&gt;0,COUNTIF('Барабан'!V:V,A857),"")</f>
        <v/>
      </c>
      <c r="M857" s="1" t="str">
        <f t="shared" si="3"/>
        <v/>
      </c>
      <c r="N857" s="1" t="str">
        <f>IFERROR(__xludf.DUMMYFUNCTION("IF(A857&gt;0,MIN(FILTER('Барабан'!AJ:AJ,'Барабан'!K:K=A857)),"""")"),"")</f>
        <v/>
      </c>
      <c r="O857" s="16" t="str">
        <f>IFERROR(__xludf.DUMMYFUNCTION("IF(A857&gt;0,IFERROR(MAX(FILTER('Барабан'!AJ:AJ,'Барабан'!V:V=A857)),""–""),"""")"),"")</f>
        <v/>
      </c>
    </row>
    <row r="858" ht="15.75" customHeight="1">
      <c r="A858" s="1" t="str">
        <f>'Справочник'!E853</f>
        <v/>
      </c>
      <c r="B858" s="2" t="str">
        <f>IF(A858&gt;0,SUMIF('Барабан'!K:K,A858,'Барабан'!I:I),"")</f>
        <v/>
      </c>
      <c r="C858" s="2" t="str">
        <f>IF(A858&gt;0,SUMIF('Барабан'!V:V,A858,'Барабан'!T:T),"")</f>
        <v/>
      </c>
      <c r="D858" s="2" t="str">
        <f>IF(A858&gt;0,SUMIF('Барабан'!K:K,A858,'Барабан'!AG:AG)+SUMIF('Барабан'!V:V,A858,'Барабан'!AG:AG),"")</f>
        <v/>
      </c>
      <c r="E858" s="2" t="str">
        <f t="shared" si="1"/>
        <v/>
      </c>
      <c r="F858" s="2" t="str">
        <f t="array" ref="F858">IFERROR(IF(E858=0,0,INDEX('Справочник'!G:G,MATCH(A858,'Справочник'!F:F,0))))</f>
        <v/>
      </c>
      <c r="G858" s="2" t="str">
        <f>IF(A858&gt;0,SUMIF('Барабан'!K:K,A858,'Барабан'!P:P),"")</f>
        <v/>
      </c>
      <c r="H858" s="2" t="str">
        <f>IF(A858&gt;0,SUMIF('Барабан'!V:V,A858,'Барабан'!AA:AA),"")</f>
        <v/>
      </c>
      <c r="I858" s="2" t="str">
        <f t="shared" si="4"/>
        <v/>
      </c>
      <c r="J858" s="9" t="str">
        <f t="shared" si="2"/>
        <v/>
      </c>
      <c r="K858" s="1" t="str">
        <f>IF(A858&gt;0,COUNTIF('Барабан'!K:K,A858),"")</f>
        <v/>
      </c>
      <c r="L858" s="1" t="str">
        <f>IF(A858&gt;0,COUNTIF('Барабан'!V:V,A858),"")</f>
        <v/>
      </c>
      <c r="M858" s="1" t="str">
        <f t="shared" si="3"/>
        <v/>
      </c>
      <c r="N858" s="1" t="str">
        <f>IFERROR(__xludf.DUMMYFUNCTION("IF(A858&gt;0,MIN(FILTER('Барабан'!AJ:AJ,'Барабан'!K:K=A858)),"""")"),"")</f>
        <v/>
      </c>
      <c r="O858" s="16" t="str">
        <f>IFERROR(__xludf.DUMMYFUNCTION("IF(A858&gt;0,IFERROR(MAX(FILTER('Барабан'!AJ:AJ,'Барабан'!V:V=A858)),""–""),"""")"),"")</f>
        <v/>
      </c>
    </row>
    <row r="859" ht="15.75" customHeight="1">
      <c r="A859" s="1" t="str">
        <f>'Справочник'!E854</f>
        <v/>
      </c>
      <c r="B859" s="2" t="str">
        <f>IF(A859&gt;0,SUMIF('Барабан'!K:K,A859,'Барабан'!I:I),"")</f>
        <v/>
      </c>
      <c r="C859" s="2" t="str">
        <f>IF(A859&gt;0,SUMIF('Барабан'!V:V,A859,'Барабан'!T:T),"")</f>
        <v/>
      </c>
      <c r="D859" s="2" t="str">
        <f>IF(A859&gt;0,SUMIF('Барабан'!K:K,A859,'Барабан'!AG:AG)+SUMIF('Барабан'!V:V,A859,'Барабан'!AG:AG),"")</f>
        <v/>
      </c>
      <c r="E859" s="2" t="str">
        <f t="shared" si="1"/>
        <v/>
      </c>
      <c r="F859" s="2" t="str">
        <f t="array" ref="F859">IFERROR(IF(E859=0,0,INDEX('Справочник'!G:G,MATCH(A859,'Справочник'!F:F,0))))</f>
        <v/>
      </c>
      <c r="G859" s="2" t="str">
        <f>IF(A859&gt;0,SUMIF('Барабан'!K:K,A859,'Барабан'!P:P),"")</f>
        <v/>
      </c>
      <c r="H859" s="2" t="str">
        <f>IF(A859&gt;0,SUMIF('Барабан'!V:V,A859,'Барабан'!AA:AA),"")</f>
        <v/>
      </c>
      <c r="I859" s="2" t="str">
        <f t="shared" si="4"/>
        <v/>
      </c>
      <c r="J859" s="9" t="str">
        <f t="shared" si="2"/>
        <v/>
      </c>
      <c r="K859" s="1" t="str">
        <f>IF(A859&gt;0,COUNTIF('Барабан'!K:K,A859),"")</f>
        <v/>
      </c>
      <c r="L859" s="1" t="str">
        <f>IF(A859&gt;0,COUNTIF('Барабан'!V:V,A859),"")</f>
        <v/>
      </c>
      <c r="M859" s="1" t="str">
        <f t="shared" si="3"/>
        <v/>
      </c>
      <c r="N859" s="1" t="str">
        <f>IFERROR(__xludf.DUMMYFUNCTION("IF(A859&gt;0,MIN(FILTER('Барабан'!AJ:AJ,'Барабан'!K:K=A859)),"""")"),"")</f>
        <v/>
      </c>
      <c r="O859" s="16" t="str">
        <f>IFERROR(__xludf.DUMMYFUNCTION("IF(A859&gt;0,IFERROR(MAX(FILTER('Барабан'!AJ:AJ,'Барабан'!V:V=A859)),""–""),"""")"),"")</f>
        <v/>
      </c>
    </row>
    <row r="860" ht="15.75" customHeight="1">
      <c r="A860" s="1" t="str">
        <f>'Справочник'!E855</f>
        <v/>
      </c>
      <c r="B860" s="2" t="str">
        <f>IF(A860&gt;0,SUMIF('Барабан'!K:K,A860,'Барабан'!I:I),"")</f>
        <v/>
      </c>
      <c r="C860" s="2" t="str">
        <f>IF(A860&gt;0,SUMIF('Барабан'!V:V,A860,'Барабан'!T:T),"")</f>
        <v/>
      </c>
      <c r="D860" s="2" t="str">
        <f>IF(A860&gt;0,SUMIF('Барабан'!K:K,A860,'Барабан'!AG:AG)+SUMIF('Барабан'!V:V,A860,'Барабан'!AG:AG),"")</f>
        <v/>
      </c>
      <c r="E860" s="2" t="str">
        <f t="shared" si="1"/>
        <v/>
      </c>
      <c r="F860" s="2" t="str">
        <f t="array" ref="F860">IFERROR(IF(E860=0,0,INDEX('Справочник'!G:G,MATCH(A860,'Справочник'!F:F,0))))</f>
        <v/>
      </c>
      <c r="G860" s="2" t="str">
        <f>IF(A860&gt;0,SUMIF('Барабан'!K:K,A860,'Барабан'!P:P),"")</f>
        <v/>
      </c>
      <c r="H860" s="2" t="str">
        <f>IF(A860&gt;0,SUMIF('Барабан'!V:V,A860,'Барабан'!AA:AA),"")</f>
        <v/>
      </c>
      <c r="I860" s="2" t="str">
        <f t="shared" si="4"/>
        <v/>
      </c>
      <c r="J860" s="9" t="str">
        <f t="shared" si="2"/>
        <v/>
      </c>
      <c r="K860" s="1" t="str">
        <f>IF(A860&gt;0,COUNTIF('Барабан'!K:K,A860),"")</f>
        <v/>
      </c>
      <c r="L860" s="1" t="str">
        <f>IF(A860&gt;0,COUNTIF('Барабан'!V:V,A860),"")</f>
        <v/>
      </c>
      <c r="M860" s="1" t="str">
        <f t="shared" si="3"/>
        <v/>
      </c>
      <c r="N860" s="1" t="str">
        <f>IFERROR(__xludf.DUMMYFUNCTION("IF(A860&gt;0,MIN(FILTER('Барабан'!AJ:AJ,'Барабан'!K:K=A860)),"""")"),"")</f>
        <v/>
      </c>
      <c r="O860" s="16" t="str">
        <f>IFERROR(__xludf.DUMMYFUNCTION("IF(A860&gt;0,IFERROR(MAX(FILTER('Барабан'!AJ:AJ,'Барабан'!V:V=A860)),""–""),"""")"),"")</f>
        <v/>
      </c>
    </row>
    <row r="861" ht="15.75" customHeight="1">
      <c r="A861" s="1" t="str">
        <f>'Справочник'!E856</f>
        <v/>
      </c>
      <c r="B861" s="2" t="str">
        <f>IF(A861&gt;0,SUMIF('Барабан'!K:K,A861,'Барабан'!I:I),"")</f>
        <v/>
      </c>
      <c r="C861" s="2" t="str">
        <f>IF(A861&gt;0,SUMIF('Барабан'!V:V,A861,'Барабан'!T:T),"")</f>
        <v/>
      </c>
      <c r="D861" s="2" t="str">
        <f>IF(A861&gt;0,SUMIF('Барабан'!K:K,A861,'Барабан'!AG:AG)+SUMIF('Барабан'!V:V,A861,'Барабан'!AG:AG),"")</f>
        <v/>
      </c>
      <c r="E861" s="2" t="str">
        <f t="shared" si="1"/>
        <v/>
      </c>
      <c r="F861" s="2" t="str">
        <f t="array" ref="F861">IFERROR(IF(E861=0,0,INDEX('Справочник'!G:G,MATCH(A861,'Справочник'!F:F,0))))</f>
        <v/>
      </c>
      <c r="G861" s="2" t="str">
        <f>IF(A861&gt;0,SUMIF('Барабан'!K:K,A861,'Барабан'!P:P),"")</f>
        <v/>
      </c>
      <c r="H861" s="2" t="str">
        <f>IF(A861&gt;0,SUMIF('Барабан'!V:V,A861,'Барабан'!AA:AA),"")</f>
        <v/>
      </c>
      <c r="I861" s="2" t="str">
        <f t="shared" si="4"/>
        <v/>
      </c>
      <c r="J861" s="9" t="str">
        <f t="shared" si="2"/>
        <v/>
      </c>
      <c r="K861" s="1" t="str">
        <f>IF(A861&gt;0,COUNTIF('Барабан'!K:K,A861),"")</f>
        <v/>
      </c>
      <c r="L861" s="1" t="str">
        <f>IF(A861&gt;0,COUNTIF('Барабан'!V:V,A861),"")</f>
        <v/>
      </c>
      <c r="M861" s="1" t="str">
        <f t="shared" si="3"/>
        <v/>
      </c>
      <c r="N861" s="1" t="str">
        <f>IFERROR(__xludf.DUMMYFUNCTION("IF(A861&gt;0,MIN(FILTER('Барабан'!AJ:AJ,'Барабан'!K:K=A861)),"""")"),"")</f>
        <v/>
      </c>
      <c r="O861" s="16" t="str">
        <f>IFERROR(__xludf.DUMMYFUNCTION("IF(A861&gt;0,IFERROR(MAX(FILTER('Барабан'!AJ:AJ,'Барабан'!V:V=A861)),""–""),"""")"),"")</f>
        <v/>
      </c>
    </row>
    <row r="862" ht="15.75" customHeight="1">
      <c r="A862" s="1" t="str">
        <f>'Справочник'!E857</f>
        <v/>
      </c>
      <c r="B862" s="2" t="str">
        <f>IF(A862&gt;0,SUMIF('Барабан'!K:K,A862,'Барабан'!I:I),"")</f>
        <v/>
      </c>
      <c r="C862" s="2" t="str">
        <f>IF(A862&gt;0,SUMIF('Барабан'!V:V,A862,'Барабан'!T:T),"")</f>
        <v/>
      </c>
      <c r="D862" s="2" t="str">
        <f>IF(A862&gt;0,SUMIF('Барабан'!K:K,A862,'Барабан'!AG:AG)+SUMIF('Барабан'!V:V,A862,'Барабан'!AG:AG),"")</f>
        <v/>
      </c>
      <c r="E862" s="2" t="str">
        <f t="shared" si="1"/>
        <v/>
      </c>
      <c r="F862" s="2" t="str">
        <f t="array" ref="F862">IFERROR(IF(E862=0,0,INDEX('Справочник'!G:G,MATCH(A862,'Справочник'!F:F,0))))</f>
        <v/>
      </c>
      <c r="G862" s="2" t="str">
        <f>IF(A862&gt;0,SUMIF('Барабан'!K:K,A862,'Барабан'!P:P),"")</f>
        <v/>
      </c>
      <c r="H862" s="2" t="str">
        <f>IF(A862&gt;0,SUMIF('Барабан'!V:V,A862,'Барабан'!AA:AA),"")</f>
        <v/>
      </c>
      <c r="I862" s="2" t="str">
        <f t="shared" si="4"/>
        <v/>
      </c>
      <c r="J862" s="9" t="str">
        <f t="shared" si="2"/>
        <v/>
      </c>
      <c r="K862" s="1" t="str">
        <f>IF(A862&gt;0,COUNTIF('Барабан'!K:K,A862),"")</f>
        <v/>
      </c>
      <c r="L862" s="1" t="str">
        <f>IF(A862&gt;0,COUNTIF('Барабан'!V:V,A862),"")</f>
        <v/>
      </c>
      <c r="M862" s="1" t="str">
        <f t="shared" si="3"/>
        <v/>
      </c>
      <c r="N862" s="1" t="str">
        <f>IFERROR(__xludf.DUMMYFUNCTION("IF(A862&gt;0,MIN(FILTER('Барабан'!AJ:AJ,'Барабан'!K:K=A862)),"""")"),"")</f>
        <v/>
      </c>
      <c r="O862" s="16" t="str">
        <f>IFERROR(__xludf.DUMMYFUNCTION("IF(A862&gt;0,IFERROR(MAX(FILTER('Барабан'!AJ:AJ,'Барабан'!V:V=A862)),""–""),"""")"),"")</f>
        <v/>
      </c>
    </row>
    <row r="863" ht="15.75" customHeight="1">
      <c r="A863" s="1" t="str">
        <f>'Справочник'!E858</f>
        <v/>
      </c>
      <c r="B863" s="2" t="str">
        <f>IF(A863&gt;0,SUMIF('Барабан'!K:K,A863,'Барабан'!I:I),"")</f>
        <v/>
      </c>
      <c r="C863" s="2" t="str">
        <f>IF(A863&gt;0,SUMIF('Барабан'!V:V,A863,'Барабан'!T:T),"")</f>
        <v/>
      </c>
      <c r="D863" s="2" t="str">
        <f>IF(A863&gt;0,SUMIF('Барабан'!K:K,A863,'Барабан'!AG:AG)+SUMIF('Барабан'!V:V,A863,'Барабан'!AG:AG),"")</f>
        <v/>
      </c>
      <c r="E863" s="2" t="str">
        <f t="shared" si="1"/>
        <v/>
      </c>
      <c r="F863" s="2" t="str">
        <f t="array" ref="F863">IFERROR(IF(E863=0,0,INDEX('Справочник'!G:G,MATCH(A863,'Справочник'!F:F,0))))</f>
        <v/>
      </c>
      <c r="G863" s="2" t="str">
        <f>IF(A863&gt;0,SUMIF('Барабан'!K:K,A863,'Барабан'!P:P),"")</f>
        <v/>
      </c>
      <c r="H863" s="2" t="str">
        <f>IF(A863&gt;0,SUMIF('Барабан'!V:V,A863,'Барабан'!AA:AA),"")</f>
        <v/>
      </c>
      <c r="I863" s="2" t="str">
        <f t="shared" si="4"/>
        <v/>
      </c>
      <c r="J863" s="9" t="str">
        <f t="shared" si="2"/>
        <v/>
      </c>
      <c r="K863" s="1" t="str">
        <f>IF(A863&gt;0,COUNTIF('Барабан'!K:K,A863),"")</f>
        <v/>
      </c>
      <c r="L863" s="1" t="str">
        <f>IF(A863&gt;0,COUNTIF('Барабан'!V:V,A863),"")</f>
        <v/>
      </c>
      <c r="M863" s="1" t="str">
        <f t="shared" si="3"/>
        <v/>
      </c>
      <c r="N863" s="1" t="str">
        <f>IFERROR(__xludf.DUMMYFUNCTION("IF(A863&gt;0,MIN(FILTER('Барабан'!AJ:AJ,'Барабан'!K:K=A863)),"""")"),"")</f>
        <v/>
      </c>
      <c r="O863" s="16" t="str">
        <f>IFERROR(__xludf.DUMMYFUNCTION("IF(A863&gt;0,IFERROR(MAX(FILTER('Барабан'!AJ:AJ,'Барабан'!V:V=A863)),""–""),"""")"),"")</f>
        <v/>
      </c>
    </row>
    <row r="864" ht="15.75" customHeight="1">
      <c r="A864" s="1" t="str">
        <f>'Справочник'!E859</f>
        <v/>
      </c>
      <c r="B864" s="2" t="str">
        <f>IF(A864&gt;0,SUMIF('Барабан'!K:K,A864,'Барабан'!I:I),"")</f>
        <v/>
      </c>
      <c r="C864" s="2" t="str">
        <f>IF(A864&gt;0,SUMIF('Барабан'!V:V,A864,'Барабан'!T:T),"")</f>
        <v/>
      </c>
      <c r="D864" s="2" t="str">
        <f>IF(A864&gt;0,SUMIF('Барабан'!K:K,A864,'Барабан'!AG:AG)+SUMIF('Барабан'!V:V,A864,'Барабан'!AG:AG),"")</f>
        <v/>
      </c>
      <c r="E864" s="2" t="str">
        <f t="shared" si="1"/>
        <v/>
      </c>
      <c r="F864" s="2" t="str">
        <f t="array" ref="F864">IFERROR(IF(E864=0,0,INDEX('Справочник'!G:G,MATCH(A864,'Справочник'!F:F,0))))</f>
        <v/>
      </c>
      <c r="G864" s="2" t="str">
        <f>IF(A864&gt;0,SUMIF('Барабан'!K:K,A864,'Барабан'!P:P),"")</f>
        <v/>
      </c>
      <c r="H864" s="2" t="str">
        <f>IF(A864&gt;0,SUMIF('Барабан'!V:V,A864,'Барабан'!AA:AA),"")</f>
        <v/>
      </c>
      <c r="I864" s="2" t="str">
        <f t="shared" si="4"/>
        <v/>
      </c>
      <c r="J864" s="9" t="str">
        <f t="shared" si="2"/>
        <v/>
      </c>
      <c r="K864" s="1" t="str">
        <f>IF(A864&gt;0,COUNTIF('Барабан'!K:K,A864),"")</f>
        <v/>
      </c>
      <c r="L864" s="1" t="str">
        <f>IF(A864&gt;0,COUNTIF('Барабан'!V:V,A864),"")</f>
        <v/>
      </c>
      <c r="M864" s="1" t="str">
        <f t="shared" si="3"/>
        <v/>
      </c>
      <c r="N864" s="1" t="str">
        <f>IFERROR(__xludf.DUMMYFUNCTION("IF(A864&gt;0,MIN(FILTER('Барабан'!AJ:AJ,'Барабан'!K:K=A864)),"""")"),"")</f>
        <v/>
      </c>
      <c r="O864" s="16" t="str">
        <f>IFERROR(__xludf.DUMMYFUNCTION("IF(A864&gt;0,IFERROR(MAX(FILTER('Барабан'!AJ:AJ,'Барабан'!V:V=A864)),""–""),"""")"),"")</f>
        <v/>
      </c>
    </row>
    <row r="865" ht="15.75" customHeight="1">
      <c r="A865" s="1" t="str">
        <f>'Справочник'!E860</f>
        <v/>
      </c>
      <c r="B865" s="2" t="str">
        <f>IF(A865&gt;0,SUMIF('Барабан'!K:K,A865,'Барабан'!I:I),"")</f>
        <v/>
      </c>
      <c r="C865" s="2" t="str">
        <f>IF(A865&gt;0,SUMIF('Барабан'!V:V,A865,'Барабан'!T:T),"")</f>
        <v/>
      </c>
      <c r="D865" s="2" t="str">
        <f>IF(A865&gt;0,SUMIF('Барабан'!K:K,A865,'Барабан'!AG:AG)+SUMIF('Барабан'!V:V,A865,'Барабан'!AG:AG),"")</f>
        <v/>
      </c>
      <c r="E865" s="2" t="str">
        <f t="shared" si="1"/>
        <v/>
      </c>
      <c r="F865" s="2" t="str">
        <f t="array" ref="F865">IFERROR(IF(E865=0,0,INDEX('Справочник'!G:G,MATCH(A865,'Справочник'!F:F,0))))</f>
        <v/>
      </c>
      <c r="G865" s="2" t="str">
        <f>IF(A865&gt;0,SUMIF('Барабан'!K:K,A865,'Барабан'!P:P),"")</f>
        <v/>
      </c>
      <c r="H865" s="2" t="str">
        <f>IF(A865&gt;0,SUMIF('Барабан'!V:V,A865,'Барабан'!AA:AA),"")</f>
        <v/>
      </c>
      <c r="I865" s="2" t="str">
        <f t="shared" si="4"/>
        <v/>
      </c>
      <c r="J865" s="9" t="str">
        <f t="shared" si="2"/>
        <v/>
      </c>
      <c r="K865" s="1" t="str">
        <f>IF(A865&gt;0,COUNTIF('Барабан'!K:K,A865),"")</f>
        <v/>
      </c>
      <c r="L865" s="1" t="str">
        <f>IF(A865&gt;0,COUNTIF('Барабан'!V:V,A865),"")</f>
        <v/>
      </c>
      <c r="M865" s="1" t="str">
        <f t="shared" si="3"/>
        <v/>
      </c>
      <c r="N865" s="1" t="str">
        <f>IFERROR(__xludf.DUMMYFUNCTION("IF(A865&gt;0,MIN(FILTER('Барабан'!AJ:AJ,'Барабан'!K:K=A865)),"""")"),"")</f>
        <v/>
      </c>
      <c r="O865" s="16" t="str">
        <f>IFERROR(__xludf.DUMMYFUNCTION("IF(A865&gt;0,IFERROR(MAX(FILTER('Барабан'!AJ:AJ,'Барабан'!V:V=A865)),""–""),"""")"),"")</f>
        <v/>
      </c>
    </row>
    <row r="866" ht="15.75" customHeight="1">
      <c r="A866" s="1" t="str">
        <f>'Справочник'!E861</f>
        <v/>
      </c>
      <c r="B866" s="2" t="str">
        <f>IF(A866&gt;0,SUMIF('Барабан'!K:K,A866,'Барабан'!I:I),"")</f>
        <v/>
      </c>
      <c r="C866" s="2" t="str">
        <f>IF(A866&gt;0,SUMIF('Барабан'!V:V,A866,'Барабан'!T:T),"")</f>
        <v/>
      </c>
      <c r="D866" s="2" t="str">
        <f>IF(A866&gt;0,SUMIF('Барабан'!K:K,A866,'Барабан'!AG:AG)+SUMIF('Барабан'!V:V,A866,'Барабан'!AG:AG),"")</f>
        <v/>
      </c>
      <c r="E866" s="2" t="str">
        <f t="shared" si="1"/>
        <v/>
      </c>
      <c r="F866" s="2" t="str">
        <f t="array" ref="F866">IFERROR(IF(E866=0,0,INDEX('Справочник'!G:G,MATCH(A866,'Справочник'!F:F,0))))</f>
        <v/>
      </c>
      <c r="G866" s="2" t="str">
        <f>IF(A866&gt;0,SUMIF('Барабан'!K:K,A866,'Барабан'!P:P),"")</f>
        <v/>
      </c>
      <c r="H866" s="2" t="str">
        <f>IF(A866&gt;0,SUMIF('Барабан'!V:V,A866,'Барабан'!AA:AA),"")</f>
        <v/>
      </c>
      <c r="I866" s="2" t="str">
        <f t="shared" si="4"/>
        <v/>
      </c>
      <c r="J866" s="9" t="str">
        <f t="shared" si="2"/>
        <v/>
      </c>
      <c r="K866" s="1" t="str">
        <f>IF(A866&gt;0,COUNTIF('Барабан'!K:K,A866),"")</f>
        <v/>
      </c>
      <c r="L866" s="1" t="str">
        <f>IF(A866&gt;0,COUNTIF('Барабан'!V:V,A866),"")</f>
        <v/>
      </c>
      <c r="M866" s="1" t="str">
        <f t="shared" si="3"/>
        <v/>
      </c>
      <c r="N866" s="1" t="str">
        <f>IFERROR(__xludf.DUMMYFUNCTION("IF(A866&gt;0,MIN(FILTER('Барабан'!AJ:AJ,'Барабан'!K:K=A866)),"""")"),"")</f>
        <v/>
      </c>
      <c r="O866" s="16" t="str">
        <f>IFERROR(__xludf.DUMMYFUNCTION("IF(A866&gt;0,IFERROR(MAX(FILTER('Барабан'!AJ:AJ,'Барабан'!V:V=A866)),""–""),"""")"),"")</f>
        <v/>
      </c>
    </row>
    <row r="867" ht="15.75" customHeight="1">
      <c r="A867" s="1" t="str">
        <f>'Справочник'!E862</f>
        <v/>
      </c>
      <c r="B867" s="2" t="str">
        <f>IF(A867&gt;0,SUMIF('Барабан'!K:K,A867,'Барабан'!I:I),"")</f>
        <v/>
      </c>
      <c r="C867" s="2" t="str">
        <f>IF(A867&gt;0,SUMIF('Барабан'!V:V,A867,'Барабан'!T:T),"")</f>
        <v/>
      </c>
      <c r="D867" s="2" t="str">
        <f>IF(A867&gt;0,SUMIF('Барабан'!K:K,A867,'Барабан'!AG:AG)+SUMIF('Барабан'!V:V,A867,'Барабан'!AG:AG),"")</f>
        <v/>
      </c>
      <c r="E867" s="2" t="str">
        <f t="shared" si="1"/>
        <v/>
      </c>
      <c r="F867" s="2" t="str">
        <f t="array" ref="F867">IFERROR(IF(E867=0,0,INDEX('Справочник'!G:G,MATCH(A867,'Справочник'!F:F,0))))</f>
        <v/>
      </c>
      <c r="G867" s="2" t="str">
        <f>IF(A867&gt;0,SUMIF('Барабан'!K:K,A867,'Барабан'!P:P),"")</f>
        <v/>
      </c>
      <c r="H867" s="2" t="str">
        <f>IF(A867&gt;0,SUMIF('Барабан'!V:V,A867,'Барабан'!AA:AA),"")</f>
        <v/>
      </c>
      <c r="I867" s="2" t="str">
        <f t="shared" si="4"/>
        <v/>
      </c>
      <c r="J867" s="9" t="str">
        <f t="shared" si="2"/>
        <v/>
      </c>
      <c r="K867" s="1" t="str">
        <f>IF(A867&gt;0,COUNTIF('Барабан'!K:K,A867),"")</f>
        <v/>
      </c>
      <c r="L867" s="1" t="str">
        <f>IF(A867&gt;0,COUNTIF('Барабан'!V:V,A867),"")</f>
        <v/>
      </c>
      <c r="M867" s="1" t="str">
        <f t="shared" si="3"/>
        <v/>
      </c>
      <c r="N867" s="1" t="str">
        <f>IFERROR(__xludf.DUMMYFUNCTION("IF(A867&gt;0,MIN(FILTER('Барабан'!AJ:AJ,'Барабан'!K:K=A867)),"""")"),"")</f>
        <v/>
      </c>
      <c r="O867" s="16" t="str">
        <f>IFERROR(__xludf.DUMMYFUNCTION("IF(A867&gt;0,IFERROR(MAX(FILTER('Барабан'!AJ:AJ,'Барабан'!V:V=A867)),""–""),"""")"),"")</f>
        <v/>
      </c>
    </row>
    <row r="868" ht="15.75" customHeight="1">
      <c r="A868" s="1" t="str">
        <f>'Справочник'!E863</f>
        <v/>
      </c>
      <c r="B868" s="2" t="str">
        <f>IF(A868&gt;0,SUMIF('Барабан'!K:K,A868,'Барабан'!I:I),"")</f>
        <v/>
      </c>
      <c r="C868" s="2" t="str">
        <f>IF(A868&gt;0,SUMIF('Барабан'!V:V,A868,'Барабан'!T:T),"")</f>
        <v/>
      </c>
      <c r="D868" s="2" t="str">
        <f>IF(A868&gt;0,SUMIF('Барабан'!K:K,A868,'Барабан'!AG:AG)+SUMIF('Барабан'!V:V,A868,'Барабан'!AG:AG),"")</f>
        <v/>
      </c>
      <c r="E868" s="2" t="str">
        <f t="shared" si="1"/>
        <v/>
      </c>
      <c r="F868" s="2" t="str">
        <f t="array" ref="F868">IFERROR(IF(E868=0,0,INDEX('Справочник'!G:G,MATCH(A868,'Справочник'!F:F,0))))</f>
        <v/>
      </c>
      <c r="G868" s="2" t="str">
        <f>IF(A868&gt;0,SUMIF('Барабан'!K:K,A868,'Барабан'!P:P),"")</f>
        <v/>
      </c>
      <c r="H868" s="2" t="str">
        <f>IF(A868&gt;0,SUMIF('Барабан'!V:V,A868,'Барабан'!AA:AA),"")</f>
        <v/>
      </c>
      <c r="I868" s="2" t="str">
        <f t="shared" si="4"/>
        <v/>
      </c>
      <c r="J868" s="9" t="str">
        <f t="shared" si="2"/>
        <v/>
      </c>
      <c r="K868" s="1" t="str">
        <f>IF(A868&gt;0,COUNTIF('Барабан'!K:K,A868),"")</f>
        <v/>
      </c>
      <c r="L868" s="1" t="str">
        <f>IF(A868&gt;0,COUNTIF('Барабан'!V:V,A868),"")</f>
        <v/>
      </c>
      <c r="M868" s="1" t="str">
        <f t="shared" si="3"/>
        <v/>
      </c>
      <c r="N868" s="1" t="str">
        <f>IFERROR(__xludf.DUMMYFUNCTION("IF(A868&gt;0,MIN(FILTER('Барабан'!AJ:AJ,'Барабан'!K:K=A868)),"""")"),"")</f>
        <v/>
      </c>
      <c r="O868" s="16" t="str">
        <f>IFERROR(__xludf.DUMMYFUNCTION("IF(A868&gt;0,IFERROR(MAX(FILTER('Барабан'!AJ:AJ,'Барабан'!V:V=A868)),""–""),"""")"),"")</f>
        <v/>
      </c>
    </row>
    <row r="869" ht="15.75" customHeight="1">
      <c r="A869" s="1" t="str">
        <f>'Справочник'!E864</f>
        <v/>
      </c>
      <c r="B869" s="2" t="str">
        <f>IF(A869&gt;0,SUMIF('Барабан'!K:K,A869,'Барабан'!I:I),"")</f>
        <v/>
      </c>
      <c r="C869" s="2" t="str">
        <f>IF(A869&gt;0,SUMIF('Барабан'!V:V,A869,'Барабан'!T:T),"")</f>
        <v/>
      </c>
      <c r="D869" s="2" t="str">
        <f>IF(A869&gt;0,SUMIF('Барабан'!K:K,A869,'Барабан'!AG:AG)+SUMIF('Барабан'!V:V,A869,'Барабан'!AG:AG),"")</f>
        <v/>
      </c>
      <c r="E869" s="2" t="str">
        <f t="shared" si="1"/>
        <v/>
      </c>
      <c r="F869" s="2" t="str">
        <f t="array" ref="F869">IFERROR(IF(E869=0,0,INDEX('Справочник'!G:G,MATCH(A869,'Справочник'!F:F,0))))</f>
        <v/>
      </c>
      <c r="G869" s="2" t="str">
        <f>IF(A869&gt;0,SUMIF('Барабан'!K:K,A869,'Барабан'!P:P),"")</f>
        <v/>
      </c>
      <c r="H869" s="2" t="str">
        <f>IF(A869&gt;0,SUMIF('Барабан'!V:V,A869,'Барабан'!AA:AA),"")</f>
        <v/>
      </c>
      <c r="I869" s="2" t="str">
        <f t="shared" si="4"/>
        <v/>
      </c>
      <c r="J869" s="9" t="str">
        <f t="shared" si="2"/>
        <v/>
      </c>
      <c r="K869" s="1" t="str">
        <f>IF(A869&gt;0,COUNTIF('Барабан'!K:K,A869),"")</f>
        <v/>
      </c>
      <c r="L869" s="1" t="str">
        <f>IF(A869&gt;0,COUNTIF('Барабан'!V:V,A869),"")</f>
        <v/>
      </c>
      <c r="M869" s="1" t="str">
        <f t="shared" si="3"/>
        <v/>
      </c>
      <c r="N869" s="1" t="str">
        <f>IFERROR(__xludf.DUMMYFUNCTION("IF(A869&gt;0,MIN(FILTER('Барабан'!AJ:AJ,'Барабан'!K:K=A869)),"""")"),"")</f>
        <v/>
      </c>
      <c r="O869" s="16" t="str">
        <f>IFERROR(__xludf.DUMMYFUNCTION("IF(A869&gt;0,IFERROR(MAX(FILTER('Барабан'!AJ:AJ,'Барабан'!V:V=A869)),""–""),"""")"),"")</f>
        <v/>
      </c>
    </row>
    <row r="870" ht="15.75" customHeight="1">
      <c r="A870" s="1" t="str">
        <f>'Справочник'!E865</f>
        <v/>
      </c>
      <c r="B870" s="2" t="str">
        <f>IF(A870&gt;0,SUMIF('Барабан'!K:K,A870,'Барабан'!I:I),"")</f>
        <v/>
      </c>
      <c r="C870" s="2" t="str">
        <f>IF(A870&gt;0,SUMIF('Барабан'!V:V,A870,'Барабан'!T:T),"")</f>
        <v/>
      </c>
      <c r="D870" s="2" t="str">
        <f>IF(A870&gt;0,SUMIF('Барабан'!K:K,A870,'Барабан'!AG:AG)+SUMIF('Барабан'!V:V,A870,'Барабан'!AG:AG),"")</f>
        <v/>
      </c>
      <c r="E870" s="2" t="str">
        <f t="shared" si="1"/>
        <v/>
      </c>
      <c r="F870" s="2" t="str">
        <f t="array" ref="F870">IFERROR(IF(E870=0,0,INDEX('Справочник'!G:G,MATCH(A870,'Справочник'!F:F,0))))</f>
        <v/>
      </c>
      <c r="G870" s="2" t="str">
        <f>IF(A870&gt;0,SUMIF('Барабан'!K:K,A870,'Барабан'!P:P),"")</f>
        <v/>
      </c>
      <c r="H870" s="2" t="str">
        <f>IF(A870&gt;0,SUMIF('Барабан'!V:V,A870,'Барабан'!AA:AA),"")</f>
        <v/>
      </c>
      <c r="I870" s="2" t="str">
        <f t="shared" si="4"/>
        <v/>
      </c>
      <c r="J870" s="9" t="str">
        <f t="shared" si="2"/>
        <v/>
      </c>
      <c r="K870" s="1" t="str">
        <f>IF(A870&gt;0,COUNTIF('Барабан'!K:K,A870),"")</f>
        <v/>
      </c>
      <c r="L870" s="1" t="str">
        <f>IF(A870&gt;0,COUNTIF('Барабан'!V:V,A870),"")</f>
        <v/>
      </c>
      <c r="M870" s="1" t="str">
        <f t="shared" si="3"/>
        <v/>
      </c>
      <c r="N870" s="1" t="str">
        <f>IFERROR(__xludf.DUMMYFUNCTION("IF(A870&gt;0,MIN(FILTER('Барабан'!AJ:AJ,'Барабан'!K:K=A870)),"""")"),"")</f>
        <v/>
      </c>
      <c r="O870" s="16" t="str">
        <f>IFERROR(__xludf.DUMMYFUNCTION("IF(A870&gt;0,IFERROR(MAX(FILTER('Барабан'!AJ:AJ,'Барабан'!V:V=A870)),""–""),"""")"),"")</f>
        <v/>
      </c>
    </row>
    <row r="871" ht="15.75" customHeight="1">
      <c r="A871" s="1" t="str">
        <f>'Справочник'!E866</f>
        <v/>
      </c>
      <c r="B871" s="2" t="str">
        <f>IF(A871&gt;0,SUMIF('Барабан'!K:K,A871,'Барабан'!I:I),"")</f>
        <v/>
      </c>
      <c r="C871" s="2" t="str">
        <f>IF(A871&gt;0,SUMIF('Барабан'!V:V,A871,'Барабан'!T:T),"")</f>
        <v/>
      </c>
      <c r="D871" s="2" t="str">
        <f>IF(A871&gt;0,SUMIF('Барабан'!K:K,A871,'Барабан'!AG:AG)+SUMIF('Барабан'!V:V,A871,'Барабан'!AG:AG),"")</f>
        <v/>
      </c>
      <c r="E871" s="2" t="str">
        <f t="shared" si="1"/>
        <v/>
      </c>
      <c r="F871" s="2" t="str">
        <f t="array" ref="F871">IFERROR(IF(E871=0,0,INDEX('Справочник'!G:G,MATCH(A871,'Справочник'!F:F,0))))</f>
        <v/>
      </c>
      <c r="G871" s="2" t="str">
        <f>IF(A871&gt;0,SUMIF('Барабан'!K:K,A871,'Барабан'!P:P),"")</f>
        <v/>
      </c>
      <c r="H871" s="2" t="str">
        <f>IF(A871&gt;0,SUMIF('Барабан'!V:V,A871,'Барабан'!AA:AA),"")</f>
        <v/>
      </c>
      <c r="I871" s="2" t="str">
        <f t="shared" si="4"/>
        <v/>
      </c>
      <c r="J871" s="9" t="str">
        <f t="shared" si="2"/>
        <v/>
      </c>
      <c r="K871" s="1" t="str">
        <f>IF(A871&gt;0,COUNTIF('Барабан'!K:K,A871),"")</f>
        <v/>
      </c>
      <c r="L871" s="1" t="str">
        <f>IF(A871&gt;0,COUNTIF('Барабан'!V:V,A871),"")</f>
        <v/>
      </c>
      <c r="M871" s="1" t="str">
        <f t="shared" si="3"/>
        <v/>
      </c>
      <c r="N871" s="1" t="str">
        <f>IFERROR(__xludf.DUMMYFUNCTION("IF(A871&gt;0,MIN(FILTER('Барабан'!AJ:AJ,'Барабан'!K:K=A871)),"""")"),"")</f>
        <v/>
      </c>
      <c r="O871" s="16" t="str">
        <f>IFERROR(__xludf.DUMMYFUNCTION("IF(A871&gt;0,IFERROR(MAX(FILTER('Барабан'!AJ:AJ,'Барабан'!V:V=A871)),""–""),"""")"),"")</f>
        <v/>
      </c>
    </row>
    <row r="872" ht="15.75" customHeight="1">
      <c r="A872" s="1" t="str">
        <f>'Справочник'!E867</f>
        <v/>
      </c>
      <c r="B872" s="2" t="str">
        <f>IF(A872&gt;0,SUMIF('Барабан'!K:K,A872,'Барабан'!I:I),"")</f>
        <v/>
      </c>
      <c r="C872" s="2" t="str">
        <f>IF(A872&gt;0,SUMIF('Барабан'!V:V,A872,'Барабан'!T:T),"")</f>
        <v/>
      </c>
      <c r="D872" s="2" t="str">
        <f>IF(A872&gt;0,SUMIF('Барабан'!K:K,A872,'Барабан'!AG:AG)+SUMIF('Барабан'!V:V,A872,'Барабан'!AG:AG),"")</f>
        <v/>
      </c>
      <c r="E872" s="2" t="str">
        <f t="shared" si="1"/>
        <v/>
      </c>
      <c r="F872" s="2" t="str">
        <f t="array" ref="F872">IFERROR(IF(E872=0,0,INDEX('Справочник'!G:G,MATCH(A872,'Справочник'!F:F,0))))</f>
        <v/>
      </c>
      <c r="G872" s="2" t="str">
        <f>IF(A872&gt;0,SUMIF('Барабан'!K:K,A872,'Барабан'!P:P),"")</f>
        <v/>
      </c>
      <c r="H872" s="2" t="str">
        <f>IF(A872&gt;0,SUMIF('Барабан'!V:V,A872,'Барабан'!AA:AA),"")</f>
        <v/>
      </c>
      <c r="I872" s="2" t="str">
        <f t="shared" si="4"/>
        <v/>
      </c>
      <c r="J872" s="9" t="str">
        <f t="shared" si="2"/>
        <v/>
      </c>
      <c r="K872" s="1" t="str">
        <f>IF(A872&gt;0,COUNTIF('Барабан'!K:K,A872),"")</f>
        <v/>
      </c>
      <c r="L872" s="1" t="str">
        <f>IF(A872&gt;0,COUNTIF('Барабан'!V:V,A872),"")</f>
        <v/>
      </c>
      <c r="M872" s="1" t="str">
        <f t="shared" si="3"/>
        <v/>
      </c>
      <c r="N872" s="1" t="str">
        <f>IFERROR(__xludf.DUMMYFUNCTION("IF(A872&gt;0,MIN(FILTER('Барабан'!AJ:AJ,'Барабан'!K:K=A872)),"""")"),"")</f>
        <v/>
      </c>
      <c r="O872" s="16" t="str">
        <f>IFERROR(__xludf.DUMMYFUNCTION("IF(A872&gt;0,IFERROR(MAX(FILTER('Барабан'!AJ:AJ,'Барабан'!V:V=A872)),""–""),"""")"),"")</f>
        <v/>
      </c>
    </row>
    <row r="873" ht="15.75" customHeight="1">
      <c r="A873" s="1" t="str">
        <f>'Справочник'!E868</f>
        <v/>
      </c>
      <c r="B873" s="2" t="str">
        <f>IF(A873&gt;0,SUMIF('Барабан'!K:K,A873,'Барабан'!I:I),"")</f>
        <v/>
      </c>
      <c r="C873" s="2" t="str">
        <f>IF(A873&gt;0,SUMIF('Барабан'!V:V,A873,'Барабан'!T:T),"")</f>
        <v/>
      </c>
      <c r="D873" s="2" t="str">
        <f>IF(A873&gt;0,SUMIF('Барабан'!K:K,A873,'Барабан'!AG:AG)+SUMIF('Барабан'!V:V,A873,'Барабан'!AG:AG),"")</f>
        <v/>
      </c>
      <c r="E873" s="2" t="str">
        <f t="shared" si="1"/>
        <v/>
      </c>
      <c r="F873" s="2" t="str">
        <f t="array" ref="F873">IFERROR(IF(E873=0,0,INDEX('Справочник'!G:G,MATCH(A873,'Справочник'!F:F,0))))</f>
        <v/>
      </c>
      <c r="G873" s="2" t="str">
        <f>IF(A873&gt;0,SUMIF('Барабан'!K:K,A873,'Барабан'!P:P),"")</f>
        <v/>
      </c>
      <c r="H873" s="2" t="str">
        <f>IF(A873&gt;0,SUMIF('Барабан'!V:V,A873,'Барабан'!AA:AA),"")</f>
        <v/>
      </c>
      <c r="I873" s="2" t="str">
        <f t="shared" si="4"/>
        <v/>
      </c>
      <c r="J873" s="9" t="str">
        <f t="shared" si="2"/>
        <v/>
      </c>
      <c r="K873" s="1" t="str">
        <f>IF(A873&gt;0,COUNTIF('Барабан'!K:K,A873),"")</f>
        <v/>
      </c>
      <c r="L873" s="1" t="str">
        <f>IF(A873&gt;0,COUNTIF('Барабан'!V:V,A873),"")</f>
        <v/>
      </c>
      <c r="M873" s="1" t="str">
        <f t="shared" si="3"/>
        <v/>
      </c>
      <c r="N873" s="1" t="str">
        <f>IFERROR(__xludf.DUMMYFUNCTION("IF(A873&gt;0,MIN(FILTER('Барабан'!AJ:AJ,'Барабан'!K:K=A873)),"""")"),"")</f>
        <v/>
      </c>
      <c r="O873" s="16" t="str">
        <f>IFERROR(__xludf.DUMMYFUNCTION("IF(A873&gt;0,IFERROR(MAX(FILTER('Барабан'!AJ:AJ,'Барабан'!V:V=A873)),""–""),"""")"),"")</f>
        <v/>
      </c>
    </row>
    <row r="874" ht="15.75" customHeight="1">
      <c r="A874" s="1" t="str">
        <f>'Справочник'!E869</f>
        <v/>
      </c>
      <c r="B874" s="2" t="str">
        <f>IF(A874&gt;0,SUMIF('Барабан'!K:K,A874,'Барабан'!I:I),"")</f>
        <v/>
      </c>
      <c r="C874" s="2" t="str">
        <f>IF(A874&gt;0,SUMIF('Барабан'!V:V,A874,'Барабан'!T:T),"")</f>
        <v/>
      </c>
      <c r="D874" s="2" t="str">
        <f>IF(A874&gt;0,SUMIF('Барабан'!K:K,A874,'Барабан'!AG:AG)+SUMIF('Барабан'!V:V,A874,'Барабан'!AG:AG),"")</f>
        <v/>
      </c>
      <c r="E874" s="2" t="str">
        <f t="shared" si="1"/>
        <v/>
      </c>
      <c r="F874" s="2" t="str">
        <f t="array" ref="F874">IFERROR(IF(E874=0,0,INDEX('Справочник'!G:G,MATCH(A874,'Справочник'!F:F,0))))</f>
        <v/>
      </c>
      <c r="G874" s="2" t="str">
        <f>IF(A874&gt;0,SUMIF('Барабан'!K:K,A874,'Барабан'!P:P),"")</f>
        <v/>
      </c>
      <c r="H874" s="2" t="str">
        <f>IF(A874&gt;0,SUMIF('Барабан'!V:V,A874,'Барабан'!AA:AA),"")</f>
        <v/>
      </c>
      <c r="I874" s="2" t="str">
        <f t="shared" si="4"/>
        <v/>
      </c>
      <c r="J874" s="9" t="str">
        <f t="shared" si="2"/>
        <v/>
      </c>
      <c r="K874" s="1" t="str">
        <f>IF(A874&gt;0,COUNTIF('Барабан'!K:K,A874),"")</f>
        <v/>
      </c>
      <c r="L874" s="1" t="str">
        <f>IF(A874&gt;0,COUNTIF('Барабан'!V:V,A874),"")</f>
        <v/>
      </c>
      <c r="M874" s="1" t="str">
        <f t="shared" si="3"/>
        <v/>
      </c>
      <c r="N874" s="1" t="str">
        <f>IFERROR(__xludf.DUMMYFUNCTION("IF(A874&gt;0,MIN(FILTER('Барабан'!AJ:AJ,'Барабан'!K:K=A874)),"""")"),"")</f>
        <v/>
      </c>
      <c r="O874" s="16" t="str">
        <f>IFERROR(__xludf.DUMMYFUNCTION("IF(A874&gt;0,IFERROR(MAX(FILTER('Барабан'!AJ:AJ,'Барабан'!V:V=A874)),""–""),"""")"),"")</f>
        <v/>
      </c>
    </row>
    <row r="875" ht="15.75" customHeight="1">
      <c r="A875" s="1" t="str">
        <f>'Справочник'!E870</f>
        <v/>
      </c>
      <c r="B875" s="2" t="str">
        <f>IF(A875&gt;0,SUMIF('Барабан'!K:K,A875,'Барабан'!I:I),"")</f>
        <v/>
      </c>
      <c r="C875" s="2" t="str">
        <f>IF(A875&gt;0,SUMIF('Барабан'!V:V,A875,'Барабан'!T:T),"")</f>
        <v/>
      </c>
      <c r="D875" s="2" t="str">
        <f>IF(A875&gt;0,SUMIF('Барабан'!K:K,A875,'Барабан'!AG:AG)+SUMIF('Барабан'!V:V,A875,'Барабан'!AG:AG),"")</f>
        <v/>
      </c>
      <c r="E875" s="2" t="str">
        <f t="shared" si="1"/>
        <v/>
      </c>
      <c r="F875" s="2" t="str">
        <f t="array" ref="F875">IFERROR(IF(E875=0,0,INDEX('Справочник'!G:G,MATCH(A875,'Справочник'!F:F,0))))</f>
        <v/>
      </c>
      <c r="G875" s="2" t="str">
        <f>IF(A875&gt;0,SUMIF('Барабан'!K:K,A875,'Барабан'!P:P),"")</f>
        <v/>
      </c>
      <c r="H875" s="2" t="str">
        <f>IF(A875&gt;0,SUMIF('Барабан'!V:V,A875,'Барабан'!AA:AA),"")</f>
        <v/>
      </c>
      <c r="I875" s="2" t="str">
        <f t="shared" si="4"/>
        <v/>
      </c>
      <c r="J875" s="9" t="str">
        <f t="shared" si="2"/>
        <v/>
      </c>
      <c r="K875" s="1" t="str">
        <f>IF(A875&gt;0,COUNTIF('Барабан'!K:K,A875),"")</f>
        <v/>
      </c>
      <c r="L875" s="1" t="str">
        <f>IF(A875&gt;0,COUNTIF('Барабан'!V:V,A875),"")</f>
        <v/>
      </c>
      <c r="M875" s="1" t="str">
        <f t="shared" si="3"/>
        <v/>
      </c>
      <c r="N875" s="1" t="str">
        <f>IFERROR(__xludf.DUMMYFUNCTION("IF(A875&gt;0,MIN(FILTER('Барабан'!AJ:AJ,'Барабан'!K:K=A875)),"""")"),"")</f>
        <v/>
      </c>
      <c r="O875" s="16" t="str">
        <f>IFERROR(__xludf.DUMMYFUNCTION("IF(A875&gt;0,IFERROR(MAX(FILTER('Барабан'!AJ:AJ,'Барабан'!V:V=A875)),""–""),"""")"),"")</f>
        <v/>
      </c>
    </row>
    <row r="876" ht="15.75" customHeight="1">
      <c r="A876" s="1" t="str">
        <f>'Справочник'!E871</f>
        <v/>
      </c>
      <c r="B876" s="2" t="str">
        <f>IF(A876&gt;0,SUMIF('Барабан'!K:K,A876,'Барабан'!I:I),"")</f>
        <v/>
      </c>
      <c r="C876" s="2" t="str">
        <f>IF(A876&gt;0,SUMIF('Барабан'!V:V,A876,'Барабан'!T:T),"")</f>
        <v/>
      </c>
      <c r="D876" s="2" t="str">
        <f>IF(A876&gt;0,SUMIF('Барабан'!K:K,A876,'Барабан'!AG:AG)+SUMIF('Барабан'!V:V,A876,'Барабан'!AG:AG),"")</f>
        <v/>
      </c>
      <c r="E876" s="2" t="str">
        <f t="shared" si="1"/>
        <v/>
      </c>
      <c r="F876" s="2" t="str">
        <f t="array" ref="F876">IFERROR(IF(E876=0,0,INDEX('Справочник'!G:G,MATCH(A876,'Справочник'!F:F,0))))</f>
        <v/>
      </c>
      <c r="G876" s="2" t="str">
        <f>IF(A876&gt;0,SUMIF('Барабан'!K:K,A876,'Барабан'!P:P),"")</f>
        <v/>
      </c>
      <c r="H876" s="2" t="str">
        <f>IF(A876&gt;0,SUMIF('Барабан'!V:V,A876,'Барабан'!AA:AA),"")</f>
        <v/>
      </c>
      <c r="I876" s="2" t="str">
        <f t="shared" si="4"/>
        <v/>
      </c>
      <c r="J876" s="9" t="str">
        <f t="shared" si="2"/>
        <v/>
      </c>
      <c r="K876" s="1" t="str">
        <f>IF(A876&gt;0,COUNTIF('Барабан'!K:K,A876),"")</f>
        <v/>
      </c>
      <c r="L876" s="1" t="str">
        <f>IF(A876&gt;0,COUNTIF('Барабан'!V:V,A876),"")</f>
        <v/>
      </c>
      <c r="M876" s="1" t="str">
        <f t="shared" si="3"/>
        <v/>
      </c>
      <c r="N876" s="1" t="str">
        <f>IFERROR(__xludf.DUMMYFUNCTION("IF(A876&gt;0,MIN(FILTER('Барабан'!AJ:AJ,'Барабан'!K:K=A876)),"""")"),"")</f>
        <v/>
      </c>
      <c r="O876" s="16" t="str">
        <f>IFERROR(__xludf.DUMMYFUNCTION("IF(A876&gt;0,IFERROR(MAX(FILTER('Барабан'!AJ:AJ,'Барабан'!V:V=A876)),""–""),"""")"),"")</f>
        <v/>
      </c>
    </row>
    <row r="877" ht="15.75" customHeight="1">
      <c r="A877" s="1" t="str">
        <f>'Справочник'!E872</f>
        <v/>
      </c>
      <c r="B877" s="2" t="str">
        <f>IF(A877&gt;0,SUMIF('Барабан'!K:K,A877,'Барабан'!I:I),"")</f>
        <v/>
      </c>
      <c r="C877" s="2" t="str">
        <f>IF(A877&gt;0,SUMIF('Барабан'!V:V,A877,'Барабан'!T:T),"")</f>
        <v/>
      </c>
      <c r="D877" s="2" t="str">
        <f>IF(A877&gt;0,SUMIF('Барабан'!K:K,A877,'Барабан'!AG:AG)+SUMIF('Барабан'!V:V,A877,'Барабан'!AG:AG),"")</f>
        <v/>
      </c>
      <c r="E877" s="2" t="str">
        <f t="shared" si="1"/>
        <v/>
      </c>
      <c r="F877" s="2" t="str">
        <f t="array" ref="F877">IFERROR(IF(E877=0,0,INDEX('Справочник'!G:G,MATCH(A877,'Справочник'!F:F,0))))</f>
        <v/>
      </c>
      <c r="G877" s="2" t="str">
        <f>IF(A877&gt;0,SUMIF('Барабан'!K:K,A877,'Барабан'!P:P),"")</f>
        <v/>
      </c>
      <c r="H877" s="2" t="str">
        <f>IF(A877&gt;0,SUMIF('Барабан'!V:V,A877,'Барабан'!AA:AA),"")</f>
        <v/>
      </c>
      <c r="I877" s="2" t="str">
        <f t="shared" si="4"/>
        <v/>
      </c>
      <c r="J877" s="9" t="str">
        <f t="shared" si="2"/>
        <v/>
      </c>
      <c r="K877" s="1" t="str">
        <f>IF(A877&gt;0,COUNTIF('Барабан'!K:K,A877),"")</f>
        <v/>
      </c>
      <c r="L877" s="1" t="str">
        <f>IF(A877&gt;0,COUNTIF('Барабан'!V:V,A877),"")</f>
        <v/>
      </c>
      <c r="M877" s="1" t="str">
        <f t="shared" si="3"/>
        <v/>
      </c>
      <c r="N877" s="1" t="str">
        <f>IFERROR(__xludf.DUMMYFUNCTION("IF(A877&gt;0,MIN(FILTER('Барабан'!AJ:AJ,'Барабан'!K:K=A877)),"""")"),"")</f>
        <v/>
      </c>
      <c r="O877" s="16" t="str">
        <f>IFERROR(__xludf.DUMMYFUNCTION("IF(A877&gt;0,IFERROR(MAX(FILTER('Барабан'!AJ:AJ,'Барабан'!V:V=A877)),""–""),"""")"),"")</f>
        <v/>
      </c>
    </row>
    <row r="878" ht="15.75" customHeight="1">
      <c r="A878" s="1" t="str">
        <f>'Справочник'!E873</f>
        <v/>
      </c>
      <c r="B878" s="2" t="str">
        <f>IF(A878&gt;0,SUMIF('Барабан'!K:K,A878,'Барабан'!I:I),"")</f>
        <v/>
      </c>
      <c r="C878" s="2" t="str">
        <f>IF(A878&gt;0,SUMIF('Барабан'!V:V,A878,'Барабан'!T:T),"")</f>
        <v/>
      </c>
      <c r="D878" s="2" t="str">
        <f>IF(A878&gt;0,SUMIF('Барабан'!K:K,A878,'Барабан'!AG:AG)+SUMIF('Барабан'!V:V,A878,'Барабан'!AG:AG),"")</f>
        <v/>
      </c>
      <c r="E878" s="2" t="str">
        <f t="shared" si="1"/>
        <v/>
      </c>
      <c r="F878" s="2" t="str">
        <f t="array" ref="F878">IFERROR(IF(E878=0,0,INDEX('Справочник'!G:G,MATCH(A878,'Справочник'!F:F,0))))</f>
        <v/>
      </c>
      <c r="G878" s="2" t="str">
        <f>IF(A878&gt;0,SUMIF('Барабан'!K:K,A878,'Барабан'!P:P),"")</f>
        <v/>
      </c>
      <c r="H878" s="2" t="str">
        <f>IF(A878&gt;0,SUMIF('Барабан'!V:V,A878,'Барабан'!AA:AA),"")</f>
        <v/>
      </c>
      <c r="I878" s="2" t="str">
        <f t="shared" si="4"/>
        <v/>
      </c>
      <c r="J878" s="9" t="str">
        <f t="shared" si="2"/>
        <v/>
      </c>
      <c r="K878" s="1" t="str">
        <f>IF(A878&gt;0,COUNTIF('Барабан'!K:K,A878),"")</f>
        <v/>
      </c>
      <c r="L878" s="1" t="str">
        <f>IF(A878&gt;0,COUNTIF('Барабан'!V:V,A878),"")</f>
        <v/>
      </c>
      <c r="M878" s="1" t="str">
        <f t="shared" si="3"/>
        <v/>
      </c>
      <c r="N878" s="1" t="str">
        <f>IFERROR(__xludf.DUMMYFUNCTION("IF(A878&gt;0,MIN(FILTER('Барабан'!AJ:AJ,'Барабан'!K:K=A878)),"""")"),"")</f>
        <v/>
      </c>
      <c r="O878" s="16" t="str">
        <f>IFERROR(__xludf.DUMMYFUNCTION("IF(A878&gt;0,IFERROR(MAX(FILTER('Барабан'!AJ:AJ,'Барабан'!V:V=A878)),""–""),"""")"),"")</f>
        <v/>
      </c>
    </row>
    <row r="879" ht="15.75" customHeight="1">
      <c r="A879" s="1" t="str">
        <f>'Справочник'!E874</f>
        <v/>
      </c>
      <c r="B879" s="2" t="str">
        <f>IF(A879&gt;0,SUMIF('Барабан'!K:K,A879,'Барабан'!I:I),"")</f>
        <v/>
      </c>
      <c r="C879" s="2" t="str">
        <f>IF(A879&gt;0,SUMIF('Барабан'!V:V,A879,'Барабан'!T:T),"")</f>
        <v/>
      </c>
      <c r="D879" s="2" t="str">
        <f>IF(A879&gt;0,SUMIF('Барабан'!K:K,A879,'Барабан'!AG:AG)+SUMIF('Барабан'!V:V,A879,'Барабан'!AG:AG),"")</f>
        <v/>
      </c>
      <c r="E879" s="2" t="str">
        <f t="shared" si="1"/>
        <v/>
      </c>
      <c r="F879" s="2" t="str">
        <f t="array" ref="F879">IFERROR(IF(E879=0,0,INDEX('Справочник'!G:G,MATCH(A879,'Справочник'!F:F,0))))</f>
        <v/>
      </c>
      <c r="G879" s="2" t="str">
        <f>IF(A879&gt;0,SUMIF('Барабан'!K:K,A879,'Барабан'!P:P),"")</f>
        <v/>
      </c>
      <c r="H879" s="2" t="str">
        <f>IF(A879&gt;0,SUMIF('Барабан'!V:V,A879,'Барабан'!AA:AA),"")</f>
        <v/>
      </c>
      <c r="I879" s="2" t="str">
        <f t="shared" si="4"/>
        <v/>
      </c>
      <c r="J879" s="9" t="str">
        <f t="shared" si="2"/>
        <v/>
      </c>
      <c r="K879" s="1" t="str">
        <f>IF(A879&gt;0,COUNTIF('Барабан'!K:K,A879),"")</f>
        <v/>
      </c>
      <c r="L879" s="1" t="str">
        <f>IF(A879&gt;0,COUNTIF('Барабан'!V:V,A879),"")</f>
        <v/>
      </c>
      <c r="M879" s="1" t="str">
        <f t="shared" si="3"/>
        <v/>
      </c>
      <c r="N879" s="1" t="str">
        <f>IFERROR(__xludf.DUMMYFUNCTION("IF(A879&gt;0,MIN(FILTER('Барабан'!AJ:AJ,'Барабан'!K:K=A879)),"""")"),"")</f>
        <v/>
      </c>
      <c r="O879" s="16" t="str">
        <f>IFERROR(__xludf.DUMMYFUNCTION("IF(A879&gt;0,IFERROR(MAX(FILTER('Барабан'!AJ:AJ,'Барабан'!V:V=A879)),""–""),"""")"),"")</f>
        <v/>
      </c>
    </row>
    <row r="880" ht="15.75" customHeight="1">
      <c r="A880" s="1" t="str">
        <f>'Справочник'!E875</f>
        <v/>
      </c>
      <c r="B880" s="2" t="str">
        <f>IF(A880&gt;0,SUMIF('Барабан'!K:K,A880,'Барабан'!I:I),"")</f>
        <v/>
      </c>
      <c r="C880" s="2" t="str">
        <f>IF(A880&gt;0,SUMIF('Барабан'!V:V,A880,'Барабан'!T:T),"")</f>
        <v/>
      </c>
      <c r="D880" s="2" t="str">
        <f>IF(A880&gt;0,SUMIF('Барабан'!K:K,A880,'Барабан'!AG:AG)+SUMIF('Барабан'!V:V,A880,'Барабан'!AG:AG),"")</f>
        <v/>
      </c>
      <c r="E880" s="2" t="str">
        <f t="shared" si="1"/>
        <v/>
      </c>
      <c r="F880" s="2" t="str">
        <f t="array" ref="F880">IFERROR(IF(E880=0,0,INDEX('Справочник'!G:G,MATCH(A880,'Справочник'!F:F,0))))</f>
        <v/>
      </c>
      <c r="G880" s="2" t="str">
        <f>IF(A880&gt;0,SUMIF('Барабан'!K:K,A880,'Барабан'!P:P),"")</f>
        <v/>
      </c>
      <c r="H880" s="2" t="str">
        <f>IF(A880&gt;0,SUMIF('Барабан'!V:V,A880,'Барабан'!AA:AA),"")</f>
        <v/>
      </c>
      <c r="I880" s="2" t="str">
        <f t="shared" si="4"/>
        <v/>
      </c>
      <c r="J880" s="9" t="str">
        <f t="shared" si="2"/>
        <v/>
      </c>
      <c r="K880" s="1" t="str">
        <f>IF(A880&gt;0,COUNTIF('Барабан'!K:K,A880),"")</f>
        <v/>
      </c>
      <c r="L880" s="1" t="str">
        <f>IF(A880&gt;0,COUNTIF('Барабан'!V:V,A880),"")</f>
        <v/>
      </c>
      <c r="M880" s="1" t="str">
        <f t="shared" si="3"/>
        <v/>
      </c>
      <c r="N880" s="1" t="str">
        <f>IFERROR(__xludf.DUMMYFUNCTION("IF(A880&gt;0,MIN(FILTER('Барабан'!AJ:AJ,'Барабан'!K:K=A880)),"""")"),"")</f>
        <v/>
      </c>
      <c r="O880" s="16" t="str">
        <f>IFERROR(__xludf.DUMMYFUNCTION("IF(A880&gt;0,IFERROR(MAX(FILTER('Барабан'!AJ:AJ,'Барабан'!V:V=A880)),""–""),"""")"),"")</f>
        <v/>
      </c>
    </row>
    <row r="881" ht="15.75" customHeight="1">
      <c r="A881" s="1" t="str">
        <f>'Справочник'!E876</f>
        <v/>
      </c>
      <c r="B881" s="2" t="str">
        <f>IF(A881&gt;0,SUMIF('Барабан'!K:K,A881,'Барабан'!I:I),"")</f>
        <v/>
      </c>
      <c r="C881" s="2" t="str">
        <f>IF(A881&gt;0,SUMIF('Барабан'!V:V,A881,'Барабан'!T:T),"")</f>
        <v/>
      </c>
      <c r="D881" s="2" t="str">
        <f>IF(A881&gt;0,SUMIF('Барабан'!K:K,A881,'Барабан'!AG:AG)+SUMIF('Барабан'!V:V,A881,'Барабан'!AG:AG),"")</f>
        <v/>
      </c>
      <c r="E881" s="2" t="str">
        <f t="shared" si="1"/>
        <v/>
      </c>
      <c r="F881" s="2" t="str">
        <f t="array" ref="F881">IFERROR(IF(E881=0,0,INDEX('Справочник'!G:G,MATCH(A881,'Справочник'!F:F,0))))</f>
        <v/>
      </c>
      <c r="G881" s="2" t="str">
        <f>IF(A881&gt;0,SUMIF('Барабан'!K:K,A881,'Барабан'!P:P),"")</f>
        <v/>
      </c>
      <c r="H881" s="2" t="str">
        <f>IF(A881&gt;0,SUMIF('Барабан'!V:V,A881,'Барабан'!AA:AA),"")</f>
        <v/>
      </c>
      <c r="I881" s="2" t="str">
        <f t="shared" si="4"/>
        <v/>
      </c>
      <c r="J881" s="9" t="str">
        <f t="shared" si="2"/>
        <v/>
      </c>
      <c r="K881" s="1" t="str">
        <f>IF(A881&gt;0,COUNTIF('Барабан'!K:K,A881),"")</f>
        <v/>
      </c>
      <c r="L881" s="1" t="str">
        <f>IF(A881&gt;0,COUNTIF('Барабан'!V:V,A881),"")</f>
        <v/>
      </c>
      <c r="M881" s="1" t="str">
        <f t="shared" si="3"/>
        <v/>
      </c>
      <c r="N881" s="1" t="str">
        <f>IFERROR(__xludf.DUMMYFUNCTION("IF(A881&gt;0,MIN(FILTER('Барабан'!AJ:AJ,'Барабан'!K:K=A881)),"""")"),"")</f>
        <v/>
      </c>
      <c r="O881" s="16" t="str">
        <f>IFERROR(__xludf.DUMMYFUNCTION("IF(A881&gt;0,IFERROR(MAX(FILTER('Барабан'!AJ:AJ,'Барабан'!V:V=A881)),""–""),"""")"),"")</f>
        <v/>
      </c>
    </row>
    <row r="882" ht="15.75" customHeight="1">
      <c r="A882" s="1" t="str">
        <f>'Справочник'!E877</f>
        <v/>
      </c>
      <c r="B882" s="2" t="str">
        <f>IF(A882&gt;0,SUMIF('Барабан'!K:K,A882,'Барабан'!I:I),"")</f>
        <v/>
      </c>
      <c r="C882" s="2" t="str">
        <f>IF(A882&gt;0,SUMIF('Барабан'!V:V,A882,'Барабан'!T:T),"")</f>
        <v/>
      </c>
      <c r="D882" s="2" t="str">
        <f>IF(A882&gt;0,SUMIF('Барабан'!K:K,A882,'Барабан'!AG:AG)+SUMIF('Барабан'!V:V,A882,'Барабан'!AG:AG),"")</f>
        <v/>
      </c>
      <c r="E882" s="2" t="str">
        <f t="shared" si="1"/>
        <v/>
      </c>
      <c r="F882" s="2" t="str">
        <f t="array" ref="F882">IFERROR(IF(E882=0,0,INDEX('Справочник'!G:G,MATCH(A882,'Справочник'!F:F,0))))</f>
        <v/>
      </c>
      <c r="G882" s="2" t="str">
        <f>IF(A882&gt;0,SUMIF('Барабан'!K:K,A882,'Барабан'!P:P),"")</f>
        <v/>
      </c>
      <c r="H882" s="2" t="str">
        <f>IF(A882&gt;0,SUMIF('Барабан'!V:V,A882,'Барабан'!AA:AA),"")</f>
        <v/>
      </c>
      <c r="I882" s="2" t="str">
        <f t="shared" si="4"/>
        <v/>
      </c>
      <c r="J882" s="9" t="str">
        <f t="shared" si="2"/>
        <v/>
      </c>
      <c r="K882" s="1" t="str">
        <f>IF(A882&gt;0,COUNTIF('Барабан'!K:K,A882),"")</f>
        <v/>
      </c>
      <c r="L882" s="1" t="str">
        <f>IF(A882&gt;0,COUNTIF('Барабан'!V:V,A882),"")</f>
        <v/>
      </c>
      <c r="M882" s="1" t="str">
        <f t="shared" si="3"/>
        <v/>
      </c>
      <c r="N882" s="1" t="str">
        <f>IFERROR(__xludf.DUMMYFUNCTION("IF(A882&gt;0,MIN(FILTER('Барабан'!AJ:AJ,'Барабан'!K:K=A882)),"""")"),"")</f>
        <v/>
      </c>
      <c r="O882" s="16" t="str">
        <f>IFERROR(__xludf.DUMMYFUNCTION("IF(A882&gt;0,IFERROR(MAX(FILTER('Барабан'!AJ:AJ,'Барабан'!V:V=A882)),""–""),"""")"),"")</f>
        <v/>
      </c>
    </row>
    <row r="883" ht="15.75" customHeight="1">
      <c r="A883" s="1" t="str">
        <f>'Справочник'!E878</f>
        <v/>
      </c>
      <c r="B883" s="2" t="str">
        <f>IF(A883&gt;0,SUMIF('Барабан'!K:K,A883,'Барабан'!I:I),"")</f>
        <v/>
      </c>
      <c r="C883" s="2" t="str">
        <f>IF(A883&gt;0,SUMIF('Барабан'!V:V,A883,'Барабан'!T:T),"")</f>
        <v/>
      </c>
      <c r="D883" s="2" t="str">
        <f>IF(A883&gt;0,SUMIF('Барабан'!K:K,A883,'Барабан'!AG:AG)+SUMIF('Барабан'!V:V,A883,'Барабан'!AG:AG),"")</f>
        <v/>
      </c>
      <c r="E883" s="2" t="str">
        <f t="shared" si="1"/>
        <v/>
      </c>
      <c r="F883" s="2" t="str">
        <f t="array" ref="F883">IFERROR(IF(E883=0,0,INDEX('Справочник'!G:G,MATCH(A883,'Справочник'!F:F,0))))</f>
        <v/>
      </c>
      <c r="G883" s="2" t="str">
        <f>IF(A883&gt;0,SUMIF('Барабан'!K:K,A883,'Барабан'!P:P),"")</f>
        <v/>
      </c>
      <c r="H883" s="2" t="str">
        <f>IF(A883&gt;0,SUMIF('Барабан'!V:V,A883,'Барабан'!AA:AA),"")</f>
        <v/>
      </c>
      <c r="I883" s="2" t="str">
        <f t="shared" si="4"/>
        <v/>
      </c>
      <c r="J883" s="9" t="str">
        <f t="shared" si="2"/>
        <v/>
      </c>
      <c r="K883" s="1" t="str">
        <f>IF(A883&gt;0,COUNTIF('Барабан'!K:K,A883),"")</f>
        <v/>
      </c>
      <c r="L883" s="1" t="str">
        <f>IF(A883&gt;0,COUNTIF('Барабан'!V:V,A883),"")</f>
        <v/>
      </c>
      <c r="M883" s="1" t="str">
        <f t="shared" si="3"/>
        <v/>
      </c>
      <c r="N883" s="1" t="str">
        <f>IFERROR(__xludf.DUMMYFUNCTION("IF(A883&gt;0,MIN(FILTER('Барабан'!AJ:AJ,'Барабан'!K:K=A883)),"""")"),"")</f>
        <v/>
      </c>
      <c r="O883" s="16" t="str">
        <f>IFERROR(__xludf.DUMMYFUNCTION("IF(A883&gt;0,IFERROR(MAX(FILTER('Барабан'!AJ:AJ,'Барабан'!V:V=A883)),""–""),"""")"),"")</f>
        <v/>
      </c>
    </row>
    <row r="884" ht="15.75" customHeight="1">
      <c r="A884" s="1" t="str">
        <f>'Справочник'!E879</f>
        <v/>
      </c>
      <c r="B884" s="2" t="str">
        <f>IF(A884&gt;0,SUMIF('Барабан'!K:K,A884,'Барабан'!I:I),"")</f>
        <v/>
      </c>
      <c r="C884" s="2" t="str">
        <f>IF(A884&gt;0,SUMIF('Барабан'!V:V,A884,'Барабан'!T:T),"")</f>
        <v/>
      </c>
      <c r="D884" s="2" t="str">
        <f>IF(A884&gt;0,SUMIF('Барабан'!K:K,A884,'Барабан'!AG:AG)+SUMIF('Барабан'!V:V,A884,'Барабан'!AG:AG),"")</f>
        <v/>
      </c>
      <c r="E884" s="2" t="str">
        <f t="shared" si="1"/>
        <v/>
      </c>
      <c r="F884" s="2" t="str">
        <f t="array" ref="F884">IFERROR(IF(E884=0,0,INDEX('Справочник'!G:G,MATCH(A884,'Справочник'!F:F,0))))</f>
        <v/>
      </c>
      <c r="G884" s="2" t="str">
        <f>IF(A884&gt;0,SUMIF('Барабан'!K:K,A884,'Барабан'!P:P),"")</f>
        <v/>
      </c>
      <c r="H884" s="2" t="str">
        <f>IF(A884&gt;0,SUMIF('Барабан'!V:V,A884,'Барабан'!AA:AA),"")</f>
        <v/>
      </c>
      <c r="I884" s="2" t="str">
        <f t="shared" si="4"/>
        <v/>
      </c>
      <c r="J884" s="9" t="str">
        <f t="shared" si="2"/>
        <v/>
      </c>
      <c r="K884" s="1" t="str">
        <f>IF(A884&gt;0,COUNTIF('Барабан'!K:K,A884),"")</f>
        <v/>
      </c>
      <c r="L884" s="1" t="str">
        <f>IF(A884&gt;0,COUNTIF('Барабан'!V:V,A884),"")</f>
        <v/>
      </c>
      <c r="M884" s="1" t="str">
        <f t="shared" si="3"/>
        <v/>
      </c>
      <c r="N884" s="1" t="str">
        <f>IFERROR(__xludf.DUMMYFUNCTION("IF(A884&gt;0,MIN(FILTER('Барабан'!AJ:AJ,'Барабан'!K:K=A884)),"""")"),"")</f>
        <v/>
      </c>
      <c r="O884" s="16" t="str">
        <f>IFERROR(__xludf.DUMMYFUNCTION("IF(A884&gt;0,IFERROR(MAX(FILTER('Барабан'!AJ:AJ,'Барабан'!V:V=A884)),""–""),"""")"),"")</f>
        <v/>
      </c>
    </row>
    <row r="885" ht="15.75" customHeight="1">
      <c r="A885" s="1" t="str">
        <f>'Справочник'!E880</f>
        <v/>
      </c>
      <c r="B885" s="2" t="str">
        <f>IF(A885&gt;0,SUMIF('Барабан'!K:K,A885,'Барабан'!I:I),"")</f>
        <v/>
      </c>
      <c r="C885" s="2" t="str">
        <f>IF(A885&gt;0,SUMIF('Барабан'!V:V,A885,'Барабан'!T:T),"")</f>
        <v/>
      </c>
      <c r="D885" s="2" t="str">
        <f>IF(A885&gt;0,SUMIF('Барабан'!K:K,A885,'Барабан'!AG:AG)+SUMIF('Барабан'!V:V,A885,'Барабан'!AG:AG),"")</f>
        <v/>
      </c>
      <c r="E885" s="2" t="str">
        <f t="shared" si="1"/>
        <v/>
      </c>
      <c r="F885" s="2" t="str">
        <f t="array" ref="F885">IFERROR(IF(E885=0,0,INDEX('Справочник'!G:G,MATCH(A885,'Справочник'!F:F,0))))</f>
        <v/>
      </c>
      <c r="G885" s="2" t="str">
        <f>IF(A885&gt;0,SUMIF('Барабан'!K:K,A885,'Барабан'!P:P),"")</f>
        <v/>
      </c>
      <c r="H885" s="2" t="str">
        <f>IF(A885&gt;0,SUMIF('Барабан'!V:V,A885,'Барабан'!AA:AA),"")</f>
        <v/>
      </c>
      <c r="I885" s="2" t="str">
        <f t="shared" si="4"/>
        <v/>
      </c>
      <c r="J885" s="9" t="str">
        <f t="shared" si="2"/>
        <v/>
      </c>
      <c r="K885" s="1" t="str">
        <f>IF(A885&gt;0,COUNTIF('Барабан'!K:K,A885),"")</f>
        <v/>
      </c>
      <c r="L885" s="1" t="str">
        <f>IF(A885&gt;0,COUNTIF('Барабан'!V:V,A885),"")</f>
        <v/>
      </c>
      <c r="M885" s="1" t="str">
        <f t="shared" si="3"/>
        <v/>
      </c>
      <c r="N885" s="1" t="str">
        <f>IFERROR(__xludf.DUMMYFUNCTION("IF(A885&gt;0,MIN(FILTER('Барабан'!AJ:AJ,'Барабан'!K:K=A885)),"""")"),"")</f>
        <v/>
      </c>
      <c r="O885" s="16" t="str">
        <f>IFERROR(__xludf.DUMMYFUNCTION("IF(A885&gt;0,IFERROR(MAX(FILTER('Барабан'!AJ:AJ,'Барабан'!V:V=A885)),""–""),"""")"),"")</f>
        <v/>
      </c>
    </row>
    <row r="886" ht="15.75" customHeight="1">
      <c r="A886" s="1" t="str">
        <f>'Справочник'!E881</f>
        <v/>
      </c>
      <c r="B886" s="2" t="str">
        <f>IF(A886&gt;0,SUMIF('Барабан'!K:K,A886,'Барабан'!I:I),"")</f>
        <v/>
      </c>
      <c r="C886" s="2" t="str">
        <f>IF(A886&gt;0,SUMIF('Барабан'!V:V,A886,'Барабан'!T:T),"")</f>
        <v/>
      </c>
      <c r="D886" s="2" t="str">
        <f>IF(A886&gt;0,SUMIF('Барабан'!K:K,A886,'Барабан'!AG:AG)+SUMIF('Барабан'!V:V,A886,'Барабан'!AG:AG),"")</f>
        <v/>
      </c>
      <c r="E886" s="2" t="str">
        <f t="shared" si="1"/>
        <v/>
      </c>
      <c r="F886" s="2" t="str">
        <f t="array" ref="F886">IFERROR(IF(E886=0,0,INDEX('Справочник'!G:G,MATCH(A886,'Справочник'!F:F,0))))</f>
        <v/>
      </c>
      <c r="G886" s="2" t="str">
        <f>IF(A886&gt;0,SUMIF('Барабан'!K:K,A886,'Барабан'!P:P),"")</f>
        <v/>
      </c>
      <c r="H886" s="2" t="str">
        <f>IF(A886&gt;0,SUMIF('Барабан'!V:V,A886,'Барабан'!AA:AA),"")</f>
        <v/>
      </c>
      <c r="I886" s="2" t="str">
        <f t="shared" si="4"/>
        <v/>
      </c>
      <c r="J886" s="9" t="str">
        <f t="shared" si="2"/>
        <v/>
      </c>
      <c r="K886" s="1" t="str">
        <f>IF(A886&gt;0,COUNTIF('Барабан'!K:K,A886),"")</f>
        <v/>
      </c>
      <c r="L886" s="1" t="str">
        <f>IF(A886&gt;0,COUNTIF('Барабан'!V:V,A886),"")</f>
        <v/>
      </c>
      <c r="M886" s="1" t="str">
        <f t="shared" si="3"/>
        <v/>
      </c>
      <c r="N886" s="1" t="str">
        <f>IFERROR(__xludf.DUMMYFUNCTION("IF(A886&gt;0,MIN(FILTER('Барабан'!AJ:AJ,'Барабан'!K:K=A886)),"""")"),"")</f>
        <v/>
      </c>
      <c r="O886" s="16" t="str">
        <f>IFERROR(__xludf.DUMMYFUNCTION("IF(A886&gt;0,IFERROR(MAX(FILTER('Барабан'!AJ:AJ,'Барабан'!V:V=A886)),""–""),"""")"),"")</f>
        <v/>
      </c>
    </row>
    <row r="887" ht="15.75" customHeight="1">
      <c r="A887" s="1" t="str">
        <f>'Справочник'!E882</f>
        <v/>
      </c>
      <c r="B887" s="2" t="str">
        <f>IF(A887&gt;0,SUMIF('Барабан'!K:K,A887,'Барабан'!I:I),"")</f>
        <v/>
      </c>
      <c r="C887" s="2" t="str">
        <f>IF(A887&gt;0,SUMIF('Барабан'!V:V,A887,'Барабан'!T:T),"")</f>
        <v/>
      </c>
      <c r="D887" s="2" t="str">
        <f>IF(A887&gt;0,SUMIF('Барабан'!K:K,A887,'Барабан'!AG:AG)+SUMIF('Барабан'!V:V,A887,'Барабан'!AG:AG),"")</f>
        <v/>
      </c>
      <c r="E887" s="2" t="str">
        <f t="shared" si="1"/>
        <v/>
      </c>
      <c r="F887" s="2" t="str">
        <f t="array" ref="F887">IFERROR(IF(E887=0,0,INDEX('Справочник'!G:G,MATCH(A887,'Справочник'!F:F,0))))</f>
        <v/>
      </c>
      <c r="G887" s="2" t="str">
        <f>IF(A887&gt;0,SUMIF('Барабан'!K:K,A887,'Барабан'!P:P),"")</f>
        <v/>
      </c>
      <c r="H887" s="2" t="str">
        <f>IF(A887&gt;0,SUMIF('Барабан'!V:V,A887,'Барабан'!AA:AA),"")</f>
        <v/>
      </c>
      <c r="I887" s="2" t="str">
        <f t="shared" si="4"/>
        <v/>
      </c>
      <c r="J887" s="9" t="str">
        <f t="shared" si="2"/>
        <v/>
      </c>
      <c r="K887" s="1" t="str">
        <f>IF(A887&gt;0,COUNTIF('Барабан'!K:K,A887),"")</f>
        <v/>
      </c>
      <c r="L887" s="1" t="str">
        <f>IF(A887&gt;0,COUNTIF('Барабан'!V:V,A887),"")</f>
        <v/>
      </c>
      <c r="M887" s="1" t="str">
        <f t="shared" si="3"/>
        <v/>
      </c>
      <c r="N887" s="1" t="str">
        <f>IFERROR(__xludf.DUMMYFUNCTION("IF(A887&gt;0,MIN(FILTER('Барабан'!AJ:AJ,'Барабан'!K:K=A887)),"""")"),"")</f>
        <v/>
      </c>
      <c r="O887" s="16" t="str">
        <f>IFERROR(__xludf.DUMMYFUNCTION("IF(A887&gt;0,IFERROR(MAX(FILTER('Барабан'!AJ:AJ,'Барабан'!V:V=A887)),""–""),"""")"),"")</f>
        <v/>
      </c>
    </row>
    <row r="888" ht="15.75" customHeight="1">
      <c r="A888" s="1" t="str">
        <f>'Справочник'!E883</f>
        <v/>
      </c>
      <c r="B888" s="2" t="str">
        <f>IF(A888&gt;0,SUMIF('Барабан'!K:K,A888,'Барабан'!I:I),"")</f>
        <v/>
      </c>
      <c r="C888" s="2" t="str">
        <f>IF(A888&gt;0,SUMIF('Барабан'!V:V,A888,'Барабан'!T:T),"")</f>
        <v/>
      </c>
      <c r="D888" s="2" t="str">
        <f>IF(A888&gt;0,SUMIF('Барабан'!K:K,A888,'Барабан'!AG:AG)+SUMIF('Барабан'!V:V,A888,'Барабан'!AG:AG),"")</f>
        <v/>
      </c>
      <c r="E888" s="2" t="str">
        <f t="shared" si="1"/>
        <v/>
      </c>
      <c r="F888" s="2" t="str">
        <f t="array" ref="F888">IFERROR(IF(E888=0,0,INDEX('Справочник'!G:G,MATCH(A888,'Справочник'!F:F,0))))</f>
        <v/>
      </c>
      <c r="G888" s="2" t="str">
        <f>IF(A888&gt;0,SUMIF('Барабан'!K:K,A888,'Барабан'!P:P),"")</f>
        <v/>
      </c>
      <c r="H888" s="2" t="str">
        <f>IF(A888&gt;0,SUMIF('Барабан'!V:V,A888,'Барабан'!AA:AA),"")</f>
        <v/>
      </c>
      <c r="I888" s="2" t="str">
        <f t="shared" si="4"/>
        <v/>
      </c>
      <c r="J888" s="9" t="str">
        <f t="shared" si="2"/>
        <v/>
      </c>
      <c r="K888" s="1" t="str">
        <f>IF(A888&gt;0,COUNTIF('Барабан'!K:K,A888),"")</f>
        <v/>
      </c>
      <c r="L888" s="1" t="str">
        <f>IF(A888&gt;0,COUNTIF('Барабан'!V:V,A888),"")</f>
        <v/>
      </c>
      <c r="M888" s="1" t="str">
        <f t="shared" si="3"/>
        <v/>
      </c>
      <c r="N888" s="1" t="str">
        <f>IFERROR(__xludf.DUMMYFUNCTION("IF(A888&gt;0,MIN(FILTER('Барабан'!AJ:AJ,'Барабан'!K:K=A888)),"""")"),"")</f>
        <v/>
      </c>
      <c r="O888" s="16" t="str">
        <f>IFERROR(__xludf.DUMMYFUNCTION("IF(A888&gt;0,IFERROR(MAX(FILTER('Барабан'!AJ:AJ,'Барабан'!V:V=A888)),""–""),"""")"),"")</f>
        <v/>
      </c>
    </row>
    <row r="889" ht="15.75" customHeight="1">
      <c r="A889" s="1" t="str">
        <f>'Справочник'!E884</f>
        <v/>
      </c>
      <c r="B889" s="2" t="str">
        <f>IF(A889&gt;0,SUMIF('Барабан'!K:K,A889,'Барабан'!I:I),"")</f>
        <v/>
      </c>
      <c r="C889" s="2" t="str">
        <f>IF(A889&gt;0,SUMIF('Барабан'!V:V,A889,'Барабан'!T:T),"")</f>
        <v/>
      </c>
      <c r="D889" s="2" t="str">
        <f>IF(A889&gt;0,SUMIF('Барабан'!K:K,A889,'Барабан'!AG:AG)+SUMIF('Барабан'!V:V,A889,'Барабан'!AG:AG),"")</f>
        <v/>
      </c>
      <c r="E889" s="2" t="str">
        <f t="shared" si="1"/>
        <v/>
      </c>
      <c r="F889" s="2" t="str">
        <f t="array" ref="F889">IFERROR(IF(E889=0,0,INDEX('Справочник'!G:G,MATCH(A889,'Справочник'!F:F,0))))</f>
        <v/>
      </c>
      <c r="G889" s="2" t="str">
        <f>IF(A889&gt;0,SUMIF('Барабан'!K:K,A889,'Барабан'!P:P),"")</f>
        <v/>
      </c>
      <c r="H889" s="2" t="str">
        <f>IF(A889&gt;0,SUMIF('Барабан'!V:V,A889,'Барабан'!AA:AA),"")</f>
        <v/>
      </c>
      <c r="I889" s="2" t="str">
        <f t="shared" si="4"/>
        <v/>
      </c>
      <c r="J889" s="9" t="str">
        <f t="shared" si="2"/>
        <v/>
      </c>
      <c r="K889" s="1" t="str">
        <f>IF(A889&gt;0,COUNTIF('Барабан'!K:K,A889),"")</f>
        <v/>
      </c>
      <c r="L889" s="1" t="str">
        <f>IF(A889&gt;0,COUNTIF('Барабан'!V:V,A889),"")</f>
        <v/>
      </c>
      <c r="M889" s="1" t="str">
        <f t="shared" si="3"/>
        <v/>
      </c>
      <c r="N889" s="1" t="str">
        <f>IFERROR(__xludf.DUMMYFUNCTION("IF(A889&gt;0,MIN(FILTER('Барабан'!AJ:AJ,'Барабан'!K:K=A889)),"""")"),"")</f>
        <v/>
      </c>
      <c r="O889" s="16" t="str">
        <f>IFERROR(__xludf.DUMMYFUNCTION("IF(A889&gt;0,IFERROR(MAX(FILTER('Барабан'!AJ:AJ,'Барабан'!V:V=A889)),""–""),"""")"),"")</f>
        <v/>
      </c>
    </row>
    <row r="890" ht="15.75" customHeight="1">
      <c r="A890" s="1" t="str">
        <f>'Справочник'!E885</f>
        <v/>
      </c>
      <c r="B890" s="2" t="str">
        <f>IF(A890&gt;0,SUMIF('Барабан'!K:K,A890,'Барабан'!I:I),"")</f>
        <v/>
      </c>
      <c r="C890" s="2" t="str">
        <f>IF(A890&gt;0,SUMIF('Барабан'!V:V,A890,'Барабан'!T:T),"")</f>
        <v/>
      </c>
      <c r="D890" s="2" t="str">
        <f>IF(A890&gt;0,SUMIF('Барабан'!K:K,A890,'Барабан'!AG:AG)+SUMIF('Барабан'!V:V,A890,'Барабан'!AG:AG),"")</f>
        <v/>
      </c>
      <c r="E890" s="2" t="str">
        <f t="shared" si="1"/>
        <v/>
      </c>
      <c r="F890" s="2" t="str">
        <f t="array" ref="F890">IFERROR(IF(E890=0,0,INDEX('Справочник'!G:G,MATCH(A890,'Справочник'!F:F,0))))</f>
        <v/>
      </c>
      <c r="G890" s="2" t="str">
        <f>IF(A890&gt;0,SUMIF('Барабан'!K:K,A890,'Барабан'!P:P),"")</f>
        <v/>
      </c>
      <c r="H890" s="2" t="str">
        <f>IF(A890&gt;0,SUMIF('Барабан'!V:V,A890,'Барабан'!AA:AA),"")</f>
        <v/>
      </c>
      <c r="I890" s="2" t="str">
        <f t="shared" si="4"/>
        <v/>
      </c>
      <c r="J890" s="9" t="str">
        <f t="shared" si="2"/>
        <v/>
      </c>
      <c r="K890" s="1" t="str">
        <f>IF(A890&gt;0,COUNTIF('Барабан'!K:K,A890),"")</f>
        <v/>
      </c>
      <c r="L890" s="1" t="str">
        <f>IF(A890&gt;0,COUNTIF('Барабан'!V:V,A890),"")</f>
        <v/>
      </c>
      <c r="M890" s="1" t="str">
        <f t="shared" si="3"/>
        <v/>
      </c>
      <c r="N890" s="1" t="str">
        <f>IFERROR(__xludf.DUMMYFUNCTION("IF(A890&gt;0,MIN(FILTER('Барабан'!AJ:AJ,'Барабан'!K:K=A890)),"""")"),"")</f>
        <v/>
      </c>
      <c r="O890" s="16" t="str">
        <f>IFERROR(__xludf.DUMMYFUNCTION("IF(A890&gt;0,IFERROR(MAX(FILTER('Барабан'!AJ:AJ,'Барабан'!V:V=A890)),""–""),"""")"),"")</f>
        <v/>
      </c>
    </row>
    <row r="891" ht="15.75" customHeight="1">
      <c r="A891" s="1" t="str">
        <f>'Справочник'!E886</f>
        <v/>
      </c>
      <c r="B891" s="2" t="str">
        <f>IF(A891&gt;0,SUMIF('Барабан'!K:K,A891,'Барабан'!I:I),"")</f>
        <v/>
      </c>
      <c r="C891" s="2" t="str">
        <f>IF(A891&gt;0,SUMIF('Барабан'!V:V,A891,'Барабан'!T:T),"")</f>
        <v/>
      </c>
      <c r="D891" s="2" t="str">
        <f>IF(A891&gt;0,SUMIF('Барабан'!K:K,A891,'Барабан'!AG:AG)+SUMIF('Барабан'!V:V,A891,'Барабан'!AG:AG),"")</f>
        <v/>
      </c>
      <c r="E891" s="2" t="str">
        <f t="shared" si="1"/>
        <v/>
      </c>
      <c r="F891" s="2" t="str">
        <f t="array" ref="F891">IFERROR(IF(E891=0,0,INDEX('Справочник'!G:G,MATCH(A891,'Справочник'!F:F,0))))</f>
        <v/>
      </c>
      <c r="G891" s="2" t="str">
        <f>IF(A891&gt;0,SUMIF('Барабан'!K:K,A891,'Барабан'!P:P),"")</f>
        <v/>
      </c>
      <c r="H891" s="2" t="str">
        <f>IF(A891&gt;0,SUMIF('Барабан'!V:V,A891,'Барабан'!AA:AA),"")</f>
        <v/>
      </c>
      <c r="I891" s="2" t="str">
        <f t="shared" si="4"/>
        <v/>
      </c>
      <c r="J891" s="9" t="str">
        <f t="shared" si="2"/>
        <v/>
      </c>
      <c r="K891" s="1" t="str">
        <f>IF(A891&gt;0,COUNTIF('Барабан'!K:K,A891),"")</f>
        <v/>
      </c>
      <c r="L891" s="1" t="str">
        <f>IF(A891&gt;0,COUNTIF('Барабан'!V:V,A891),"")</f>
        <v/>
      </c>
      <c r="M891" s="1" t="str">
        <f t="shared" si="3"/>
        <v/>
      </c>
      <c r="N891" s="1" t="str">
        <f>IFERROR(__xludf.DUMMYFUNCTION("IF(A891&gt;0,MIN(FILTER('Барабан'!AJ:AJ,'Барабан'!K:K=A891)),"""")"),"")</f>
        <v/>
      </c>
      <c r="O891" s="16" t="str">
        <f>IFERROR(__xludf.DUMMYFUNCTION("IF(A891&gt;0,IFERROR(MAX(FILTER('Барабан'!AJ:AJ,'Барабан'!V:V=A891)),""–""),"""")"),"")</f>
        <v/>
      </c>
    </row>
    <row r="892" ht="15.75" customHeight="1">
      <c r="A892" s="1" t="str">
        <f>'Справочник'!E887</f>
        <v/>
      </c>
      <c r="B892" s="2" t="str">
        <f>IF(A892&gt;0,SUMIF('Барабан'!K:K,A892,'Барабан'!I:I),"")</f>
        <v/>
      </c>
      <c r="C892" s="2" t="str">
        <f>IF(A892&gt;0,SUMIF('Барабан'!V:V,A892,'Барабан'!T:T),"")</f>
        <v/>
      </c>
      <c r="D892" s="2" t="str">
        <f>IF(A892&gt;0,SUMIF('Барабан'!K:K,A892,'Барабан'!AG:AG)+SUMIF('Барабан'!V:V,A892,'Барабан'!AG:AG),"")</f>
        <v/>
      </c>
      <c r="E892" s="2" t="str">
        <f t="shared" si="1"/>
        <v/>
      </c>
      <c r="F892" s="2" t="str">
        <f t="array" ref="F892">IFERROR(IF(E892=0,0,INDEX('Справочник'!G:G,MATCH(A892,'Справочник'!F:F,0))))</f>
        <v/>
      </c>
      <c r="G892" s="2" t="str">
        <f>IF(A892&gt;0,SUMIF('Барабан'!K:K,A892,'Барабан'!P:P),"")</f>
        <v/>
      </c>
      <c r="H892" s="2" t="str">
        <f>IF(A892&gt;0,SUMIF('Барабан'!V:V,A892,'Барабан'!AA:AA),"")</f>
        <v/>
      </c>
      <c r="I892" s="2" t="str">
        <f t="shared" si="4"/>
        <v/>
      </c>
      <c r="J892" s="9" t="str">
        <f t="shared" si="2"/>
        <v/>
      </c>
      <c r="K892" s="1" t="str">
        <f>IF(A892&gt;0,COUNTIF('Барабан'!K:K,A892),"")</f>
        <v/>
      </c>
      <c r="L892" s="1" t="str">
        <f>IF(A892&gt;0,COUNTIF('Барабан'!V:V,A892),"")</f>
        <v/>
      </c>
      <c r="M892" s="1" t="str">
        <f t="shared" si="3"/>
        <v/>
      </c>
      <c r="N892" s="1" t="str">
        <f>IFERROR(__xludf.DUMMYFUNCTION("IF(A892&gt;0,MIN(FILTER('Барабан'!AJ:AJ,'Барабан'!K:K=A892)),"""")"),"")</f>
        <v/>
      </c>
      <c r="O892" s="16" t="str">
        <f>IFERROR(__xludf.DUMMYFUNCTION("IF(A892&gt;0,IFERROR(MAX(FILTER('Барабан'!AJ:AJ,'Барабан'!V:V=A892)),""–""),"""")"),"")</f>
        <v/>
      </c>
    </row>
    <row r="893" ht="15.75" customHeight="1">
      <c r="A893" s="1" t="str">
        <f>'Справочник'!E888</f>
        <v/>
      </c>
      <c r="B893" s="2" t="str">
        <f>IF(A893&gt;0,SUMIF('Барабан'!K:K,A893,'Барабан'!I:I),"")</f>
        <v/>
      </c>
      <c r="C893" s="2" t="str">
        <f>IF(A893&gt;0,SUMIF('Барабан'!V:V,A893,'Барабан'!T:T),"")</f>
        <v/>
      </c>
      <c r="D893" s="2" t="str">
        <f>IF(A893&gt;0,SUMIF('Барабан'!K:K,A893,'Барабан'!AG:AG)+SUMIF('Барабан'!V:V,A893,'Барабан'!AG:AG),"")</f>
        <v/>
      </c>
      <c r="E893" s="2" t="str">
        <f t="shared" si="1"/>
        <v/>
      </c>
      <c r="F893" s="2" t="str">
        <f t="array" ref="F893">IFERROR(IF(E893=0,0,INDEX('Справочник'!G:G,MATCH(A893,'Справочник'!F:F,0))))</f>
        <v/>
      </c>
      <c r="G893" s="2" t="str">
        <f>IF(A893&gt;0,SUMIF('Барабан'!K:K,A893,'Барабан'!P:P),"")</f>
        <v/>
      </c>
      <c r="H893" s="2" t="str">
        <f>IF(A893&gt;0,SUMIF('Барабан'!V:V,A893,'Барабан'!AA:AA),"")</f>
        <v/>
      </c>
      <c r="I893" s="2" t="str">
        <f t="shared" si="4"/>
        <v/>
      </c>
      <c r="J893" s="9" t="str">
        <f t="shared" si="2"/>
        <v/>
      </c>
      <c r="K893" s="1" t="str">
        <f>IF(A893&gt;0,COUNTIF('Барабан'!K:K,A893),"")</f>
        <v/>
      </c>
      <c r="L893" s="1" t="str">
        <f>IF(A893&gt;0,COUNTIF('Барабан'!V:V,A893),"")</f>
        <v/>
      </c>
      <c r="M893" s="1" t="str">
        <f t="shared" si="3"/>
        <v/>
      </c>
      <c r="N893" s="1" t="str">
        <f>IFERROR(__xludf.DUMMYFUNCTION("IF(A893&gt;0,MIN(FILTER('Барабан'!AJ:AJ,'Барабан'!K:K=A893)),"""")"),"")</f>
        <v/>
      </c>
      <c r="O893" s="16" t="str">
        <f>IFERROR(__xludf.DUMMYFUNCTION("IF(A893&gt;0,IFERROR(MAX(FILTER('Барабан'!AJ:AJ,'Барабан'!V:V=A893)),""–""),"""")"),"")</f>
        <v/>
      </c>
    </row>
    <row r="894" ht="15.75" customHeight="1">
      <c r="A894" s="1" t="str">
        <f>'Справочник'!E889</f>
        <v/>
      </c>
      <c r="B894" s="2" t="str">
        <f>IF(A894&gt;0,SUMIF('Барабан'!K:K,A894,'Барабан'!I:I),"")</f>
        <v/>
      </c>
      <c r="C894" s="2" t="str">
        <f>IF(A894&gt;0,SUMIF('Барабан'!V:V,A894,'Барабан'!T:T),"")</f>
        <v/>
      </c>
      <c r="D894" s="2" t="str">
        <f>IF(A894&gt;0,SUMIF('Барабан'!K:K,A894,'Барабан'!AG:AG)+SUMIF('Барабан'!V:V,A894,'Барабан'!AG:AG),"")</f>
        <v/>
      </c>
      <c r="E894" s="2" t="str">
        <f t="shared" si="1"/>
        <v/>
      </c>
      <c r="F894" s="2" t="str">
        <f t="array" ref="F894">IFERROR(IF(E894=0,0,INDEX('Справочник'!G:G,MATCH(A894,'Справочник'!F:F,0))))</f>
        <v/>
      </c>
      <c r="G894" s="2" t="str">
        <f>IF(A894&gt;0,SUMIF('Барабан'!K:K,A894,'Барабан'!P:P),"")</f>
        <v/>
      </c>
      <c r="H894" s="2" t="str">
        <f>IF(A894&gt;0,SUMIF('Барабан'!V:V,A894,'Барабан'!AA:AA),"")</f>
        <v/>
      </c>
      <c r="I894" s="2" t="str">
        <f t="shared" si="4"/>
        <v/>
      </c>
      <c r="J894" s="9" t="str">
        <f t="shared" si="2"/>
        <v/>
      </c>
      <c r="K894" s="1" t="str">
        <f>IF(A894&gt;0,COUNTIF('Барабан'!K:K,A894),"")</f>
        <v/>
      </c>
      <c r="L894" s="1" t="str">
        <f>IF(A894&gt;0,COUNTIF('Барабан'!V:V,A894),"")</f>
        <v/>
      </c>
      <c r="M894" s="1" t="str">
        <f t="shared" si="3"/>
        <v/>
      </c>
      <c r="N894" s="1" t="str">
        <f>IFERROR(__xludf.DUMMYFUNCTION("IF(A894&gt;0,MIN(FILTER('Барабан'!AJ:AJ,'Барабан'!K:K=A894)),"""")"),"")</f>
        <v/>
      </c>
      <c r="O894" s="16" t="str">
        <f>IFERROR(__xludf.DUMMYFUNCTION("IF(A894&gt;0,IFERROR(MAX(FILTER('Барабан'!AJ:AJ,'Барабан'!V:V=A894)),""–""),"""")"),"")</f>
        <v/>
      </c>
    </row>
    <row r="895" ht="15.75" customHeight="1">
      <c r="A895" s="1" t="str">
        <f>'Справочник'!E890</f>
        <v/>
      </c>
      <c r="B895" s="2" t="str">
        <f>IF(A895&gt;0,SUMIF('Барабан'!K:K,A895,'Барабан'!I:I),"")</f>
        <v/>
      </c>
      <c r="C895" s="2" t="str">
        <f>IF(A895&gt;0,SUMIF('Барабан'!V:V,A895,'Барабан'!T:T),"")</f>
        <v/>
      </c>
      <c r="D895" s="2" t="str">
        <f>IF(A895&gt;0,SUMIF('Барабан'!K:K,A895,'Барабан'!AG:AG)+SUMIF('Барабан'!V:V,A895,'Барабан'!AG:AG),"")</f>
        <v/>
      </c>
      <c r="E895" s="2" t="str">
        <f t="shared" si="1"/>
        <v/>
      </c>
      <c r="F895" s="2" t="str">
        <f t="array" ref="F895">IFERROR(IF(E895=0,0,INDEX('Справочник'!G:G,MATCH(A895,'Справочник'!F:F,0))))</f>
        <v/>
      </c>
      <c r="G895" s="2" t="str">
        <f>IF(A895&gt;0,SUMIF('Барабан'!K:K,A895,'Барабан'!P:P),"")</f>
        <v/>
      </c>
      <c r="H895" s="2" t="str">
        <f>IF(A895&gt;0,SUMIF('Барабан'!V:V,A895,'Барабан'!AA:AA),"")</f>
        <v/>
      </c>
      <c r="I895" s="2" t="str">
        <f t="shared" si="4"/>
        <v/>
      </c>
      <c r="J895" s="9" t="str">
        <f t="shared" si="2"/>
        <v/>
      </c>
      <c r="K895" s="1" t="str">
        <f>IF(A895&gt;0,COUNTIF('Барабан'!K:K,A895),"")</f>
        <v/>
      </c>
      <c r="L895" s="1" t="str">
        <f>IF(A895&gt;0,COUNTIF('Барабан'!V:V,A895),"")</f>
        <v/>
      </c>
      <c r="M895" s="1" t="str">
        <f t="shared" si="3"/>
        <v/>
      </c>
      <c r="N895" s="1" t="str">
        <f>IFERROR(__xludf.DUMMYFUNCTION("IF(A895&gt;0,MIN(FILTER('Барабан'!AJ:AJ,'Барабан'!K:K=A895)),"""")"),"")</f>
        <v/>
      </c>
      <c r="O895" s="16" t="str">
        <f>IFERROR(__xludf.DUMMYFUNCTION("IF(A895&gt;0,IFERROR(MAX(FILTER('Барабан'!AJ:AJ,'Барабан'!V:V=A895)),""–""),"""")"),"")</f>
        <v/>
      </c>
    </row>
    <row r="896" ht="15.75" customHeight="1">
      <c r="A896" s="1" t="str">
        <f>'Справочник'!E891</f>
        <v/>
      </c>
      <c r="B896" s="2" t="str">
        <f>IF(A896&gt;0,SUMIF('Барабан'!K:K,A896,'Барабан'!I:I),"")</f>
        <v/>
      </c>
      <c r="C896" s="2" t="str">
        <f>IF(A896&gt;0,SUMIF('Барабан'!V:V,A896,'Барабан'!T:T),"")</f>
        <v/>
      </c>
      <c r="D896" s="2" t="str">
        <f>IF(A896&gt;0,SUMIF('Барабан'!K:K,A896,'Барабан'!AG:AG)+SUMIF('Барабан'!V:V,A896,'Барабан'!AG:AG),"")</f>
        <v/>
      </c>
      <c r="E896" s="2" t="str">
        <f t="shared" si="1"/>
        <v/>
      </c>
      <c r="F896" s="2" t="str">
        <f t="array" ref="F896">IFERROR(IF(E896=0,0,INDEX('Справочник'!G:G,MATCH(A896,'Справочник'!F:F,0))))</f>
        <v/>
      </c>
      <c r="G896" s="2" t="str">
        <f>IF(A896&gt;0,SUMIF('Барабан'!K:K,A896,'Барабан'!P:P),"")</f>
        <v/>
      </c>
      <c r="H896" s="2" t="str">
        <f>IF(A896&gt;0,SUMIF('Барабан'!V:V,A896,'Барабан'!AA:AA),"")</f>
        <v/>
      </c>
      <c r="I896" s="2" t="str">
        <f t="shared" si="4"/>
        <v/>
      </c>
      <c r="J896" s="9" t="str">
        <f t="shared" si="2"/>
        <v/>
      </c>
      <c r="K896" s="1" t="str">
        <f>IF(A896&gt;0,COUNTIF('Барабан'!K:K,A896),"")</f>
        <v/>
      </c>
      <c r="L896" s="1" t="str">
        <f>IF(A896&gt;0,COUNTIF('Барабан'!V:V,A896),"")</f>
        <v/>
      </c>
      <c r="M896" s="1" t="str">
        <f t="shared" si="3"/>
        <v/>
      </c>
      <c r="N896" s="1" t="str">
        <f>IFERROR(__xludf.DUMMYFUNCTION("IF(A896&gt;0,MIN(FILTER('Барабан'!AJ:AJ,'Барабан'!K:K=A896)),"""")"),"")</f>
        <v/>
      </c>
      <c r="O896" s="16" t="str">
        <f>IFERROR(__xludf.DUMMYFUNCTION("IF(A896&gt;0,IFERROR(MAX(FILTER('Барабан'!AJ:AJ,'Барабан'!V:V=A896)),""–""),"""")"),"")</f>
        <v/>
      </c>
    </row>
    <row r="897" ht="15.75" customHeight="1">
      <c r="A897" s="1" t="str">
        <f>'Справочник'!E892</f>
        <v/>
      </c>
      <c r="B897" s="2" t="str">
        <f>IF(A897&gt;0,SUMIF('Барабан'!K:K,A897,'Барабан'!I:I),"")</f>
        <v/>
      </c>
      <c r="C897" s="2" t="str">
        <f>IF(A897&gt;0,SUMIF('Барабан'!V:V,A897,'Барабан'!T:T),"")</f>
        <v/>
      </c>
      <c r="D897" s="2" t="str">
        <f>IF(A897&gt;0,SUMIF('Барабан'!K:K,A897,'Барабан'!AG:AG)+SUMIF('Барабан'!V:V,A897,'Барабан'!AG:AG),"")</f>
        <v/>
      </c>
      <c r="E897" s="2" t="str">
        <f t="shared" si="1"/>
        <v/>
      </c>
      <c r="F897" s="2" t="str">
        <f t="array" ref="F897">IFERROR(IF(E897=0,0,INDEX('Справочник'!G:G,MATCH(A897,'Справочник'!F:F,0))))</f>
        <v/>
      </c>
      <c r="G897" s="2" t="str">
        <f>IF(A897&gt;0,SUMIF('Барабан'!K:K,A897,'Барабан'!P:P),"")</f>
        <v/>
      </c>
      <c r="H897" s="2" t="str">
        <f>IF(A897&gt;0,SUMIF('Барабан'!V:V,A897,'Барабан'!AA:AA),"")</f>
        <v/>
      </c>
      <c r="I897" s="2" t="str">
        <f t="shared" si="4"/>
        <v/>
      </c>
      <c r="J897" s="9" t="str">
        <f t="shared" si="2"/>
        <v/>
      </c>
      <c r="K897" s="1" t="str">
        <f>IF(A897&gt;0,COUNTIF('Барабан'!K:K,A897),"")</f>
        <v/>
      </c>
      <c r="L897" s="1" t="str">
        <f>IF(A897&gt;0,COUNTIF('Барабан'!V:V,A897),"")</f>
        <v/>
      </c>
      <c r="M897" s="1" t="str">
        <f t="shared" si="3"/>
        <v/>
      </c>
      <c r="N897" s="1" t="str">
        <f>IFERROR(__xludf.DUMMYFUNCTION("IF(A897&gt;0,MIN(FILTER('Барабан'!AJ:AJ,'Барабан'!K:K=A897)),"""")"),"")</f>
        <v/>
      </c>
      <c r="O897" s="16" t="str">
        <f>IFERROR(__xludf.DUMMYFUNCTION("IF(A897&gt;0,IFERROR(MAX(FILTER('Барабан'!AJ:AJ,'Барабан'!V:V=A897)),""–""),"""")"),"")</f>
        <v/>
      </c>
    </row>
    <row r="898" ht="15.75" customHeight="1">
      <c r="A898" s="1" t="str">
        <f>'Справочник'!E893</f>
        <v/>
      </c>
      <c r="B898" s="2" t="str">
        <f>IF(A898&gt;0,SUMIF('Барабан'!K:K,A898,'Барабан'!I:I),"")</f>
        <v/>
      </c>
      <c r="C898" s="2" t="str">
        <f>IF(A898&gt;0,SUMIF('Барабан'!V:V,A898,'Барабан'!T:T),"")</f>
        <v/>
      </c>
      <c r="D898" s="2" t="str">
        <f>IF(A898&gt;0,SUMIF('Барабан'!K:K,A898,'Барабан'!AG:AG)+SUMIF('Барабан'!V:V,A898,'Барабан'!AG:AG),"")</f>
        <v/>
      </c>
      <c r="E898" s="2" t="str">
        <f t="shared" si="1"/>
        <v/>
      </c>
      <c r="F898" s="2" t="str">
        <f t="array" ref="F898">IFERROR(IF(E898=0,0,INDEX('Справочник'!G:G,MATCH(A898,'Справочник'!F:F,0))))</f>
        <v/>
      </c>
      <c r="G898" s="2" t="str">
        <f>IF(A898&gt;0,SUMIF('Барабан'!K:K,A898,'Барабан'!P:P),"")</f>
        <v/>
      </c>
      <c r="H898" s="2" t="str">
        <f>IF(A898&gt;0,SUMIF('Барабан'!V:V,A898,'Барабан'!AA:AA),"")</f>
        <v/>
      </c>
      <c r="I898" s="2" t="str">
        <f t="shared" si="4"/>
        <v/>
      </c>
      <c r="J898" s="9" t="str">
        <f t="shared" si="2"/>
        <v/>
      </c>
      <c r="K898" s="1" t="str">
        <f>IF(A898&gt;0,COUNTIF('Барабан'!K:K,A898),"")</f>
        <v/>
      </c>
      <c r="L898" s="1" t="str">
        <f>IF(A898&gt;0,COUNTIF('Барабан'!V:V,A898),"")</f>
        <v/>
      </c>
      <c r="M898" s="1" t="str">
        <f t="shared" si="3"/>
        <v/>
      </c>
      <c r="N898" s="1" t="str">
        <f>IFERROR(__xludf.DUMMYFUNCTION("IF(A898&gt;0,MIN(FILTER('Барабан'!AJ:AJ,'Барабан'!K:K=A898)),"""")"),"")</f>
        <v/>
      </c>
      <c r="O898" s="16" t="str">
        <f>IFERROR(__xludf.DUMMYFUNCTION("IF(A898&gt;0,IFERROR(MAX(FILTER('Барабан'!AJ:AJ,'Барабан'!V:V=A898)),""–""),"""")"),"")</f>
        <v/>
      </c>
    </row>
    <row r="899" ht="15.75" customHeight="1">
      <c r="A899" s="1" t="str">
        <f>'Справочник'!E894</f>
        <v/>
      </c>
      <c r="B899" s="2" t="str">
        <f>IF(A899&gt;0,SUMIF('Барабан'!K:K,A899,'Барабан'!I:I),"")</f>
        <v/>
      </c>
      <c r="C899" s="2" t="str">
        <f>IF(A899&gt;0,SUMIF('Барабан'!V:V,A899,'Барабан'!T:T),"")</f>
        <v/>
      </c>
      <c r="D899" s="2" t="str">
        <f>IF(A899&gt;0,SUMIF('Барабан'!K:K,A899,'Барабан'!AG:AG)+SUMIF('Барабан'!V:V,A899,'Барабан'!AG:AG),"")</f>
        <v/>
      </c>
      <c r="E899" s="2" t="str">
        <f t="shared" si="1"/>
        <v/>
      </c>
      <c r="F899" s="2" t="str">
        <f t="array" ref="F899">IFERROR(IF(E899=0,0,INDEX('Справочник'!G:G,MATCH(A899,'Справочник'!F:F,0))))</f>
        <v/>
      </c>
      <c r="G899" s="2" t="str">
        <f>IF(A899&gt;0,SUMIF('Барабан'!K:K,A899,'Барабан'!P:P),"")</f>
        <v/>
      </c>
      <c r="H899" s="2" t="str">
        <f>IF(A899&gt;0,SUMIF('Барабан'!V:V,A899,'Барабан'!AA:AA),"")</f>
        <v/>
      </c>
      <c r="I899" s="2" t="str">
        <f t="shared" si="4"/>
        <v/>
      </c>
      <c r="J899" s="9" t="str">
        <f t="shared" si="2"/>
        <v/>
      </c>
      <c r="K899" s="1" t="str">
        <f>IF(A899&gt;0,COUNTIF('Барабан'!K:K,A899),"")</f>
        <v/>
      </c>
      <c r="L899" s="1" t="str">
        <f>IF(A899&gt;0,COUNTIF('Барабан'!V:V,A899),"")</f>
        <v/>
      </c>
      <c r="M899" s="1" t="str">
        <f t="shared" si="3"/>
        <v/>
      </c>
      <c r="N899" s="1" t="str">
        <f>IFERROR(__xludf.DUMMYFUNCTION("IF(A899&gt;0,MIN(FILTER('Барабан'!AJ:AJ,'Барабан'!K:K=A899)),"""")"),"")</f>
        <v/>
      </c>
      <c r="O899" s="16" t="str">
        <f>IFERROR(__xludf.DUMMYFUNCTION("IF(A899&gt;0,IFERROR(MAX(FILTER('Барабан'!AJ:AJ,'Барабан'!V:V=A899)),""–""),"""")"),"")</f>
        <v/>
      </c>
    </row>
    <row r="900" ht="15.75" customHeight="1">
      <c r="A900" s="1" t="str">
        <f>'Справочник'!E895</f>
        <v/>
      </c>
      <c r="B900" s="2" t="str">
        <f>IF(A900&gt;0,SUMIF('Барабан'!K:K,A900,'Барабан'!I:I),"")</f>
        <v/>
      </c>
      <c r="C900" s="2" t="str">
        <f>IF(A900&gt;0,SUMIF('Барабан'!V:V,A900,'Барабан'!T:T),"")</f>
        <v/>
      </c>
      <c r="D900" s="2" t="str">
        <f>IF(A900&gt;0,SUMIF('Барабан'!K:K,A900,'Барабан'!AG:AG)+SUMIF('Барабан'!V:V,A900,'Барабан'!AG:AG),"")</f>
        <v/>
      </c>
      <c r="E900" s="2" t="str">
        <f t="shared" si="1"/>
        <v/>
      </c>
      <c r="F900" s="2" t="str">
        <f t="array" ref="F900">IFERROR(IF(E900=0,0,INDEX('Справочник'!G:G,MATCH(A900,'Справочник'!F:F,0))))</f>
        <v/>
      </c>
      <c r="G900" s="2" t="str">
        <f>IF(A900&gt;0,SUMIF('Барабан'!K:K,A900,'Барабан'!P:P),"")</f>
        <v/>
      </c>
      <c r="H900" s="2" t="str">
        <f>IF(A900&gt;0,SUMIF('Барабан'!V:V,A900,'Барабан'!AA:AA),"")</f>
        <v/>
      </c>
      <c r="I900" s="2" t="str">
        <f t="shared" si="4"/>
        <v/>
      </c>
      <c r="J900" s="9" t="str">
        <f t="shared" si="2"/>
        <v/>
      </c>
      <c r="K900" s="1" t="str">
        <f>IF(A900&gt;0,COUNTIF('Барабан'!K:K,A900),"")</f>
        <v/>
      </c>
      <c r="L900" s="1" t="str">
        <f>IF(A900&gt;0,COUNTIF('Барабан'!V:V,A900),"")</f>
        <v/>
      </c>
      <c r="M900" s="1" t="str">
        <f t="shared" si="3"/>
        <v/>
      </c>
      <c r="N900" s="1" t="str">
        <f>IFERROR(__xludf.DUMMYFUNCTION("IF(A900&gt;0,MIN(FILTER('Барабан'!AJ:AJ,'Барабан'!K:K=A900)),"""")"),"")</f>
        <v/>
      </c>
      <c r="O900" s="16" t="str">
        <f>IFERROR(__xludf.DUMMYFUNCTION("IF(A900&gt;0,IFERROR(MAX(FILTER('Барабан'!AJ:AJ,'Барабан'!V:V=A900)),""–""),"""")"),"")</f>
        <v/>
      </c>
    </row>
    <row r="901" ht="15.75" customHeight="1">
      <c r="A901" s="1" t="str">
        <f>'Справочник'!E896</f>
        <v/>
      </c>
      <c r="B901" s="2" t="str">
        <f>IF(A901&gt;0,SUMIF('Барабан'!K:K,A901,'Барабан'!I:I),"")</f>
        <v/>
      </c>
      <c r="C901" s="2" t="str">
        <f>IF(A901&gt;0,SUMIF('Барабан'!V:V,A901,'Барабан'!T:T),"")</f>
        <v/>
      </c>
      <c r="D901" s="2" t="str">
        <f>IF(A901&gt;0,SUMIF('Барабан'!K:K,A901,'Барабан'!AG:AG)+SUMIF('Барабан'!V:V,A901,'Барабан'!AG:AG),"")</f>
        <v/>
      </c>
      <c r="E901" s="2" t="str">
        <f t="shared" si="1"/>
        <v/>
      </c>
      <c r="F901" s="2" t="str">
        <f t="array" ref="F901">IFERROR(IF(E901=0,0,INDEX('Справочник'!G:G,MATCH(A901,'Справочник'!F:F,0))))</f>
        <v/>
      </c>
      <c r="G901" s="2" t="str">
        <f>IF(A901&gt;0,SUMIF('Барабан'!K:K,A901,'Барабан'!P:P),"")</f>
        <v/>
      </c>
      <c r="H901" s="2" t="str">
        <f>IF(A901&gt;0,SUMIF('Барабан'!V:V,A901,'Барабан'!AA:AA),"")</f>
        <v/>
      </c>
      <c r="I901" s="2" t="str">
        <f t="shared" si="4"/>
        <v/>
      </c>
      <c r="J901" s="9" t="str">
        <f t="shared" si="2"/>
        <v/>
      </c>
      <c r="K901" s="1" t="str">
        <f>IF(A901&gt;0,COUNTIF('Барабан'!K:K,A901),"")</f>
        <v/>
      </c>
      <c r="L901" s="1" t="str">
        <f>IF(A901&gt;0,COUNTIF('Барабан'!V:V,A901),"")</f>
        <v/>
      </c>
      <c r="M901" s="1" t="str">
        <f t="shared" si="3"/>
        <v/>
      </c>
      <c r="N901" s="1" t="str">
        <f>IFERROR(__xludf.DUMMYFUNCTION("IF(A901&gt;0,MIN(FILTER('Барабан'!AJ:AJ,'Барабан'!K:K=A901)),"""")"),"")</f>
        <v/>
      </c>
      <c r="O901" s="16" t="str">
        <f>IFERROR(__xludf.DUMMYFUNCTION("IF(A901&gt;0,IFERROR(MAX(FILTER('Барабан'!AJ:AJ,'Барабан'!V:V=A901)),""–""),"""")"),"")</f>
        <v/>
      </c>
    </row>
    <row r="902" ht="15.75" customHeight="1">
      <c r="A902" s="1" t="str">
        <f>'Справочник'!E897</f>
        <v/>
      </c>
      <c r="B902" s="2" t="str">
        <f>IF(A902&gt;0,SUMIF('Барабан'!K:K,A902,'Барабан'!I:I),"")</f>
        <v/>
      </c>
      <c r="C902" s="2" t="str">
        <f>IF(A902&gt;0,SUMIF('Барабан'!V:V,A902,'Барабан'!T:T),"")</f>
        <v/>
      </c>
      <c r="D902" s="2" t="str">
        <f>IF(A902&gt;0,SUMIF('Барабан'!K:K,A902,'Барабан'!AG:AG)+SUMIF('Барабан'!V:V,A902,'Барабан'!AG:AG),"")</f>
        <v/>
      </c>
      <c r="E902" s="2" t="str">
        <f t="shared" si="1"/>
        <v/>
      </c>
      <c r="F902" s="2" t="str">
        <f t="array" ref="F902">IFERROR(IF(E902=0,0,INDEX('Справочник'!G:G,MATCH(A902,'Справочник'!F:F,0))))</f>
        <v/>
      </c>
      <c r="G902" s="2" t="str">
        <f>IF(A902&gt;0,SUMIF('Барабан'!K:K,A902,'Барабан'!P:P),"")</f>
        <v/>
      </c>
      <c r="H902" s="2" t="str">
        <f>IF(A902&gt;0,SUMIF('Барабан'!V:V,A902,'Барабан'!AA:AA),"")</f>
        <v/>
      </c>
      <c r="I902" s="2" t="str">
        <f t="shared" si="4"/>
        <v/>
      </c>
      <c r="J902" s="9" t="str">
        <f t="shared" si="2"/>
        <v/>
      </c>
      <c r="K902" s="1" t="str">
        <f>IF(A902&gt;0,COUNTIF('Барабан'!K:K,A902),"")</f>
        <v/>
      </c>
      <c r="L902" s="1" t="str">
        <f>IF(A902&gt;0,COUNTIF('Барабан'!V:V,A902),"")</f>
        <v/>
      </c>
      <c r="M902" s="1" t="str">
        <f t="shared" si="3"/>
        <v/>
      </c>
      <c r="N902" s="1" t="str">
        <f>IFERROR(__xludf.DUMMYFUNCTION("IF(A902&gt;0,MIN(FILTER('Барабан'!AJ:AJ,'Барабан'!K:K=A902)),"""")"),"")</f>
        <v/>
      </c>
      <c r="O902" s="16" t="str">
        <f>IFERROR(__xludf.DUMMYFUNCTION("IF(A902&gt;0,IFERROR(MAX(FILTER('Барабан'!AJ:AJ,'Барабан'!V:V=A902)),""–""),"""")"),"")</f>
        <v/>
      </c>
    </row>
    <row r="903" ht="15.75" customHeight="1">
      <c r="A903" s="1" t="str">
        <f>'Справочник'!E898</f>
        <v/>
      </c>
      <c r="B903" s="2" t="str">
        <f>IF(A903&gt;0,SUMIF('Барабан'!K:K,A903,'Барабан'!I:I),"")</f>
        <v/>
      </c>
      <c r="C903" s="2" t="str">
        <f>IF(A903&gt;0,SUMIF('Барабан'!V:V,A903,'Барабан'!T:T),"")</f>
        <v/>
      </c>
      <c r="D903" s="2" t="str">
        <f>IF(A903&gt;0,SUMIF('Барабан'!K:K,A903,'Барабан'!AG:AG)+SUMIF('Барабан'!V:V,A903,'Барабан'!AG:AG),"")</f>
        <v/>
      </c>
      <c r="E903" s="2" t="str">
        <f t="shared" si="1"/>
        <v/>
      </c>
      <c r="F903" s="2" t="str">
        <f t="array" ref="F903">IFERROR(IF(E903=0,0,INDEX('Справочник'!G:G,MATCH(A903,'Справочник'!F:F,0))))</f>
        <v/>
      </c>
      <c r="G903" s="2" t="str">
        <f>IF(A903&gt;0,SUMIF('Барабан'!K:K,A903,'Барабан'!P:P),"")</f>
        <v/>
      </c>
      <c r="H903" s="2" t="str">
        <f>IF(A903&gt;0,SUMIF('Барабан'!V:V,A903,'Барабан'!AA:AA),"")</f>
        <v/>
      </c>
      <c r="I903" s="2" t="str">
        <f t="shared" si="4"/>
        <v/>
      </c>
      <c r="J903" s="9" t="str">
        <f t="shared" si="2"/>
        <v/>
      </c>
      <c r="K903" s="1" t="str">
        <f>IF(A903&gt;0,COUNTIF('Барабан'!K:K,A903),"")</f>
        <v/>
      </c>
      <c r="L903" s="1" t="str">
        <f>IF(A903&gt;0,COUNTIF('Барабан'!V:V,A903),"")</f>
        <v/>
      </c>
      <c r="M903" s="1" t="str">
        <f t="shared" si="3"/>
        <v/>
      </c>
      <c r="N903" s="1" t="str">
        <f>IFERROR(__xludf.DUMMYFUNCTION("IF(A903&gt;0,MIN(FILTER('Барабан'!AJ:AJ,'Барабан'!K:K=A903)),"""")"),"")</f>
        <v/>
      </c>
      <c r="O903" s="16" t="str">
        <f>IFERROR(__xludf.DUMMYFUNCTION("IF(A903&gt;0,IFERROR(MAX(FILTER('Барабан'!AJ:AJ,'Барабан'!V:V=A903)),""–""),"""")"),"")</f>
        <v/>
      </c>
    </row>
    <row r="904" ht="15.75" customHeight="1">
      <c r="A904" s="1" t="str">
        <f>'Справочник'!E899</f>
        <v/>
      </c>
      <c r="B904" s="2" t="str">
        <f>IF(A904&gt;0,SUMIF('Барабан'!K:K,A904,'Барабан'!I:I),"")</f>
        <v/>
      </c>
      <c r="C904" s="2" t="str">
        <f>IF(A904&gt;0,SUMIF('Барабан'!V:V,A904,'Барабан'!T:T),"")</f>
        <v/>
      </c>
      <c r="D904" s="2" t="str">
        <f>IF(A904&gt;0,SUMIF('Барабан'!K:K,A904,'Барабан'!AG:AG)+SUMIF('Барабан'!V:V,A904,'Барабан'!AG:AG),"")</f>
        <v/>
      </c>
      <c r="E904" s="2" t="str">
        <f t="shared" si="1"/>
        <v/>
      </c>
      <c r="F904" s="2" t="str">
        <f t="array" ref="F904">IFERROR(IF(E904=0,0,INDEX('Справочник'!G:G,MATCH(A904,'Справочник'!F:F,0))))</f>
        <v/>
      </c>
      <c r="G904" s="2" t="str">
        <f>IF(A904&gt;0,SUMIF('Барабан'!K:K,A904,'Барабан'!P:P),"")</f>
        <v/>
      </c>
      <c r="H904" s="2" t="str">
        <f>IF(A904&gt;0,SUMIF('Барабан'!V:V,A904,'Барабан'!AA:AA),"")</f>
        <v/>
      </c>
      <c r="I904" s="2" t="str">
        <f t="shared" si="4"/>
        <v/>
      </c>
      <c r="J904" s="9" t="str">
        <f t="shared" si="2"/>
        <v/>
      </c>
      <c r="K904" s="1" t="str">
        <f>IF(A904&gt;0,COUNTIF('Барабан'!K:K,A904),"")</f>
        <v/>
      </c>
      <c r="L904" s="1" t="str">
        <f>IF(A904&gt;0,COUNTIF('Барабан'!V:V,A904),"")</f>
        <v/>
      </c>
      <c r="M904" s="1" t="str">
        <f t="shared" si="3"/>
        <v/>
      </c>
      <c r="N904" s="1" t="str">
        <f>IFERROR(__xludf.DUMMYFUNCTION("IF(A904&gt;0,MIN(FILTER('Барабан'!AJ:AJ,'Барабан'!K:K=A904)),"""")"),"")</f>
        <v/>
      </c>
      <c r="O904" s="16" t="str">
        <f>IFERROR(__xludf.DUMMYFUNCTION("IF(A904&gt;0,IFERROR(MAX(FILTER('Барабан'!AJ:AJ,'Барабан'!V:V=A904)),""–""),"""")"),"")</f>
        <v/>
      </c>
    </row>
    <row r="905" ht="15.75" customHeight="1">
      <c r="A905" s="1" t="str">
        <f>'Справочник'!E900</f>
        <v/>
      </c>
      <c r="B905" s="2" t="str">
        <f>IF(A905&gt;0,SUMIF('Барабан'!K:K,A905,'Барабан'!I:I),"")</f>
        <v/>
      </c>
      <c r="C905" s="2" t="str">
        <f>IF(A905&gt;0,SUMIF('Барабан'!V:V,A905,'Барабан'!T:T),"")</f>
        <v/>
      </c>
      <c r="D905" s="2" t="str">
        <f>IF(A905&gt;0,SUMIF('Барабан'!K:K,A905,'Барабан'!AG:AG)+SUMIF('Барабан'!V:V,A905,'Барабан'!AG:AG),"")</f>
        <v/>
      </c>
      <c r="E905" s="2" t="str">
        <f t="shared" si="1"/>
        <v/>
      </c>
      <c r="F905" s="2" t="str">
        <f t="array" ref="F905">IFERROR(IF(E905=0,0,INDEX('Справочник'!G:G,MATCH(A905,'Справочник'!F:F,0))))</f>
        <v/>
      </c>
      <c r="G905" s="2" t="str">
        <f>IF(A905&gt;0,SUMIF('Барабан'!K:K,A905,'Барабан'!P:P),"")</f>
        <v/>
      </c>
      <c r="H905" s="2" t="str">
        <f>IF(A905&gt;0,SUMIF('Барабан'!V:V,A905,'Барабан'!AA:AA),"")</f>
        <v/>
      </c>
      <c r="I905" s="2" t="str">
        <f t="shared" si="4"/>
        <v/>
      </c>
      <c r="J905" s="9" t="str">
        <f t="shared" si="2"/>
        <v/>
      </c>
      <c r="K905" s="1" t="str">
        <f>IF(A905&gt;0,COUNTIF('Барабан'!K:K,A905),"")</f>
        <v/>
      </c>
      <c r="L905" s="1" t="str">
        <f>IF(A905&gt;0,COUNTIF('Барабан'!V:V,A905),"")</f>
        <v/>
      </c>
      <c r="M905" s="1" t="str">
        <f t="shared" si="3"/>
        <v/>
      </c>
      <c r="N905" s="1" t="str">
        <f>IFERROR(__xludf.DUMMYFUNCTION("IF(A905&gt;0,MIN(FILTER('Барабан'!AJ:AJ,'Барабан'!K:K=A905)),"""")"),"")</f>
        <v/>
      </c>
      <c r="O905" s="16" t="str">
        <f>IFERROR(__xludf.DUMMYFUNCTION("IF(A905&gt;0,IFERROR(MAX(FILTER('Барабан'!AJ:AJ,'Барабан'!V:V=A905)),""–""),"""")"),"")</f>
        <v/>
      </c>
    </row>
    <row r="906" ht="15.75" customHeight="1">
      <c r="A906" s="1" t="str">
        <f>'Справочник'!E901</f>
        <v/>
      </c>
      <c r="B906" s="2" t="str">
        <f>IF(A906&gt;0,SUMIF('Барабан'!K:K,A906,'Барабан'!I:I),"")</f>
        <v/>
      </c>
      <c r="C906" s="2" t="str">
        <f>IF(A906&gt;0,SUMIF('Барабан'!V:V,A906,'Барабан'!T:T),"")</f>
        <v/>
      </c>
      <c r="D906" s="2" t="str">
        <f>IF(A906&gt;0,SUMIF('Барабан'!K:K,A906,'Барабан'!AG:AG)+SUMIF('Барабан'!V:V,A906,'Барабан'!AG:AG),"")</f>
        <v/>
      </c>
      <c r="E906" s="2" t="str">
        <f t="shared" si="1"/>
        <v/>
      </c>
      <c r="F906" s="2" t="str">
        <f t="array" ref="F906">IFERROR(IF(E906=0,0,INDEX('Справочник'!G:G,MATCH(A906,'Справочник'!F:F,0))))</f>
        <v/>
      </c>
      <c r="G906" s="2" t="str">
        <f>IF(A906&gt;0,SUMIF('Барабан'!K:K,A906,'Барабан'!P:P),"")</f>
        <v/>
      </c>
      <c r="H906" s="2" t="str">
        <f>IF(A906&gt;0,SUMIF('Барабан'!V:V,A906,'Барабан'!AA:AA),"")</f>
        <v/>
      </c>
      <c r="I906" s="2" t="str">
        <f t="shared" si="4"/>
        <v/>
      </c>
      <c r="J906" s="9" t="str">
        <f t="shared" si="2"/>
        <v/>
      </c>
      <c r="K906" s="1" t="str">
        <f>IF(A906&gt;0,COUNTIF('Барабан'!K:K,A906),"")</f>
        <v/>
      </c>
      <c r="L906" s="1" t="str">
        <f>IF(A906&gt;0,COUNTIF('Барабан'!V:V,A906),"")</f>
        <v/>
      </c>
      <c r="M906" s="1" t="str">
        <f t="shared" si="3"/>
        <v/>
      </c>
      <c r="N906" s="1" t="str">
        <f>IFERROR(__xludf.DUMMYFUNCTION("IF(A906&gt;0,MIN(FILTER('Барабан'!AJ:AJ,'Барабан'!K:K=A906)),"""")"),"")</f>
        <v/>
      </c>
      <c r="O906" s="16" t="str">
        <f>IFERROR(__xludf.DUMMYFUNCTION("IF(A906&gt;0,IFERROR(MAX(FILTER('Барабан'!AJ:AJ,'Барабан'!V:V=A906)),""–""),"""")"),"")</f>
        <v/>
      </c>
    </row>
    <row r="907" ht="15.75" customHeight="1">
      <c r="A907" s="1" t="str">
        <f>'Справочник'!E902</f>
        <v/>
      </c>
      <c r="B907" s="2" t="str">
        <f>IF(A907&gt;0,SUMIF('Барабан'!K:K,A907,'Барабан'!I:I),"")</f>
        <v/>
      </c>
      <c r="C907" s="2" t="str">
        <f>IF(A907&gt;0,SUMIF('Барабан'!V:V,A907,'Барабан'!T:T),"")</f>
        <v/>
      </c>
      <c r="D907" s="2" t="str">
        <f>IF(A907&gt;0,SUMIF('Барабан'!K:K,A907,'Барабан'!AG:AG)+SUMIF('Барабан'!V:V,A907,'Барабан'!AG:AG),"")</f>
        <v/>
      </c>
      <c r="E907" s="2" t="str">
        <f t="shared" si="1"/>
        <v/>
      </c>
      <c r="F907" s="2" t="str">
        <f t="array" ref="F907">IFERROR(IF(E907=0,0,INDEX('Справочник'!G:G,MATCH(A907,'Справочник'!F:F,0))))</f>
        <v/>
      </c>
      <c r="G907" s="2" t="str">
        <f>IF(A907&gt;0,SUMIF('Барабан'!K:K,A907,'Барабан'!P:P),"")</f>
        <v/>
      </c>
      <c r="H907" s="2" t="str">
        <f>IF(A907&gt;0,SUMIF('Барабан'!V:V,A907,'Барабан'!AA:AA),"")</f>
        <v/>
      </c>
      <c r="I907" s="2" t="str">
        <f t="shared" si="4"/>
        <v/>
      </c>
      <c r="J907" s="9" t="str">
        <f t="shared" si="2"/>
        <v/>
      </c>
      <c r="K907" s="1" t="str">
        <f>IF(A907&gt;0,COUNTIF('Барабан'!K:K,A907),"")</f>
        <v/>
      </c>
      <c r="L907" s="1" t="str">
        <f>IF(A907&gt;0,COUNTIF('Барабан'!V:V,A907),"")</f>
        <v/>
      </c>
      <c r="M907" s="1" t="str">
        <f t="shared" si="3"/>
        <v/>
      </c>
      <c r="N907" s="1" t="str">
        <f>IFERROR(__xludf.DUMMYFUNCTION("IF(A907&gt;0,MIN(FILTER('Барабан'!AJ:AJ,'Барабан'!K:K=A907)),"""")"),"")</f>
        <v/>
      </c>
      <c r="O907" s="16" t="str">
        <f>IFERROR(__xludf.DUMMYFUNCTION("IF(A907&gt;0,IFERROR(MAX(FILTER('Барабан'!AJ:AJ,'Барабан'!V:V=A907)),""–""),"""")"),"")</f>
        <v/>
      </c>
    </row>
    <row r="908" ht="15.75" customHeight="1">
      <c r="A908" s="1" t="str">
        <f>'Справочник'!E903</f>
        <v/>
      </c>
      <c r="B908" s="2" t="str">
        <f>IF(A908&gt;0,SUMIF('Барабан'!K:K,A908,'Барабан'!I:I),"")</f>
        <v/>
      </c>
      <c r="C908" s="2" t="str">
        <f>IF(A908&gt;0,SUMIF('Барабан'!V:V,A908,'Барабан'!T:T),"")</f>
        <v/>
      </c>
      <c r="D908" s="2" t="str">
        <f>IF(A908&gt;0,SUMIF('Барабан'!K:K,A908,'Барабан'!AG:AG)+SUMIF('Барабан'!V:V,A908,'Барабан'!AG:AG),"")</f>
        <v/>
      </c>
      <c r="E908" s="2" t="str">
        <f t="shared" si="1"/>
        <v/>
      </c>
      <c r="F908" s="2" t="str">
        <f t="array" ref="F908">IFERROR(IF(E908=0,0,INDEX('Справочник'!G:G,MATCH(A908,'Справочник'!F:F,0))))</f>
        <v/>
      </c>
      <c r="G908" s="2" t="str">
        <f>IF(A908&gt;0,SUMIF('Барабан'!K:K,A908,'Барабан'!P:P),"")</f>
        <v/>
      </c>
      <c r="H908" s="2" t="str">
        <f>IF(A908&gt;0,SUMIF('Барабан'!V:V,A908,'Барабан'!AA:AA),"")</f>
        <v/>
      </c>
      <c r="I908" s="2" t="str">
        <f t="shared" si="4"/>
        <v/>
      </c>
      <c r="J908" s="9" t="str">
        <f t="shared" si="2"/>
        <v/>
      </c>
      <c r="K908" s="1" t="str">
        <f>IF(A908&gt;0,COUNTIF('Барабан'!K:K,A908),"")</f>
        <v/>
      </c>
      <c r="L908" s="1" t="str">
        <f>IF(A908&gt;0,COUNTIF('Барабан'!V:V,A908),"")</f>
        <v/>
      </c>
      <c r="M908" s="1" t="str">
        <f t="shared" si="3"/>
        <v/>
      </c>
      <c r="N908" s="1" t="str">
        <f>IFERROR(__xludf.DUMMYFUNCTION("IF(A908&gt;0,MIN(FILTER('Барабан'!AJ:AJ,'Барабан'!K:K=A908)),"""")"),"")</f>
        <v/>
      </c>
      <c r="O908" s="16" t="str">
        <f>IFERROR(__xludf.DUMMYFUNCTION("IF(A908&gt;0,IFERROR(MAX(FILTER('Барабан'!AJ:AJ,'Барабан'!V:V=A908)),""–""),"""")"),"")</f>
        <v/>
      </c>
    </row>
    <row r="909" ht="15.75" customHeight="1">
      <c r="A909" s="1" t="str">
        <f>'Справочник'!E904</f>
        <v/>
      </c>
      <c r="B909" s="2" t="str">
        <f>IF(A909&gt;0,SUMIF('Барабан'!K:K,A909,'Барабан'!I:I),"")</f>
        <v/>
      </c>
      <c r="C909" s="2" t="str">
        <f>IF(A909&gt;0,SUMIF('Барабан'!V:V,A909,'Барабан'!T:T),"")</f>
        <v/>
      </c>
      <c r="D909" s="2" t="str">
        <f>IF(A909&gt;0,SUMIF('Барабан'!K:K,A909,'Барабан'!AG:AG)+SUMIF('Барабан'!V:V,A909,'Барабан'!AG:AG),"")</f>
        <v/>
      </c>
      <c r="E909" s="2" t="str">
        <f t="shared" si="1"/>
        <v/>
      </c>
      <c r="F909" s="2" t="str">
        <f t="array" ref="F909">IFERROR(IF(E909=0,0,INDEX('Справочник'!G:G,MATCH(A909,'Справочник'!F:F,0))))</f>
        <v/>
      </c>
      <c r="G909" s="2" t="str">
        <f>IF(A909&gt;0,SUMIF('Барабан'!K:K,A909,'Барабан'!P:P),"")</f>
        <v/>
      </c>
      <c r="H909" s="2" t="str">
        <f>IF(A909&gt;0,SUMIF('Барабан'!V:V,A909,'Барабан'!AA:AA),"")</f>
        <v/>
      </c>
      <c r="I909" s="2" t="str">
        <f t="shared" si="4"/>
        <v/>
      </c>
      <c r="J909" s="9" t="str">
        <f t="shared" si="2"/>
        <v/>
      </c>
      <c r="K909" s="1" t="str">
        <f>IF(A909&gt;0,COUNTIF('Барабан'!K:K,A909),"")</f>
        <v/>
      </c>
      <c r="L909" s="1" t="str">
        <f>IF(A909&gt;0,COUNTIF('Барабан'!V:V,A909),"")</f>
        <v/>
      </c>
      <c r="M909" s="1" t="str">
        <f t="shared" si="3"/>
        <v/>
      </c>
      <c r="N909" s="1" t="str">
        <f>IFERROR(__xludf.DUMMYFUNCTION("IF(A909&gt;0,MIN(FILTER('Барабан'!AJ:AJ,'Барабан'!K:K=A909)),"""")"),"")</f>
        <v/>
      </c>
      <c r="O909" s="16" t="str">
        <f>IFERROR(__xludf.DUMMYFUNCTION("IF(A909&gt;0,IFERROR(MAX(FILTER('Барабан'!AJ:AJ,'Барабан'!V:V=A909)),""–""),"""")"),"")</f>
        <v/>
      </c>
    </row>
    <row r="910" ht="15.75" customHeight="1">
      <c r="A910" s="1" t="str">
        <f>'Справочник'!E905</f>
        <v/>
      </c>
      <c r="B910" s="2" t="str">
        <f>IF(A910&gt;0,SUMIF('Барабан'!K:K,A910,'Барабан'!I:I),"")</f>
        <v/>
      </c>
      <c r="C910" s="2" t="str">
        <f>IF(A910&gt;0,SUMIF('Барабан'!V:V,A910,'Барабан'!T:T),"")</f>
        <v/>
      </c>
      <c r="D910" s="2" t="str">
        <f>IF(A910&gt;0,SUMIF('Барабан'!K:K,A910,'Барабан'!AG:AG)+SUMIF('Барабан'!V:V,A910,'Барабан'!AG:AG),"")</f>
        <v/>
      </c>
      <c r="E910" s="2" t="str">
        <f t="shared" si="1"/>
        <v/>
      </c>
      <c r="F910" s="2" t="str">
        <f t="array" ref="F910">IFERROR(IF(E910=0,0,INDEX('Справочник'!G:G,MATCH(A910,'Справочник'!F:F,0))))</f>
        <v/>
      </c>
      <c r="G910" s="2" t="str">
        <f>IF(A910&gt;0,SUMIF('Барабан'!K:K,A910,'Барабан'!P:P),"")</f>
        <v/>
      </c>
      <c r="H910" s="2" t="str">
        <f>IF(A910&gt;0,SUMIF('Барабан'!V:V,A910,'Барабан'!AA:AA),"")</f>
        <v/>
      </c>
      <c r="I910" s="2" t="str">
        <f t="shared" si="4"/>
        <v/>
      </c>
      <c r="J910" s="9" t="str">
        <f t="shared" si="2"/>
        <v/>
      </c>
      <c r="K910" s="1" t="str">
        <f>IF(A910&gt;0,COUNTIF('Барабан'!K:K,A910),"")</f>
        <v/>
      </c>
      <c r="L910" s="1" t="str">
        <f>IF(A910&gt;0,COUNTIF('Барабан'!V:V,A910),"")</f>
        <v/>
      </c>
      <c r="M910" s="1" t="str">
        <f t="shared" si="3"/>
        <v/>
      </c>
      <c r="N910" s="1" t="str">
        <f>IFERROR(__xludf.DUMMYFUNCTION("IF(A910&gt;0,MIN(FILTER('Барабан'!AJ:AJ,'Барабан'!K:K=A910)),"""")"),"")</f>
        <v/>
      </c>
      <c r="O910" s="16" t="str">
        <f>IFERROR(__xludf.DUMMYFUNCTION("IF(A910&gt;0,IFERROR(MAX(FILTER('Барабан'!AJ:AJ,'Барабан'!V:V=A910)),""–""),"""")"),"")</f>
        <v/>
      </c>
    </row>
    <row r="911" ht="15.75" customHeight="1">
      <c r="A911" s="1" t="str">
        <f>'Справочник'!E906</f>
        <v/>
      </c>
      <c r="B911" s="2" t="str">
        <f>IF(A911&gt;0,SUMIF('Барабан'!K:K,A911,'Барабан'!I:I),"")</f>
        <v/>
      </c>
      <c r="C911" s="2" t="str">
        <f>IF(A911&gt;0,SUMIF('Барабан'!V:V,A911,'Барабан'!T:T),"")</f>
        <v/>
      </c>
      <c r="D911" s="2" t="str">
        <f>IF(A911&gt;0,SUMIF('Барабан'!K:K,A911,'Барабан'!AG:AG)+SUMIF('Барабан'!V:V,A911,'Барабан'!AG:AG),"")</f>
        <v/>
      </c>
      <c r="E911" s="2" t="str">
        <f t="shared" si="1"/>
        <v/>
      </c>
      <c r="F911" s="2" t="str">
        <f t="array" ref="F911">IFERROR(IF(E911=0,0,INDEX('Справочник'!G:G,MATCH(A911,'Справочник'!F:F,0))))</f>
        <v/>
      </c>
      <c r="G911" s="2" t="str">
        <f>IF(A911&gt;0,SUMIF('Барабан'!K:K,A911,'Барабан'!P:P),"")</f>
        <v/>
      </c>
      <c r="H911" s="2" t="str">
        <f>IF(A911&gt;0,SUMIF('Барабан'!V:V,A911,'Барабан'!AA:AA),"")</f>
        <v/>
      </c>
      <c r="I911" s="2" t="str">
        <f t="shared" si="4"/>
        <v/>
      </c>
      <c r="J911" s="9" t="str">
        <f t="shared" si="2"/>
        <v/>
      </c>
      <c r="K911" s="1" t="str">
        <f>IF(A911&gt;0,COUNTIF('Барабан'!K:K,A911),"")</f>
        <v/>
      </c>
      <c r="L911" s="1" t="str">
        <f>IF(A911&gt;0,COUNTIF('Барабан'!V:V,A911),"")</f>
        <v/>
      </c>
      <c r="M911" s="1" t="str">
        <f t="shared" si="3"/>
        <v/>
      </c>
      <c r="N911" s="1" t="str">
        <f>IFERROR(__xludf.DUMMYFUNCTION("IF(A911&gt;0,MIN(FILTER('Барабан'!AJ:AJ,'Барабан'!K:K=A911)),"""")"),"")</f>
        <v/>
      </c>
      <c r="O911" s="16" t="str">
        <f>IFERROR(__xludf.DUMMYFUNCTION("IF(A911&gt;0,IFERROR(MAX(FILTER('Барабан'!AJ:AJ,'Барабан'!V:V=A911)),""–""),"""")"),"")</f>
        <v/>
      </c>
    </row>
    <row r="912" ht="15.75" customHeight="1">
      <c r="A912" s="1" t="str">
        <f>'Справочник'!E907</f>
        <v/>
      </c>
      <c r="B912" s="2" t="str">
        <f>IF(A912&gt;0,SUMIF('Барабан'!K:K,A912,'Барабан'!I:I),"")</f>
        <v/>
      </c>
      <c r="C912" s="2" t="str">
        <f>IF(A912&gt;0,SUMIF('Барабан'!V:V,A912,'Барабан'!T:T),"")</f>
        <v/>
      </c>
      <c r="D912" s="2" t="str">
        <f>IF(A912&gt;0,SUMIF('Барабан'!K:K,A912,'Барабан'!AG:AG)+SUMIF('Барабан'!V:V,A912,'Барабан'!AG:AG),"")</f>
        <v/>
      </c>
      <c r="E912" s="2" t="str">
        <f t="shared" si="1"/>
        <v/>
      </c>
      <c r="F912" s="2" t="str">
        <f t="array" ref="F912">IFERROR(IF(E912=0,0,INDEX('Справочник'!G:G,MATCH(A912,'Справочник'!F:F,0))))</f>
        <v/>
      </c>
      <c r="G912" s="2" t="str">
        <f>IF(A912&gt;0,SUMIF('Барабан'!K:K,A912,'Барабан'!P:P),"")</f>
        <v/>
      </c>
      <c r="H912" s="2" t="str">
        <f>IF(A912&gt;0,SUMIF('Барабан'!V:V,A912,'Барабан'!AA:AA),"")</f>
        <v/>
      </c>
      <c r="I912" s="2" t="str">
        <f t="shared" si="4"/>
        <v/>
      </c>
      <c r="J912" s="9" t="str">
        <f t="shared" si="2"/>
        <v/>
      </c>
      <c r="K912" s="1" t="str">
        <f>IF(A912&gt;0,COUNTIF('Барабан'!K:K,A912),"")</f>
        <v/>
      </c>
      <c r="L912" s="1" t="str">
        <f>IF(A912&gt;0,COUNTIF('Барабан'!V:V,A912),"")</f>
        <v/>
      </c>
      <c r="M912" s="1" t="str">
        <f t="shared" si="3"/>
        <v/>
      </c>
      <c r="N912" s="1" t="str">
        <f>IFERROR(__xludf.DUMMYFUNCTION("IF(A912&gt;0,MIN(FILTER('Барабан'!AJ:AJ,'Барабан'!K:K=A912)),"""")"),"")</f>
        <v/>
      </c>
      <c r="O912" s="16" t="str">
        <f>IFERROR(__xludf.DUMMYFUNCTION("IF(A912&gt;0,IFERROR(MAX(FILTER('Барабан'!AJ:AJ,'Барабан'!V:V=A912)),""–""),"""")"),"")</f>
        <v/>
      </c>
    </row>
    <row r="913" ht="15.75" customHeight="1">
      <c r="A913" s="1" t="str">
        <f>'Справочник'!E908</f>
        <v/>
      </c>
      <c r="B913" s="2" t="str">
        <f>IF(A913&gt;0,SUMIF('Барабан'!K:K,A913,'Барабан'!I:I),"")</f>
        <v/>
      </c>
      <c r="C913" s="2" t="str">
        <f>IF(A913&gt;0,SUMIF('Барабан'!V:V,A913,'Барабан'!T:T),"")</f>
        <v/>
      </c>
      <c r="D913" s="2" t="str">
        <f>IF(A913&gt;0,SUMIF('Барабан'!K:K,A913,'Барабан'!AG:AG)+SUMIF('Барабан'!V:V,A913,'Барабан'!AG:AG),"")</f>
        <v/>
      </c>
      <c r="E913" s="2" t="str">
        <f t="shared" si="1"/>
        <v/>
      </c>
      <c r="F913" s="2" t="str">
        <f t="array" ref="F913">IFERROR(IF(E913=0,0,INDEX('Справочник'!G:G,MATCH(A913,'Справочник'!F:F,0))))</f>
        <v/>
      </c>
      <c r="G913" s="2" t="str">
        <f>IF(A913&gt;0,SUMIF('Барабан'!K:K,A913,'Барабан'!P:P),"")</f>
        <v/>
      </c>
      <c r="H913" s="2" t="str">
        <f>IF(A913&gt;0,SUMIF('Барабан'!V:V,A913,'Барабан'!AA:AA),"")</f>
        <v/>
      </c>
      <c r="I913" s="2" t="str">
        <f t="shared" si="4"/>
        <v/>
      </c>
      <c r="J913" s="9" t="str">
        <f t="shared" si="2"/>
        <v/>
      </c>
      <c r="K913" s="1" t="str">
        <f>IF(A913&gt;0,COUNTIF('Барабан'!K:K,A913),"")</f>
        <v/>
      </c>
      <c r="L913" s="1" t="str">
        <f>IF(A913&gt;0,COUNTIF('Барабан'!V:V,A913),"")</f>
        <v/>
      </c>
      <c r="M913" s="1" t="str">
        <f t="shared" si="3"/>
        <v/>
      </c>
      <c r="N913" s="1" t="str">
        <f>IFERROR(__xludf.DUMMYFUNCTION("IF(A913&gt;0,MIN(FILTER('Барабан'!AJ:AJ,'Барабан'!K:K=A913)),"""")"),"")</f>
        <v/>
      </c>
      <c r="O913" s="16" t="str">
        <f>IFERROR(__xludf.DUMMYFUNCTION("IF(A913&gt;0,IFERROR(MAX(FILTER('Барабан'!AJ:AJ,'Барабан'!V:V=A913)),""–""),"""")"),"")</f>
        <v/>
      </c>
    </row>
    <row r="914" ht="15.75" customHeight="1">
      <c r="A914" s="1" t="str">
        <f>'Справочник'!E909</f>
        <v/>
      </c>
      <c r="B914" s="2" t="str">
        <f>IF(A914&gt;0,SUMIF('Барабан'!K:K,A914,'Барабан'!I:I),"")</f>
        <v/>
      </c>
      <c r="C914" s="2" t="str">
        <f>IF(A914&gt;0,SUMIF('Барабан'!V:V,A914,'Барабан'!T:T),"")</f>
        <v/>
      </c>
      <c r="D914" s="2" t="str">
        <f>IF(A914&gt;0,SUMIF('Барабан'!K:K,A914,'Барабан'!AG:AG)+SUMIF('Барабан'!V:V,A914,'Барабан'!AG:AG),"")</f>
        <v/>
      </c>
      <c r="E914" s="2" t="str">
        <f t="shared" si="1"/>
        <v/>
      </c>
      <c r="F914" s="2" t="str">
        <f t="array" ref="F914">IFERROR(IF(E914=0,0,INDEX('Справочник'!G:G,MATCH(A914,'Справочник'!F:F,0))))</f>
        <v/>
      </c>
      <c r="G914" s="2" t="str">
        <f>IF(A914&gt;0,SUMIF('Барабан'!K:K,A914,'Барабан'!P:P),"")</f>
        <v/>
      </c>
      <c r="H914" s="2" t="str">
        <f>IF(A914&gt;0,SUMIF('Барабан'!V:V,A914,'Барабан'!AA:AA),"")</f>
        <v/>
      </c>
      <c r="I914" s="2" t="str">
        <f t="shared" si="4"/>
        <v/>
      </c>
      <c r="J914" s="9" t="str">
        <f t="shared" si="2"/>
        <v/>
      </c>
      <c r="K914" s="1" t="str">
        <f>IF(A914&gt;0,COUNTIF('Барабан'!K:K,A914),"")</f>
        <v/>
      </c>
      <c r="L914" s="1" t="str">
        <f>IF(A914&gt;0,COUNTIF('Барабан'!V:V,A914),"")</f>
        <v/>
      </c>
      <c r="M914" s="1" t="str">
        <f t="shared" si="3"/>
        <v/>
      </c>
      <c r="N914" s="1" t="str">
        <f>IFERROR(__xludf.DUMMYFUNCTION("IF(A914&gt;0,MIN(FILTER('Барабан'!AJ:AJ,'Барабан'!K:K=A914)),"""")"),"")</f>
        <v/>
      </c>
      <c r="O914" s="16" t="str">
        <f>IFERROR(__xludf.DUMMYFUNCTION("IF(A914&gt;0,IFERROR(MAX(FILTER('Барабан'!AJ:AJ,'Барабан'!V:V=A914)),""–""),"""")"),"")</f>
        <v/>
      </c>
    </row>
    <row r="915" ht="15.75" customHeight="1">
      <c r="A915" s="1" t="str">
        <f>'Справочник'!E910</f>
        <v/>
      </c>
      <c r="B915" s="2" t="str">
        <f>IF(A915&gt;0,SUMIF('Барабан'!K:K,A915,'Барабан'!I:I),"")</f>
        <v/>
      </c>
      <c r="C915" s="2" t="str">
        <f>IF(A915&gt;0,SUMIF('Барабан'!V:V,A915,'Барабан'!T:T),"")</f>
        <v/>
      </c>
      <c r="D915" s="2" t="str">
        <f>IF(A915&gt;0,SUMIF('Барабан'!K:K,A915,'Барабан'!AG:AG)+SUMIF('Барабан'!V:V,A915,'Барабан'!AG:AG),"")</f>
        <v/>
      </c>
      <c r="E915" s="2" t="str">
        <f t="shared" si="1"/>
        <v/>
      </c>
      <c r="F915" s="2" t="str">
        <f t="array" ref="F915">IFERROR(IF(E915=0,0,INDEX('Справочник'!G:G,MATCH(A915,'Справочник'!F:F,0))))</f>
        <v/>
      </c>
      <c r="G915" s="2" t="str">
        <f>IF(A915&gt;0,SUMIF('Барабан'!K:K,A915,'Барабан'!P:P),"")</f>
        <v/>
      </c>
      <c r="H915" s="2" t="str">
        <f>IF(A915&gt;0,SUMIF('Барабан'!V:V,A915,'Барабан'!AA:AA),"")</f>
        <v/>
      </c>
      <c r="I915" s="2" t="str">
        <f t="shared" si="4"/>
        <v/>
      </c>
      <c r="J915" s="9" t="str">
        <f t="shared" si="2"/>
        <v/>
      </c>
      <c r="K915" s="1" t="str">
        <f>IF(A915&gt;0,COUNTIF('Барабан'!K:K,A915),"")</f>
        <v/>
      </c>
      <c r="L915" s="1" t="str">
        <f>IF(A915&gt;0,COUNTIF('Барабан'!V:V,A915),"")</f>
        <v/>
      </c>
      <c r="M915" s="1" t="str">
        <f t="shared" si="3"/>
        <v/>
      </c>
      <c r="N915" s="1" t="str">
        <f>IFERROR(__xludf.DUMMYFUNCTION("IF(A915&gt;0,MIN(FILTER('Барабан'!AJ:AJ,'Барабан'!K:K=A915)),"""")"),"")</f>
        <v/>
      </c>
      <c r="O915" s="16" t="str">
        <f>IFERROR(__xludf.DUMMYFUNCTION("IF(A915&gt;0,IFERROR(MAX(FILTER('Барабан'!AJ:AJ,'Барабан'!V:V=A915)),""–""),"""")"),"")</f>
        <v/>
      </c>
    </row>
    <row r="916" ht="15.75" customHeight="1">
      <c r="A916" s="1" t="str">
        <f>'Справочник'!E911</f>
        <v/>
      </c>
      <c r="B916" s="2" t="str">
        <f>IF(A916&gt;0,SUMIF('Барабан'!K:K,A916,'Барабан'!I:I),"")</f>
        <v/>
      </c>
      <c r="C916" s="2" t="str">
        <f>IF(A916&gt;0,SUMIF('Барабан'!V:V,A916,'Барабан'!T:T),"")</f>
        <v/>
      </c>
      <c r="D916" s="2" t="str">
        <f>IF(A916&gt;0,SUMIF('Барабан'!K:K,A916,'Барабан'!AG:AG)+SUMIF('Барабан'!V:V,A916,'Барабан'!AG:AG),"")</f>
        <v/>
      </c>
      <c r="E916" s="2" t="str">
        <f t="shared" si="1"/>
        <v/>
      </c>
      <c r="F916" s="2" t="str">
        <f t="array" ref="F916">IFERROR(IF(E916=0,0,INDEX('Справочник'!G:G,MATCH(A916,'Справочник'!F:F,0))))</f>
        <v/>
      </c>
      <c r="G916" s="2" t="str">
        <f>IF(A916&gt;0,SUMIF('Барабан'!K:K,A916,'Барабан'!P:P),"")</f>
        <v/>
      </c>
      <c r="H916" s="2" t="str">
        <f>IF(A916&gt;0,SUMIF('Барабан'!V:V,A916,'Барабан'!AA:AA),"")</f>
        <v/>
      </c>
      <c r="I916" s="2" t="str">
        <f t="shared" si="4"/>
        <v/>
      </c>
      <c r="J916" s="9" t="str">
        <f t="shared" si="2"/>
        <v/>
      </c>
      <c r="K916" s="1" t="str">
        <f>IF(A916&gt;0,COUNTIF('Барабан'!K:K,A916),"")</f>
        <v/>
      </c>
      <c r="L916" s="1" t="str">
        <f>IF(A916&gt;0,COUNTIF('Барабан'!V:V,A916),"")</f>
        <v/>
      </c>
      <c r="M916" s="1" t="str">
        <f t="shared" si="3"/>
        <v/>
      </c>
      <c r="N916" s="1" t="str">
        <f>IFERROR(__xludf.DUMMYFUNCTION("IF(A916&gt;0,MIN(FILTER('Барабан'!AJ:AJ,'Барабан'!K:K=A916)),"""")"),"")</f>
        <v/>
      </c>
      <c r="O916" s="16" t="str">
        <f>IFERROR(__xludf.DUMMYFUNCTION("IF(A916&gt;0,IFERROR(MAX(FILTER('Барабан'!AJ:AJ,'Барабан'!V:V=A916)),""–""),"""")"),"")</f>
        <v/>
      </c>
    </row>
    <row r="917" ht="15.75" customHeight="1">
      <c r="A917" s="1" t="str">
        <f>'Справочник'!E912</f>
        <v/>
      </c>
      <c r="B917" s="2" t="str">
        <f>IF(A917&gt;0,SUMIF('Барабан'!K:K,A917,'Барабан'!I:I),"")</f>
        <v/>
      </c>
      <c r="C917" s="2" t="str">
        <f>IF(A917&gt;0,SUMIF('Барабан'!V:V,A917,'Барабан'!T:T),"")</f>
        <v/>
      </c>
      <c r="D917" s="2" t="str">
        <f>IF(A917&gt;0,SUMIF('Барабан'!K:K,A917,'Барабан'!AG:AG)+SUMIF('Барабан'!V:V,A917,'Барабан'!AG:AG),"")</f>
        <v/>
      </c>
      <c r="E917" s="2" t="str">
        <f t="shared" si="1"/>
        <v/>
      </c>
      <c r="F917" s="2" t="str">
        <f t="array" ref="F917">IFERROR(IF(E917=0,0,INDEX('Справочник'!G:G,MATCH(A917,'Справочник'!F:F,0))))</f>
        <v/>
      </c>
      <c r="G917" s="2" t="str">
        <f>IF(A917&gt;0,SUMIF('Барабан'!K:K,A917,'Барабан'!P:P),"")</f>
        <v/>
      </c>
      <c r="H917" s="2" t="str">
        <f>IF(A917&gt;0,SUMIF('Барабан'!V:V,A917,'Барабан'!AA:AA),"")</f>
        <v/>
      </c>
      <c r="I917" s="2" t="str">
        <f t="shared" si="4"/>
        <v/>
      </c>
      <c r="J917" s="9" t="str">
        <f t="shared" si="2"/>
        <v/>
      </c>
      <c r="K917" s="1" t="str">
        <f>IF(A917&gt;0,COUNTIF('Барабан'!K:K,A917),"")</f>
        <v/>
      </c>
      <c r="L917" s="1" t="str">
        <f>IF(A917&gt;0,COUNTIF('Барабан'!V:V,A917),"")</f>
        <v/>
      </c>
      <c r="M917" s="1" t="str">
        <f t="shared" si="3"/>
        <v/>
      </c>
      <c r="N917" s="1" t="str">
        <f>IFERROR(__xludf.DUMMYFUNCTION("IF(A917&gt;0,MIN(FILTER('Барабан'!AJ:AJ,'Барабан'!K:K=A917)),"""")"),"")</f>
        <v/>
      </c>
      <c r="O917" s="16" t="str">
        <f>IFERROR(__xludf.DUMMYFUNCTION("IF(A917&gt;0,IFERROR(MAX(FILTER('Барабан'!AJ:AJ,'Барабан'!V:V=A917)),""–""),"""")"),"")</f>
        <v/>
      </c>
    </row>
    <row r="918" ht="15.75" customHeight="1">
      <c r="A918" s="1" t="str">
        <f>'Справочник'!E913</f>
        <v/>
      </c>
      <c r="B918" s="2" t="str">
        <f>IF(A918&gt;0,SUMIF('Барабан'!K:K,A918,'Барабан'!I:I),"")</f>
        <v/>
      </c>
      <c r="C918" s="2" t="str">
        <f>IF(A918&gt;0,SUMIF('Барабан'!V:V,A918,'Барабан'!T:T),"")</f>
        <v/>
      </c>
      <c r="D918" s="2" t="str">
        <f>IF(A918&gt;0,SUMIF('Барабан'!K:K,A918,'Барабан'!AG:AG)+SUMIF('Барабан'!V:V,A918,'Барабан'!AG:AG),"")</f>
        <v/>
      </c>
      <c r="E918" s="2" t="str">
        <f t="shared" si="1"/>
        <v/>
      </c>
      <c r="F918" s="2" t="str">
        <f t="array" ref="F918">IFERROR(IF(E918=0,0,INDEX('Справочник'!G:G,MATCH(A918,'Справочник'!F:F,0))))</f>
        <v/>
      </c>
      <c r="G918" s="2" t="str">
        <f>IF(A918&gt;0,SUMIF('Барабан'!K:K,A918,'Барабан'!P:P),"")</f>
        <v/>
      </c>
      <c r="H918" s="2" t="str">
        <f>IF(A918&gt;0,SUMIF('Барабан'!V:V,A918,'Барабан'!AA:AA),"")</f>
        <v/>
      </c>
      <c r="I918" s="2" t="str">
        <f t="shared" si="4"/>
        <v/>
      </c>
      <c r="J918" s="9" t="str">
        <f t="shared" si="2"/>
        <v/>
      </c>
      <c r="K918" s="1" t="str">
        <f>IF(A918&gt;0,COUNTIF('Барабан'!K:K,A918),"")</f>
        <v/>
      </c>
      <c r="L918" s="1" t="str">
        <f>IF(A918&gt;0,COUNTIF('Барабан'!V:V,A918),"")</f>
        <v/>
      </c>
      <c r="M918" s="1" t="str">
        <f t="shared" si="3"/>
        <v/>
      </c>
      <c r="N918" s="1" t="str">
        <f>IFERROR(__xludf.DUMMYFUNCTION("IF(A918&gt;0,MIN(FILTER('Барабан'!AJ:AJ,'Барабан'!K:K=A918)),"""")"),"")</f>
        <v/>
      </c>
      <c r="O918" s="16" t="str">
        <f>IFERROR(__xludf.DUMMYFUNCTION("IF(A918&gt;0,IFERROR(MAX(FILTER('Барабан'!AJ:AJ,'Барабан'!V:V=A918)),""–""),"""")"),"")</f>
        <v/>
      </c>
    </row>
    <row r="919" ht="15.75" customHeight="1">
      <c r="A919" s="1" t="str">
        <f>'Справочник'!E914</f>
        <v/>
      </c>
      <c r="B919" s="2" t="str">
        <f>IF(A919&gt;0,SUMIF('Барабан'!K:K,A919,'Барабан'!I:I),"")</f>
        <v/>
      </c>
      <c r="C919" s="2" t="str">
        <f>IF(A919&gt;0,SUMIF('Барабан'!V:V,A919,'Барабан'!T:T),"")</f>
        <v/>
      </c>
      <c r="D919" s="2" t="str">
        <f>IF(A919&gt;0,SUMIF('Барабан'!K:K,A919,'Барабан'!AG:AG)+SUMIF('Барабан'!V:V,A919,'Барабан'!AG:AG),"")</f>
        <v/>
      </c>
      <c r="E919" s="2" t="str">
        <f t="shared" si="1"/>
        <v/>
      </c>
      <c r="F919" s="2" t="str">
        <f t="array" ref="F919">IFERROR(IF(E919=0,0,INDEX('Справочник'!G:G,MATCH(A919,'Справочник'!F:F,0))))</f>
        <v/>
      </c>
      <c r="G919" s="2" t="str">
        <f>IF(A919&gt;0,SUMIF('Барабан'!K:K,A919,'Барабан'!P:P),"")</f>
        <v/>
      </c>
      <c r="H919" s="2" t="str">
        <f>IF(A919&gt;0,SUMIF('Барабан'!V:V,A919,'Барабан'!AA:AA),"")</f>
        <v/>
      </c>
      <c r="I919" s="2" t="str">
        <f t="shared" si="4"/>
        <v/>
      </c>
      <c r="J919" s="9" t="str">
        <f t="shared" si="2"/>
        <v/>
      </c>
      <c r="K919" s="1" t="str">
        <f>IF(A919&gt;0,COUNTIF('Барабан'!K:K,A919),"")</f>
        <v/>
      </c>
      <c r="L919" s="1" t="str">
        <f>IF(A919&gt;0,COUNTIF('Барабан'!V:V,A919),"")</f>
        <v/>
      </c>
      <c r="M919" s="1" t="str">
        <f t="shared" si="3"/>
        <v/>
      </c>
      <c r="N919" s="1" t="str">
        <f>IFERROR(__xludf.DUMMYFUNCTION("IF(A919&gt;0,MIN(FILTER('Барабан'!AJ:AJ,'Барабан'!K:K=A919)),"""")"),"")</f>
        <v/>
      </c>
      <c r="O919" s="16" t="str">
        <f>IFERROR(__xludf.DUMMYFUNCTION("IF(A919&gt;0,IFERROR(MAX(FILTER('Барабан'!AJ:AJ,'Барабан'!V:V=A919)),""–""),"""")"),"")</f>
        <v/>
      </c>
    </row>
    <row r="920" ht="15.75" customHeight="1">
      <c r="A920" s="1" t="str">
        <f>'Справочник'!E915</f>
        <v/>
      </c>
      <c r="B920" s="2" t="str">
        <f>IF(A920&gt;0,SUMIF('Барабан'!K:K,A920,'Барабан'!I:I),"")</f>
        <v/>
      </c>
      <c r="C920" s="2" t="str">
        <f>IF(A920&gt;0,SUMIF('Барабан'!V:V,A920,'Барабан'!T:T),"")</f>
        <v/>
      </c>
      <c r="D920" s="2" t="str">
        <f>IF(A920&gt;0,SUMIF('Барабан'!K:K,A920,'Барабан'!AG:AG)+SUMIF('Барабан'!V:V,A920,'Барабан'!AG:AG),"")</f>
        <v/>
      </c>
      <c r="E920" s="2" t="str">
        <f t="shared" si="1"/>
        <v/>
      </c>
      <c r="F920" s="2" t="str">
        <f t="array" ref="F920">IFERROR(IF(E920=0,0,INDEX('Справочник'!G:G,MATCH(A920,'Справочник'!F:F,0))))</f>
        <v/>
      </c>
      <c r="G920" s="2" t="str">
        <f>IF(A920&gt;0,SUMIF('Барабан'!K:K,A920,'Барабан'!P:P),"")</f>
        <v/>
      </c>
      <c r="H920" s="2" t="str">
        <f>IF(A920&gt;0,SUMIF('Барабан'!V:V,A920,'Барабан'!AA:AA),"")</f>
        <v/>
      </c>
      <c r="I920" s="2" t="str">
        <f t="shared" si="4"/>
        <v/>
      </c>
      <c r="J920" s="9" t="str">
        <f t="shared" si="2"/>
        <v/>
      </c>
      <c r="K920" s="1" t="str">
        <f>IF(A920&gt;0,COUNTIF('Барабан'!K:K,A920),"")</f>
        <v/>
      </c>
      <c r="L920" s="1" t="str">
        <f>IF(A920&gt;0,COUNTIF('Барабан'!V:V,A920),"")</f>
        <v/>
      </c>
      <c r="M920" s="1" t="str">
        <f t="shared" si="3"/>
        <v/>
      </c>
      <c r="N920" s="1" t="str">
        <f>IFERROR(__xludf.DUMMYFUNCTION("IF(A920&gt;0,MIN(FILTER('Барабан'!AJ:AJ,'Барабан'!K:K=A920)),"""")"),"")</f>
        <v/>
      </c>
      <c r="O920" s="16" t="str">
        <f>IFERROR(__xludf.DUMMYFUNCTION("IF(A920&gt;0,IFERROR(MAX(FILTER('Барабан'!AJ:AJ,'Барабан'!V:V=A920)),""–""),"""")"),"")</f>
        <v/>
      </c>
    </row>
    <row r="921" ht="15.75" customHeight="1">
      <c r="A921" s="1" t="str">
        <f>'Справочник'!E916</f>
        <v/>
      </c>
      <c r="B921" s="2" t="str">
        <f>IF(A921&gt;0,SUMIF('Барабан'!K:K,A921,'Барабан'!I:I),"")</f>
        <v/>
      </c>
      <c r="C921" s="2" t="str">
        <f>IF(A921&gt;0,SUMIF('Барабан'!V:V,A921,'Барабан'!T:T),"")</f>
        <v/>
      </c>
      <c r="D921" s="2" t="str">
        <f>IF(A921&gt;0,SUMIF('Барабан'!K:K,A921,'Барабан'!AG:AG)+SUMIF('Барабан'!V:V,A921,'Барабан'!AG:AG),"")</f>
        <v/>
      </c>
      <c r="E921" s="2" t="str">
        <f t="shared" si="1"/>
        <v/>
      </c>
      <c r="F921" s="2" t="str">
        <f t="array" ref="F921">IFERROR(IF(E921=0,0,INDEX('Справочник'!G:G,MATCH(A921,'Справочник'!F:F,0))))</f>
        <v/>
      </c>
      <c r="G921" s="2" t="str">
        <f>IF(A921&gt;0,SUMIF('Барабан'!K:K,A921,'Барабан'!P:P),"")</f>
        <v/>
      </c>
      <c r="H921" s="2" t="str">
        <f>IF(A921&gt;0,SUMIF('Барабан'!V:V,A921,'Барабан'!AA:AA),"")</f>
        <v/>
      </c>
      <c r="I921" s="2" t="str">
        <f t="shared" si="4"/>
        <v/>
      </c>
      <c r="J921" s="9" t="str">
        <f t="shared" si="2"/>
        <v/>
      </c>
      <c r="K921" s="1" t="str">
        <f>IF(A921&gt;0,COUNTIF('Барабан'!K:K,A921),"")</f>
        <v/>
      </c>
      <c r="L921" s="1" t="str">
        <f>IF(A921&gt;0,COUNTIF('Барабан'!V:V,A921),"")</f>
        <v/>
      </c>
      <c r="M921" s="1" t="str">
        <f t="shared" si="3"/>
        <v/>
      </c>
      <c r="N921" s="1" t="str">
        <f>IFERROR(__xludf.DUMMYFUNCTION("IF(A921&gt;0,MIN(FILTER('Барабан'!AJ:AJ,'Барабан'!K:K=A921)),"""")"),"")</f>
        <v/>
      </c>
      <c r="O921" s="16" t="str">
        <f>IFERROR(__xludf.DUMMYFUNCTION("IF(A921&gt;0,IFERROR(MAX(FILTER('Барабан'!AJ:AJ,'Барабан'!V:V=A921)),""–""),"""")"),"")</f>
        <v/>
      </c>
    </row>
    <row r="922" ht="15.75" customHeight="1">
      <c r="A922" s="1" t="str">
        <f>'Справочник'!E917</f>
        <v/>
      </c>
      <c r="B922" s="2" t="str">
        <f>IF(A922&gt;0,SUMIF('Барабан'!K:K,A922,'Барабан'!I:I),"")</f>
        <v/>
      </c>
      <c r="C922" s="2" t="str">
        <f>IF(A922&gt;0,SUMIF('Барабан'!V:V,A922,'Барабан'!T:T),"")</f>
        <v/>
      </c>
      <c r="D922" s="2" t="str">
        <f>IF(A922&gt;0,SUMIF('Барабан'!K:K,A922,'Барабан'!AG:AG)+SUMIF('Барабан'!V:V,A922,'Барабан'!AG:AG),"")</f>
        <v/>
      </c>
      <c r="E922" s="2" t="str">
        <f t="shared" si="1"/>
        <v/>
      </c>
      <c r="F922" s="2" t="str">
        <f t="array" ref="F922">IFERROR(IF(E922=0,0,INDEX('Справочник'!G:G,MATCH(A922,'Справочник'!F:F,0))))</f>
        <v/>
      </c>
      <c r="G922" s="2" t="str">
        <f>IF(A922&gt;0,SUMIF('Барабан'!K:K,A922,'Барабан'!P:P),"")</f>
        <v/>
      </c>
      <c r="H922" s="2" t="str">
        <f>IF(A922&gt;0,SUMIF('Барабан'!V:V,A922,'Барабан'!AA:AA),"")</f>
        <v/>
      </c>
      <c r="I922" s="2" t="str">
        <f t="shared" si="4"/>
        <v/>
      </c>
      <c r="J922" s="9" t="str">
        <f t="shared" si="2"/>
        <v/>
      </c>
      <c r="K922" s="1" t="str">
        <f>IF(A922&gt;0,COUNTIF('Барабан'!K:K,A922),"")</f>
        <v/>
      </c>
      <c r="L922" s="1" t="str">
        <f>IF(A922&gt;0,COUNTIF('Барабан'!V:V,A922),"")</f>
        <v/>
      </c>
      <c r="M922" s="1" t="str">
        <f t="shared" si="3"/>
        <v/>
      </c>
      <c r="N922" s="1" t="str">
        <f>IFERROR(__xludf.DUMMYFUNCTION("IF(A922&gt;0,MIN(FILTER('Барабан'!AJ:AJ,'Барабан'!K:K=A922)),"""")"),"")</f>
        <v/>
      </c>
      <c r="O922" s="16" t="str">
        <f>IFERROR(__xludf.DUMMYFUNCTION("IF(A922&gt;0,IFERROR(MAX(FILTER('Барабан'!AJ:AJ,'Барабан'!V:V=A922)),""–""),"""")"),"")</f>
        <v/>
      </c>
    </row>
    <row r="923" ht="15.75" customHeight="1">
      <c r="A923" s="1" t="str">
        <f>'Справочник'!E918</f>
        <v/>
      </c>
      <c r="B923" s="2" t="str">
        <f>IF(A923&gt;0,SUMIF('Барабан'!K:K,A923,'Барабан'!I:I),"")</f>
        <v/>
      </c>
      <c r="C923" s="2" t="str">
        <f>IF(A923&gt;0,SUMIF('Барабан'!V:V,A923,'Барабан'!T:T),"")</f>
        <v/>
      </c>
      <c r="D923" s="2" t="str">
        <f>IF(A923&gt;0,SUMIF('Барабан'!K:K,A923,'Барабан'!AG:AG)+SUMIF('Барабан'!V:V,A923,'Барабан'!AG:AG),"")</f>
        <v/>
      </c>
      <c r="E923" s="2" t="str">
        <f t="shared" si="1"/>
        <v/>
      </c>
      <c r="F923" s="2" t="str">
        <f t="array" ref="F923">IFERROR(IF(E923=0,0,INDEX('Справочник'!G:G,MATCH(A923,'Справочник'!F:F,0))))</f>
        <v/>
      </c>
      <c r="G923" s="2" t="str">
        <f>IF(A923&gt;0,SUMIF('Барабан'!K:K,A923,'Барабан'!P:P),"")</f>
        <v/>
      </c>
      <c r="H923" s="2" t="str">
        <f>IF(A923&gt;0,SUMIF('Барабан'!V:V,A923,'Барабан'!AA:AA),"")</f>
        <v/>
      </c>
      <c r="I923" s="2" t="str">
        <f t="shared" si="4"/>
        <v/>
      </c>
      <c r="J923" s="9" t="str">
        <f t="shared" si="2"/>
        <v/>
      </c>
      <c r="K923" s="1" t="str">
        <f>IF(A923&gt;0,COUNTIF('Барабан'!K:K,A923),"")</f>
        <v/>
      </c>
      <c r="L923" s="1" t="str">
        <f>IF(A923&gt;0,COUNTIF('Барабан'!V:V,A923),"")</f>
        <v/>
      </c>
      <c r="M923" s="1" t="str">
        <f t="shared" si="3"/>
        <v/>
      </c>
      <c r="N923" s="1" t="str">
        <f>IFERROR(__xludf.DUMMYFUNCTION("IF(A923&gt;0,MIN(FILTER('Барабан'!AJ:AJ,'Барабан'!K:K=A923)),"""")"),"")</f>
        <v/>
      </c>
      <c r="O923" s="16" t="str">
        <f>IFERROR(__xludf.DUMMYFUNCTION("IF(A923&gt;0,IFERROR(MAX(FILTER('Барабан'!AJ:AJ,'Барабан'!V:V=A923)),""–""),"""")"),"")</f>
        <v/>
      </c>
    </row>
    <row r="924" ht="15.75" customHeight="1">
      <c r="A924" s="1" t="str">
        <f>'Справочник'!E919</f>
        <v/>
      </c>
      <c r="B924" s="2" t="str">
        <f>IF(A924&gt;0,SUMIF('Барабан'!K:K,A924,'Барабан'!I:I),"")</f>
        <v/>
      </c>
      <c r="C924" s="2" t="str">
        <f>IF(A924&gt;0,SUMIF('Барабан'!V:V,A924,'Барабан'!T:T),"")</f>
        <v/>
      </c>
      <c r="D924" s="2" t="str">
        <f>IF(A924&gt;0,SUMIF('Барабан'!K:K,A924,'Барабан'!AG:AG)+SUMIF('Барабан'!V:V,A924,'Барабан'!AG:AG),"")</f>
        <v/>
      </c>
      <c r="E924" s="2" t="str">
        <f t="shared" si="1"/>
        <v/>
      </c>
      <c r="F924" s="2" t="str">
        <f t="array" ref="F924">IFERROR(IF(E924=0,0,INDEX('Справочник'!G:G,MATCH(A924,'Справочник'!F:F,0))))</f>
        <v/>
      </c>
      <c r="G924" s="2" t="str">
        <f>IF(A924&gt;0,SUMIF('Барабан'!K:K,A924,'Барабан'!P:P),"")</f>
        <v/>
      </c>
      <c r="H924" s="2" t="str">
        <f>IF(A924&gt;0,SUMIF('Барабан'!V:V,A924,'Барабан'!AA:AA),"")</f>
        <v/>
      </c>
      <c r="I924" s="2" t="str">
        <f t="shared" si="4"/>
        <v/>
      </c>
      <c r="J924" s="9" t="str">
        <f t="shared" si="2"/>
        <v/>
      </c>
      <c r="K924" s="1" t="str">
        <f>IF(A924&gt;0,COUNTIF('Барабан'!K:K,A924),"")</f>
        <v/>
      </c>
      <c r="L924" s="1" t="str">
        <f>IF(A924&gt;0,COUNTIF('Барабан'!V:V,A924),"")</f>
        <v/>
      </c>
      <c r="M924" s="1" t="str">
        <f t="shared" si="3"/>
        <v/>
      </c>
      <c r="N924" s="1" t="str">
        <f>IFERROR(__xludf.DUMMYFUNCTION("IF(A924&gt;0,MIN(FILTER('Барабан'!AJ:AJ,'Барабан'!K:K=A924)),"""")"),"")</f>
        <v/>
      </c>
      <c r="O924" s="16" t="str">
        <f>IFERROR(__xludf.DUMMYFUNCTION("IF(A924&gt;0,IFERROR(MAX(FILTER('Барабан'!AJ:AJ,'Барабан'!V:V=A924)),""–""),"""")"),"")</f>
        <v/>
      </c>
    </row>
    <row r="925" ht="15.75" customHeight="1">
      <c r="A925" s="1" t="str">
        <f>'Справочник'!E920</f>
        <v/>
      </c>
      <c r="B925" s="2" t="str">
        <f>IF(A925&gt;0,SUMIF('Барабан'!K:K,A925,'Барабан'!I:I),"")</f>
        <v/>
      </c>
      <c r="C925" s="2" t="str">
        <f>IF(A925&gt;0,SUMIF('Барабан'!V:V,A925,'Барабан'!T:T),"")</f>
        <v/>
      </c>
      <c r="D925" s="2" t="str">
        <f>IF(A925&gt;0,SUMIF('Барабан'!K:K,A925,'Барабан'!AG:AG)+SUMIF('Барабан'!V:V,A925,'Барабан'!AG:AG),"")</f>
        <v/>
      </c>
      <c r="E925" s="2" t="str">
        <f t="shared" si="1"/>
        <v/>
      </c>
      <c r="F925" s="2" t="str">
        <f t="array" ref="F925">IFERROR(IF(E925=0,0,INDEX('Справочник'!G:G,MATCH(A925,'Справочник'!F:F,0))))</f>
        <v/>
      </c>
      <c r="G925" s="2" t="str">
        <f>IF(A925&gt;0,SUMIF('Барабан'!K:K,A925,'Барабан'!P:P),"")</f>
        <v/>
      </c>
      <c r="H925" s="2" t="str">
        <f>IF(A925&gt;0,SUMIF('Барабан'!V:V,A925,'Барабан'!AA:AA),"")</f>
        <v/>
      </c>
      <c r="I925" s="2" t="str">
        <f t="shared" si="4"/>
        <v/>
      </c>
      <c r="J925" s="9" t="str">
        <f t="shared" si="2"/>
        <v/>
      </c>
      <c r="K925" s="1" t="str">
        <f>IF(A925&gt;0,COUNTIF('Барабан'!K:K,A925),"")</f>
        <v/>
      </c>
      <c r="L925" s="1" t="str">
        <f>IF(A925&gt;0,COUNTIF('Барабан'!V:V,A925),"")</f>
        <v/>
      </c>
      <c r="M925" s="1" t="str">
        <f t="shared" si="3"/>
        <v/>
      </c>
      <c r="N925" s="1" t="str">
        <f>IFERROR(__xludf.DUMMYFUNCTION("IF(A925&gt;0,MIN(FILTER('Барабан'!AJ:AJ,'Барабан'!K:K=A925)),"""")"),"")</f>
        <v/>
      </c>
      <c r="O925" s="16" t="str">
        <f>IFERROR(__xludf.DUMMYFUNCTION("IF(A925&gt;0,IFERROR(MAX(FILTER('Барабан'!AJ:AJ,'Барабан'!V:V=A925)),""–""),"""")"),"")</f>
        <v/>
      </c>
    </row>
    <row r="926" ht="15.75" customHeight="1">
      <c r="A926" s="1" t="str">
        <f>'Справочник'!E921</f>
        <v/>
      </c>
      <c r="B926" s="2" t="str">
        <f>IF(A926&gt;0,SUMIF('Барабан'!K:K,A926,'Барабан'!I:I),"")</f>
        <v/>
      </c>
      <c r="C926" s="2" t="str">
        <f>IF(A926&gt;0,SUMIF('Барабан'!V:V,A926,'Барабан'!T:T),"")</f>
        <v/>
      </c>
      <c r="D926" s="2" t="str">
        <f>IF(A926&gt;0,SUMIF('Барабан'!K:K,A926,'Барабан'!AG:AG)+SUMIF('Барабан'!V:V,A926,'Барабан'!AG:AG),"")</f>
        <v/>
      </c>
      <c r="E926" s="2" t="str">
        <f t="shared" si="1"/>
        <v/>
      </c>
      <c r="F926" s="2" t="str">
        <f t="array" ref="F926">IFERROR(IF(E926=0,0,INDEX('Справочник'!G:G,MATCH(A926,'Справочник'!F:F,0))))</f>
        <v/>
      </c>
      <c r="G926" s="2" t="str">
        <f>IF(A926&gt;0,SUMIF('Барабан'!K:K,A926,'Барабан'!P:P),"")</f>
        <v/>
      </c>
      <c r="H926" s="2" t="str">
        <f>IF(A926&gt;0,SUMIF('Барабан'!V:V,A926,'Барабан'!AA:AA),"")</f>
        <v/>
      </c>
      <c r="I926" s="2" t="str">
        <f t="shared" si="4"/>
        <v/>
      </c>
      <c r="J926" s="9" t="str">
        <f t="shared" si="2"/>
        <v/>
      </c>
      <c r="K926" s="1" t="str">
        <f>IF(A926&gt;0,COUNTIF('Барабан'!K:K,A926),"")</f>
        <v/>
      </c>
      <c r="L926" s="1" t="str">
        <f>IF(A926&gt;0,COUNTIF('Барабан'!V:V,A926),"")</f>
        <v/>
      </c>
      <c r="M926" s="1" t="str">
        <f t="shared" si="3"/>
        <v/>
      </c>
      <c r="N926" s="1" t="str">
        <f>IFERROR(__xludf.DUMMYFUNCTION("IF(A926&gt;0,MIN(FILTER('Барабан'!AJ:AJ,'Барабан'!K:K=A926)),"""")"),"")</f>
        <v/>
      </c>
      <c r="O926" s="16" t="str">
        <f>IFERROR(__xludf.DUMMYFUNCTION("IF(A926&gt;0,IFERROR(MAX(FILTER('Барабан'!AJ:AJ,'Барабан'!V:V=A926)),""–""),"""")"),"")</f>
        <v/>
      </c>
    </row>
    <row r="927" ht="15.75" customHeight="1">
      <c r="A927" s="1" t="str">
        <f>'Справочник'!E922</f>
        <v/>
      </c>
      <c r="B927" s="2" t="str">
        <f>IF(A927&gt;0,SUMIF('Барабан'!K:K,A927,'Барабан'!I:I),"")</f>
        <v/>
      </c>
      <c r="C927" s="2" t="str">
        <f>IF(A927&gt;0,SUMIF('Барабан'!V:V,A927,'Барабан'!T:T),"")</f>
        <v/>
      </c>
      <c r="D927" s="2" t="str">
        <f>IF(A927&gt;0,SUMIF('Барабан'!K:K,A927,'Барабан'!AG:AG)+SUMIF('Барабан'!V:V,A927,'Барабан'!AG:AG),"")</f>
        <v/>
      </c>
      <c r="E927" s="2" t="str">
        <f t="shared" si="1"/>
        <v/>
      </c>
      <c r="F927" s="2" t="str">
        <f t="array" ref="F927">IFERROR(IF(E927=0,0,INDEX('Справочник'!G:G,MATCH(A927,'Справочник'!F:F,0))))</f>
        <v/>
      </c>
      <c r="G927" s="2" t="str">
        <f>IF(A927&gt;0,SUMIF('Барабан'!K:K,A927,'Барабан'!P:P),"")</f>
        <v/>
      </c>
      <c r="H927" s="2" t="str">
        <f>IF(A927&gt;0,SUMIF('Барабан'!V:V,A927,'Барабан'!AA:AA),"")</f>
        <v/>
      </c>
      <c r="I927" s="2" t="str">
        <f t="shared" si="4"/>
        <v/>
      </c>
      <c r="J927" s="9" t="str">
        <f t="shared" si="2"/>
        <v/>
      </c>
      <c r="K927" s="1" t="str">
        <f>IF(A927&gt;0,COUNTIF('Барабан'!K:K,A927),"")</f>
        <v/>
      </c>
      <c r="L927" s="1" t="str">
        <f>IF(A927&gt;0,COUNTIF('Барабан'!V:V,A927),"")</f>
        <v/>
      </c>
      <c r="M927" s="1" t="str">
        <f t="shared" si="3"/>
        <v/>
      </c>
      <c r="N927" s="1" t="str">
        <f>IFERROR(__xludf.DUMMYFUNCTION("IF(A927&gt;0,MIN(FILTER('Барабан'!AJ:AJ,'Барабан'!K:K=A927)),"""")"),"")</f>
        <v/>
      </c>
      <c r="O927" s="16" t="str">
        <f>IFERROR(__xludf.DUMMYFUNCTION("IF(A927&gt;0,IFERROR(MAX(FILTER('Барабан'!AJ:AJ,'Барабан'!V:V=A927)),""–""),"""")"),"")</f>
        <v/>
      </c>
    </row>
    <row r="928" ht="15.75" customHeight="1">
      <c r="A928" s="1" t="str">
        <f>'Справочник'!E923</f>
        <v/>
      </c>
      <c r="B928" s="2" t="str">
        <f>IF(A928&gt;0,SUMIF('Барабан'!K:K,A928,'Барабан'!I:I),"")</f>
        <v/>
      </c>
      <c r="C928" s="2" t="str">
        <f>IF(A928&gt;0,SUMIF('Барабан'!V:V,A928,'Барабан'!T:T),"")</f>
        <v/>
      </c>
      <c r="D928" s="2" t="str">
        <f>IF(A928&gt;0,SUMIF('Барабан'!K:K,A928,'Барабан'!AG:AG)+SUMIF('Барабан'!V:V,A928,'Барабан'!AG:AG),"")</f>
        <v/>
      </c>
      <c r="E928" s="2" t="str">
        <f t="shared" si="1"/>
        <v/>
      </c>
      <c r="F928" s="2" t="str">
        <f t="array" ref="F928">IFERROR(IF(E928=0,0,INDEX('Справочник'!G:G,MATCH(A928,'Справочник'!F:F,0))))</f>
        <v/>
      </c>
      <c r="G928" s="2" t="str">
        <f>IF(A928&gt;0,SUMIF('Барабан'!K:K,A928,'Барабан'!P:P),"")</f>
        <v/>
      </c>
      <c r="H928" s="2" t="str">
        <f>IF(A928&gt;0,SUMIF('Барабан'!V:V,A928,'Барабан'!AA:AA),"")</f>
        <v/>
      </c>
      <c r="I928" s="2" t="str">
        <f t="shared" si="4"/>
        <v/>
      </c>
      <c r="J928" s="9" t="str">
        <f t="shared" si="2"/>
        <v/>
      </c>
      <c r="K928" s="1" t="str">
        <f>IF(A928&gt;0,COUNTIF('Барабан'!K:K,A928),"")</f>
        <v/>
      </c>
      <c r="L928" s="1" t="str">
        <f>IF(A928&gt;0,COUNTIF('Барабан'!V:V,A928),"")</f>
        <v/>
      </c>
      <c r="M928" s="1" t="str">
        <f t="shared" si="3"/>
        <v/>
      </c>
      <c r="N928" s="1" t="str">
        <f>IFERROR(__xludf.DUMMYFUNCTION("IF(A928&gt;0,MIN(FILTER('Барабан'!AJ:AJ,'Барабан'!K:K=A928)),"""")"),"")</f>
        <v/>
      </c>
      <c r="O928" s="16" t="str">
        <f>IFERROR(__xludf.DUMMYFUNCTION("IF(A928&gt;0,IFERROR(MAX(FILTER('Барабан'!AJ:AJ,'Барабан'!V:V=A928)),""–""),"""")"),"")</f>
        <v/>
      </c>
    </row>
    <row r="929" ht="15.75" customHeight="1">
      <c r="A929" s="1" t="str">
        <f>'Справочник'!E924</f>
        <v/>
      </c>
      <c r="B929" s="2" t="str">
        <f>IF(A929&gt;0,SUMIF('Барабан'!K:K,A929,'Барабан'!I:I),"")</f>
        <v/>
      </c>
      <c r="C929" s="2" t="str">
        <f>IF(A929&gt;0,SUMIF('Барабан'!V:V,A929,'Барабан'!T:T),"")</f>
        <v/>
      </c>
      <c r="D929" s="2" t="str">
        <f>IF(A929&gt;0,SUMIF('Барабан'!K:K,A929,'Барабан'!AG:AG)+SUMIF('Барабан'!V:V,A929,'Барабан'!AG:AG),"")</f>
        <v/>
      </c>
      <c r="E929" s="2" t="str">
        <f t="shared" si="1"/>
        <v/>
      </c>
      <c r="F929" s="2" t="str">
        <f t="array" ref="F929">IFERROR(IF(E929=0,0,INDEX('Справочник'!G:G,MATCH(A929,'Справочник'!F:F,0))))</f>
        <v/>
      </c>
      <c r="G929" s="2" t="str">
        <f>IF(A929&gt;0,SUMIF('Барабан'!K:K,A929,'Барабан'!P:P),"")</f>
        <v/>
      </c>
      <c r="H929" s="2" t="str">
        <f>IF(A929&gt;0,SUMIF('Барабан'!V:V,A929,'Барабан'!AA:AA),"")</f>
        <v/>
      </c>
      <c r="I929" s="2" t="str">
        <f t="shared" si="4"/>
        <v/>
      </c>
      <c r="J929" s="9" t="str">
        <f t="shared" si="2"/>
        <v/>
      </c>
      <c r="K929" s="1" t="str">
        <f>IF(A929&gt;0,COUNTIF('Барабан'!K:K,A929),"")</f>
        <v/>
      </c>
      <c r="L929" s="1" t="str">
        <f>IF(A929&gt;0,COUNTIF('Барабан'!V:V,A929),"")</f>
        <v/>
      </c>
      <c r="M929" s="1" t="str">
        <f t="shared" si="3"/>
        <v/>
      </c>
      <c r="N929" s="1" t="str">
        <f>IFERROR(__xludf.DUMMYFUNCTION("IF(A929&gt;0,MIN(FILTER('Барабан'!AJ:AJ,'Барабан'!K:K=A929)),"""")"),"")</f>
        <v/>
      </c>
      <c r="O929" s="16" t="str">
        <f>IFERROR(__xludf.DUMMYFUNCTION("IF(A929&gt;0,IFERROR(MAX(FILTER('Барабан'!AJ:AJ,'Барабан'!V:V=A929)),""–""),"""")"),"")</f>
        <v/>
      </c>
    </row>
    <row r="930" ht="15.75" customHeight="1">
      <c r="A930" s="1" t="str">
        <f>'Справочник'!E925</f>
        <v/>
      </c>
      <c r="B930" s="2" t="str">
        <f>IF(A930&gt;0,SUMIF('Барабан'!K:K,A930,'Барабан'!I:I),"")</f>
        <v/>
      </c>
      <c r="C930" s="2" t="str">
        <f>IF(A930&gt;0,SUMIF('Барабан'!V:V,A930,'Барабан'!T:T),"")</f>
        <v/>
      </c>
      <c r="D930" s="2" t="str">
        <f>IF(A930&gt;0,SUMIF('Барабан'!K:K,A930,'Барабан'!AG:AG)+SUMIF('Барабан'!V:V,A930,'Барабан'!AG:AG),"")</f>
        <v/>
      </c>
      <c r="E930" s="2" t="str">
        <f t="shared" si="1"/>
        <v/>
      </c>
      <c r="F930" s="2" t="str">
        <f t="array" ref="F930">IFERROR(IF(E930=0,0,INDEX('Справочник'!G:G,MATCH(A930,'Справочник'!F:F,0))))</f>
        <v/>
      </c>
      <c r="G930" s="2" t="str">
        <f>IF(A930&gt;0,SUMIF('Барабан'!K:K,A930,'Барабан'!P:P),"")</f>
        <v/>
      </c>
      <c r="H930" s="2" t="str">
        <f>IF(A930&gt;0,SUMIF('Барабан'!V:V,A930,'Барабан'!AA:AA),"")</f>
        <v/>
      </c>
      <c r="I930" s="2" t="str">
        <f t="shared" si="4"/>
        <v/>
      </c>
      <c r="J930" s="9" t="str">
        <f t="shared" si="2"/>
        <v/>
      </c>
      <c r="K930" s="1" t="str">
        <f>IF(A930&gt;0,COUNTIF('Барабан'!K:K,A930),"")</f>
        <v/>
      </c>
      <c r="L930" s="1" t="str">
        <f>IF(A930&gt;0,COUNTIF('Барабан'!V:V,A930),"")</f>
        <v/>
      </c>
      <c r="M930" s="1" t="str">
        <f t="shared" si="3"/>
        <v/>
      </c>
      <c r="N930" s="1" t="str">
        <f>IFERROR(__xludf.DUMMYFUNCTION("IF(A930&gt;0,MIN(FILTER('Барабан'!AJ:AJ,'Барабан'!K:K=A930)),"""")"),"")</f>
        <v/>
      </c>
      <c r="O930" s="16" t="str">
        <f>IFERROR(__xludf.DUMMYFUNCTION("IF(A930&gt;0,IFERROR(MAX(FILTER('Барабан'!AJ:AJ,'Барабан'!V:V=A930)),""–""),"""")"),"")</f>
        <v/>
      </c>
    </row>
    <row r="931" ht="15.75" customHeight="1">
      <c r="A931" s="1" t="str">
        <f>'Справочник'!E926</f>
        <v/>
      </c>
      <c r="B931" s="2" t="str">
        <f>IF(A931&gt;0,SUMIF('Барабан'!K:K,A931,'Барабан'!I:I),"")</f>
        <v/>
      </c>
      <c r="C931" s="2" t="str">
        <f>IF(A931&gt;0,SUMIF('Барабан'!V:V,A931,'Барабан'!T:T),"")</f>
        <v/>
      </c>
      <c r="D931" s="2" t="str">
        <f>IF(A931&gt;0,SUMIF('Барабан'!K:K,A931,'Барабан'!AG:AG)+SUMIF('Барабан'!V:V,A931,'Барабан'!AG:AG),"")</f>
        <v/>
      </c>
      <c r="E931" s="2" t="str">
        <f t="shared" si="1"/>
        <v/>
      </c>
      <c r="F931" s="2" t="str">
        <f t="array" ref="F931">IFERROR(IF(E931=0,0,INDEX('Справочник'!G:G,MATCH(A931,'Справочник'!F:F,0))))</f>
        <v/>
      </c>
      <c r="G931" s="2" t="str">
        <f>IF(A931&gt;0,SUMIF('Барабан'!K:K,A931,'Барабан'!P:P),"")</f>
        <v/>
      </c>
      <c r="H931" s="2" t="str">
        <f>IF(A931&gt;0,SUMIF('Барабан'!V:V,A931,'Барабан'!AA:AA),"")</f>
        <v/>
      </c>
      <c r="I931" s="2" t="str">
        <f t="shared" si="4"/>
        <v/>
      </c>
      <c r="J931" s="9" t="str">
        <f t="shared" si="2"/>
        <v/>
      </c>
      <c r="K931" s="1" t="str">
        <f>IF(A931&gt;0,COUNTIF('Барабан'!K:K,A931),"")</f>
        <v/>
      </c>
      <c r="L931" s="1" t="str">
        <f>IF(A931&gt;0,COUNTIF('Барабан'!V:V,A931),"")</f>
        <v/>
      </c>
      <c r="M931" s="1" t="str">
        <f t="shared" si="3"/>
        <v/>
      </c>
      <c r="N931" s="1" t="str">
        <f>IFERROR(__xludf.DUMMYFUNCTION("IF(A931&gt;0,MIN(FILTER('Барабан'!AJ:AJ,'Барабан'!K:K=A931)),"""")"),"")</f>
        <v/>
      </c>
      <c r="O931" s="16" t="str">
        <f>IFERROR(__xludf.DUMMYFUNCTION("IF(A931&gt;0,IFERROR(MAX(FILTER('Барабан'!AJ:AJ,'Барабан'!V:V=A931)),""–""),"""")"),"")</f>
        <v/>
      </c>
    </row>
    <row r="932" ht="15.75" customHeight="1">
      <c r="A932" s="1" t="str">
        <f>'Справочник'!E927</f>
        <v/>
      </c>
      <c r="B932" s="2" t="str">
        <f>IF(A932&gt;0,SUMIF('Барабан'!K:K,A932,'Барабан'!I:I),"")</f>
        <v/>
      </c>
      <c r="C932" s="2" t="str">
        <f>IF(A932&gt;0,SUMIF('Барабан'!V:V,A932,'Барабан'!T:T),"")</f>
        <v/>
      </c>
      <c r="D932" s="2" t="str">
        <f>IF(A932&gt;0,SUMIF('Барабан'!K:K,A932,'Барабан'!AG:AG)+SUMIF('Барабан'!V:V,A932,'Барабан'!AG:AG),"")</f>
        <v/>
      </c>
      <c r="E932" s="2" t="str">
        <f t="shared" si="1"/>
        <v/>
      </c>
      <c r="F932" s="2" t="str">
        <f t="array" ref="F932">IFERROR(IF(E932=0,0,INDEX('Справочник'!G:G,MATCH(A932,'Справочник'!F:F,0))))</f>
        <v/>
      </c>
      <c r="G932" s="2" t="str">
        <f>IF(A932&gt;0,SUMIF('Барабан'!K:K,A932,'Барабан'!P:P),"")</f>
        <v/>
      </c>
      <c r="H932" s="2" t="str">
        <f>IF(A932&gt;0,SUMIF('Барабан'!V:V,A932,'Барабан'!AA:AA),"")</f>
        <v/>
      </c>
      <c r="I932" s="2" t="str">
        <f t="shared" si="4"/>
        <v/>
      </c>
      <c r="J932" s="9" t="str">
        <f t="shared" si="2"/>
        <v/>
      </c>
      <c r="K932" s="1" t="str">
        <f>IF(A932&gt;0,COUNTIF('Барабан'!K:K,A932),"")</f>
        <v/>
      </c>
      <c r="L932" s="1" t="str">
        <f>IF(A932&gt;0,COUNTIF('Барабан'!V:V,A932),"")</f>
        <v/>
      </c>
      <c r="M932" s="1" t="str">
        <f t="shared" si="3"/>
        <v/>
      </c>
      <c r="N932" s="1" t="str">
        <f>IFERROR(__xludf.DUMMYFUNCTION("IF(A932&gt;0,MIN(FILTER('Барабан'!AJ:AJ,'Барабан'!K:K=A932)),"""")"),"")</f>
        <v/>
      </c>
      <c r="O932" s="16" t="str">
        <f>IFERROR(__xludf.DUMMYFUNCTION("IF(A932&gt;0,IFERROR(MAX(FILTER('Барабан'!AJ:AJ,'Барабан'!V:V=A932)),""–""),"""")"),"")</f>
        <v/>
      </c>
    </row>
    <row r="933" ht="15.75" customHeight="1">
      <c r="A933" s="1" t="str">
        <f>'Справочник'!E928</f>
        <v/>
      </c>
      <c r="B933" s="2" t="str">
        <f>IF(A933&gt;0,SUMIF('Барабан'!K:K,A933,'Барабан'!I:I),"")</f>
        <v/>
      </c>
      <c r="C933" s="2" t="str">
        <f>IF(A933&gt;0,SUMIF('Барабан'!V:V,A933,'Барабан'!T:T),"")</f>
        <v/>
      </c>
      <c r="D933" s="2" t="str">
        <f>IF(A933&gt;0,SUMIF('Барабан'!K:K,A933,'Барабан'!AG:AG)+SUMIF('Барабан'!V:V,A933,'Барабан'!AG:AG),"")</f>
        <v/>
      </c>
      <c r="E933" s="2" t="str">
        <f t="shared" si="1"/>
        <v/>
      </c>
      <c r="F933" s="2" t="str">
        <f t="array" ref="F933">IFERROR(IF(E933=0,0,INDEX('Справочник'!G:G,MATCH(A933,'Справочник'!F:F,0))))</f>
        <v/>
      </c>
      <c r="G933" s="2" t="str">
        <f>IF(A933&gt;0,SUMIF('Барабан'!K:K,A933,'Барабан'!P:P),"")</f>
        <v/>
      </c>
      <c r="H933" s="2" t="str">
        <f>IF(A933&gt;0,SUMIF('Барабан'!V:V,A933,'Барабан'!AA:AA),"")</f>
        <v/>
      </c>
      <c r="I933" s="2" t="str">
        <f t="shared" si="4"/>
        <v/>
      </c>
      <c r="J933" s="9" t="str">
        <f t="shared" si="2"/>
        <v/>
      </c>
      <c r="K933" s="1" t="str">
        <f>IF(A933&gt;0,COUNTIF('Барабан'!K:K,A933),"")</f>
        <v/>
      </c>
      <c r="L933" s="1" t="str">
        <f>IF(A933&gt;0,COUNTIF('Барабан'!V:V,A933),"")</f>
        <v/>
      </c>
      <c r="M933" s="1" t="str">
        <f t="shared" si="3"/>
        <v/>
      </c>
      <c r="N933" s="1" t="str">
        <f>IFERROR(__xludf.DUMMYFUNCTION("IF(A933&gt;0,MIN(FILTER('Барабан'!AJ:AJ,'Барабан'!K:K=A933)),"""")"),"")</f>
        <v/>
      </c>
      <c r="O933" s="16" t="str">
        <f>IFERROR(__xludf.DUMMYFUNCTION("IF(A933&gt;0,IFERROR(MAX(FILTER('Барабан'!AJ:AJ,'Барабан'!V:V=A933)),""–""),"""")"),"")</f>
        <v/>
      </c>
    </row>
    <row r="934" ht="15.75" customHeight="1">
      <c r="A934" s="1" t="str">
        <f>'Справочник'!E929</f>
        <v/>
      </c>
      <c r="B934" s="2" t="str">
        <f>IF(A934&gt;0,SUMIF('Барабан'!K:K,A934,'Барабан'!I:I),"")</f>
        <v/>
      </c>
      <c r="C934" s="2" t="str">
        <f>IF(A934&gt;0,SUMIF('Барабан'!V:V,A934,'Барабан'!T:T),"")</f>
        <v/>
      </c>
      <c r="D934" s="2" t="str">
        <f>IF(A934&gt;0,SUMIF('Барабан'!K:K,A934,'Барабан'!AG:AG)+SUMIF('Барабан'!V:V,A934,'Барабан'!AG:AG),"")</f>
        <v/>
      </c>
      <c r="E934" s="2" t="str">
        <f t="shared" si="1"/>
        <v/>
      </c>
      <c r="F934" s="2" t="str">
        <f t="array" ref="F934">IFERROR(IF(E934=0,0,INDEX('Справочник'!G:G,MATCH(A934,'Справочник'!F:F,0))))</f>
        <v/>
      </c>
      <c r="G934" s="2" t="str">
        <f>IF(A934&gt;0,SUMIF('Барабан'!K:K,A934,'Барабан'!P:P),"")</f>
        <v/>
      </c>
      <c r="H934" s="2" t="str">
        <f>IF(A934&gt;0,SUMIF('Барабан'!V:V,A934,'Барабан'!AA:AA),"")</f>
        <v/>
      </c>
      <c r="I934" s="2" t="str">
        <f t="shared" si="4"/>
        <v/>
      </c>
      <c r="J934" s="9" t="str">
        <f t="shared" si="2"/>
        <v/>
      </c>
      <c r="K934" s="1" t="str">
        <f>IF(A934&gt;0,COUNTIF('Барабан'!K:K,A934),"")</f>
        <v/>
      </c>
      <c r="L934" s="1" t="str">
        <f>IF(A934&gt;0,COUNTIF('Барабан'!V:V,A934),"")</f>
        <v/>
      </c>
      <c r="M934" s="1" t="str">
        <f t="shared" si="3"/>
        <v/>
      </c>
      <c r="N934" s="1" t="str">
        <f>IFERROR(__xludf.DUMMYFUNCTION("IF(A934&gt;0,MIN(FILTER('Барабан'!AJ:AJ,'Барабан'!K:K=A934)),"""")"),"")</f>
        <v/>
      </c>
      <c r="O934" s="16" t="str">
        <f>IFERROR(__xludf.DUMMYFUNCTION("IF(A934&gt;0,IFERROR(MAX(FILTER('Барабан'!AJ:AJ,'Барабан'!V:V=A934)),""–""),"""")"),"")</f>
        <v/>
      </c>
    </row>
    <row r="935" ht="15.75" customHeight="1">
      <c r="A935" s="1" t="str">
        <f>'Справочник'!E930</f>
        <v/>
      </c>
      <c r="B935" s="2" t="str">
        <f>IF(A935&gt;0,SUMIF('Барабан'!K:K,A935,'Барабан'!I:I),"")</f>
        <v/>
      </c>
      <c r="C935" s="2" t="str">
        <f>IF(A935&gt;0,SUMIF('Барабан'!V:V,A935,'Барабан'!T:T),"")</f>
        <v/>
      </c>
      <c r="D935" s="2" t="str">
        <f>IF(A935&gt;0,SUMIF('Барабан'!K:K,A935,'Барабан'!AG:AG)+SUMIF('Барабан'!V:V,A935,'Барабан'!AG:AG),"")</f>
        <v/>
      </c>
      <c r="E935" s="2" t="str">
        <f t="shared" si="1"/>
        <v/>
      </c>
      <c r="F935" s="2" t="str">
        <f t="array" ref="F935">IFERROR(IF(E935=0,0,INDEX('Справочник'!G:G,MATCH(A935,'Справочник'!F:F,0))))</f>
        <v/>
      </c>
      <c r="G935" s="2" t="str">
        <f>IF(A935&gt;0,SUMIF('Барабан'!K:K,A935,'Барабан'!P:P),"")</f>
        <v/>
      </c>
      <c r="H935" s="2" t="str">
        <f>IF(A935&gt;0,SUMIF('Барабан'!V:V,A935,'Барабан'!AA:AA),"")</f>
        <v/>
      </c>
      <c r="I935" s="2" t="str">
        <f t="shared" si="4"/>
        <v/>
      </c>
      <c r="J935" s="9" t="str">
        <f t="shared" si="2"/>
        <v/>
      </c>
      <c r="K935" s="1" t="str">
        <f>IF(A935&gt;0,COUNTIF('Барабан'!K:K,A935),"")</f>
        <v/>
      </c>
      <c r="L935" s="1" t="str">
        <f>IF(A935&gt;0,COUNTIF('Барабан'!V:V,A935),"")</f>
        <v/>
      </c>
      <c r="M935" s="1" t="str">
        <f t="shared" si="3"/>
        <v/>
      </c>
      <c r="N935" s="1" t="str">
        <f>IFERROR(__xludf.DUMMYFUNCTION("IF(A935&gt;0,MIN(FILTER('Барабан'!AJ:AJ,'Барабан'!K:K=A935)),"""")"),"")</f>
        <v/>
      </c>
      <c r="O935" s="16" t="str">
        <f>IFERROR(__xludf.DUMMYFUNCTION("IF(A935&gt;0,IFERROR(MAX(FILTER('Барабан'!AJ:AJ,'Барабан'!V:V=A935)),""–""),"""")"),"")</f>
        <v/>
      </c>
    </row>
    <row r="936" ht="15.75" customHeight="1">
      <c r="A936" s="1" t="str">
        <f>'Справочник'!E931</f>
        <v/>
      </c>
      <c r="B936" s="2" t="str">
        <f>IF(A936&gt;0,SUMIF('Барабан'!K:K,A936,'Барабан'!I:I),"")</f>
        <v/>
      </c>
      <c r="C936" s="2" t="str">
        <f>IF(A936&gt;0,SUMIF('Барабан'!V:V,A936,'Барабан'!T:T),"")</f>
        <v/>
      </c>
      <c r="D936" s="2" t="str">
        <f>IF(A936&gt;0,SUMIF('Барабан'!K:K,A936,'Барабан'!AG:AG)+SUMIF('Барабан'!V:V,A936,'Барабан'!AG:AG),"")</f>
        <v/>
      </c>
      <c r="E936" s="2" t="str">
        <f t="shared" si="1"/>
        <v/>
      </c>
      <c r="F936" s="2" t="str">
        <f t="array" ref="F936">IFERROR(IF(E936=0,0,INDEX('Справочник'!G:G,MATCH(A936,'Справочник'!F:F,0))))</f>
        <v/>
      </c>
      <c r="G936" s="2" t="str">
        <f>IF(A936&gt;0,SUMIF('Барабан'!K:K,A936,'Барабан'!P:P),"")</f>
        <v/>
      </c>
      <c r="H936" s="2" t="str">
        <f>IF(A936&gt;0,SUMIF('Барабан'!V:V,A936,'Барабан'!AA:AA),"")</f>
        <v/>
      </c>
      <c r="I936" s="2" t="str">
        <f t="shared" si="4"/>
        <v/>
      </c>
      <c r="J936" s="9" t="str">
        <f t="shared" si="2"/>
        <v/>
      </c>
      <c r="K936" s="1" t="str">
        <f>IF(A936&gt;0,COUNTIF('Барабан'!K:K,A936),"")</f>
        <v/>
      </c>
      <c r="L936" s="1" t="str">
        <f>IF(A936&gt;0,COUNTIF('Барабан'!V:V,A936),"")</f>
        <v/>
      </c>
      <c r="M936" s="1" t="str">
        <f t="shared" si="3"/>
        <v/>
      </c>
      <c r="N936" s="1" t="str">
        <f>IFERROR(__xludf.DUMMYFUNCTION("IF(A936&gt;0,MIN(FILTER('Барабан'!AJ:AJ,'Барабан'!K:K=A936)),"""")"),"")</f>
        <v/>
      </c>
      <c r="O936" s="16" t="str">
        <f>IFERROR(__xludf.DUMMYFUNCTION("IF(A936&gt;0,IFERROR(MAX(FILTER('Барабан'!AJ:AJ,'Барабан'!V:V=A936)),""–""),"""")"),"")</f>
        <v/>
      </c>
    </row>
    <row r="937" ht="15.75" customHeight="1">
      <c r="A937" s="1" t="str">
        <f>'Справочник'!E932</f>
        <v/>
      </c>
      <c r="B937" s="2" t="str">
        <f>IF(A937&gt;0,SUMIF('Барабан'!K:K,A937,'Барабан'!I:I),"")</f>
        <v/>
      </c>
      <c r="C937" s="2" t="str">
        <f>IF(A937&gt;0,SUMIF('Барабан'!V:V,A937,'Барабан'!T:T),"")</f>
        <v/>
      </c>
      <c r="D937" s="2" t="str">
        <f>IF(A937&gt;0,SUMIF('Барабан'!K:K,A937,'Барабан'!AG:AG)+SUMIF('Барабан'!V:V,A937,'Барабан'!AG:AG),"")</f>
        <v/>
      </c>
      <c r="E937" s="2" t="str">
        <f t="shared" si="1"/>
        <v/>
      </c>
      <c r="F937" s="2" t="str">
        <f t="array" ref="F937">IFERROR(IF(E937=0,0,INDEX('Справочник'!G:G,MATCH(A937,'Справочник'!F:F,0))))</f>
        <v/>
      </c>
      <c r="G937" s="2" t="str">
        <f>IF(A937&gt;0,SUMIF('Барабан'!K:K,A937,'Барабан'!P:P),"")</f>
        <v/>
      </c>
      <c r="H937" s="2" t="str">
        <f>IF(A937&gt;0,SUMIF('Барабан'!V:V,A937,'Барабан'!AA:AA),"")</f>
        <v/>
      </c>
      <c r="I937" s="2" t="str">
        <f t="shared" si="4"/>
        <v/>
      </c>
      <c r="J937" s="9" t="str">
        <f t="shared" si="2"/>
        <v/>
      </c>
      <c r="K937" s="1" t="str">
        <f>IF(A937&gt;0,COUNTIF('Барабан'!K:K,A937),"")</f>
        <v/>
      </c>
      <c r="L937" s="1" t="str">
        <f>IF(A937&gt;0,COUNTIF('Барабан'!V:V,A937),"")</f>
        <v/>
      </c>
      <c r="M937" s="1" t="str">
        <f t="shared" si="3"/>
        <v/>
      </c>
      <c r="N937" s="1" t="str">
        <f>IFERROR(__xludf.DUMMYFUNCTION("IF(A937&gt;0,MIN(FILTER('Барабан'!AJ:AJ,'Барабан'!K:K=A937)),"""")"),"")</f>
        <v/>
      </c>
      <c r="O937" s="16" t="str">
        <f>IFERROR(__xludf.DUMMYFUNCTION("IF(A937&gt;0,IFERROR(MAX(FILTER('Барабан'!AJ:AJ,'Барабан'!V:V=A937)),""–""),"""")"),"")</f>
        <v/>
      </c>
    </row>
    <row r="938" ht="15.75" customHeight="1">
      <c r="A938" s="1" t="str">
        <f>'Справочник'!E933</f>
        <v/>
      </c>
      <c r="B938" s="2" t="str">
        <f>IF(A938&gt;0,SUMIF('Барабан'!K:K,A938,'Барабан'!I:I),"")</f>
        <v/>
      </c>
      <c r="C938" s="2" t="str">
        <f>IF(A938&gt;0,SUMIF('Барабан'!V:V,A938,'Барабан'!T:T),"")</f>
        <v/>
      </c>
      <c r="D938" s="2" t="str">
        <f>IF(A938&gt;0,SUMIF('Барабан'!K:K,A938,'Барабан'!AG:AG)+SUMIF('Барабан'!V:V,A938,'Барабан'!AG:AG),"")</f>
        <v/>
      </c>
      <c r="E938" s="2" t="str">
        <f t="shared" si="1"/>
        <v/>
      </c>
      <c r="F938" s="2" t="str">
        <f t="array" ref="F938">IFERROR(IF(E938=0,0,INDEX('Справочник'!G:G,MATCH(A938,'Справочник'!F:F,0))))</f>
        <v/>
      </c>
      <c r="G938" s="2" t="str">
        <f>IF(A938&gt;0,SUMIF('Барабан'!K:K,A938,'Барабан'!P:P),"")</f>
        <v/>
      </c>
      <c r="H938" s="2" t="str">
        <f>IF(A938&gt;0,SUMIF('Барабан'!V:V,A938,'Барабан'!AA:AA),"")</f>
        <v/>
      </c>
      <c r="I938" s="2" t="str">
        <f t="shared" si="4"/>
        <v/>
      </c>
      <c r="J938" s="9" t="str">
        <f t="shared" si="2"/>
        <v/>
      </c>
      <c r="K938" s="1" t="str">
        <f>IF(A938&gt;0,COUNTIF('Барабан'!K:K,A938),"")</f>
        <v/>
      </c>
      <c r="L938" s="1" t="str">
        <f>IF(A938&gt;0,COUNTIF('Барабан'!V:V,A938),"")</f>
        <v/>
      </c>
      <c r="M938" s="1" t="str">
        <f t="shared" si="3"/>
        <v/>
      </c>
      <c r="N938" s="1" t="str">
        <f>IFERROR(__xludf.DUMMYFUNCTION("IF(A938&gt;0,MIN(FILTER('Барабан'!AJ:AJ,'Барабан'!K:K=A938)),"""")"),"")</f>
        <v/>
      </c>
      <c r="O938" s="16" t="str">
        <f>IFERROR(__xludf.DUMMYFUNCTION("IF(A938&gt;0,IFERROR(MAX(FILTER('Барабан'!AJ:AJ,'Барабан'!V:V=A938)),""–""),"""")"),"")</f>
        <v/>
      </c>
    </row>
    <row r="939" ht="15.75" customHeight="1">
      <c r="A939" s="1" t="str">
        <f>'Справочник'!E934</f>
        <v/>
      </c>
      <c r="B939" s="2" t="str">
        <f>IF(A939&gt;0,SUMIF('Барабан'!K:K,A939,'Барабан'!I:I),"")</f>
        <v/>
      </c>
      <c r="C939" s="2" t="str">
        <f>IF(A939&gt;0,SUMIF('Барабан'!V:V,A939,'Барабан'!T:T),"")</f>
        <v/>
      </c>
      <c r="D939" s="2" t="str">
        <f>IF(A939&gt;0,SUMIF('Барабан'!K:K,A939,'Барабан'!AG:AG)+SUMIF('Барабан'!V:V,A939,'Барабан'!AG:AG),"")</f>
        <v/>
      </c>
      <c r="E939" s="2" t="str">
        <f t="shared" si="1"/>
        <v/>
      </c>
      <c r="F939" s="2" t="str">
        <f t="array" ref="F939">IFERROR(IF(E939=0,0,INDEX('Справочник'!G:G,MATCH(A939,'Справочник'!F:F,0))))</f>
        <v/>
      </c>
      <c r="G939" s="2" t="str">
        <f>IF(A939&gt;0,SUMIF('Барабан'!K:K,A939,'Барабан'!P:P),"")</f>
        <v/>
      </c>
      <c r="H939" s="2" t="str">
        <f>IF(A939&gt;0,SUMIF('Барабан'!V:V,A939,'Барабан'!AA:AA),"")</f>
        <v/>
      </c>
      <c r="I939" s="2" t="str">
        <f t="shared" si="4"/>
        <v/>
      </c>
      <c r="J939" s="9" t="str">
        <f t="shared" si="2"/>
        <v/>
      </c>
      <c r="K939" s="1" t="str">
        <f>IF(A939&gt;0,COUNTIF('Барабан'!K:K,A939),"")</f>
        <v/>
      </c>
      <c r="L939" s="1" t="str">
        <f>IF(A939&gt;0,COUNTIF('Барабан'!V:V,A939),"")</f>
        <v/>
      </c>
      <c r="M939" s="1" t="str">
        <f t="shared" si="3"/>
        <v/>
      </c>
      <c r="N939" s="1" t="str">
        <f>IFERROR(__xludf.DUMMYFUNCTION("IF(A939&gt;0,MIN(FILTER('Барабан'!AJ:AJ,'Барабан'!K:K=A939)),"""")"),"")</f>
        <v/>
      </c>
      <c r="O939" s="16" t="str">
        <f>IFERROR(__xludf.DUMMYFUNCTION("IF(A939&gt;0,IFERROR(MAX(FILTER('Барабан'!AJ:AJ,'Барабан'!V:V=A939)),""–""),"""")"),"")</f>
        <v/>
      </c>
    </row>
    <row r="940" ht="15.75" customHeight="1">
      <c r="A940" s="1" t="str">
        <f>'Справочник'!E935</f>
        <v/>
      </c>
      <c r="B940" s="2" t="str">
        <f>IF(A940&gt;0,SUMIF('Барабан'!K:K,A940,'Барабан'!I:I),"")</f>
        <v/>
      </c>
      <c r="C940" s="2" t="str">
        <f>IF(A940&gt;0,SUMIF('Барабан'!V:V,A940,'Барабан'!T:T),"")</f>
        <v/>
      </c>
      <c r="D940" s="2" t="str">
        <f>IF(A940&gt;0,SUMIF('Барабан'!K:K,A940,'Барабан'!AG:AG)+SUMIF('Барабан'!V:V,A940,'Барабан'!AG:AG),"")</f>
        <v/>
      </c>
      <c r="E940" s="2" t="str">
        <f t="shared" si="1"/>
        <v/>
      </c>
      <c r="F940" s="2" t="str">
        <f t="array" ref="F940">IFERROR(IF(E940=0,0,INDEX('Справочник'!G:G,MATCH(A940,'Справочник'!F:F,0))))</f>
        <v/>
      </c>
      <c r="G940" s="2" t="str">
        <f>IF(A940&gt;0,SUMIF('Барабан'!K:K,A940,'Барабан'!P:P),"")</f>
        <v/>
      </c>
      <c r="H940" s="2" t="str">
        <f>IF(A940&gt;0,SUMIF('Барабан'!V:V,A940,'Барабан'!AA:AA),"")</f>
        <v/>
      </c>
      <c r="I940" s="2" t="str">
        <f t="shared" si="4"/>
        <v/>
      </c>
      <c r="J940" s="9" t="str">
        <f t="shared" si="2"/>
        <v/>
      </c>
      <c r="K940" s="1" t="str">
        <f>IF(A940&gt;0,COUNTIF('Барабан'!K:K,A940),"")</f>
        <v/>
      </c>
      <c r="L940" s="1" t="str">
        <f>IF(A940&gt;0,COUNTIF('Барабан'!V:V,A940),"")</f>
        <v/>
      </c>
      <c r="M940" s="1" t="str">
        <f t="shared" si="3"/>
        <v/>
      </c>
      <c r="N940" s="1" t="str">
        <f>IFERROR(__xludf.DUMMYFUNCTION("IF(A940&gt;0,MIN(FILTER('Барабан'!AJ:AJ,'Барабан'!K:K=A940)),"""")"),"")</f>
        <v/>
      </c>
      <c r="O940" s="16" t="str">
        <f>IFERROR(__xludf.DUMMYFUNCTION("IF(A940&gt;0,IFERROR(MAX(FILTER('Барабан'!AJ:AJ,'Барабан'!V:V=A940)),""–""),"""")"),"")</f>
        <v/>
      </c>
    </row>
    <row r="941" ht="15.75" customHeight="1">
      <c r="A941" s="1" t="str">
        <f>'Справочник'!E936</f>
        <v/>
      </c>
      <c r="B941" s="2" t="str">
        <f>IF(A941&gt;0,SUMIF('Барабан'!K:K,A941,'Барабан'!I:I),"")</f>
        <v/>
      </c>
      <c r="C941" s="2" t="str">
        <f>IF(A941&gt;0,SUMIF('Барабан'!V:V,A941,'Барабан'!T:T),"")</f>
        <v/>
      </c>
      <c r="D941" s="2" t="str">
        <f>IF(A941&gt;0,SUMIF('Барабан'!K:K,A941,'Барабан'!AG:AG)+SUMIF('Барабан'!V:V,A941,'Барабан'!AG:AG),"")</f>
        <v/>
      </c>
      <c r="E941" s="2" t="str">
        <f t="shared" si="1"/>
        <v/>
      </c>
      <c r="F941" s="2" t="str">
        <f t="array" ref="F941">IFERROR(IF(E941=0,0,INDEX('Справочник'!G:G,MATCH(A941,'Справочник'!F:F,0))))</f>
        <v/>
      </c>
      <c r="G941" s="2" t="str">
        <f>IF(A941&gt;0,SUMIF('Барабан'!K:K,A941,'Барабан'!P:P),"")</f>
        <v/>
      </c>
      <c r="H941" s="2" t="str">
        <f>IF(A941&gt;0,SUMIF('Барабан'!V:V,A941,'Барабан'!AA:AA),"")</f>
        <v/>
      </c>
      <c r="I941" s="2" t="str">
        <f t="shared" si="4"/>
        <v/>
      </c>
      <c r="J941" s="9" t="str">
        <f t="shared" si="2"/>
        <v/>
      </c>
      <c r="K941" s="1" t="str">
        <f>IF(A941&gt;0,COUNTIF('Барабан'!K:K,A941),"")</f>
        <v/>
      </c>
      <c r="L941" s="1" t="str">
        <f>IF(A941&gt;0,COUNTIF('Барабан'!V:V,A941),"")</f>
        <v/>
      </c>
      <c r="M941" s="1" t="str">
        <f t="shared" si="3"/>
        <v/>
      </c>
      <c r="N941" s="1" t="str">
        <f>IFERROR(__xludf.DUMMYFUNCTION("IF(A941&gt;0,MIN(FILTER('Барабан'!AJ:AJ,'Барабан'!K:K=A941)),"""")"),"")</f>
        <v/>
      </c>
      <c r="O941" s="16" t="str">
        <f>IFERROR(__xludf.DUMMYFUNCTION("IF(A941&gt;0,IFERROR(MAX(FILTER('Барабан'!AJ:AJ,'Барабан'!V:V=A941)),""–""),"""")"),"")</f>
        <v/>
      </c>
    </row>
    <row r="942" ht="15.75" customHeight="1">
      <c r="A942" s="1" t="str">
        <f>'Справочник'!E937</f>
        <v/>
      </c>
      <c r="B942" s="2" t="str">
        <f>IF(A942&gt;0,SUMIF('Барабан'!K:K,A942,'Барабан'!I:I),"")</f>
        <v/>
      </c>
      <c r="C942" s="2" t="str">
        <f>IF(A942&gt;0,SUMIF('Барабан'!V:V,A942,'Барабан'!T:T),"")</f>
        <v/>
      </c>
      <c r="D942" s="2" t="str">
        <f>IF(A942&gt;0,SUMIF('Барабан'!K:K,A942,'Барабан'!AG:AG)+SUMIF('Барабан'!V:V,A942,'Барабан'!AG:AG),"")</f>
        <v/>
      </c>
      <c r="E942" s="2" t="str">
        <f t="shared" si="1"/>
        <v/>
      </c>
      <c r="F942" s="2" t="str">
        <f t="array" ref="F942">IFERROR(IF(E942=0,0,INDEX('Справочник'!G:G,MATCH(A942,'Справочник'!F:F,0))))</f>
        <v/>
      </c>
      <c r="G942" s="2" t="str">
        <f>IF(A942&gt;0,SUMIF('Барабан'!K:K,A942,'Барабан'!P:P),"")</f>
        <v/>
      </c>
      <c r="H942" s="2" t="str">
        <f>IF(A942&gt;0,SUMIF('Барабан'!V:V,A942,'Барабан'!AA:AA),"")</f>
        <v/>
      </c>
      <c r="I942" s="2" t="str">
        <f t="shared" si="4"/>
        <v/>
      </c>
      <c r="J942" s="9" t="str">
        <f t="shared" si="2"/>
        <v/>
      </c>
      <c r="K942" s="1" t="str">
        <f>IF(A942&gt;0,COUNTIF('Барабан'!K:K,A942),"")</f>
        <v/>
      </c>
      <c r="L942" s="1" t="str">
        <f>IF(A942&gt;0,COUNTIF('Барабан'!V:V,A942),"")</f>
        <v/>
      </c>
      <c r="M942" s="1" t="str">
        <f t="shared" si="3"/>
        <v/>
      </c>
      <c r="N942" s="1" t="str">
        <f>IFERROR(__xludf.DUMMYFUNCTION("IF(A942&gt;0,MIN(FILTER('Барабан'!AJ:AJ,'Барабан'!K:K=A942)),"""")"),"")</f>
        <v/>
      </c>
      <c r="O942" s="16" t="str">
        <f>IFERROR(__xludf.DUMMYFUNCTION("IF(A942&gt;0,IFERROR(MAX(FILTER('Барабан'!AJ:AJ,'Барабан'!V:V=A942)),""–""),"""")"),"")</f>
        <v/>
      </c>
    </row>
    <row r="943" ht="15.75" customHeight="1">
      <c r="A943" s="1" t="str">
        <f>'Справочник'!E938</f>
        <v/>
      </c>
      <c r="B943" s="2" t="str">
        <f>IF(A943&gt;0,SUMIF('Барабан'!K:K,A943,'Барабан'!I:I),"")</f>
        <v/>
      </c>
      <c r="C943" s="2" t="str">
        <f>IF(A943&gt;0,SUMIF('Барабан'!V:V,A943,'Барабан'!T:T),"")</f>
        <v/>
      </c>
      <c r="D943" s="2" t="str">
        <f>IF(A943&gt;0,SUMIF('Барабан'!K:K,A943,'Барабан'!AG:AG)+SUMIF('Барабан'!V:V,A943,'Барабан'!AG:AG),"")</f>
        <v/>
      </c>
      <c r="E943" s="2" t="str">
        <f t="shared" si="1"/>
        <v/>
      </c>
      <c r="F943" s="2" t="str">
        <f t="array" ref="F943">IFERROR(IF(E943=0,0,INDEX('Справочник'!G:G,MATCH(A943,'Справочник'!F:F,0))))</f>
        <v/>
      </c>
      <c r="G943" s="2" t="str">
        <f>IF(A943&gt;0,SUMIF('Барабан'!K:K,A943,'Барабан'!P:P),"")</f>
        <v/>
      </c>
      <c r="H943" s="2" t="str">
        <f>IF(A943&gt;0,SUMIF('Барабан'!V:V,A943,'Барабан'!AA:AA),"")</f>
        <v/>
      </c>
      <c r="I943" s="2" t="str">
        <f t="shared" si="4"/>
        <v/>
      </c>
      <c r="J943" s="9" t="str">
        <f t="shared" si="2"/>
        <v/>
      </c>
      <c r="K943" s="1" t="str">
        <f>IF(A943&gt;0,COUNTIF('Барабан'!K:K,A943),"")</f>
        <v/>
      </c>
      <c r="L943" s="1" t="str">
        <f>IF(A943&gt;0,COUNTIF('Барабан'!V:V,A943),"")</f>
        <v/>
      </c>
      <c r="M943" s="1" t="str">
        <f t="shared" si="3"/>
        <v/>
      </c>
      <c r="N943" s="1" t="str">
        <f>IFERROR(__xludf.DUMMYFUNCTION("IF(A943&gt;0,MIN(FILTER('Барабан'!AJ:AJ,'Барабан'!K:K=A943)),"""")"),"")</f>
        <v/>
      </c>
      <c r="O943" s="16" t="str">
        <f>IFERROR(__xludf.DUMMYFUNCTION("IF(A943&gt;0,IFERROR(MAX(FILTER('Барабан'!AJ:AJ,'Барабан'!V:V=A943)),""–""),"""")"),"")</f>
        <v/>
      </c>
    </row>
    <row r="944" ht="15.75" customHeight="1">
      <c r="A944" s="1" t="str">
        <f>'Справочник'!E939</f>
        <v/>
      </c>
      <c r="B944" s="2" t="str">
        <f>IF(A944&gt;0,SUMIF('Барабан'!K:K,A944,'Барабан'!I:I),"")</f>
        <v/>
      </c>
      <c r="C944" s="2" t="str">
        <f>IF(A944&gt;0,SUMIF('Барабан'!V:V,A944,'Барабан'!T:T),"")</f>
        <v/>
      </c>
      <c r="D944" s="2" t="str">
        <f>IF(A944&gt;0,SUMIF('Барабан'!K:K,A944,'Барабан'!AG:AG)+SUMIF('Барабан'!V:V,A944,'Барабан'!AG:AG),"")</f>
        <v/>
      </c>
      <c r="E944" s="2" t="str">
        <f t="shared" si="1"/>
        <v/>
      </c>
      <c r="F944" s="2" t="str">
        <f t="array" ref="F944">IFERROR(IF(E944=0,0,INDEX('Справочник'!G:G,MATCH(A944,'Справочник'!F:F,0))))</f>
        <v/>
      </c>
      <c r="G944" s="2" t="str">
        <f>IF(A944&gt;0,SUMIF('Барабан'!K:K,A944,'Барабан'!P:P),"")</f>
        <v/>
      </c>
      <c r="H944" s="2" t="str">
        <f>IF(A944&gt;0,SUMIF('Барабан'!V:V,A944,'Барабан'!AA:AA),"")</f>
        <v/>
      </c>
      <c r="I944" s="2" t="str">
        <f t="shared" si="4"/>
        <v/>
      </c>
      <c r="J944" s="9" t="str">
        <f t="shared" si="2"/>
        <v/>
      </c>
      <c r="K944" s="1" t="str">
        <f>IF(A944&gt;0,COUNTIF('Барабан'!K:K,A944),"")</f>
        <v/>
      </c>
      <c r="L944" s="1" t="str">
        <f>IF(A944&gt;0,COUNTIF('Барабан'!V:V,A944),"")</f>
        <v/>
      </c>
      <c r="M944" s="1" t="str">
        <f t="shared" si="3"/>
        <v/>
      </c>
      <c r="N944" s="1" t="str">
        <f>IFERROR(__xludf.DUMMYFUNCTION("IF(A944&gt;0,MIN(FILTER('Барабан'!AJ:AJ,'Барабан'!K:K=A944)),"""")"),"")</f>
        <v/>
      </c>
      <c r="O944" s="16" t="str">
        <f>IFERROR(__xludf.DUMMYFUNCTION("IF(A944&gt;0,IFERROR(MAX(FILTER('Барабан'!AJ:AJ,'Барабан'!V:V=A944)),""–""),"""")"),"")</f>
        <v/>
      </c>
    </row>
    <row r="945" ht="15.75" customHeight="1">
      <c r="A945" s="1" t="str">
        <f>'Справочник'!E940</f>
        <v/>
      </c>
      <c r="B945" s="2" t="str">
        <f>IF(A945&gt;0,SUMIF('Барабан'!K:K,A945,'Барабан'!I:I),"")</f>
        <v/>
      </c>
      <c r="C945" s="2" t="str">
        <f>IF(A945&gt;0,SUMIF('Барабан'!V:V,A945,'Барабан'!T:T),"")</f>
        <v/>
      </c>
      <c r="D945" s="2" t="str">
        <f>IF(A945&gt;0,SUMIF('Барабан'!K:K,A945,'Барабан'!AG:AG)+SUMIF('Барабан'!V:V,A945,'Барабан'!AG:AG),"")</f>
        <v/>
      </c>
      <c r="E945" s="2" t="str">
        <f t="shared" si="1"/>
        <v/>
      </c>
      <c r="F945" s="2" t="str">
        <f t="array" ref="F945">IFERROR(IF(E945=0,0,INDEX('Справочник'!G:G,MATCH(A945,'Справочник'!F:F,0))))</f>
        <v/>
      </c>
      <c r="G945" s="2" t="str">
        <f>IF(A945&gt;0,SUMIF('Барабан'!K:K,A945,'Барабан'!P:P),"")</f>
        <v/>
      </c>
      <c r="H945" s="2" t="str">
        <f>IF(A945&gt;0,SUMIF('Барабан'!V:V,A945,'Барабан'!AA:AA),"")</f>
        <v/>
      </c>
      <c r="I945" s="2" t="str">
        <f t="shared" si="4"/>
        <v/>
      </c>
      <c r="J945" s="9" t="str">
        <f t="shared" si="2"/>
        <v/>
      </c>
      <c r="K945" s="1" t="str">
        <f>IF(A945&gt;0,COUNTIF('Барабан'!K:K,A945),"")</f>
        <v/>
      </c>
      <c r="L945" s="1" t="str">
        <f>IF(A945&gt;0,COUNTIF('Барабан'!V:V,A945),"")</f>
        <v/>
      </c>
      <c r="M945" s="1" t="str">
        <f t="shared" si="3"/>
        <v/>
      </c>
      <c r="N945" s="1" t="str">
        <f>IFERROR(__xludf.DUMMYFUNCTION("IF(A945&gt;0,MIN(FILTER('Барабан'!AJ:AJ,'Барабан'!K:K=A945)),"""")"),"")</f>
        <v/>
      </c>
      <c r="O945" s="16" t="str">
        <f>IFERROR(__xludf.DUMMYFUNCTION("IF(A945&gt;0,IFERROR(MAX(FILTER('Барабан'!AJ:AJ,'Барабан'!V:V=A945)),""–""),"""")"),"")</f>
        <v/>
      </c>
    </row>
    <row r="946" ht="15.75" customHeight="1">
      <c r="A946" s="1" t="str">
        <f>'Справочник'!E941</f>
        <v/>
      </c>
      <c r="B946" s="2" t="str">
        <f>IF(A946&gt;0,SUMIF('Барабан'!K:K,A946,'Барабан'!I:I),"")</f>
        <v/>
      </c>
      <c r="C946" s="2" t="str">
        <f>IF(A946&gt;0,SUMIF('Барабан'!V:V,A946,'Барабан'!T:T),"")</f>
        <v/>
      </c>
      <c r="D946" s="2" t="str">
        <f>IF(A946&gt;0,SUMIF('Барабан'!K:K,A946,'Барабан'!AG:AG)+SUMIF('Барабан'!V:V,A946,'Барабан'!AG:AG),"")</f>
        <v/>
      </c>
      <c r="E946" s="2" t="str">
        <f t="shared" si="1"/>
        <v/>
      </c>
      <c r="F946" s="2" t="str">
        <f t="array" ref="F946">IFERROR(IF(E946=0,0,INDEX('Справочник'!G:G,MATCH(A946,'Справочник'!F:F,0))))</f>
        <v/>
      </c>
      <c r="G946" s="2" t="str">
        <f>IF(A946&gt;0,SUMIF('Барабан'!K:K,A946,'Барабан'!P:P),"")</f>
        <v/>
      </c>
      <c r="H946" s="2" t="str">
        <f>IF(A946&gt;0,SUMIF('Барабан'!V:V,A946,'Барабан'!AA:AA),"")</f>
        <v/>
      </c>
      <c r="I946" s="2" t="str">
        <f t="shared" si="4"/>
        <v/>
      </c>
      <c r="J946" s="9" t="str">
        <f t="shared" si="2"/>
        <v/>
      </c>
      <c r="K946" s="1" t="str">
        <f>IF(A946&gt;0,COUNTIF('Барабан'!K:K,A946),"")</f>
        <v/>
      </c>
      <c r="L946" s="1" t="str">
        <f>IF(A946&gt;0,COUNTIF('Барабан'!V:V,A946),"")</f>
        <v/>
      </c>
      <c r="M946" s="1" t="str">
        <f t="shared" si="3"/>
        <v/>
      </c>
      <c r="N946" s="1" t="str">
        <f>IFERROR(__xludf.DUMMYFUNCTION("IF(A946&gt;0,MIN(FILTER('Барабан'!AJ:AJ,'Барабан'!K:K=A946)),"""")"),"")</f>
        <v/>
      </c>
      <c r="O946" s="16" t="str">
        <f>IFERROR(__xludf.DUMMYFUNCTION("IF(A946&gt;0,IFERROR(MAX(FILTER('Барабан'!AJ:AJ,'Барабан'!V:V=A946)),""–""),"""")"),"")</f>
        <v/>
      </c>
    </row>
    <row r="947" ht="15.75" customHeight="1">
      <c r="A947" s="1" t="str">
        <f>'Справочник'!E942</f>
        <v/>
      </c>
      <c r="B947" s="2" t="str">
        <f>IF(A947&gt;0,SUMIF('Барабан'!K:K,A947,'Барабан'!I:I),"")</f>
        <v/>
      </c>
      <c r="C947" s="2" t="str">
        <f>IF(A947&gt;0,SUMIF('Барабан'!V:V,A947,'Барабан'!T:T),"")</f>
        <v/>
      </c>
      <c r="D947" s="2" t="str">
        <f>IF(A947&gt;0,SUMIF('Барабан'!K:K,A947,'Барабан'!AG:AG)+SUMIF('Барабан'!V:V,A947,'Барабан'!AG:AG),"")</f>
        <v/>
      </c>
      <c r="E947" s="2" t="str">
        <f t="shared" si="1"/>
        <v/>
      </c>
      <c r="F947" s="2" t="str">
        <f t="array" ref="F947">IFERROR(IF(E947=0,0,INDEX('Справочник'!G:G,MATCH(A947,'Справочник'!F:F,0))))</f>
        <v/>
      </c>
      <c r="G947" s="2" t="str">
        <f>IF(A947&gt;0,SUMIF('Барабан'!K:K,A947,'Барабан'!P:P),"")</f>
        <v/>
      </c>
      <c r="H947" s="2" t="str">
        <f>IF(A947&gt;0,SUMIF('Барабан'!V:V,A947,'Барабан'!AA:AA),"")</f>
        <v/>
      </c>
      <c r="I947" s="2" t="str">
        <f t="shared" si="4"/>
        <v/>
      </c>
      <c r="J947" s="9" t="str">
        <f t="shared" si="2"/>
        <v/>
      </c>
      <c r="K947" s="1" t="str">
        <f>IF(A947&gt;0,COUNTIF('Барабан'!K:K,A947),"")</f>
        <v/>
      </c>
      <c r="L947" s="1" t="str">
        <f>IF(A947&gt;0,COUNTIF('Барабан'!V:V,A947),"")</f>
        <v/>
      </c>
      <c r="M947" s="1" t="str">
        <f t="shared" si="3"/>
        <v/>
      </c>
      <c r="N947" s="1" t="str">
        <f>IFERROR(__xludf.DUMMYFUNCTION("IF(A947&gt;0,MIN(FILTER('Барабан'!AJ:AJ,'Барабан'!K:K=A947)),"""")"),"")</f>
        <v/>
      </c>
      <c r="O947" s="16" t="str">
        <f>IFERROR(__xludf.DUMMYFUNCTION("IF(A947&gt;0,IFERROR(MAX(FILTER('Барабан'!AJ:AJ,'Барабан'!V:V=A947)),""–""),"""")"),"")</f>
        <v/>
      </c>
    </row>
    <row r="948" ht="15.75" customHeight="1">
      <c r="A948" s="1" t="str">
        <f>'Справочник'!E943</f>
        <v/>
      </c>
      <c r="B948" s="2" t="str">
        <f>IF(A948&gt;0,SUMIF('Барабан'!K:K,A948,'Барабан'!I:I),"")</f>
        <v/>
      </c>
      <c r="C948" s="2" t="str">
        <f>IF(A948&gt;0,SUMIF('Барабан'!V:V,A948,'Барабан'!T:T),"")</f>
        <v/>
      </c>
      <c r="D948" s="2" t="str">
        <f>IF(A948&gt;0,SUMIF('Барабан'!K:K,A948,'Барабан'!AG:AG)+SUMIF('Барабан'!V:V,A948,'Барабан'!AG:AG),"")</f>
        <v/>
      </c>
      <c r="E948" s="2" t="str">
        <f t="shared" si="1"/>
        <v/>
      </c>
      <c r="F948" s="2" t="str">
        <f t="array" ref="F948">IFERROR(IF(E948=0,0,INDEX('Справочник'!G:G,MATCH(A948,'Справочник'!F:F,0))))</f>
        <v/>
      </c>
      <c r="G948" s="2" t="str">
        <f>IF(A948&gt;0,SUMIF('Барабан'!K:K,A948,'Барабан'!P:P),"")</f>
        <v/>
      </c>
      <c r="H948" s="2" t="str">
        <f>IF(A948&gt;0,SUMIF('Барабан'!V:V,A948,'Барабан'!AA:AA),"")</f>
        <v/>
      </c>
      <c r="I948" s="2" t="str">
        <f t="shared" si="4"/>
        <v/>
      </c>
      <c r="J948" s="9" t="str">
        <f t="shared" si="2"/>
        <v/>
      </c>
      <c r="K948" s="1" t="str">
        <f>IF(A948&gt;0,COUNTIF('Барабан'!K:K,A948),"")</f>
        <v/>
      </c>
      <c r="L948" s="1" t="str">
        <f>IF(A948&gt;0,COUNTIF('Барабан'!V:V,A948),"")</f>
        <v/>
      </c>
      <c r="M948" s="1" t="str">
        <f t="shared" si="3"/>
        <v/>
      </c>
      <c r="N948" s="1" t="str">
        <f>IFERROR(__xludf.DUMMYFUNCTION("IF(A948&gt;0,MIN(FILTER('Барабан'!AJ:AJ,'Барабан'!K:K=A948)),"""")"),"")</f>
        <v/>
      </c>
      <c r="O948" s="16" t="str">
        <f>IFERROR(__xludf.DUMMYFUNCTION("IF(A948&gt;0,IFERROR(MAX(FILTER('Барабан'!AJ:AJ,'Барабан'!V:V=A948)),""–""),"""")"),"")</f>
        <v/>
      </c>
    </row>
    <row r="949" ht="15.75" customHeight="1">
      <c r="A949" s="1" t="str">
        <f>'Справочник'!E944</f>
        <v/>
      </c>
      <c r="B949" s="2" t="str">
        <f>IF(A949&gt;0,SUMIF('Барабан'!K:K,A949,'Барабан'!I:I),"")</f>
        <v/>
      </c>
      <c r="C949" s="2" t="str">
        <f>IF(A949&gt;0,SUMIF('Барабан'!V:V,A949,'Барабан'!T:T),"")</f>
        <v/>
      </c>
      <c r="D949" s="2" t="str">
        <f>IF(A949&gt;0,SUMIF('Барабан'!K:K,A949,'Барабан'!AG:AG)+SUMIF('Барабан'!V:V,A949,'Барабан'!AG:AG),"")</f>
        <v/>
      </c>
      <c r="E949" s="2" t="str">
        <f t="shared" si="1"/>
        <v/>
      </c>
      <c r="F949" s="2" t="str">
        <f t="array" ref="F949">IFERROR(IF(E949=0,0,INDEX('Справочник'!G:G,MATCH(A949,'Справочник'!F:F,0))))</f>
        <v/>
      </c>
      <c r="G949" s="2" t="str">
        <f>IF(A949&gt;0,SUMIF('Барабан'!K:K,A949,'Барабан'!P:P),"")</f>
        <v/>
      </c>
      <c r="H949" s="2" t="str">
        <f>IF(A949&gt;0,SUMIF('Барабан'!V:V,A949,'Барабан'!AA:AA),"")</f>
        <v/>
      </c>
      <c r="I949" s="2" t="str">
        <f t="shared" si="4"/>
        <v/>
      </c>
      <c r="J949" s="9" t="str">
        <f t="shared" si="2"/>
        <v/>
      </c>
      <c r="K949" s="1" t="str">
        <f>IF(A949&gt;0,COUNTIF('Барабан'!K:K,A949),"")</f>
        <v/>
      </c>
      <c r="L949" s="1" t="str">
        <f>IF(A949&gt;0,COUNTIF('Барабан'!V:V,A949),"")</f>
        <v/>
      </c>
      <c r="M949" s="1" t="str">
        <f t="shared" si="3"/>
        <v/>
      </c>
      <c r="N949" s="1" t="str">
        <f>IFERROR(__xludf.DUMMYFUNCTION("IF(A949&gt;0,MIN(FILTER('Барабан'!AJ:AJ,'Барабан'!K:K=A949)),"""")"),"")</f>
        <v/>
      </c>
      <c r="O949" s="16" t="str">
        <f>IFERROR(__xludf.DUMMYFUNCTION("IF(A949&gt;0,IFERROR(MAX(FILTER('Барабан'!AJ:AJ,'Барабан'!V:V=A949)),""–""),"""")"),"")</f>
        <v/>
      </c>
    </row>
    <row r="950" ht="15.75" customHeight="1">
      <c r="A950" s="1" t="str">
        <f>'Справочник'!E945</f>
        <v/>
      </c>
      <c r="B950" s="2" t="str">
        <f>IF(A950&gt;0,SUMIF('Барабан'!K:K,A950,'Барабан'!I:I),"")</f>
        <v/>
      </c>
      <c r="C950" s="2" t="str">
        <f>IF(A950&gt;0,SUMIF('Барабан'!V:V,A950,'Барабан'!T:T),"")</f>
        <v/>
      </c>
      <c r="D950" s="2" t="str">
        <f>IF(A950&gt;0,SUMIF('Барабан'!K:K,A950,'Барабан'!AG:AG)+SUMIF('Барабан'!V:V,A950,'Барабан'!AG:AG),"")</f>
        <v/>
      </c>
      <c r="E950" s="2" t="str">
        <f t="shared" si="1"/>
        <v/>
      </c>
      <c r="F950" s="2" t="str">
        <f t="array" ref="F950">IFERROR(IF(E950=0,0,INDEX('Справочник'!G:G,MATCH(A950,'Справочник'!F:F,0))))</f>
        <v/>
      </c>
      <c r="G950" s="2" t="str">
        <f>IF(A950&gt;0,SUMIF('Барабан'!K:K,A950,'Барабан'!P:P),"")</f>
        <v/>
      </c>
      <c r="H950" s="2" t="str">
        <f>IF(A950&gt;0,SUMIF('Барабан'!V:V,A950,'Барабан'!AA:AA),"")</f>
        <v/>
      </c>
      <c r="I950" s="2" t="str">
        <f t="shared" si="4"/>
        <v/>
      </c>
      <c r="J950" s="9" t="str">
        <f t="shared" si="2"/>
        <v/>
      </c>
      <c r="K950" s="1" t="str">
        <f>IF(A950&gt;0,COUNTIF('Барабан'!K:K,A950),"")</f>
        <v/>
      </c>
      <c r="L950" s="1" t="str">
        <f>IF(A950&gt;0,COUNTIF('Барабан'!V:V,A950),"")</f>
        <v/>
      </c>
      <c r="M950" s="1" t="str">
        <f t="shared" si="3"/>
        <v/>
      </c>
      <c r="N950" s="1" t="str">
        <f>IFERROR(__xludf.DUMMYFUNCTION("IF(A950&gt;0,MIN(FILTER('Барабан'!AJ:AJ,'Барабан'!K:K=A950)),"""")"),"")</f>
        <v/>
      </c>
      <c r="O950" s="16" t="str">
        <f>IFERROR(__xludf.DUMMYFUNCTION("IF(A950&gt;0,IFERROR(MAX(FILTER('Барабан'!AJ:AJ,'Барабан'!V:V=A950)),""–""),"""")"),"")</f>
        <v/>
      </c>
    </row>
    <row r="951" ht="15.75" customHeight="1">
      <c r="A951" s="1" t="str">
        <f>'Справочник'!E946</f>
        <v/>
      </c>
      <c r="B951" s="2" t="str">
        <f>IF(A951&gt;0,SUMIF('Барабан'!K:K,A951,'Барабан'!I:I),"")</f>
        <v/>
      </c>
      <c r="C951" s="2" t="str">
        <f>IF(A951&gt;0,SUMIF('Барабан'!V:V,A951,'Барабан'!T:T),"")</f>
        <v/>
      </c>
      <c r="D951" s="2" t="str">
        <f>IF(A951&gt;0,SUMIF('Барабан'!K:K,A951,'Барабан'!AG:AG)+SUMIF('Барабан'!V:V,A951,'Барабан'!AG:AG),"")</f>
        <v/>
      </c>
      <c r="E951" s="2" t="str">
        <f t="shared" si="1"/>
        <v/>
      </c>
      <c r="F951" s="2" t="str">
        <f t="array" ref="F951">IFERROR(IF(E951=0,0,INDEX('Справочник'!G:G,MATCH(A951,'Справочник'!F:F,0))))</f>
        <v/>
      </c>
      <c r="G951" s="2" t="str">
        <f>IF(A951&gt;0,SUMIF('Барабан'!K:K,A951,'Барабан'!P:P),"")</f>
        <v/>
      </c>
      <c r="H951" s="2" t="str">
        <f>IF(A951&gt;0,SUMIF('Барабан'!V:V,A951,'Барабан'!AA:AA),"")</f>
        <v/>
      </c>
      <c r="I951" s="2" t="str">
        <f t="shared" si="4"/>
        <v/>
      </c>
      <c r="J951" s="9" t="str">
        <f t="shared" si="2"/>
        <v/>
      </c>
      <c r="K951" s="1" t="str">
        <f>IF(A951&gt;0,COUNTIF('Барабан'!K:K,A951),"")</f>
        <v/>
      </c>
      <c r="L951" s="1" t="str">
        <f>IF(A951&gt;0,COUNTIF('Барабан'!V:V,A951),"")</f>
        <v/>
      </c>
      <c r="M951" s="1" t="str">
        <f t="shared" si="3"/>
        <v/>
      </c>
      <c r="N951" s="1" t="str">
        <f>IFERROR(__xludf.DUMMYFUNCTION("IF(A951&gt;0,MIN(FILTER('Барабан'!AJ:AJ,'Барабан'!K:K=A951)),"""")"),"")</f>
        <v/>
      </c>
      <c r="O951" s="16" t="str">
        <f>IFERROR(__xludf.DUMMYFUNCTION("IF(A951&gt;0,IFERROR(MAX(FILTER('Барабан'!AJ:AJ,'Барабан'!V:V=A951)),""–""),"""")"),"")</f>
        <v/>
      </c>
    </row>
    <row r="952" ht="15.75" customHeight="1">
      <c r="A952" s="1" t="str">
        <f>'Справочник'!E947</f>
        <v/>
      </c>
      <c r="B952" s="2" t="str">
        <f>IF(A952&gt;0,SUMIF('Барабан'!K:K,A952,'Барабан'!I:I),"")</f>
        <v/>
      </c>
      <c r="C952" s="2" t="str">
        <f>IF(A952&gt;0,SUMIF('Барабан'!V:V,A952,'Барабан'!T:T),"")</f>
        <v/>
      </c>
      <c r="D952" s="2" t="str">
        <f>IF(A952&gt;0,SUMIF('Барабан'!K:K,A952,'Барабан'!AG:AG)+SUMIF('Барабан'!V:V,A952,'Барабан'!AG:AG),"")</f>
        <v/>
      </c>
      <c r="E952" s="2" t="str">
        <f t="shared" si="1"/>
        <v/>
      </c>
      <c r="F952" s="2" t="str">
        <f t="array" ref="F952">IFERROR(IF(E952=0,0,INDEX('Справочник'!G:G,MATCH(A952,'Справочник'!F:F,0))))</f>
        <v/>
      </c>
      <c r="G952" s="2" t="str">
        <f>IF(A952&gt;0,SUMIF('Барабан'!K:K,A952,'Барабан'!P:P),"")</f>
        <v/>
      </c>
      <c r="H952" s="2" t="str">
        <f>IF(A952&gt;0,SUMIF('Барабан'!V:V,A952,'Барабан'!AA:AA),"")</f>
        <v/>
      </c>
      <c r="I952" s="2" t="str">
        <f t="shared" si="4"/>
        <v/>
      </c>
      <c r="J952" s="9" t="str">
        <f t="shared" si="2"/>
        <v/>
      </c>
      <c r="K952" s="1" t="str">
        <f>IF(A952&gt;0,COUNTIF('Барабан'!K:K,A952),"")</f>
        <v/>
      </c>
      <c r="L952" s="1" t="str">
        <f>IF(A952&gt;0,COUNTIF('Барабан'!V:V,A952),"")</f>
        <v/>
      </c>
      <c r="M952" s="1" t="str">
        <f t="shared" si="3"/>
        <v/>
      </c>
      <c r="N952" s="1" t="str">
        <f>IFERROR(__xludf.DUMMYFUNCTION("IF(A952&gt;0,MIN(FILTER('Барабан'!AJ:AJ,'Барабан'!K:K=A952)),"""")"),"")</f>
        <v/>
      </c>
      <c r="O952" s="16" t="str">
        <f>IFERROR(__xludf.DUMMYFUNCTION("IF(A952&gt;0,IFERROR(MAX(FILTER('Барабан'!AJ:AJ,'Барабан'!V:V=A952)),""–""),"""")"),"")</f>
        <v/>
      </c>
    </row>
    <row r="953" ht="15.75" customHeight="1">
      <c r="A953" s="1" t="str">
        <f>'Справочник'!E948</f>
        <v/>
      </c>
      <c r="B953" s="2" t="str">
        <f>IF(A953&gt;0,SUMIF('Барабан'!K:K,A953,'Барабан'!I:I),"")</f>
        <v/>
      </c>
      <c r="C953" s="2" t="str">
        <f>IF(A953&gt;0,SUMIF('Барабан'!V:V,A953,'Барабан'!T:T),"")</f>
        <v/>
      </c>
      <c r="D953" s="2" t="str">
        <f>IF(A953&gt;0,SUMIF('Барабан'!K:K,A953,'Барабан'!AG:AG)+SUMIF('Барабан'!V:V,A953,'Барабан'!AG:AG),"")</f>
        <v/>
      </c>
      <c r="E953" s="2" t="str">
        <f t="shared" si="1"/>
        <v/>
      </c>
      <c r="F953" s="2" t="str">
        <f t="array" ref="F953">IFERROR(IF(E953=0,0,INDEX('Справочник'!G:G,MATCH(A953,'Справочник'!F:F,0))))</f>
        <v/>
      </c>
      <c r="G953" s="2" t="str">
        <f>IF(A953&gt;0,SUMIF('Барабан'!K:K,A953,'Барабан'!P:P),"")</f>
        <v/>
      </c>
      <c r="H953" s="2" t="str">
        <f>IF(A953&gt;0,SUMIF('Барабан'!V:V,A953,'Барабан'!AA:AA),"")</f>
        <v/>
      </c>
      <c r="I953" s="2" t="str">
        <f t="shared" si="4"/>
        <v/>
      </c>
      <c r="J953" s="9" t="str">
        <f t="shared" si="2"/>
        <v/>
      </c>
      <c r="K953" s="1" t="str">
        <f>IF(A953&gt;0,COUNTIF('Барабан'!K:K,A953),"")</f>
        <v/>
      </c>
      <c r="L953" s="1" t="str">
        <f>IF(A953&gt;0,COUNTIF('Барабан'!V:V,A953),"")</f>
        <v/>
      </c>
      <c r="M953" s="1" t="str">
        <f t="shared" si="3"/>
        <v/>
      </c>
      <c r="N953" s="1" t="str">
        <f>IFERROR(__xludf.DUMMYFUNCTION("IF(A953&gt;0,MIN(FILTER('Барабан'!AJ:AJ,'Барабан'!K:K=A953)),"""")"),"")</f>
        <v/>
      </c>
      <c r="O953" s="16" t="str">
        <f>IFERROR(__xludf.DUMMYFUNCTION("IF(A953&gt;0,IFERROR(MAX(FILTER('Барабан'!AJ:AJ,'Барабан'!V:V=A953)),""–""),"""")"),"")</f>
        <v/>
      </c>
    </row>
    <row r="954" ht="15.75" customHeight="1">
      <c r="A954" s="1" t="str">
        <f>'Справочник'!E949</f>
        <v/>
      </c>
      <c r="B954" s="2" t="str">
        <f>IF(A954&gt;0,SUMIF('Барабан'!K:K,A954,'Барабан'!I:I),"")</f>
        <v/>
      </c>
      <c r="C954" s="2" t="str">
        <f>IF(A954&gt;0,SUMIF('Барабан'!V:V,A954,'Барабан'!T:T),"")</f>
        <v/>
      </c>
      <c r="D954" s="2" t="str">
        <f>IF(A954&gt;0,SUMIF('Барабан'!K:K,A954,'Барабан'!AG:AG)+SUMIF('Барабан'!V:V,A954,'Барабан'!AG:AG),"")</f>
        <v/>
      </c>
      <c r="E954" s="2" t="str">
        <f t="shared" si="1"/>
        <v/>
      </c>
      <c r="F954" s="2" t="str">
        <f t="array" ref="F954">IFERROR(IF(E954=0,0,INDEX('Справочник'!G:G,MATCH(A954,'Справочник'!F:F,0))))</f>
        <v/>
      </c>
      <c r="G954" s="2" t="str">
        <f>IF(A954&gt;0,SUMIF('Барабан'!K:K,A954,'Барабан'!P:P),"")</f>
        <v/>
      </c>
      <c r="H954" s="2" t="str">
        <f>IF(A954&gt;0,SUMIF('Барабан'!V:V,A954,'Барабан'!AA:AA),"")</f>
        <v/>
      </c>
      <c r="I954" s="2" t="str">
        <f t="shared" si="4"/>
        <v/>
      </c>
      <c r="J954" s="9" t="str">
        <f t="shared" si="2"/>
        <v/>
      </c>
      <c r="K954" s="1" t="str">
        <f>IF(A954&gt;0,COUNTIF('Барабан'!K:K,A954),"")</f>
        <v/>
      </c>
      <c r="L954" s="1" t="str">
        <f>IF(A954&gt;0,COUNTIF('Барабан'!V:V,A954),"")</f>
        <v/>
      </c>
      <c r="M954" s="1" t="str">
        <f t="shared" si="3"/>
        <v/>
      </c>
      <c r="N954" s="1" t="str">
        <f>IFERROR(__xludf.DUMMYFUNCTION("IF(A954&gt;0,MIN(FILTER('Барабан'!AJ:AJ,'Барабан'!K:K=A954)),"""")"),"")</f>
        <v/>
      </c>
      <c r="O954" s="16" t="str">
        <f>IFERROR(__xludf.DUMMYFUNCTION("IF(A954&gt;0,IFERROR(MAX(FILTER('Барабан'!AJ:AJ,'Барабан'!V:V=A954)),""–""),"""")"),"")</f>
        <v/>
      </c>
    </row>
    <row r="955" ht="15.75" customHeight="1">
      <c r="A955" s="1" t="str">
        <f>'Справочник'!E950</f>
        <v/>
      </c>
      <c r="B955" s="2" t="str">
        <f>IF(A955&gt;0,SUMIF('Барабан'!K:K,A955,'Барабан'!I:I),"")</f>
        <v/>
      </c>
      <c r="C955" s="2" t="str">
        <f>IF(A955&gt;0,SUMIF('Барабан'!V:V,A955,'Барабан'!T:T),"")</f>
        <v/>
      </c>
      <c r="D955" s="2" t="str">
        <f>IF(A955&gt;0,SUMIF('Барабан'!K:K,A955,'Барабан'!AG:AG)+SUMIF('Барабан'!V:V,A955,'Барабан'!AG:AG),"")</f>
        <v/>
      </c>
      <c r="E955" s="2" t="str">
        <f t="shared" si="1"/>
        <v/>
      </c>
      <c r="F955" s="2" t="str">
        <f t="array" ref="F955">IFERROR(IF(E955=0,0,INDEX('Справочник'!G:G,MATCH(A955,'Справочник'!F:F,0))))</f>
        <v/>
      </c>
      <c r="G955" s="2" t="str">
        <f>IF(A955&gt;0,SUMIF('Барабан'!K:K,A955,'Барабан'!P:P),"")</f>
        <v/>
      </c>
      <c r="H955" s="2" t="str">
        <f>IF(A955&gt;0,SUMIF('Барабан'!V:V,A955,'Барабан'!AA:AA),"")</f>
        <v/>
      </c>
      <c r="I955" s="2" t="str">
        <f t="shared" si="4"/>
        <v/>
      </c>
      <c r="J955" s="9" t="str">
        <f t="shared" si="2"/>
        <v/>
      </c>
      <c r="K955" s="1" t="str">
        <f>IF(A955&gt;0,COUNTIF('Барабан'!K:K,A955),"")</f>
        <v/>
      </c>
      <c r="L955" s="1" t="str">
        <f>IF(A955&gt;0,COUNTIF('Барабан'!V:V,A955),"")</f>
        <v/>
      </c>
      <c r="M955" s="1" t="str">
        <f t="shared" si="3"/>
        <v/>
      </c>
      <c r="N955" s="1" t="str">
        <f>IFERROR(__xludf.DUMMYFUNCTION("IF(A955&gt;0,MIN(FILTER('Барабан'!AJ:AJ,'Барабан'!K:K=A955)),"""")"),"")</f>
        <v/>
      </c>
      <c r="O955" s="16" t="str">
        <f>IFERROR(__xludf.DUMMYFUNCTION("IF(A955&gt;0,IFERROR(MAX(FILTER('Барабан'!AJ:AJ,'Барабан'!V:V=A955)),""–""),"""")"),"")</f>
        <v/>
      </c>
    </row>
    <row r="956" ht="15.75" customHeight="1">
      <c r="A956" s="1" t="str">
        <f>'Справочник'!E951</f>
        <v/>
      </c>
      <c r="B956" s="2" t="str">
        <f>IF(A956&gt;0,SUMIF('Барабан'!K:K,A956,'Барабан'!I:I),"")</f>
        <v/>
      </c>
      <c r="C956" s="2" t="str">
        <f>IF(A956&gt;0,SUMIF('Барабан'!V:V,A956,'Барабан'!T:T),"")</f>
        <v/>
      </c>
      <c r="D956" s="2" t="str">
        <f>IF(A956&gt;0,SUMIF('Барабан'!K:K,A956,'Барабан'!AG:AG)+SUMIF('Барабан'!V:V,A956,'Барабан'!AG:AG),"")</f>
        <v/>
      </c>
      <c r="E956" s="2" t="str">
        <f t="shared" si="1"/>
        <v/>
      </c>
      <c r="F956" s="2" t="str">
        <f t="array" ref="F956">IFERROR(IF(E956=0,0,INDEX('Справочник'!G:G,MATCH(A956,'Справочник'!F:F,0))))</f>
        <v/>
      </c>
      <c r="G956" s="2" t="str">
        <f>IF(A956&gt;0,SUMIF('Барабан'!K:K,A956,'Барабан'!P:P),"")</f>
        <v/>
      </c>
      <c r="H956" s="2" t="str">
        <f>IF(A956&gt;0,SUMIF('Барабан'!V:V,A956,'Барабан'!AA:AA),"")</f>
        <v/>
      </c>
      <c r="I956" s="2" t="str">
        <f t="shared" si="4"/>
        <v/>
      </c>
      <c r="J956" s="9" t="str">
        <f t="shared" si="2"/>
        <v/>
      </c>
      <c r="K956" s="1" t="str">
        <f>IF(A956&gt;0,COUNTIF('Барабан'!K:K,A956),"")</f>
        <v/>
      </c>
      <c r="L956" s="1" t="str">
        <f>IF(A956&gt;0,COUNTIF('Барабан'!V:V,A956),"")</f>
        <v/>
      </c>
      <c r="M956" s="1" t="str">
        <f t="shared" si="3"/>
        <v/>
      </c>
      <c r="N956" s="1" t="str">
        <f>IFERROR(__xludf.DUMMYFUNCTION("IF(A956&gt;0,MIN(FILTER('Барабан'!AJ:AJ,'Барабан'!K:K=A956)),"""")"),"")</f>
        <v/>
      </c>
      <c r="O956" s="16" t="str">
        <f>IFERROR(__xludf.DUMMYFUNCTION("IF(A956&gt;0,IFERROR(MAX(FILTER('Барабан'!AJ:AJ,'Барабан'!V:V=A956)),""–""),"""")"),"")</f>
        <v/>
      </c>
    </row>
    <row r="957" ht="15.75" customHeight="1">
      <c r="A957" s="1" t="str">
        <f>'Справочник'!E952</f>
        <v/>
      </c>
      <c r="B957" s="2" t="str">
        <f>IF(A957&gt;0,SUMIF('Барабан'!K:K,A957,'Барабан'!I:I),"")</f>
        <v/>
      </c>
      <c r="C957" s="2" t="str">
        <f>IF(A957&gt;0,SUMIF('Барабан'!V:V,A957,'Барабан'!T:T),"")</f>
        <v/>
      </c>
      <c r="D957" s="2" t="str">
        <f>IF(A957&gt;0,SUMIF('Барабан'!K:K,A957,'Барабан'!AG:AG)+SUMIF('Барабан'!V:V,A957,'Барабан'!AG:AG),"")</f>
        <v/>
      </c>
      <c r="E957" s="2" t="str">
        <f t="shared" si="1"/>
        <v/>
      </c>
      <c r="F957" s="2" t="str">
        <f t="array" ref="F957">IFERROR(IF(E957=0,0,INDEX('Справочник'!G:G,MATCH(A957,'Справочник'!F:F,0))))</f>
        <v/>
      </c>
      <c r="G957" s="2" t="str">
        <f>IF(A957&gt;0,SUMIF('Барабан'!K:K,A957,'Барабан'!P:P),"")</f>
        <v/>
      </c>
      <c r="H957" s="2" t="str">
        <f>IF(A957&gt;0,SUMIF('Барабан'!V:V,A957,'Барабан'!AA:AA),"")</f>
        <v/>
      </c>
      <c r="I957" s="2" t="str">
        <f t="shared" si="4"/>
        <v/>
      </c>
      <c r="J957" s="9" t="str">
        <f t="shared" si="2"/>
        <v/>
      </c>
      <c r="K957" s="1" t="str">
        <f>IF(A957&gt;0,COUNTIF('Барабан'!K:K,A957),"")</f>
        <v/>
      </c>
      <c r="L957" s="1" t="str">
        <f>IF(A957&gt;0,COUNTIF('Барабан'!V:V,A957),"")</f>
        <v/>
      </c>
      <c r="M957" s="1" t="str">
        <f t="shared" si="3"/>
        <v/>
      </c>
      <c r="N957" s="1" t="str">
        <f>IFERROR(__xludf.DUMMYFUNCTION("IF(A957&gt;0,MIN(FILTER('Барабан'!AJ:AJ,'Барабан'!K:K=A957)),"""")"),"")</f>
        <v/>
      </c>
      <c r="O957" s="16" t="str">
        <f>IFERROR(__xludf.DUMMYFUNCTION("IF(A957&gt;0,IFERROR(MAX(FILTER('Барабан'!AJ:AJ,'Барабан'!V:V=A957)),""–""),"""")"),"")</f>
        <v/>
      </c>
    </row>
    <row r="958" ht="15.75" customHeight="1">
      <c r="A958" s="1" t="str">
        <f>'Справочник'!E953</f>
        <v/>
      </c>
      <c r="B958" s="2" t="str">
        <f>IF(A958&gt;0,SUMIF('Барабан'!K:K,A958,'Барабан'!I:I),"")</f>
        <v/>
      </c>
      <c r="C958" s="2" t="str">
        <f>IF(A958&gt;0,SUMIF('Барабан'!V:V,A958,'Барабан'!T:T),"")</f>
        <v/>
      </c>
      <c r="D958" s="2" t="str">
        <f>IF(A958&gt;0,SUMIF('Барабан'!K:K,A958,'Барабан'!AG:AG)+SUMIF('Барабан'!V:V,A958,'Барабан'!AG:AG),"")</f>
        <v/>
      </c>
      <c r="E958" s="2" t="str">
        <f t="shared" si="1"/>
        <v/>
      </c>
      <c r="F958" s="2" t="str">
        <f t="array" ref="F958">IFERROR(IF(E958=0,0,INDEX('Справочник'!G:G,MATCH(A958,'Справочник'!F:F,0))))</f>
        <v/>
      </c>
      <c r="G958" s="2" t="str">
        <f>IF(A958&gt;0,SUMIF('Барабан'!K:K,A958,'Барабан'!P:P),"")</f>
        <v/>
      </c>
      <c r="H958" s="2" t="str">
        <f>IF(A958&gt;0,SUMIF('Барабан'!V:V,A958,'Барабан'!AA:AA),"")</f>
        <v/>
      </c>
      <c r="I958" s="2" t="str">
        <f t="shared" si="4"/>
        <v/>
      </c>
      <c r="J958" s="9" t="str">
        <f t="shared" si="2"/>
        <v/>
      </c>
      <c r="K958" s="1" t="str">
        <f>IF(A958&gt;0,COUNTIF('Барабан'!K:K,A958),"")</f>
        <v/>
      </c>
      <c r="L958" s="1" t="str">
        <f>IF(A958&gt;0,COUNTIF('Барабан'!V:V,A958),"")</f>
        <v/>
      </c>
      <c r="M958" s="1" t="str">
        <f t="shared" si="3"/>
        <v/>
      </c>
      <c r="N958" s="1" t="str">
        <f>IFERROR(__xludf.DUMMYFUNCTION("IF(A958&gt;0,MIN(FILTER('Барабан'!AJ:AJ,'Барабан'!K:K=A958)),"""")"),"")</f>
        <v/>
      </c>
      <c r="O958" s="16" t="str">
        <f>IFERROR(__xludf.DUMMYFUNCTION("IF(A958&gt;0,IFERROR(MAX(FILTER('Барабан'!AJ:AJ,'Барабан'!V:V=A958)),""–""),"""")"),"")</f>
        <v/>
      </c>
    </row>
    <row r="959" ht="15.75" customHeight="1">
      <c r="A959" s="1" t="str">
        <f>'Справочник'!E954</f>
        <v/>
      </c>
      <c r="B959" s="2" t="str">
        <f>IF(A959&gt;0,SUMIF('Барабан'!K:K,A959,'Барабан'!I:I),"")</f>
        <v/>
      </c>
      <c r="C959" s="2" t="str">
        <f>IF(A959&gt;0,SUMIF('Барабан'!V:V,A959,'Барабан'!T:T),"")</f>
        <v/>
      </c>
      <c r="D959" s="2" t="str">
        <f>IF(A959&gt;0,SUMIF('Барабан'!K:K,A959,'Барабан'!AG:AG)+SUMIF('Барабан'!V:V,A959,'Барабан'!AG:AG),"")</f>
        <v/>
      </c>
      <c r="E959" s="2" t="str">
        <f t="shared" si="1"/>
        <v/>
      </c>
      <c r="F959" s="2" t="str">
        <f t="array" ref="F959">IFERROR(IF(E959=0,0,INDEX('Справочник'!G:G,MATCH(A959,'Справочник'!F:F,0))))</f>
        <v/>
      </c>
      <c r="G959" s="2" t="str">
        <f>IF(A959&gt;0,SUMIF('Барабан'!K:K,A959,'Барабан'!P:P),"")</f>
        <v/>
      </c>
      <c r="H959" s="2" t="str">
        <f>IF(A959&gt;0,SUMIF('Барабан'!V:V,A959,'Барабан'!AA:AA),"")</f>
        <v/>
      </c>
      <c r="I959" s="2" t="str">
        <f t="shared" si="4"/>
        <v/>
      </c>
      <c r="J959" s="9" t="str">
        <f t="shared" si="2"/>
        <v/>
      </c>
      <c r="K959" s="1" t="str">
        <f>IF(A959&gt;0,COUNTIF('Барабан'!K:K,A959),"")</f>
        <v/>
      </c>
      <c r="L959" s="1" t="str">
        <f>IF(A959&gt;0,COUNTIF('Барабан'!V:V,A959),"")</f>
        <v/>
      </c>
      <c r="M959" s="1" t="str">
        <f t="shared" si="3"/>
        <v/>
      </c>
      <c r="N959" s="1" t="str">
        <f>IFERROR(__xludf.DUMMYFUNCTION("IF(A959&gt;0,MIN(FILTER('Барабан'!AJ:AJ,'Барабан'!K:K=A959)),"""")"),"")</f>
        <v/>
      </c>
      <c r="O959" s="16" t="str">
        <f>IFERROR(__xludf.DUMMYFUNCTION("IF(A959&gt;0,IFERROR(MAX(FILTER('Барабан'!AJ:AJ,'Барабан'!V:V=A959)),""–""),"""")"),"")</f>
        <v/>
      </c>
    </row>
    <row r="960" ht="15.75" customHeight="1">
      <c r="A960" s="1" t="str">
        <f>'Справочник'!E955</f>
        <v/>
      </c>
      <c r="B960" s="2" t="str">
        <f>IF(A960&gt;0,SUMIF('Барабан'!K:K,A960,'Барабан'!I:I),"")</f>
        <v/>
      </c>
      <c r="C960" s="2" t="str">
        <f>IF(A960&gt;0,SUMIF('Барабан'!V:V,A960,'Барабан'!T:T),"")</f>
        <v/>
      </c>
      <c r="D960" s="2" t="str">
        <f>IF(A960&gt;0,SUMIF('Барабан'!K:K,A960,'Барабан'!AG:AG)+SUMIF('Барабан'!V:V,A960,'Барабан'!AG:AG),"")</f>
        <v/>
      </c>
      <c r="E960" s="2" t="str">
        <f t="shared" si="1"/>
        <v/>
      </c>
      <c r="F960" s="2" t="str">
        <f t="array" ref="F960">IFERROR(IF(E960=0,0,INDEX('Справочник'!G:G,MATCH(A960,'Справочник'!F:F,0))))</f>
        <v/>
      </c>
      <c r="G960" s="2" t="str">
        <f>IF(A960&gt;0,SUMIF('Барабан'!K:K,A960,'Барабан'!P:P),"")</f>
        <v/>
      </c>
      <c r="H960" s="2" t="str">
        <f>IF(A960&gt;0,SUMIF('Барабан'!V:V,A960,'Барабан'!AA:AA),"")</f>
        <v/>
      </c>
      <c r="I960" s="2" t="str">
        <f t="shared" si="4"/>
        <v/>
      </c>
      <c r="J960" s="9" t="str">
        <f t="shared" si="2"/>
        <v/>
      </c>
      <c r="K960" s="1" t="str">
        <f>IF(A960&gt;0,COUNTIF('Барабан'!K:K,A960),"")</f>
        <v/>
      </c>
      <c r="L960" s="1" t="str">
        <f>IF(A960&gt;0,COUNTIF('Барабан'!V:V,A960),"")</f>
        <v/>
      </c>
      <c r="M960" s="1" t="str">
        <f t="shared" si="3"/>
        <v/>
      </c>
      <c r="N960" s="1" t="str">
        <f>IFERROR(__xludf.DUMMYFUNCTION("IF(A960&gt;0,MIN(FILTER('Барабан'!AJ:AJ,'Барабан'!K:K=A960)),"""")"),"")</f>
        <v/>
      </c>
      <c r="O960" s="16" t="str">
        <f>IFERROR(__xludf.DUMMYFUNCTION("IF(A960&gt;0,IFERROR(MAX(FILTER('Барабан'!AJ:AJ,'Барабан'!V:V=A960)),""–""),"""")"),"")</f>
        <v/>
      </c>
    </row>
    <row r="961" ht="15.75" customHeight="1">
      <c r="A961" s="1" t="str">
        <f>'Справочник'!E956</f>
        <v/>
      </c>
      <c r="B961" s="2" t="str">
        <f>IF(A961&gt;0,SUMIF('Барабан'!K:K,A961,'Барабан'!I:I),"")</f>
        <v/>
      </c>
      <c r="C961" s="2" t="str">
        <f>IF(A961&gt;0,SUMIF('Барабан'!V:V,A961,'Барабан'!T:T),"")</f>
        <v/>
      </c>
      <c r="D961" s="2" t="str">
        <f>IF(A961&gt;0,SUMIF('Барабан'!K:K,A961,'Барабан'!AG:AG)+SUMIF('Барабан'!V:V,A961,'Барабан'!AG:AG),"")</f>
        <v/>
      </c>
      <c r="E961" s="2" t="str">
        <f t="shared" si="1"/>
        <v/>
      </c>
      <c r="F961" s="2" t="str">
        <f t="array" ref="F961">IFERROR(IF(E961=0,0,INDEX('Справочник'!G:G,MATCH(A961,'Справочник'!F:F,0))))</f>
        <v/>
      </c>
      <c r="G961" s="2" t="str">
        <f>IF(A961&gt;0,SUMIF('Барабан'!K:K,A961,'Барабан'!P:P),"")</f>
        <v/>
      </c>
      <c r="H961" s="2" t="str">
        <f>IF(A961&gt;0,SUMIF('Барабан'!V:V,A961,'Барабан'!AA:AA),"")</f>
        <v/>
      </c>
      <c r="I961" s="2" t="str">
        <f t="shared" si="4"/>
        <v/>
      </c>
      <c r="J961" s="9" t="str">
        <f t="shared" si="2"/>
        <v/>
      </c>
      <c r="K961" s="1" t="str">
        <f>IF(A961&gt;0,COUNTIF('Барабан'!K:K,A961),"")</f>
        <v/>
      </c>
      <c r="L961" s="1" t="str">
        <f>IF(A961&gt;0,COUNTIF('Барабан'!V:V,A961),"")</f>
        <v/>
      </c>
      <c r="M961" s="1" t="str">
        <f t="shared" si="3"/>
        <v/>
      </c>
      <c r="N961" s="1" t="str">
        <f>IFERROR(__xludf.DUMMYFUNCTION("IF(A961&gt;0,MIN(FILTER('Барабан'!AJ:AJ,'Барабан'!K:K=A961)),"""")"),"")</f>
        <v/>
      </c>
      <c r="O961" s="16" t="str">
        <f>IFERROR(__xludf.DUMMYFUNCTION("IF(A961&gt;0,IFERROR(MAX(FILTER('Барабан'!AJ:AJ,'Барабан'!V:V=A961)),""–""),"""")"),"")</f>
        <v/>
      </c>
    </row>
    <row r="962" ht="15.75" customHeight="1">
      <c r="A962" s="1" t="str">
        <f>'Справочник'!E957</f>
        <v/>
      </c>
      <c r="B962" s="2" t="str">
        <f>IF(A962&gt;0,SUMIF('Барабан'!K:K,A962,'Барабан'!I:I),"")</f>
        <v/>
      </c>
      <c r="C962" s="2" t="str">
        <f>IF(A962&gt;0,SUMIF('Барабан'!V:V,A962,'Барабан'!T:T),"")</f>
        <v/>
      </c>
      <c r="D962" s="2" t="str">
        <f>IF(A962&gt;0,SUMIF('Барабан'!K:K,A962,'Барабан'!AG:AG)+SUMIF('Барабан'!V:V,A962,'Барабан'!AG:AG),"")</f>
        <v/>
      </c>
      <c r="E962" s="2" t="str">
        <f t="shared" si="1"/>
        <v/>
      </c>
      <c r="F962" s="2" t="str">
        <f t="array" ref="F962">IFERROR(IF(E962=0,0,INDEX('Справочник'!G:G,MATCH(A962,'Справочник'!F:F,0))))</f>
        <v/>
      </c>
      <c r="G962" s="2" t="str">
        <f>IF(A962&gt;0,SUMIF('Барабан'!K:K,A962,'Барабан'!P:P),"")</f>
        <v/>
      </c>
      <c r="H962" s="2" t="str">
        <f>IF(A962&gt;0,SUMIF('Барабан'!V:V,A962,'Барабан'!AA:AA),"")</f>
        <v/>
      </c>
      <c r="I962" s="2" t="str">
        <f t="shared" si="4"/>
        <v/>
      </c>
      <c r="J962" s="9" t="str">
        <f t="shared" si="2"/>
        <v/>
      </c>
      <c r="K962" s="1" t="str">
        <f>IF(A962&gt;0,COUNTIF('Барабан'!K:K,A962),"")</f>
        <v/>
      </c>
      <c r="L962" s="1" t="str">
        <f>IF(A962&gt;0,COUNTIF('Барабан'!V:V,A962),"")</f>
        <v/>
      </c>
      <c r="M962" s="1" t="str">
        <f t="shared" si="3"/>
        <v/>
      </c>
      <c r="N962" s="1" t="str">
        <f>IFERROR(__xludf.DUMMYFUNCTION("IF(A962&gt;0,MIN(FILTER('Барабан'!AJ:AJ,'Барабан'!K:K=A962)),"""")"),"")</f>
        <v/>
      </c>
      <c r="O962" s="16" t="str">
        <f>IFERROR(__xludf.DUMMYFUNCTION("IF(A962&gt;0,IFERROR(MAX(FILTER('Барабан'!AJ:AJ,'Барабан'!V:V=A962)),""–""),"""")"),"")</f>
        <v/>
      </c>
    </row>
    <row r="963" ht="15.75" customHeight="1">
      <c r="A963" s="1" t="str">
        <f>'Справочник'!E958</f>
        <v/>
      </c>
      <c r="B963" s="2" t="str">
        <f>IF(A963&gt;0,SUMIF('Барабан'!K:K,A963,'Барабан'!I:I),"")</f>
        <v/>
      </c>
      <c r="C963" s="2" t="str">
        <f>IF(A963&gt;0,SUMIF('Барабан'!V:V,A963,'Барабан'!T:T),"")</f>
        <v/>
      </c>
      <c r="D963" s="2" t="str">
        <f>IF(A963&gt;0,SUMIF('Барабан'!K:K,A963,'Барабан'!AG:AG)+SUMIF('Барабан'!V:V,A963,'Барабан'!AG:AG),"")</f>
        <v/>
      </c>
      <c r="E963" s="2" t="str">
        <f t="shared" si="1"/>
        <v/>
      </c>
      <c r="F963" s="2" t="str">
        <f t="array" ref="F963">IFERROR(IF(E963=0,0,INDEX('Справочник'!G:G,MATCH(A963,'Справочник'!F:F,0))))</f>
        <v/>
      </c>
      <c r="G963" s="2" t="str">
        <f>IF(A963&gt;0,SUMIF('Барабан'!K:K,A963,'Барабан'!P:P),"")</f>
        <v/>
      </c>
      <c r="H963" s="2" t="str">
        <f>IF(A963&gt;0,SUMIF('Барабан'!V:V,A963,'Барабан'!AA:AA),"")</f>
        <v/>
      </c>
      <c r="I963" s="2" t="str">
        <f t="shared" si="4"/>
        <v/>
      </c>
      <c r="J963" s="9" t="str">
        <f t="shared" si="2"/>
        <v/>
      </c>
      <c r="K963" s="1" t="str">
        <f>IF(A963&gt;0,COUNTIF('Барабан'!K:K,A963),"")</f>
        <v/>
      </c>
      <c r="L963" s="1" t="str">
        <f>IF(A963&gt;0,COUNTIF('Барабан'!V:V,A963),"")</f>
        <v/>
      </c>
      <c r="M963" s="1" t="str">
        <f t="shared" si="3"/>
        <v/>
      </c>
      <c r="N963" s="1" t="str">
        <f>IFERROR(__xludf.DUMMYFUNCTION("IF(A963&gt;0,MIN(FILTER('Барабан'!AJ:AJ,'Барабан'!K:K=A963)),"""")"),"")</f>
        <v/>
      </c>
      <c r="O963" s="16" t="str">
        <f>IFERROR(__xludf.DUMMYFUNCTION("IF(A963&gt;0,IFERROR(MAX(FILTER('Барабан'!AJ:AJ,'Барабан'!V:V=A963)),""–""),"""")"),"")</f>
        <v/>
      </c>
    </row>
    <row r="964" ht="15.75" customHeight="1">
      <c r="A964" s="1" t="str">
        <f>'Справочник'!E959</f>
        <v/>
      </c>
      <c r="B964" s="2" t="str">
        <f>IF(A964&gt;0,SUMIF('Барабан'!K:K,A964,'Барабан'!I:I),"")</f>
        <v/>
      </c>
      <c r="C964" s="2" t="str">
        <f>IF(A964&gt;0,SUMIF('Барабан'!V:V,A964,'Барабан'!T:T),"")</f>
        <v/>
      </c>
      <c r="D964" s="2" t="str">
        <f>IF(A964&gt;0,SUMIF('Барабан'!K:K,A964,'Барабан'!AG:AG)+SUMIF('Барабан'!V:V,A964,'Барабан'!AG:AG),"")</f>
        <v/>
      </c>
      <c r="E964" s="2" t="str">
        <f t="shared" si="1"/>
        <v/>
      </c>
      <c r="F964" s="2" t="str">
        <f t="array" ref="F964">IFERROR(IF(E964=0,0,INDEX('Справочник'!G:G,MATCH(A964,'Справочник'!F:F,0))))</f>
        <v/>
      </c>
      <c r="G964" s="2" t="str">
        <f>IF(A964&gt;0,SUMIF('Барабан'!K:K,A964,'Барабан'!P:P),"")</f>
        <v/>
      </c>
      <c r="H964" s="2" t="str">
        <f>IF(A964&gt;0,SUMIF('Барабан'!V:V,A964,'Барабан'!AA:AA),"")</f>
        <v/>
      </c>
      <c r="I964" s="2" t="str">
        <f t="shared" si="4"/>
        <v/>
      </c>
      <c r="J964" s="9" t="str">
        <f t="shared" si="2"/>
        <v/>
      </c>
      <c r="K964" s="1" t="str">
        <f>IF(A964&gt;0,COUNTIF('Барабан'!K:K,A964),"")</f>
        <v/>
      </c>
      <c r="L964" s="1" t="str">
        <f>IF(A964&gt;0,COUNTIF('Барабан'!V:V,A964),"")</f>
        <v/>
      </c>
      <c r="M964" s="1" t="str">
        <f t="shared" si="3"/>
        <v/>
      </c>
      <c r="N964" s="1" t="str">
        <f>IFERROR(__xludf.DUMMYFUNCTION("IF(A964&gt;0,MIN(FILTER('Барабан'!AJ:AJ,'Барабан'!K:K=A964)),"""")"),"")</f>
        <v/>
      </c>
      <c r="O964" s="16" t="str">
        <f>IFERROR(__xludf.DUMMYFUNCTION("IF(A964&gt;0,IFERROR(MAX(FILTER('Барабан'!AJ:AJ,'Барабан'!V:V=A964)),""–""),"""")"),"")</f>
        <v/>
      </c>
    </row>
    <row r="965" ht="15.75" customHeight="1">
      <c r="A965" s="1" t="str">
        <f>'Справочник'!E960</f>
        <v/>
      </c>
      <c r="B965" s="2" t="str">
        <f>IF(A965&gt;0,SUMIF('Барабан'!K:K,A965,'Барабан'!I:I),"")</f>
        <v/>
      </c>
      <c r="C965" s="2" t="str">
        <f>IF(A965&gt;0,SUMIF('Барабан'!V:V,A965,'Барабан'!T:T),"")</f>
        <v/>
      </c>
      <c r="D965" s="2" t="str">
        <f>IF(A965&gt;0,SUMIF('Барабан'!K:K,A965,'Барабан'!AG:AG)+SUMIF('Барабан'!V:V,A965,'Барабан'!AG:AG),"")</f>
        <v/>
      </c>
      <c r="E965" s="2" t="str">
        <f t="shared" si="1"/>
        <v/>
      </c>
      <c r="F965" s="2" t="str">
        <f t="array" ref="F965">IFERROR(IF(E965=0,0,INDEX('Справочник'!G:G,MATCH(A965,'Справочник'!F:F,0))))</f>
        <v/>
      </c>
      <c r="G965" s="2" t="str">
        <f>IF(A965&gt;0,SUMIF('Барабан'!K:K,A965,'Барабан'!P:P),"")</f>
        <v/>
      </c>
      <c r="H965" s="2" t="str">
        <f>IF(A965&gt;0,SUMIF('Барабан'!V:V,A965,'Барабан'!AA:AA),"")</f>
        <v/>
      </c>
      <c r="I965" s="2" t="str">
        <f t="shared" si="4"/>
        <v/>
      </c>
      <c r="J965" s="9" t="str">
        <f t="shared" si="2"/>
        <v/>
      </c>
      <c r="K965" s="1" t="str">
        <f>IF(A965&gt;0,COUNTIF('Барабан'!K:K,A965),"")</f>
        <v/>
      </c>
      <c r="L965" s="1" t="str">
        <f>IF(A965&gt;0,COUNTIF('Барабан'!V:V,A965),"")</f>
        <v/>
      </c>
      <c r="M965" s="1" t="str">
        <f t="shared" si="3"/>
        <v/>
      </c>
      <c r="N965" s="1" t="str">
        <f>IFERROR(__xludf.DUMMYFUNCTION("IF(A965&gt;0,MIN(FILTER('Барабан'!AJ:AJ,'Барабан'!K:K=A965)),"""")"),"")</f>
        <v/>
      </c>
      <c r="O965" s="16" t="str">
        <f>IFERROR(__xludf.DUMMYFUNCTION("IF(A965&gt;0,IFERROR(MAX(FILTER('Барабан'!AJ:AJ,'Барабан'!V:V=A965)),""–""),"""")"),"")</f>
        <v/>
      </c>
    </row>
    <row r="966" ht="15.75" customHeight="1">
      <c r="A966" s="1" t="str">
        <f>'Справочник'!E961</f>
        <v/>
      </c>
      <c r="B966" s="2" t="str">
        <f>IF(A966&gt;0,SUMIF('Барабан'!K:K,A966,'Барабан'!I:I),"")</f>
        <v/>
      </c>
      <c r="C966" s="2" t="str">
        <f>IF(A966&gt;0,SUMIF('Барабан'!V:V,A966,'Барабан'!T:T),"")</f>
        <v/>
      </c>
      <c r="D966" s="2" t="str">
        <f>IF(A966&gt;0,SUMIF('Барабан'!K:K,A966,'Барабан'!AG:AG)+SUMIF('Барабан'!V:V,A966,'Барабан'!AG:AG),"")</f>
        <v/>
      </c>
      <c r="E966" s="2" t="str">
        <f t="shared" si="1"/>
        <v/>
      </c>
      <c r="F966" s="2" t="str">
        <f t="array" ref="F966">IFERROR(IF(E966=0,0,INDEX('Справочник'!G:G,MATCH(A966,'Справочник'!F:F,0))))</f>
        <v/>
      </c>
      <c r="G966" s="2" t="str">
        <f>IF(A966&gt;0,SUMIF('Барабан'!K:K,A966,'Барабан'!P:P),"")</f>
        <v/>
      </c>
      <c r="H966" s="2" t="str">
        <f>IF(A966&gt;0,SUMIF('Барабан'!V:V,A966,'Барабан'!AA:AA),"")</f>
        <v/>
      </c>
      <c r="I966" s="2" t="str">
        <f t="shared" si="4"/>
        <v/>
      </c>
      <c r="J966" s="9" t="str">
        <f t="shared" si="2"/>
        <v/>
      </c>
      <c r="K966" s="1" t="str">
        <f>IF(A966&gt;0,COUNTIF('Барабан'!K:K,A966),"")</f>
        <v/>
      </c>
      <c r="L966" s="1" t="str">
        <f>IF(A966&gt;0,COUNTIF('Барабан'!V:V,A966),"")</f>
        <v/>
      </c>
      <c r="M966" s="1" t="str">
        <f t="shared" si="3"/>
        <v/>
      </c>
      <c r="N966" s="1" t="str">
        <f>IFERROR(__xludf.DUMMYFUNCTION("IF(A966&gt;0,MIN(FILTER('Барабан'!AJ:AJ,'Барабан'!K:K=A966)),"""")"),"")</f>
        <v/>
      </c>
      <c r="O966" s="16" t="str">
        <f>IFERROR(__xludf.DUMMYFUNCTION("IF(A966&gt;0,IFERROR(MAX(FILTER('Барабан'!AJ:AJ,'Барабан'!V:V=A966)),""–""),"""")"),"")</f>
        <v/>
      </c>
    </row>
    <row r="967" ht="15.75" customHeight="1">
      <c r="A967" s="1" t="str">
        <f>'Справочник'!E962</f>
        <v/>
      </c>
      <c r="B967" s="2" t="str">
        <f>IF(A967&gt;0,SUMIF('Барабан'!K:K,A967,'Барабан'!I:I),"")</f>
        <v/>
      </c>
      <c r="C967" s="2" t="str">
        <f>IF(A967&gt;0,SUMIF('Барабан'!V:V,A967,'Барабан'!T:T),"")</f>
        <v/>
      </c>
      <c r="D967" s="2" t="str">
        <f>IF(A967&gt;0,SUMIF('Барабан'!K:K,A967,'Барабан'!AG:AG)+SUMIF('Барабан'!V:V,A967,'Барабан'!AG:AG),"")</f>
        <v/>
      </c>
      <c r="E967" s="2" t="str">
        <f t="shared" si="1"/>
        <v/>
      </c>
      <c r="F967" s="2" t="str">
        <f t="array" ref="F967">IFERROR(IF(E967=0,0,INDEX('Справочник'!G:G,MATCH(A967,'Справочник'!F:F,0))))</f>
        <v/>
      </c>
      <c r="G967" s="2" t="str">
        <f>IF(A967&gt;0,SUMIF('Барабан'!K:K,A967,'Барабан'!P:P),"")</f>
        <v/>
      </c>
      <c r="H967" s="2" t="str">
        <f>IF(A967&gt;0,SUMIF('Барабан'!V:V,A967,'Барабан'!AA:AA),"")</f>
        <v/>
      </c>
      <c r="I967" s="2" t="str">
        <f t="shared" si="4"/>
        <v/>
      </c>
      <c r="J967" s="9" t="str">
        <f t="shared" si="2"/>
        <v/>
      </c>
      <c r="K967" s="1" t="str">
        <f>IF(A967&gt;0,COUNTIF('Барабан'!K:K,A967),"")</f>
        <v/>
      </c>
      <c r="L967" s="1" t="str">
        <f>IF(A967&gt;0,COUNTIF('Барабан'!V:V,A967),"")</f>
        <v/>
      </c>
      <c r="M967" s="1" t="str">
        <f t="shared" si="3"/>
        <v/>
      </c>
      <c r="N967" s="1" t="str">
        <f>IFERROR(__xludf.DUMMYFUNCTION("IF(A967&gt;0,MIN(FILTER('Барабан'!AJ:AJ,'Барабан'!K:K=A967)),"""")"),"")</f>
        <v/>
      </c>
      <c r="O967" s="16" t="str">
        <f>IFERROR(__xludf.DUMMYFUNCTION("IF(A967&gt;0,IFERROR(MAX(FILTER('Барабан'!AJ:AJ,'Барабан'!V:V=A967)),""–""),"""")"),"")</f>
        <v/>
      </c>
    </row>
    <row r="968" ht="15.75" customHeight="1">
      <c r="A968" s="1" t="str">
        <f>'Справочник'!E963</f>
        <v/>
      </c>
      <c r="B968" s="2" t="str">
        <f>IF(A968&gt;0,SUMIF('Барабан'!K:K,A968,'Барабан'!I:I),"")</f>
        <v/>
      </c>
      <c r="C968" s="2" t="str">
        <f>IF(A968&gt;0,SUMIF('Барабан'!V:V,A968,'Барабан'!T:T),"")</f>
        <v/>
      </c>
      <c r="D968" s="2" t="str">
        <f>IF(A968&gt;0,SUMIF('Барабан'!K:K,A968,'Барабан'!AG:AG)+SUMIF('Барабан'!V:V,A968,'Барабан'!AG:AG),"")</f>
        <v/>
      </c>
      <c r="E968" s="2" t="str">
        <f t="shared" si="1"/>
        <v/>
      </c>
      <c r="F968" s="2" t="str">
        <f t="array" ref="F968">IFERROR(IF(E968=0,0,INDEX('Справочник'!G:G,MATCH(A968,'Справочник'!F:F,0))))</f>
        <v/>
      </c>
      <c r="G968" s="2" t="str">
        <f>IF(A968&gt;0,SUMIF('Барабан'!K:K,A968,'Барабан'!P:P),"")</f>
        <v/>
      </c>
      <c r="H968" s="2" t="str">
        <f>IF(A968&gt;0,SUMIF('Барабан'!V:V,A968,'Барабан'!AA:AA),"")</f>
        <v/>
      </c>
      <c r="I968" s="2" t="str">
        <f t="shared" si="4"/>
        <v/>
      </c>
      <c r="J968" s="9" t="str">
        <f t="shared" si="2"/>
        <v/>
      </c>
      <c r="K968" s="1" t="str">
        <f>IF(A968&gt;0,COUNTIF('Барабан'!K:K,A968),"")</f>
        <v/>
      </c>
      <c r="L968" s="1" t="str">
        <f>IF(A968&gt;0,COUNTIF('Барабан'!V:V,A968),"")</f>
        <v/>
      </c>
      <c r="M968" s="1" t="str">
        <f t="shared" si="3"/>
        <v/>
      </c>
      <c r="N968" s="1" t="str">
        <f>IFERROR(__xludf.DUMMYFUNCTION("IF(A968&gt;0,MIN(FILTER('Барабан'!AJ:AJ,'Барабан'!K:K=A968)),"""")"),"")</f>
        <v/>
      </c>
      <c r="O968" s="16" t="str">
        <f>IFERROR(__xludf.DUMMYFUNCTION("IF(A968&gt;0,IFERROR(MAX(FILTER('Барабан'!AJ:AJ,'Барабан'!V:V=A968)),""–""),"""")"),"")</f>
        <v/>
      </c>
    </row>
    <row r="969" ht="15.75" customHeight="1">
      <c r="A969" s="1" t="str">
        <f>'Справочник'!E964</f>
        <v/>
      </c>
      <c r="B969" s="2" t="str">
        <f>IF(A969&gt;0,SUMIF('Барабан'!K:K,A969,'Барабан'!I:I),"")</f>
        <v/>
      </c>
      <c r="C969" s="2" t="str">
        <f>IF(A969&gt;0,SUMIF('Барабан'!V:V,A969,'Барабан'!T:T),"")</f>
        <v/>
      </c>
      <c r="D969" s="2" t="str">
        <f>IF(A969&gt;0,SUMIF('Барабан'!K:K,A969,'Барабан'!AG:AG)+SUMIF('Барабан'!V:V,A969,'Барабан'!AG:AG),"")</f>
        <v/>
      </c>
      <c r="E969" s="2" t="str">
        <f t="shared" si="1"/>
        <v/>
      </c>
      <c r="F969" s="2" t="str">
        <f t="array" ref="F969">IFERROR(IF(E969=0,0,INDEX('Справочник'!G:G,MATCH(A969,'Справочник'!F:F,0))))</f>
        <v/>
      </c>
      <c r="G969" s="2" t="str">
        <f>IF(A969&gt;0,SUMIF('Барабан'!K:K,A969,'Барабан'!P:P),"")</f>
        <v/>
      </c>
      <c r="H969" s="2" t="str">
        <f>IF(A969&gt;0,SUMIF('Барабан'!V:V,A969,'Барабан'!AA:AA),"")</f>
        <v/>
      </c>
      <c r="I969" s="2" t="str">
        <f t="shared" si="4"/>
        <v/>
      </c>
      <c r="J969" s="9" t="str">
        <f t="shared" si="2"/>
        <v/>
      </c>
      <c r="K969" s="1" t="str">
        <f>IF(A969&gt;0,COUNTIF('Барабан'!K:K,A969),"")</f>
        <v/>
      </c>
      <c r="L969" s="1" t="str">
        <f>IF(A969&gt;0,COUNTIF('Барабан'!V:V,A969),"")</f>
        <v/>
      </c>
      <c r="M969" s="1" t="str">
        <f t="shared" si="3"/>
        <v/>
      </c>
      <c r="N969" s="1" t="str">
        <f>IFERROR(__xludf.DUMMYFUNCTION("IF(A969&gt;0,MIN(FILTER('Барабан'!AJ:AJ,'Барабан'!K:K=A969)),"""")"),"")</f>
        <v/>
      </c>
      <c r="O969" s="16" t="str">
        <f>IFERROR(__xludf.DUMMYFUNCTION("IF(A969&gt;0,IFERROR(MAX(FILTER('Барабан'!AJ:AJ,'Барабан'!V:V=A969)),""–""),"""")"),"")</f>
        <v/>
      </c>
    </row>
    <row r="970" ht="15.75" customHeight="1">
      <c r="A970" s="1" t="str">
        <f>'Справочник'!E965</f>
        <v/>
      </c>
      <c r="B970" s="2" t="str">
        <f>IF(A970&gt;0,SUMIF('Барабан'!K:K,A970,'Барабан'!I:I),"")</f>
        <v/>
      </c>
      <c r="C970" s="2" t="str">
        <f>IF(A970&gt;0,SUMIF('Барабан'!V:V,A970,'Барабан'!T:T),"")</f>
        <v/>
      </c>
      <c r="D970" s="2" t="str">
        <f>IF(A970&gt;0,SUMIF('Барабан'!K:K,A970,'Барабан'!AG:AG)+SUMIF('Барабан'!V:V,A970,'Барабан'!AG:AG),"")</f>
        <v/>
      </c>
      <c r="E970" s="2" t="str">
        <f t="shared" si="1"/>
        <v/>
      </c>
      <c r="F970" s="2" t="str">
        <f t="array" ref="F970">IFERROR(IF(E970=0,0,INDEX('Справочник'!G:G,MATCH(A970,'Справочник'!F:F,0))))</f>
        <v/>
      </c>
      <c r="G970" s="2" t="str">
        <f>IF(A970&gt;0,SUMIF('Барабан'!K:K,A970,'Барабан'!P:P),"")</f>
        <v/>
      </c>
      <c r="H970" s="2" t="str">
        <f>IF(A970&gt;0,SUMIF('Барабан'!V:V,A970,'Барабан'!AA:AA),"")</f>
        <v/>
      </c>
      <c r="I970" s="2" t="str">
        <f t="shared" si="4"/>
        <v/>
      </c>
      <c r="J970" s="9" t="str">
        <f t="shared" si="2"/>
        <v/>
      </c>
      <c r="K970" s="1" t="str">
        <f>IF(A970&gt;0,COUNTIF('Барабан'!K:K,A970),"")</f>
        <v/>
      </c>
      <c r="L970" s="1" t="str">
        <f>IF(A970&gt;0,COUNTIF('Барабан'!V:V,A970),"")</f>
        <v/>
      </c>
      <c r="M970" s="1" t="str">
        <f t="shared" si="3"/>
        <v/>
      </c>
      <c r="N970" s="1" t="str">
        <f>IFERROR(__xludf.DUMMYFUNCTION("IF(A970&gt;0,MIN(FILTER('Барабан'!AJ:AJ,'Барабан'!K:K=A970)),"""")"),"")</f>
        <v/>
      </c>
      <c r="O970" s="16" t="str">
        <f>IFERROR(__xludf.DUMMYFUNCTION("IF(A970&gt;0,IFERROR(MAX(FILTER('Барабан'!AJ:AJ,'Барабан'!V:V=A970)),""–""),"""")"),"")</f>
        <v/>
      </c>
    </row>
    <row r="971" ht="15.75" customHeight="1">
      <c r="A971" s="1" t="str">
        <f>'Справочник'!E966</f>
        <v/>
      </c>
      <c r="B971" s="2" t="str">
        <f>IF(A971&gt;0,SUMIF('Барабан'!K:K,A971,'Барабан'!I:I),"")</f>
        <v/>
      </c>
      <c r="C971" s="2" t="str">
        <f>IF(A971&gt;0,SUMIF('Барабан'!V:V,A971,'Барабан'!T:T),"")</f>
        <v/>
      </c>
      <c r="D971" s="2" t="str">
        <f>IF(A971&gt;0,SUMIF('Барабан'!K:K,A971,'Барабан'!AG:AG)+SUMIF('Барабан'!V:V,A971,'Барабан'!AG:AG),"")</f>
        <v/>
      </c>
      <c r="E971" s="2" t="str">
        <f t="shared" si="1"/>
        <v/>
      </c>
      <c r="F971" s="2" t="str">
        <f t="array" ref="F971">IFERROR(IF(E971=0,0,INDEX('Справочник'!G:G,MATCH(A971,'Справочник'!F:F,0))))</f>
        <v/>
      </c>
      <c r="G971" s="2" t="str">
        <f>IF(A971&gt;0,SUMIF('Барабан'!K:K,A971,'Барабан'!P:P),"")</f>
        <v/>
      </c>
      <c r="H971" s="2" t="str">
        <f>IF(A971&gt;0,SUMIF('Барабан'!V:V,A971,'Барабан'!AA:AA),"")</f>
        <v/>
      </c>
      <c r="I971" s="2" t="str">
        <f t="shared" si="4"/>
        <v/>
      </c>
      <c r="J971" s="9" t="str">
        <f t="shared" si="2"/>
        <v/>
      </c>
      <c r="K971" s="1" t="str">
        <f>IF(A971&gt;0,COUNTIF('Барабан'!K:K,A971),"")</f>
        <v/>
      </c>
      <c r="L971" s="1" t="str">
        <f>IF(A971&gt;0,COUNTIF('Барабан'!V:V,A971),"")</f>
        <v/>
      </c>
      <c r="M971" s="1" t="str">
        <f t="shared" si="3"/>
        <v/>
      </c>
      <c r="N971" s="1" t="str">
        <f>IFERROR(__xludf.DUMMYFUNCTION("IF(A971&gt;0,MIN(FILTER('Барабан'!AJ:AJ,'Барабан'!K:K=A971)),"""")"),"")</f>
        <v/>
      </c>
      <c r="O971" s="16" t="str">
        <f>IFERROR(__xludf.DUMMYFUNCTION("IF(A971&gt;0,IFERROR(MAX(FILTER('Барабан'!AJ:AJ,'Барабан'!V:V=A971)),""–""),"""")"),"")</f>
        <v/>
      </c>
    </row>
    <row r="972" ht="15.75" customHeight="1">
      <c r="A972" s="1" t="str">
        <f>'Справочник'!E967</f>
        <v/>
      </c>
      <c r="B972" s="2" t="str">
        <f>IF(A972&gt;0,SUMIF('Барабан'!K:K,A972,'Барабан'!I:I),"")</f>
        <v/>
      </c>
      <c r="C972" s="2" t="str">
        <f>IF(A972&gt;0,SUMIF('Барабан'!V:V,A972,'Барабан'!T:T),"")</f>
        <v/>
      </c>
      <c r="D972" s="2" t="str">
        <f>IF(A972&gt;0,SUMIF('Барабан'!K:K,A972,'Барабан'!AG:AG)+SUMIF('Барабан'!V:V,A972,'Барабан'!AG:AG),"")</f>
        <v/>
      </c>
      <c r="E972" s="2" t="str">
        <f t="shared" si="1"/>
        <v/>
      </c>
      <c r="F972" s="2" t="str">
        <f t="array" ref="F972">IFERROR(IF(E972=0,0,INDEX('Справочник'!G:G,MATCH(A972,'Справочник'!F:F,0))))</f>
        <v/>
      </c>
      <c r="G972" s="2" t="str">
        <f>IF(A972&gt;0,SUMIF('Барабан'!K:K,A972,'Барабан'!P:P),"")</f>
        <v/>
      </c>
      <c r="H972" s="2" t="str">
        <f>IF(A972&gt;0,SUMIF('Барабан'!V:V,A972,'Барабан'!AA:AA),"")</f>
        <v/>
      </c>
      <c r="I972" s="2" t="str">
        <f t="shared" si="4"/>
        <v/>
      </c>
      <c r="J972" s="9" t="str">
        <f t="shared" si="2"/>
        <v/>
      </c>
      <c r="K972" s="1" t="str">
        <f>IF(A972&gt;0,COUNTIF('Барабан'!K:K,A972),"")</f>
        <v/>
      </c>
      <c r="L972" s="1" t="str">
        <f>IF(A972&gt;0,COUNTIF('Барабан'!V:V,A972),"")</f>
        <v/>
      </c>
      <c r="M972" s="1" t="str">
        <f t="shared" si="3"/>
        <v/>
      </c>
      <c r="N972" s="1" t="str">
        <f>IFERROR(__xludf.DUMMYFUNCTION("IF(A972&gt;0,MIN(FILTER('Барабан'!AJ:AJ,'Барабан'!K:K=A972)),"""")"),"")</f>
        <v/>
      </c>
      <c r="O972" s="16" t="str">
        <f>IFERROR(__xludf.DUMMYFUNCTION("IF(A972&gt;0,IFERROR(MAX(FILTER('Барабан'!AJ:AJ,'Барабан'!V:V=A972)),""–""),"""")"),"")</f>
        <v/>
      </c>
    </row>
    <row r="973" ht="15.75" customHeight="1">
      <c r="A973" s="1" t="str">
        <f>'Справочник'!E968</f>
        <v/>
      </c>
      <c r="B973" s="2" t="str">
        <f>IF(A973&gt;0,SUMIF('Барабан'!K:K,A973,'Барабан'!I:I),"")</f>
        <v/>
      </c>
      <c r="C973" s="2" t="str">
        <f>IF(A973&gt;0,SUMIF('Барабан'!V:V,A973,'Барабан'!T:T),"")</f>
        <v/>
      </c>
      <c r="D973" s="2" t="str">
        <f>IF(A973&gt;0,SUMIF('Барабан'!K:K,A973,'Барабан'!AG:AG)+SUMIF('Барабан'!V:V,A973,'Барабан'!AG:AG),"")</f>
        <v/>
      </c>
      <c r="E973" s="2" t="str">
        <f t="shared" si="1"/>
        <v/>
      </c>
      <c r="F973" s="2" t="str">
        <f t="array" ref="F973">IFERROR(IF(E973=0,0,INDEX('Справочник'!G:G,MATCH(A973,'Справочник'!F:F,0))))</f>
        <v/>
      </c>
      <c r="G973" s="2" t="str">
        <f>IF(A973&gt;0,SUMIF('Барабан'!K:K,A973,'Барабан'!P:P),"")</f>
        <v/>
      </c>
      <c r="H973" s="2" t="str">
        <f>IF(A973&gt;0,SUMIF('Барабан'!V:V,A973,'Барабан'!AA:AA),"")</f>
        <v/>
      </c>
      <c r="I973" s="2" t="str">
        <f t="shared" si="4"/>
        <v/>
      </c>
      <c r="J973" s="9" t="str">
        <f t="shared" si="2"/>
        <v/>
      </c>
      <c r="K973" s="1" t="str">
        <f>IF(A973&gt;0,COUNTIF('Барабан'!K:K,A973),"")</f>
        <v/>
      </c>
      <c r="L973" s="1" t="str">
        <f>IF(A973&gt;0,COUNTIF('Барабан'!V:V,A973),"")</f>
        <v/>
      </c>
      <c r="M973" s="1" t="str">
        <f t="shared" si="3"/>
        <v/>
      </c>
      <c r="N973" s="1" t="str">
        <f>IFERROR(__xludf.DUMMYFUNCTION("IF(A973&gt;0,MIN(FILTER('Барабан'!AJ:AJ,'Барабан'!K:K=A973)),"""")"),"")</f>
        <v/>
      </c>
      <c r="O973" s="16" t="str">
        <f>IFERROR(__xludf.DUMMYFUNCTION("IF(A973&gt;0,IFERROR(MAX(FILTER('Барабан'!AJ:AJ,'Барабан'!V:V=A973)),""–""),"""")"),"")</f>
        <v/>
      </c>
    </row>
    <row r="974" ht="15.75" customHeight="1">
      <c r="A974" s="1" t="str">
        <f>'Справочник'!E969</f>
        <v/>
      </c>
      <c r="B974" s="2" t="str">
        <f>IF(A974&gt;0,SUMIF('Барабан'!K:K,A974,'Барабан'!I:I),"")</f>
        <v/>
      </c>
      <c r="C974" s="2" t="str">
        <f>IF(A974&gt;0,SUMIF('Барабан'!V:V,A974,'Барабан'!T:T),"")</f>
        <v/>
      </c>
      <c r="D974" s="2" t="str">
        <f>IF(A974&gt;0,SUMIF('Барабан'!K:K,A974,'Барабан'!AG:AG)+SUMIF('Барабан'!V:V,A974,'Барабан'!AG:AG),"")</f>
        <v/>
      </c>
      <c r="E974" s="2" t="str">
        <f t="shared" si="1"/>
        <v/>
      </c>
      <c r="F974" s="2" t="str">
        <f t="array" ref="F974">IFERROR(IF(E974=0,0,INDEX('Справочник'!G:G,MATCH(A974,'Справочник'!F:F,0))))</f>
        <v/>
      </c>
      <c r="G974" s="2" t="str">
        <f>IF(A974&gt;0,SUMIF('Барабан'!K:K,A974,'Барабан'!P:P),"")</f>
        <v/>
      </c>
      <c r="H974" s="2" t="str">
        <f>IF(A974&gt;0,SUMIF('Барабан'!V:V,A974,'Барабан'!AA:AA),"")</f>
        <v/>
      </c>
      <c r="I974" s="2" t="str">
        <f t="shared" si="4"/>
        <v/>
      </c>
      <c r="J974" s="9" t="str">
        <f t="shared" si="2"/>
        <v/>
      </c>
      <c r="K974" s="1" t="str">
        <f>IF(A974&gt;0,COUNTIF('Барабан'!K:K,A974),"")</f>
        <v/>
      </c>
      <c r="L974" s="1" t="str">
        <f>IF(A974&gt;0,COUNTIF('Барабан'!V:V,A974),"")</f>
        <v/>
      </c>
      <c r="M974" s="1" t="str">
        <f t="shared" si="3"/>
        <v/>
      </c>
      <c r="N974" s="1" t="str">
        <f>IFERROR(__xludf.DUMMYFUNCTION("IF(A974&gt;0,MIN(FILTER('Барабан'!AJ:AJ,'Барабан'!K:K=A974)),"""")"),"")</f>
        <v/>
      </c>
      <c r="O974" s="16" t="str">
        <f>IFERROR(__xludf.DUMMYFUNCTION("IF(A974&gt;0,IFERROR(MAX(FILTER('Барабан'!AJ:AJ,'Барабан'!V:V=A974)),""–""),"""")"),"")</f>
        <v/>
      </c>
    </row>
    <row r="975" ht="15.75" customHeight="1">
      <c r="A975" s="1" t="str">
        <f>'Справочник'!E970</f>
        <v/>
      </c>
      <c r="B975" s="2" t="str">
        <f>IF(A975&gt;0,SUMIF('Барабан'!K:K,A975,'Барабан'!I:I),"")</f>
        <v/>
      </c>
      <c r="C975" s="2" t="str">
        <f>IF(A975&gt;0,SUMIF('Барабан'!V:V,A975,'Барабан'!T:T),"")</f>
        <v/>
      </c>
      <c r="D975" s="2" t="str">
        <f>IF(A975&gt;0,SUMIF('Барабан'!K:K,A975,'Барабан'!AG:AG)+SUMIF('Барабан'!V:V,A975,'Барабан'!AG:AG),"")</f>
        <v/>
      </c>
      <c r="E975" s="2" t="str">
        <f t="shared" si="1"/>
        <v/>
      </c>
      <c r="F975" s="2" t="str">
        <f t="array" ref="F975">IFERROR(IF(E975=0,0,INDEX('Справочник'!G:G,MATCH(A975,'Справочник'!F:F,0))))</f>
        <v/>
      </c>
      <c r="G975" s="2" t="str">
        <f>IF(A975&gt;0,SUMIF('Барабан'!K:K,A975,'Барабан'!P:P),"")</f>
        <v/>
      </c>
      <c r="H975" s="2" t="str">
        <f>IF(A975&gt;0,SUMIF('Барабан'!V:V,A975,'Барабан'!AA:AA),"")</f>
        <v/>
      </c>
      <c r="I975" s="2" t="str">
        <f t="shared" si="4"/>
        <v/>
      </c>
      <c r="J975" s="9" t="str">
        <f t="shared" si="2"/>
        <v/>
      </c>
      <c r="K975" s="1" t="str">
        <f>IF(A975&gt;0,COUNTIF('Барабан'!K:K,A975),"")</f>
        <v/>
      </c>
      <c r="L975" s="1" t="str">
        <f>IF(A975&gt;0,COUNTIF('Барабан'!V:V,A975),"")</f>
        <v/>
      </c>
      <c r="M975" s="1" t="str">
        <f t="shared" si="3"/>
        <v/>
      </c>
      <c r="N975" s="1" t="str">
        <f>IFERROR(__xludf.DUMMYFUNCTION("IF(A975&gt;0,MIN(FILTER('Барабан'!AJ:AJ,'Барабан'!K:K=A975)),"""")"),"")</f>
        <v/>
      </c>
      <c r="O975" s="16" t="str">
        <f>IFERROR(__xludf.DUMMYFUNCTION("IF(A975&gt;0,IFERROR(MAX(FILTER('Барабан'!AJ:AJ,'Барабан'!V:V=A975)),""–""),"""")"),"")</f>
        <v/>
      </c>
    </row>
    <row r="976" ht="15.75" customHeight="1">
      <c r="A976" s="1" t="str">
        <f>'Справочник'!E971</f>
        <v/>
      </c>
      <c r="B976" s="2" t="str">
        <f>IF(A976&gt;0,SUMIF('Барабан'!K:K,A976,'Барабан'!I:I),"")</f>
        <v/>
      </c>
      <c r="C976" s="2" t="str">
        <f>IF(A976&gt;0,SUMIF('Барабан'!V:V,A976,'Барабан'!T:T),"")</f>
        <v/>
      </c>
      <c r="D976" s="2" t="str">
        <f>IF(A976&gt;0,SUMIF('Барабан'!K:K,A976,'Барабан'!AG:AG)+SUMIF('Барабан'!V:V,A976,'Барабан'!AG:AG),"")</f>
        <v/>
      </c>
      <c r="E976" s="2" t="str">
        <f t="shared" si="1"/>
        <v/>
      </c>
      <c r="F976" s="2" t="str">
        <f t="array" ref="F976">IFERROR(IF(E976=0,0,INDEX('Справочник'!G:G,MATCH(A976,'Справочник'!F:F,0))))</f>
        <v/>
      </c>
      <c r="G976" s="2" t="str">
        <f>IF(A976&gt;0,SUMIF('Барабан'!K:K,A976,'Барабан'!P:P),"")</f>
        <v/>
      </c>
      <c r="H976" s="2" t="str">
        <f>IF(A976&gt;0,SUMIF('Барабан'!V:V,A976,'Барабан'!AA:AA),"")</f>
        <v/>
      </c>
      <c r="I976" s="2" t="str">
        <f t="shared" si="4"/>
        <v/>
      </c>
      <c r="J976" s="9" t="str">
        <f t="shared" si="2"/>
        <v/>
      </c>
      <c r="K976" s="1" t="str">
        <f>IF(A976&gt;0,COUNTIF('Барабан'!K:K,A976),"")</f>
        <v/>
      </c>
      <c r="L976" s="1" t="str">
        <f>IF(A976&gt;0,COUNTIF('Барабан'!V:V,A976),"")</f>
        <v/>
      </c>
      <c r="M976" s="1" t="str">
        <f t="shared" si="3"/>
        <v/>
      </c>
      <c r="N976" s="1" t="str">
        <f>IFERROR(__xludf.DUMMYFUNCTION("IF(A976&gt;0,MIN(FILTER('Барабан'!AJ:AJ,'Барабан'!K:K=A976)),"""")"),"")</f>
        <v/>
      </c>
      <c r="O976" s="16" t="str">
        <f>IFERROR(__xludf.DUMMYFUNCTION("IF(A976&gt;0,IFERROR(MAX(FILTER('Барабан'!AJ:AJ,'Барабан'!V:V=A976)),""–""),"""")"),"")</f>
        <v/>
      </c>
    </row>
    <row r="977" ht="15.75" customHeight="1">
      <c r="A977" s="1" t="str">
        <f>'Справочник'!E972</f>
        <v/>
      </c>
      <c r="B977" s="2" t="str">
        <f>IF(A977&gt;0,SUMIF('Барабан'!K:K,A977,'Барабан'!I:I),"")</f>
        <v/>
      </c>
      <c r="C977" s="2" t="str">
        <f>IF(A977&gt;0,SUMIF('Барабан'!V:V,A977,'Барабан'!T:T),"")</f>
        <v/>
      </c>
      <c r="D977" s="2" t="str">
        <f>IF(A977&gt;0,SUMIF('Барабан'!K:K,A977,'Барабан'!AG:AG)+SUMIF('Барабан'!V:V,A977,'Барабан'!AG:AG),"")</f>
        <v/>
      </c>
      <c r="E977" s="2" t="str">
        <f t="shared" si="1"/>
        <v/>
      </c>
      <c r="F977" s="2" t="str">
        <f t="array" ref="F977">IFERROR(IF(E977=0,0,INDEX('Справочник'!G:G,MATCH(A977,'Справочник'!F:F,0))))</f>
        <v/>
      </c>
      <c r="G977" s="2" t="str">
        <f>IF(A977&gt;0,SUMIF('Барабан'!K:K,A977,'Барабан'!P:P),"")</f>
        <v/>
      </c>
      <c r="H977" s="2" t="str">
        <f>IF(A977&gt;0,SUMIF('Барабан'!V:V,A977,'Барабан'!AA:AA),"")</f>
        <v/>
      </c>
      <c r="I977" s="2" t="str">
        <f t="shared" si="4"/>
        <v/>
      </c>
      <c r="J977" s="9" t="str">
        <f t="shared" si="2"/>
        <v/>
      </c>
      <c r="K977" s="1" t="str">
        <f>IF(A977&gt;0,COUNTIF('Барабан'!K:K,A977),"")</f>
        <v/>
      </c>
      <c r="L977" s="1" t="str">
        <f>IF(A977&gt;0,COUNTIF('Барабан'!V:V,A977),"")</f>
        <v/>
      </c>
      <c r="M977" s="1" t="str">
        <f t="shared" si="3"/>
        <v/>
      </c>
      <c r="N977" s="1" t="str">
        <f>IFERROR(__xludf.DUMMYFUNCTION("IF(A977&gt;0,MIN(FILTER('Барабан'!AJ:AJ,'Барабан'!K:K=A977)),"""")"),"")</f>
        <v/>
      </c>
      <c r="O977" s="16" t="str">
        <f>IFERROR(__xludf.DUMMYFUNCTION("IF(A977&gt;0,IFERROR(MAX(FILTER('Барабан'!AJ:AJ,'Барабан'!V:V=A977)),""–""),"""")"),"")</f>
        <v/>
      </c>
    </row>
    <row r="978" ht="15.75" customHeight="1">
      <c r="A978" s="1" t="str">
        <f>'Справочник'!E973</f>
        <v/>
      </c>
      <c r="B978" s="2" t="str">
        <f>IF(A978&gt;0,SUMIF('Барабан'!K:K,A978,'Барабан'!I:I),"")</f>
        <v/>
      </c>
      <c r="C978" s="2" t="str">
        <f>IF(A978&gt;0,SUMIF('Барабан'!V:V,A978,'Барабан'!T:T),"")</f>
        <v/>
      </c>
      <c r="D978" s="2" t="str">
        <f>IF(A978&gt;0,SUMIF('Барабан'!K:K,A978,'Барабан'!AG:AG)+SUMIF('Барабан'!V:V,A978,'Барабан'!AG:AG),"")</f>
        <v/>
      </c>
      <c r="E978" s="2" t="str">
        <f t="shared" si="1"/>
        <v/>
      </c>
      <c r="F978" s="2" t="str">
        <f t="array" ref="F978">IFERROR(IF(E978=0,0,INDEX('Справочник'!G:G,MATCH(A978,'Справочник'!F:F,0))))</f>
        <v/>
      </c>
      <c r="G978" s="2" t="str">
        <f>IF(A978&gt;0,SUMIF('Барабан'!K:K,A978,'Барабан'!P:P),"")</f>
        <v/>
      </c>
      <c r="H978" s="2" t="str">
        <f>IF(A978&gt;0,SUMIF('Барабан'!V:V,A978,'Барабан'!AA:AA),"")</f>
        <v/>
      </c>
      <c r="I978" s="2" t="str">
        <f t="shared" si="4"/>
        <v/>
      </c>
      <c r="J978" s="9" t="str">
        <f t="shared" si="2"/>
        <v/>
      </c>
      <c r="K978" s="1" t="str">
        <f>IF(A978&gt;0,COUNTIF('Барабан'!K:K,A978),"")</f>
        <v/>
      </c>
      <c r="L978" s="1" t="str">
        <f>IF(A978&gt;0,COUNTIF('Барабан'!V:V,A978),"")</f>
        <v/>
      </c>
      <c r="M978" s="1" t="str">
        <f t="shared" si="3"/>
        <v/>
      </c>
      <c r="N978" s="1" t="str">
        <f>IFERROR(__xludf.DUMMYFUNCTION("IF(A978&gt;0,MIN(FILTER('Барабан'!AJ:AJ,'Барабан'!K:K=A978)),"""")"),"")</f>
        <v/>
      </c>
      <c r="O978" s="16" t="str">
        <f>IFERROR(__xludf.DUMMYFUNCTION("IF(A978&gt;0,IFERROR(MAX(FILTER('Барабан'!AJ:AJ,'Барабан'!V:V=A978)),""–""),"""")"),"")</f>
        <v/>
      </c>
    </row>
    <row r="979" ht="15.75" customHeight="1">
      <c r="A979" s="1" t="str">
        <f>'Справочник'!E974</f>
        <v/>
      </c>
      <c r="B979" s="2" t="str">
        <f>IF(A979&gt;0,SUMIF('Барабан'!K:K,A979,'Барабан'!I:I),"")</f>
        <v/>
      </c>
      <c r="C979" s="2" t="str">
        <f>IF(A979&gt;0,SUMIF('Барабан'!V:V,A979,'Барабан'!T:T),"")</f>
        <v/>
      </c>
      <c r="D979" s="2" t="str">
        <f>IF(A979&gt;0,SUMIF('Барабан'!K:K,A979,'Барабан'!AG:AG)+SUMIF('Барабан'!V:V,A979,'Барабан'!AG:AG),"")</f>
        <v/>
      </c>
      <c r="E979" s="2" t="str">
        <f t="shared" si="1"/>
        <v/>
      </c>
      <c r="F979" s="2" t="str">
        <f t="array" ref="F979">IFERROR(IF(E979=0,0,INDEX('Справочник'!G:G,MATCH(A979,'Справочник'!F:F,0))))</f>
        <v/>
      </c>
      <c r="G979" s="2" t="str">
        <f>IF(A979&gt;0,SUMIF('Барабан'!K:K,A979,'Барабан'!P:P),"")</f>
        <v/>
      </c>
      <c r="H979" s="2" t="str">
        <f>IF(A979&gt;0,SUMIF('Барабан'!V:V,A979,'Барабан'!AA:AA),"")</f>
        <v/>
      </c>
      <c r="I979" s="2" t="str">
        <f t="shared" si="4"/>
        <v/>
      </c>
      <c r="J979" s="9" t="str">
        <f t="shared" si="2"/>
        <v/>
      </c>
      <c r="K979" s="1" t="str">
        <f>IF(A979&gt;0,COUNTIF('Барабан'!K:K,A979),"")</f>
        <v/>
      </c>
      <c r="L979" s="1" t="str">
        <f>IF(A979&gt;0,COUNTIF('Барабан'!V:V,A979),"")</f>
        <v/>
      </c>
      <c r="M979" s="1" t="str">
        <f t="shared" si="3"/>
        <v/>
      </c>
      <c r="N979" s="1" t="str">
        <f>IFERROR(__xludf.DUMMYFUNCTION("IF(A979&gt;0,MIN(FILTER('Барабан'!AJ:AJ,'Барабан'!K:K=A979)),"""")"),"")</f>
        <v/>
      </c>
      <c r="O979" s="16" t="str">
        <f>IFERROR(__xludf.DUMMYFUNCTION("IF(A979&gt;0,IFERROR(MAX(FILTER('Барабан'!AJ:AJ,'Барабан'!V:V=A979)),""–""),"""")"),"")</f>
        <v/>
      </c>
    </row>
    <row r="980" ht="15.75" customHeight="1">
      <c r="A980" s="1" t="str">
        <f>'Справочник'!E975</f>
        <v/>
      </c>
      <c r="B980" s="2" t="str">
        <f>IF(A980&gt;0,SUMIF('Барабан'!K:K,A980,'Барабан'!I:I),"")</f>
        <v/>
      </c>
      <c r="C980" s="2" t="str">
        <f>IF(A980&gt;0,SUMIF('Барабан'!V:V,A980,'Барабан'!T:T),"")</f>
        <v/>
      </c>
      <c r="D980" s="2" t="str">
        <f>IF(A980&gt;0,SUMIF('Барабан'!K:K,A980,'Барабан'!AG:AG)+SUMIF('Барабан'!V:V,A980,'Барабан'!AG:AG),"")</f>
        <v/>
      </c>
      <c r="E980" s="2" t="str">
        <f t="shared" si="1"/>
        <v/>
      </c>
      <c r="F980" s="2" t="str">
        <f t="array" ref="F980">IFERROR(IF(E980=0,0,INDEX('Справочник'!G:G,MATCH(A980,'Справочник'!F:F,0))))</f>
        <v/>
      </c>
      <c r="G980" s="2" t="str">
        <f>IF(A980&gt;0,SUMIF('Барабан'!K:K,A980,'Барабан'!P:P),"")</f>
        <v/>
      </c>
      <c r="H980" s="2" t="str">
        <f>IF(A980&gt;0,SUMIF('Барабан'!V:V,A980,'Барабан'!AA:AA),"")</f>
        <v/>
      </c>
      <c r="I980" s="2" t="str">
        <f t="shared" si="4"/>
        <v/>
      </c>
      <c r="J980" s="9" t="str">
        <f t="shared" si="2"/>
        <v/>
      </c>
      <c r="K980" s="1" t="str">
        <f>IF(A980&gt;0,COUNTIF('Барабан'!K:K,A980),"")</f>
        <v/>
      </c>
      <c r="L980" s="1" t="str">
        <f>IF(A980&gt;0,COUNTIF('Барабан'!V:V,A980),"")</f>
        <v/>
      </c>
      <c r="M980" s="1" t="str">
        <f t="shared" si="3"/>
        <v/>
      </c>
      <c r="N980" s="1" t="str">
        <f>IFERROR(__xludf.DUMMYFUNCTION("IF(A980&gt;0,MIN(FILTER('Барабан'!AJ:AJ,'Барабан'!K:K=A980)),"""")"),"")</f>
        <v/>
      </c>
      <c r="O980" s="16" t="str">
        <f>IFERROR(__xludf.DUMMYFUNCTION("IF(A980&gt;0,IFERROR(MAX(FILTER('Барабан'!AJ:AJ,'Барабан'!V:V=A980)),""–""),"""")"),"")</f>
        <v/>
      </c>
    </row>
    <row r="981" ht="15.75" customHeight="1">
      <c r="A981" s="1" t="str">
        <f>'Справочник'!E976</f>
        <v/>
      </c>
      <c r="B981" s="2" t="str">
        <f>IF(A981&gt;0,SUMIF('Барабан'!K:K,A981,'Барабан'!I:I),"")</f>
        <v/>
      </c>
      <c r="C981" s="2" t="str">
        <f>IF(A981&gt;0,SUMIF('Барабан'!V:V,A981,'Барабан'!T:T),"")</f>
        <v/>
      </c>
      <c r="D981" s="2" t="str">
        <f>IF(A981&gt;0,SUMIF('Барабан'!K:K,A981,'Барабан'!AG:AG)+SUMIF('Барабан'!V:V,A981,'Барабан'!AG:AG),"")</f>
        <v/>
      </c>
      <c r="E981" s="2" t="str">
        <f t="shared" si="1"/>
        <v/>
      </c>
      <c r="F981" s="2" t="str">
        <f t="array" ref="F981">IFERROR(IF(E981=0,0,INDEX('Справочник'!G:G,MATCH(A981,'Справочник'!F:F,0))))</f>
        <v/>
      </c>
      <c r="G981" s="2" t="str">
        <f>IF(A981&gt;0,SUMIF('Барабан'!K:K,A981,'Барабан'!P:P),"")</f>
        <v/>
      </c>
      <c r="H981" s="2" t="str">
        <f>IF(A981&gt;0,SUMIF('Барабан'!V:V,A981,'Барабан'!AA:AA),"")</f>
        <v/>
      </c>
      <c r="I981" s="2" t="str">
        <f t="shared" si="4"/>
        <v/>
      </c>
      <c r="J981" s="9" t="str">
        <f t="shared" si="2"/>
        <v/>
      </c>
      <c r="K981" s="1" t="str">
        <f>IF(A981&gt;0,COUNTIF('Барабан'!K:K,A981),"")</f>
        <v/>
      </c>
      <c r="L981" s="1" t="str">
        <f>IF(A981&gt;0,COUNTIF('Барабан'!V:V,A981),"")</f>
        <v/>
      </c>
      <c r="M981" s="1" t="str">
        <f t="shared" si="3"/>
        <v/>
      </c>
      <c r="N981" s="1" t="str">
        <f>IFERROR(__xludf.DUMMYFUNCTION("IF(A981&gt;0,MIN(FILTER('Барабан'!AJ:AJ,'Барабан'!K:K=A981)),"""")"),"")</f>
        <v/>
      </c>
      <c r="O981" s="16" t="str">
        <f>IFERROR(__xludf.DUMMYFUNCTION("IF(A981&gt;0,IFERROR(MAX(FILTER('Барабан'!AJ:AJ,'Барабан'!V:V=A981)),""–""),"""")"),"")</f>
        <v/>
      </c>
    </row>
    <row r="982" ht="15.75" customHeight="1">
      <c r="A982" s="1" t="str">
        <f>'Справочник'!E977</f>
        <v/>
      </c>
      <c r="B982" s="2" t="str">
        <f>IF(A982&gt;0,SUMIF('Барабан'!K:K,A982,'Барабан'!I:I),"")</f>
        <v/>
      </c>
      <c r="C982" s="2" t="str">
        <f>IF(A982&gt;0,SUMIF('Барабан'!V:V,A982,'Барабан'!T:T),"")</f>
        <v/>
      </c>
      <c r="D982" s="2" t="str">
        <f>IF(A982&gt;0,SUMIF('Барабан'!K:K,A982,'Барабан'!AG:AG)+SUMIF('Барабан'!V:V,A982,'Барабан'!AG:AG),"")</f>
        <v/>
      </c>
      <c r="E982" s="2" t="str">
        <f t="shared" si="1"/>
        <v/>
      </c>
      <c r="F982" s="2" t="str">
        <f t="array" ref="F982">IFERROR(IF(E982=0,0,INDEX('Справочник'!G:G,MATCH(A982,'Справочник'!F:F,0))))</f>
        <v/>
      </c>
      <c r="G982" s="2" t="str">
        <f>IF(A982&gt;0,SUMIF('Барабан'!K:K,A982,'Барабан'!P:P),"")</f>
        <v/>
      </c>
      <c r="H982" s="2" t="str">
        <f>IF(A982&gt;0,SUMIF('Барабан'!V:V,A982,'Барабан'!AA:AA),"")</f>
        <v/>
      </c>
      <c r="I982" s="2" t="str">
        <f t="shared" si="4"/>
        <v/>
      </c>
      <c r="J982" s="9" t="str">
        <f t="shared" si="2"/>
        <v/>
      </c>
      <c r="K982" s="1" t="str">
        <f>IF(A982&gt;0,COUNTIF('Барабан'!K:K,A982),"")</f>
        <v/>
      </c>
      <c r="L982" s="1" t="str">
        <f>IF(A982&gt;0,COUNTIF('Барабан'!V:V,A982),"")</f>
        <v/>
      </c>
      <c r="M982" s="1" t="str">
        <f t="shared" si="3"/>
        <v/>
      </c>
      <c r="N982" s="1" t="str">
        <f>IFERROR(__xludf.DUMMYFUNCTION("IF(A982&gt;0,MIN(FILTER('Барабан'!AJ:AJ,'Барабан'!K:K=A982)),"""")"),"")</f>
        <v/>
      </c>
      <c r="O982" s="16" t="str">
        <f>IFERROR(__xludf.DUMMYFUNCTION("IF(A982&gt;0,IFERROR(MAX(FILTER('Барабан'!AJ:AJ,'Барабан'!V:V=A982)),""–""),"""")"),"")</f>
        <v/>
      </c>
    </row>
    <row r="983" ht="15.75" customHeight="1">
      <c r="A983" s="1" t="str">
        <f>'Справочник'!E978</f>
        <v/>
      </c>
      <c r="B983" s="2" t="str">
        <f>IF(A983&gt;0,SUMIF('Барабан'!K:K,A983,'Барабан'!I:I),"")</f>
        <v/>
      </c>
      <c r="C983" s="2" t="str">
        <f>IF(A983&gt;0,SUMIF('Барабан'!V:V,A983,'Барабан'!T:T),"")</f>
        <v/>
      </c>
      <c r="D983" s="2" t="str">
        <f>IF(A983&gt;0,SUMIF('Барабан'!K:K,A983,'Барабан'!AG:AG)+SUMIF('Барабан'!V:V,A983,'Барабан'!AG:AG),"")</f>
        <v/>
      </c>
      <c r="E983" s="2" t="str">
        <f t="shared" si="1"/>
        <v/>
      </c>
      <c r="F983" s="2" t="str">
        <f t="array" ref="F983">IFERROR(IF(E983=0,0,INDEX('Справочник'!G:G,MATCH(A983,'Справочник'!F:F,0))))</f>
        <v/>
      </c>
      <c r="G983" s="2" t="str">
        <f>IF(A983&gt;0,SUMIF('Барабан'!K:K,A983,'Барабан'!P:P),"")</f>
        <v/>
      </c>
      <c r="H983" s="2" t="str">
        <f>IF(A983&gt;0,SUMIF('Барабан'!V:V,A983,'Барабан'!AA:AA),"")</f>
        <v/>
      </c>
      <c r="I983" s="2" t="str">
        <f t="shared" si="4"/>
        <v/>
      </c>
      <c r="J983" s="9" t="str">
        <f t="shared" si="2"/>
        <v/>
      </c>
      <c r="K983" s="1" t="str">
        <f>IF(A983&gt;0,COUNTIF('Барабан'!K:K,A983),"")</f>
        <v/>
      </c>
      <c r="L983" s="1" t="str">
        <f>IF(A983&gt;0,COUNTIF('Барабан'!V:V,A983),"")</f>
        <v/>
      </c>
      <c r="M983" s="1" t="str">
        <f t="shared" si="3"/>
        <v/>
      </c>
      <c r="N983" s="1" t="str">
        <f>IFERROR(__xludf.DUMMYFUNCTION("IF(A983&gt;0,MIN(FILTER('Барабан'!AJ:AJ,'Барабан'!K:K=A983)),"""")"),"")</f>
        <v/>
      </c>
      <c r="O983" s="16" t="str">
        <f>IFERROR(__xludf.DUMMYFUNCTION("IF(A983&gt;0,IFERROR(MAX(FILTER('Барабан'!AJ:AJ,'Барабан'!V:V=A983)),""–""),"""")"),"")</f>
        <v/>
      </c>
    </row>
    <row r="984" ht="15.75" customHeight="1">
      <c r="A984" s="1" t="str">
        <f>'Справочник'!E979</f>
        <v/>
      </c>
      <c r="B984" s="2" t="str">
        <f>IF(A984&gt;0,SUMIF('Барабан'!K:K,A984,'Барабан'!I:I),"")</f>
        <v/>
      </c>
      <c r="C984" s="2" t="str">
        <f>IF(A984&gt;0,SUMIF('Барабан'!V:V,A984,'Барабан'!T:T),"")</f>
        <v/>
      </c>
      <c r="D984" s="2" t="str">
        <f>IF(A984&gt;0,SUMIF('Барабан'!K:K,A984,'Барабан'!AG:AG)+SUMIF('Барабан'!V:V,A984,'Барабан'!AG:AG),"")</f>
        <v/>
      </c>
      <c r="E984" s="2" t="str">
        <f t="shared" si="1"/>
        <v/>
      </c>
      <c r="F984" s="2" t="str">
        <f t="array" ref="F984">IFERROR(IF(E984=0,0,INDEX('Справочник'!G:G,MATCH(A984,'Справочник'!F:F,0))))</f>
        <v/>
      </c>
      <c r="G984" s="2" t="str">
        <f>IF(A984&gt;0,SUMIF('Барабан'!K:K,A984,'Барабан'!P:P),"")</f>
        <v/>
      </c>
      <c r="H984" s="2" t="str">
        <f>IF(A984&gt;0,SUMIF('Барабан'!V:V,A984,'Барабан'!AA:AA),"")</f>
        <v/>
      </c>
      <c r="I984" s="2" t="str">
        <f t="shared" si="4"/>
        <v/>
      </c>
      <c r="J984" s="9" t="str">
        <f t="shared" si="2"/>
        <v/>
      </c>
      <c r="K984" s="1" t="str">
        <f>IF(A984&gt;0,COUNTIF('Барабан'!K:K,A984),"")</f>
        <v/>
      </c>
      <c r="L984" s="1" t="str">
        <f>IF(A984&gt;0,COUNTIF('Барабан'!V:V,A984),"")</f>
        <v/>
      </c>
      <c r="M984" s="1" t="str">
        <f t="shared" si="3"/>
        <v/>
      </c>
      <c r="N984" s="1" t="str">
        <f>IFERROR(__xludf.DUMMYFUNCTION("IF(A984&gt;0,MIN(FILTER('Барабан'!AJ:AJ,'Барабан'!K:K=A984)),"""")"),"")</f>
        <v/>
      </c>
      <c r="O984" s="16" t="str">
        <f>IFERROR(__xludf.DUMMYFUNCTION("IF(A984&gt;0,IFERROR(MAX(FILTER('Барабан'!AJ:AJ,'Барабан'!V:V=A984)),""–""),"""")"),"")</f>
        <v/>
      </c>
    </row>
    <row r="985" ht="15.75" customHeight="1">
      <c r="A985" s="1" t="str">
        <f>'Справочник'!E980</f>
        <v/>
      </c>
      <c r="B985" s="2" t="str">
        <f>IF(A985&gt;0,SUMIF('Барабан'!K:K,A985,'Барабан'!I:I),"")</f>
        <v/>
      </c>
      <c r="C985" s="2" t="str">
        <f>IF(A985&gt;0,SUMIF('Барабан'!V:V,A985,'Барабан'!T:T),"")</f>
        <v/>
      </c>
      <c r="D985" s="2" t="str">
        <f>IF(A985&gt;0,SUMIF('Барабан'!K:K,A985,'Барабан'!AG:AG)+SUMIF('Барабан'!V:V,A985,'Барабан'!AG:AG),"")</f>
        <v/>
      </c>
      <c r="E985" s="2" t="str">
        <f t="shared" si="1"/>
        <v/>
      </c>
      <c r="F985" s="2" t="str">
        <f t="array" ref="F985">IFERROR(IF(E985=0,0,INDEX('Справочник'!G:G,MATCH(A985,'Справочник'!F:F,0))))</f>
        <v/>
      </c>
      <c r="G985" s="2" t="str">
        <f>IF(A985&gt;0,SUMIF('Барабан'!K:K,A985,'Барабан'!P:P),"")</f>
        <v/>
      </c>
      <c r="H985" s="2" t="str">
        <f>IF(A985&gt;0,SUMIF('Барабан'!V:V,A985,'Барабан'!AA:AA),"")</f>
        <v/>
      </c>
      <c r="I985" s="2" t="str">
        <f t="shared" si="4"/>
        <v/>
      </c>
      <c r="J985" s="9" t="str">
        <f t="shared" si="2"/>
        <v/>
      </c>
      <c r="K985" s="1" t="str">
        <f>IF(A985&gt;0,COUNTIF('Барабан'!K:K,A985),"")</f>
        <v/>
      </c>
      <c r="L985" s="1" t="str">
        <f>IF(A985&gt;0,COUNTIF('Барабан'!V:V,A985),"")</f>
        <v/>
      </c>
      <c r="M985" s="1" t="str">
        <f t="shared" si="3"/>
        <v/>
      </c>
      <c r="N985" s="1" t="str">
        <f>IFERROR(__xludf.DUMMYFUNCTION("IF(A985&gt;0,MIN(FILTER('Барабан'!AJ:AJ,'Барабан'!K:K=A985)),"""")"),"")</f>
        <v/>
      </c>
      <c r="O985" s="16" t="str">
        <f>IFERROR(__xludf.DUMMYFUNCTION("IF(A985&gt;0,IFERROR(MAX(FILTER('Барабан'!AJ:AJ,'Барабан'!V:V=A985)),""–""),"""")"),"")</f>
        <v/>
      </c>
    </row>
    <row r="986" ht="15.75" customHeight="1">
      <c r="A986" s="1" t="str">
        <f>'Справочник'!E981</f>
        <v/>
      </c>
      <c r="B986" s="2" t="str">
        <f>IF(A986&gt;0,SUMIF('Барабан'!K:K,A986,'Барабан'!I:I),"")</f>
        <v/>
      </c>
      <c r="C986" s="2" t="str">
        <f>IF(A986&gt;0,SUMIF('Барабан'!V:V,A986,'Барабан'!T:T),"")</f>
        <v/>
      </c>
      <c r="D986" s="2" t="str">
        <f>IF(A986&gt;0,SUMIF('Барабан'!K:K,A986,'Барабан'!AG:AG)+SUMIF('Барабан'!V:V,A986,'Барабан'!AG:AG),"")</f>
        <v/>
      </c>
      <c r="E986" s="2" t="str">
        <f t="shared" si="1"/>
        <v/>
      </c>
      <c r="F986" s="2" t="str">
        <f t="array" ref="F986">IFERROR(IF(E986=0,0,INDEX('Справочник'!G:G,MATCH(A986,'Справочник'!F:F,0))))</f>
        <v/>
      </c>
      <c r="G986" s="2" t="str">
        <f>IF(A986&gt;0,SUMIF('Барабан'!K:K,A986,'Барабан'!P:P),"")</f>
        <v/>
      </c>
      <c r="H986" s="2" t="str">
        <f>IF(A986&gt;0,SUMIF('Барабан'!V:V,A986,'Барабан'!AA:AA),"")</f>
        <v/>
      </c>
      <c r="I986" s="2" t="str">
        <f t="shared" si="4"/>
        <v/>
      </c>
      <c r="J986" s="9" t="str">
        <f t="shared" si="2"/>
        <v/>
      </c>
      <c r="K986" s="1" t="str">
        <f>IF(A986&gt;0,COUNTIF('Барабан'!K:K,A986),"")</f>
        <v/>
      </c>
      <c r="L986" s="1" t="str">
        <f>IF(A986&gt;0,COUNTIF('Барабан'!V:V,A986),"")</f>
        <v/>
      </c>
      <c r="M986" s="1" t="str">
        <f t="shared" si="3"/>
        <v/>
      </c>
      <c r="N986" s="1" t="str">
        <f>IFERROR(__xludf.DUMMYFUNCTION("IF(A986&gt;0,MIN(FILTER('Барабан'!AJ:AJ,'Барабан'!K:K=A986)),"""")"),"")</f>
        <v/>
      </c>
      <c r="O986" s="16" t="str">
        <f>IFERROR(__xludf.DUMMYFUNCTION("IF(A986&gt;0,IFERROR(MAX(FILTER('Барабан'!AJ:AJ,'Барабан'!V:V=A986)),""–""),"""")"),"")</f>
        <v/>
      </c>
    </row>
    <row r="987" ht="15.75" customHeight="1">
      <c r="A987" s="1" t="str">
        <f>'Справочник'!E982</f>
        <v/>
      </c>
      <c r="B987" s="2" t="str">
        <f>IF(A987&gt;0,SUMIF('Барабан'!K:K,A987,'Барабан'!I:I),"")</f>
        <v/>
      </c>
      <c r="C987" s="2" t="str">
        <f>IF(A987&gt;0,SUMIF('Барабан'!V:V,A987,'Барабан'!T:T),"")</f>
        <v/>
      </c>
      <c r="D987" s="2" t="str">
        <f>IF(A987&gt;0,SUMIF('Барабан'!K:K,A987,'Барабан'!AG:AG)+SUMIF('Барабан'!V:V,A987,'Барабан'!AG:AG),"")</f>
        <v/>
      </c>
      <c r="E987" s="2" t="str">
        <f t="shared" si="1"/>
        <v/>
      </c>
      <c r="F987" s="2" t="str">
        <f t="array" ref="F987">IFERROR(IF(E987=0,0,INDEX('Справочник'!G:G,MATCH(A987,'Справочник'!F:F,0))))</f>
        <v/>
      </c>
      <c r="G987" s="2" t="str">
        <f>IF(A987&gt;0,SUMIF('Барабан'!K:K,A987,'Барабан'!P:P),"")</f>
        <v/>
      </c>
      <c r="H987" s="2" t="str">
        <f>IF(A987&gt;0,SUMIF('Барабан'!V:V,A987,'Барабан'!AA:AA),"")</f>
        <v/>
      </c>
      <c r="I987" s="2" t="str">
        <f t="shared" si="4"/>
        <v/>
      </c>
      <c r="J987" s="9" t="str">
        <f t="shared" si="2"/>
        <v/>
      </c>
      <c r="K987" s="1" t="str">
        <f>IF(A987&gt;0,COUNTIF('Барабан'!K:K,A987),"")</f>
        <v/>
      </c>
      <c r="L987" s="1" t="str">
        <f>IF(A987&gt;0,COUNTIF('Барабан'!V:V,A987),"")</f>
        <v/>
      </c>
      <c r="M987" s="1" t="str">
        <f t="shared" si="3"/>
        <v/>
      </c>
      <c r="N987" s="1" t="str">
        <f>IFERROR(__xludf.DUMMYFUNCTION("IF(A987&gt;0,MIN(FILTER('Барабан'!AJ:AJ,'Барабан'!K:K=A987)),"""")"),"")</f>
        <v/>
      </c>
      <c r="O987" s="16" t="str">
        <f>IFERROR(__xludf.DUMMYFUNCTION("IF(A987&gt;0,IFERROR(MAX(FILTER('Барабан'!AJ:AJ,'Барабан'!V:V=A987)),""–""),"""")"),"")</f>
        <v/>
      </c>
    </row>
    <row r="988" ht="15.75" customHeight="1">
      <c r="A988" s="1" t="str">
        <f>'Справочник'!E983</f>
        <v/>
      </c>
      <c r="B988" s="2" t="str">
        <f>IF(A988&gt;0,SUMIF('Барабан'!K:K,A988,'Барабан'!I:I),"")</f>
        <v/>
      </c>
      <c r="C988" s="2" t="str">
        <f>IF(A988&gt;0,SUMIF('Барабан'!V:V,A988,'Барабан'!T:T),"")</f>
        <v/>
      </c>
      <c r="D988" s="2" t="str">
        <f>IF(A988&gt;0,SUMIF('Барабан'!K:K,A988,'Барабан'!AG:AG)+SUMIF('Барабан'!V:V,A988,'Барабан'!AG:AG),"")</f>
        <v/>
      </c>
      <c r="E988" s="2" t="str">
        <f t="shared" si="1"/>
        <v/>
      </c>
      <c r="F988" s="2" t="str">
        <f t="array" ref="F988">IFERROR(IF(E988=0,0,INDEX('Справочник'!G:G,MATCH(A988,'Справочник'!F:F,0))))</f>
        <v/>
      </c>
      <c r="G988" s="2" t="str">
        <f>IF(A988&gt;0,SUMIF('Барабан'!K:K,A988,'Барабан'!P:P),"")</f>
        <v/>
      </c>
      <c r="H988" s="2" t="str">
        <f>IF(A988&gt;0,SUMIF('Барабан'!V:V,A988,'Барабан'!AA:AA),"")</f>
        <v/>
      </c>
      <c r="I988" s="2" t="str">
        <f t="shared" si="4"/>
        <v/>
      </c>
      <c r="J988" s="9" t="str">
        <f t="shared" si="2"/>
        <v/>
      </c>
      <c r="K988" s="1" t="str">
        <f>IF(A988&gt;0,COUNTIF('Барабан'!K:K,A988),"")</f>
        <v/>
      </c>
      <c r="L988" s="1" t="str">
        <f>IF(A988&gt;0,COUNTIF('Барабан'!V:V,A988),"")</f>
        <v/>
      </c>
      <c r="M988" s="1" t="str">
        <f t="shared" si="3"/>
        <v/>
      </c>
      <c r="N988" s="1" t="str">
        <f>IFERROR(__xludf.DUMMYFUNCTION("IF(A988&gt;0,MIN(FILTER('Барабан'!AJ:AJ,'Барабан'!K:K=A988)),"""")"),"")</f>
        <v/>
      </c>
      <c r="O988" s="16" t="str">
        <f>IFERROR(__xludf.DUMMYFUNCTION("IF(A988&gt;0,IFERROR(MAX(FILTER('Барабан'!AJ:AJ,'Барабан'!V:V=A988)),""–""),"""")"),"")</f>
        <v/>
      </c>
    </row>
    <row r="989" ht="15.75" customHeight="1">
      <c r="A989" s="1" t="str">
        <f>'Справочник'!E984</f>
        <v/>
      </c>
      <c r="B989" s="2" t="str">
        <f>IF(A989&gt;0,SUMIF('Барабан'!K:K,A989,'Барабан'!I:I),"")</f>
        <v/>
      </c>
      <c r="C989" s="2" t="str">
        <f>IF(A989&gt;0,SUMIF('Барабан'!V:V,A989,'Барабан'!T:T),"")</f>
        <v/>
      </c>
      <c r="D989" s="2" t="str">
        <f>IF(A989&gt;0,SUMIF('Барабан'!K:K,A989,'Барабан'!AG:AG)+SUMIF('Барабан'!V:V,A989,'Барабан'!AG:AG),"")</f>
        <v/>
      </c>
      <c r="E989" s="2" t="str">
        <f t="shared" si="1"/>
        <v/>
      </c>
      <c r="F989" s="2" t="str">
        <f t="array" ref="F989">IFERROR(IF(E989=0,0,INDEX('Справочник'!G:G,MATCH(A989,'Справочник'!F:F,0))))</f>
        <v/>
      </c>
      <c r="G989" s="2" t="str">
        <f>IF(A989&gt;0,SUMIF('Барабан'!K:K,A989,'Барабан'!P:P),"")</f>
        <v/>
      </c>
      <c r="H989" s="2" t="str">
        <f>IF(A989&gt;0,SUMIF('Барабан'!V:V,A989,'Барабан'!AA:AA),"")</f>
        <v/>
      </c>
      <c r="I989" s="2" t="str">
        <f t="shared" si="4"/>
        <v/>
      </c>
      <c r="J989" s="9" t="str">
        <f t="shared" si="2"/>
        <v/>
      </c>
      <c r="K989" s="1" t="str">
        <f>IF(A989&gt;0,COUNTIF('Барабан'!K:K,A989),"")</f>
        <v/>
      </c>
      <c r="L989" s="1" t="str">
        <f>IF(A989&gt;0,COUNTIF('Барабан'!V:V,A989),"")</f>
        <v/>
      </c>
      <c r="M989" s="1" t="str">
        <f t="shared" si="3"/>
        <v/>
      </c>
      <c r="N989" s="1" t="str">
        <f>IFERROR(__xludf.DUMMYFUNCTION("IF(A989&gt;0,MIN(FILTER('Барабан'!AJ:AJ,'Барабан'!K:K=A989)),"""")"),"")</f>
        <v/>
      </c>
      <c r="O989" s="16" t="str">
        <f>IFERROR(__xludf.DUMMYFUNCTION("IF(A989&gt;0,IFERROR(MAX(FILTER('Барабан'!AJ:AJ,'Барабан'!V:V=A989)),""–""),"""")"),"")</f>
        <v/>
      </c>
    </row>
    <row r="990" ht="15.75" customHeight="1">
      <c r="A990" s="1" t="str">
        <f>'Справочник'!E985</f>
        <v/>
      </c>
      <c r="B990" s="2" t="str">
        <f>IF(A990&gt;0,SUMIF('Барабан'!K:K,A990,'Барабан'!I:I),"")</f>
        <v/>
      </c>
      <c r="C990" s="2" t="str">
        <f>IF(A990&gt;0,SUMIF('Барабан'!V:V,A990,'Барабан'!T:T),"")</f>
        <v/>
      </c>
      <c r="D990" s="2" t="str">
        <f>IF(A990&gt;0,SUMIF('Барабан'!K:K,A990,'Барабан'!AG:AG)+SUMIF('Барабан'!V:V,A990,'Барабан'!AG:AG),"")</f>
        <v/>
      </c>
      <c r="E990" s="2" t="str">
        <f t="shared" si="1"/>
        <v/>
      </c>
      <c r="F990" s="2" t="str">
        <f t="array" ref="F990">IFERROR(IF(E990=0,0,INDEX('Справочник'!G:G,MATCH(A990,'Справочник'!F:F,0))))</f>
        <v/>
      </c>
      <c r="G990" s="2" t="str">
        <f>IF(A990&gt;0,SUMIF('Барабан'!K:K,A990,'Барабан'!P:P),"")</f>
        <v/>
      </c>
      <c r="H990" s="2" t="str">
        <f>IF(A990&gt;0,SUMIF('Барабан'!V:V,A990,'Барабан'!AA:AA),"")</f>
        <v/>
      </c>
      <c r="I990" s="2" t="str">
        <f t="shared" si="4"/>
        <v/>
      </c>
      <c r="J990" s="9" t="str">
        <f t="shared" si="2"/>
        <v/>
      </c>
      <c r="K990" s="1" t="str">
        <f>IF(A990&gt;0,COUNTIF('Барабан'!K:K,A990),"")</f>
        <v/>
      </c>
      <c r="L990" s="1" t="str">
        <f>IF(A990&gt;0,COUNTIF('Барабан'!V:V,A990),"")</f>
        <v/>
      </c>
      <c r="M990" s="1" t="str">
        <f t="shared" si="3"/>
        <v/>
      </c>
      <c r="N990" s="1" t="str">
        <f>IFERROR(__xludf.DUMMYFUNCTION("IF(A990&gt;0,MIN(FILTER('Барабан'!AJ:AJ,'Барабан'!K:K=A990)),"""")"),"")</f>
        <v/>
      </c>
      <c r="O990" s="16" t="str">
        <f>IFERROR(__xludf.DUMMYFUNCTION("IF(A990&gt;0,IFERROR(MAX(FILTER('Барабан'!AJ:AJ,'Барабан'!V:V=A990)),""–""),"""")"),"")</f>
        <v/>
      </c>
    </row>
    <row r="991" ht="15.75" customHeight="1">
      <c r="A991" s="1" t="str">
        <f>'Справочник'!E986</f>
        <v/>
      </c>
      <c r="B991" s="2" t="str">
        <f>IF(A991&gt;0,SUMIF('Барабан'!K:K,A991,'Барабан'!I:I),"")</f>
        <v/>
      </c>
      <c r="C991" s="2" t="str">
        <f>IF(A991&gt;0,SUMIF('Барабан'!V:V,A991,'Барабан'!T:T),"")</f>
        <v/>
      </c>
      <c r="D991" s="2" t="str">
        <f>IF(A991&gt;0,SUMIF('Барабан'!K:K,A991,'Барабан'!AG:AG)+SUMIF('Барабан'!V:V,A991,'Барабан'!AG:AG),"")</f>
        <v/>
      </c>
      <c r="E991" s="2" t="str">
        <f t="shared" si="1"/>
        <v/>
      </c>
      <c r="F991" s="2" t="str">
        <f t="array" ref="F991">IFERROR(IF(E991=0,0,INDEX('Справочник'!G:G,MATCH(A991,'Справочник'!F:F,0))))</f>
        <v/>
      </c>
      <c r="G991" s="2" t="str">
        <f>IF(A991&gt;0,SUMIF('Барабан'!K:K,A991,'Барабан'!P:P),"")</f>
        <v/>
      </c>
      <c r="H991" s="2" t="str">
        <f>IF(A991&gt;0,SUMIF('Барабан'!V:V,A991,'Барабан'!AA:AA),"")</f>
        <v/>
      </c>
      <c r="I991" s="2" t="str">
        <f t="shared" si="4"/>
        <v/>
      </c>
      <c r="J991" s="9" t="str">
        <f t="shared" si="2"/>
        <v/>
      </c>
      <c r="K991" s="1" t="str">
        <f>IF(A991&gt;0,COUNTIF('Барабан'!K:K,A991),"")</f>
        <v/>
      </c>
      <c r="L991" s="1" t="str">
        <f>IF(A991&gt;0,COUNTIF('Барабан'!V:V,A991),"")</f>
        <v/>
      </c>
      <c r="M991" s="1" t="str">
        <f t="shared" si="3"/>
        <v/>
      </c>
      <c r="N991" s="1" t="str">
        <f>IFERROR(__xludf.DUMMYFUNCTION("IF(A991&gt;0,MIN(FILTER('Барабан'!AJ:AJ,'Барабан'!K:K=A991)),"""")"),"")</f>
        <v/>
      </c>
      <c r="O991" s="16" t="str">
        <f>IFERROR(__xludf.DUMMYFUNCTION("IF(A991&gt;0,IFERROR(MAX(FILTER('Барабан'!AJ:AJ,'Барабан'!V:V=A991)),""–""),"""")"),"")</f>
        <v/>
      </c>
    </row>
    <row r="992" ht="15.75" customHeight="1">
      <c r="A992" s="1" t="str">
        <f>'Справочник'!E987</f>
        <v/>
      </c>
      <c r="B992" s="2" t="str">
        <f>IF(A992&gt;0,SUMIF('Барабан'!K:K,A992,'Барабан'!I:I),"")</f>
        <v/>
      </c>
      <c r="C992" s="2" t="str">
        <f>IF(A992&gt;0,SUMIF('Барабан'!V:V,A992,'Барабан'!T:T),"")</f>
        <v/>
      </c>
      <c r="D992" s="2" t="str">
        <f>IF(A992&gt;0,SUMIF('Барабан'!K:K,A992,'Барабан'!AG:AG)+SUMIF('Барабан'!V:V,A992,'Барабан'!AG:AG),"")</f>
        <v/>
      </c>
      <c r="E992" s="2" t="str">
        <f t="shared" si="1"/>
        <v/>
      </c>
      <c r="F992" s="2" t="str">
        <f t="array" ref="F992">IFERROR(IF(E992=0,0,INDEX('Справочник'!G:G,MATCH(A992,'Справочник'!F:F,0))))</f>
        <v/>
      </c>
      <c r="G992" s="2" t="str">
        <f>IF(A992&gt;0,SUMIF('Барабан'!K:K,A992,'Барабан'!P:P),"")</f>
        <v/>
      </c>
      <c r="H992" s="2" t="str">
        <f>IF(A992&gt;0,SUMIF('Барабан'!V:V,A992,'Барабан'!AA:AA),"")</f>
        <v/>
      </c>
      <c r="I992" s="2" t="str">
        <f t="shared" si="4"/>
        <v/>
      </c>
      <c r="J992" s="9" t="str">
        <f t="shared" si="2"/>
        <v/>
      </c>
      <c r="K992" s="1" t="str">
        <f>IF(A992&gt;0,COUNTIF('Барабан'!K:K,A992),"")</f>
        <v/>
      </c>
      <c r="L992" s="1" t="str">
        <f>IF(A992&gt;0,COUNTIF('Барабан'!V:V,A992),"")</f>
        <v/>
      </c>
      <c r="M992" s="1" t="str">
        <f t="shared" si="3"/>
        <v/>
      </c>
      <c r="N992" s="1" t="str">
        <f>IFERROR(__xludf.DUMMYFUNCTION("IF(A992&gt;0,MIN(FILTER('Барабан'!AJ:AJ,'Барабан'!K:K=A992)),"""")"),"")</f>
        <v/>
      </c>
      <c r="O992" s="16" t="str">
        <f>IFERROR(__xludf.DUMMYFUNCTION("IF(A992&gt;0,IFERROR(MAX(FILTER('Барабан'!AJ:AJ,'Барабан'!V:V=A992)),""–""),"""")"),"")</f>
        <v/>
      </c>
    </row>
    <row r="993" ht="15.75" customHeight="1">
      <c r="A993" s="1" t="str">
        <f>'Справочник'!E988</f>
        <v/>
      </c>
      <c r="B993" s="2" t="str">
        <f>IF(A993&gt;0,SUMIF('Барабан'!K:K,A993,'Барабан'!I:I),"")</f>
        <v/>
      </c>
      <c r="C993" s="2" t="str">
        <f>IF(A993&gt;0,SUMIF('Барабан'!V:V,A993,'Барабан'!T:T),"")</f>
        <v/>
      </c>
      <c r="D993" s="2" t="str">
        <f>IF(A993&gt;0,SUMIF('Барабан'!K:K,A993,'Барабан'!AG:AG)+SUMIF('Барабан'!V:V,A993,'Барабан'!AG:AG),"")</f>
        <v/>
      </c>
      <c r="E993" s="2" t="str">
        <f t="shared" si="1"/>
        <v/>
      </c>
      <c r="F993" s="2" t="str">
        <f t="array" ref="F993">IFERROR(IF(E993=0,0,INDEX('Справочник'!G:G,MATCH(A993,'Справочник'!F:F,0))))</f>
        <v/>
      </c>
      <c r="G993" s="2" t="str">
        <f>IF(A993&gt;0,SUMIF('Барабан'!K:K,A993,'Барабан'!P:P),"")</f>
        <v/>
      </c>
      <c r="H993" s="2" t="str">
        <f>IF(A993&gt;0,SUMIF('Барабан'!V:V,A993,'Барабан'!AA:AA),"")</f>
        <v/>
      </c>
      <c r="I993" s="2" t="str">
        <f t="shared" si="4"/>
        <v/>
      </c>
      <c r="J993" s="9" t="str">
        <f t="shared" si="2"/>
        <v/>
      </c>
      <c r="K993" s="1" t="str">
        <f>IF(A993&gt;0,COUNTIF('Барабан'!K:K,A993),"")</f>
        <v/>
      </c>
      <c r="L993" s="1" t="str">
        <f>IF(A993&gt;0,COUNTIF('Барабан'!V:V,A993),"")</f>
        <v/>
      </c>
      <c r="M993" s="1" t="str">
        <f t="shared" si="3"/>
        <v/>
      </c>
      <c r="N993" s="1" t="str">
        <f>IFERROR(__xludf.DUMMYFUNCTION("IF(A993&gt;0,MIN(FILTER('Барабан'!AJ:AJ,'Барабан'!K:K=A993)),"""")"),"")</f>
        <v/>
      </c>
      <c r="O993" s="16" t="str">
        <f>IFERROR(__xludf.DUMMYFUNCTION("IF(A993&gt;0,IFERROR(MAX(FILTER('Барабан'!AJ:AJ,'Барабан'!V:V=A993)),""–""),"""")"),"")</f>
        <v/>
      </c>
    </row>
    <row r="994" ht="15.75" customHeight="1">
      <c r="A994" s="1" t="str">
        <f>'Справочник'!E989</f>
        <v/>
      </c>
      <c r="B994" s="2" t="str">
        <f>IF(A994&gt;0,SUMIF('Барабан'!K:K,A994,'Барабан'!I:I),"")</f>
        <v/>
      </c>
      <c r="C994" s="2" t="str">
        <f>IF(A994&gt;0,SUMIF('Барабан'!V:V,A994,'Барабан'!T:T),"")</f>
        <v/>
      </c>
      <c r="D994" s="2" t="str">
        <f>IF(A994&gt;0,SUMIF('Барабан'!K:K,A994,'Барабан'!AG:AG)+SUMIF('Барабан'!V:V,A994,'Барабан'!AG:AG),"")</f>
        <v/>
      </c>
      <c r="E994" s="2" t="str">
        <f t="shared" si="1"/>
        <v/>
      </c>
      <c r="F994" s="2" t="str">
        <f t="array" ref="F994">IFERROR(IF(E994=0,0,INDEX('Справочник'!G:G,MATCH(A994,'Справочник'!F:F,0))))</f>
        <v/>
      </c>
      <c r="G994" s="2" t="str">
        <f>IF(A994&gt;0,SUMIF('Барабан'!K:K,A994,'Барабан'!P:P),"")</f>
        <v/>
      </c>
      <c r="H994" s="2" t="str">
        <f>IF(A994&gt;0,SUMIF('Барабан'!V:V,A994,'Барабан'!AA:AA),"")</f>
        <v/>
      </c>
      <c r="I994" s="2" t="str">
        <f t="shared" si="4"/>
        <v/>
      </c>
      <c r="J994" s="9" t="str">
        <f t="shared" si="2"/>
        <v/>
      </c>
      <c r="K994" s="1" t="str">
        <f>IF(A994&gt;0,COUNTIF('Барабан'!K:K,A994),"")</f>
        <v/>
      </c>
      <c r="L994" s="1" t="str">
        <f>IF(A994&gt;0,COUNTIF('Барабан'!V:V,A994),"")</f>
        <v/>
      </c>
      <c r="M994" s="1" t="str">
        <f t="shared" si="3"/>
        <v/>
      </c>
      <c r="N994" s="1" t="str">
        <f>IFERROR(__xludf.DUMMYFUNCTION("IF(A994&gt;0,MIN(FILTER('Барабан'!AJ:AJ,'Барабан'!K:K=A994)),"""")"),"")</f>
        <v/>
      </c>
      <c r="O994" s="16" t="str">
        <f>IFERROR(__xludf.DUMMYFUNCTION("IF(A994&gt;0,IFERROR(MAX(FILTER('Барабан'!AJ:AJ,'Барабан'!V:V=A994)),""–""),"""")"),"")</f>
        <v/>
      </c>
    </row>
    <row r="995" ht="15.75" customHeight="1">
      <c r="A995" s="1" t="str">
        <f>'Справочник'!E990</f>
        <v/>
      </c>
      <c r="B995" s="2" t="str">
        <f>IF(A995&gt;0,SUMIF('Барабан'!K:K,A995,'Барабан'!I:I),"")</f>
        <v/>
      </c>
      <c r="C995" s="2" t="str">
        <f>IF(A995&gt;0,SUMIF('Барабан'!V:V,A995,'Барабан'!T:T),"")</f>
        <v/>
      </c>
      <c r="D995" s="2" t="str">
        <f>IF(A995&gt;0,SUMIF('Барабан'!K:K,A995,'Барабан'!AG:AG)+SUMIF('Барабан'!V:V,A995,'Барабан'!AG:AG),"")</f>
        <v/>
      </c>
      <c r="E995" s="2" t="str">
        <f t="shared" si="1"/>
        <v/>
      </c>
      <c r="F995" s="2" t="str">
        <f t="array" ref="F995">IFERROR(IF(E995=0,0,INDEX('Справочник'!G:G,MATCH(A995,'Справочник'!F:F,0))))</f>
        <v/>
      </c>
      <c r="G995" s="2" t="str">
        <f>IF(A995&gt;0,SUMIF('Барабан'!K:K,A995,'Барабан'!P:P),"")</f>
        <v/>
      </c>
      <c r="H995" s="2" t="str">
        <f>IF(A995&gt;0,SUMIF('Барабан'!V:V,A995,'Барабан'!AA:AA),"")</f>
        <v/>
      </c>
      <c r="I995" s="2" t="str">
        <f t="shared" si="4"/>
        <v/>
      </c>
      <c r="J995" s="9" t="str">
        <f t="shared" si="2"/>
        <v/>
      </c>
      <c r="K995" s="1" t="str">
        <f>IF(A995&gt;0,COUNTIF('Барабан'!K:K,A995),"")</f>
        <v/>
      </c>
      <c r="L995" s="1" t="str">
        <f>IF(A995&gt;0,COUNTIF('Барабан'!V:V,A995),"")</f>
        <v/>
      </c>
      <c r="M995" s="1" t="str">
        <f t="shared" si="3"/>
        <v/>
      </c>
      <c r="N995" s="1" t="str">
        <f>IFERROR(__xludf.DUMMYFUNCTION("IF(A995&gt;0,MIN(FILTER('Барабан'!AJ:AJ,'Барабан'!K:K=A995)),"""")"),"")</f>
        <v/>
      </c>
      <c r="O995" s="16" t="str">
        <f>IFERROR(__xludf.DUMMYFUNCTION("IF(A995&gt;0,IFERROR(MAX(FILTER('Барабан'!AJ:AJ,'Барабан'!V:V=A995)),""–""),"""")"),"")</f>
        <v/>
      </c>
    </row>
    <row r="996" ht="15.75" customHeight="1">
      <c r="A996" s="1" t="str">
        <f>'Справочник'!E991</f>
        <v/>
      </c>
      <c r="B996" s="2" t="str">
        <f>IF(A996&gt;0,SUMIF('Барабан'!K:K,A996,'Барабан'!I:I),"")</f>
        <v/>
      </c>
      <c r="C996" s="2" t="str">
        <f>IF(A996&gt;0,SUMIF('Барабан'!V:V,A996,'Барабан'!T:T),"")</f>
        <v/>
      </c>
      <c r="D996" s="2" t="str">
        <f>IF(A996&gt;0,SUMIF('Барабан'!K:K,A996,'Барабан'!AG:AG)+SUMIF('Барабан'!V:V,A996,'Барабан'!AG:AG),"")</f>
        <v/>
      </c>
      <c r="E996" s="2" t="str">
        <f t="shared" si="1"/>
        <v/>
      </c>
      <c r="F996" s="2" t="str">
        <f t="array" ref="F996">IFERROR(IF(E996=0,0,INDEX('Справочник'!G:G,MATCH(A996,'Справочник'!F:F,0))))</f>
        <v/>
      </c>
      <c r="G996" s="2" t="str">
        <f>IF(A996&gt;0,SUMIF('Барабан'!K:K,A996,'Барабан'!P:P),"")</f>
        <v/>
      </c>
      <c r="H996" s="2" t="str">
        <f>IF(A996&gt;0,SUMIF('Барабан'!V:V,A996,'Барабан'!AA:AA),"")</f>
        <v/>
      </c>
      <c r="I996" s="2" t="str">
        <f t="shared" si="4"/>
        <v/>
      </c>
      <c r="J996" s="9" t="str">
        <f t="shared" si="2"/>
        <v/>
      </c>
      <c r="K996" s="1" t="str">
        <f>IF(A996&gt;0,COUNTIF('Барабан'!K:K,A996),"")</f>
        <v/>
      </c>
      <c r="L996" s="1" t="str">
        <f>IF(A996&gt;0,COUNTIF('Барабан'!V:V,A996),"")</f>
        <v/>
      </c>
      <c r="M996" s="1" t="str">
        <f t="shared" si="3"/>
        <v/>
      </c>
      <c r="N996" s="1" t="str">
        <f>IFERROR(__xludf.DUMMYFUNCTION("IF(A996&gt;0,MIN(FILTER('Барабан'!AJ:AJ,'Барабан'!K:K=A996)),"""")"),"")</f>
        <v/>
      </c>
      <c r="O996" s="16" t="str">
        <f>IFERROR(__xludf.DUMMYFUNCTION("IF(A996&gt;0,IFERROR(MAX(FILTER('Барабан'!AJ:AJ,'Барабан'!V:V=A996)),""–""),"""")"),"")</f>
        <v/>
      </c>
    </row>
    <row r="997" ht="15.75" customHeight="1">
      <c r="A997" s="1" t="str">
        <f>'Справочник'!E992</f>
        <v/>
      </c>
      <c r="B997" s="2" t="str">
        <f>IF(A997&gt;0,SUMIF('Барабан'!K:K,A997,'Барабан'!I:I),"")</f>
        <v/>
      </c>
      <c r="C997" s="2" t="str">
        <f>IF(A997&gt;0,SUMIF('Барабан'!V:V,A997,'Барабан'!T:T),"")</f>
        <v/>
      </c>
      <c r="D997" s="2" t="str">
        <f>IF(A997&gt;0,SUMIF('Барабан'!K:K,A997,'Барабан'!AG:AG)+SUMIF('Барабан'!V:V,A997,'Барабан'!AG:AG),"")</f>
        <v/>
      </c>
      <c r="E997" s="2" t="str">
        <f t="shared" si="1"/>
        <v/>
      </c>
      <c r="F997" s="2" t="str">
        <f t="array" ref="F997">IFERROR(IF(E997=0,0,INDEX('Справочник'!G:G,MATCH(A997,'Справочник'!F:F,0))))</f>
        <v/>
      </c>
      <c r="G997" s="2" t="str">
        <f>IF(A997&gt;0,SUMIF('Барабан'!K:K,A997,'Барабан'!P:P),"")</f>
        <v/>
      </c>
      <c r="H997" s="2" t="str">
        <f>IF(A997&gt;0,SUMIF('Барабан'!V:V,A997,'Барабан'!AA:AA),"")</f>
        <v/>
      </c>
      <c r="I997" s="2" t="str">
        <f t="shared" si="4"/>
        <v/>
      </c>
      <c r="J997" s="9" t="str">
        <f t="shared" si="2"/>
        <v/>
      </c>
      <c r="K997" s="1" t="str">
        <f>IF(A997&gt;0,COUNTIF('Барабан'!K:K,A997),"")</f>
        <v/>
      </c>
      <c r="L997" s="1" t="str">
        <f>IF(A997&gt;0,COUNTIF('Барабан'!V:V,A997),"")</f>
        <v/>
      </c>
      <c r="M997" s="1" t="str">
        <f t="shared" si="3"/>
        <v/>
      </c>
      <c r="N997" s="1" t="str">
        <f>IFERROR(__xludf.DUMMYFUNCTION("IF(A997&gt;0,MIN(FILTER('Барабан'!AJ:AJ,'Барабан'!K:K=A997)),"""")"),"")</f>
        <v/>
      </c>
      <c r="O997" s="16" t="str">
        <f>IFERROR(__xludf.DUMMYFUNCTION("IF(A997&gt;0,IFERROR(MAX(FILTER('Барабан'!AJ:AJ,'Барабан'!V:V=A997)),""–""),"""")"),"")</f>
        <v/>
      </c>
    </row>
    <row r="998" ht="15.75" customHeight="1">
      <c r="A998" s="1" t="str">
        <f>'Справочник'!E993</f>
        <v/>
      </c>
      <c r="B998" s="2" t="str">
        <f>IF(A998&gt;0,SUMIF('Барабан'!K:K,A998,'Барабан'!I:I),"")</f>
        <v/>
      </c>
      <c r="C998" s="2" t="str">
        <f>IF(A998&gt;0,SUMIF('Барабан'!V:V,A998,'Барабан'!T:T),"")</f>
        <v/>
      </c>
      <c r="D998" s="2" t="str">
        <f>IF(A998&gt;0,SUMIF('Барабан'!K:K,A998,'Барабан'!AG:AG)+SUMIF('Барабан'!V:V,A998,'Барабан'!AG:AG),"")</f>
        <v/>
      </c>
      <c r="E998" s="2" t="str">
        <f t="shared" si="1"/>
        <v/>
      </c>
      <c r="F998" s="2" t="str">
        <f t="array" ref="F998">IFERROR(IF(E998=0,0,INDEX('Справочник'!G:G,MATCH(A998,'Справочник'!F:F,0))))</f>
        <v/>
      </c>
      <c r="G998" s="2" t="str">
        <f>IF(A998&gt;0,SUMIF('Барабан'!K:K,A998,'Барабан'!P:P),"")</f>
        <v/>
      </c>
      <c r="H998" s="2" t="str">
        <f>IF(A998&gt;0,SUMIF('Барабан'!V:V,A998,'Барабан'!AA:AA),"")</f>
        <v/>
      </c>
      <c r="I998" s="2" t="str">
        <f t="shared" si="4"/>
        <v/>
      </c>
      <c r="J998" s="9" t="str">
        <f t="shared" si="2"/>
        <v/>
      </c>
      <c r="K998" s="1" t="str">
        <f>IF(A998&gt;0,COUNTIF('Барабан'!K:K,A998),"")</f>
        <v/>
      </c>
      <c r="L998" s="1" t="str">
        <f>IF(A998&gt;0,COUNTIF('Барабан'!V:V,A998),"")</f>
        <v/>
      </c>
      <c r="M998" s="1" t="str">
        <f t="shared" si="3"/>
        <v/>
      </c>
      <c r="N998" s="1" t="str">
        <f>IFERROR(__xludf.DUMMYFUNCTION("IF(A998&gt;0,MIN(FILTER('Барабан'!AJ:AJ,'Барабан'!K:K=A998)),"""")"),"")</f>
        <v/>
      </c>
      <c r="O998" s="16" t="str">
        <f>IFERROR(__xludf.DUMMYFUNCTION("IF(A998&gt;0,IFERROR(MAX(FILTER('Барабан'!AJ:AJ,'Барабан'!V:V=A998)),""–""),"""")"),"")</f>
        <v/>
      </c>
    </row>
    <row r="999" ht="15.75" customHeight="1">
      <c r="A999" s="1" t="str">
        <f>'Справочник'!E994</f>
        <v/>
      </c>
      <c r="B999" s="2" t="str">
        <f>IF(A999&gt;0,SUMIF('Барабан'!K:K,A999,'Барабан'!I:I),"")</f>
        <v/>
      </c>
      <c r="C999" s="2" t="str">
        <f>IF(A999&gt;0,SUMIF('Барабан'!V:V,A999,'Барабан'!T:T),"")</f>
        <v/>
      </c>
      <c r="D999" s="2" t="str">
        <f>IF(A999&gt;0,SUMIF('Барабан'!K:K,A999,'Барабан'!AG:AG)+SUMIF('Барабан'!V:V,A999,'Барабан'!AG:AG),"")</f>
        <v/>
      </c>
      <c r="E999" s="2" t="str">
        <f t="shared" si="1"/>
        <v/>
      </c>
      <c r="F999" s="2" t="str">
        <f t="array" ref="F999">IFERROR(IF(E999=0,0,INDEX('Справочник'!G:G,MATCH(A999,'Справочник'!F:F,0))))</f>
        <v/>
      </c>
      <c r="G999" s="2" t="str">
        <f>IF(A999&gt;0,SUMIF('Барабан'!K:K,A999,'Барабан'!P:P),"")</f>
        <v/>
      </c>
      <c r="H999" s="2" t="str">
        <f>IF(A999&gt;0,SUMIF('Барабан'!V:V,A999,'Барабан'!AA:AA),"")</f>
        <v/>
      </c>
      <c r="I999" s="2" t="str">
        <f t="shared" si="4"/>
        <v/>
      </c>
      <c r="J999" s="9" t="str">
        <f t="shared" si="2"/>
        <v/>
      </c>
      <c r="K999" s="1" t="str">
        <f>IF(A999&gt;0,COUNTIF('Барабан'!K:K,A999),"")</f>
        <v/>
      </c>
      <c r="L999" s="1" t="str">
        <f>IF(A999&gt;0,COUNTIF('Барабан'!V:V,A999),"")</f>
        <v/>
      </c>
      <c r="M999" s="1" t="str">
        <f t="shared" si="3"/>
        <v/>
      </c>
      <c r="N999" s="1" t="str">
        <f>IFERROR(__xludf.DUMMYFUNCTION("IF(A999&gt;0,MIN(FILTER('Барабан'!AJ:AJ,'Барабан'!K:K=A999)),"""")"),"")</f>
        <v/>
      </c>
      <c r="O999" s="16" t="str">
        <f>IFERROR(__xludf.DUMMYFUNCTION("IF(A999&gt;0,IFERROR(MAX(FILTER('Барабан'!AJ:AJ,'Барабан'!V:V=A999)),""–""),"""")"),"")</f>
        <v/>
      </c>
    </row>
    <row r="1000" ht="15.75" customHeight="1">
      <c r="A1000" s="1" t="str">
        <f>'Справочник'!E995</f>
        <v/>
      </c>
      <c r="B1000" s="2" t="str">
        <f>IF(A1000&gt;0,SUMIF('Барабан'!K:K,A1000,'Барабан'!I:I),"")</f>
        <v/>
      </c>
      <c r="C1000" s="2" t="str">
        <f>IF(A1000&gt;0,SUMIF('Барабан'!V:V,A1000,'Барабан'!T:T),"")</f>
        <v/>
      </c>
      <c r="D1000" s="2" t="str">
        <f>IF(A1000&gt;0,SUMIF('Барабан'!K:K,A1000,'Барабан'!AG:AG)+SUMIF('Барабан'!V:V,A1000,'Барабан'!AG:AG),"")</f>
        <v/>
      </c>
      <c r="E1000" s="2" t="str">
        <f t="shared" si="1"/>
        <v/>
      </c>
      <c r="F1000" s="2" t="str">
        <f t="array" ref="F1000">IFERROR(IF(E1000=0,0,INDEX('Справочник'!G:G,MATCH(A1000,'Справочник'!F:F,0))))</f>
        <v/>
      </c>
      <c r="G1000" s="2" t="str">
        <f>IF(A1000&gt;0,SUMIF('Барабан'!K:K,A1000,'Барабан'!P:P),"")</f>
        <v/>
      </c>
      <c r="H1000" s="2" t="str">
        <f>IF(A1000&gt;0,SUMIF('Барабан'!V:V,A1000,'Барабан'!AA:AA),"")</f>
        <v/>
      </c>
      <c r="I1000" s="2" t="str">
        <f t="shared" si="4"/>
        <v/>
      </c>
      <c r="J1000" s="9" t="str">
        <f t="shared" si="2"/>
        <v/>
      </c>
      <c r="K1000" s="1" t="str">
        <f>IF(A1000&gt;0,COUNTIF('Барабан'!K:K,A1000),"")</f>
        <v/>
      </c>
      <c r="L1000" s="1" t="str">
        <f>IF(A1000&gt;0,COUNTIF('Барабан'!V:V,A1000),"")</f>
        <v/>
      </c>
      <c r="M1000" s="1" t="str">
        <f t="shared" si="3"/>
        <v/>
      </c>
      <c r="N1000" s="1" t="str">
        <f>IFERROR(__xludf.DUMMYFUNCTION("IF(A1000&gt;0,MIN(FILTER('Барабан'!AJ:AJ,'Барабан'!K:K=A1000)),"""")"),"")</f>
        <v/>
      </c>
      <c r="O1000" s="16" t="str">
        <f>IFERROR(__xludf.DUMMYFUNCTION("IF(A1000&gt;0,IFERROR(MAX(FILTER('Барабан'!AJ:AJ,'Барабан'!V:V=A1000)),""–""),"""")"),"")</f>
        <v/>
      </c>
    </row>
    <row r="1001" ht="15.75" customHeight="1">
      <c r="A1001" s="1" t="str">
        <f>'Справочник'!E996</f>
        <v/>
      </c>
      <c r="B1001" s="2" t="str">
        <f>IF(A1001&gt;0,SUMIF('Барабан'!K:K,A1001,'Барабан'!I:I),"")</f>
        <v/>
      </c>
      <c r="C1001" s="2" t="str">
        <f>IF(A1001&gt;0,SUMIF('Барабан'!V:V,A1001,'Барабан'!T:T),"")</f>
        <v/>
      </c>
      <c r="D1001" s="2" t="str">
        <f>IF(A1001&gt;0,SUMIF('Барабан'!K:K,A1001,'Барабан'!AG:AG)+SUMIF('Барабан'!V:V,A1001,'Барабан'!AG:AG),"")</f>
        <v/>
      </c>
      <c r="E1001" s="2" t="str">
        <f t="shared" si="1"/>
        <v/>
      </c>
      <c r="F1001" s="2" t="str">
        <f t="array" ref="F1001">IFERROR(IF(E1001=0,0,INDEX('Справочник'!G:G,MATCH(A1001,'Справочник'!F:F,0))))</f>
        <v/>
      </c>
      <c r="G1001" s="2" t="str">
        <f>IF(A1001&gt;0,SUMIF('Барабан'!K:K,A1001,'Барабан'!P:P),"")</f>
        <v/>
      </c>
      <c r="H1001" s="2" t="str">
        <f>IF(A1001&gt;0,SUMIF('Барабан'!V:V,A1001,'Барабан'!AA:AA),"")</f>
        <v/>
      </c>
      <c r="I1001" s="2" t="str">
        <f t="shared" si="4"/>
        <v/>
      </c>
      <c r="J1001" s="9" t="str">
        <f t="shared" si="2"/>
        <v/>
      </c>
      <c r="K1001" s="1" t="str">
        <f>IF(A1001&gt;0,COUNTIF('Барабан'!K:K,A1001),"")</f>
        <v/>
      </c>
      <c r="L1001" s="1" t="str">
        <f>IF(A1001&gt;0,COUNTIF('Барабан'!V:V,A1001),"")</f>
        <v/>
      </c>
      <c r="M1001" s="1" t="str">
        <f t="shared" si="3"/>
        <v/>
      </c>
      <c r="N1001" s="1" t="str">
        <f>IFERROR(__xludf.DUMMYFUNCTION("IF(A1001&gt;0,MIN(FILTER('Барабан'!AJ:AJ,'Барабан'!K:K=A1001)),"""")"),"")</f>
        <v/>
      </c>
      <c r="O1001" s="16" t="str">
        <f>IFERROR(__xludf.DUMMYFUNCTION("IF(A1001&gt;0,IFERROR(MAX(FILTER('Барабан'!AJ:AJ,'Барабан'!V:V=A1001)),""–""),"""")"),"")</f>
        <v/>
      </c>
    </row>
    <row r="1002" ht="15.75" customHeight="1">
      <c r="A1002" s="1" t="str">
        <f>'Справочник'!E997</f>
        <v/>
      </c>
      <c r="B1002" s="2" t="str">
        <f>IF(A1002&gt;0,SUMIF('Барабан'!K:K,A1002,'Барабан'!I:I),"")</f>
        <v/>
      </c>
      <c r="C1002" s="2" t="str">
        <f>IF(A1002&gt;0,SUMIF('Барабан'!V:V,A1002,'Барабан'!T:T),"")</f>
        <v/>
      </c>
      <c r="D1002" s="2" t="str">
        <f>IF(A1002&gt;0,SUMIF('Барабан'!K:K,A1002,'Барабан'!AG:AG)+SUMIF('Барабан'!V:V,A1002,'Барабан'!AG:AG),"")</f>
        <v/>
      </c>
      <c r="E1002" s="2" t="str">
        <f t="shared" si="1"/>
        <v/>
      </c>
      <c r="F1002" s="2" t="str">
        <f t="array" ref="F1002">IFERROR(IF(E1002=0,0,INDEX('Справочник'!G:G,MATCH(A1002,'Справочник'!F:F,0))))</f>
        <v/>
      </c>
      <c r="G1002" s="2" t="str">
        <f>IF(A1002&gt;0,SUMIF('Барабан'!K:K,A1002,'Барабан'!P:P),"")</f>
        <v/>
      </c>
      <c r="H1002" s="2" t="str">
        <f>IF(A1002&gt;0,SUMIF('Барабан'!V:V,A1002,'Барабан'!AA:AA),"")</f>
        <v/>
      </c>
      <c r="I1002" s="2" t="str">
        <f t="shared" si="4"/>
        <v/>
      </c>
      <c r="J1002" s="9" t="str">
        <f t="shared" si="2"/>
        <v/>
      </c>
      <c r="K1002" s="1" t="str">
        <f>IF(A1002&gt;0,COUNTIF('Барабан'!K:K,A1002),"")</f>
        <v/>
      </c>
      <c r="L1002" s="1" t="str">
        <f>IF(A1002&gt;0,COUNTIF('Барабан'!V:V,A1002),"")</f>
        <v/>
      </c>
      <c r="M1002" s="1" t="str">
        <f t="shared" si="3"/>
        <v/>
      </c>
      <c r="N1002" s="1" t="str">
        <f>IFERROR(__xludf.DUMMYFUNCTION("IF(A1002&gt;0,MIN(FILTER('Барабан'!AJ:AJ,'Барабан'!K:K=A1002)),"""")"),"")</f>
        <v/>
      </c>
      <c r="O1002" s="16" t="str">
        <f>IFERROR(__xludf.DUMMYFUNCTION("IF(A1002&gt;0,IFERROR(MAX(FILTER('Барабан'!AJ:AJ,'Барабан'!V:V=A1002)),""–""),"""")"),"")</f>
        <v/>
      </c>
    </row>
    <row r="1003" ht="15.75" customHeight="1">
      <c r="A1003" s="1" t="str">
        <f>'Справочник'!E998</f>
        <v/>
      </c>
      <c r="B1003" s="2" t="str">
        <f>IF(A1003&gt;0,SUMIF('Барабан'!K:K,A1003,'Барабан'!I:I),"")</f>
        <v/>
      </c>
      <c r="C1003" s="2" t="str">
        <f>IF(A1003&gt;0,SUMIF('Барабан'!V:V,A1003,'Барабан'!T:T),"")</f>
        <v/>
      </c>
      <c r="D1003" s="2" t="str">
        <f>IF(A1003&gt;0,SUMIF('Барабан'!K:K,A1003,'Барабан'!AG:AG)+SUMIF('Барабан'!V:V,A1003,'Барабан'!AG:AG),"")</f>
        <v/>
      </c>
      <c r="E1003" s="2" t="str">
        <f t="shared" si="1"/>
        <v/>
      </c>
      <c r="F1003" s="2" t="str">
        <f t="array" ref="F1003">IFERROR(IF(E1003=0,0,INDEX('Справочник'!G:G,MATCH(A1003,'Справочник'!F:F,0))))</f>
        <v/>
      </c>
      <c r="G1003" s="2" t="str">
        <f>IF(A1003&gt;0,SUMIF('Барабан'!K:K,A1003,'Барабан'!P:P),"")</f>
        <v/>
      </c>
      <c r="H1003" s="2" t="str">
        <f>IF(A1003&gt;0,SUMIF('Барабан'!V:V,A1003,'Барабан'!AA:AA),"")</f>
        <v/>
      </c>
      <c r="I1003" s="2" t="str">
        <f t="shared" si="4"/>
        <v/>
      </c>
      <c r="J1003" s="9" t="str">
        <f t="shared" si="2"/>
        <v/>
      </c>
      <c r="K1003" s="1" t="str">
        <f>IF(A1003&gt;0,COUNTIF('Барабан'!K:K,A1003),"")</f>
        <v/>
      </c>
      <c r="L1003" s="1" t="str">
        <f>IF(A1003&gt;0,COUNTIF('Барабан'!V:V,A1003),"")</f>
        <v/>
      </c>
      <c r="M1003" s="1" t="str">
        <f t="shared" si="3"/>
        <v/>
      </c>
      <c r="N1003" s="1" t="str">
        <f>IFERROR(__xludf.DUMMYFUNCTION("IF(A1003&gt;0,MIN(FILTER('Барабан'!AJ:AJ,'Барабан'!K:K=A1003)),"""")"),"")</f>
        <v/>
      </c>
      <c r="O1003" s="16" t="str">
        <f>IFERROR(__xludf.DUMMYFUNCTION("IF(A1003&gt;0,IFERROR(MAX(FILTER('Барабан'!AJ:AJ,'Барабан'!V:V=A1003)),""–""),"""")"),"")</f>
        <v/>
      </c>
    </row>
    <row r="1004" ht="15.75" customHeight="1">
      <c r="A1004" s="1" t="str">
        <f>'Справочник'!E999</f>
        <v/>
      </c>
      <c r="B1004" s="2" t="str">
        <f>IF(A1004&gt;0,SUMIF('Барабан'!K:K,A1004,'Барабан'!I:I),"")</f>
        <v/>
      </c>
      <c r="C1004" s="2" t="str">
        <f>IF(A1004&gt;0,SUMIF('Барабан'!V:V,A1004,'Барабан'!T:T),"")</f>
        <v/>
      </c>
      <c r="D1004" s="2" t="str">
        <f>IF(A1004&gt;0,SUMIF('Барабан'!K:K,A1004,'Барабан'!AG:AG)+SUMIF('Барабан'!V:V,A1004,'Барабан'!AG:AG),"")</f>
        <v/>
      </c>
      <c r="E1004" s="2" t="str">
        <f t="shared" si="1"/>
        <v/>
      </c>
      <c r="F1004" s="2" t="str">
        <f t="array" ref="F1004">IFERROR(IF(E1004=0,0,INDEX('Справочник'!G:G,MATCH(A1004,'Справочник'!F:F,0))))</f>
        <v/>
      </c>
      <c r="G1004" s="2" t="str">
        <f>IF(A1004&gt;0,SUMIF('Барабан'!K:K,A1004,'Барабан'!P:P),"")</f>
        <v/>
      </c>
      <c r="H1004" s="2" t="str">
        <f>IF(A1004&gt;0,SUMIF('Барабан'!V:V,A1004,'Барабан'!AA:AA),"")</f>
        <v/>
      </c>
      <c r="I1004" s="2" t="str">
        <f t="shared" si="4"/>
        <v/>
      </c>
      <c r="J1004" s="9" t="str">
        <f t="shared" si="2"/>
        <v/>
      </c>
      <c r="K1004" s="1" t="str">
        <f>IF(A1004&gt;0,COUNTIF('Барабан'!K:K,A1004),"")</f>
        <v/>
      </c>
      <c r="L1004" s="1" t="str">
        <f>IF(A1004&gt;0,COUNTIF('Барабан'!V:V,A1004),"")</f>
        <v/>
      </c>
      <c r="M1004" s="1" t="str">
        <f t="shared" si="3"/>
        <v/>
      </c>
      <c r="N1004" s="1" t="str">
        <f>IFERROR(__xludf.DUMMYFUNCTION("IF(A1004&gt;0,MIN(FILTER('Барабан'!AJ:AJ,'Барабан'!K:K=A1004)),"""")"),"")</f>
        <v/>
      </c>
      <c r="O1004" s="16" t="str">
        <f>IFERROR(__xludf.DUMMYFUNCTION("IF(A1004&gt;0,IFERROR(MAX(FILTER('Барабан'!AJ:AJ,'Барабан'!V:V=A1004)),""–""),"""")"),"")</f>
        <v/>
      </c>
    </row>
    <row r="1005" ht="15.75" customHeight="1">
      <c r="A1005" s="1" t="str">
        <f>'Справочник'!E1000</f>
        <v/>
      </c>
      <c r="B1005" s="2" t="str">
        <f>IF(A1005&gt;0,SUMIF('Барабан'!K:K,A1005,'Барабан'!I:I),"")</f>
        <v/>
      </c>
      <c r="C1005" s="2" t="str">
        <f>IF(A1005&gt;0,SUMIF('Барабан'!V:V,A1005,'Барабан'!T:T),"")</f>
        <v/>
      </c>
      <c r="D1005" s="2" t="str">
        <f>IF(A1005&gt;0,SUMIF('Барабан'!K:K,A1005,'Барабан'!AG:AG)+SUMIF('Барабан'!V:V,A1005,'Барабан'!AG:AG),"")</f>
        <v/>
      </c>
      <c r="E1005" s="2" t="str">
        <f t="shared" si="1"/>
        <v/>
      </c>
      <c r="F1005" s="2" t="str">
        <f t="array" ref="F1005">IFERROR(IF(E1005=0,0,INDEX('Справочник'!G:G,MATCH(A1005,'Справочник'!F:F,0))))</f>
        <v/>
      </c>
      <c r="G1005" s="2" t="str">
        <f>IF(A1005&gt;0,SUMIF('Барабан'!K:K,A1005,'Барабан'!P:P),"")</f>
        <v/>
      </c>
      <c r="H1005" s="2" t="str">
        <f>IF(A1005&gt;0,SUMIF('Барабан'!V:V,A1005,'Барабан'!AA:AA),"")</f>
        <v/>
      </c>
      <c r="I1005" s="2" t="str">
        <f t="shared" si="4"/>
        <v/>
      </c>
      <c r="J1005" s="9" t="str">
        <f t="shared" si="2"/>
        <v/>
      </c>
      <c r="K1005" s="1" t="str">
        <f>IF(A1005&gt;0,COUNTIF('Барабан'!K:K,A1005),"")</f>
        <v/>
      </c>
      <c r="L1005" s="1" t="str">
        <f>IF(A1005&gt;0,COUNTIF('Барабан'!V:V,A1005),"")</f>
        <v/>
      </c>
      <c r="M1005" s="1" t="str">
        <f t="shared" si="3"/>
        <v/>
      </c>
      <c r="N1005" s="1" t="str">
        <f>IFERROR(__xludf.DUMMYFUNCTION("IF(A1005&gt;0,MIN(FILTER('Барабан'!AJ:AJ,'Барабан'!K:K=A1005)),"""")"),"")</f>
        <v/>
      </c>
      <c r="O1005" s="16" t="str">
        <f>IFERROR(__xludf.DUMMYFUNCTION("IF(A1005&gt;0,IFERROR(MAX(FILTER('Барабан'!AJ:AJ,'Барабан'!V:V=A1005)),""–""),"""")"),"")</f>
        <v/>
      </c>
    </row>
  </sheetData>
  <conditionalFormatting sqref="I7:J1005">
    <cfRule type="cellIs" dxfId="0" priority="1" operator="lessThan">
      <formula>0</formula>
    </cfRule>
  </conditionalFormatting>
  <conditionalFormatting sqref="I7:J1005">
    <cfRule type="cellIs" dxfId="1" priority="2" operator="greaterThan">
      <formula>0</formula>
    </cfRule>
  </conditionalFormatting>
  <conditionalFormatting sqref="F7:F1005">
    <cfRule type="cellIs" dxfId="1" priority="3" operator="equal">
      <formula>0</formula>
    </cfRule>
  </conditionalFormatting>
  <conditionalFormatting sqref="C4">
    <cfRule type="cellIs" dxfId="1" priority="4" operator="equal">
      <formula>0</formula>
    </cfRule>
  </conditionalFormatting>
  <conditionalFormatting sqref="C4">
    <cfRule type="cellIs" dxfId="0" priority="5" operator="notEqual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.63"/>
    <col customWidth="1" min="4" max="6" width="12.63"/>
  </cols>
  <sheetData>
    <row r="1" ht="15.75" customHeight="1">
      <c r="A1" s="1" t="s">
        <v>15</v>
      </c>
      <c r="D1" s="1" t="s">
        <v>30</v>
      </c>
      <c r="E1" s="1" t="s">
        <v>31</v>
      </c>
      <c r="F1" s="1" t="s">
        <v>32</v>
      </c>
      <c r="G1" s="17" t="s">
        <v>33</v>
      </c>
      <c r="I1" s="1" t="str">
        <f>'Исходник'!T1</f>
        <v>Tx Hash</v>
      </c>
      <c r="J1" s="1" t="s">
        <v>34</v>
      </c>
      <c r="K1" s="18" t="s">
        <v>35</v>
      </c>
      <c r="L1" s="1" t="s">
        <v>36</v>
      </c>
      <c r="O1" s="19" t="s">
        <v>3</v>
      </c>
      <c r="P1" s="20"/>
    </row>
    <row r="2" ht="15.75" customHeight="1">
      <c r="A2" s="1" t="str">
        <f>IFERROR(__xludf.DUMMYFUNCTION("FILTER('Барабан'!K2:K1575,'Барабан'!D2:D1575=""trade"")"),"#N/A")</f>
        <v>#N/A</v>
      </c>
      <c r="B2" s="1" t="str">
        <f t="shared" ref="B2:B1575" si="1">IF(A2&gt;0,IF(ISNA(MATCH(A2,$D$2:$D$55,0)),1,0),"")</f>
        <v>#N/A</v>
      </c>
      <c r="D2" s="1" t="s">
        <v>37</v>
      </c>
      <c r="E2" s="1" t="str">
        <f>IFERROR(__xludf.DUMMYFUNCTION("unique(FILTER(A2:A1575,B2:B1575=1))"),"#N/A")</f>
        <v>#N/A</v>
      </c>
      <c r="F2" s="1" t="str">
        <f>IFERROR(__xludf.DUMMYFUNCTION("FILTER('Анализ'!A7:A1005,'Анализ'!E7:E1005&lt;&gt;0)"),"")</f>
        <v/>
      </c>
      <c r="G2" s="17"/>
      <c r="I2" s="1" t="str">
        <f t="shared" ref="I2:I375" si="2">#REF!</f>
        <v>#REF!</v>
      </c>
      <c r="J2" s="1" t="str">
        <f t="array" ref="J2">IFERROR(INDEX('Исходник'!$1:$626,MATCH($I2,'Исходник'!$T:$T,0),MATCH(J$1,'Исходник'!$1:$1,0)))</f>
        <v/>
      </c>
      <c r="K2" s="7" t="str">
        <f t="shared" ref="K2:K1575" si="3">IF(I2&gt;0, VALUE(LEFT(J2,10)),"")</f>
        <v>#REF!</v>
      </c>
      <c r="L2" s="1" t="str">
        <f>IF(I2&gt;0,IF(TODAY()-K2&lt;'Анализ'!$D$4+1,1,0),"")</f>
        <v>#REF!</v>
      </c>
      <c r="O2" s="21"/>
      <c r="P2" s="22"/>
    </row>
    <row r="3" ht="15.75" customHeight="1">
      <c r="A3" s="1"/>
      <c r="B3" s="1" t="str">
        <f t="shared" si="1"/>
        <v/>
      </c>
      <c r="D3" s="1" t="s">
        <v>38</v>
      </c>
      <c r="E3" s="1"/>
      <c r="F3" s="1"/>
      <c r="G3" s="17">
        <v>10630.0</v>
      </c>
      <c r="I3" s="1" t="str">
        <f t="shared" si="2"/>
        <v>#REF!</v>
      </c>
      <c r="J3" s="1" t="str">
        <f t="array" ref="J3">IFERROR(INDEX('Исходник'!$1:$626,MATCH($I3,'Исходник'!$T:$T,0),MATCH(J$1,'Исходник'!$1:$1,0)))</f>
        <v/>
      </c>
      <c r="K3" s="7" t="str">
        <f t="shared" si="3"/>
        <v>#REF!</v>
      </c>
      <c r="L3" s="1" t="str">
        <f>IF(I3&gt;0,IF(TODAY()-K3&lt;'Анализ'!$D$4+1,1,0),"")</f>
        <v>#REF!</v>
      </c>
      <c r="O3" s="23"/>
      <c r="P3" s="23"/>
    </row>
    <row r="4" ht="15.75" customHeight="1">
      <c r="A4" s="1"/>
      <c r="B4" s="1" t="str">
        <f t="shared" si="1"/>
        <v/>
      </c>
      <c r="D4" s="1" t="s">
        <v>39</v>
      </c>
      <c r="E4" s="1"/>
      <c r="F4" s="1"/>
      <c r="G4" s="17">
        <v>4123.0</v>
      </c>
      <c r="I4" s="1" t="str">
        <f t="shared" si="2"/>
        <v>#REF!</v>
      </c>
      <c r="J4" s="1" t="str">
        <f t="array" ref="J4">IFERROR(INDEX('Исходник'!$1:$626,MATCH($I4,'Исходник'!$T:$T,0),MATCH(J$1,'Исходник'!$1:$1,0)))</f>
        <v/>
      </c>
      <c r="K4" s="7" t="str">
        <f t="shared" si="3"/>
        <v>#REF!</v>
      </c>
      <c r="L4" s="1" t="str">
        <f>IF(I4&gt;0,IF(TODAY()-K4&lt;'Анализ'!$D$4+1,1,0),"")</f>
        <v>#REF!</v>
      </c>
      <c r="O4" s="1" t="b">
        <v>0</v>
      </c>
      <c r="P4" s="23" t="s">
        <v>40</v>
      </c>
    </row>
    <row r="5" ht="15.75" customHeight="1">
      <c r="A5" s="1"/>
      <c r="B5" s="1" t="str">
        <f t="shared" si="1"/>
        <v/>
      </c>
      <c r="D5" s="1" t="s">
        <v>41</v>
      </c>
      <c r="E5" s="1"/>
      <c r="F5" s="1"/>
      <c r="G5" s="17"/>
      <c r="I5" s="1" t="str">
        <f t="shared" si="2"/>
        <v>#REF!</v>
      </c>
      <c r="J5" s="1" t="str">
        <f t="array" ref="J5">IFERROR(INDEX('Исходник'!$1:$626,MATCH($I5,'Исходник'!$T:$T,0),MATCH(J$1,'Исходник'!$1:$1,0)))</f>
        <v/>
      </c>
      <c r="K5" s="7" t="str">
        <f t="shared" si="3"/>
        <v>#REF!</v>
      </c>
      <c r="L5" s="1" t="str">
        <f>IF(I5&gt;0,IF(TODAY()-K5&lt;'Анализ'!$D$4+1,1,0),"")</f>
        <v>#REF!</v>
      </c>
      <c r="O5" s="1" t="b">
        <v>0</v>
      </c>
      <c r="P5" s="23" t="s">
        <v>42</v>
      </c>
    </row>
    <row r="6" ht="15.75" customHeight="1">
      <c r="A6" s="1"/>
      <c r="B6" s="1" t="str">
        <f t="shared" si="1"/>
        <v/>
      </c>
      <c r="D6" s="1" t="s">
        <v>43</v>
      </c>
      <c r="E6" s="1"/>
      <c r="F6" s="1"/>
      <c r="G6" s="17"/>
      <c r="I6" s="1" t="str">
        <f t="shared" si="2"/>
        <v>#REF!</v>
      </c>
      <c r="J6" s="1" t="str">
        <f t="array" ref="J6">IFERROR(INDEX('Исходник'!$1:$626,MATCH($I6,'Исходник'!$T:$T,0),MATCH(J$1,'Исходник'!$1:$1,0)))</f>
        <v/>
      </c>
      <c r="K6" s="7" t="str">
        <f t="shared" si="3"/>
        <v>#REF!</v>
      </c>
      <c r="L6" s="1" t="str">
        <f>IF(I6&gt;0,IF(TODAY()-K6&lt;'Анализ'!$D$4+1,1,0),"")</f>
        <v>#REF!</v>
      </c>
      <c r="O6" s="1" t="b">
        <v>0</v>
      </c>
      <c r="P6" s="23" t="s">
        <v>44</v>
      </c>
    </row>
    <row r="7" ht="15.75" customHeight="1">
      <c r="A7" s="1"/>
      <c r="B7" s="1" t="str">
        <f t="shared" si="1"/>
        <v/>
      </c>
      <c r="D7" s="1" t="s">
        <v>45</v>
      </c>
      <c r="E7" s="1"/>
      <c r="F7" s="1"/>
      <c r="G7" s="17"/>
      <c r="I7" s="1" t="str">
        <f t="shared" si="2"/>
        <v>#REF!</v>
      </c>
      <c r="J7" s="1" t="str">
        <f t="array" ref="J7">IFERROR(INDEX('Исходник'!$1:$626,MATCH($I7,'Исходник'!$T:$T,0),MATCH(J$1,'Исходник'!$1:$1,0)))</f>
        <v/>
      </c>
      <c r="K7" s="7" t="str">
        <f t="shared" si="3"/>
        <v>#REF!</v>
      </c>
      <c r="L7" s="1" t="str">
        <f>IF(I7&gt;0,IF(TODAY()-K7&lt;'Анализ'!$D$4+1,1,0),"")</f>
        <v>#REF!</v>
      </c>
      <c r="O7" s="1" t="b">
        <v>0</v>
      </c>
      <c r="P7" s="23" t="s">
        <v>46</v>
      </c>
    </row>
    <row r="8" ht="15.75" customHeight="1">
      <c r="A8" s="1"/>
      <c r="B8" s="1" t="str">
        <f t="shared" si="1"/>
        <v/>
      </c>
      <c r="D8" s="1" t="s">
        <v>47</v>
      </c>
      <c r="E8" s="1"/>
      <c r="F8" s="1"/>
      <c r="G8" s="17"/>
      <c r="I8" s="1" t="str">
        <f t="shared" si="2"/>
        <v>#REF!</v>
      </c>
      <c r="J8" s="1" t="str">
        <f t="array" ref="J8">IFERROR(INDEX('Исходник'!$1:$626,MATCH($I8,'Исходник'!$T:$T,0),MATCH(J$1,'Исходник'!$1:$1,0)))</f>
        <v/>
      </c>
      <c r="K8" s="7" t="str">
        <f t="shared" si="3"/>
        <v>#REF!</v>
      </c>
      <c r="L8" s="1" t="str">
        <f>IF(I8&gt;0,IF(TODAY()-K8&lt;'Анализ'!$D$4+1,1,0),"")</f>
        <v>#REF!</v>
      </c>
      <c r="O8" s="1" t="b">
        <v>0</v>
      </c>
      <c r="P8" s="23" t="s">
        <v>48</v>
      </c>
    </row>
    <row r="9" ht="15.75" customHeight="1">
      <c r="A9" s="1"/>
      <c r="B9" s="1" t="str">
        <f t="shared" si="1"/>
        <v/>
      </c>
      <c r="D9" s="1" t="s">
        <v>49</v>
      </c>
      <c r="E9" s="1"/>
      <c r="F9" s="1"/>
      <c r="G9" s="17"/>
      <c r="I9" s="1" t="str">
        <f t="shared" si="2"/>
        <v>#REF!</v>
      </c>
      <c r="J9" s="1" t="str">
        <f t="array" ref="J9">IFERROR(INDEX('Исходник'!$1:$626,MATCH($I9,'Исходник'!$T:$T,0),MATCH(J$1,'Исходник'!$1:$1,0)))</f>
        <v/>
      </c>
      <c r="K9" s="7" t="str">
        <f t="shared" si="3"/>
        <v>#REF!</v>
      </c>
      <c r="L9" s="1" t="str">
        <f>IF(I9&gt;0,IF(TODAY()-K9&lt;'Анализ'!$D$4+1,1,0),"")</f>
        <v>#REF!</v>
      </c>
      <c r="O9" s="1" t="b">
        <v>0</v>
      </c>
      <c r="P9" s="23" t="s">
        <v>50</v>
      </c>
    </row>
    <row r="10" ht="15.75" customHeight="1">
      <c r="A10" s="1"/>
      <c r="B10" s="1" t="str">
        <f t="shared" si="1"/>
        <v/>
      </c>
      <c r="E10" s="1"/>
      <c r="F10" s="1"/>
      <c r="G10" s="17"/>
      <c r="I10" s="1" t="str">
        <f t="shared" si="2"/>
        <v>#REF!</v>
      </c>
      <c r="J10" s="1" t="str">
        <f t="array" ref="J10">IFERROR(INDEX('Исходник'!$1:$626,MATCH($I10,'Исходник'!$T:$T,0),MATCH(J$1,'Исходник'!$1:$1,0)))</f>
        <v/>
      </c>
      <c r="K10" s="7" t="str">
        <f t="shared" si="3"/>
        <v>#REF!</v>
      </c>
      <c r="L10" s="1" t="str">
        <f>IF(I10&gt;0,IF(TODAY()-K10&lt;'Анализ'!$D$4+1,1,0),"")</f>
        <v>#REF!</v>
      </c>
      <c r="O10" s="1" t="b">
        <v>0</v>
      </c>
      <c r="P10" s="23" t="s">
        <v>51</v>
      </c>
    </row>
    <row r="11" ht="15.75" customHeight="1">
      <c r="A11" s="1"/>
      <c r="B11" s="1" t="str">
        <f t="shared" si="1"/>
        <v/>
      </c>
      <c r="E11" s="1"/>
      <c r="F11" s="1"/>
      <c r="G11" s="17"/>
      <c r="I11" s="1" t="str">
        <f t="shared" si="2"/>
        <v>#REF!</v>
      </c>
      <c r="J11" s="1" t="str">
        <f t="array" ref="J11">IFERROR(INDEX('Исходник'!$1:$626,MATCH($I11,'Исходник'!$T:$T,0),MATCH(J$1,'Исходник'!$1:$1,0)))</f>
        <v/>
      </c>
      <c r="K11" s="7" t="str">
        <f t="shared" si="3"/>
        <v>#REF!</v>
      </c>
      <c r="L11" s="1" t="str">
        <f>IF(I11&gt;0,IF(TODAY()-K11&lt;'Анализ'!$D$4+1,1,0),"")</f>
        <v>#REF!</v>
      </c>
      <c r="O11" s="1" t="b">
        <v>0</v>
      </c>
      <c r="P11" s="23" t="s">
        <v>52</v>
      </c>
    </row>
    <row r="12" ht="15.75" customHeight="1">
      <c r="A12" s="1"/>
      <c r="B12" s="1" t="str">
        <f t="shared" si="1"/>
        <v/>
      </c>
      <c r="E12" s="1"/>
      <c r="F12" s="1"/>
      <c r="G12" s="17"/>
      <c r="I12" s="1" t="str">
        <f t="shared" si="2"/>
        <v>#REF!</v>
      </c>
      <c r="J12" s="1" t="str">
        <f t="array" ref="J12">IFERROR(INDEX('Исходник'!$1:$626,MATCH($I12,'Исходник'!$T:$T,0),MATCH(J$1,'Исходник'!$1:$1,0)))</f>
        <v/>
      </c>
      <c r="K12" s="7" t="str">
        <f t="shared" si="3"/>
        <v>#REF!</v>
      </c>
      <c r="L12" s="1" t="str">
        <f>IF(I12&gt;0,IF(TODAY()-K12&lt;'Анализ'!$D$4+1,1,0),"")</f>
        <v>#REF!</v>
      </c>
      <c r="O12" s="1" t="b">
        <v>0</v>
      </c>
      <c r="P12" s="23" t="s">
        <v>53</v>
      </c>
    </row>
    <row r="13" ht="15.75" customHeight="1">
      <c r="A13" s="1"/>
      <c r="B13" s="1" t="str">
        <f t="shared" si="1"/>
        <v/>
      </c>
      <c r="F13" s="1"/>
      <c r="G13" s="17"/>
      <c r="I13" s="1" t="str">
        <f t="shared" si="2"/>
        <v>#REF!</v>
      </c>
      <c r="J13" s="1" t="str">
        <f t="array" ref="J13">IFERROR(INDEX('Исходник'!$1:$626,MATCH($I13,'Исходник'!$T:$T,0),MATCH(J$1,'Исходник'!$1:$1,0)))</f>
        <v/>
      </c>
      <c r="K13" s="7" t="str">
        <f t="shared" si="3"/>
        <v>#REF!</v>
      </c>
      <c r="L13" s="1" t="str">
        <f>IF(I13&gt;0,IF(TODAY()-K13&lt;'Анализ'!$D$4+1,1,0),"")</f>
        <v>#REF!</v>
      </c>
      <c r="O13" s="1" t="b">
        <v>0</v>
      </c>
      <c r="P13" s="23" t="s">
        <v>54</v>
      </c>
    </row>
    <row r="14" ht="15.75" customHeight="1">
      <c r="A14" s="1"/>
      <c r="B14" s="1" t="str">
        <f t="shared" si="1"/>
        <v/>
      </c>
      <c r="F14" s="1"/>
      <c r="G14" s="17"/>
      <c r="I14" s="1" t="str">
        <f t="shared" si="2"/>
        <v>#REF!</v>
      </c>
      <c r="J14" s="1" t="str">
        <f t="array" ref="J14">IFERROR(INDEX('Исходник'!$1:$626,MATCH($I14,'Исходник'!$T:$T,0),MATCH(J$1,'Исходник'!$1:$1,0)))</f>
        <v/>
      </c>
      <c r="K14" s="7" t="str">
        <f t="shared" si="3"/>
        <v>#REF!</v>
      </c>
      <c r="L14" s="1" t="str">
        <f>IF(I14&gt;0,IF(TODAY()-K14&lt;'Анализ'!$D$4+1,1,0),"")</f>
        <v>#REF!</v>
      </c>
      <c r="O14" s="24">
        <f>COUNTIF(O4:O13,TRUE())</f>
        <v>0</v>
      </c>
      <c r="P14" s="25" t="str">
        <f>IF(O14&gt;8,"Кошелек подходит для слежения",IF(O14&gt;6,"Кошелек можно добавить в базу, ждём улучшения показателей","Кошелек не подходит по параметрам"))</f>
        <v>Кошелек не подходит по параметрам</v>
      </c>
    </row>
    <row r="15" ht="15.75" customHeight="1">
      <c r="A15" s="1"/>
      <c r="B15" s="1" t="str">
        <f t="shared" si="1"/>
        <v/>
      </c>
      <c r="F15" s="1"/>
      <c r="G15" s="17"/>
      <c r="I15" s="1" t="str">
        <f t="shared" si="2"/>
        <v>#REF!</v>
      </c>
      <c r="J15" s="1" t="str">
        <f t="array" ref="J15">IFERROR(INDEX('Исходник'!$1:$626,MATCH($I15,'Исходник'!$T:$T,0),MATCH(J$1,'Исходник'!$1:$1,0)))</f>
        <v/>
      </c>
      <c r="K15" s="7" t="str">
        <f t="shared" si="3"/>
        <v>#REF!</v>
      </c>
      <c r="L15" s="1" t="str">
        <f>IF(I15&gt;0,IF(TODAY()-K15&lt;'Анализ'!$D$4+1,1,0),"")</f>
        <v>#REF!</v>
      </c>
    </row>
    <row r="16" ht="15.75" customHeight="1">
      <c r="A16" s="1"/>
      <c r="B16" s="1" t="str">
        <f t="shared" si="1"/>
        <v/>
      </c>
      <c r="F16" s="1"/>
      <c r="G16" s="17"/>
      <c r="I16" s="1" t="str">
        <f t="shared" si="2"/>
        <v>#REF!</v>
      </c>
      <c r="J16" s="1" t="str">
        <f t="array" ref="J16">IFERROR(INDEX('Исходник'!$1:$626,MATCH($I16,'Исходник'!$T:$T,0),MATCH(J$1,'Исходник'!$1:$1,0)))</f>
        <v/>
      </c>
      <c r="K16" s="7" t="str">
        <f t="shared" si="3"/>
        <v>#REF!</v>
      </c>
      <c r="L16" s="1" t="str">
        <f>IF(I16&gt;0,IF(TODAY()-K16&lt;'Анализ'!$D$4+1,1,0),"")</f>
        <v>#REF!</v>
      </c>
    </row>
    <row r="17" ht="15.75" customHeight="1">
      <c r="A17" s="1"/>
      <c r="B17" s="1" t="str">
        <f t="shared" si="1"/>
        <v/>
      </c>
      <c r="F17" s="1"/>
      <c r="G17" s="17"/>
      <c r="I17" s="1" t="str">
        <f t="shared" si="2"/>
        <v>#REF!</v>
      </c>
      <c r="J17" s="1" t="str">
        <f t="array" ref="J17">IFERROR(INDEX('Исходник'!$1:$626,MATCH($I17,'Исходник'!$T:$T,0),MATCH(J$1,'Исходник'!$1:$1,0)))</f>
        <v/>
      </c>
      <c r="K17" s="7" t="str">
        <f t="shared" si="3"/>
        <v>#REF!</v>
      </c>
      <c r="L17" s="1" t="str">
        <f>IF(I17&gt;0,IF(TODAY()-K17&lt;'Анализ'!$D$4+1,1,0),"")</f>
        <v>#REF!</v>
      </c>
    </row>
    <row r="18" ht="15.75" customHeight="1">
      <c r="A18" s="1"/>
      <c r="B18" s="1" t="str">
        <f t="shared" si="1"/>
        <v/>
      </c>
      <c r="F18" s="1"/>
      <c r="G18" s="17"/>
      <c r="I18" s="1" t="str">
        <f t="shared" si="2"/>
        <v>#REF!</v>
      </c>
      <c r="J18" s="1" t="str">
        <f t="array" ref="J18">IFERROR(INDEX('Исходник'!$1:$626,MATCH($I18,'Исходник'!$T:$T,0),MATCH(J$1,'Исходник'!$1:$1,0)))</f>
        <v/>
      </c>
      <c r="K18" s="7" t="str">
        <f t="shared" si="3"/>
        <v>#REF!</v>
      </c>
      <c r="L18" s="1" t="str">
        <f>IF(I18&gt;0,IF(TODAY()-K18&lt;'Анализ'!$D$4+1,1,0),"")</f>
        <v>#REF!</v>
      </c>
    </row>
    <row r="19" ht="15.75" customHeight="1">
      <c r="A19" s="1"/>
      <c r="B19" s="1" t="str">
        <f t="shared" si="1"/>
        <v/>
      </c>
      <c r="F19" s="1"/>
      <c r="G19" s="17"/>
      <c r="I19" s="1" t="str">
        <f t="shared" si="2"/>
        <v>#REF!</v>
      </c>
      <c r="J19" s="1" t="str">
        <f t="array" ref="J19">IFERROR(INDEX('Исходник'!$1:$626,MATCH($I19,'Исходник'!$T:$T,0),MATCH(J$1,'Исходник'!$1:$1,0)))</f>
        <v/>
      </c>
      <c r="K19" s="7" t="str">
        <f t="shared" si="3"/>
        <v>#REF!</v>
      </c>
      <c r="L19" s="1" t="str">
        <f>IF(I19&gt;0,IF(TODAY()-K19&lt;'Анализ'!$D$4+1,1,0),"")</f>
        <v>#REF!</v>
      </c>
    </row>
    <row r="20" ht="15.75" customHeight="1">
      <c r="A20" s="1"/>
      <c r="B20" s="1" t="str">
        <f t="shared" si="1"/>
        <v/>
      </c>
      <c r="F20" s="1"/>
      <c r="G20" s="17"/>
      <c r="I20" s="1" t="str">
        <f t="shared" si="2"/>
        <v>#REF!</v>
      </c>
      <c r="J20" s="1" t="str">
        <f t="array" ref="J20">IFERROR(INDEX('Исходник'!$1:$626,MATCH($I20,'Исходник'!$T:$T,0),MATCH(J$1,'Исходник'!$1:$1,0)))</f>
        <v/>
      </c>
      <c r="K20" s="7" t="str">
        <f t="shared" si="3"/>
        <v>#REF!</v>
      </c>
      <c r="L20" s="1" t="str">
        <f>IF(I20&gt;0,IF(TODAY()-K20&lt;'Анализ'!$D$4+1,1,0),"")</f>
        <v>#REF!</v>
      </c>
    </row>
    <row r="21" ht="15.75" customHeight="1">
      <c r="A21" s="1"/>
      <c r="B21" s="1" t="str">
        <f t="shared" si="1"/>
        <v/>
      </c>
      <c r="F21" s="1"/>
      <c r="G21" s="17"/>
      <c r="I21" s="1" t="str">
        <f t="shared" si="2"/>
        <v>#REF!</v>
      </c>
      <c r="J21" s="1" t="str">
        <f t="array" ref="J21">IFERROR(INDEX('Исходник'!$1:$626,MATCH($I21,'Исходник'!$T:$T,0),MATCH(J$1,'Исходник'!$1:$1,0)))</f>
        <v/>
      </c>
      <c r="K21" s="7" t="str">
        <f t="shared" si="3"/>
        <v>#REF!</v>
      </c>
      <c r="L21" s="1" t="str">
        <f>IF(I21&gt;0,IF(TODAY()-K21&lt;'Анализ'!$D$4+1,1,0),"")</f>
        <v>#REF!</v>
      </c>
    </row>
    <row r="22" ht="15.75" customHeight="1">
      <c r="A22" s="1"/>
      <c r="B22" s="1" t="str">
        <f t="shared" si="1"/>
        <v/>
      </c>
      <c r="F22" s="1"/>
      <c r="G22" s="17"/>
      <c r="I22" s="1" t="str">
        <f t="shared" si="2"/>
        <v>#REF!</v>
      </c>
      <c r="J22" s="1" t="str">
        <f t="array" ref="J22">IFERROR(INDEX('Исходник'!$1:$626,MATCH($I22,'Исходник'!$T:$T,0),MATCH(J$1,'Исходник'!$1:$1,0)))</f>
        <v/>
      </c>
      <c r="K22" s="7" t="str">
        <f t="shared" si="3"/>
        <v>#REF!</v>
      </c>
      <c r="L22" s="1" t="str">
        <f>IF(I22&gt;0,IF(TODAY()-K22&lt;'Анализ'!$D$4+1,1,0),"")</f>
        <v>#REF!</v>
      </c>
    </row>
    <row r="23" ht="15.75" customHeight="1">
      <c r="A23" s="1"/>
      <c r="B23" s="1" t="str">
        <f t="shared" si="1"/>
        <v/>
      </c>
      <c r="F23" s="1"/>
      <c r="G23" s="17"/>
      <c r="I23" s="1" t="str">
        <f t="shared" si="2"/>
        <v>#REF!</v>
      </c>
      <c r="J23" s="1" t="str">
        <f t="array" ref="J23">IFERROR(INDEX('Исходник'!$1:$626,MATCH($I23,'Исходник'!$T:$T,0),MATCH(J$1,'Исходник'!$1:$1,0)))</f>
        <v/>
      </c>
      <c r="K23" s="7" t="str">
        <f t="shared" si="3"/>
        <v>#REF!</v>
      </c>
      <c r="L23" s="1" t="str">
        <f>IF(I23&gt;0,IF(TODAY()-K23&lt;'Анализ'!$D$4+1,1,0),"")</f>
        <v>#REF!</v>
      </c>
    </row>
    <row r="24" ht="15.75" customHeight="1">
      <c r="A24" s="1"/>
      <c r="B24" s="1" t="str">
        <f t="shared" si="1"/>
        <v/>
      </c>
      <c r="F24" s="1"/>
      <c r="G24" s="17"/>
      <c r="I24" s="1" t="str">
        <f t="shared" si="2"/>
        <v>#REF!</v>
      </c>
      <c r="J24" s="1" t="str">
        <f t="array" ref="J24">IFERROR(INDEX('Исходник'!$1:$626,MATCH($I24,'Исходник'!$T:$T,0),MATCH(J$1,'Исходник'!$1:$1,0)))</f>
        <v/>
      </c>
      <c r="K24" s="7" t="str">
        <f t="shared" si="3"/>
        <v>#REF!</v>
      </c>
      <c r="L24" s="1" t="str">
        <f>IF(I24&gt;0,IF(TODAY()-K24&lt;'Анализ'!$D$4+1,1,0),"")</f>
        <v>#REF!</v>
      </c>
    </row>
    <row r="25" ht="15.75" customHeight="1">
      <c r="A25" s="1"/>
      <c r="B25" s="1" t="str">
        <f t="shared" si="1"/>
        <v/>
      </c>
      <c r="F25" s="1"/>
      <c r="G25" s="17"/>
      <c r="I25" s="1" t="str">
        <f t="shared" si="2"/>
        <v>#REF!</v>
      </c>
      <c r="J25" s="1" t="str">
        <f t="array" ref="J25">IFERROR(INDEX('Исходник'!$1:$626,MATCH($I25,'Исходник'!$T:$T,0),MATCH(J$1,'Исходник'!$1:$1,0)))</f>
        <v/>
      </c>
      <c r="K25" s="7" t="str">
        <f t="shared" si="3"/>
        <v>#REF!</v>
      </c>
      <c r="L25" s="1" t="str">
        <f>IF(I25&gt;0,IF(TODAY()-K25&lt;'Анализ'!$D$4+1,1,0),"")</f>
        <v>#REF!</v>
      </c>
    </row>
    <row r="26" ht="15.75" customHeight="1">
      <c r="A26" s="1"/>
      <c r="B26" s="1" t="str">
        <f t="shared" si="1"/>
        <v/>
      </c>
      <c r="F26" s="1"/>
      <c r="G26" s="17"/>
      <c r="I26" s="1" t="str">
        <f t="shared" si="2"/>
        <v>#REF!</v>
      </c>
      <c r="J26" s="1" t="str">
        <f t="array" ref="J26">IFERROR(INDEX('Исходник'!$1:$626,MATCH($I26,'Исходник'!$T:$T,0),MATCH(J$1,'Исходник'!$1:$1,0)))</f>
        <v/>
      </c>
      <c r="K26" s="7" t="str">
        <f t="shared" si="3"/>
        <v>#REF!</v>
      </c>
      <c r="L26" s="1" t="str">
        <f>IF(I26&gt;0,IF(TODAY()-K26&lt;'Анализ'!$D$4+1,1,0),"")</f>
        <v>#REF!</v>
      </c>
    </row>
    <row r="27" ht="15.75" customHeight="1">
      <c r="A27" s="1"/>
      <c r="B27" s="1" t="str">
        <f t="shared" si="1"/>
        <v/>
      </c>
      <c r="F27" s="1"/>
      <c r="G27" s="17"/>
      <c r="I27" s="1" t="str">
        <f t="shared" si="2"/>
        <v>#REF!</v>
      </c>
      <c r="J27" s="1" t="str">
        <f t="array" ref="J27">IFERROR(INDEX('Исходник'!$1:$626,MATCH($I27,'Исходник'!$T:$T,0),MATCH(J$1,'Исходник'!$1:$1,0)))</f>
        <v/>
      </c>
      <c r="K27" s="7" t="str">
        <f t="shared" si="3"/>
        <v>#REF!</v>
      </c>
      <c r="L27" s="1" t="str">
        <f>IF(I27&gt;0,IF(TODAY()-K27&lt;'Анализ'!$D$4+1,1,0),"")</f>
        <v>#REF!</v>
      </c>
    </row>
    <row r="28" ht="15.75" customHeight="1">
      <c r="A28" s="1"/>
      <c r="B28" s="1" t="str">
        <f t="shared" si="1"/>
        <v/>
      </c>
      <c r="F28" s="1"/>
      <c r="G28" s="17"/>
      <c r="I28" s="1" t="str">
        <f t="shared" si="2"/>
        <v>#REF!</v>
      </c>
      <c r="J28" s="1" t="str">
        <f t="array" ref="J28">IFERROR(INDEX('Исходник'!$1:$626,MATCH($I28,'Исходник'!$T:$T,0),MATCH(J$1,'Исходник'!$1:$1,0)))</f>
        <v/>
      </c>
      <c r="K28" s="7" t="str">
        <f t="shared" si="3"/>
        <v>#REF!</v>
      </c>
      <c r="L28" s="1" t="str">
        <f>IF(I28&gt;0,IF(TODAY()-K28&lt;'Анализ'!$D$4+1,1,0),"")</f>
        <v>#REF!</v>
      </c>
    </row>
    <row r="29" ht="15.75" customHeight="1">
      <c r="A29" s="1"/>
      <c r="B29" s="1" t="str">
        <f t="shared" si="1"/>
        <v/>
      </c>
      <c r="F29" s="1"/>
      <c r="G29" s="17"/>
      <c r="I29" s="1" t="str">
        <f t="shared" si="2"/>
        <v>#REF!</v>
      </c>
      <c r="J29" s="1" t="str">
        <f t="array" ref="J29">IFERROR(INDEX('Исходник'!$1:$626,MATCH($I29,'Исходник'!$T:$T,0),MATCH(J$1,'Исходник'!$1:$1,0)))</f>
        <v/>
      </c>
      <c r="K29" s="7" t="str">
        <f t="shared" si="3"/>
        <v>#REF!</v>
      </c>
      <c r="L29" s="1" t="str">
        <f>IF(I29&gt;0,IF(TODAY()-K29&lt;'Анализ'!$D$4+1,1,0),"")</f>
        <v>#REF!</v>
      </c>
    </row>
    <row r="30" ht="15.75" customHeight="1">
      <c r="A30" s="1"/>
      <c r="B30" s="1" t="str">
        <f t="shared" si="1"/>
        <v/>
      </c>
      <c r="F30" s="1"/>
      <c r="G30" s="17"/>
      <c r="I30" s="1" t="str">
        <f t="shared" si="2"/>
        <v>#REF!</v>
      </c>
      <c r="J30" s="1" t="str">
        <f t="array" ref="J30">IFERROR(INDEX('Исходник'!$1:$626,MATCH($I30,'Исходник'!$T:$T,0),MATCH(J$1,'Исходник'!$1:$1,0)))</f>
        <v/>
      </c>
      <c r="K30" s="7" t="str">
        <f t="shared" si="3"/>
        <v>#REF!</v>
      </c>
      <c r="L30" s="1" t="str">
        <f>IF(I30&gt;0,IF(TODAY()-K30&lt;'Анализ'!$D$4+1,1,0),"")</f>
        <v>#REF!</v>
      </c>
    </row>
    <row r="31" ht="15.75" customHeight="1">
      <c r="A31" s="1"/>
      <c r="B31" s="1" t="str">
        <f t="shared" si="1"/>
        <v/>
      </c>
      <c r="F31" s="1"/>
      <c r="G31" s="17"/>
      <c r="I31" s="1" t="str">
        <f t="shared" si="2"/>
        <v>#REF!</v>
      </c>
      <c r="J31" s="1" t="str">
        <f t="array" ref="J31">IFERROR(INDEX('Исходник'!$1:$626,MATCH($I31,'Исходник'!$T:$T,0),MATCH(J$1,'Исходник'!$1:$1,0)))</f>
        <v/>
      </c>
      <c r="K31" s="7" t="str">
        <f t="shared" si="3"/>
        <v>#REF!</v>
      </c>
      <c r="L31" s="1" t="str">
        <f>IF(I31&gt;0,IF(TODAY()-K31&lt;'Анализ'!$D$4+1,1,0),"")</f>
        <v>#REF!</v>
      </c>
    </row>
    <row r="32" ht="15.75" customHeight="1">
      <c r="A32" s="1"/>
      <c r="B32" s="1" t="str">
        <f t="shared" si="1"/>
        <v/>
      </c>
      <c r="F32" s="1"/>
      <c r="G32" s="17"/>
      <c r="I32" s="1" t="str">
        <f t="shared" si="2"/>
        <v>#REF!</v>
      </c>
      <c r="J32" s="1" t="str">
        <f t="array" ref="J32">IFERROR(INDEX('Исходник'!$1:$626,MATCH($I32,'Исходник'!$T:$T,0),MATCH(J$1,'Исходник'!$1:$1,0)))</f>
        <v/>
      </c>
      <c r="K32" s="7" t="str">
        <f t="shared" si="3"/>
        <v>#REF!</v>
      </c>
      <c r="L32" s="1" t="str">
        <f>IF(I32&gt;0,IF(TODAY()-K32&lt;'Анализ'!$D$4+1,1,0),"")</f>
        <v>#REF!</v>
      </c>
    </row>
    <row r="33" ht="15.75" customHeight="1">
      <c r="A33" s="1"/>
      <c r="B33" s="1" t="str">
        <f t="shared" si="1"/>
        <v/>
      </c>
      <c r="F33" s="1"/>
      <c r="G33" s="17"/>
      <c r="I33" s="1" t="str">
        <f t="shared" si="2"/>
        <v>#REF!</v>
      </c>
      <c r="J33" s="1" t="str">
        <f t="array" ref="J33">IFERROR(INDEX('Исходник'!$1:$626,MATCH($I33,'Исходник'!$T:$T,0),MATCH(J$1,'Исходник'!$1:$1,0)))</f>
        <v/>
      </c>
      <c r="K33" s="7" t="str">
        <f t="shared" si="3"/>
        <v>#REF!</v>
      </c>
      <c r="L33" s="1" t="str">
        <f>IF(I33&gt;0,IF(TODAY()-K33&lt;'Анализ'!$D$4+1,1,0),"")</f>
        <v>#REF!</v>
      </c>
    </row>
    <row r="34" ht="15.75" customHeight="1">
      <c r="A34" s="1"/>
      <c r="B34" s="1" t="str">
        <f t="shared" si="1"/>
        <v/>
      </c>
      <c r="F34" s="1"/>
      <c r="G34" s="17"/>
      <c r="I34" s="1" t="str">
        <f t="shared" si="2"/>
        <v>#REF!</v>
      </c>
      <c r="J34" s="1" t="str">
        <f t="array" ref="J34">IFERROR(INDEX('Исходник'!$1:$626,MATCH($I34,'Исходник'!$T:$T,0),MATCH(J$1,'Исходник'!$1:$1,0)))</f>
        <v/>
      </c>
      <c r="K34" s="7" t="str">
        <f t="shared" si="3"/>
        <v>#REF!</v>
      </c>
      <c r="L34" s="1" t="str">
        <f>IF(I34&gt;0,IF(TODAY()-K34&lt;'Анализ'!$D$4+1,1,0),"")</f>
        <v>#REF!</v>
      </c>
    </row>
    <row r="35" ht="15.75" customHeight="1">
      <c r="A35" s="1"/>
      <c r="B35" s="1" t="str">
        <f t="shared" si="1"/>
        <v/>
      </c>
      <c r="F35" s="1"/>
      <c r="G35" s="17"/>
      <c r="I35" s="1" t="str">
        <f t="shared" si="2"/>
        <v>#REF!</v>
      </c>
      <c r="J35" s="1" t="str">
        <f t="array" ref="J35">IFERROR(INDEX('Исходник'!$1:$626,MATCH($I35,'Исходник'!$T:$T,0),MATCH(J$1,'Исходник'!$1:$1,0)))</f>
        <v/>
      </c>
      <c r="K35" s="7" t="str">
        <f t="shared" si="3"/>
        <v>#REF!</v>
      </c>
      <c r="L35" s="1" t="str">
        <f>IF(I35&gt;0,IF(TODAY()-K35&lt;'Анализ'!$D$4+1,1,0),"")</f>
        <v>#REF!</v>
      </c>
    </row>
    <row r="36" ht="15.75" customHeight="1">
      <c r="A36" s="1"/>
      <c r="B36" s="1" t="str">
        <f t="shared" si="1"/>
        <v/>
      </c>
      <c r="F36" s="1"/>
      <c r="G36" s="17"/>
      <c r="I36" s="1" t="str">
        <f t="shared" si="2"/>
        <v>#REF!</v>
      </c>
      <c r="J36" s="1" t="str">
        <f t="array" ref="J36">IFERROR(INDEX('Исходник'!$1:$626,MATCH($I36,'Исходник'!$T:$T,0),MATCH(J$1,'Исходник'!$1:$1,0)))</f>
        <v/>
      </c>
      <c r="K36" s="7" t="str">
        <f t="shared" si="3"/>
        <v>#REF!</v>
      </c>
      <c r="L36" s="1" t="str">
        <f>IF(I36&gt;0,IF(TODAY()-K36&lt;'Анализ'!$D$4+1,1,0),"")</f>
        <v>#REF!</v>
      </c>
    </row>
    <row r="37" ht="15.75" customHeight="1">
      <c r="A37" s="1"/>
      <c r="B37" s="1" t="str">
        <f t="shared" si="1"/>
        <v/>
      </c>
      <c r="F37" s="1"/>
      <c r="G37" s="17"/>
      <c r="I37" s="1" t="str">
        <f t="shared" si="2"/>
        <v>#REF!</v>
      </c>
      <c r="J37" s="1" t="str">
        <f t="array" ref="J37">IFERROR(INDEX('Исходник'!$1:$626,MATCH($I37,'Исходник'!$T:$T,0),MATCH(J$1,'Исходник'!$1:$1,0)))</f>
        <v/>
      </c>
      <c r="K37" s="7" t="str">
        <f t="shared" si="3"/>
        <v>#REF!</v>
      </c>
      <c r="L37" s="1" t="str">
        <f>IF(I37&gt;0,IF(TODAY()-K37&lt;'Анализ'!$D$4+1,1,0),"")</f>
        <v>#REF!</v>
      </c>
    </row>
    <row r="38" ht="15.75" customHeight="1">
      <c r="A38" s="1"/>
      <c r="B38" s="1" t="str">
        <f t="shared" si="1"/>
        <v/>
      </c>
      <c r="F38" s="1"/>
      <c r="G38" s="17"/>
      <c r="I38" s="1" t="str">
        <f t="shared" si="2"/>
        <v>#REF!</v>
      </c>
      <c r="J38" s="1" t="str">
        <f t="array" ref="J38">IFERROR(INDEX('Исходник'!$1:$626,MATCH($I38,'Исходник'!$T:$T,0),MATCH(J$1,'Исходник'!$1:$1,0)))</f>
        <v/>
      </c>
      <c r="K38" s="7" t="str">
        <f t="shared" si="3"/>
        <v>#REF!</v>
      </c>
      <c r="L38" s="1" t="str">
        <f>IF(I38&gt;0,IF(TODAY()-K38&lt;'Анализ'!$D$4+1,1,0),"")</f>
        <v>#REF!</v>
      </c>
    </row>
    <row r="39" ht="15.75" customHeight="1">
      <c r="A39" s="1"/>
      <c r="B39" s="1" t="str">
        <f t="shared" si="1"/>
        <v/>
      </c>
      <c r="F39" s="1"/>
      <c r="G39" s="17"/>
      <c r="I39" s="1" t="str">
        <f t="shared" si="2"/>
        <v>#REF!</v>
      </c>
      <c r="J39" s="1" t="str">
        <f t="array" ref="J39">IFERROR(INDEX('Исходник'!$1:$626,MATCH($I39,'Исходник'!$T:$T,0),MATCH(J$1,'Исходник'!$1:$1,0)))</f>
        <v/>
      </c>
      <c r="K39" s="7" t="str">
        <f t="shared" si="3"/>
        <v>#REF!</v>
      </c>
      <c r="L39" s="1" t="str">
        <f>IF(I39&gt;0,IF(TODAY()-K39&lt;'Анализ'!$D$4+1,1,0),"")</f>
        <v>#REF!</v>
      </c>
    </row>
    <row r="40" ht="15.75" customHeight="1">
      <c r="A40" s="1"/>
      <c r="B40" s="1" t="str">
        <f t="shared" si="1"/>
        <v/>
      </c>
      <c r="F40" s="1"/>
      <c r="G40" s="17"/>
      <c r="I40" s="1" t="str">
        <f t="shared" si="2"/>
        <v>#REF!</v>
      </c>
      <c r="J40" s="1" t="str">
        <f t="array" ref="J40">IFERROR(INDEX('Исходник'!$1:$626,MATCH($I40,'Исходник'!$T:$T,0),MATCH(J$1,'Исходник'!$1:$1,0)))</f>
        <v/>
      </c>
      <c r="K40" s="7" t="str">
        <f t="shared" si="3"/>
        <v>#REF!</v>
      </c>
      <c r="L40" s="1" t="str">
        <f>IF(I40&gt;0,IF(TODAY()-K40&lt;'Анализ'!$D$4+1,1,0),"")</f>
        <v>#REF!</v>
      </c>
    </row>
    <row r="41" ht="15.75" customHeight="1">
      <c r="A41" s="1"/>
      <c r="B41" s="1" t="str">
        <f t="shared" si="1"/>
        <v/>
      </c>
      <c r="F41" s="1"/>
      <c r="G41" s="17"/>
      <c r="I41" s="1" t="str">
        <f t="shared" si="2"/>
        <v>#REF!</v>
      </c>
      <c r="J41" s="1" t="str">
        <f t="array" ref="J41">IFERROR(INDEX('Исходник'!$1:$626,MATCH($I41,'Исходник'!$T:$T,0),MATCH(J$1,'Исходник'!$1:$1,0)))</f>
        <v/>
      </c>
      <c r="K41" s="7" t="str">
        <f t="shared" si="3"/>
        <v>#REF!</v>
      </c>
      <c r="L41" s="1" t="str">
        <f>IF(I41&gt;0,IF(TODAY()-K41&lt;'Анализ'!$D$4+1,1,0),"")</f>
        <v>#REF!</v>
      </c>
    </row>
    <row r="42" ht="15.75" customHeight="1">
      <c r="A42" s="1"/>
      <c r="B42" s="1" t="str">
        <f t="shared" si="1"/>
        <v/>
      </c>
      <c r="F42" s="1"/>
      <c r="G42" s="17"/>
      <c r="I42" s="1" t="str">
        <f t="shared" si="2"/>
        <v>#REF!</v>
      </c>
      <c r="J42" s="1" t="str">
        <f t="array" ref="J42">IFERROR(INDEX('Исходник'!$1:$626,MATCH($I42,'Исходник'!$T:$T,0),MATCH(J$1,'Исходник'!$1:$1,0)))</f>
        <v/>
      </c>
      <c r="K42" s="7" t="str">
        <f t="shared" si="3"/>
        <v>#REF!</v>
      </c>
      <c r="L42" s="1" t="str">
        <f>IF(I42&gt;0,IF(TODAY()-K42&lt;'Анализ'!$D$4+1,1,0),"")</f>
        <v>#REF!</v>
      </c>
    </row>
    <row r="43" ht="15.75" customHeight="1">
      <c r="A43" s="1"/>
      <c r="B43" s="1" t="str">
        <f t="shared" si="1"/>
        <v/>
      </c>
      <c r="F43" s="1"/>
      <c r="G43" s="17"/>
      <c r="I43" s="1" t="str">
        <f t="shared" si="2"/>
        <v>#REF!</v>
      </c>
      <c r="J43" s="1" t="str">
        <f t="array" ref="J43">IFERROR(INDEX('Исходник'!$1:$626,MATCH($I43,'Исходник'!$T:$T,0),MATCH(J$1,'Исходник'!$1:$1,0)))</f>
        <v/>
      </c>
      <c r="K43" s="7" t="str">
        <f t="shared" si="3"/>
        <v>#REF!</v>
      </c>
      <c r="L43" s="1" t="str">
        <f>IF(I43&gt;0,IF(TODAY()-K43&lt;'Анализ'!$D$4+1,1,0),"")</f>
        <v>#REF!</v>
      </c>
    </row>
    <row r="44" ht="15.75" customHeight="1">
      <c r="A44" s="1"/>
      <c r="B44" s="1" t="str">
        <f t="shared" si="1"/>
        <v/>
      </c>
      <c r="F44" s="1"/>
      <c r="G44" s="17"/>
      <c r="I44" s="1" t="str">
        <f t="shared" si="2"/>
        <v>#REF!</v>
      </c>
      <c r="J44" s="1" t="str">
        <f t="array" ref="J44">IFERROR(INDEX('Исходник'!$1:$626,MATCH($I44,'Исходник'!$T:$T,0),MATCH(J$1,'Исходник'!$1:$1,0)))</f>
        <v/>
      </c>
      <c r="K44" s="7" t="str">
        <f t="shared" si="3"/>
        <v>#REF!</v>
      </c>
      <c r="L44" s="1" t="str">
        <f>IF(I44&gt;0,IF(TODAY()-K44&lt;'Анализ'!$D$4+1,1,0),"")</f>
        <v>#REF!</v>
      </c>
    </row>
    <row r="45" ht="15.75" customHeight="1">
      <c r="A45" s="1"/>
      <c r="B45" s="1" t="str">
        <f t="shared" si="1"/>
        <v/>
      </c>
      <c r="F45" s="1"/>
      <c r="G45" s="17"/>
      <c r="I45" s="1" t="str">
        <f t="shared" si="2"/>
        <v>#REF!</v>
      </c>
      <c r="J45" s="1" t="str">
        <f t="array" ref="J45">IFERROR(INDEX('Исходник'!$1:$626,MATCH($I45,'Исходник'!$T:$T,0),MATCH(J$1,'Исходник'!$1:$1,0)))</f>
        <v/>
      </c>
      <c r="K45" s="7" t="str">
        <f t="shared" si="3"/>
        <v>#REF!</v>
      </c>
      <c r="L45" s="1" t="str">
        <f>IF(I45&gt;0,IF(TODAY()-K45&lt;'Анализ'!$D$4+1,1,0),"")</f>
        <v>#REF!</v>
      </c>
    </row>
    <row r="46" ht="15.75" customHeight="1">
      <c r="A46" s="1"/>
      <c r="B46" s="1" t="str">
        <f t="shared" si="1"/>
        <v/>
      </c>
      <c r="F46" s="1"/>
      <c r="G46" s="17"/>
      <c r="I46" s="1" t="str">
        <f t="shared" si="2"/>
        <v>#REF!</v>
      </c>
      <c r="J46" s="1" t="str">
        <f t="array" ref="J46">IFERROR(INDEX('Исходник'!$1:$626,MATCH($I46,'Исходник'!$T:$T,0),MATCH(J$1,'Исходник'!$1:$1,0)))</f>
        <v/>
      </c>
      <c r="K46" s="7" t="str">
        <f t="shared" si="3"/>
        <v>#REF!</v>
      </c>
      <c r="L46" s="1" t="str">
        <f>IF(I46&gt;0,IF(TODAY()-K46&lt;'Анализ'!$D$4+1,1,0),"")</f>
        <v>#REF!</v>
      </c>
    </row>
    <row r="47" ht="15.75" customHeight="1">
      <c r="A47" s="1"/>
      <c r="B47" s="1" t="str">
        <f t="shared" si="1"/>
        <v/>
      </c>
      <c r="F47" s="1"/>
      <c r="G47" s="17"/>
      <c r="I47" s="1" t="str">
        <f t="shared" si="2"/>
        <v>#REF!</v>
      </c>
      <c r="J47" s="1" t="str">
        <f t="array" ref="J47">IFERROR(INDEX('Исходник'!$1:$626,MATCH($I47,'Исходник'!$T:$T,0),MATCH(J$1,'Исходник'!$1:$1,0)))</f>
        <v/>
      </c>
      <c r="K47" s="7" t="str">
        <f t="shared" si="3"/>
        <v>#REF!</v>
      </c>
      <c r="L47" s="1" t="str">
        <f>IF(I47&gt;0,IF(TODAY()-K47&lt;'Анализ'!$D$4+1,1,0),"")</f>
        <v>#REF!</v>
      </c>
    </row>
    <row r="48" ht="15.75" customHeight="1">
      <c r="A48" s="1"/>
      <c r="B48" s="1" t="str">
        <f t="shared" si="1"/>
        <v/>
      </c>
      <c r="F48" s="1"/>
      <c r="G48" s="17"/>
      <c r="I48" s="1" t="str">
        <f t="shared" si="2"/>
        <v>#REF!</v>
      </c>
      <c r="J48" s="1" t="str">
        <f t="array" ref="J48">IFERROR(INDEX('Исходник'!$1:$626,MATCH($I48,'Исходник'!$T:$T,0),MATCH(J$1,'Исходник'!$1:$1,0)))</f>
        <v/>
      </c>
      <c r="K48" s="7" t="str">
        <f t="shared" si="3"/>
        <v>#REF!</v>
      </c>
      <c r="L48" s="1" t="str">
        <f>IF(I48&gt;0,IF(TODAY()-K48&lt;'Анализ'!$D$4+1,1,0),"")</f>
        <v>#REF!</v>
      </c>
    </row>
    <row r="49" ht="15.75" customHeight="1">
      <c r="A49" s="1"/>
      <c r="B49" s="1" t="str">
        <f t="shared" si="1"/>
        <v/>
      </c>
      <c r="F49" s="1"/>
      <c r="G49" s="17"/>
      <c r="I49" s="1" t="str">
        <f t="shared" si="2"/>
        <v>#REF!</v>
      </c>
      <c r="J49" s="1" t="str">
        <f t="array" ref="J49">IFERROR(INDEX('Исходник'!$1:$626,MATCH($I49,'Исходник'!$T:$T,0),MATCH(J$1,'Исходник'!$1:$1,0)))</f>
        <v/>
      </c>
      <c r="K49" s="7" t="str">
        <f t="shared" si="3"/>
        <v>#REF!</v>
      </c>
      <c r="L49" s="1" t="str">
        <f>IF(I49&gt;0,IF(TODAY()-K49&lt;'Анализ'!$D$4+1,1,0),"")</f>
        <v>#REF!</v>
      </c>
    </row>
    <row r="50" ht="15.75" customHeight="1">
      <c r="A50" s="1"/>
      <c r="B50" s="1" t="str">
        <f t="shared" si="1"/>
        <v/>
      </c>
      <c r="F50" s="1"/>
      <c r="G50" s="17"/>
      <c r="I50" s="1" t="str">
        <f t="shared" si="2"/>
        <v>#REF!</v>
      </c>
      <c r="J50" s="1" t="str">
        <f t="array" ref="J50">IFERROR(INDEX('Исходник'!$1:$626,MATCH($I50,'Исходник'!$T:$T,0),MATCH(J$1,'Исходник'!$1:$1,0)))</f>
        <v/>
      </c>
      <c r="K50" s="7" t="str">
        <f t="shared" si="3"/>
        <v>#REF!</v>
      </c>
      <c r="L50" s="1" t="str">
        <f>IF(I50&gt;0,IF(TODAY()-K50&lt;'Анализ'!$D$4+1,1,0),"")</f>
        <v>#REF!</v>
      </c>
    </row>
    <row r="51" ht="15.75" customHeight="1">
      <c r="A51" s="1"/>
      <c r="B51" s="1" t="str">
        <f t="shared" si="1"/>
        <v/>
      </c>
      <c r="F51" s="1"/>
      <c r="G51" s="17"/>
      <c r="I51" s="1" t="str">
        <f t="shared" si="2"/>
        <v>#REF!</v>
      </c>
      <c r="J51" s="1" t="str">
        <f t="array" ref="J51">IFERROR(INDEX('Исходник'!$1:$626,MATCH($I51,'Исходник'!$T:$T,0),MATCH(J$1,'Исходник'!$1:$1,0)))</f>
        <v/>
      </c>
      <c r="K51" s="7" t="str">
        <f t="shared" si="3"/>
        <v>#REF!</v>
      </c>
      <c r="L51" s="1" t="str">
        <f>IF(I51&gt;0,IF(TODAY()-K51&lt;'Анализ'!$D$4+1,1,0),"")</f>
        <v>#REF!</v>
      </c>
    </row>
    <row r="52" ht="15.75" customHeight="1">
      <c r="A52" s="1"/>
      <c r="B52" s="1" t="str">
        <f t="shared" si="1"/>
        <v/>
      </c>
      <c r="F52" s="1"/>
      <c r="G52" s="17"/>
      <c r="I52" s="1" t="str">
        <f t="shared" si="2"/>
        <v>#REF!</v>
      </c>
      <c r="J52" s="1" t="str">
        <f t="array" ref="J52">IFERROR(INDEX('Исходник'!$1:$626,MATCH($I52,'Исходник'!$T:$T,0),MATCH(J$1,'Исходник'!$1:$1,0)))</f>
        <v/>
      </c>
      <c r="K52" s="7" t="str">
        <f t="shared" si="3"/>
        <v>#REF!</v>
      </c>
      <c r="L52" s="1" t="str">
        <f>IF(I52&gt;0,IF(TODAY()-K52&lt;'Анализ'!$D$4+1,1,0),"")</f>
        <v>#REF!</v>
      </c>
    </row>
    <row r="53" ht="15.75" customHeight="1">
      <c r="A53" s="1"/>
      <c r="B53" s="1" t="str">
        <f t="shared" si="1"/>
        <v/>
      </c>
      <c r="F53" s="1"/>
      <c r="G53" s="17"/>
      <c r="I53" s="1" t="str">
        <f t="shared" si="2"/>
        <v>#REF!</v>
      </c>
      <c r="J53" s="1" t="str">
        <f t="array" ref="J53">IFERROR(INDEX('Исходник'!$1:$626,MATCH($I53,'Исходник'!$T:$T,0),MATCH(J$1,'Исходник'!$1:$1,0)))</f>
        <v/>
      </c>
      <c r="K53" s="7" t="str">
        <f t="shared" si="3"/>
        <v>#REF!</v>
      </c>
      <c r="L53" s="1" t="str">
        <f>IF(I53&gt;0,IF(TODAY()-K53&lt;'Анализ'!$D$4+1,1,0),"")</f>
        <v>#REF!</v>
      </c>
    </row>
    <row r="54" ht="15.75" customHeight="1">
      <c r="A54" s="1"/>
      <c r="B54" s="1" t="str">
        <f t="shared" si="1"/>
        <v/>
      </c>
      <c r="F54" s="1"/>
      <c r="G54" s="17"/>
      <c r="I54" s="1" t="str">
        <f t="shared" si="2"/>
        <v>#REF!</v>
      </c>
      <c r="J54" s="1" t="str">
        <f t="array" ref="J54">IFERROR(INDEX('Исходник'!$1:$626,MATCH($I54,'Исходник'!$T:$T,0),MATCH(J$1,'Исходник'!$1:$1,0)))</f>
        <v/>
      </c>
      <c r="K54" s="7" t="str">
        <f t="shared" si="3"/>
        <v>#REF!</v>
      </c>
      <c r="L54" s="1" t="str">
        <f>IF(I54&gt;0,IF(TODAY()-K54&lt;'Анализ'!$D$4+1,1,0),"")</f>
        <v>#REF!</v>
      </c>
    </row>
    <row r="55" ht="15.75" customHeight="1">
      <c r="A55" s="1"/>
      <c r="B55" s="1" t="str">
        <f t="shared" si="1"/>
        <v/>
      </c>
      <c r="F55" s="1"/>
      <c r="G55" s="17"/>
      <c r="I55" s="1" t="str">
        <f t="shared" si="2"/>
        <v>#REF!</v>
      </c>
      <c r="J55" s="1" t="str">
        <f t="array" ref="J55">IFERROR(INDEX('Исходник'!$1:$626,MATCH($I55,'Исходник'!$T:$T,0),MATCH(J$1,'Исходник'!$1:$1,0)))</f>
        <v/>
      </c>
      <c r="K55" s="7" t="str">
        <f t="shared" si="3"/>
        <v>#REF!</v>
      </c>
      <c r="L55" s="1" t="str">
        <f>IF(I55&gt;0,IF(TODAY()-K55&lt;'Анализ'!$D$4+1,1,0),"")</f>
        <v>#REF!</v>
      </c>
    </row>
    <row r="56" ht="15.75" customHeight="1">
      <c r="A56" s="1"/>
      <c r="B56" s="1" t="str">
        <f t="shared" si="1"/>
        <v/>
      </c>
      <c r="F56" s="1"/>
      <c r="G56" s="17"/>
      <c r="I56" s="1" t="str">
        <f t="shared" si="2"/>
        <v>#REF!</v>
      </c>
      <c r="J56" s="1" t="str">
        <f t="array" ref="J56">IFERROR(INDEX('Исходник'!$1:$626,MATCH($I56,'Исходник'!$T:$T,0),MATCH(J$1,'Исходник'!$1:$1,0)))</f>
        <v/>
      </c>
      <c r="K56" s="7" t="str">
        <f t="shared" si="3"/>
        <v>#REF!</v>
      </c>
      <c r="L56" s="1" t="str">
        <f>IF(I56&gt;0,IF(TODAY()-K56&lt;'Анализ'!$D$4+1,1,0),"")</f>
        <v>#REF!</v>
      </c>
    </row>
    <row r="57" ht="15.75" customHeight="1">
      <c r="A57" s="1"/>
      <c r="B57" s="1" t="str">
        <f t="shared" si="1"/>
        <v/>
      </c>
      <c r="F57" s="1"/>
      <c r="G57" s="17"/>
      <c r="I57" s="1" t="str">
        <f t="shared" si="2"/>
        <v>#REF!</v>
      </c>
      <c r="J57" s="1" t="str">
        <f t="array" ref="J57">IFERROR(INDEX('Исходник'!$1:$626,MATCH($I57,'Исходник'!$T:$T,0),MATCH(J$1,'Исходник'!$1:$1,0)))</f>
        <v/>
      </c>
      <c r="K57" s="7" t="str">
        <f t="shared" si="3"/>
        <v>#REF!</v>
      </c>
      <c r="L57" s="1" t="str">
        <f>IF(I57&gt;0,IF(TODAY()-K57&lt;'Анализ'!$D$4+1,1,0),"")</f>
        <v>#REF!</v>
      </c>
    </row>
    <row r="58" ht="15.75" customHeight="1">
      <c r="A58" s="1"/>
      <c r="B58" s="1" t="str">
        <f t="shared" si="1"/>
        <v/>
      </c>
      <c r="F58" s="1"/>
      <c r="G58" s="17"/>
      <c r="I58" s="1" t="str">
        <f t="shared" si="2"/>
        <v>#REF!</v>
      </c>
      <c r="J58" s="1" t="str">
        <f t="array" ref="J58">IFERROR(INDEX('Исходник'!$1:$626,MATCH($I58,'Исходник'!$T:$T,0),MATCH(J$1,'Исходник'!$1:$1,0)))</f>
        <v/>
      </c>
      <c r="K58" s="7" t="str">
        <f t="shared" si="3"/>
        <v>#REF!</v>
      </c>
      <c r="L58" s="1" t="str">
        <f>IF(I58&gt;0,IF(TODAY()-K58&lt;'Анализ'!$D$4+1,1,0),"")</f>
        <v>#REF!</v>
      </c>
    </row>
    <row r="59" ht="15.75" customHeight="1">
      <c r="A59" s="1"/>
      <c r="B59" s="1" t="str">
        <f t="shared" si="1"/>
        <v/>
      </c>
      <c r="F59" s="1"/>
      <c r="G59" s="17"/>
      <c r="I59" s="1" t="str">
        <f t="shared" si="2"/>
        <v>#REF!</v>
      </c>
      <c r="J59" s="1" t="str">
        <f t="array" ref="J59">IFERROR(INDEX('Исходник'!$1:$626,MATCH($I59,'Исходник'!$T:$T,0),MATCH(J$1,'Исходник'!$1:$1,0)))</f>
        <v/>
      </c>
      <c r="K59" s="7" t="str">
        <f t="shared" si="3"/>
        <v>#REF!</v>
      </c>
      <c r="L59" s="1" t="str">
        <f>IF(I59&gt;0,IF(TODAY()-K59&lt;'Анализ'!$D$4+1,1,0),"")</f>
        <v>#REF!</v>
      </c>
    </row>
    <row r="60" ht="15.75" customHeight="1">
      <c r="A60" s="1"/>
      <c r="B60" s="1" t="str">
        <f t="shared" si="1"/>
        <v/>
      </c>
      <c r="F60" s="1"/>
      <c r="G60" s="17"/>
      <c r="I60" s="1" t="str">
        <f t="shared" si="2"/>
        <v>#REF!</v>
      </c>
      <c r="J60" s="1" t="str">
        <f t="array" ref="J60">IFERROR(INDEX('Исходник'!$1:$626,MATCH($I60,'Исходник'!$T:$T,0),MATCH(J$1,'Исходник'!$1:$1,0)))</f>
        <v/>
      </c>
      <c r="K60" s="7" t="str">
        <f t="shared" si="3"/>
        <v>#REF!</v>
      </c>
      <c r="L60" s="1" t="str">
        <f>IF(I60&gt;0,IF(TODAY()-K60&lt;'Анализ'!$D$4+1,1,0),"")</f>
        <v>#REF!</v>
      </c>
    </row>
    <row r="61" ht="15.75" customHeight="1">
      <c r="A61" s="1"/>
      <c r="B61" s="1" t="str">
        <f t="shared" si="1"/>
        <v/>
      </c>
      <c r="F61" s="1"/>
      <c r="G61" s="17"/>
      <c r="I61" s="1" t="str">
        <f t="shared" si="2"/>
        <v>#REF!</v>
      </c>
      <c r="J61" s="1" t="str">
        <f t="array" ref="J61">IFERROR(INDEX('Исходник'!$1:$626,MATCH($I61,'Исходник'!$T:$T,0),MATCH(J$1,'Исходник'!$1:$1,0)))</f>
        <v/>
      </c>
      <c r="K61" s="7" t="str">
        <f t="shared" si="3"/>
        <v>#REF!</v>
      </c>
      <c r="L61" s="1" t="str">
        <f>IF(I61&gt;0,IF(TODAY()-K61&lt;'Анализ'!$D$4+1,1,0),"")</f>
        <v>#REF!</v>
      </c>
    </row>
    <row r="62" ht="15.75" customHeight="1">
      <c r="A62" s="1"/>
      <c r="B62" s="1" t="str">
        <f t="shared" si="1"/>
        <v/>
      </c>
      <c r="F62" s="1"/>
      <c r="G62" s="17"/>
      <c r="I62" s="1" t="str">
        <f t="shared" si="2"/>
        <v>#REF!</v>
      </c>
      <c r="J62" s="1" t="str">
        <f t="array" ref="J62">IFERROR(INDEX('Исходник'!$1:$626,MATCH($I62,'Исходник'!$T:$T,0),MATCH(J$1,'Исходник'!$1:$1,0)))</f>
        <v/>
      </c>
      <c r="K62" s="7" t="str">
        <f t="shared" si="3"/>
        <v>#REF!</v>
      </c>
      <c r="L62" s="1" t="str">
        <f>IF(I62&gt;0,IF(TODAY()-K62&lt;'Анализ'!$D$4+1,1,0),"")</f>
        <v>#REF!</v>
      </c>
    </row>
    <row r="63" ht="15.75" customHeight="1">
      <c r="A63" s="1"/>
      <c r="B63" s="1" t="str">
        <f t="shared" si="1"/>
        <v/>
      </c>
      <c r="F63" s="1"/>
      <c r="G63" s="17"/>
      <c r="I63" s="1" t="str">
        <f t="shared" si="2"/>
        <v>#REF!</v>
      </c>
      <c r="J63" s="1" t="str">
        <f t="array" ref="J63">IFERROR(INDEX('Исходник'!$1:$626,MATCH($I63,'Исходник'!$T:$T,0),MATCH(J$1,'Исходник'!$1:$1,0)))</f>
        <v/>
      </c>
      <c r="K63" s="7" t="str">
        <f t="shared" si="3"/>
        <v>#REF!</v>
      </c>
      <c r="L63" s="1" t="str">
        <f>IF(I63&gt;0,IF(TODAY()-K63&lt;'Анализ'!$D$4+1,1,0),"")</f>
        <v>#REF!</v>
      </c>
    </row>
    <row r="64" ht="15.75" customHeight="1">
      <c r="A64" s="1"/>
      <c r="B64" s="1" t="str">
        <f t="shared" si="1"/>
        <v/>
      </c>
      <c r="F64" s="1"/>
      <c r="G64" s="17"/>
      <c r="I64" s="1" t="str">
        <f t="shared" si="2"/>
        <v>#REF!</v>
      </c>
      <c r="J64" s="1" t="str">
        <f t="array" ref="J64">IFERROR(INDEX('Исходник'!$1:$626,MATCH($I64,'Исходник'!$T:$T,0),MATCH(J$1,'Исходник'!$1:$1,0)))</f>
        <v/>
      </c>
      <c r="K64" s="7" t="str">
        <f t="shared" si="3"/>
        <v>#REF!</v>
      </c>
      <c r="L64" s="1" t="str">
        <f>IF(I64&gt;0,IF(TODAY()-K64&lt;'Анализ'!$D$4+1,1,0),"")</f>
        <v>#REF!</v>
      </c>
    </row>
    <row r="65" ht="15.75" customHeight="1">
      <c r="A65" s="1"/>
      <c r="B65" s="1" t="str">
        <f t="shared" si="1"/>
        <v/>
      </c>
      <c r="F65" s="1"/>
      <c r="G65" s="17"/>
      <c r="I65" s="1" t="str">
        <f t="shared" si="2"/>
        <v>#REF!</v>
      </c>
      <c r="J65" s="1" t="str">
        <f t="array" ref="J65">IFERROR(INDEX('Исходник'!$1:$626,MATCH($I65,'Исходник'!$T:$T,0),MATCH(J$1,'Исходник'!$1:$1,0)))</f>
        <v/>
      </c>
      <c r="K65" s="7" t="str">
        <f t="shared" si="3"/>
        <v>#REF!</v>
      </c>
      <c r="L65" s="1" t="str">
        <f>IF(I65&gt;0,IF(TODAY()-K65&lt;'Анализ'!$D$4+1,1,0),"")</f>
        <v>#REF!</v>
      </c>
    </row>
    <row r="66" ht="15.75" customHeight="1">
      <c r="A66" s="1"/>
      <c r="B66" s="1" t="str">
        <f t="shared" si="1"/>
        <v/>
      </c>
      <c r="F66" s="1"/>
      <c r="G66" s="17"/>
      <c r="I66" s="1" t="str">
        <f t="shared" si="2"/>
        <v>#REF!</v>
      </c>
      <c r="J66" s="1" t="str">
        <f t="array" ref="J66">IFERROR(INDEX('Исходник'!$1:$626,MATCH($I66,'Исходник'!$T:$T,0),MATCH(J$1,'Исходник'!$1:$1,0)))</f>
        <v/>
      </c>
      <c r="K66" s="7" t="str">
        <f t="shared" si="3"/>
        <v>#REF!</v>
      </c>
      <c r="L66" s="1" t="str">
        <f>IF(I66&gt;0,IF(TODAY()-K66&lt;'Анализ'!$D$4+1,1,0),"")</f>
        <v>#REF!</v>
      </c>
    </row>
    <row r="67" ht="15.75" customHeight="1">
      <c r="A67" s="1"/>
      <c r="B67" s="1" t="str">
        <f t="shared" si="1"/>
        <v/>
      </c>
      <c r="F67" s="1"/>
      <c r="G67" s="17"/>
      <c r="I67" s="1" t="str">
        <f t="shared" si="2"/>
        <v>#REF!</v>
      </c>
      <c r="J67" s="1" t="str">
        <f t="array" ref="J67">IFERROR(INDEX('Исходник'!$1:$626,MATCH($I67,'Исходник'!$T:$T,0),MATCH(J$1,'Исходник'!$1:$1,0)))</f>
        <v/>
      </c>
      <c r="K67" s="7" t="str">
        <f t="shared" si="3"/>
        <v>#REF!</v>
      </c>
      <c r="L67" s="1" t="str">
        <f>IF(I67&gt;0,IF(TODAY()-K67&lt;'Анализ'!$D$4+1,1,0),"")</f>
        <v>#REF!</v>
      </c>
    </row>
    <row r="68" ht="15.75" customHeight="1">
      <c r="A68" s="1"/>
      <c r="B68" s="1" t="str">
        <f t="shared" si="1"/>
        <v/>
      </c>
      <c r="F68" s="1"/>
      <c r="G68" s="17"/>
      <c r="I68" s="1" t="str">
        <f t="shared" si="2"/>
        <v>#REF!</v>
      </c>
      <c r="J68" s="1" t="str">
        <f t="array" ref="J68">IFERROR(INDEX('Исходник'!$1:$626,MATCH($I68,'Исходник'!$T:$T,0),MATCH(J$1,'Исходник'!$1:$1,0)))</f>
        <v/>
      </c>
      <c r="K68" s="7" t="str">
        <f t="shared" si="3"/>
        <v>#REF!</v>
      </c>
      <c r="L68" s="1" t="str">
        <f>IF(I68&gt;0,IF(TODAY()-K68&lt;'Анализ'!$D$4+1,1,0),"")</f>
        <v>#REF!</v>
      </c>
    </row>
    <row r="69" ht="15.75" customHeight="1">
      <c r="A69" s="1"/>
      <c r="B69" s="1" t="str">
        <f t="shared" si="1"/>
        <v/>
      </c>
      <c r="F69" s="1"/>
      <c r="G69" s="17"/>
      <c r="I69" s="1" t="str">
        <f t="shared" si="2"/>
        <v>#REF!</v>
      </c>
      <c r="J69" s="1" t="str">
        <f t="array" ref="J69">IFERROR(INDEX('Исходник'!$1:$626,MATCH($I69,'Исходник'!$T:$T,0),MATCH(J$1,'Исходник'!$1:$1,0)))</f>
        <v/>
      </c>
      <c r="K69" s="7" t="str">
        <f t="shared" si="3"/>
        <v>#REF!</v>
      </c>
      <c r="L69" s="1" t="str">
        <f>IF(I69&gt;0,IF(TODAY()-K69&lt;'Анализ'!$D$4+1,1,0),"")</f>
        <v>#REF!</v>
      </c>
    </row>
    <row r="70" ht="15.75" customHeight="1">
      <c r="A70" s="1"/>
      <c r="B70" s="1" t="str">
        <f t="shared" si="1"/>
        <v/>
      </c>
      <c r="F70" s="1"/>
      <c r="G70" s="17"/>
      <c r="I70" s="1" t="str">
        <f t="shared" si="2"/>
        <v>#REF!</v>
      </c>
      <c r="J70" s="1" t="str">
        <f t="array" ref="J70">IFERROR(INDEX('Исходник'!$1:$626,MATCH($I70,'Исходник'!$T:$T,0),MATCH(J$1,'Исходник'!$1:$1,0)))</f>
        <v/>
      </c>
      <c r="K70" s="7" t="str">
        <f t="shared" si="3"/>
        <v>#REF!</v>
      </c>
      <c r="L70" s="1" t="str">
        <f>IF(I70&gt;0,IF(TODAY()-K70&lt;'Анализ'!$D$4+1,1,0),"")</f>
        <v>#REF!</v>
      </c>
    </row>
    <row r="71" ht="15.75" customHeight="1">
      <c r="A71" s="1"/>
      <c r="B71" s="1" t="str">
        <f t="shared" si="1"/>
        <v/>
      </c>
      <c r="F71" s="1"/>
      <c r="G71" s="17"/>
      <c r="I71" s="1" t="str">
        <f t="shared" si="2"/>
        <v>#REF!</v>
      </c>
      <c r="J71" s="1" t="str">
        <f t="array" ref="J71">IFERROR(INDEX('Исходник'!$1:$626,MATCH($I71,'Исходник'!$T:$T,0),MATCH(J$1,'Исходник'!$1:$1,0)))</f>
        <v/>
      </c>
      <c r="K71" s="7" t="str">
        <f t="shared" si="3"/>
        <v>#REF!</v>
      </c>
      <c r="L71" s="1" t="str">
        <f>IF(I71&gt;0,IF(TODAY()-K71&lt;'Анализ'!$D$4+1,1,0),"")</f>
        <v>#REF!</v>
      </c>
    </row>
    <row r="72" ht="15.75" customHeight="1">
      <c r="A72" s="1"/>
      <c r="B72" s="1" t="str">
        <f t="shared" si="1"/>
        <v/>
      </c>
      <c r="F72" s="1"/>
      <c r="G72" s="17"/>
      <c r="I72" s="1" t="str">
        <f t="shared" si="2"/>
        <v>#REF!</v>
      </c>
      <c r="J72" s="1" t="str">
        <f t="array" ref="J72">IFERROR(INDEX('Исходник'!$1:$626,MATCH($I72,'Исходник'!$T:$T,0),MATCH(J$1,'Исходник'!$1:$1,0)))</f>
        <v/>
      </c>
      <c r="K72" s="7" t="str">
        <f t="shared" si="3"/>
        <v>#REF!</v>
      </c>
      <c r="L72" s="1" t="str">
        <f>IF(I72&gt;0,IF(TODAY()-K72&lt;'Анализ'!$D$4+1,1,0),"")</f>
        <v>#REF!</v>
      </c>
    </row>
    <row r="73" ht="15.75" customHeight="1">
      <c r="A73" s="1"/>
      <c r="B73" s="1" t="str">
        <f t="shared" si="1"/>
        <v/>
      </c>
      <c r="F73" s="1"/>
      <c r="G73" s="17"/>
      <c r="I73" s="1" t="str">
        <f t="shared" si="2"/>
        <v>#REF!</v>
      </c>
      <c r="J73" s="1" t="str">
        <f t="array" ref="J73">IFERROR(INDEX('Исходник'!$1:$626,MATCH($I73,'Исходник'!$T:$T,0),MATCH(J$1,'Исходник'!$1:$1,0)))</f>
        <v/>
      </c>
      <c r="K73" s="7" t="str">
        <f t="shared" si="3"/>
        <v>#REF!</v>
      </c>
      <c r="L73" s="1" t="str">
        <f>IF(I73&gt;0,IF(TODAY()-K73&lt;'Анализ'!$D$4+1,1,0),"")</f>
        <v>#REF!</v>
      </c>
    </row>
    <row r="74" ht="15.75" customHeight="1">
      <c r="A74" s="1"/>
      <c r="B74" s="1" t="str">
        <f t="shared" si="1"/>
        <v/>
      </c>
      <c r="F74" s="1"/>
      <c r="G74" s="17"/>
      <c r="I74" s="1" t="str">
        <f t="shared" si="2"/>
        <v>#REF!</v>
      </c>
      <c r="J74" s="1" t="str">
        <f t="array" ref="J74">IFERROR(INDEX('Исходник'!$1:$626,MATCH($I74,'Исходник'!$T:$T,0),MATCH(J$1,'Исходник'!$1:$1,0)))</f>
        <v/>
      </c>
      <c r="K74" s="7" t="str">
        <f t="shared" si="3"/>
        <v>#REF!</v>
      </c>
      <c r="L74" s="1" t="str">
        <f>IF(I74&gt;0,IF(TODAY()-K74&lt;'Анализ'!$D$4+1,1,0),"")</f>
        <v>#REF!</v>
      </c>
    </row>
    <row r="75" ht="15.75" customHeight="1">
      <c r="A75" s="1"/>
      <c r="B75" s="1" t="str">
        <f t="shared" si="1"/>
        <v/>
      </c>
      <c r="F75" s="1"/>
      <c r="G75" s="17"/>
      <c r="I75" s="1" t="str">
        <f t="shared" si="2"/>
        <v>#REF!</v>
      </c>
      <c r="J75" s="1" t="str">
        <f t="array" ref="J75">IFERROR(INDEX('Исходник'!$1:$626,MATCH($I75,'Исходник'!$T:$T,0),MATCH(J$1,'Исходник'!$1:$1,0)))</f>
        <v/>
      </c>
      <c r="K75" s="7" t="str">
        <f t="shared" si="3"/>
        <v>#REF!</v>
      </c>
      <c r="L75" s="1" t="str">
        <f>IF(I75&gt;0,IF(TODAY()-K75&lt;'Анализ'!$D$4+1,1,0),"")</f>
        <v>#REF!</v>
      </c>
    </row>
    <row r="76" ht="15.75" customHeight="1">
      <c r="A76" s="1"/>
      <c r="B76" s="1" t="str">
        <f t="shared" si="1"/>
        <v/>
      </c>
      <c r="F76" s="1"/>
      <c r="G76" s="17"/>
      <c r="I76" s="1" t="str">
        <f t="shared" si="2"/>
        <v>#REF!</v>
      </c>
      <c r="J76" s="1" t="str">
        <f t="array" ref="J76">IFERROR(INDEX('Исходник'!$1:$626,MATCH($I76,'Исходник'!$T:$T,0),MATCH(J$1,'Исходник'!$1:$1,0)))</f>
        <v/>
      </c>
      <c r="K76" s="7" t="str">
        <f t="shared" si="3"/>
        <v>#REF!</v>
      </c>
      <c r="L76" s="1" t="str">
        <f>IF(I76&gt;0,IF(TODAY()-K76&lt;'Анализ'!$D$4+1,1,0),"")</f>
        <v>#REF!</v>
      </c>
    </row>
    <row r="77" ht="15.75" customHeight="1">
      <c r="A77" s="1"/>
      <c r="B77" s="1" t="str">
        <f t="shared" si="1"/>
        <v/>
      </c>
      <c r="F77" s="1"/>
      <c r="G77" s="17"/>
      <c r="I77" s="1" t="str">
        <f t="shared" si="2"/>
        <v>#REF!</v>
      </c>
      <c r="J77" s="1" t="str">
        <f t="array" ref="J77">IFERROR(INDEX('Исходник'!$1:$626,MATCH($I77,'Исходник'!$T:$T,0),MATCH(J$1,'Исходник'!$1:$1,0)))</f>
        <v/>
      </c>
      <c r="K77" s="7" t="str">
        <f t="shared" si="3"/>
        <v>#REF!</v>
      </c>
      <c r="L77" s="1" t="str">
        <f>IF(I77&gt;0,IF(TODAY()-K77&lt;'Анализ'!$D$4+1,1,0),"")</f>
        <v>#REF!</v>
      </c>
    </row>
    <row r="78" ht="15.75" customHeight="1">
      <c r="A78" s="1"/>
      <c r="B78" s="1" t="str">
        <f t="shared" si="1"/>
        <v/>
      </c>
      <c r="F78" s="1"/>
      <c r="G78" s="17"/>
      <c r="I78" s="1" t="str">
        <f t="shared" si="2"/>
        <v>#REF!</v>
      </c>
      <c r="J78" s="1" t="str">
        <f t="array" ref="J78">IFERROR(INDEX('Исходник'!$1:$626,MATCH($I78,'Исходник'!$T:$T,0),MATCH(J$1,'Исходник'!$1:$1,0)))</f>
        <v/>
      </c>
      <c r="K78" s="7" t="str">
        <f t="shared" si="3"/>
        <v>#REF!</v>
      </c>
      <c r="L78" s="1" t="str">
        <f>IF(I78&gt;0,IF(TODAY()-K78&lt;'Анализ'!$D$4+1,1,0),"")</f>
        <v>#REF!</v>
      </c>
    </row>
    <row r="79" ht="15.75" customHeight="1">
      <c r="A79" s="1"/>
      <c r="B79" s="1" t="str">
        <f t="shared" si="1"/>
        <v/>
      </c>
      <c r="F79" s="1"/>
      <c r="G79" s="17"/>
      <c r="I79" s="1" t="str">
        <f t="shared" si="2"/>
        <v>#REF!</v>
      </c>
      <c r="J79" s="1" t="str">
        <f t="array" ref="J79">IFERROR(INDEX('Исходник'!$1:$626,MATCH($I79,'Исходник'!$T:$T,0),MATCH(J$1,'Исходник'!$1:$1,0)))</f>
        <v/>
      </c>
      <c r="K79" s="7" t="str">
        <f t="shared" si="3"/>
        <v>#REF!</v>
      </c>
      <c r="L79" s="1" t="str">
        <f>IF(I79&gt;0,IF(TODAY()-K79&lt;'Анализ'!$D$4+1,1,0),"")</f>
        <v>#REF!</v>
      </c>
    </row>
    <row r="80" ht="15.75" customHeight="1">
      <c r="A80" s="1"/>
      <c r="B80" s="1" t="str">
        <f t="shared" si="1"/>
        <v/>
      </c>
      <c r="F80" s="1"/>
      <c r="G80" s="17"/>
      <c r="I80" s="1" t="str">
        <f t="shared" si="2"/>
        <v>#REF!</v>
      </c>
      <c r="J80" s="1" t="str">
        <f t="array" ref="J80">IFERROR(INDEX('Исходник'!$1:$626,MATCH($I80,'Исходник'!$T:$T,0),MATCH(J$1,'Исходник'!$1:$1,0)))</f>
        <v/>
      </c>
      <c r="K80" s="7" t="str">
        <f t="shared" si="3"/>
        <v>#REF!</v>
      </c>
      <c r="L80" s="1" t="str">
        <f>IF(I80&gt;0,IF(TODAY()-K80&lt;'Анализ'!$D$4+1,1,0),"")</f>
        <v>#REF!</v>
      </c>
    </row>
    <row r="81" ht="15.75" customHeight="1">
      <c r="A81" s="1"/>
      <c r="B81" s="1" t="str">
        <f t="shared" si="1"/>
        <v/>
      </c>
      <c r="F81" s="1"/>
      <c r="G81" s="17"/>
      <c r="I81" s="1" t="str">
        <f t="shared" si="2"/>
        <v>#REF!</v>
      </c>
      <c r="J81" s="1" t="str">
        <f t="array" ref="J81">IFERROR(INDEX('Исходник'!$1:$626,MATCH($I81,'Исходник'!$T:$T,0),MATCH(J$1,'Исходник'!$1:$1,0)))</f>
        <v/>
      </c>
      <c r="K81" s="7" t="str">
        <f t="shared" si="3"/>
        <v>#REF!</v>
      </c>
      <c r="L81" s="1" t="str">
        <f>IF(I81&gt;0,IF(TODAY()-K81&lt;'Анализ'!$D$4+1,1,0),"")</f>
        <v>#REF!</v>
      </c>
    </row>
    <row r="82" ht="15.75" customHeight="1">
      <c r="A82" s="1"/>
      <c r="B82" s="1" t="str">
        <f t="shared" si="1"/>
        <v/>
      </c>
      <c r="F82" s="1"/>
      <c r="G82" s="17"/>
      <c r="I82" s="1" t="str">
        <f t="shared" si="2"/>
        <v>#REF!</v>
      </c>
      <c r="J82" s="1" t="str">
        <f t="array" ref="J82">IFERROR(INDEX('Исходник'!$1:$626,MATCH($I82,'Исходник'!$T:$T,0),MATCH(J$1,'Исходник'!$1:$1,0)))</f>
        <v/>
      </c>
      <c r="K82" s="7" t="str">
        <f t="shared" si="3"/>
        <v>#REF!</v>
      </c>
      <c r="L82" s="1" t="str">
        <f>IF(I82&gt;0,IF(TODAY()-K82&lt;'Анализ'!$D$4+1,1,0),"")</f>
        <v>#REF!</v>
      </c>
    </row>
    <row r="83" ht="15.75" customHeight="1">
      <c r="A83" s="1"/>
      <c r="B83" s="1" t="str">
        <f t="shared" si="1"/>
        <v/>
      </c>
      <c r="F83" s="1"/>
      <c r="G83" s="17"/>
      <c r="I83" s="1" t="str">
        <f t="shared" si="2"/>
        <v>#REF!</v>
      </c>
      <c r="J83" s="1" t="str">
        <f t="array" ref="J83">IFERROR(INDEX('Исходник'!$1:$626,MATCH($I83,'Исходник'!$T:$T,0),MATCH(J$1,'Исходник'!$1:$1,0)))</f>
        <v/>
      </c>
      <c r="K83" s="7" t="str">
        <f t="shared" si="3"/>
        <v>#REF!</v>
      </c>
      <c r="L83" s="1" t="str">
        <f>IF(I83&gt;0,IF(TODAY()-K83&lt;'Анализ'!$D$4+1,1,0),"")</f>
        <v>#REF!</v>
      </c>
    </row>
    <row r="84" ht="15.75" customHeight="1">
      <c r="A84" s="1"/>
      <c r="B84" s="1" t="str">
        <f t="shared" si="1"/>
        <v/>
      </c>
      <c r="F84" s="1"/>
      <c r="G84" s="17"/>
      <c r="I84" s="1" t="str">
        <f t="shared" si="2"/>
        <v>#REF!</v>
      </c>
      <c r="J84" s="1" t="str">
        <f t="array" ref="J84">IFERROR(INDEX('Исходник'!$1:$626,MATCH($I84,'Исходник'!$T:$T,0),MATCH(J$1,'Исходник'!$1:$1,0)))</f>
        <v/>
      </c>
      <c r="K84" s="7" t="str">
        <f t="shared" si="3"/>
        <v>#REF!</v>
      </c>
      <c r="L84" s="1" t="str">
        <f>IF(I84&gt;0,IF(TODAY()-K84&lt;'Анализ'!$D$4+1,1,0),"")</f>
        <v>#REF!</v>
      </c>
    </row>
    <row r="85" ht="15.75" customHeight="1">
      <c r="A85" s="1"/>
      <c r="B85" s="1" t="str">
        <f t="shared" si="1"/>
        <v/>
      </c>
      <c r="F85" s="1"/>
      <c r="G85" s="17"/>
      <c r="I85" s="1" t="str">
        <f t="shared" si="2"/>
        <v>#REF!</v>
      </c>
      <c r="J85" s="1" t="str">
        <f t="array" ref="J85">IFERROR(INDEX('Исходник'!$1:$626,MATCH($I85,'Исходник'!$T:$T,0),MATCH(J$1,'Исходник'!$1:$1,0)))</f>
        <v/>
      </c>
      <c r="K85" s="7" t="str">
        <f t="shared" si="3"/>
        <v>#REF!</v>
      </c>
      <c r="L85" s="1" t="str">
        <f>IF(I85&gt;0,IF(TODAY()-K85&lt;'Анализ'!$D$4+1,1,0),"")</f>
        <v>#REF!</v>
      </c>
    </row>
    <row r="86" ht="15.75" customHeight="1">
      <c r="A86" s="1"/>
      <c r="B86" s="1" t="str">
        <f t="shared" si="1"/>
        <v/>
      </c>
      <c r="F86" s="1"/>
      <c r="G86" s="17"/>
      <c r="I86" s="1" t="str">
        <f t="shared" si="2"/>
        <v>#REF!</v>
      </c>
      <c r="J86" s="1" t="str">
        <f t="array" ref="J86">IFERROR(INDEX('Исходник'!$1:$626,MATCH($I86,'Исходник'!$T:$T,0),MATCH(J$1,'Исходник'!$1:$1,0)))</f>
        <v/>
      </c>
      <c r="K86" s="7" t="str">
        <f t="shared" si="3"/>
        <v>#REF!</v>
      </c>
      <c r="L86" s="1" t="str">
        <f>IF(I86&gt;0,IF(TODAY()-K86&lt;'Анализ'!$D$4+1,1,0),"")</f>
        <v>#REF!</v>
      </c>
    </row>
    <row r="87" ht="15.75" customHeight="1">
      <c r="A87" s="1"/>
      <c r="B87" s="1" t="str">
        <f t="shared" si="1"/>
        <v/>
      </c>
      <c r="F87" s="1"/>
      <c r="G87" s="17"/>
      <c r="I87" s="1" t="str">
        <f t="shared" si="2"/>
        <v>#REF!</v>
      </c>
      <c r="J87" s="1" t="str">
        <f t="array" ref="J87">IFERROR(INDEX('Исходник'!$1:$626,MATCH($I87,'Исходник'!$T:$T,0),MATCH(J$1,'Исходник'!$1:$1,0)))</f>
        <v/>
      </c>
      <c r="K87" s="7" t="str">
        <f t="shared" si="3"/>
        <v>#REF!</v>
      </c>
      <c r="L87" s="1" t="str">
        <f>IF(I87&gt;0,IF(TODAY()-K87&lt;'Анализ'!$D$4+1,1,0),"")</f>
        <v>#REF!</v>
      </c>
    </row>
    <row r="88" ht="15.75" customHeight="1">
      <c r="A88" s="1"/>
      <c r="B88" s="1" t="str">
        <f t="shared" si="1"/>
        <v/>
      </c>
      <c r="F88" s="1"/>
      <c r="G88" s="17"/>
      <c r="I88" s="1" t="str">
        <f t="shared" si="2"/>
        <v>#REF!</v>
      </c>
      <c r="J88" s="1" t="str">
        <f t="array" ref="J88">IFERROR(INDEX('Исходник'!$1:$626,MATCH($I88,'Исходник'!$T:$T,0),MATCH(J$1,'Исходник'!$1:$1,0)))</f>
        <v/>
      </c>
      <c r="K88" s="7" t="str">
        <f t="shared" si="3"/>
        <v>#REF!</v>
      </c>
      <c r="L88" s="1" t="str">
        <f>IF(I88&gt;0,IF(TODAY()-K88&lt;'Анализ'!$D$4+1,1,0),"")</f>
        <v>#REF!</v>
      </c>
    </row>
    <row r="89" ht="15.75" customHeight="1">
      <c r="A89" s="1"/>
      <c r="B89" s="1" t="str">
        <f t="shared" si="1"/>
        <v/>
      </c>
      <c r="F89" s="1"/>
      <c r="G89" s="17"/>
      <c r="I89" s="1" t="str">
        <f t="shared" si="2"/>
        <v>#REF!</v>
      </c>
      <c r="J89" s="1" t="str">
        <f t="array" ref="J89">IFERROR(INDEX('Исходник'!$1:$626,MATCH($I89,'Исходник'!$T:$T,0),MATCH(J$1,'Исходник'!$1:$1,0)))</f>
        <v/>
      </c>
      <c r="K89" s="7" t="str">
        <f t="shared" si="3"/>
        <v>#REF!</v>
      </c>
      <c r="L89" s="1" t="str">
        <f>IF(I89&gt;0,IF(TODAY()-K89&lt;'Анализ'!$D$4+1,1,0),"")</f>
        <v>#REF!</v>
      </c>
    </row>
    <row r="90" ht="15.75" customHeight="1">
      <c r="A90" s="1"/>
      <c r="B90" s="1" t="str">
        <f t="shared" si="1"/>
        <v/>
      </c>
      <c r="F90" s="1"/>
      <c r="G90" s="17"/>
      <c r="I90" s="1" t="str">
        <f t="shared" si="2"/>
        <v>#REF!</v>
      </c>
      <c r="J90" s="1" t="str">
        <f t="array" ref="J90">IFERROR(INDEX('Исходник'!$1:$626,MATCH($I90,'Исходник'!$T:$T,0),MATCH(J$1,'Исходник'!$1:$1,0)))</f>
        <v/>
      </c>
      <c r="K90" s="7" t="str">
        <f t="shared" si="3"/>
        <v>#REF!</v>
      </c>
      <c r="L90" s="1" t="str">
        <f>IF(I90&gt;0,IF(TODAY()-K90&lt;'Анализ'!$D$4+1,1,0),"")</f>
        <v>#REF!</v>
      </c>
    </row>
    <row r="91" ht="15.75" customHeight="1">
      <c r="A91" s="1"/>
      <c r="B91" s="1" t="str">
        <f t="shared" si="1"/>
        <v/>
      </c>
      <c r="F91" s="1"/>
      <c r="G91" s="17"/>
      <c r="I91" s="1" t="str">
        <f t="shared" si="2"/>
        <v>#REF!</v>
      </c>
      <c r="J91" s="1" t="str">
        <f t="array" ref="J91">IFERROR(INDEX('Исходник'!$1:$626,MATCH($I91,'Исходник'!$T:$T,0),MATCH(J$1,'Исходник'!$1:$1,0)))</f>
        <v/>
      </c>
      <c r="K91" s="7" t="str">
        <f t="shared" si="3"/>
        <v>#REF!</v>
      </c>
      <c r="L91" s="1" t="str">
        <f>IF(I91&gt;0,IF(TODAY()-K91&lt;'Анализ'!$D$4+1,1,0),"")</f>
        <v>#REF!</v>
      </c>
    </row>
    <row r="92" ht="15.75" customHeight="1">
      <c r="A92" s="1"/>
      <c r="B92" s="1" t="str">
        <f t="shared" si="1"/>
        <v/>
      </c>
      <c r="F92" s="1"/>
      <c r="G92" s="17"/>
      <c r="I92" s="1" t="str">
        <f t="shared" si="2"/>
        <v>#REF!</v>
      </c>
      <c r="J92" s="1" t="str">
        <f t="array" ref="J92">IFERROR(INDEX('Исходник'!$1:$626,MATCH($I92,'Исходник'!$T:$T,0),MATCH(J$1,'Исходник'!$1:$1,0)))</f>
        <v/>
      </c>
      <c r="K92" s="7" t="str">
        <f t="shared" si="3"/>
        <v>#REF!</v>
      </c>
      <c r="L92" s="1" t="str">
        <f>IF(I92&gt;0,IF(TODAY()-K92&lt;'Анализ'!$D$4+1,1,0),"")</f>
        <v>#REF!</v>
      </c>
    </row>
    <row r="93" ht="15.75" customHeight="1">
      <c r="A93" s="1"/>
      <c r="B93" s="1" t="str">
        <f t="shared" si="1"/>
        <v/>
      </c>
      <c r="F93" s="1"/>
      <c r="G93" s="17"/>
      <c r="I93" s="1" t="str">
        <f t="shared" si="2"/>
        <v>#REF!</v>
      </c>
      <c r="J93" s="1" t="str">
        <f t="array" ref="J93">IFERROR(INDEX('Исходник'!$1:$626,MATCH($I93,'Исходник'!$T:$T,0),MATCH(J$1,'Исходник'!$1:$1,0)))</f>
        <v/>
      </c>
      <c r="K93" s="7" t="str">
        <f t="shared" si="3"/>
        <v>#REF!</v>
      </c>
      <c r="L93" s="1" t="str">
        <f>IF(I93&gt;0,IF(TODAY()-K93&lt;'Анализ'!$D$4+1,1,0),"")</f>
        <v>#REF!</v>
      </c>
    </row>
    <row r="94" ht="15.75" customHeight="1">
      <c r="A94" s="1"/>
      <c r="B94" s="1" t="str">
        <f t="shared" si="1"/>
        <v/>
      </c>
      <c r="F94" s="1"/>
      <c r="G94" s="17"/>
      <c r="I94" s="1" t="str">
        <f t="shared" si="2"/>
        <v>#REF!</v>
      </c>
      <c r="J94" s="1" t="str">
        <f t="array" ref="J94">IFERROR(INDEX('Исходник'!$1:$626,MATCH($I94,'Исходник'!$T:$T,0),MATCH(J$1,'Исходник'!$1:$1,0)))</f>
        <v/>
      </c>
      <c r="K94" s="7" t="str">
        <f t="shared" si="3"/>
        <v>#REF!</v>
      </c>
      <c r="L94" s="1" t="str">
        <f>IF(I94&gt;0,IF(TODAY()-K94&lt;'Анализ'!$D$4+1,1,0),"")</f>
        <v>#REF!</v>
      </c>
    </row>
    <row r="95" ht="15.75" customHeight="1">
      <c r="A95" s="1"/>
      <c r="B95" s="1" t="str">
        <f t="shared" si="1"/>
        <v/>
      </c>
      <c r="F95" s="1"/>
      <c r="G95" s="17"/>
      <c r="I95" s="1" t="str">
        <f t="shared" si="2"/>
        <v>#REF!</v>
      </c>
      <c r="J95" s="1" t="str">
        <f t="array" ref="J95">IFERROR(INDEX('Исходник'!$1:$626,MATCH($I95,'Исходник'!$T:$T,0),MATCH(J$1,'Исходник'!$1:$1,0)))</f>
        <v/>
      </c>
      <c r="K95" s="7" t="str">
        <f t="shared" si="3"/>
        <v>#REF!</v>
      </c>
      <c r="L95" s="1" t="str">
        <f>IF(I95&gt;0,IF(TODAY()-K95&lt;'Анализ'!$D$4+1,1,0),"")</f>
        <v>#REF!</v>
      </c>
    </row>
    <row r="96" ht="15.75" customHeight="1">
      <c r="A96" s="1"/>
      <c r="B96" s="1" t="str">
        <f t="shared" si="1"/>
        <v/>
      </c>
      <c r="F96" s="1"/>
      <c r="G96" s="17"/>
      <c r="I96" s="1" t="str">
        <f t="shared" si="2"/>
        <v>#REF!</v>
      </c>
      <c r="J96" s="1" t="str">
        <f t="array" ref="J96">IFERROR(INDEX('Исходник'!$1:$626,MATCH($I96,'Исходник'!$T:$T,0),MATCH(J$1,'Исходник'!$1:$1,0)))</f>
        <v/>
      </c>
      <c r="K96" s="7" t="str">
        <f t="shared" si="3"/>
        <v>#REF!</v>
      </c>
      <c r="L96" s="1" t="str">
        <f>IF(I96&gt;0,IF(TODAY()-K96&lt;'Анализ'!$D$4+1,1,0),"")</f>
        <v>#REF!</v>
      </c>
    </row>
    <row r="97" ht="15.75" customHeight="1">
      <c r="A97" s="1"/>
      <c r="B97" s="1" t="str">
        <f t="shared" si="1"/>
        <v/>
      </c>
      <c r="F97" s="1"/>
      <c r="G97" s="17"/>
      <c r="I97" s="1" t="str">
        <f t="shared" si="2"/>
        <v>#REF!</v>
      </c>
      <c r="J97" s="1" t="str">
        <f t="array" ref="J97">IFERROR(INDEX('Исходник'!$1:$626,MATCH($I97,'Исходник'!$T:$T,0),MATCH(J$1,'Исходник'!$1:$1,0)))</f>
        <v/>
      </c>
      <c r="K97" s="7" t="str">
        <f t="shared" si="3"/>
        <v>#REF!</v>
      </c>
      <c r="L97" s="1" t="str">
        <f>IF(I97&gt;0,IF(TODAY()-K97&lt;'Анализ'!$D$4+1,1,0),"")</f>
        <v>#REF!</v>
      </c>
    </row>
    <row r="98" ht="15.75" customHeight="1">
      <c r="A98" s="1"/>
      <c r="B98" s="1" t="str">
        <f t="shared" si="1"/>
        <v/>
      </c>
      <c r="F98" s="1"/>
      <c r="G98" s="17"/>
      <c r="I98" s="1" t="str">
        <f t="shared" si="2"/>
        <v>#REF!</v>
      </c>
      <c r="J98" s="1" t="str">
        <f t="array" ref="J98">IFERROR(INDEX('Исходник'!$1:$626,MATCH($I98,'Исходник'!$T:$T,0),MATCH(J$1,'Исходник'!$1:$1,0)))</f>
        <v/>
      </c>
      <c r="K98" s="7" t="str">
        <f t="shared" si="3"/>
        <v>#REF!</v>
      </c>
      <c r="L98" s="1" t="str">
        <f>IF(I98&gt;0,IF(TODAY()-K98&lt;'Анализ'!$D$4+1,1,0),"")</f>
        <v>#REF!</v>
      </c>
    </row>
    <row r="99" ht="15.75" customHeight="1">
      <c r="A99" s="1"/>
      <c r="B99" s="1" t="str">
        <f t="shared" si="1"/>
        <v/>
      </c>
      <c r="F99" s="1"/>
      <c r="G99" s="17"/>
      <c r="I99" s="1" t="str">
        <f t="shared" si="2"/>
        <v>#REF!</v>
      </c>
      <c r="J99" s="1" t="str">
        <f t="array" ref="J99">IFERROR(INDEX('Исходник'!$1:$626,MATCH($I99,'Исходник'!$T:$T,0),MATCH(J$1,'Исходник'!$1:$1,0)))</f>
        <v/>
      </c>
      <c r="K99" s="7" t="str">
        <f t="shared" si="3"/>
        <v>#REF!</v>
      </c>
      <c r="L99" s="1" t="str">
        <f>IF(I99&gt;0,IF(TODAY()-K99&lt;'Анализ'!$D$4+1,1,0),"")</f>
        <v>#REF!</v>
      </c>
    </row>
    <row r="100" ht="15.75" customHeight="1">
      <c r="A100" s="1"/>
      <c r="B100" s="1" t="str">
        <f t="shared" si="1"/>
        <v/>
      </c>
      <c r="F100" s="1"/>
      <c r="G100" s="17"/>
      <c r="I100" s="1" t="str">
        <f t="shared" si="2"/>
        <v>#REF!</v>
      </c>
      <c r="J100" s="1" t="str">
        <f t="array" ref="J100">IFERROR(INDEX('Исходник'!$1:$626,MATCH($I100,'Исходник'!$T:$T,0),MATCH(J$1,'Исходник'!$1:$1,0)))</f>
        <v/>
      </c>
      <c r="K100" s="7" t="str">
        <f t="shared" si="3"/>
        <v>#REF!</v>
      </c>
      <c r="L100" s="1" t="str">
        <f>IF(I100&gt;0,IF(TODAY()-K100&lt;'Анализ'!$D$4+1,1,0),"")</f>
        <v>#REF!</v>
      </c>
    </row>
    <row r="101" ht="15.75" customHeight="1">
      <c r="A101" s="1"/>
      <c r="B101" s="1" t="str">
        <f t="shared" si="1"/>
        <v/>
      </c>
      <c r="F101" s="1"/>
      <c r="G101" s="17"/>
      <c r="I101" s="1" t="str">
        <f t="shared" si="2"/>
        <v>#REF!</v>
      </c>
      <c r="J101" s="1" t="str">
        <f t="array" ref="J101">IFERROR(INDEX('Исходник'!$1:$626,MATCH($I101,'Исходник'!$T:$T,0),MATCH(J$1,'Исходник'!$1:$1,0)))</f>
        <v/>
      </c>
      <c r="K101" s="7" t="str">
        <f t="shared" si="3"/>
        <v>#REF!</v>
      </c>
      <c r="L101" s="1" t="str">
        <f>IF(I101&gt;0,IF(TODAY()-K101&lt;'Анализ'!$D$4+1,1,0),"")</f>
        <v>#REF!</v>
      </c>
    </row>
    <row r="102" ht="15.75" customHeight="1">
      <c r="A102" s="1"/>
      <c r="B102" s="1" t="str">
        <f t="shared" si="1"/>
        <v/>
      </c>
      <c r="F102" s="1"/>
      <c r="G102" s="17"/>
      <c r="I102" s="1" t="str">
        <f t="shared" si="2"/>
        <v>#REF!</v>
      </c>
      <c r="J102" s="1" t="str">
        <f t="array" ref="J102">IFERROR(INDEX('Исходник'!$1:$626,MATCH($I102,'Исходник'!$T:$T,0),MATCH(J$1,'Исходник'!$1:$1,0)))</f>
        <v/>
      </c>
      <c r="K102" s="7" t="str">
        <f t="shared" si="3"/>
        <v>#REF!</v>
      </c>
      <c r="L102" s="1" t="str">
        <f>IF(I102&gt;0,IF(TODAY()-K102&lt;'Анализ'!$D$4+1,1,0),"")</f>
        <v>#REF!</v>
      </c>
    </row>
    <row r="103" ht="15.75" customHeight="1">
      <c r="A103" s="1"/>
      <c r="B103" s="1" t="str">
        <f t="shared" si="1"/>
        <v/>
      </c>
      <c r="F103" s="1"/>
      <c r="G103" s="17"/>
      <c r="I103" s="1" t="str">
        <f t="shared" si="2"/>
        <v>#REF!</v>
      </c>
      <c r="J103" s="1" t="str">
        <f t="array" ref="J103">IFERROR(INDEX('Исходник'!$1:$626,MATCH($I103,'Исходник'!$T:$T,0),MATCH(J$1,'Исходник'!$1:$1,0)))</f>
        <v/>
      </c>
      <c r="K103" s="7" t="str">
        <f t="shared" si="3"/>
        <v>#REF!</v>
      </c>
      <c r="L103" s="1" t="str">
        <f>IF(I103&gt;0,IF(TODAY()-K103&lt;'Анализ'!$D$4+1,1,0),"")</f>
        <v>#REF!</v>
      </c>
    </row>
    <row r="104" ht="15.75" customHeight="1">
      <c r="A104" s="1"/>
      <c r="B104" s="1" t="str">
        <f t="shared" si="1"/>
        <v/>
      </c>
      <c r="F104" s="1"/>
      <c r="G104" s="17"/>
      <c r="I104" s="1" t="str">
        <f t="shared" si="2"/>
        <v>#REF!</v>
      </c>
      <c r="J104" s="1" t="str">
        <f t="array" ref="J104">IFERROR(INDEX('Исходник'!$1:$626,MATCH($I104,'Исходник'!$T:$T,0),MATCH(J$1,'Исходник'!$1:$1,0)))</f>
        <v/>
      </c>
      <c r="K104" s="7" t="str">
        <f t="shared" si="3"/>
        <v>#REF!</v>
      </c>
      <c r="L104" s="1" t="str">
        <f>IF(I104&gt;0,IF(TODAY()-K104&lt;'Анализ'!$D$4+1,1,0),"")</f>
        <v>#REF!</v>
      </c>
    </row>
    <row r="105" ht="15.75" customHeight="1">
      <c r="A105" s="1"/>
      <c r="B105" s="1" t="str">
        <f t="shared" si="1"/>
        <v/>
      </c>
      <c r="F105" s="1"/>
      <c r="G105" s="17"/>
      <c r="I105" s="1" t="str">
        <f t="shared" si="2"/>
        <v>#REF!</v>
      </c>
      <c r="J105" s="1" t="str">
        <f t="array" ref="J105">IFERROR(INDEX('Исходник'!$1:$626,MATCH($I105,'Исходник'!$T:$T,0),MATCH(J$1,'Исходник'!$1:$1,0)))</f>
        <v/>
      </c>
      <c r="K105" s="7" t="str">
        <f t="shared" si="3"/>
        <v>#REF!</v>
      </c>
      <c r="L105" s="1" t="str">
        <f>IF(I105&gt;0,IF(TODAY()-K105&lt;'Анализ'!$D$4+1,1,0),"")</f>
        <v>#REF!</v>
      </c>
    </row>
    <row r="106" ht="15.75" customHeight="1">
      <c r="A106" s="1"/>
      <c r="B106" s="1" t="str">
        <f t="shared" si="1"/>
        <v/>
      </c>
      <c r="F106" s="1"/>
      <c r="G106" s="17"/>
      <c r="I106" s="1" t="str">
        <f t="shared" si="2"/>
        <v>#REF!</v>
      </c>
      <c r="J106" s="1" t="str">
        <f t="array" ref="J106">IFERROR(INDEX('Исходник'!$1:$626,MATCH($I106,'Исходник'!$T:$T,0),MATCH(J$1,'Исходник'!$1:$1,0)))</f>
        <v/>
      </c>
      <c r="K106" s="7" t="str">
        <f t="shared" si="3"/>
        <v>#REF!</v>
      </c>
      <c r="L106" s="1" t="str">
        <f>IF(I106&gt;0,IF(TODAY()-K106&lt;'Анализ'!$D$4+1,1,0),"")</f>
        <v>#REF!</v>
      </c>
    </row>
    <row r="107" ht="15.75" customHeight="1">
      <c r="A107" s="1"/>
      <c r="B107" s="1" t="str">
        <f t="shared" si="1"/>
        <v/>
      </c>
      <c r="F107" s="1"/>
      <c r="G107" s="17"/>
      <c r="I107" s="1" t="str">
        <f t="shared" si="2"/>
        <v>#REF!</v>
      </c>
      <c r="J107" s="1" t="str">
        <f t="array" ref="J107">IFERROR(INDEX('Исходник'!$1:$626,MATCH($I107,'Исходник'!$T:$T,0),MATCH(J$1,'Исходник'!$1:$1,0)))</f>
        <v/>
      </c>
      <c r="K107" s="7" t="str">
        <f t="shared" si="3"/>
        <v>#REF!</v>
      </c>
      <c r="L107" s="1" t="str">
        <f>IF(I107&gt;0,IF(TODAY()-K107&lt;'Анализ'!$D$4+1,1,0),"")</f>
        <v>#REF!</v>
      </c>
    </row>
    <row r="108" ht="15.75" customHeight="1">
      <c r="A108" s="1"/>
      <c r="B108" s="1" t="str">
        <f t="shared" si="1"/>
        <v/>
      </c>
      <c r="F108" s="1"/>
      <c r="G108" s="17"/>
      <c r="I108" s="1" t="str">
        <f t="shared" si="2"/>
        <v>#REF!</v>
      </c>
      <c r="J108" s="1" t="str">
        <f t="array" ref="J108">IFERROR(INDEX('Исходник'!$1:$626,MATCH($I108,'Исходник'!$T:$T,0),MATCH(J$1,'Исходник'!$1:$1,0)))</f>
        <v/>
      </c>
      <c r="K108" s="7" t="str">
        <f t="shared" si="3"/>
        <v>#REF!</v>
      </c>
      <c r="L108" s="1" t="str">
        <f>IF(I108&gt;0,IF(TODAY()-K108&lt;'Анализ'!$D$4+1,1,0),"")</f>
        <v>#REF!</v>
      </c>
    </row>
    <row r="109" ht="15.75" customHeight="1">
      <c r="A109" s="1"/>
      <c r="B109" s="1" t="str">
        <f t="shared" si="1"/>
        <v/>
      </c>
      <c r="F109" s="1"/>
      <c r="G109" s="17"/>
      <c r="I109" s="1" t="str">
        <f t="shared" si="2"/>
        <v>#REF!</v>
      </c>
      <c r="J109" s="1" t="str">
        <f t="array" ref="J109">IFERROR(INDEX('Исходник'!$1:$626,MATCH($I109,'Исходник'!$T:$T,0),MATCH(J$1,'Исходник'!$1:$1,0)))</f>
        <v/>
      </c>
      <c r="K109" s="7" t="str">
        <f t="shared" si="3"/>
        <v>#REF!</v>
      </c>
      <c r="L109" s="1" t="str">
        <f>IF(I109&gt;0,IF(TODAY()-K109&lt;'Анализ'!$D$4+1,1,0),"")</f>
        <v>#REF!</v>
      </c>
    </row>
    <row r="110" ht="15.75" customHeight="1">
      <c r="A110" s="1"/>
      <c r="B110" s="1" t="str">
        <f t="shared" si="1"/>
        <v/>
      </c>
      <c r="F110" s="1"/>
      <c r="G110" s="17"/>
      <c r="I110" s="1" t="str">
        <f t="shared" si="2"/>
        <v>#REF!</v>
      </c>
      <c r="J110" s="1" t="str">
        <f t="array" ref="J110">IFERROR(INDEX('Исходник'!$1:$626,MATCH($I110,'Исходник'!$T:$T,0),MATCH(J$1,'Исходник'!$1:$1,0)))</f>
        <v/>
      </c>
      <c r="K110" s="7" t="str">
        <f t="shared" si="3"/>
        <v>#REF!</v>
      </c>
      <c r="L110" s="1" t="str">
        <f>IF(I110&gt;0,IF(TODAY()-K110&lt;'Анализ'!$D$4+1,1,0),"")</f>
        <v>#REF!</v>
      </c>
    </row>
    <row r="111" ht="15.75" customHeight="1">
      <c r="A111" s="1"/>
      <c r="B111" s="1" t="str">
        <f t="shared" si="1"/>
        <v/>
      </c>
      <c r="F111" s="1"/>
      <c r="G111" s="17"/>
      <c r="I111" s="1" t="str">
        <f t="shared" si="2"/>
        <v>#REF!</v>
      </c>
      <c r="J111" s="1" t="str">
        <f t="array" ref="J111">IFERROR(INDEX('Исходник'!$1:$626,MATCH($I111,'Исходник'!$T:$T,0),MATCH(J$1,'Исходник'!$1:$1,0)))</f>
        <v/>
      </c>
      <c r="K111" s="7" t="str">
        <f t="shared" si="3"/>
        <v>#REF!</v>
      </c>
      <c r="L111" s="1" t="str">
        <f>IF(I111&gt;0,IF(TODAY()-K111&lt;'Анализ'!$D$4+1,1,0),"")</f>
        <v>#REF!</v>
      </c>
    </row>
    <row r="112" ht="15.75" customHeight="1">
      <c r="A112" s="1"/>
      <c r="B112" s="1" t="str">
        <f t="shared" si="1"/>
        <v/>
      </c>
      <c r="F112" s="1"/>
      <c r="G112" s="17"/>
      <c r="I112" s="1" t="str">
        <f t="shared" si="2"/>
        <v>#REF!</v>
      </c>
      <c r="J112" s="1" t="str">
        <f t="array" ref="J112">IFERROR(INDEX('Исходник'!$1:$626,MATCH($I112,'Исходник'!$T:$T,0),MATCH(J$1,'Исходник'!$1:$1,0)))</f>
        <v/>
      </c>
      <c r="K112" s="7" t="str">
        <f t="shared" si="3"/>
        <v>#REF!</v>
      </c>
      <c r="L112" s="1" t="str">
        <f>IF(I112&gt;0,IF(TODAY()-K112&lt;'Анализ'!$D$4+1,1,0),"")</f>
        <v>#REF!</v>
      </c>
    </row>
    <row r="113" ht="15.75" customHeight="1">
      <c r="A113" s="1"/>
      <c r="B113" s="1" t="str">
        <f t="shared" si="1"/>
        <v/>
      </c>
      <c r="F113" s="1"/>
      <c r="G113" s="17"/>
      <c r="I113" s="1" t="str">
        <f t="shared" si="2"/>
        <v>#REF!</v>
      </c>
      <c r="J113" s="1" t="str">
        <f t="array" ref="J113">IFERROR(INDEX('Исходник'!$1:$626,MATCH($I113,'Исходник'!$T:$T,0),MATCH(J$1,'Исходник'!$1:$1,0)))</f>
        <v/>
      </c>
      <c r="K113" s="7" t="str">
        <f t="shared" si="3"/>
        <v>#REF!</v>
      </c>
      <c r="L113" s="1" t="str">
        <f>IF(I113&gt;0,IF(TODAY()-K113&lt;'Анализ'!$D$4+1,1,0),"")</f>
        <v>#REF!</v>
      </c>
    </row>
    <row r="114" ht="15.75" customHeight="1">
      <c r="A114" s="1"/>
      <c r="B114" s="1" t="str">
        <f t="shared" si="1"/>
        <v/>
      </c>
      <c r="F114" s="1"/>
      <c r="G114" s="17"/>
      <c r="I114" s="1" t="str">
        <f t="shared" si="2"/>
        <v>#REF!</v>
      </c>
      <c r="J114" s="1" t="str">
        <f t="array" ref="J114">IFERROR(INDEX('Исходник'!$1:$626,MATCH($I114,'Исходник'!$T:$T,0),MATCH(J$1,'Исходник'!$1:$1,0)))</f>
        <v/>
      </c>
      <c r="K114" s="7" t="str">
        <f t="shared" si="3"/>
        <v>#REF!</v>
      </c>
      <c r="L114" s="1" t="str">
        <f>IF(I114&gt;0,IF(TODAY()-K114&lt;'Анализ'!$D$4+1,1,0),"")</f>
        <v>#REF!</v>
      </c>
    </row>
    <row r="115" ht="15.75" customHeight="1">
      <c r="A115" s="1"/>
      <c r="B115" s="1" t="str">
        <f t="shared" si="1"/>
        <v/>
      </c>
      <c r="F115" s="1"/>
      <c r="G115" s="17"/>
      <c r="I115" s="1" t="str">
        <f t="shared" si="2"/>
        <v>#REF!</v>
      </c>
      <c r="J115" s="1" t="str">
        <f t="array" ref="J115">IFERROR(INDEX('Исходник'!$1:$626,MATCH($I115,'Исходник'!$T:$T,0),MATCH(J$1,'Исходник'!$1:$1,0)))</f>
        <v/>
      </c>
      <c r="K115" s="7" t="str">
        <f t="shared" si="3"/>
        <v>#REF!</v>
      </c>
      <c r="L115" s="1" t="str">
        <f>IF(I115&gt;0,IF(TODAY()-K115&lt;'Анализ'!$D$4+1,1,0),"")</f>
        <v>#REF!</v>
      </c>
    </row>
    <row r="116" ht="15.75" customHeight="1">
      <c r="A116" s="1"/>
      <c r="B116" s="1" t="str">
        <f t="shared" si="1"/>
        <v/>
      </c>
      <c r="F116" s="1"/>
      <c r="G116" s="17"/>
      <c r="I116" s="1" t="str">
        <f t="shared" si="2"/>
        <v>#REF!</v>
      </c>
      <c r="J116" s="1" t="str">
        <f t="array" ref="J116">IFERROR(INDEX('Исходник'!$1:$626,MATCH($I116,'Исходник'!$T:$T,0),MATCH(J$1,'Исходник'!$1:$1,0)))</f>
        <v/>
      </c>
      <c r="K116" s="7" t="str">
        <f t="shared" si="3"/>
        <v>#REF!</v>
      </c>
      <c r="L116" s="1" t="str">
        <f>IF(I116&gt;0,IF(TODAY()-K116&lt;'Анализ'!$D$4+1,1,0),"")</f>
        <v>#REF!</v>
      </c>
    </row>
    <row r="117" ht="15.75" customHeight="1">
      <c r="A117" s="1"/>
      <c r="B117" s="1" t="str">
        <f t="shared" si="1"/>
        <v/>
      </c>
      <c r="F117" s="1"/>
      <c r="G117" s="17"/>
      <c r="I117" s="1" t="str">
        <f t="shared" si="2"/>
        <v>#REF!</v>
      </c>
      <c r="J117" s="1" t="str">
        <f t="array" ref="J117">IFERROR(INDEX('Исходник'!$1:$626,MATCH($I117,'Исходник'!$T:$T,0),MATCH(J$1,'Исходник'!$1:$1,0)))</f>
        <v/>
      </c>
      <c r="K117" s="7" t="str">
        <f t="shared" si="3"/>
        <v>#REF!</v>
      </c>
      <c r="L117" s="1" t="str">
        <f>IF(I117&gt;0,IF(TODAY()-K117&lt;'Анализ'!$D$4+1,1,0),"")</f>
        <v>#REF!</v>
      </c>
    </row>
    <row r="118" ht="15.75" customHeight="1">
      <c r="A118" s="1"/>
      <c r="B118" s="1" t="str">
        <f t="shared" si="1"/>
        <v/>
      </c>
      <c r="F118" s="1"/>
      <c r="G118" s="17"/>
      <c r="I118" s="1" t="str">
        <f t="shared" si="2"/>
        <v>#REF!</v>
      </c>
      <c r="J118" s="1" t="str">
        <f t="array" ref="J118">IFERROR(INDEX('Исходник'!$1:$626,MATCH($I118,'Исходник'!$T:$T,0),MATCH(J$1,'Исходник'!$1:$1,0)))</f>
        <v/>
      </c>
      <c r="K118" s="7" t="str">
        <f t="shared" si="3"/>
        <v>#REF!</v>
      </c>
      <c r="L118" s="1" t="str">
        <f>IF(I118&gt;0,IF(TODAY()-K118&lt;'Анализ'!$D$4+1,1,0),"")</f>
        <v>#REF!</v>
      </c>
    </row>
    <row r="119" ht="15.75" customHeight="1">
      <c r="A119" s="1"/>
      <c r="B119" s="1" t="str">
        <f t="shared" si="1"/>
        <v/>
      </c>
      <c r="F119" s="1"/>
      <c r="G119" s="17"/>
      <c r="I119" s="1" t="str">
        <f t="shared" si="2"/>
        <v>#REF!</v>
      </c>
      <c r="J119" s="1" t="str">
        <f t="array" ref="J119">IFERROR(INDEX('Исходник'!$1:$626,MATCH($I119,'Исходник'!$T:$T,0),MATCH(J$1,'Исходник'!$1:$1,0)))</f>
        <v/>
      </c>
      <c r="K119" s="7" t="str">
        <f t="shared" si="3"/>
        <v>#REF!</v>
      </c>
      <c r="L119" s="1" t="str">
        <f>IF(I119&gt;0,IF(TODAY()-K119&lt;'Анализ'!$D$4+1,1,0),"")</f>
        <v>#REF!</v>
      </c>
    </row>
    <row r="120" ht="15.75" customHeight="1">
      <c r="A120" s="1"/>
      <c r="B120" s="1" t="str">
        <f t="shared" si="1"/>
        <v/>
      </c>
      <c r="F120" s="1"/>
      <c r="G120" s="17"/>
      <c r="I120" s="1" t="str">
        <f t="shared" si="2"/>
        <v>#REF!</v>
      </c>
      <c r="J120" s="1" t="str">
        <f t="array" ref="J120">IFERROR(INDEX('Исходник'!$1:$626,MATCH($I120,'Исходник'!$T:$T,0),MATCH(J$1,'Исходник'!$1:$1,0)))</f>
        <v/>
      </c>
      <c r="K120" s="7" t="str">
        <f t="shared" si="3"/>
        <v>#REF!</v>
      </c>
      <c r="L120" s="1" t="str">
        <f>IF(I120&gt;0,IF(TODAY()-K120&lt;'Анализ'!$D$4+1,1,0),"")</f>
        <v>#REF!</v>
      </c>
    </row>
    <row r="121" ht="15.75" customHeight="1">
      <c r="A121" s="1"/>
      <c r="B121" s="1" t="str">
        <f t="shared" si="1"/>
        <v/>
      </c>
      <c r="F121" s="1"/>
      <c r="G121" s="17"/>
      <c r="I121" s="1" t="str">
        <f t="shared" si="2"/>
        <v>#REF!</v>
      </c>
      <c r="J121" s="1" t="str">
        <f t="array" ref="J121">IFERROR(INDEX('Исходник'!$1:$626,MATCH($I121,'Исходник'!$T:$T,0),MATCH(J$1,'Исходник'!$1:$1,0)))</f>
        <v/>
      </c>
      <c r="K121" s="7" t="str">
        <f t="shared" si="3"/>
        <v>#REF!</v>
      </c>
      <c r="L121" s="1" t="str">
        <f>IF(I121&gt;0,IF(TODAY()-K121&lt;'Анализ'!$D$4+1,1,0),"")</f>
        <v>#REF!</v>
      </c>
    </row>
    <row r="122" ht="15.75" customHeight="1">
      <c r="A122" s="1"/>
      <c r="B122" s="1" t="str">
        <f t="shared" si="1"/>
        <v/>
      </c>
      <c r="F122" s="1"/>
      <c r="G122" s="17"/>
      <c r="I122" s="1" t="str">
        <f t="shared" si="2"/>
        <v>#REF!</v>
      </c>
      <c r="J122" s="1" t="str">
        <f t="array" ref="J122">IFERROR(INDEX('Исходник'!$1:$626,MATCH($I122,'Исходник'!$T:$T,0),MATCH(J$1,'Исходник'!$1:$1,0)))</f>
        <v/>
      </c>
      <c r="K122" s="7" t="str">
        <f t="shared" si="3"/>
        <v>#REF!</v>
      </c>
      <c r="L122" s="1" t="str">
        <f>IF(I122&gt;0,IF(TODAY()-K122&lt;'Анализ'!$D$4+1,1,0),"")</f>
        <v>#REF!</v>
      </c>
    </row>
    <row r="123" ht="15.75" customHeight="1">
      <c r="A123" s="1"/>
      <c r="B123" s="1" t="str">
        <f t="shared" si="1"/>
        <v/>
      </c>
      <c r="F123" s="1"/>
      <c r="G123" s="17"/>
      <c r="I123" s="1" t="str">
        <f t="shared" si="2"/>
        <v>#REF!</v>
      </c>
      <c r="J123" s="1" t="str">
        <f t="array" ref="J123">IFERROR(INDEX('Исходник'!$1:$626,MATCH($I123,'Исходник'!$T:$T,0),MATCH(J$1,'Исходник'!$1:$1,0)))</f>
        <v/>
      </c>
      <c r="K123" s="7" t="str">
        <f t="shared" si="3"/>
        <v>#REF!</v>
      </c>
      <c r="L123" s="1" t="str">
        <f>IF(I123&gt;0,IF(TODAY()-K123&lt;'Анализ'!$D$4+1,1,0),"")</f>
        <v>#REF!</v>
      </c>
    </row>
    <row r="124" ht="15.75" customHeight="1">
      <c r="A124" s="1"/>
      <c r="B124" s="1" t="str">
        <f t="shared" si="1"/>
        <v/>
      </c>
      <c r="F124" s="1"/>
      <c r="G124" s="17"/>
      <c r="I124" s="1" t="str">
        <f t="shared" si="2"/>
        <v>#REF!</v>
      </c>
      <c r="J124" s="1" t="str">
        <f t="array" ref="J124">IFERROR(INDEX('Исходник'!$1:$626,MATCH($I124,'Исходник'!$T:$T,0),MATCH(J$1,'Исходник'!$1:$1,0)))</f>
        <v/>
      </c>
      <c r="K124" s="7" t="str">
        <f t="shared" si="3"/>
        <v>#REF!</v>
      </c>
      <c r="L124" s="1" t="str">
        <f>IF(I124&gt;0,IF(TODAY()-K124&lt;'Анализ'!$D$4+1,1,0),"")</f>
        <v>#REF!</v>
      </c>
    </row>
    <row r="125" ht="15.75" customHeight="1">
      <c r="A125" s="1"/>
      <c r="B125" s="1" t="str">
        <f t="shared" si="1"/>
        <v/>
      </c>
      <c r="F125" s="1"/>
      <c r="G125" s="17"/>
      <c r="I125" s="1" t="str">
        <f t="shared" si="2"/>
        <v>#REF!</v>
      </c>
      <c r="J125" s="1" t="str">
        <f t="array" ref="J125">IFERROR(INDEX('Исходник'!$1:$626,MATCH($I125,'Исходник'!$T:$T,0),MATCH(J$1,'Исходник'!$1:$1,0)))</f>
        <v/>
      </c>
      <c r="K125" s="7" t="str">
        <f t="shared" si="3"/>
        <v>#REF!</v>
      </c>
      <c r="L125" s="1" t="str">
        <f>IF(I125&gt;0,IF(TODAY()-K125&lt;'Анализ'!$D$4+1,1,0),"")</f>
        <v>#REF!</v>
      </c>
    </row>
    <row r="126" ht="15.75" customHeight="1">
      <c r="A126" s="1"/>
      <c r="B126" s="1" t="str">
        <f t="shared" si="1"/>
        <v/>
      </c>
      <c r="F126" s="1"/>
      <c r="G126" s="17"/>
      <c r="I126" s="1" t="str">
        <f t="shared" si="2"/>
        <v>#REF!</v>
      </c>
      <c r="J126" s="1" t="str">
        <f t="array" ref="J126">IFERROR(INDEX('Исходник'!$1:$626,MATCH($I126,'Исходник'!$T:$T,0),MATCH(J$1,'Исходник'!$1:$1,0)))</f>
        <v/>
      </c>
      <c r="K126" s="7" t="str">
        <f t="shared" si="3"/>
        <v>#REF!</v>
      </c>
      <c r="L126" s="1" t="str">
        <f>IF(I126&gt;0,IF(TODAY()-K126&lt;'Анализ'!$D$4+1,1,0),"")</f>
        <v>#REF!</v>
      </c>
    </row>
    <row r="127" ht="15.75" customHeight="1">
      <c r="A127" s="1"/>
      <c r="B127" s="1" t="str">
        <f t="shared" si="1"/>
        <v/>
      </c>
      <c r="F127" s="1"/>
      <c r="G127" s="17"/>
      <c r="I127" s="1" t="str">
        <f t="shared" si="2"/>
        <v>#REF!</v>
      </c>
      <c r="J127" s="1" t="str">
        <f t="array" ref="J127">IFERROR(INDEX('Исходник'!$1:$626,MATCH($I127,'Исходник'!$T:$T,0),MATCH(J$1,'Исходник'!$1:$1,0)))</f>
        <v/>
      </c>
      <c r="K127" s="7" t="str">
        <f t="shared" si="3"/>
        <v>#REF!</v>
      </c>
      <c r="L127" s="1" t="str">
        <f>IF(I127&gt;0,IF(TODAY()-K127&lt;'Анализ'!$D$4+1,1,0),"")</f>
        <v>#REF!</v>
      </c>
    </row>
    <row r="128" ht="15.75" customHeight="1">
      <c r="A128" s="1"/>
      <c r="B128" s="1" t="str">
        <f t="shared" si="1"/>
        <v/>
      </c>
      <c r="F128" s="1"/>
      <c r="G128" s="17"/>
      <c r="I128" s="1" t="str">
        <f t="shared" si="2"/>
        <v>#REF!</v>
      </c>
      <c r="J128" s="1" t="str">
        <f t="array" ref="J128">IFERROR(INDEX('Исходник'!$1:$626,MATCH($I128,'Исходник'!$T:$T,0),MATCH(J$1,'Исходник'!$1:$1,0)))</f>
        <v/>
      </c>
      <c r="K128" s="7" t="str">
        <f t="shared" si="3"/>
        <v>#REF!</v>
      </c>
      <c r="L128" s="1" t="str">
        <f>IF(I128&gt;0,IF(TODAY()-K128&lt;'Анализ'!$D$4+1,1,0),"")</f>
        <v>#REF!</v>
      </c>
    </row>
    <row r="129" ht="15.75" customHeight="1">
      <c r="A129" s="1"/>
      <c r="B129" s="1" t="str">
        <f t="shared" si="1"/>
        <v/>
      </c>
      <c r="F129" s="1"/>
      <c r="G129" s="17"/>
      <c r="I129" s="1" t="str">
        <f t="shared" si="2"/>
        <v>#REF!</v>
      </c>
      <c r="J129" s="1" t="str">
        <f t="array" ref="J129">IFERROR(INDEX('Исходник'!$1:$626,MATCH($I129,'Исходник'!$T:$T,0),MATCH(J$1,'Исходник'!$1:$1,0)))</f>
        <v/>
      </c>
      <c r="K129" s="7" t="str">
        <f t="shared" si="3"/>
        <v>#REF!</v>
      </c>
      <c r="L129" s="1" t="str">
        <f>IF(I129&gt;0,IF(TODAY()-K129&lt;'Анализ'!$D$4+1,1,0),"")</f>
        <v>#REF!</v>
      </c>
    </row>
    <row r="130" ht="15.75" customHeight="1">
      <c r="A130" s="1"/>
      <c r="B130" s="1" t="str">
        <f t="shared" si="1"/>
        <v/>
      </c>
      <c r="F130" s="1"/>
      <c r="G130" s="17"/>
      <c r="I130" s="1" t="str">
        <f t="shared" si="2"/>
        <v>#REF!</v>
      </c>
      <c r="J130" s="1" t="str">
        <f t="array" ref="J130">IFERROR(INDEX('Исходник'!$1:$626,MATCH($I130,'Исходник'!$T:$T,0),MATCH(J$1,'Исходник'!$1:$1,0)))</f>
        <v/>
      </c>
      <c r="K130" s="7" t="str">
        <f t="shared" si="3"/>
        <v>#REF!</v>
      </c>
      <c r="L130" s="1" t="str">
        <f>IF(I130&gt;0,IF(TODAY()-K130&lt;'Анализ'!$D$4+1,1,0),"")</f>
        <v>#REF!</v>
      </c>
    </row>
    <row r="131" ht="15.75" customHeight="1">
      <c r="A131" s="1"/>
      <c r="B131" s="1" t="str">
        <f t="shared" si="1"/>
        <v/>
      </c>
      <c r="F131" s="1"/>
      <c r="G131" s="17"/>
      <c r="I131" s="1" t="str">
        <f t="shared" si="2"/>
        <v>#REF!</v>
      </c>
      <c r="J131" s="1" t="str">
        <f t="array" ref="J131">IFERROR(INDEX('Исходник'!$1:$626,MATCH($I131,'Исходник'!$T:$T,0),MATCH(J$1,'Исходник'!$1:$1,0)))</f>
        <v/>
      </c>
      <c r="K131" s="7" t="str">
        <f t="shared" si="3"/>
        <v>#REF!</v>
      </c>
      <c r="L131" s="1" t="str">
        <f>IF(I131&gt;0,IF(TODAY()-K131&lt;'Анализ'!$D$4+1,1,0),"")</f>
        <v>#REF!</v>
      </c>
    </row>
    <row r="132" ht="15.75" customHeight="1">
      <c r="A132" s="1"/>
      <c r="B132" s="1" t="str">
        <f t="shared" si="1"/>
        <v/>
      </c>
      <c r="F132" s="1"/>
      <c r="G132" s="17"/>
      <c r="I132" s="1" t="str">
        <f t="shared" si="2"/>
        <v>#REF!</v>
      </c>
      <c r="J132" s="1" t="str">
        <f t="array" ref="J132">IFERROR(INDEX('Исходник'!$1:$626,MATCH($I132,'Исходник'!$T:$T,0),MATCH(J$1,'Исходник'!$1:$1,0)))</f>
        <v/>
      </c>
      <c r="K132" s="7" t="str">
        <f t="shared" si="3"/>
        <v>#REF!</v>
      </c>
      <c r="L132" s="1" t="str">
        <f>IF(I132&gt;0,IF(TODAY()-K132&lt;'Анализ'!$D$4+1,1,0),"")</f>
        <v>#REF!</v>
      </c>
    </row>
    <row r="133" ht="15.75" customHeight="1">
      <c r="A133" s="1"/>
      <c r="B133" s="1" t="str">
        <f t="shared" si="1"/>
        <v/>
      </c>
      <c r="F133" s="1"/>
      <c r="G133" s="17"/>
      <c r="I133" s="1" t="str">
        <f t="shared" si="2"/>
        <v>#REF!</v>
      </c>
      <c r="J133" s="1" t="str">
        <f t="array" ref="J133">IFERROR(INDEX('Исходник'!$1:$626,MATCH($I133,'Исходник'!$T:$T,0),MATCH(J$1,'Исходник'!$1:$1,0)))</f>
        <v/>
      </c>
      <c r="K133" s="7" t="str">
        <f t="shared" si="3"/>
        <v>#REF!</v>
      </c>
      <c r="L133" s="1" t="str">
        <f>IF(I133&gt;0,IF(TODAY()-K133&lt;'Анализ'!$D$4+1,1,0),"")</f>
        <v>#REF!</v>
      </c>
    </row>
    <row r="134" ht="15.75" customHeight="1">
      <c r="A134" s="1"/>
      <c r="B134" s="1" t="str">
        <f t="shared" si="1"/>
        <v/>
      </c>
      <c r="F134" s="1"/>
      <c r="G134" s="17"/>
      <c r="I134" s="1" t="str">
        <f t="shared" si="2"/>
        <v>#REF!</v>
      </c>
      <c r="J134" s="1" t="str">
        <f t="array" ref="J134">IFERROR(INDEX('Исходник'!$1:$626,MATCH($I134,'Исходник'!$T:$T,0),MATCH(J$1,'Исходник'!$1:$1,0)))</f>
        <v/>
      </c>
      <c r="K134" s="7" t="str">
        <f t="shared" si="3"/>
        <v>#REF!</v>
      </c>
      <c r="L134" s="1" t="str">
        <f>IF(I134&gt;0,IF(TODAY()-K134&lt;'Анализ'!$D$4+1,1,0),"")</f>
        <v>#REF!</v>
      </c>
    </row>
    <row r="135" ht="15.75" customHeight="1">
      <c r="A135" s="1"/>
      <c r="B135" s="1" t="str">
        <f t="shared" si="1"/>
        <v/>
      </c>
      <c r="F135" s="1"/>
      <c r="G135" s="17"/>
      <c r="I135" s="1" t="str">
        <f t="shared" si="2"/>
        <v>#REF!</v>
      </c>
      <c r="J135" s="1" t="str">
        <f t="array" ref="J135">IFERROR(INDEX('Исходник'!$1:$626,MATCH($I135,'Исходник'!$T:$T,0),MATCH(J$1,'Исходник'!$1:$1,0)))</f>
        <v/>
      </c>
      <c r="K135" s="7" t="str">
        <f t="shared" si="3"/>
        <v>#REF!</v>
      </c>
      <c r="L135" s="1" t="str">
        <f>IF(I135&gt;0,IF(TODAY()-K135&lt;'Анализ'!$D$4+1,1,0),"")</f>
        <v>#REF!</v>
      </c>
    </row>
    <row r="136" ht="15.75" customHeight="1">
      <c r="A136" s="1"/>
      <c r="B136" s="1" t="str">
        <f t="shared" si="1"/>
        <v/>
      </c>
      <c r="F136" s="1"/>
      <c r="G136" s="17"/>
      <c r="I136" s="1" t="str">
        <f t="shared" si="2"/>
        <v>#REF!</v>
      </c>
      <c r="J136" s="1" t="str">
        <f t="array" ref="J136">IFERROR(INDEX('Исходник'!$1:$626,MATCH($I136,'Исходник'!$T:$T,0),MATCH(J$1,'Исходник'!$1:$1,0)))</f>
        <v/>
      </c>
      <c r="K136" s="7" t="str">
        <f t="shared" si="3"/>
        <v>#REF!</v>
      </c>
      <c r="L136" s="1" t="str">
        <f>IF(I136&gt;0,IF(TODAY()-K136&lt;'Анализ'!$D$4+1,1,0),"")</f>
        <v>#REF!</v>
      </c>
    </row>
    <row r="137" ht="15.75" customHeight="1">
      <c r="A137" s="1"/>
      <c r="B137" s="1" t="str">
        <f t="shared" si="1"/>
        <v/>
      </c>
      <c r="F137" s="1"/>
      <c r="G137" s="17"/>
      <c r="I137" s="1" t="str">
        <f t="shared" si="2"/>
        <v>#REF!</v>
      </c>
      <c r="J137" s="1" t="str">
        <f t="array" ref="J137">IFERROR(INDEX('Исходник'!$1:$626,MATCH($I137,'Исходник'!$T:$T,0),MATCH(J$1,'Исходник'!$1:$1,0)))</f>
        <v/>
      </c>
      <c r="K137" s="7" t="str">
        <f t="shared" si="3"/>
        <v>#REF!</v>
      </c>
      <c r="L137" s="1" t="str">
        <f>IF(I137&gt;0,IF(TODAY()-K137&lt;'Анализ'!$D$4+1,1,0),"")</f>
        <v>#REF!</v>
      </c>
    </row>
    <row r="138" ht="15.75" customHeight="1">
      <c r="A138" s="1"/>
      <c r="B138" s="1" t="str">
        <f t="shared" si="1"/>
        <v/>
      </c>
      <c r="F138" s="1"/>
      <c r="G138" s="17"/>
      <c r="I138" s="1" t="str">
        <f t="shared" si="2"/>
        <v>#REF!</v>
      </c>
      <c r="J138" s="1" t="str">
        <f t="array" ref="J138">IFERROR(INDEX('Исходник'!$1:$626,MATCH($I138,'Исходник'!$T:$T,0),MATCH(J$1,'Исходник'!$1:$1,0)))</f>
        <v/>
      </c>
      <c r="K138" s="7" t="str">
        <f t="shared" si="3"/>
        <v>#REF!</v>
      </c>
      <c r="L138" s="1" t="str">
        <f>IF(I138&gt;0,IF(TODAY()-K138&lt;'Анализ'!$D$4+1,1,0),"")</f>
        <v>#REF!</v>
      </c>
    </row>
    <row r="139" ht="15.75" customHeight="1">
      <c r="A139" s="1"/>
      <c r="B139" s="1" t="str">
        <f t="shared" si="1"/>
        <v/>
      </c>
      <c r="F139" s="1"/>
      <c r="G139" s="17"/>
      <c r="I139" s="1" t="str">
        <f t="shared" si="2"/>
        <v>#REF!</v>
      </c>
      <c r="J139" s="1" t="str">
        <f t="array" ref="J139">IFERROR(INDEX('Исходник'!$1:$626,MATCH($I139,'Исходник'!$T:$T,0),MATCH(J$1,'Исходник'!$1:$1,0)))</f>
        <v/>
      </c>
      <c r="K139" s="7" t="str">
        <f t="shared" si="3"/>
        <v>#REF!</v>
      </c>
      <c r="L139" s="1" t="str">
        <f>IF(I139&gt;0,IF(TODAY()-K139&lt;'Анализ'!$D$4+1,1,0),"")</f>
        <v>#REF!</v>
      </c>
    </row>
    <row r="140" ht="15.75" customHeight="1">
      <c r="A140" s="1"/>
      <c r="B140" s="1" t="str">
        <f t="shared" si="1"/>
        <v/>
      </c>
      <c r="F140" s="1"/>
      <c r="G140" s="17"/>
      <c r="I140" s="1" t="str">
        <f t="shared" si="2"/>
        <v>#REF!</v>
      </c>
      <c r="J140" s="1" t="str">
        <f t="array" ref="J140">IFERROR(INDEX('Исходник'!$1:$626,MATCH($I140,'Исходник'!$T:$T,0),MATCH(J$1,'Исходник'!$1:$1,0)))</f>
        <v/>
      </c>
      <c r="K140" s="7" t="str">
        <f t="shared" si="3"/>
        <v>#REF!</v>
      </c>
      <c r="L140" s="1" t="str">
        <f>IF(I140&gt;0,IF(TODAY()-K140&lt;'Анализ'!$D$4+1,1,0),"")</f>
        <v>#REF!</v>
      </c>
    </row>
    <row r="141" ht="15.75" customHeight="1">
      <c r="A141" s="1"/>
      <c r="B141" s="1" t="str">
        <f t="shared" si="1"/>
        <v/>
      </c>
      <c r="F141" s="1"/>
      <c r="G141" s="17"/>
      <c r="I141" s="1" t="str">
        <f t="shared" si="2"/>
        <v>#REF!</v>
      </c>
      <c r="J141" s="1" t="str">
        <f t="array" ref="J141">IFERROR(INDEX('Исходник'!$1:$626,MATCH($I141,'Исходник'!$T:$T,0),MATCH(J$1,'Исходник'!$1:$1,0)))</f>
        <v/>
      </c>
      <c r="K141" s="7" t="str">
        <f t="shared" si="3"/>
        <v>#REF!</v>
      </c>
      <c r="L141" s="1" t="str">
        <f>IF(I141&gt;0,IF(TODAY()-K141&lt;'Анализ'!$D$4+1,1,0),"")</f>
        <v>#REF!</v>
      </c>
    </row>
    <row r="142" ht="15.75" customHeight="1">
      <c r="A142" s="1"/>
      <c r="B142" s="1" t="str">
        <f t="shared" si="1"/>
        <v/>
      </c>
      <c r="F142" s="1"/>
      <c r="G142" s="17"/>
      <c r="I142" s="1" t="str">
        <f t="shared" si="2"/>
        <v>#REF!</v>
      </c>
      <c r="J142" s="1" t="str">
        <f t="array" ref="J142">IFERROR(INDEX('Исходник'!$1:$626,MATCH($I142,'Исходник'!$T:$T,0),MATCH(J$1,'Исходник'!$1:$1,0)))</f>
        <v/>
      </c>
      <c r="K142" s="7" t="str">
        <f t="shared" si="3"/>
        <v>#REF!</v>
      </c>
      <c r="L142" s="1" t="str">
        <f>IF(I142&gt;0,IF(TODAY()-K142&lt;'Анализ'!$D$4+1,1,0),"")</f>
        <v>#REF!</v>
      </c>
    </row>
    <row r="143" ht="15.75" customHeight="1">
      <c r="A143" s="1"/>
      <c r="B143" s="1" t="str">
        <f t="shared" si="1"/>
        <v/>
      </c>
      <c r="F143" s="1"/>
      <c r="G143" s="17"/>
      <c r="I143" s="1" t="str">
        <f t="shared" si="2"/>
        <v>#REF!</v>
      </c>
      <c r="J143" s="1" t="str">
        <f t="array" ref="J143">IFERROR(INDEX('Исходник'!$1:$626,MATCH($I143,'Исходник'!$T:$T,0),MATCH(J$1,'Исходник'!$1:$1,0)))</f>
        <v/>
      </c>
      <c r="K143" s="7" t="str">
        <f t="shared" si="3"/>
        <v>#REF!</v>
      </c>
      <c r="L143" s="1" t="str">
        <f>IF(I143&gt;0,IF(TODAY()-K143&lt;'Анализ'!$D$4+1,1,0),"")</f>
        <v>#REF!</v>
      </c>
    </row>
    <row r="144" ht="15.75" customHeight="1">
      <c r="A144" s="1"/>
      <c r="B144" s="1" t="str">
        <f t="shared" si="1"/>
        <v/>
      </c>
      <c r="F144" s="1"/>
      <c r="G144" s="17"/>
      <c r="I144" s="1" t="str">
        <f t="shared" si="2"/>
        <v>#REF!</v>
      </c>
      <c r="J144" s="1" t="str">
        <f t="array" ref="J144">IFERROR(INDEX('Исходник'!$1:$626,MATCH($I144,'Исходник'!$T:$T,0),MATCH(J$1,'Исходник'!$1:$1,0)))</f>
        <v/>
      </c>
      <c r="K144" s="7" t="str">
        <f t="shared" si="3"/>
        <v>#REF!</v>
      </c>
      <c r="L144" s="1" t="str">
        <f>IF(I144&gt;0,IF(TODAY()-K144&lt;'Анализ'!$D$4+1,1,0),"")</f>
        <v>#REF!</v>
      </c>
    </row>
    <row r="145" ht="15.75" customHeight="1">
      <c r="A145" s="1"/>
      <c r="B145" s="1" t="str">
        <f t="shared" si="1"/>
        <v/>
      </c>
      <c r="F145" s="1"/>
      <c r="G145" s="17"/>
      <c r="I145" s="1" t="str">
        <f t="shared" si="2"/>
        <v>#REF!</v>
      </c>
      <c r="J145" s="1" t="str">
        <f t="array" ref="J145">IFERROR(INDEX('Исходник'!$1:$626,MATCH($I145,'Исходник'!$T:$T,0),MATCH(J$1,'Исходник'!$1:$1,0)))</f>
        <v/>
      </c>
      <c r="K145" s="7" t="str">
        <f t="shared" si="3"/>
        <v>#REF!</v>
      </c>
      <c r="L145" s="1" t="str">
        <f>IF(I145&gt;0,IF(TODAY()-K145&lt;'Анализ'!$D$4+1,1,0),"")</f>
        <v>#REF!</v>
      </c>
    </row>
    <row r="146" ht="15.75" customHeight="1">
      <c r="A146" s="1"/>
      <c r="B146" s="1" t="str">
        <f t="shared" si="1"/>
        <v/>
      </c>
      <c r="F146" s="1"/>
      <c r="G146" s="17"/>
      <c r="I146" s="1" t="str">
        <f t="shared" si="2"/>
        <v>#REF!</v>
      </c>
      <c r="J146" s="1" t="str">
        <f t="array" ref="J146">IFERROR(INDEX('Исходник'!$1:$626,MATCH($I146,'Исходник'!$T:$T,0),MATCH(J$1,'Исходник'!$1:$1,0)))</f>
        <v/>
      </c>
      <c r="K146" s="7" t="str">
        <f t="shared" si="3"/>
        <v>#REF!</v>
      </c>
      <c r="L146" s="1" t="str">
        <f>IF(I146&gt;0,IF(TODAY()-K146&lt;'Анализ'!$D$4+1,1,0),"")</f>
        <v>#REF!</v>
      </c>
    </row>
    <row r="147" ht="15.75" customHeight="1">
      <c r="A147" s="1"/>
      <c r="B147" s="1" t="str">
        <f t="shared" si="1"/>
        <v/>
      </c>
      <c r="F147" s="1"/>
      <c r="G147" s="17"/>
      <c r="I147" s="1" t="str">
        <f t="shared" si="2"/>
        <v>#REF!</v>
      </c>
      <c r="J147" s="1" t="str">
        <f t="array" ref="J147">IFERROR(INDEX('Исходник'!$1:$626,MATCH($I147,'Исходник'!$T:$T,0),MATCH(J$1,'Исходник'!$1:$1,0)))</f>
        <v/>
      </c>
      <c r="K147" s="7" t="str">
        <f t="shared" si="3"/>
        <v>#REF!</v>
      </c>
      <c r="L147" s="1" t="str">
        <f>IF(I147&gt;0,IF(TODAY()-K147&lt;'Анализ'!$D$4+1,1,0),"")</f>
        <v>#REF!</v>
      </c>
    </row>
    <row r="148" ht="15.75" customHeight="1">
      <c r="A148" s="1"/>
      <c r="B148" s="1" t="str">
        <f t="shared" si="1"/>
        <v/>
      </c>
      <c r="F148" s="1"/>
      <c r="G148" s="17"/>
      <c r="I148" s="1" t="str">
        <f t="shared" si="2"/>
        <v>#REF!</v>
      </c>
      <c r="J148" s="1" t="str">
        <f t="array" ref="J148">IFERROR(INDEX('Исходник'!$1:$626,MATCH($I148,'Исходник'!$T:$T,0),MATCH(J$1,'Исходник'!$1:$1,0)))</f>
        <v/>
      </c>
      <c r="K148" s="7" t="str">
        <f t="shared" si="3"/>
        <v>#REF!</v>
      </c>
      <c r="L148" s="1" t="str">
        <f>IF(I148&gt;0,IF(TODAY()-K148&lt;'Анализ'!$D$4+1,1,0),"")</f>
        <v>#REF!</v>
      </c>
    </row>
    <row r="149" ht="15.75" customHeight="1">
      <c r="A149" s="1"/>
      <c r="B149" s="1" t="str">
        <f t="shared" si="1"/>
        <v/>
      </c>
      <c r="F149" s="1"/>
      <c r="G149" s="17"/>
      <c r="I149" s="1" t="str">
        <f t="shared" si="2"/>
        <v>#REF!</v>
      </c>
      <c r="J149" s="1" t="str">
        <f t="array" ref="J149">IFERROR(INDEX('Исходник'!$1:$626,MATCH($I149,'Исходник'!$T:$T,0),MATCH(J$1,'Исходник'!$1:$1,0)))</f>
        <v/>
      </c>
      <c r="K149" s="7" t="str">
        <f t="shared" si="3"/>
        <v>#REF!</v>
      </c>
      <c r="L149" s="1" t="str">
        <f>IF(I149&gt;0,IF(TODAY()-K149&lt;'Анализ'!$D$4+1,1,0),"")</f>
        <v>#REF!</v>
      </c>
    </row>
    <row r="150" ht="15.75" customHeight="1">
      <c r="A150" s="1"/>
      <c r="B150" s="1" t="str">
        <f t="shared" si="1"/>
        <v/>
      </c>
      <c r="F150" s="1"/>
      <c r="G150" s="17"/>
      <c r="I150" s="1" t="str">
        <f t="shared" si="2"/>
        <v>#REF!</v>
      </c>
      <c r="J150" s="1" t="str">
        <f t="array" ref="J150">IFERROR(INDEX('Исходник'!$1:$626,MATCH($I150,'Исходник'!$T:$T,0),MATCH(J$1,'Исходник'!$1:$1,0)))</f>
        <v/>
      </c>
      <c r="K150" s="7" t="str">
        <f t="shared" si="3"/>
        <v>#REF!</v>
      </c>
      <c r="L150" s="1" t="str">
        <f>IF(I150&gt;0,IF(TODAY()-K150&lt;'Анализ'!$D$4+1,1,0),"")</f>
        <v>#REF!</v>
      </c>
    </row>
    <row r="151" ht="15.75" customHeight="1">
      <c r="A151" s="1"/>
      <c r="B151" s="1" t="str">
        <f t="shared" si="1"/>
        <v/>
      </c>
      <c r="F151" s="1"/>
      <c r="G151" s="17"/>
      <c r="I151" s="1" t="str">
        <f t="shared" si="2"/>
        <v>#REF!</v>
      </c>
      <c r="J151" s="1" t="str">
        <f t="array" ref="J151">IFERROR(INDEX('Исходник'!$1:$626,MATCH($I151,'Исходник'!$T:$T,0),MATCH(J$1,'Исходник'!$1:$1,0)))</f>
        <v/>
      </c>
      <c r="K151" s="7" t="str">
        <f t="shared" si="3"/>
        <v>#REF!</v>
      </c>
      <c r="L151" s="1" t="str">
        <f>IF(I151&gt;0,IF(TODAY()-K151&lt;'Анализ'!$D$4+1,1,0),"")</f>
        <v>#REF!</v>
      </c>
    </row>
    <row r="152" ht="15.75" customHeight="1">
      <c r="A152" s="1"/>
      <c r="B152" s="1" t="str">
        <f t="shared" si="1"/>
        <v/>
      </c>
      <c r="F152" s="1"/>
      <c r="G152" s="17"/>
      <c r="I152" s="1" t="str">
        <f t="shared" si="2"/>
        <v>#REF!</v>
      </c>
      <c r="J152" s="1" t="str">
        <f t="array" ref="J152">IFERROR(INDEX('Исходник'!$1:$626,MATCH($I152,'Исходник'!$T:$T,0),MATCH(J$1,'Исходник'!$1:$1,0)))</f>
        <v/>
      </c>
      <c r="K152" s="7" t="str">
        <f t="shared" si="3"/>
        <v>#REF!</v>
      </c>
      <c r="L152" s="1" t="str">
        <f>IF(I152&gt;0,IF(TODAY()-K152&lt;'Анализ'!$D$4+1,1,0),"")</f>
        <v>#REF!</v>
      </c>
    </row>
    <row r="153" ht="15.75" customHeight="1">
      <c r="A153" s="1"/>
      <c r="B153" s="1" t="str">
        <f t="shared" si="1"/>
        <v/>
      </c>
      <c r="F153" s="1"/>
      <c r="G153" s="17"/>
      <c r="I153" s="1" t="str">
        <f t="shared" si="2"/>
        <v>#REF!</v>
      </c>
      <c r="J153" s="1" t="str">
        <f t="array" ref="J153">IFERROR(INDEX('Исходник'!$1:$626,MATCH($I153,'Исходник'!$T:$T,0),MATCH(J$1,'Исходник'!$1:$1,0)))</f>
        <v/>
      </c>
      <c r="K153" s="7" t="str">
        <f t="shared" si="3"/>
        <v>#REF!</v>
      </c>
      <c r="L153" s="1" t="str">
        <f>IF(I153&gt;0,IF(TODAY()-K153&lt;'Анализ'!$D$4+1,1,0),"")</f>
        <v>#REF!</v>
      </c>
    </row>
    <row r="154" ht="15.75" customHeight="1">
      <c r="A154" s="1"/>
      <c r="B154" s="1" t="str">
        <f t="shared" si="1"/>
        <v/>
      </c>
      <c r="F154" s="1"/>
      <c r="G154" s="17"/>
      <c r="I154" s="1" t="str">
        <f t="shared" si="2"/>
        <v>#REF!</v>
      </c>
      <c r="J154" s="1" t="str">
        <f t="array" ref="J154">IFERROR(INDEX('Исходник'!$1:$626,MATCH($I154,'Исходник'!$T:$T,0),MATCH(J$1,'Исходник'!$1:$1,0)))</f>
        <v/>
      </c>
      <c r="K154" s="7" t="str">
        <f t="shared" si="3"/>
        <v>#REF!</v>
      </c>
      <c r="L154" s="1" t="str">
        <f>IF(I154&gt;0,IF(TODAY()-K154&lt;'Анализ'!$D$4+1,1,0),"")</f>
        <v>#REF!</v>
      </c>
    </row>
    <row r="155" ht="15.75" customHeight="1">
      <c r="A155" s="1"/>
      <c r="B155" s="1" t="str">
        <f t="shared" si="1"/>
        <v/>
      </c>
      <c r="F155" s="1"/>
      <c r="G155" s="17"/>
      <c r="I155" s="1" t="str">
        <f t="shared" si="2"/>
        <v>#REF!</v>
      </c>
      <c r="J155" s="1" t="str">
        <f t="array" ref="J155">IFERROR(INDEX('Исходник'!$1:$626,MATCH($I155,'Исходник'!$T:$T,0),MATCH(J$1,'Исходник'!$1:$1,0)))</f>
        <v/>
      </c>
      <c r="K155" s="7" t="str">
        <f t="shared" si="3"/>
        <v>#REF!</v>
      </c>
      <c r="L155" s="1" t="str">
        <f>IF(I155&gt;0,IF(TODAY()-K155&lt;'Анализ'!$D$4+1,1,0),"")</f>
        <v>#REF!</v>
      </c>
    </row>
    <row r="156" ht="15.75" customHeight="1">
      <c r="A156" s="1"/>
      <c r="B156" s="1" t="str">
        <f t="shared" si="1"/>
        <v/>
      </c>
      <c r="F156" s="1"/>
      <c r="G156" s="17"/>
      <c r="I156" s="1" t="str">
        <f t="shared" si="2"/>
        <v>#REF!</v>
      </c>
      <c r="J156" s="1" t="str">
        <f t="array" ref="J156">IFERROR(INDEX('Исходник'!$1:$626,MATCH($I156,'Исходник'!$T:$T,0),MATCH(J$1,'Исходник'!$1:$1,0)))</f>
        <v/>
      </c>
      <c r="K156" s="7" t="str">
        <f t="shared" si="3"/>
        <v>#REF!</v>
      </c>
      <c r="L156" s="1" t="str">
        <f>IF(I156&gt;0,IF(TODAY()-K156&lt;'Анализ'!$D$4+1,1,0),"")</f>
        <v>#REF!</v>
      </c>
    </row>
    <row r="157" ht="15.75" customHeight="1">
      <c r="A157" s="1"/>
      <c r="B157" s="1" t="str">
        <f t="shared" si="1"/>
        <v/>
      </c>
      <c r="F157" s="1"/>
      <c r="G157" s="17"/>
      <c r="I157" s="1" t="str">
        <f t="shared" si="2"/>
        <v>#REF!</v>
      </c>
      <c r="J157" s="1" t="str">
        <f t="array" ref="J157">IFERROR(INDEX('Исходник'!$1:$626,MATCH($I157,'Исходник'!$T:$T,0),MATCH(J$1,'Исходник'!$1:$1,0)))</f>
        <v/>
      </c>
      <c r="K157" s="7" t="str">
        <f t="shared" si="3"/>
        <v>#REF!</v>
      </c>
      <c r="L157" s="1" t="str">
        <f>IF(I157&gt;0,IF(TODAY()-K157&lt;'Анализ'!$D$4+1,1,0),"")</f>
        <v>#REF!</v>
      </c>
    </row>
    <row r="158" ht="15.75" customHeight="1">
      <c r="A158" s="1"/>
      <c r="B158" s="1" t="str">
        <f t="shared" si="1"/>
        <v/>
      </c>
      <c r="F158" s="1"/>
      <c r="G158" s="17"/>
      <c r="I158" s="1" t="str">
        <f t="shared" si="2"/>
        <v>#REF!</v>
      </c>
      <c r="J158" s="1" t="str">
        <f t="array" ref="J158">IFERROR(INDEX('Исходник'!$1:$626,MATCH($I158,'Исходник'!$T:$T,0),MATCH(J$1,'Исходник'!$1:$1,0)))</f>
        <v/>
      </c>
      <c r="K158" s="7" t="str">
        <f t="shared" si="3"/>
        <v>#REF!</v>
      </c>
      <c r="L158" s="1" t="str">
        <f>IF(I158&gt;0,IF(TODAY()-K158&lt;'Анализ'!$D$4+1,1,0),"")</f>
        <v>#REF!</v>
      </c>
    </row>
    <row r="159" ht="15.75" customHeight="1">
      <c r="A159" s="1"/>
      <c r="B159" s="1" t="str">
        <f t="shared" si="1"/>
        <v/>
      </c>
      <c r="F159" s="1"/>
      <c r="G159" s="17"/>
      <c r="I159" s="1" t="str">
        <f t="shared" si="2"/>
        <v>#REF!</v>
      </c>
      <c r="J159" s="1" t="str">
        <f t="array" ref="J159">IFERROR(INDEX('Исходник'!$1:$626,MATCH($I159,'Исходник'!$T:$T,0),MATCH(J$1,'Исходник'!$1:$1,0)))</f>
        <v/>
      </c>
      <c r="K159" s="7" t="str">
        <f t="shared" si="3"/>
        <v>#REF!</v>
      </c>
      <c r="L159" s="1" t="str">
        <f>IF(I159&gt;0,IF(TODAY()-K159&lt;'Анализ'!$D$4+1,1,0),"")</f>
        <v>#REF!</v>
      </c>
    </row>
    <row r="160" ht="15.75" customHeight="1">
      <c r="A160" s="1"/>
      <c r="B160" s="1" t="str">
        <f t="shared" si="1"/>
        <v/>
      </c>
      <c r="F160" s="1"/>
      <c r="G160" s="17"/>
      <c r="I160" s="1" t="str">
        <f t="shared" si="2"/>
        <v>#REF!</v>
      </c>
      <c r="J160" s="1" t="str">
        <f t="array" ref="J160">IFERROR(INDEX('Исходник'!$1:$626,MATCH($I160,'Исходник'!$T:$T,0),MATCH(J$1,'Исходник'!$1:$1,0)))</f>
        <v/>
      </c>
      <c r="K160" s="7" t="str">
        <f t="shared" si="3"/>
        <v>#REF!</v>
      </c>
      <c r="L160" s="1" t="str">
        <f>IF(I160&gt;0,IF(TODAY()-K160&lt;'Анализ'!$D$4+1,1,0),"")</f>
        <v>#REF!</v>
      </c>
    </row>
    <row r="161" ht="15.75" customHeight="1">
      <c r="A161" s="1"/>
      <c r="B161" s="1" t="str">
        <f t="shared" si="1"/>
        <v/>
      </c>
      <c r="F161" s="1"/>
      <c r="G161" s="17"/>
      <c r="I161" s="1" t="str">
        <f t="shared" si="2"/>
        <v>#REF!</v>
      </c>
      <c r="J161" s="1" t="str">
        <f t="array" ref="J161">IFERROR(INDEX('Исходник'!$1:$626,MATCH($I161,'Исходник'!$T:$T,0),MATCH(J$1,'Исходник'!$1:$1,0)))</f>
        <v/>
      </c>
      <c r="K161" s="7" t="str">
        <f t="shared" si="3"/>
        <v>#REF!</v>
      </c>
      <c r="L161" s="1" t="str">
        <f>IF(I161&gt;0,IF(TODAY()-K161&lt;'Анализ'!$D$4+1,1,0),"")</f>
        <v>#REF!</v>
      </c>
    </row>
    <row r="162" ht="15.75" customHeight="1">
      <c r="A162" s="1"/>
      <c r="B162" s="1" t="str">
        <f t="shared" si="1"/>
        <v/>
      </c>
      <c r="F162" s="1"/>
      <c r="G162" s="17"/>
      <c r="I162" s="1" t="str">
        <f t="shared" si="2"/>
        <v>#REF!</v>
      </c>
      <c r="J162" s="1" t="str">
        <f t="array" ref="J162">IFERROR(INDEX('Исходник'!$1:$626,MATCH($I162,'Исходник'!$T:$T,0),MATCH(J$1,'Исходник'!$1:$1,0)))</f>
        <v/>
      </c>
      <c r="K162" s="7" t="str">
        <f t="shared" si="3"/>
        <v>#REF!</v>
      </c>
      <c r="L162" s="1" t="str">
        <f>IF(I162&gt;0,IF(TODAY()-K162&lt;'Анализ'!$D$4+1,1,0),"")</f>
        <v>#REF!</v>
      </c>
    </row>
    <row r="163" ht="15.75" customHeight="1">
      <c r="A163" s="1"/>
      <c r="B163" s="1" t="str">
        <f t="shared" si="1"/>
        <v/>
      </c>
      <c r="F163" s="1"/>
      <c r="G163" s="17"/>
      <c r="I163" s="1" t="str">
        <f t="shared" si="2"/>
        <v>#REF!</v>
      </c>
      <c r="J163" s="1" t="str">
        <f t="array" ref="J163">IFERROR(INDEX('Исходник'!$1:$626,MATCH($I163,'Исходник'!$T:$T,0),MATCH(J$1,'Исходник'!$1:$1,0)))</f>
        <v/>
      </c>
      <c r="K163" s="7" t="str">
        <f t="shared" si="3"/>
        <v>#REF!</v>
      </c>
      <c r="L163" s="1" t="str">
        <f>IF(I163&gt;0,IF(TODAY()-K163&lt;'Анализ'!$D$4+1,1,0),"")</f>
        <v>#REF!</v>
      </c>
    </row>
    <row r="164" ht="15.75" customHeight="1">
      <c r="A164" s="1"/>
      <c r="B164" s="1" t="str">
        <f t="shared" si="1"/>
        <v/>
      </c>
      <c r="F164" s="1"/>
      <c r="G164" s="17"/>
      <c r="I164" s="1" t="str">
        <f t="shared" si="2"/>
        <v>#REF!</v>
      </c>
      <c r="J164" s="1" t="str">
        <f t="array" ref="J164">IFERROR(INDEX('Исходник'!$1:$626,MATCH($I164,'Исходник'!$T:$T,0),MATCH(J$1,'Исходник'!$1:$1,0)))</f>
        <v/>
      </c>
      <c r="K164" s="7" t="str">
        <f t="shared" si="3"/>
        <v>#REF!</v>
      </c>
      <c r="L164" s="1" t="str">
        <f>IF(I164&gt;0,IF(TODAY()-K164&lt;'Анализ'!$D$4+1,1,0),"")</f>
        <v>#REF!</v>
      </c>
    </row>
    <row r="165" ht="15.75" customHeight="1">
      <c r="A165" s="1"/>
      <c r="B165" s="1" t="str">
        <f t="shared" si="1"/>
        <v/>
      </c>
      <c r="F165" s="1"/>
      <c r="G165" s="17"/>
      <c r="I165" s="1" t="str">
        <f t="shared" si="2"/>
        <v>#REF!</v>
      </c>
      <c r="J165" s="1" t="str">
        <f t="array" ref="J165">IFERROR(INDEX('Исходник'!$1:$626,MATCH($I165,'Исходник'!$T:$T,0),MATCH(J$1,'Исходник'!$1:$1,0)))</f>
        <v/>
      </c>
      <c r="K165" s="7" t="str">
        <f t="shared" si="3"/>
        <v>#REF!</v>
      </c>
      <c r="L165" s="1" t="str">
        <f>IF(I165&gt;0,IF(TODAY()-K165&lt;'Анализ'!$D$4+1,1,0),"")</f>
        <v>#REF!</v>
      </c>
    </row>
    <row r="166" ht="15.75" customHeight="1">
      <c r="A166" s="1"/>
      <c r="B166" s="1" t="str">
        <f t="shared" si="1"/>
        <v/>
      </c>
      <c r="F166" s="1"/>
      <c r="G166" s="17"/>
      <c r="I166" s="1" t="str">
        <f t="shared" si="2"/>
        <v>#REF!</v>
      </c>
      <c r="J166" s="1" t="str">
        <f t="array" ref="J166">IFERROR(INDEX('Исходник'!$1:$626,MATCH($I166,'Исходник'!$T:$T,0),MATCH(J$1,'Исходник'!$1:$1,0)))</f>
        <v/>
      </c>
      <c r="K166" s="7" t="str">
        <f t="shared" si="3"/>
        <v>#REF!</v>
      </c>
      <c r="L166" s="1" t="str">
        <f>IF(I166&gt;0,IF(TODAY()-K166&lt;'Анализ'!$D$4+1,1,0),"")</f>
        <v>#REF!</v>
      </c>
    </row>
    <row r="167" ht="15.75" customHeight="1">
      <c r="A167" s="1"/>
      <c r="B167" s="1" t="str">
        <f t="shared" si="1"/>
        <v/>
      </c>
      <c r="F167" s="1"/>
      <c r="G167" s="17"/>
      <c r="I167" s="1" t="str">
        <f t="shared" si="2"/>
        <v>#REF!</v>
      </c>
      <c r="J167" s="1" t="str">
        <f t="array" ref="J167">IFERROR(INDEX('Исходник'!$1:$626,MATCH($I167,'Исходник'!$T:$T,0),MATCH(J$1,'Исходник'!$1:$1,0)))</f>
        <v/>
      </c>
      <c r="K167" s="7" t="str">
        <f t="shared" si="3"/>
        <v>#REF!</v>
      </c>
      <c r="L167" s="1" t="str">
        <f>IF(I167&gt;0,IF(TODAY()-K167&lt;'Анализ'!$D$4+1,1,0),"")</f>
        <v>#REF!</v>
      </c>
    </row>
    <row r="168" ht="15.75" customHeight="1">
      <c r="A168" s="1"/>
      <c r="B168" s="1" t="str">
        <f t="shared" si="1"/>
        <v/>
      </c>
      <c r="F168" s="1"/>
      <c r="G168" s="17"/>
      <c r="I168" s="1" t="str">
        <f t="shared" si="2"/>
        <v>#REF!</v>
      </c>
      <c r="J168" s="1" t="str">
        <f t="array" ref="J168">IFERROR(INDEX('Исходник'!$1:$626,MATCH($I168,'Исходник'!$T:$T,0),MATCH(J$1,'Исходник'!$1:$1,0)))</f>
        <v/>
      </c>
      <c r="K168" s="7" t="str">
        <f t="shared" si="3"/>
        <v>#REF!</v>
      </c>
      <c r="L168" s="1" t="str">
        <f>IF(I168&gt;0,IF(TODAY()-K168&lt;'Анализ'!$D$4+1,1,0),"")</f>
        <v>#REF!</v>
      </c>
    </row>
    <row r="169" ht="15.75" customHeight="1">
      <c r="A169" s="1"/>
      <c r="B169" s="1" t="str">
        <f t="shared" si="1"/>
        <v/>
      </c>
      <c r="F169" s="1"/>
      <c r="G169" s="17"/>
      <c r="I169" s="1" t="str">
        <f t="shared" si="2"/>
        <v>#REF!</v>
      </c>
      <c r="J169" s="1" t="str">
        <f t="array" ref="J169">IFERROR(INDEX('Исходник'!$1:$626,MATCH($I169,'Исходник'!$T:$T,0),MATCH(J$1,'Исходник'!$1:$1,0)))</f>
        <v/>
      </c>
      <c r="K169" s="7" t="str">
        <f t="shared" si="3"/>
        <v>#REF!</v>
      </c>
      <c r="L169" s="1" t="str">
        <f>IF(I169&gt;0,IF(TODAY()-K169&lt;'Анализ'!$D$4+1,1,0),"")</f>
        <v>#REF!</v>
      </c>
    </row>
    <row r="170" ht="15.75" customHeight="1">
      <c r="A170" s="1"/>
      <c r="B170" s="1" t="str">
        <f t="shared" si="1"/>
        <v/>
      </c>
      <c r="F170" s="1"/>
      <c r="G170" s="17"/>
      <c r="I170" s="1" t="str">
        <f t="shared" si="2"/>
        <v>#REF!</v>
      </c>
      <c r="J170" s="1" t="str">
        <f t="array" ref="J170">IFERROR(INDEX('Исходник'!$1:$626,MATCH($I170,'Исходник'!$T:$T,0),MATCH(J$1,'Исходник'!$1:$1,0)))</f>
        <v/>
      </c>
      <c r="K170" s="7" t="str">
        <f t="shared" si="3"/>
        <v>#REF!</v>
      </c>
      <c r="L170" s="1" t="str">
        <f>IF(I170&gt;0,IF(TODAY()-K170&lt;'Анализ'!$D$4+1,1,0),"")</f>
        <v>#REF!</v>
      </c>
    </row>
    <row r="171" ht="15.75" customHeight="1">
      <c r="A171" s="1"/>
      <c r="B171" s="1" t="str">
        <f t="shared" si="1"/>
        <v/>
      </c>
      <c r="F171" s="1"/>
      <c r="G171" s="17"/>
      <c r="I171" s="1" t="str">
        <f t="shared" si="2"/>
        <v>#REF!</v>
      </c>
      <c r="J171" s="1" t="str">
        <f t="array" ref="J171">IFERROR(INDEX('Исходник'!$1:$626,MATCH($I171,'Исходник'!$T:$T,0),MATCH(J$1,'Исходник'!$1:$1,0)))</f>
        <v/>
      </c>
      <c r="K171" s="7" t="str">
        <f t="shared" si="3"/>
        <v>#REF!</v>
      </c>
      <c r="L171" s="1" t="str">
        <f>IF(I171&gt;0,IF(TODAY()-K171&lt;'Анализ'!$D$4+1,1,0),"")</f>
        <v>#REF!</v>
      </c>
    </row>
    <row r="172" ht="15.75" customHeight="1">
      <c r="A172" s="1"/>
      <c r="B172" s="1" t="str">
        <f t="shared" si="1"/>
        <v/>
      </c>
      <c r="F172" s="1"/>
      <c r="G172" s="17"/>
      <c r="I172" s="1" t="str">
        <f t="shared" si="2"/>
        <v>#REF!</v>
      </c>
      <c r="J172" s="1" t="str">
        <f t="array" ref="J172">IFERROR(INDEX('Исходник'!$1:$626,MATCH($I172,'Исходник'!$T:$T,0),MATCH(J$1,'Исходник'!$1:$1,0)))</f>
        <v/>
      </c>
      <c r="K172" s="7" t="str">
        <f t="shared" si="3"/>
        <v>#REF!</v>
      </c>
      <c r="L172" s="1" t="str">
        <f>IF(I172&gt;0,IF(TODAY()-K172&lt;'Анализ'!$D$4+1,1,0),"")</f>
        <v>#REF!</v>
      </c>
    </row>
    <row r="173" ht="15.75" customHeight="1">
      <c r="A173" s="1"/>
      <c r="B173" s="1" t="str">
        <f t="shared" si="1"/>
        <v/>
      </c>
      <c r="F173" s="1"/>
      <c r="G173" s="17"/>
      <c r="I173" s="1" t="str">
        <f t="shared" si="2"/>
        <v>#REF!</v>
      </c>
      <c r="J173" s="1" t="str">
        <f t="array" ref="J173">IFERROR(INDEX('Исходник'!$1:$626,MATCH($I173,'Исходник'!$T:$T,0),MATCH(J$1,'Исходник'!$1:$1,0)))</f>
        <v/>
      </c>
      <c r="K173" s="7" t="str">
        <f t="shared" si="3"/>
        <v>#REF!</v>
      </c>
      <c r="L173" s="1" t="str">
        <f>IF(I173&gt;0,IF(TODAY()-K173&lt;'Анализ'!$D$4+1,1,0),"")</f>
        <v>#REF!</v>
      </c>
    </row>
    <row r="174" ht="15.75" customHeight="1">
      <c r="A174" s="1"/>
      <c r="B174" s="1" t="str">
        <f t="shared" si="1"/>
        <v/>
      </c>
      <c r="F174" s="1"/>
      <c r="G174" s="17"/>
      <c r="I174" s="1" t="str">
        <f t="shared" si="2"/>
        <v>#REF!</v>
      </c>
      <c r="J174" s="1" t="str">
        <f t="array" ref="J174">IFERROR(INDEX('Исходник'!$1:$626,MATCH($I174,'Исходник'!$T:$T,0),MATCH(J$1,'Исходник'!$1:$1,0)))</f>
        <v/>
      </c>
      <c r="K174" s="7" t="str">
        <f t="shared" si="3"/>
        <v>#REF!</v>
      </c>
      <c r="L174" s="1" t="str">
        <f>IF(I174&gt;0,IF(TODAY()-K174&lt;'Анализ'!$D$4+1,1,0),"")</f>
        <v>#REF!</v>
      </c>
    </row>
    <row r="175" ht="15.75" customHeight="1">
      <c r="A175" s="1"/>
      <c r="B175" s="1" t="str">
        <f t="shared" si="1"/>
        <v/>
      </c>
      <c r="F175" s="1"/>
      <c r="G175" s="17"/>
      <c r="I175" s="1" t="str">
        <f t="shared" si="2"/>
        <v>#REF!</v>
      </c>
      <c r="J175" s="1" t="str">
        <f t="array" ref="J175">IFERROR(INDEX('Исходник'!$1:$626,MATCH($I175,'Исходник'!$T:$T,0),MATCH(J$1,'Исходник'!$1:$1,0)))</f>
        <v/>
      </c>
      <c r="K175" s="7" t="str">
        <f t="shared" si="3"/>
        <v>#REF!</v>
      </c>
      <c r="L175" s="1" t="str">
        <f>IF(I175&gt;0,IF(TODAY()-K175&lt;'Анализ'!$D$4+1,1,0),"")</f>
        <v>#REF!</v>
      </c>
    </row>
    <row r="176" ht="15.75" customHeight="1">
      <c r="A176" s="1"/>
      <c r="B176" s="1" t="str">
        <f t="shared" si="1"/>
        <v/>
      </c>
      <c r="F176" s="1"/>
      <c r="G176" s="17"/>
      <c r="I176" s="1" t="str">
        <f t="shared" si="2"/>
        <v>#REF!</v>
      </c>
      <c r="J176" s="1" t="str">
        <f t="array" ref="J176">IFERROR(INDEX('Исходник'!$1:$626,MATCH($I176,'Исходник'!$T:$T,0),MATCH(J$1,'Исходник'!$1:$1,0)))</f>
        <v/>
      </c>
      <c r="K176" s="7" t="str">
        <f t="shared" si="3"/>
        <v>#REF!</v>
      </c>
      <c r="L176" s="1" t="str">
        <f>IF(I176&gt;0,IF(TODAY()-K176&lt;'Анализ'!$D$4+1,1,0),"")</f>
        <v>#REF!</v>
      </c>
    </row>
    <row r="177" ht="15.75" customHeight="1">
      <c r="A177" s="1"/>
      <c r="B177" s="1" t="str">
        <f t="shared" si="1"/>
        <v/>
      </c>
      <c r="F177" s="1"/>
      <c r="G177" s="17"/>
      <c r="I177" s="1" t="str">
        <f t="shared" si="2"/>
        <v>#REF!</v>
      </c>
      <c r="J177" s="1" t="str">
        <f t="array" ref="J177">IFERROR(INDEX('Исходник'!$1:$626,MATCH($I177,'Исходник'!$T:$T,0),MATCH(J$1,'Исходник'!$1:$1,0)))</f>
        <v/>
      </c>
      <c r="K177" s="7" t="str">
        <f t="shared" si="3"/>
        <v>#REF!</v>
      </c>
      <c r="L177" s="1" t="str">
        <f>IF(I177&gt;0,IF(TODAY()-K177&lt;'Анализ'!$D$4+1,1,0),"")</f>
        <v>#REF!</v>
      </c>
    </row>
    <row r="178" ht="15.75" customHeight="1">
      <c r="A178" s="1"/>
      <c r="B178" s="1" t="str">
        <f t="shared" si="1"/>
        <v/>
      </c>
      <c r="F178" s="1"/>
      <c r="G178" s="17"/>
      <c r="I178" s="1" t="str">
        <f t="shared" si="2"/>
        <v>#REF!</v>
      </c>
      <c r="J178" s="1" t="str">
        <f t="array" ref="J178">IFERROR(INDEX('Исходник'!$1:$626,MATCH($I178,'Исходник'!$T:$T,0),MATCH(J$1,'Исходник'!$1:$1,0)))</f>
        <v/>
      </c>
      <c r="K178" s="7" t="str">
        <f t="shared" si="3"/>
        <v>#REF!</v>
      </c>
      <c r="L178" s="1" t="str">
        <f>IF(I178&gt;0,IF(TODAY()-K178&lt;'Анализ'!$D$4+1,1,0),"")</f>
        <v>#REF!</v>
      </c>
    </row>
    <row r="179" ht="15.75" customHeight="1">
      <c r="A179" s="1"/>
      <c r="B179" s="1" t="str">
        <f t="shared" si="1"/>
        <v/>
      </c>
      <c r="F179" s="1"/>
      <c r="G179" s="17"/>
      <c r="I179" s="1" t="str">
        <f t="shared" si="2"/>
        <v>#REF!</v>
      </c>
      <c r="J179" s="1" t="str">
        <f t="array" ref="J179">IFERROR(INDEX('Исходник'!$1:$626,MATCH($I179,'Исходник'!$T:$T,0),MATCH(J$1,'Исходник'!$1:$1,0)))</f>
        <v/>
      </c>
      <c r="K179" s="7" t="str">
        <f t="shared" si="3"/>
        <v>#REF!</v>
      </c>
      <c r="L179" s="1" t="str">
        <f>IF(I179&gt;0,IF(TODAY()-K179&lt;'Анализ'!$D$4+1,1,0),"")</f>
        <v>#REF!</v>
      </c>
    </row>
    <row r="180" ht="15.75" customHeight="1">
      <c r="A180" s="1"/>
      <c r="B180" s="1" t="str">
        <f t="shared" si="1"/>
        <v/>
      </c>
      <c r="F180" s="1"/>
      <c r="G180" s="17"/>
      <c r="I180" s="1" t="str">
        <f t="shared" si="2"/>
        <v>#REF!</v>
      </c>
      <c r="J180" s="1" t="str">
        <f t="array" ref="J180">IFERROR(INDEX('Исходник'!$1:$626,MATCH($I180,'Исходник'!$T:$T,0),MATCH(J$1,'Исходник'!$1:$1,0)))</f>
        <v/>
      </c>
      <c r="K180" s="7" t="str">
        <f t="shared" si="3"/>
        <v>#REF!</v>
      </c>
      <c r="L180" s="1" t="str">
        <f>IF(I180&gt;0,IF(TODAY()-K180&lt;'Анализ'!$D$4+1,1,0),"")</f>
        <v>#REF!</v>
      </c>
    </row>
    <row r="181" ht="15.75" customHeight="1">
      <c r="A181" s="1"/>
      <c r="B181" s="1" t="str">
        <f t="shared" si="1"/>
        <v/>
      </c>
      <c r="F181" s="1"/>
      <c r="G181" s="17"/>
      <c r="I181" s="1" t="str">
        <f t="shared" si="2"/>
        <v>#REF!</v>
      </c>
      <c r="J181" s="1" t="str">
        <f t="array" ref="J181">IFERROR(INDEX('Исходник'!$1:$626,MATCH($I181,'Исходник'!$T:$T,0),MATCH(J$1,'Исходник'!$1:$1,0)))</f>
        <v/>
      </c>
      <c r="K181" s="7" t="str">
        <f t="shared" si="3"/>
        <v>#REF!</v>
      </c>
      <c r="L181" s="1" t="str">
        <f>IF(I181&gt;0,IF(TODAY()-K181&lt;'Анализ'!$D$4+1,1,0),"")</f>
        <v>#REF!</v>
      </c>
    </row>
    <row r="182" ht="15.75" customHeight="1">
      <c r="A182" s="1"/>
      <c r="B182" s="1" t="str">
        <f t="shared" si="1"/>
        <v/>
      </c>
      <c r="F182" s="1"/>
      <c r="G182" s="17"/>
      <c r="I182" s="1" t="str">
        <f t="shared" si="2"/>
        <v>#REF!</v>
      </c>
      <c r="J182" s="1" t="str">
        <f t="array" ref="J182">IFERROR(INDEX('Исходник'!$1:$626,MATCH($I182,'Исходник'!$T:$T,0),MATCH(J$1,'Исходник'!$1:$1,0)))</f>
        <v/>
      </c>
      <c r="K182" s="7" t="str">
        <f t="shared" si="3"/>
        <v>#REF!</v>
      </c>
      <c r="L182" s="1" t="str">
        <f>IF(I182&gt;0,IF(TODAY()-K182&lt;'Анализ'!$D$4+1,1,0),"")</f>
        <v>#REF!</v>
      </c>
    </row>
    <row r="183" ht="15.75" customHeight="1">
      <c r="A183" s="1"/>
      <c r="B183" s="1" t="str">
        <f t="shared" si="1"/>
        <v/>
      </c>
      <c r="F183" s="1"/>
      <c r="G183" s="17"/>
      <c r="I183" s="1" t="str">
        <f t="shared" si="2"/>
        <v>#REF!</v>
      </c>
      <c r="J183" s="1" t="str">
        <f t="array" ref="J183">IFERROR(INDEX('Исходник'!$1:$626,MATCH($I183,'Исходник'!$T:$T,0),MATCH(J$1,'Исходник'!$1:$1,0)))</f>
        <v/>
      </c>
      <c r="K183" s="7" t="str">
        <f t="shared" si="3"/>
        <v>#REF!</v>
      </c>
      <c r="L183" s="1" t="str">
        <f>IF(I183&gt;0,IF(TODAY()-K183&lt;'Анализ'!$D$4+1,1,0),"")</f>
        <v>#REF!</v>
      </c>
    </row>
    <row r="184" ht="15.75" customHeight="1">
      <c r="A184" s="1"/>
      <c r="B184" s="1" t="str">
        <f t="shared" si="1"/>
        <v/>
      </c>
      <c r="F184" s="1"/>
      <c r="G184" s="17"/>
      <c r="I184" s="1" t="str">
        <f t="shared" si="2"/>
        <v>#REF!</v>
      </c>
      <c r="J184" s="1" t="str">
        <f t="array" ref="J184">IFERROR(INDEX('Исходник'!$1:$626,MATCH($I184,'Исходник'!$T:$T,0),MATCH(J$1,'Исходник'!$1:$1,0)))</f>
        <v/>
      </c>
      <c r="K184" s="7" t="str">
        <f t="shared" si="3"/>
        <v>#REF!</v>
      </c>
      <c r="L184" s="1" t="str">
        <f>IF(I184&gt;0,IF(TODAY()-K184&lt;'Анализ'!$D$4+1,1,0),"")</f>
        <v>#REF!</v>
      </c>
    </row>
    <row r="185" ht="15.75" customHeight="1">
      <c r="A185" s="1"/>
      <c r="B185" s="1" t="str">
        <f t="shared" si="1"/>
        <v/>
      </c>
      <c r="F185" s="1"/>
      <c r="G185" s="17"/>
      <c r="I185" s="1" t="str">
        <f t="shared" si="2"/>
        <v>#REF!</v>
      </c>
      <c r="J185" s="1" t="str">
        <f t="array" ref="J185">IFERROR(INDEX('Исходник'!$1:$626,MATCH($I185,'Исходник'!$T:$T,0),MATCH(J$1,'Исходник'!$1:$1,0)))</f>
        <v/>
      </c>
      <c r="K185" s="7" t="str">
        <f t="shared" si="3"/>
        <v>#REF!</v>
      </c>
      <c r="L185" s="1" t="str">
        <f>IF(I185&gt;0,IF(TODAY()-K185&lt;'Анализ'!$D$4+1,1,0),"")</f>
        <v>#REF!</v>
      </c>
    </row>
    <row r="186" ht="15.75" customHeight="1">
      <c r="A186" s="1"/>
      <c r="B186" s="1" t="str">
        <f t="shared" si="1"/>
        <v/>
      </c>
      <c r="F186" s="1"/>
      <c r="G186" s="17"/>
      <c r="I186" s="1" t="str">
        <f t="shared" si="2"/>
        <v>#REF!</v>
      </c>
      <c r="J186" s="1" t="str">
        <f t="array" ref="J186">IFERROR(INDEX('Исходник'!$1:$626,MATCH($I186,'Исходник'!$T:$T,0),MATCH(J$1,'Исходник'!$1:$1,0)))</f>
        <v/>
      </c>
      <c r="K186" s="7" t="str">
        <f t="shared" si="3"/>
        <v>#REF!</v>
      </c>
      <c r="L186" s="1" t="str">
        <f>IF(I186&gt;0,IF(TODAY()-K186&lt;'Анализ'!$D$4+1,1,0),"")</f>
        <v>#REF!</v>
      </c>
    </row>
    <row r="187" ht="15.75" customHeight="1">
      <c r="A187" s="1"/>
      <c r="B187" s="1" t="str">
        <f t="shared" si="1"/>
        <v/>
      </c>
      <c r="F187" s="1"/>
      <c r="G187" s="17"/>
      <c r="I187" s="1" t="str">
        <f t="shared" si="2"/>
        <v>#REF!</v>
      </c>
      <c r="J187" s="1" t="str">
        <f t="array" ref="J187">IFERROR(INDEX('Исходник'!$1:$626,MATCH($I187,'Исходник'!$T:$T,0),MATCH(J$1,'Исходник'!$1:$1,0)))</f>
        <v/>
      </c>
      <c r="K187" s="7" t="str">
        <f t="shared" si="3"/>
        <v>#REF!</v>
      </c>
      <c r="L187" s="1" t="str">
        <f>IF(I187&gt;0,IF(TODAY()-K187&lt;'Анализ'!$D$4+1,1,0),"")</f>
        <v>#REF!</v>
      </c>
    </row>
    <row r="188" ht="15.75" customHeight="1">
      <c r="A188" s="1"/>
      <c r="B188" s="1" t="str">
        <f t="shared" si="1"/>
        <v/>
      </c>
      <c r="F188" s="1"/>
      <c r="G188" s="17"/>
      <c r="I188" s="1" t="str">
        <f t="shared" si="2"/>
        <v>#REF!</v>
      </c>
      <c r="J188" s="1" t="str">
        <f t="array" ref="J188">IFERROR(INDEX('Исходник'!$1:$626,MATCH($I188,'Исходник'!$T:$T,0),MATCH(J$1,'Исходник'!$1:$1,0)))</f>
        <v/>
      </c>
      <c r="K188" s="7" t="str">
        <f t="shared" si="3"/>
        <v>#REF!</v>
      </c>
      <c r="L188" s="1" t="str">
        <f>IF(I188&gt;0,IF(TODAY()-K188&lt;'Анализ'!$D$4+1,1,0),"")</f>
        <v>#REF!</v>
      </c>
    </row>
    <row r="189" ht="15.75" customHeight="1">
      <c r="A189" s="1"/>
      <c r="B189" s="1" t="str">
        <f t="shared" si="1"/>
        <v/>
      </c>
      <c r="F189" s="1"/>
      <c r="G189" s="17"/>
      <c r="I189" s="1" t="str">
        <f t="shared" si="2"/>
        <v>#REF!</v>
      </c>
      <c r="J189" s="1" t="str">
        <f t="array" ref="J189">IFERROR(INDEX('Исходник'!$1:$626,MATCH($I189,'Исходник'!$T:$T,0),MATCH(J$1,'Исходник'!$1:$1,0)))</f>
        <v/>
      </c>
      <c r="K189" s="7" t="str">
        <f t="shared" si="3"/>
        <v>#REF!</v>
      </c>
      <c r="L189" s="1" t="str">
        <f>IF(I189&gt;0,IF(TODAY()-K189&lt;'Анализ'!$D$4+1,1,0),"")</f>
        <v>#REF!</v>
      </c>
    </row>
    <row r="190" ht="15.75" customHeight="1">
      <c r="A190" s="1"/>
      <c r="B190" s="1" t="str">
        <f t="shared" si="1"/>
        <v/>
      </c>
      <c r="F190" s="1"/>
      <c r="G190" s="17"/>
      <c r="I190" s="1" t="str">
        <f t="shared" si="2"/>
        <v>#REF!</v>
      </c>
      <c r="J190" s="1" t="str">
        <f t="array" ref="J190">IFERROR(INDEX('Исходник'!$1:$626,MATCH($I190,'Исходник'!$T:$T,0),MATCH(J$1,'Исходник'!$1:$1,0)))</f>
        <v/>
      </c>
      <c r="K190" s="7" t="str">
        <f t="shared" si="3"/>
        <v>#REF!</v>
      </c>
      <c r="L190" s="1" t="str">
        <f>IF(I190&gt;0,IF(TODAY()-K190&lt;'Анализ'!$D$4+1,1,0),"")</f>
        <v>#REF!</v>
      </c>
    </row>
    <row r="191" ht="15.75" customHeight="1">
      <c r="A191" s="1"/>
      <c r="B191" s="1" t="str">
        <f t="shared" si="1"/>
        <v/>
      </c>
      <c r="F191" s="1"/>
      <c r="G191" s="17"/>
      <c r="I191" s="1" t="str">
        <f t="shared" si="2"/>
        <v>#REF!</v>
      </c>
      <c r="J191" s="1" t="str">
        <f t="array" ref="J191">IFERROR(INDEX('Исходник'!$1:$626,MATCH($I191,'Исходник'!$T:$T,0),MATCH(J$1,'Исходник'!$1:$1,0)))</f>
        <v/>
      </c>
      <c r="K191" s="7" t="str">
        <f t="shared" si="3"/>
        <v>#REF!</v>
      </c>
      <c r="L191" s="1" t="str">
        <f>IF(I191&gt;0,IF(TODAY()-K191&lt;'Анализ'!$D$4+1,1,0),"")</f>
        <v>#REF!</v>
      </c>
    </row>
    <row r="192" ht="15.75" customHeight="1">
      <c r="A192" s="1"/>
      <c r="B192" s="1" t="str">
        <f t="shared" si="1"/>
        <v/>
      </c>
      <c r="F192" s="1"/>
      <c r="G192" s="17"/>
      <c r="I192" s="1" t="str">
        <f t="shared" si="2"/>
        <v>#REF!</v>
      </c>
      <c r="J192" s="1" t="str">
        <f t="array" ref="J192">IFERROR(INDEX('Исходник'!$1:$626,MATCH($I192,'Исходник'!$T:$T,0),MATCH(J$1,'Исходник'!$1:$1,0)))</f>
        <v/>
      </c>
      <c r="K192" s="7" t="str">
        <f t="shared" si="3"/>
        <v>#REF!</v>
      </c>
      <c r="L192" s="1" t="str">
        <f>IF(I192&gt;0,IF(TODAY()-K192&lt;'Анализ'!$D$4+1,1,0),"")</f>
        <v>#REF!</v>
      </c>
    </row>
    <row r="193" ht="15.75" customHeight="1">
      <c r="A193" s="1"/>
      <c r="B193" s="1" t="str">
        <f t="shared" si="1"/>
        <v/>
      </c>
      <c r="F193" s="1"/>
      <c r="G193" s="17"/>
      <c r="I193" s="1" t="str">
        <f t="shared" si="2"/>
        <v>#REF!</v>
      </c>
      <c r="J193" s="1" t="str">
        <f t="array" ref="J193">IFERROR(INDEX('Исходник'!$1:$626,MATCH($I193,'Исходник'!$T:$T,0),MATCH(J$1,'Исходник'!$1:$1,0)))</f>
        <v/>
      </c>
      <c r="K193" s="7" t="str">
        <f t="shared" si="3"/>
        <v>#REF!</v>
      </c>
      <c r="L193" s="1" t="str">
        <f>IF(I193&gt;0,IF(TODAY()-K193&lt;'Анализ'!$D$4+1,1,0),"")</f>
        <v>#REF!</v>
      </c>
    </row>
    <row r="194" ht="15.75" customHeight="1">
      <c r="A194" s="1"/>
      <c r="B194" s="1" t="str">
        <f t="shared" si="1"/>
        <v/>
      </c>
      <c r="F194" s="1"/>
      <c r="G194" s="17"/>
      <c r="I194" s="1" t="str">
        <f t="shared" si="2"/>
        <v>#REF!</v>
      </c>
      <c r="J194" s="1" t="str">
        <f t="array" ref="J194">IFERROR(INDEX('Исходник'!$1:$626,MATCH($I194,'Исходник'!$T:$T,0),MATCH(J$1,'Исходник'!$1:$1,0)))</f>
        <v/>
      </c>
      <c r="K194" s="7" t="str">
        <f t="shared" si="3"/>
        <v>#REF!</v>
      </c>
      <c r="L194" s="1" t="str">
        <f>IF(I194&gt;0,IF(TODAY()-K194&lt;'Анализ'!$D$4+1,1,0),"")</f>
        <v>#REF!</v>
      </c>
    </row>
    <row r="195" ht="15.75" customHeight="1">
      <c r="A195" s="1"/>
      <c r="B195" s="1" t="str">
        <f t="shared" si="1"/>
        <v/>
      </c>
      <c r="F195" s="1"/>
      <c r="G195" s="17"/>
      <c r="I195" s="1" t="str">
        <f t="shared" si="2"/>
        <v>#REF!</v>
      </c>
      <c r="J195" s="1" t="str">
        <f t="array" ref="J195">IFERROR(INDEX('Исходник'!$1:$626,MATCH($I195,'Исходник'!$T:$T,0),MATCH(J$1,'Исходник'!$1:$1,0)))</f>
        <v/>
      </c>
      <c r="K195" s="7" t="str">
        <f t="shared" si="3"/>
        <v>#REF!</v>
      </c>
      <c r="L195" s="1" t="str">
        <f>IF(I195&gt;0,IF(TODAY()-K195&lt;'Анализ'!$D$4+1,1,0),"")</f>
        <v>#REF!</v>
      </c>
    </row>
    <row r="196" ht="15.75" customHeight="1">
      <c r="A196" s="1"/>
      <c r="B196" s="1" t="str">
        <f t="shared" si="1"/>
        <v/>
      </c>
      <c r="F196" s="1"/>
      <c r="G196" s="17"/>
      <c r="I196" s="1" t="str">
        <f t="shared" si="2"/>
        <v>#REF!</v>
      </c>
      <c r="J196" s="1" t="str">
        <f t="array" ref="J196">IFERROR(INDEX('Исходник'!$1:$626,MATCH($I196,'Исходник'!$T:$T,0),MATCH(J$1,'Исходник'!$1:$1,0)))</f>
        <v/>
      </c>
      <c r="K196" s="7" t="str">
        <f t="shared" si="3"/>
        <v>#REF!</v>
      </c>
      <c r="L196" s="1" t="str">
        <f>IF(I196&gt;0,IF(TODAY()-K196&lt;'Анализ'!$D$4+1,1,0),"")</f>
        <v>#REF!</v>
      </c>
    </row>
    <row r="197" ht="15.75" customHeight="1">
      <c r="A197" s="1"/>
      <c r="B197" s="1" t="str">
        <f t="shared" si="1"/>
        <v/>
      </c>
      <c r="F197" s="1"/>
      <c r="G197" s="17"/>
      <c r="I197" s="1" t="str">
        <f t="shared" si="2"/>
        <v>#REF!</v>
      </c>
      <c r="J197" s="1" t="str">
        <f t="array" ref="J197">IFERROR(INDEX('Исходник'!$1:$626,MATCH($I197,'Исходник'!$T:$T,0),MATCH(J$1,'Исходник'!$1:$1,0)))</f>
        <v/>
      </c>
      <c r="K197" s="7" t="str">
        <f t="shared" si="3"/>
        <v>#REF!</v>
      </c>
      <c r="L197" s="1" t="str">
        <f>IF(I197&gt;0,IF(TODAY()-K197&lt;'Анализ'!$D$4+1,1,0),"")</f>
        <v>#REF!</v>
      </c>
    </row>
    <row r="198" ht="15.75" customHeight="1">
      <c r="A198" s="1"/>
      <c r="B198" s="1" t="str">
        <f t="shared" si="1"/>
        <v/>
      </c>
      <c r="F198" s="1"/>
      <c r="G198" s="17"/>
      <c r="I198" s="1" t="str">
        <f t="shared" si="2"/>
        <v>#REF!</v>
      </c>
      <c r="J198" s="1" t="str">
        <f t="array" ref="J198">IFERROR(INDEX('Исходник'!$1:$626,MATCH($I198,'Исходник'!$T:$T,0),MATCH(J$1,'Исходник'!$1:$1,0)))</f>
        <v/>
      </c>
      <c r="K198" s="7" t="str">
        <f t="shared" si="3"/>
        <v>#REF!</v>
      </c>
      <c r="L198" s="1" t="str">
        <f>IF(I198&gt;0,IF(TODAY()-K198&lt;'Анализ'!$D$4+1,1,0),"")</f>
        <v>#REF!</v>
      </c>
    </row>
    <row r="199" ht="15.75" customHeight="1">
      <c r="A199" s="1"/>
      <c r="B199" s="1" t="str">
        <f t="shared" si="1"/>
        <v/>
      </c>
      <c r="F199" s="1"/>
      <c r="G199" s="17"/>
      <c r="I199" s="1" t="str">
        <f t="shared" si="2"/>
        <v>#REF!</v>
      </c>
      <c r="J199" s="1" t="str">
        <f t="array" ref="J199">IFERROR(INDEX('Исходник'!$1:$626,MATCH($I199,'Исходник'!$T:$T,0),MATCH(J$1,'Исходник'!$1:$1,0)))</f>
        <v/>
      </c>
      <c r="K199" s="7" t="str">
        <f t="shared" si="3"/>
        <v>#REF!</v>
      </c>
      <c r="L199" s="1" t="str">
        <f>IF(I199&gt;0,IF(TODAY()-K199&lt;'Анализ'!$D$4+1,1,0),"")</f>
        <v>#REF!</v>
      </c>
    </row>
    <row r="200" ht="15.75" customHeight="1">
      <c r="A200" s="1"/>
      <c r="B200" s="1" t="str">
        <f t="shared" si="1"/>
        <v/>
      </c>
      <c r="F200" s="1"/>
      <c r="G200" s="17"/>
      <c r="I200" s="1" t="str">
        <f t="shared" si="2"/>
        <v>#REF!</v>
      </c>
      <c r="J200" s="1" t="str">
        <f t="array" ref="J200">IFERROR(INDEX('Исходник'!$1:$626,MATCH($I200,'Исходник'!$T:$T,0),MATCH(J$1,'Исходник'!$1:$1,0)))</f>
        <v/>
      </c>
      <c r="K200" s="7" t="str">
        <f t="shared" si="3"/>
        <v>#REF!</v>
      </c>
      <c r="L200" s="1" t="str">
        <f>IF(I200&gt;0,IF(TODAY()-K200&lt;'Анализ'!$D$4+1,1,0),"")</f>
        <v>#REF!</v>
      </c>
    </row>
    <row r="201" ht="15.75" customHeight="1">
      <c r="A201" s="1"/>
      <c r="B201" s="1" t="str">
        <f t="shared" si="1"/>
        <v/>
      </c>
      <c r="F201" s="1"/>
      <c r="G201" s="17"/>
      <c r="I201" s="1" t="str">
        <f t="shared" si="2"/>
        <v>#REF!</v>
      </c>
      <c r="J201" s="1" t="str">
        <f t="array" ref="J201">IFERROR(INDEX('Исходник'!$1:$626,MATCH($I201,'Исходник'!$T:$T,0),MATCH(J$1,'Исходник'!$1:$1,0)))</f>
        <v/>
      </c>
      <c r="K201" s="7" t="str">
        <f t="shared" si="3"/>
        <v>#REF!</v>
      </c>
      <c r="L201" s="1" t="str">
        <f>IF(I201&gt;0,IF(TODAY()-K201&lt;'Анализ'!$D$4+1,1,0),"")</f>
        <v>#REF!</v>
      </c>
    </row>
    <row r="202" ht="15.75" customHeight="1">
      <c r="A202" s="1"/>
      <c r="B202" s="1" t="str">
        <f t="shared" si="1"/>
        <v/>
      </c>
      <c r="F202" s="1"/>
      <c r="G202" s="17"/>
      <c r="I202" s="1" t="str">
        <f t="shared" si="2"/>
        <v>#REF!</v>
      </c>
      <c r="J202" s="1" t="str">
        <f t="array" ref="J202">IFERROR(INDEX('Исходник'!$1:$626,MATCH($I202,'Исходник'!$T:$T,0),MATCH(J$1,'Исходник'!$1:$1,0)))</f>
        <v/>
      </c>
      <c r="K202" s="7" t="str">
        <f t="shared" si="3"/>
        <v>#REF!</v>
      </c>
      <c r="L202" s="1" t="str">
        <f>IF(I202&gt;0,IF(TODAY()-K202&lt;'Анализ'!$D$4+1,1,0),"")</f>
        <v>#REF!</v>
      </c>
    </row>
    <row r="203" ht="15.75" customHeight="1">
      <c r="A203" s="1"/>
      <c r="B203" s="1" t="str">
        <f t="shared" si="1"/>
        <v/>
      </c>
      <c r="F203" s="1"/>
      <c r="G203" s="17"/>
      <c r="I203" s="1" t="str">
        <f t="shared" si="2"/>
        <v>#REF!</v>
      </c>
      <c r="J203" s="1" t="str">
        <f t="array" ref="J203">IFERROR(INDEX('Исходник'!$1:$626,MATCH($I203,'Исходник'!$T:$T,0),MATCH(J$1,'Исходник'!$1:$1,0)))</f>
        <v/>
      </c>
      <c r="K203" s="7" t="str">
        <f t="shared" si="3"/>
        <v>#REF!</v>
      </c>
      <c r="L203" s="1" t="str">
        <f>IF(I203&gt;0,IF(TODAY()-K203&lt;'Анализ'!$D$4+1,1,0),"")</f>
        <v>#REF!</v>
      </c>
    </row>
    <row r="204" ht="15.75" customHeight="1">
      <c r="A204" s="1"/>
      <c r="B204" s="1" t="str">
        <f t="shared" si="1"/>
        <v/>
      </c>
      <c r="F204" s="1"/>
      <c r="G204" s="17"/>
      <c r="I204" s="1" t="str">
        <f t="shared" si="2"/>
        <v>#REF!</v>
      </c>
      <c r="J204" s="1" t="str">
        <f t="array" ref="J204">IFERROR(INDEX('Исходник'!$1:$626,MATCH($I204,'Исходник'!$T:$T,0),MATCH(J$1,'Исходник'!$1:$1,0)))</f>
        <v/>
      </c>
      <c r="K204" s="7" t="str">
        <f t="shared" si="3"/>
        <v>#REF!</v>
      </c>
      <c r="L204" s="1" t="str">
        <f>IF(I204&gt;0,IF(TODAY()-K204&lt;'Анализ'!$D$4+1,1,0),"")</f>
        <v>#REF!</v>
      </c>
    </row>
    <row r="205" ht="15.75" customHeight="1">
      <c r="A205" s="1"/>
      <c r="B205" s="1" t="str">
        <f t="shared" si="1"/>
        <v/>
      </c>
      <c r="F205" s="1"/>
      <c r="G205" s="17"/>
      <c r="I205" s="1" t="str">
        <f t="shared" si="2"/>
        <v>#REF!</v>
      </c>
      <c r="J205" s="1" t="str">
        <f t="array" ref="J205">IFERROR(INDEX('Исходник'!$1:$626,MATCH($I205,'Исходник'!$T:$T,0),MATCH(J$1,'Исходник'!$1:$1,0)))</f>
        <v/>
      </c>
      <c r="K205" s="7" t="str">
        <f t="shared" si="3"/>
        <v>#REF!</v>
      </c>
      <c r="L205" s="1" t="str">
        <f>IF(I205&gt;0,IF(TODAY()-K205&lt;'Анализ'!$D$4+1,1,0),"")</f>
        <v>#REF!</v>
      </c>
    </row>
    <row r="206" ht="15.75" customHeight="1">
      <c r="A206" s="1"/>
      <c r="B206" s="1" t="str">
        <f t="shared" si="1"/>
        <v/>
      </c>
      <c r="F206" s="1"/>
      <c r="G206" s="17"/>
      <c r="I206" s="1" t="str">
        <f t="shared" si="2"/>
        <v>#REF!</v>
      </c>
      <c r="J206" s="1" t="str">
        <f t="array" ref="J206">IFERROR(INDEX('Исходник'!$1:$626,MATCH($I206,'Исходник'!$T:$T,0),MATCH(J$1,'Исходник'!$1:$1,0)))</f>
        <v/>
      </c>
      <c r="K206" s="7" t="str">
        <f t="shared" si="3"/>
        <v>#REF!</v>
      </c>
      <c r="L206" s="1" t="str">
        <f>IF(I206&gt;0,IF(TODAY()-K206&lt;'Анализ'!$D$4+1,1,0),"")</f>
        <v>#REF!</v>
      </c>
    </row>
    <row r="207" ht="15.75" customHeight="1">
      <c r="A207" s="1"/>
      <c r="B207" s="1" t="str">
        <f t="shared" si="1"/>
        <v/>
      </c>
      <c r="F207" s="1"/>
      <c r="G207" s="17"/>
      <c r="I207" s="1" t="str">
        <f t="shared" si="2"/>
        <v>#REF!</v>
      </c>
      <c r="J207" s="1" t="str">
        <f t="array" ref="J207">IFERROR(INDEX('Исходник'!$1:$626,MATCH($I207,'Исходник'!$T:$T,0),MATCH(J$1,'Исходник'!$1:$1,0)))</f>
        <v/>
      </c>
      <c r="K207" s="7" t="str">
        <f t="shared" si="3"/>
        <v>#REF!</v>
      </c>
      <c r="L207" s="1" t="str">
        <f>IF(I207&gt;0,IF(TODAY()-K207&lt;'Анализ'!$D$4+1,1,0),"")</f>
        <v>#REF!</v>
      </c>
    </row>
    <row r="208" ht="15.75" customHeight="1">
      <c r="A208" s="1"/>
      <c r="B208" s="1" t="str">
        <f t="shared" si="1"/>
        <v/>
      </c>
      <c r="F208" s="1"/>
      <c r="G208" s="17"/>
      <c r="I208" s="1" t="str">
        <f t="shared" si="2"/>
        <v>#REF!</v>
      </c>
      <c r="J208" s="1" t="str">
        <f t="array" ref="J208">IFERROR(INDEX('Исходник'!$1:$626,MATCH($I208,'Исходник'!$T:$T,0),MATCH(J$1,'Исходник'!$1:$1,0)))</f>
        <v/>
      </c>
      <c r="K208" s="7" t="str">
        <f t="shared" si="3"/>
        <v>#REF!</v>
      </c>
      <c r="L208" s="1" t="str">
        <f>IF(I208&gt;0,IF(TODAY()-K208&lt;'Анализ'!$D$4+1,1,0),"")</f>
        <v>#REF!</v>
      </c>
    </row>
    <row r="209" ht="15.75" customHeight="1">
      <c r="A209" s="1"/>
      <c r="B209" s="1" t="str">
        <f t="shared" si="1"/>
        <v/>
      </c>
      <c r="F209" s="1"/>
      <c r="G209" s="17"/>
      <c r="I209" s="1" t="str">
        <f t="shared" si="2"/>
        <v>#REF!</v>
      </c>
      <c r="J209" s="1" t="str">
        <f t="array" ref="J209">IFERROR(INDEX('Исходник'!$1:$626,MATCH($I209,'Исходник'!$T:$T,0),MATCH(J$1,'Исходник'!$1:$1,0)))</f>
        <v/>
      </c>
      <c r="K209" s="7" t="str">
        <f t="shared" si="3"/>
        <v>#REF!</v>
      </c>
      <c r="L209" s="1" t="str">
        <f>IF(I209&gt;0,IF(TODAY()-K209&lt;'Анализ'!$D$4+1,1,0),"")</f>
        <v>#REF!</v>
      </c>
    </row>
    <row r="210" ht="15.75" customHeight="1">
      <c r="A210" s="1"/>
      <c r="B210" s="1" t="str">
        <f t="shared" si="1"/>
        <v/>
      </c>
      <c r="F210" s="1"/>
      <c r="G210" s="17"/>
      <c r="I210" s="1" t="str">
        <f t="shared" si="2"/>
        <v>#REF!</v>
      </c>
      <c r="J210" s="1" t="str">
        <f t="array" ref="J210">IFERROR(INDEX('Исходник'!$1:$626,MATCH($I210,'Исходник'!$T:$T,0),MATCH(J$1,'Исходник'!$1:$1,0)))</f>
        <v/>
      </c>
      <c r="K210" s="7" t="str">
        <f t="shared" si="3"/>
        <v>#REF!</v>
      </c>
      <c r="L210" s="1" t="str">
        <f>IF(I210&gt;0,IF(TODAY()-K210&lt;'Анализ'!$D$4+1,1,0),"")</f>
        <v>#REF!</v>
      </c>
    </row>
    <row r="211" ht="15.75" customHeight="1">
      <c r="A211" s="1"/>
      <c r="B211" s="1" t="str">
        <f t="shared" si="1"/>
        <v/>
      </c>
      <c r="F211" s="1"/>
      <c r="G211" s="17"/>
      <c r="I211" s="1" t="str">
        <f t="shared" si="2"/>
        <v>#REF!</v>
      </c>
      <c r="J211" s="1" t="str">
        <f t="array" ref="J211">IFERROR(INDEX('Исходник'!$1:$626,MATCH($I211,'Исходник'!$T:$T,0),MATCH(J$1,'Исходник'!$1:$1,0)))</f>
        <v/>
      </c>
      <c r="K211" s="7" t="str">
        <f t="shared" si="3"/>
        <v>#REF!</v>
      </c>
      <c r="L211" s="1" t="str">
        <f>IF(I211&gt;0,IF(TODAY()-K211&lt;'Анализ'!$D$4+1,1,0),"")</f>
        <v>#REF!</v>
      </c>
    </row>
    <row r="212" ht="15.75" customHeight="1">
      <c r="A212" s="1"/>
      <c r="B212" s="1" t="str">
        <f t="shared" si="1"/>
        <v/>
      </c>
      <c r="F212" s="1"/>
      <c r="G212" s="17"/>
      <c r="I212" s="1" t="str">
        <f t="shared" si="2"/>
        <v>#REF!</v>
      </c>
      <c r="J212" s="1" t="str">
        <f t="array" ref="J212">IFERROR(INDEX('Исходник'!$1:$626,MATCH($I212,'Исходник'!$T:$T,0),MATCH(J$1,'Исходник'!$1:$1,0)))</f>
        <v/>
      </c>
      <c r="K212" s="7" t="str">
        <f t="shared" si="3"/>
        <v>#REF!</v>
      </c>
      <c r="L212" s="1" t="str">
        <f>IF(I212&gt;0,IF(TODAY()-K212&lt;'Анализ'!$D$4+1,1,0),"")</f>
        <v>#REF!</v>
      </c>
    </row>
    <row r="213" ht="15.75" customHeight="1">
      <c r="A213" s="1"/>
      <c r="B213" s="1" t="str">
        <f t="shared" si="1"/>
        <v/>
      </c>
      <c r="F213" s="1"/>
      <c r="G213" s="17"/>
      <c r="I213" s="1" t="str">
        <f t="shared" si="2"/>
        <v>#REF!</v>
      </c>
      <c r="J213" s="1" t="str">
        <f t="array" ref="J213">IFERROR(INDEX('Исходник'!$1:$626,MATCH($I213,'Исходник'!$T:$T,0),MATCH(J$1,'Исходник'!$1:$1,0)))</f>
        <v/>
      </c>
      <c r="K213" s="7" t="str">
        <f t="shared" si="3"/>
        <v>#REF!</v>
      </c>
      <c r="L213" s="1" t="str">
        <f>IF(I213&gt;0,IF(TODAY()-K213&lt;'Анализ'!$D$4+1,1,0),"")</f>
        <v>#REF!</v>
      </c>
    </row>
    <row r="214" ht="15.75" customHeight="1">
      <c r="A214" s="1"/>
      <c r="B214" s="1" t="str">
        <f t="shared" si="1"/>
        <v/>
      </c>
      <c r="F214" s="1"/>
      <c r="G214" s="17"/>
      <c r="I214" s="1" t="str">
        <f t="shared" si="2"/>
        <v>#REF!</v>
      </c>
      <c r="J214" s="1" t="str">
        <f t="array" ref="J214">IFERROR(INDEX('Исходник'!$1:$626,MATCH($I214,'Исходник'!$T:$T,0),MATCH(J$1,'Исходник'!$1:$1,0)))</f>
        <v/>
      </c>
      <c r="K214" s="7" t="str">
        <f t="shared" si="3"/>
        <v>#REF!</v>
      </c>
      <c r="L214" s="1" t="str">
        <f>IF(I214&gt;0,IF(TODAY()-K214&lt;'Анализ'!$D$4+1,1,0),"")</f>
        <v>#REF!</v>
      </c>
    </row>
    <row r="215" ht="15.75" customHeight="1">
      <c r="A215" s="1"/>
      <c r="B215" s="1" t="str">
        <f t="shared" si="1"/>
        <v/>
      </c>
      <c r="F215" s="1"/>
      <c r="G215" s="17"/>
      <c r="I215" s="1" t="str">
        <f t="shared" si="2"/>
        <v>#REF!</v>
      </c>
      <c r="J215" s="1" t="str">
        <f t="array" ref="J215">IFERROR(INDEX('Исходник'!$1:$626,MATCH($I215,'Исходник'!$T:$T,0),MATCH(J$1,'Исходник'!$1:$1,0)))</f>
        <v/>
      </c>
      <c r="K215" s="7" t="str">
        <f t="shared" si="3"/>
        <v>#REF!</v>
      </c>
      <c r="L215" s="1" t="str">
        <f>IF(I215&gt;0,IF(TODAY()-K215&lt;'Анализ'!$D$4+1,1,0),"")</f>
        <v>#REF!</v>
      </c>
    </row>
    <row r="216" ht="15.75" customHeight="1">
      <c r="A216" s="1"/>
      <c r="B216" s="1" t="str">
        <f t="shared" si="1"/>
        <v/>
      </c>
      <c r="F216" s="1"/>
      <c r="G216" s="17"/>
      <c r="I216" s="1" t="str">
        <f t="shared" si="2"/>
        <v>#REF!</v>
      </c>
      <c r="J216" s="1" t="str">
        <f t="array" ref="J216">IFERROR(INDEX('Исходник'!$1:$626,MATCH($I216,'Исходник'!$T:$T,0),MATCH(J$1,'Исходник'!$1:$1,0)))</f>
        <v/>
      </c>
      <c r="K216" s="7" t="str">
        <f t="shared" si="3"/>
        <v>#REF!</v>
      </c>
      <c r="L216" s="1" t="str">
        <f>IF(I216&gt;0,IF(TODAY()-K216&lt;'Анализ'!$D$4+1,1,0),"")</f>
        <v>#REF!</v>
      </c>
    </row>
    <row r="217" ht="15.75" customHeight="1">
      <c r="A217" s="1"/>
      <c r="B217" s="1" t="str">
        <f t="shared" si="1"/>
        <v/>
      </c>
      <c r="F217" s="1"/>
      <c r="G217" s="17"/>
      <c r="I217" s="1" t="str">
        <f t="shared" si="2"/>
        <v>#REF!</v>
      </c>
      <c r="J217" s="1" t="str">
        <f t="array" ref="J217">IFERROR(INDEX('Исходник'!$1:$626,MATCH($I217,'Исходник'!$T:$T,0),MATCH(J$1,'Исходник'!$1:$1,0)))</f>
        <v/>
      </c>
      <c r="K217" s="7" t="str">
        <f t="shared" si="3"/>
        <v>#REF!</v>
      </c>
      <c r="L217" s="1" t="str">
        <f>IF(I217&gt;0,IF(TODAY()-K217&lt;'Анализ'!$D$4+1,1,0),"")</f>
        <v>#REF!</v>
      </c>
    </row>
    <row r="218" ht="15.75" customHeight="1">
      <c r="A218" s="1"/>
      <c r="B218" s="1" t="str">
        <f t="shared" si="1"/>
        <v/>
      </c>
      <c r="F218" s="1"/>
      <c r="G218" s="17"/>
      <c r="I218" s="1" t="str">
        <f t="shared" si="2"/>
        <v>#REF!</v>
      </c>
      <c r="J218" s="1" t="str">
        <f t="array" ref="J218">IFERROR(INDEX('Исходник'!$1:$626,MATCH($I218,'Исходник'!$T:$T,0),MATCH(J$1,'Исходник'!$1:$1,0)))</f>
        <v/>
      </c>
      <c r="K218" s="7" t="str">
        <f t="shared" si="3"/>
        <v>#REF!</v>
      </c>
      <c r="L218" s="1" t="str">
        <f>IF(I218&gt;0,IF(TODAY()-K218&lt;'Анализ'!$D$4+1,1,0),"")</f>
        <v>#REF!</v>
      </c>
    </row>
    <row r="219" ht="15.75" customHeight="1">
      <c r="A219" s="1"/>
      <c r="B219" s="1" t="str">
        <f t="shared" si="1"/>
        <v/>
      </c>
      <c r="F219" s="1"/>
      <c r="G219" s="17"/>
      <c r="I219" s="1" t="str">
        <f t="shared" si="2"/>
        <v>#REF!</v>
      </c>
      <c r="J219" s="1" t="str">
        <f t="array" ref="J219">IFERROR(INDEX('Исходник'!$1:$626,MATCH($I219,'Исходник'!$T:$T,0),MATCH(J$1,'Исходник'!$1:$1,0)))</f>
        <v/>
      </c>
      <c r="K219" s="7" t="str">
        <f t="shared" si="3"/>
        <v>#REF!</v>
      </c>
      <c r="L219" s="1" t="str">
        <f>IF(I219&gt;0,IF(TODAY()-K219&lt;'Анализ'!$D$4+1,1,0),"")</f>
        <v>#REF!</v>
      </c>
    </row>
    <row r="220" ht="15.75" customHeight="1">
      <c r="A220" s="1"/>
      <c r="B220" s="1" t="str">
        <f t="shared" si="1"/>
        <v/>
      </c>
      <c r="F220" s="1"/>
      <c r="G220" s="17"/>
      <c r="I220" s="1" t="str">
        <f t="shared" si="2"/>
        <v>#REF!</v>
      </c>
      <c r="J220" s="1" t="str">
        <f t="array" ref="J220">IFERROR(INDEX('Исходник'!$1:$626,MATCH($I220,'Исходник'!$T:$T,0),MATCH(J$1,'Исходник'!$1:$1,0)))</f>
        <v/>
      </c>
      <c r="K220" s="7" t="str">
        <f t="shared" si="3"/>
        <v>#REF!</v>
      </c>
      <c r="L220" s="1" t="str">
        <f>IF(I220&gt;0,IF(TODAY()-K220&lt;'Анализ'!$D$4+1,1,0),"")</f>
        <v>#REF!</v>
      </c>
    </row>
    <row r="221" ht="15.75" customHeight="1">
      <c r="A221" s="1"/>
      <c r="B221" s="1" t="str">
        <f t="shared" si="1"/>
        <v/>
      </c>
      <c r="F221" s="1"/>
      <c r="G221" s="17"/>
      <c r="I221" s="1" t="str">
        <f t="shared" si="2"/>
        <v>#REF!</v>
      </c>
      <c r="J221" s="1" t="str">
        <f t="array" ref="J221">IFERROR(INDEX('Исходник'!$1:$626,MATCH($I221,'Исходник'!$T:$T,0),MATCH(J$1,'Исходник'!$1:$1,0)))</f>
        <v/>
      </c>
      <c r="K221" s="7" t="str">
        <f t="shared" si="3"/>
        <v>#REF!</v>
      </c>
      <c r="L221" s="1" t="str">
        <f>IF(I221&gt;0,IF(TODAY()-K221&lt;'Анализ'!$D$4+1,1,0),"")</f>
        <v>#REF!</v>
      </c>
    </row>
    <row r="222" ht="15.75" customHeight="1">
      <c r="A222" s="1"/>
      <c r="B222" s="1" t="str">
        <f t="shared" si="1"/>
        <v/>
      </c>
      <c r="F222" s="1"/>
      <c r="G222" s="17"/>
      <c r="I222" s="1" t="str">
        <f t="shared" si="2"/>
        <v>#REF!</v>
      </c>
      <c r="J222" s="1" t="str">
        <f t="array" ref="J222">IFERROR(INDEX('Исходник'!$1:$626,MATCH($I222,'Исходник'!$T:$T,0),MATCH(J$1,'Исходник'!$1:$1,0)))</f>
        <v/>
      </c>
      <c r="K222" s="7" t="str">
        <f t="shared" si="3"/>
        <v>#REF!</v>
      </c>
      <c r="L222" s="1" t="str">
        <f>IF(I222&gt;0,IF(TODAY()-K222&lt;'Анализ'!$D$4+1,1,0),"")</f>
        <v>#REF!</v>
      </c>
    </row>
    <row r="223" ht="15.75" customHeight="1">
      <c r="A223" s="1"/>
      <c r="B223" s="1" t="str">
        <f t="shared" si="1"/>
        <v/>
      </c>
      <c r="F223" s="1"/>
      <c r="G223" s="17"/>
      <c r="I223" s="1" t="str">
        <f t="shared" si="2"/>
        <v>#REF!</v>
      </c>
      <c r="J223" s="1" t="str">
        <f t="array" ref="J223">IFERROR(INDEX('Исходник'!$1:$626,MATCH($I223,'Исходник'!$T:$T,0),MATCH(J$1,'Исходник'!$1:$1,0)))</f>
        <v/>
      </c>
      <c r="K223" s="7" t="str">
        <f t="shared" si="3"/>
        <v>#REF!</v>
      </c>
      <c r="L223" s="1" t="str">
        <f>IF(I223&gt;0,IF(TODAY()-K223&lt;'Анализ'!$D$4+1,1,0),"")</f>
        <v>#REF!</v>
      </c>
    </row>
    <row r="224" ht="15.75" customHeight="1">
      <c r="A224" s="1"/>
      <c r="B224" s="1" t="str">
        <f t="shared" si="1"/>
        <v/>
      </c>
      <c r="F224" s="1"/>
      <c r="G224" s="17"/>
      <c r="I224" s="1" t="str">
        <f t="shared" si="2"/>
        <v>#REF!</v>
      </c>
      <c r="J224" s="1" t="str">
        <f t="array" ref="J224">IFERROR(INDEX('Исходник'!$1:$626,MATCH($I224,'Исходник'!$T:$T,0),MATCH(J$1,'Исходник'!$1:$1,0)))</f>
        <v/>
      </c>
      <c r="K224" s="7" t="str">
        <f t="shared" si="3"/>
        <v>#REF!</v>
      </c>
      <c r="L224" s="1" t="str">
        <f>IF(I224&gt;0,IF(TODAY()-K224&lt;'Анализ'!$D$4+1,1,0),"")</f>
        <v>#REF!</v>
      </c>
    </row>
    <row r="225" ht="15.75" customHeight="1">
      <c r="A225" s="1"/>
      <c r="B225" s="1" t="str">
        <f t="shared" si="1"/>
        <v/>
      </c>
      <c r="F225" s="1"/>
      <c r="G225" s="17"/>
      <c r="I225" s="1" t="str">
        <f t="shared" si="2"/>
        <v>#REF!</v>
      </c>
      <c r="J225" s="1" t="str">
        <f t="array" ref="J225">IFERROR(INDEX('Исходник'!$1:$626,MATCH($I225,'Исходник'!$T:$T,0),MATCH(J$1,'Исходник'!$1:$1,0)))</f>
        <v/>
      </c>
      <c r="K225" s="7" t="str">
        <f t="shared" si="3"/>
        <v>#REF!</v>
      </c>
      <c r="L225" s="1" t="str">
        <f>IF(I225&gt;0,IF(TODAY()-K225&lt;'Анализ'!$D$4+1,1,0),"")</f>
        <v>#REF!</v>
      </c>
    </row>
    <row r="226" ht="15.75" customHeight="1">
      <c r="A226" s="1"/>
      <c r="B226" s="1" t="str">
        <f t="shared" si="1"/>
        <v/>
      </c>
      <c r="F226" s="1"/>
      <c r="G226" s="17"/>
      <c r="I226" s="1" t="str">
        <f t="shared" si="2"/>
        <v>#REF!</v>
      </c>
      <c r="J226" s="1" t="str">
        <f t="array" ref="J226">IFERROR(INDEX('Исходник'!$1:$626,MATCH($I226,'Исходник'!$T:$T,0),MATCH(J$1,'Исходник'!$1:$1,0)))</f>
        <v/>
      </c>
      <c r="K226" s="7" t="str">
        <f t="shared" si="3"/>
        <v>#REF!</v>
      </c>
      <c r="L226" s="1" t="str">
        <f>IF(I226&gt;0,IF(TODAY()-K226&lt;'Анализ'!$D$4+1,1,0),"")</f>
        <v>#REF!</v>
      </c>
    </row>
    <row r="227" ht="15.75" customHeight="1">
      <c r="A227" s="1"/>
      <c r="B227" s="1" t="str">
        <f t="shared" si="1"/>
        <v/>
      </c>
      <c r="F227" s="1"/>
      <c r="G227" s="17"/>
      <c r="I227" s="1" t="str">
        <f t="shared" si="2"/>
        <v>#REF!</v>
      </c>
      <c r="J227" s="1" t="str">
        <f t="array" ref="J227">IFERROR(INDEX('Исходник'!$1:$626,MATCH($I227,'Исходник'!$T:$T,0),MATCH(J$1,'Исходник'!$1:$1,0)))</f>
        <v/>
      </c>
      <c r="K227" s="7" t="str">
        <f t="shared" si="3"/>
        <v>#REF!</v>
      </c>
      <c r="L227" s="1" t="str">
        <f>IF(I227&gt;0,IF(TODAY()-K227&lt;'Анализ'!$D$4+1,1,0),"")</f>
        <v>#REF!</v>
      </c>
    </row>
    <row r="228" ht="15.75" customHeight="1">
      <c r="A228" s="1"/>
      <c r="B228" s="1" t="str">
        <f t="shared" si="1"/>
        <v/>
      </c>
      <c r="F228" s="1"/>
      <c r="G228" s="17"/>
      <c r="I228" s="1" t="str">
        <f t="shared" si="2"/>
        <v>#REF!</v>
      </c>
      <c r="J228" s="1" t="str">
        <f t="array" ref="J228">IFERROR(INDEX('Исходник'!$1:$626,MATCH($I228,'Исходник'!$T:$T,0),MATCH(J$1,'Исходник'!$1:$1,0)))</f>
        <v/>
      </c>
      <c r="K228" s="7" t="str">
        <f t="shared" si="3"/>
        <v>#REF!</v>
      </c>
      <c r="L228" s="1" t="str">
        <f>IF(I228&gt;0,IF(TODAY()-K228&lt;'Анализ'!$D$4+1,1,0),"")</f>
        <v>#REF!</v>
      </c>
    </row>
    <row r="229" ht="15.75" customHeight="1">
      <c r="A229" s="1"/>
      <c r="B229" s="1" t="str">
        <f t="shared" si="1"/>
        <v/>
      </c>
      <c r="F229" s="1"/>
      <c r="G229" s="17"/>
      <c r="I229" s="1" t="str">
        <f t="shared" si="2"/>
        <v>#REF!</v>
      </c>
      <c r="J229" s="1" t="str">
        <f t="array" ref="J229">IFERROR(INDEX('Исходник'!$1:$626,MATCH($I229,'Исходник'!$T:$T,0),MATCH(J$1,'Исходник'!$1:$1,0)))</f>
        <v/>
      </c>
      <c r="K229" s="7" t="str">
        <f t="shared" si="3"/>
        <v>#REF!</v>
      </c>
      <c r="L229" s="1" t="str">
        <f>IF(I229&gt;0,IF(TODAY()-K229&lt;'Анализ'!$D$4+1,1,0),"")</f>
        <v>#REF!</v>
      </c>
    </row>
    <row r="230" ht="15.75" customHeight="1">
      <c r="B230" s="1" t="str">
        <f t="shared" si="1"/>
        <v/>
      </c>
      <c r="F230" s="1"/>
      <c r="G230" s="17"/>
      <c r="I230" s="1" t="str">
        <f t="shared" si="2"/>
        <v>#REF!</v>
      </c>
      <c r="J230" s="1" t="str">
        <f t="array" ref="J230">IFERROR(INDEX('Исходник'!$1:$626,MATCH($I230,'Исходник'!$T:$T,0),MATCH(J$1,'Исходник'!$1:$1,0)))</f>
        <v/>
      </c>
      <c r="K230" s="7" t="str">
        <f t="shared" si="3"/>
        <v>#REF!</v>
      </c>
      <c r="L230" s="1" t="str">
        <f>IF(I230&gt;0,IF(TODAY()-K230&lt;'Анализ'!$D$4+1,1,0),"")</f>
        <v>#REF!</v>
      </c>
    </row>
    <row r="231" ht="15.75" customHeight="1">
      <c r="B231" s="1" t="str">
        <f t="shared" si="1"/>
        <v/>
      </c>
      <c r="F231" s="1"/>
      <c r="G231" s="17"/>
      <c r="I231" s="1" t="str">
        <f t="shared" si="2"/>
        <v>#REF!</v>
      </c>
      <c r="J231" s="1" t="str">
        <f t="array" ref="J231">IFERROR(INDEX('Исходник'!$1:$626,MATCH($I231,'Исходник'!$T:$T,0),MATCH(J$1,'Исходник'!$1:$1,0)))</f>
        <v/>
      </c>
      <c r="K231" s="7" t="str">
        <f t="shared" si="3"/>
        <v>#REF!</v>
      </c>
      <c r="L231" s="1" t="str">
        <f>IF(I231&gt;0,IF(TODAY()-K231&lt;'Анализ'!$D$4+1,1,0),"")</f>
        <v>#REF!</v>
      </c>
    </row>
    <row r="232" ht="15.75" customHeight="1">
      <c r="B232" s="1" t="str">
        <f t="shared" si="1"/>
        <v/>
      </c>
      <c r="F232" s="1"/>
      <c r="G232" s="17"/>
      <c r="I232" s="1" t="str">
        <f t="shared" si="2"/>
        <v>#REF!</v>
      </c>
      <c r="J232" s="1" t="str">
        <f t="array" ref="J232">IFERROR(INDEX('Исходник'!$1:$626,MATCH($I232,'Исходник'!$T:$T,0),MATCH(J$1,'Исходник'!$1:$1,0)))</f>
        <v/>
      </c>
      <c r="K232" s="7" t="str">
        <f t="shared" si="3"/>
        <v>#REF!</v>
      </c>
      <c r="L232" s="1" t="str">
        <f>IF(I232&gt;0,IF(TODAY()-K232&lt;'Анализ'!$D$4+1,1,0),"")</f>
        <v>#REF!</v>
      </c>
    </row>
    <row r="233" ht="15.75" customHeight="1">
      <c r="B233" s="1" t="str">
        <f t="shared" si="1"/>
        <v/>
      </c>
      <c r="F233" s="1"/>
      <c r="G233" s="17"/>
      <c r="I233" s="1" t="str">
        <f t="shared" si="2"/>
        <v>#REF!</v>
      </c>
      <c r="J233" s="1" t="str">
        <f t="array" ref="J233">IFERROR(INDEX('Исходник'!$1:$626,MATCH($I233,'Исходник'!$T:$T,0),MATCH(J$1,'Исходник'!$1:$1,0)))</f>
        <v/>
      </c>
      <c r="K233" s="7" t="str">
        <f t="shared" si="3"/>
        <v>#REF!</v>
      </c>
      <c r="L233" s="1" t="str">
        <f>IF(I233&gt;0,IF(TODAY()-K233&lt;'Анализ'!$D$4+1,1,0),"")</f>
        <v>#REF!</v>
      </c>
    </row>
    <row r="234" ht="15.75" customHeight="1">
      <c r="B234" s="1" t="str">
        <f t="shared" si="1"/>
        <v/>
      </c>
      <c r="F234" s="1"/>
      <c r="G234" s="17"/>
      <c r="I234" s="1" t="str">
        <f t="shared" si="2"/>
        <v>#REF!</v>
      </c>
      <c r="J234" s="1" t="str">
        <f t="array" ref="J234">IFERROR(INDEX('Исходник'!$1:$626,MATCH($I234,'Исходник'!$T:$T,0),MATCH(J$1,'Исходник'!$1:$1,0)))</f>
        <v/>
      </c>
      <c r="K234" s="7" t="str">
        <f t="shared" si="3"/>
        <v>#REF!</v>
      </c>
      <c r="L234" s="1" t="str">
        <f>IF(I234&gt;0,IF(TODAY()-K234&lt;'Анализ'!$D$4+1,1,0),"")</f>
        <v>#REF!</v>
      </c>
    </row>
    <row r="235" ht="15.75" customHeight="1">
      <c r="B235" s="1" t="str">
        <f t="shared" si="1"/>
        <v/>
      </c>
      <c r="F235" s="1"/>
      <c r="G235" s="17"/>
      <c r="I235" s="1" t="str">
        <f t="shared" si="2"/>
        <v>#REF!</v>
      </c>
      <c r="J235" s="1" t="str">
        <f t="array" ref="J235">IFERROR(INDEX('Исходник'!$1:$626,MATCH($I235,'Исходник'!$T:$T,0),MATCH(J$1,'Исходник'!$1:$1,0)))</f>
        <v/>
      </c>
      <c r="K235" s="7" t="str">
        <f t="shared" si="3"/>
        <v>#REF!</v>
      </c>
      <c r="L235" s="1" t="str">
        <f>IF(I235&gt;0,IF(TODAY()-K235&lt;'Анализ'!$D$4+1,1,0),"")</f>
        <v>#REF!</v>
      </c>
    </row>
    <row r="236" ht="15.75" customHeight="1">
      <c r="B236" s="1" t="str">
        <f t="shared" si="1"/>
        <v/>
      </c>
      <c r="F236" s="1"/>
      <c r="G236" s="17"/>
      <c r="I236" s="1" t="str">
        <f t="shared" si="2"/>
        <v>#REF!</v>
      </c>
      <c r="J236" s="1" t="str">
        <f t="array" ref="J236">IFERROR(INDEX('Исходник'!$1:$626,MATCH($I236,'Исходник'!$T:$T,0),MATCH(J$1,'Исходник'!$1:$1,0)))</f>
        <v/>
      </c>
      <c r="K236" s="7" t="str">
        <f t="shared" si="3"/>
        <v>#REF!</v>
      </c>
      <c r="L236" s="1" t="str">
        <f>IF(I236&gt;0,IF(TODAY()-K236&lt;'Анализ'!$D$4+1,1,0),"")</f>
        <v>#REF!</v>
      </c>
    </row>
    <row r="237" ht="15.75" customHeight="1">
      <c r="B237" s="1" t="str">
        <f t="shared" si="1"/>
        <v/>
      </c>
      <c r="F237" s="1"/>
      <c r="G237" s="17"/>
      <c r="I237" s="1" t="str">
        <f t="shared" si="2"/>
        <v>#REF!</v>
      </c>
      <c r="J237" s="1" t="str">
        <f t="array" ref="J237">IFERROR(INDEX('Исходник'!$1:$626,MATCH($I237,'Исходник'!$T:$T,0),MATCH(J$1,'Исходник'!$1:$1,0)))</f>
        <v/>
      </c>
      <c r="K237" s="7" t="str">
        <f t="shared" si="3"/>
        <v>#REF!</v>
      </c>
      <c r="L237" s="1" t="str">
        <f>IF(I237&gt;0,IF(TODAY()-K237&lt;'Анализ'!$D$4+1,1,0),"")</f>
        <v>#REF!</v>
      </c>
    </row>
    <row r="238" ht="15.75" customHeight="1">
      <c r="B238" s="1" t="str">
        <f t="shared" si="1"/>
        <v/>
      </c>
      <c r="F238" s="1"/>
      <c r="G238" s="17"/>
      <c r="I238" s="1" t="str">
        <f t="shared" si="2"/>
        <v>#REF!</v>
      </c>
      <c r="J238" s="1" t="str">
        <f t="array" ref="J238">IFERROR(INDEX('Исходник'!$1:$626,MATCH($I238,'Исходник'!$T:$T,0),MATCH(J$1,'Исходник'!$1:$1,0)))</f>
        <v/>
      </c>
      <c r="K238" s="7" t="str">
        <f t="shared" si="3"/>
        <v>#REF!</v>
      </c>
      <c r="L238" s="1" t="str">
        <f>IF(I238&gt;0,IF(TODAY()-K238&lt;'Анализ'!$D$4+1,1,0),"")</f>
        <v>#REF!</v>
      </c>
    </row>
    <row r="239" ht="15.75" customHeight="1">
      <c r="B239" s="1" t="str">
        <f t="shared" si="1"/>
        <v/>
      </c>
      <c r="F239" s="1"/>
      <c r="G239" s="17"/>
      <c r="I239" s="1" t="str">
        <f t="shared" si="2"/>
        <v>#REF!</v>
      </c>
      <c r="J239" s="1" t="str">
        <f t="array" ref="J239">IFERROR(INDEX('Исходник'!$1:$626,MATCH($I239,'Исходник'!$T:$T,0),MATCH(J$1,'Исходник'!$1:$1,0)))</f>
        <v/>
      </c>
      <c r="K239" s="7" t="str">
        <f t="shared" si="3"/>
        <v>#REF!</v>
      </c>
      <c r="L239" s="1" t="str">
        <f>IF(I239&gt;0,IF(TODAY()-K239&lt;'Анализ'!$D$4+1,1,0),"")</f>
        <v>#REF!</v>
      </c>
    </row>
    <row r="240" ht="15.75" customHeight="1">
      <c r="B240" s="1" t="str">
        <f t="shared" si="1"/>
        <v/>
      </c>
      <c r="F240" s="1"/>
      <c r="G240" s="17"/>
      <c r="I240" s="1" t="str">
        <f t="shared" si="2"/>
        <v>#REF!</v>
      </c>
      <c r="J240" s="1" t="str">
        <f t="array" ref="J240">IFERROR(INDEX('Исходник'!$1:$626,MATCH($I240,'Исходник'!$T:$T,0),MATCH(J$1,'Исходник'!$1:$1,0)))</f>
        <v/>
      </c>
      <c r="K240" s="7" t="str">
        <f t="shared" si="3"/>
        <v>#REF!</v>
      </c>
      <c r="L240" s="1" t="str">
        <f>IF(I240&gt;0,IF(TODAY()-K240&lt;'Анализ'!$D$4+1,1,0),"")</f>
        <v>#REF!</v>
      </c>
    </row>
    <row r="241" ht="15.75" customHeight="1">
      <c r="B241" s="1" t="str">
        <f t="shared" si="1"/>
        <v/>
      </c>
      <c r="F241" s="1"/>
      <c r="G241" s="17"/>
      <c r="I241" s="1" t="str">
        <f t="shared" si="2"/>
        <v>#REF!</v>
      </c>
      <c r="J241" s="1" t="str">
        <f t="array" ref="J241">IFERROR(INDEX('Исходник'!$1:$626,MATCH($I241,'Исходник'!$T:$T,0),MATCH(J$1,'Исходник'!$1:$1,0)))</f>
        <v/>
      </c>
      <c r="K241" s="7" t="str">
        <f t="shared" si="3"/>
        <v>#REF!</v>
      </c>
      <c r="L241" s="1" t="str">
        <f>IF(I241&gt;0,IF(TODAY()-K241&lt;'Анализ'!$D$4+1,1,0),"")</f>
        <v>#REF!</v>
      </c>
    </row>
    <row r="242" ht="15.75" customHeight="1">
      <c r="B242" s="1" t="str">
        <f t="shared" si="1"/>
        <v/>
      </c>
      <c r="F242" s="1"/>
      <c r="G242" s="17"/>
      <c r="I242" s="1" t="str">
        <f t="shared" si="2"/>
        <v>#REF!</v>
      </c>
      <c r="J242" s="1" t="str">
        <f t="array" ref="J242">IFERROR(INDEX('Исходник'!$1:$626,MATCH($I242,'Исходник'!$T:$T,0),MATCH(J$1,'Исходник'!$1:$1,0)))</f>
        <v/>
      </c>
      <c r="K242" s="7" t="str">
        <f t="shared" si="3"/>
        <v>#REF!</v>
      </c>
      <c r="L242" s="1" t="str">
        <f>IF(I242&gt;0,IF(TODAY()-K242&lt;'Анализ'!$D$4+1,1,0),"")</f>
        <v>#REF!</v>
      </c>
    </row>
    <row r="243" ht="15.75" customHeight="1">
      <c r="B243" s="1" t="str">
        <f t="shared" si="1"/>
        <v/>
      </c>
      <c r="F243" s="1"/>
      <c r="G243" s="17"/>
      <c r="I243" s="1" t="str">
        <f t="shared" si="2"/>
        <v>#REF!</v>
      </c>
      <c r="J243" s="1" t="str">
        <f t="array" ref="J243">IFERROR(INDEX('Исходник'!$1:$626,MATCH($I243,'Исходник'!$T:$T,0),MATCH(J$1,'Исходник'!$1:$1,0)))</f>
        <v/>
      </c>
      <c r="K243" s="7" t="str">
        <f t="shared" si="3"/>
        <v>#REF!</v>
      </c>
      <c r="L243" s="1" t="str">
        <f>IF(I243&gt;0,IF(TODAY()-K243&lt;'Анализ'!$D$4+1,1,0),"")</f>
        <v>#REF!</v>
      </c>
    </row>
    <row r="244" ht="15.75" customHeight="1">
      <c r="B244" s="1" t="str">
        <f t="shared" si="1"/>
        <v/>
      </c>
      <c r="F244" s="1"/>
      <c r="G244" s="17"/>
      <c r="I244" s="1" t="str">
        <f t="shared" si="2"/>
        <v>#REF!</v>
      </c>
      <c r="J244" s="1" t="str">
        <f t="array" ref="J244">IFERROR(INDEX('Исходник'!$1:$626,MATCH($I244,'Исходник'!$T:$T,0),MATCH(J$1,'Исходник'!$1:$1,0)))</f>
        <v/>
      </c>
      <c r="K244" s="7" t="str">
        <f t="shared" si="3"/>
        <v>#REF!</v>
      </c>
      <c r="L244" s="1" t="str">
        <f>IF(I244&gt;0,IF(TODAY()-K244&lt;'Анализ'!$D$4+1,1,0),"")</f>
        <v>#REF!</v>
      </c>
    </row>
    <row r="245" ht="15.75" customHeight="1">
      <c r="B245" s="1" t="str">
        <f t="shared" si="1"/>
        <v/>
      </c>
      <c r="F245" s="1"/>
      <c r="G245" s="17"/>
      <c r="I245" s="1" t="str">
        <f t="shared" si="2"/>
        <v>#REF!</v>
      </c>
      <c r="J245" s="1" t="str">
        <f t="array" ref="J245">IFERROR(INDEX('Исходник'!$1:$626,MATCH($I245,'Исходник'!$T:$T,0),MATCH(J$1,'Исходник'!$1:$1,0)))</f>
        <v/>
      </c>
      <c r="K245" s="7" t="str">
        <f t="shared" si="3"/>
        <v>#REF!</v>
      </c>
      <c r="L245" s="1" t="str">
        <f>IF(I245&gt;0,IF(TODAY()-K245&lt;'Анализ'!$D$4+1,1,0),"")</f>
        <v>#REF!</v>
      </c>
    </row>
    <row r="246" ht="15.75" customHeight="1">
      <c r="B246" s="1" t="str">
        <f t="shared" si="1"/>
        <v/>
      </c>
      <c r="F246" s="1"/>
      <c r="G246" s="17"/>
      <c r="I246" s="1" t="str">
        <f t="shared" si="2"/>
        <v>#REF!</v>
      </c>
      <c r="J246" s="1" t="str">
        <f t="array" ref="J246">IFERROR(INDEX('Исходник'!$1:$626,MATCH($I246,'Исходник'!$T:$T,0),MATCH(J$1,'Исходник'!$1:$1,0)))</f>
        <v/>
      </c>
      <c r="K246" s="7" t="str">
        <f t="shared" si="3"/>
        <v>#REF!</v>
      </c>
      <c r="L246" s="1" t="str">
        <f>IF(I246&gt;0,IF(TODAY()-K246&lt;'Анализ'!$D$4+1,1,0),"")</f>
        <v>#REF!</v>
      </c>
    </row>
    <row r="247" ht="15.75" customHeight="1">
      <c r="B247" s="1" t="str">
        <f t="shared" si="1"/>
        <v/>
      </c>
      <c r="F247" s="1"/>
      <c r="G247" s="17"/>
      <c r="I247" s="1" t="str">
        <f t="shared" si="2"/>
        <v>#REF!</v>
      </c>
      <c r="J247" s="1" t="str">
        <f t="array" ref="J247">IFERROR(INDEX('Исходник'!$1:$626,MATCH($I247,'Исходник'!$T:$T,0),MATCH(J$1,'Исходник'!$1:$1,0)))</f>
        <v/>
      </c>
      <c r="K247" s="7" t="str">
        <f t="shared" si="3"/>
        <v>#REF!</v>
      </c>
      <c r="L247" s="1" t="str">
        <f>IF(I247&gt;0,IF(TODAY()-K247&lt;'Анализ'!$D$4+1,1,0),"")</f>
        <v>#REF!</v>
      </c>
    </row>
    <row r="248" ht="15.75" customHeight="1">
      <c r="B248" s="1" t="str">
        <f t="shared" si="1"/>
        <v/>
      </c>
      <c r="F248" s="1"/>
      <c r="G248" s="17"/>
      <c r="I248" s="1" t="str">
        <f t="shared" si="2"/>
        <v>#REF!</v>
      </c>
      <c r="J248" s="1" t="str">
        <f t="array" ref="J248">IFERROR(INDEX('Исходник'!$1:$626,MATCH($I248,'Исходник'!$T:$T,0),MATCH(J$1,'Исходник'!$1:$1,0)))</f>
        <v/>
      </c>
      <c r="K248" s="7" t="str">
        <f t="shared" si="3"/>
        <v>#REF!</v>
      </c>
      <c r="L248" s="1" t="str">
        <f>IF(I248&gt;0,IF(TODAY()-K248&lt;'Анализ'!$D$4+1,1,0),"")</f>
        <v>#REF!</v>
      </c>
    </row>
    <row r="249" ht="15.75" customHeight="1">
      <c r="B249" s="1" t="str">
        <f t="shared" si="1"/>
        <v/>
      </c>
      <c r="F249" s="1"/>
      <c r="G249" s="17"/>
      <c r="I249" s="1" t="str">
        <f t="shared" si="2"/>
        <v>#REF!</v>
      </c>
      <c r="J249" s="1" t="str">
        <f t="array" ref="J249">IFERROR(INDEX('Исходник'!$1:$626,MATCH($I249,'Исходник'!$T:$T,0),MATCH(J$1,'Исходник'!$1:$1,0)))</f>
        <v/>
      </c>
      <c r="K249" s="7" t="str">
        <f t="shared" si="3"/>
        <v>#REF!</v>
      </c>
      <c r="L249" s="1" t="str">
        <f>IF(I249&gt;0,IF(TODAY()-K249&lt;'Анализ'!$D$4+1,1,0),"")</f>
        <v>#REF!</v>
      </c>
    </row>
    <row r="250" ht="15.75" customHeight="1">
      <c r="B250" s="1" t="str">
        <f t="shared" si="1"/>
        <v/>
      </c>
      <c r="F250" s="1"/>
      <c r="G250" s="17"/>
      <c r="I250" s="1" t="str">
        <f t="shared" si="2"/>
        <v>#REF!</v>
      </c>
      <c r="J250" s="1" t="str">
        <f t="array" ref="J250">IFERROR(INDEX('Исходник'!$1:$626,MATCH($I250,'Исходник'!$T:$T,0),MATCH(J$1,'Исходник'!$1:$1,0)))</f>
        <v/>
      </c>
      <c r="K250" s="7" t="str">
        <f t="shared" si="3"/>
        <v>#REF!</v>
      </c>
      <c r="L250" s="1" t="str">
        <f>IF(I250&gt;0,IF(TODAY()-K250&lt;'Анализ'!$D$4+1,1,0),"")</f>
        <v>#REF!</v>
      </c>
    </row>
    <row r="251" ht="15.75" customHeight="1">
      <c r="B251" s="1" t="str">
        <f t="shared" si="1"/>
        <v/>
      </c>
      <c r="F251" s="1"/>
      <c r="G251" s="17"/>
      <c r="I251" s="1" t="str">
        <f t="shared" si="2"/>
        <v>#REF!</v>
      </c>
      <c r="J251" s="1" t="str">
        <f t="array" ref="J251">IFERROR(INDEX('Исходник'!$1:$626,MATCH($I251,'Исходник'!$T:$T,0),MATCH(J$1,'Исходник'!$1:$1,0)))</f>
        <v/>
      </c>
      <c r="K251" s="7" t="str">
        <f t="shared" si="3"/>
        <v>#REF!</v>
      </c>
      <c r="L251" s="1" t="str">
        <f>IF(I251&gt;0,IF(TODAY()-K251&lt;'Анализ'!$D$4+1,1,0),"")</f>
        <v>#REF!</v>
      </c>
    </row>
    <row r="252" ht="15.75" customHeight="1">
      <c r="B252" s="1" t="str">
        <f t="shared" si="1"/>
        <v/>
      </c>
      <c r="F252" s="1"/>
      <c r="G252" s="17"/>
      <c r="I252" s="1" t="str">
        <f t="shared" si="2"/>
        <v>#REF!</v>
      </c>
      <c r="J252" s="1" t="str">
        <f t="array" ref="J252">IFERROR(INDEX('Исходник'!$1:$626,MATCH($I252,'Исходник'!$T:$T,0),MATCH(J$1,'Исходник'!$1:$1,0)))</f>
        <v/>
      </c>
      <c r="K252" s="7" t="str">
        <f t="shared" si="3"/>
        <v>#REF!</v>
      </c>
      <c r="L252" s="1" t="str">
        <f>IF(I252&gt;0,IF(TODAY()-K252&lt;'Анализ'!$D$4+1,1,0),"")</f>
        <v>#REF!</v>
      </c>
    </row>
    <row r="253" ht="15.75" customHeight="1">
      <c r="B253" s="1" t="str">
        <f t="shared" si="1"/>
        <v/>
      </c>
      <c r="F253" s="1"/>
      <c r="G253" s="17"/>
      <c r="I253" s="1" t="str">
        <f t="shared" si="2"/>
        <v>#REF!</v>
      </c>
      <c r="J253" s="1" t="str">
        <f t="array" ref="J253">IFERROR(INDEX('Исходник'!$1:$626,MATCH($I253,'Исходник'!$T:$T,0),MATCH(J$1,'Исходник'!$1:$1,0)))</f>
        <v/>
      </c>
      <c r="K253" s="7" t="str">
        <f t="shared" si="3"/>
        <v>#REF!</v>
      </c>
      <c r="L253" s="1" t="str">
        <f>IF(I253&gt;0,IF(TODAY()-K253&lt;'Анализ'!$D$4+1,1,0),"")</f>
        <v>#REF!</v>
      </c>
    </row>
    <row r="254" ht="15.75" customHeight="1">
      <c r="B254" s="1" t="str">
        <f t="shared" si="1"/>
        <v/>
      </c>
      <c r="F254" s="1"/>
      <c r="G254" s="17"/>
      <c r="I254" s="1" t="str">
        <f t="shared" si="2"/>
        <v>#REF!</v>
      </c>
      <c r="J254" s="1" t="str">
        <f t="array" ref="J254">IFERROR(INDEX('Исходник'!$1:$626,MATCH($I254,'Исходник'!$T:$T,0),MATCH(J$1,'Исходник'!$1:$1,0)))</f>
        <v/>
      </c>
      <c r="K254" s="7" t="str">
        <f t="shared" si="3"/>
        <v>#REF!</v>
      </c>
      <c r="L254" s="1" t="str">
        <f>IF(I254&gt;0,IF(TODAY()-K254&lt;'Анализ'!$D$4+1,1,0),"")</f>
        <v>#REF!</v>
      </c>
    </row>
    <row r="255" ht="15.75" customHeight="1">
      <c r="B255" s="1" t="str">
        <f t="shared" si="1"/>
        <v/>
      </c>
      <c r="F255" s="1"/>
      <c r="G255" s="17"/>
      <c r="I255" s="1" t="str">
        <f t="shared" si="2"/>
        <v>#REF!</v>
      </c>
      <c r="J255" s="1" t="str">
        <f t="array" ref="J255">IFERROR(INDEX('Исходник'!$1:$626,MATCH($I255,'Исходник'!$T:$T,0),MATCH(J$1,'Исходник'!$1:$1,0)))</f>
        <v/>
      </c>
      <c r="K255" s="7" t="str">
        <f t="shared" si="3"/>
        <v>#REF!</v>
      </c>
      <c r="L255" s="1" t="str">
        <f>IF(I255&gt;0,IF(TODAY()-K255&lt;'Анализ'!$D$4+1,1,0),"")</f>
        <v>#REF!</v>
      </c>
    </row>
    <row r="256" ht="15.75" customHeight="1">
      <c r="B256" s="1" t="str">
        <f t="shared" si="1"/>
        <v/>
      </c>
      <c r="F256" s="1"/>
      <c r="G256" s="17"/>
      <c r="I256" s="1" t="str">
        <f t="shared" si="2"/>
        <v>#REF!</v>
      </c>
      <c r="J256" s="1" t="str">
        <f t="array" ref="J256">IFERROR(INDEX('Исходник'!$1:$626,MATCH($I256,'Исходник'!$T:$T,0),MATCH(J$1,'Исходник'!$1:$1,0)))</f>
        <v/>
      </c>
      <c r="K256" s="7" t="str">
        <f t="shared" si="3"/>
        <v>#REF!</v>
      </c>
      <c r="L256" s="1" t="str">
        <f>IF(I256&gt;0,IF(TODAY()-K256&lt;'Анализ'!$D$4+1,1,0),"")</f>
        <v>#REF!</v>
      </c>
    </row>
    <row r="257" ht="15.75" customHeight="1">
      <c r="B257" s="1" t="str">
        <f t="shared" si="1"/>
        <v/>
      </c>
      <c r="F257" s="1"/>
      <c r="G257" s="17"/>
      <c r="I257" s="1" t="str">
        <f t="shared" si="2"/>
        <v>#REF!</v>
      </c>
      <c r="J257" s="1" t="str">
        <f t="array" ref="J257">IFERROR(INDEX('Исходник'!$1:$626,MATCH($I257,'Исходник'!$T:$T,0),MATCH(J$1,'Исходник'!$1:$1,0)))</f>
        <v/>
      </c>
      <c r="K257" s="7" t="str">
        <f t="shared" si="3"/>
        <v>#REF!</v>
      </c>
      <c r="L257" s="1" t="str">
        <f>IF(I257&gt;0,IF(TODAY()-K257&lt;'Анализ'!$D$4+1,1,0),"")</f>
        <v>#REF!</v>
      </c>
    </row>
    <row r="258" ht="15.75" customHeight="1">
      <c r="B258" s="1" t="str">
        <f t="shared" si="1"/>
        <v/>
      </c>
      <c r="F258" s="1"/>
      <c r="G258" s="17"/>
      <c r="I258" s="1" t="str">
        <f t="shared" si="2"/>
        <v>#REF!</v>
      </c>
      <c r="J258" s="1" t="str">
        <f t="array" ref="J258">IFERROR(INDEX('Исходник'!$1:$626,MATCH($I258,'Исходник'!$T:$T,0),MATCH(J$1,'Исходник'!$1:$1,0)))</f>
        <v/>
      </c>
      <c r="K258" s="7" t="str">
        <f t="shared" si="3"/>
        <v>#REF!</v>
      </c>
      <c r="L258" s="1" t="str">
        <f>IF(I258&gt;0,IF(TODAY()-K258&lt;'Анализ'!$D$4+1,1,0),"")</f>
        <v>#REF!</v>
      </c>
    </row>
    <row r="259" ht="15.75" customHeight="1">
      <c r="B259" s="1" t="str">
        <f t="shared" si="1"/>
        <v/>
      </c>
      <c r="F259" s="1"/>
      <c r="G259" s="17"/>
      <c r="I259" s="1" t="str">
        <f t="shared" si="2"/>
        <v>#REF!</v>
      </c>
      <c r="J259" s="1" t="str">
        <f t="array" ref="J259">IFERROR(INDEX('Исходник'!$1:$626,MATCH($I259,'Исходник'!$T:$T,0),MATCH(J$1,'Исходник'!$1:$1,0)))</f>
        <v/>
      </c>
      <c r="K259" s="7" t="str">
        <f t="shared" si="3"/>
        <v>#REF!</v>
      </c>
      <c r="L259" s="1" t="str">
        <f>IF(I259&gt;0,IF(TODAY()-K259&lt;'Анализ'!$D$4+1,1,0),"")</f>
        <v>#REF!</v>
      </c>
    </row>
    <row r="260" ht="15.75" customHeight="1">
      <c r="B260" s="1" t="str">
        <f t="shared" si="1"/>
        <v/>
      </c>
      <c r="F260" s="1"/>
      <c r="G260" s="17"/>
      <c r="I260" s="1" t="str">
        <f t="shared" si="2"/>
        <v>#REF!</v>
      </c>
      <c r="J260" s="1" t="str">
        <f t="array" ref="J260">IFERROR(INDEX('Исходник'!$1:$626,MATCH($I260,'Исходник'!$T:$T,0),MATCH(J$1,'Исходник'!$1:$1,0)))</f>
        <v/>
      </c>
      <c r="K260" s="7" t="str">
        <f t="shared" si="3"/>
        <v>#REF!</v>
      </c>
      <c r="L260" s="1" t="str">
        <f>IF(I260&gt;0,IF(TODAY()-K260&lt;'Анализ'!$D$4+1,1,0),"")</f>
        <v>#REF!</v>
      </c>
    </row>
    <row r="261" ht="15.75" customHeight="1">
      <c r="B261" s="1" t="str">
        <f t="shared" si="1"/>
        <v/>
      </c>
      <c r="F261" s="1"/>
      <c r="G261" s="17"/>
      <c r="I261" s="1" t="str">
        <f t="shared" si="2"/>
        <v>#REF!</v>
      </c>
      <c r="J261" s="1" t="str">
        <f t="array" ref="J261">IFERROR(INDEX('Исходник'!$1:$626,MATCH($I261,'Исходник'!$T:$T,0),MATCH(J$1,'Исходник'!$1:$1,0)))</f>
        <v/>
      </c>
      <c r="K261" s="7" t="str">
        <f t="shared" si="3"/>
        <v>#REF!</v>
      </c>
      <c r="L261" s="1" t="str">
        <f>IF(I261&gt;0,IF(TODAY()-K261&lt;'Анализ'!$D$4+1,1,0),"")</f>
        <v>#REF!</v>
      </c>
    </row>
    <row r="262" ht="15.75" customHeight="1">
      <c r="B262" s="1" t="str">
        <f t="shared" si="1"/>
        <v/>
      </c>
      <c r="F262" s="1"/>
      <c r="G262" s="17"/>
      <c r="I262" s="1" t="str">
        <f t="shared" si="2"/>
        <v>#REF!</v>
      </c>
      <c r="J262" s="1" t="str">
        <f t="array" ref="J262">IFERROR(INDEX('Исходник'!$1:$626,MATCH($I262,'Исходник'!$T:$T,0),MATCH(J$1,'Исходник'!$1:$1,0)))</f>
        <v/>
      </c>
      <c r="K262" s="7" t="str">
        <f t="shared" si="3"/>
        <v>#REF!</v>
      </c>
      <c r="L262" s="1" t="str">
        <f>IF(I262&gt;0,IF(TODAY()-K262&lt;'Анализ'!$D$4+1,1,0),"")</f>
        <v>#REF!</v>
      </c>
    </row>
    <row r="263" ht="15.75" customHeight="1">
      <c r="B263" s="1" t="str">
        <f t="shared" si="1"/>
        <v/>
      </c>
      <c r="F263" s="1"/>
      <c r="G263" s="17"/>
      <c r="I263" s="1" t="str">
        <f t="shared" si="2"/>
        <v>#REF!</v>
      </c>
      <c r="J263" s="1" t="str">
        <f t="array" ref="J263">IFERROR(INDEX('Исходник'!$1:$626,MATCH($I263,'Исходник'!$T:$T,0),MATCH(J$1,'Исходник'!$1:$1,0)))</f>
        <v/>
      </c>
      <c r="K263" s="7" t="str">
        <f t="shared" si="3"/>
        <v>#REF!</v>
      </c>
      <c r="L263" s="1" t="str">
        <f>IF(I263&gt;0,IF(TODAY()-K263&lt;'Анализ'!$D$4+1,1,0),"")</f>
        <v>#REF!</v>
      </c>
    </row>
    <row r="264" ht="15.75" customHeight="1">
      <c r="B264" s="1" t="str">
        <f t="shared" si="1"/>
        <v/>
      </c>
      <c r="F264" s="1"/>
      <c r="G264" s="17"/>
      <c r="I264" s="1" t="str">
        <f t="shared" si="2"/>
        <v>#REF!</v>
      </c>
      <c r="J264" s="1" t="str">
        <f t="array" ref="J264">IFERROR(INDEX('Исходник'!$1:$626,MATCH($I264,'Исходник'!$T:$T,0),MATCH(J$1,'Исходник'!$1:$1,0)))</f>
        <v/>
      </c>
      <c r="K264" s="7" t="str">
        <f t="shared" si="3"/>
        <v>#REF!</v>
      </c>
      <c r="L264" s="1" t="str">
        <f>IF(I264&gt;0,IF(TODAY()-K264&lt;'Анализ'!$D$4+1,1,0),"")</f>
        <v>#REF!</v>
      </c>
    </row>
    <row r="265" ht="15.75" customHeight="1">
      <c r="B265" s="1" t="str">
        <f t="shared" si="1"/>
        <v/>
      </c>
      <c r="F265" s="1"/>
      <c r="G265" s="17"/>
      <c r="I265" s="1" t="str">
        <f t="shared" si="2"/>
        <v>#REF!</v>
      </c>
      <c r="J265" s="1" t="str">
        <f t="array" ref="J265">IFERROR(INDEX('Исходник'!$1:$626,MATCH($I265,'Исходник'!$T:$T,0),MATCH(J$1,'Исходник'!$1:$1,0)))</f>
        <v/>
      </c>
      <c r="K265" s="7" t="str">
        <f t="shared" si="3"/>
        <v>#REF!</v>
      </c>
      <c r="L265" s="1" t="str">
        <f>IF(I265&gt;0,IF(TODAY()-K265&lt;'Анализ'!$D$4+1,1,0),"")</f>
        <v>#REF!</v>
      </c>
    </row>
    <row r="266" ht="15.75" customHeight="1">
      <c r="B266" s="1" t="str">
        <f t="shared" si="1"/>
        <v/>
      </c>
      <c r="F266" s="1"/>
      <c r="G266" s="17"/>
      <c r="I266" s="1" t="str">
        <f t="shared" si="2"/>
        <v>#REF!</v>
      </c>
      <c r="J266" s="1" t="str">
        <f t="array" ref="J266">IFERROR(INDEX('Исходник'!$1:$626,MATCH($I266,'Исходник'!$T:$T,0),MATCH(J$1,'Исходник'!$1:$1,0)))</f>
        <v/>
      </c>
      <c r="K266" s="7" t="str">
        <f t="shared" si="3"/>
        <v>#REF!</v>
      </c>
      <c r="L266" s="1" t="str">
        <f>IF(I266&gt;0,IF(TODAY()-K266&lt;'Анализ'!$D$4+1,1,0),"")</f>
        <v>#REF!</v>
      </c>
    </row>
    <row r="267" ht="15.75" customHeight="1">
      <c r="B267" s="1" t="str">
        <f t="shared" si="1"/>
        <v/>
      </c>
      <c r="F267" s="1"/>
      <c r="G267" s="17"/>
      <c r="I267" s="1" t="str">
        <f t="shared" si="2"/>
        <v>#REF!</v>
      </c>
      <c r="J267" s="1" t="str">
        <f t="array" ref="J267">IFERROR(INDEX('Исходник'!$1:$626,MATCH($I267,'Исходник'!$T:$T,0),MATCH(J$1,'Исходник'!$1:$1,0)))</f>
        <v/>
      </c>
      <c r="K267" s="7" t="str">
        <f t="shared" si="3"/>
        <v>#REF!</v>
      </c>
      <c r="L267" s="1" t="str">
        <f>IF(I267&gt;0,IF(TODAY()-K267&lt;'Анализ'!$D$4+1,1,0),"")</f>
        <v>#REF!</v>
      </c>
    </row>
    <row r="268" ht="15.75" customHeight="1">
      <c r="B268" s="1" t="str">
        <f t="shared" si="1"/>
        <v/>
      </c>
      <c r="F268" s="1"/>
      <c r="G268" s="17"/>
      <c r="I268" s="1" t="str">
        <f t="shared" si="2"/>
        <v>#REF!</v>
      </c>
      <c r="J268" s="1" t="str">
        <f t="array" ref="J268">IFERROR(INDEX('Исходник'!$1:$626,MATCH($I268,'Исходник'!$T:$T,0),MATCH(J$1,'Исходник'!$1:$1,0)))</f>
        <v/>
      </c>
      <c r="K268" s="7" t="str">
        <f t="shared" si="3"/>
        <v>#REF!</v>
      </c>
      <c r="L268" s="1" t="str">
        <f>IF(I268&gt;0,IF(TODAY()-K268&lt;'Анализ'!$D$4+1,1,0),"")</f>
        <v>#REF!</v>
      </c>
    </row>
    <row r="269" ht="15.75" customHeight="1">
      <c r="B269" s="1" t="str">
        <f t="shared" si="1"/>
        <v/>
      </c>
      <c r="F269" s="1"/>
      <c r="G269" s="17"/>
      <c r="I269" s="1" t="str">
        <f t="shared" si="2"/>
        <v>#REF!</v>
      </c>
      <c r="J269" s="1" t="str">
        <f t="array" ref="J269">IFERROR(INDEX('Исходник'!$1:$626,MATCH($I269,'Исходник'!$T:$T,0),MATCH(J$1,'Исходник'!$1:$1,0)))</f>
        <v/>
      </c>
      <c r="K269" s="7" t="str">
        <f t="shared" si="3"/>
        <v>#REF!</v>
      </c>
      <c r="L269" s="1" t="str">
        <f>IF(I269&gt;0,IF(TODAY()-K269&lt;'Анализ'!$D$4+1,1,0),"")</f>
        <v>#REF!</v>
      </c>
    </row>
    <row r="270" ht="15.75" customHeight="1">
      <c r="B270" s="1" t="str">
        <f t="shared" si="1"/>
        <v/>
      </c>
      <c r="F270" s="1"/>
      <c r="G270" s="17"/>
      <c r="I270" s="1" t="str">
        <f t="shared" si="2"/>
        <v>#REF!</v>
      </c>
      <c r="J270" s="1" t="str">
        <f t="array" ref="J270">IFERROR(INDEX('Исходник'!$1:$626,MATCH($I270,'Исходник'!$T:$T,0),MATCH(J$1,'Исходник'!$1:$1,0)))</f>
        <v/>
      </c>
      <c r="K270" s="7" t="str">
        <f t="shared" si="3"/>
        <v>#REF!</v>
      </c>
      <c r="L270" s="1" t="str">
        <f>IF(I270&gt;0,IF(TODAY()-K270&lt;'Анализ'!$D$4+1,1,0),"")</f>
        <v>#REF!</v>
      </c>
    </row>
    <row r="271" ht="15.75" customHeight="1">
      <c r="B271" s="1" t="str">
        <f t="shared" si="1"/>
        <v/>
      </c>
      <c r="F271" s="1"/>
      <c r="G271" s="17"/>
      <c r="I271" s="1" t="str">
        <f t="shared" si="2"/>
        <v>#REF!</v>
      </c>
      <c r="J271" s="1" t="str">
        <f t="array" ref="J271">IFERROR(INDEX('Исходник'!$1:$626,MATCH($I271,'Исходник'!$T:$T,0),MATCH(J$1,'Исходник'!$1:$1,0)))</f>
        <v/>
      </c>
      <c r="K271" s="7" t="str">
        <f t="shared" si="3"/>
        <v>#REF!</v>
      </c>
      <c r="L271" s="1" t="str">
        <f>IF(I271&gt;0,IF(TODAY()-K271&lt;'Анализ'!$D$4+1,1,0),"")</f>
        <v>#REF!</v>
      </c>
    </row>
    <row r="272" ht="15.75" customHeight="1">
      <c r="B272" s="1" t="str">
        <f t="shared" si="1"/>
        <v/>
      </c>
      <c r="F272" s="1"/>
      <c r="G272" s="17"/>
      <c r="I272" s="1" t="str">
        <f t="shared" si="2"/>
        <v>#REF!</v>
      </c>
      <c r="J272" s="1" t="str">
        <f t="array" ref="J272">IFERROR(INDEX('Исходник'!$1:$626,MATCH($I272,'Исходник'!$T:$T,0),MATCH(J$1,'Исходник'!$1:$1,0)))</f>
        <v/>
      </c>
      <c r="K272" s="7" t="str">
        <f t="shared" si="3"/>
        <v>#REF!</v>
      </c>
      <c r="L272" s="1" t="str">
        <f>IF(I272&gt;0,IF(TODAY()-K272&lt;'Анализ'!$D$4+1,1,0),"")</f>
        <v>#REF!</v>
      </c>
    </row>
    <row r="273" ht="15.75" customHeight="1">
      <c r="B273" s="1" t="str">
        <f t="shared" si="1"/>
        <v/>
      </c>
      <c r="F273" s="1"/>
      <c r="G273" s="17"/>
      <c r="I273" s="1" t="str">
        <f t="shared" si="2"/>
        <v>#REF!</v>
      </c>
      <c r="J273" s="1" t="str">
        <f t="array" ref="J273">IFERROR(INDEX('Исходник'!$1:$626,MATCH($I273,'Исходник'!$T:$T,0),MATCH(J$1,'Исходник'!$1:$1,0)))</f>
        <v/>
      </c>
      <c r="K273" s="7" t="str">
        <f t="shared" si="3"/>
        <v>#REF!</v>
      </c>
      <c r="L273" s="1" t="str">
        <f>IF(I273&gt;0,IF(TODAY()-K273&lt;'Анализ'!$D$4+1,1,0),"")</f>
        <v>#REF!</v>
      </c>
    </row>
    <row r="274" ht="15.75" customHeight="1">
      <c r="B274" s="1" t="str">
        <f t="shared" si="1"/>
        <v/>
      </c>
      <c r="F274" s="1"/>
      <c r="G274" s="17"/>
      <c r="I274" s="1" t="str">
        <f t="shared" si="2"/>
        <v>#REF!</v>
      </c>
      <c r="J274" s="1" t="str">
        <f t="array" ref="J274">IFERROR(INDEX('Исходник'!$1:$626,MATCH($I274,'Исходник'!$T:$T,0),MATCH(J$1,'Исходник'!$1:$1,0)))</f>
        <v/>
      </c>
      <c r="K274" s="7" t="str">
        <f t="shared" si="3"/>
        <v>#REF!</v>
      </c>
      <c r="L274" s="1" t="str">
        <f>IF(I274&gt;0,IF(TODAY()-K274&lt;'Анализ'!$D$4+1,1,0),"")</f>
        <v>#REF!</v>
      </c>
    </row>
    <row r="275" ht="15.75" customHeight="1">
      <c r="B275" s="1" t="str">
        <f t="shared" si="1"/>
        <v/>
      </c>
      <c r="F275" s="1"/>
      <c r="G275" s="17"/>
      <c r="I275" s="1" t="str">
        <f t="shared" si="2"/>
        <v>#REF!</v>
      </c>
      <c r="J275" s="1" t="str">
        <f t="array" ref="J275">IFERROR(INDEX('Исходник'!$1:$626,MATCH($I275,'Исходник'!$T:$T,0),MATCH(J$1,'Исходник'!$1:$1,0)))</f>
        <v/>
      </c>
      <c r="K275" s="7" t="str">
        <f t="shared" si="3"/>
        <v>#REF!</v>
      </c>
      <c r="L275" s="1" t="str">
        <f>IF(I275&gt;0,IF(TODAY()-K275&lt;'Анализ'!$D$4+1,1,0),"")</f>
        <v>#REF!</v>
      </c>
    </row>
    <row r="276" ht="15.75" customHeight="1">
      <c r="B276" s="1" t="str">
        <f t="shared" si="1"/>
        <v/>
      </c>
      <c r="F276" s="1"/>
      <c r="G276" s="17"/>
      <c r="I276" s="1" t="str">
        <f t="shared" si="2"/>
        <v>#REF!</v>
      </c>
      <c r="J276" s="1" t="str">
        <f t="array" ref="J276">IFERROR(INDEX('Исходник'!$1:$626,MATCH($I276,'Исходник'!$T:$T,0),MATCH(J$1,'Исходник'!$1:$1,0)))</f>
        <v/>
      </c>
      <c r="K276" s="7" t="str">
        <f t="shared" si="3"/>
        <v>#REF!</v>
      </c>
      <c r="L276" s="1" t="str">
        <f>IF(I276&gt;0,IF(TODAY()-K276&lt;'Анализ'!$D$4+1,1,0),"")</f>
        <v>#REF!</v>
      </c>
    </row>
    <row r="277" ht="15.75" customHeight="1">
      <c r="B277" s="1" t="str">
        <f t="shared" si="1"/>
        <v/>
      </c>
      <c r="F277" s="1"/>
      <c r="G277" s="17"/>
      <c r="I277" s="1" t="str">
        <f t="shared" si="2"/>
        <v>#REF!</v>
      </c>
      <c r="J277" s="1" t="str">
        <f t="array" ref="J277">IFERROR(INDEX('Исходник'!$1:$626,MATCH($I277,'Исходник'!$T:$T,0),MATCH(J$1,'Исходник'!$1:$1,0)))</f>
        <v/>
      </c>
      <c r="K277" s="7" t="str">
        <f t="shared" si="3"/>
        <v>#REF!</v>
      </c>
      <c r="L277" s="1" t="str">
        <f>IF(I277&gt;0,IF(TODAY()-K277&lt;'Анализ'!$D$4+1,1,0),"")</f>
        <v>#REF!</v>
      </c>
    </row>
    <row r="278" ht="15.75" customHeight="1">
      <c r="B278" s="1" t="str">
        <f t="shared" si="1"/>
        <v/>
      </c>
      <c r="F278" s="1"/>
      <c r="G278" s="17"/>
      <c r="I278" s="1" t="str">
        <f t="shared" si="2"/>
        <v>#REF!</v>
      </c>
      <c r="J278" s="1" t="str">
        <f t="array" ref="J278">IFERROR(INDEX('Исходник'!$1:$626,MATCH($I278,'Исходник'!$T:$T,0),MATCH(J$1,'Исходник'!$1:$1,0)))</f>
        <v/>
      </c>
      <c r="K278" s="7" t="str">
        <f t="shared" si="3"/>
        <v>#REF!</v>
      </c>
      <c r="L278" s="1" t="str">
        <f>IF(I278&gt;0,IF(TODAY()-K278&lt;'Анализ'!$D$4+1,1,0),"")</f>
        <v>#REF!</v>
      </c>
    </row>
    <row r="279" ht="15.75" customHeight="1">
      <c r="B279" s="1" t="str">
        <f t="shared" si="1"/>
        <v/>
      </c>
      <c r="F279" s="1"/>
      <c r="G279" s="17"/>
      <c r="I279" s="1" t="str">
        <f t="shared" si="2"/>
        <v>#REF!</v>
      </c>
      <c r="J279" s="1" t="str">
        <f t="array" ref="J279">IFERROR(INDEX('Исходник'!$1:$626,MATCH($I279,'Исходник'!$T:$T,0),MATCH(J$1,'Исходник'!$1:$1,0)))</f>
        <v/>
      </c>
      <c r="K279" s="7" t="str">
        <f t="shared" si="3"/>
        <v>#REF!</v>
      </c>
      <c r="L279" s="1" t="str">
        <f>IF(I279&gt;0,IF(TODAY()-K279&lt;'Анализ'!$D$4+1,1,0),"")</f>
        <v>#REF!</v>
      </c>
    </row>
    <row r="280" ht="15.75" customHeight="1">
      <c r="B280" s="1" t="str">
        <f t="shared" si="1"/>
        <v/>
      </c>
      <c r="F280" s="1"/>
      <c r="G280" s="17"/>
      <c r="I280" s="1" t="str">
        <f t="shared" si="2"/>
        <v>#REF!</v>
      </c>
      <c r="J280" s="1" t="str">
        <f t="array" ref="J280">IFERROR(INDEX('Исходник'!$1:$626,MATCH($I280,'Исходник'!$T:$T,0),MATCH(J$1,'Исходник'!$1:$1,0)))</f>
        <v/>
      </c>
      <c r="K280" s="7" t="str">
        <f t="shared" si="3"/>
        <v>#REF!</v>
      </c>
      <c r="L280" s="1" t="str">
        <f>IF(I280&gt;0,IF(TODAY()-K280&lt;'Анализ'!$D$4+1,1,0),"")</f>
        <v>#REF!</v>
      </c>
    </row>
    <row r="281" ht="15.75" customHeight="1">
      <c r="B281" s="1" t="str">
        <f t="shared" si="1"/>
        <v/>
      </c>
      <c r="F281" s="1"/>
      <c r="G281" s="17"/>
      <c r="I281" s="1" t="str">
        <f t="shared" si="2"/>
        <v>#REF!</v>
      </c>
      <c r="J281" s="1" t="str">
        <f t="array" ref="J281">IFERROR(INDEX('Исходник'!$1:$626,MATCH($I281,'Исходник'!$T:$T,0),MATCH(J$1,'Исходник'!$1:$1,0)))</f>
        <v/>
      </c>
      <c r="K281" s="7" t="str">
        <f t="shared" si="3"/>
        <v>#REF!</v>
      </c>
      <c r="L281" s="1" t="str">
        <f>IF(I281&gt;0,IF(TODAY()-K281&lt;'Анализ'!$D$4+1,1,0),"")</f>
        <v>#REF!</v>
      </c>
    </row>
    <row r="282" ht="15.75" customHeight="1">
      <c r="B282" s="1" t="str">
        <f t="shared" si="1"/>
        <v/>
      </c>
      <c r="F282" s="1"/>
      <c r="G282" s="17"/>
      <c r="I282" s="1" t="str">
        <f t="shared" si="2"/>
        <v>#REF!</v>
      </c>
      <c r="J282" s="1" t="str">
        <f t="array" ref="J282">IFERROR(INDEX('Исходник'!$1:$626,MATCH($I282,'Исходник'!$T:$T,0),MATCH(J$1,'Исходник'!$1:$1,0)))</f>
        <v/>
      </c>
      <c r="K282" s="7" t="str">
        <f t="shared" si="3"/>
        <v>#REF!</v>
      </c>
      <c r="L282" s="1" t="str">
        <f>IF(I282&gt;0,IF(TODAY()-K282&lt;'Анализ'!$D$4+1,1,0),"")</f>
        <v>#REF!</v>
      </c>
    </row>
    <row r="283" ht="15.75" customHeight="1">
      <c r="B283" s="1" t="str">
        <f t="shared" si="1"/>
        <v/>
      </c>
      <c r="F283" s="1"/>
      <c r="G283" s="17"/>
      <c r="I283" s="1" t="str">
        <f t="shared" si="2"/>
        <v>#REF!</v>
      </c>
      <c r="J283" s="1" t="str">
        <f t="array" ref="J283">IFERROR(INDEX('Исходник'!$1:$626,MATCH($I283,'Исходник'!$T:$T,0),MATCH(J$1,'Исходник'!$1:$1,0)))</f>
        <v/>
      </c>
      <c r="K283" s="7" t="str">
        <f t="shared" si="3"/>
        <v>#REF!</v>
      </c>
      <c r="L283" s="1" t="str">
        <f>IF(I283&gt;0,IF(TODAY()-K283&lt;'Анализ'!$D$4+1,1,0),"")</f>
        <v>#REF!</v>
      </c>
    </row>
    <row r="284" ht="15.75" customHeight="1">
      <c r="B284" s="1" t="str">
        <f t="shared" si="1"/>
        <v/>
      </c>
      <c r="F284" s="1"/>
      <c r="G284" s="17"/>
      <c r="I284" s="1" t="str">
        <f t="shared" si="2"/>
        <v>#REF!</v>
      </c>
      <c r="J284" s="1" t="str">
        <f t="array" ref="J284">IFERROR(INDEX('Исходник'!$1:$626,MATCH($I284,'Исходник'!$T:$T,0),MATCH(J$1,'Исходник'!$1:$1,0)))</f>
        <v/>
      </c>
      <c r="K284" s="7" t="str">
        <f t="shared" si="3"/>
        <v>#REF!</v>
      </c>
      <c r="L284" s="1" t="str">
        <f>IF(I284&gt;0,IF(TODAY()-K284&lt;'Анализ'!$D$4+1,1,0),"")</f>
        <v>#REF!</v>
      </c>
    </row>
    <row r="285" ht="15.75" customHeight="1">
      <c r="B285" s="1" t="str">
        <f t="shared" si="1"/>
        <v/>
      </c>
      <c r="F285" s="1"/>
      <c r="G285" s="17"/>
      <c r="I285" s="1" t="str">
        <f t="shared" si="2"/>
        <v>#REF!</v>
      </c>
      <c r="J285" s="1" t="str">
        <f t="array" ref="J285">IFERROR(INDEX('Исходник'!$1:$626,MATCH($I285,'Исходник'!$T:$T,0),MATCH(J$1,'Исходник'!$1:$1,0)))</f>
        <v/>
      </c>
      <c r="K285" s="7" t="str">
        <f t="shared" si="3"/>
        <v>#REF!</v>
      </c>
      <c r="L285" s="1" t="str">
        <f>IF(I285&gt;0,IF(TODAY()-K285&lt;'Анализ'!$D$4+1,1,0),"")</f>
        <v>#REF!</v>
      </c>
    </row>
    <row r="286" ht="15.75" customHeight="1">
      <c r="B286" s="1" t="str">
        <f t="shared" si="1"/>
        <v/>
      </c>
      <c r="F286" s="1"/>
      <c r="G286" s="17"/>
      <c r="I286" s="1" t="str">
        <f t="shared" si="2"/>
        <v>#REF!</v>
      </c>
      <c r="J286" s="1" t="str">
        <f t="array" ref="J286">IFERROR(INDEX('Исходник'!$1:$626,MATCH($I286,'Исходник'!$T:$T,0),MATCH(J$1,'Исходник'!$1:$1,0)))</f>
        <v/>
      </c>
      <c r="K286" s="7" t="str">
        <f t="shared" si="3"/>
        <v>#REF!</v>
      </c>
      <c r="L286" s="1" t="str">
        <f>IF(I286&gt;0,IF(TODAY()-K286&lt;'Анализ'!$D$4+1,1,0),"")</f>
        <v>#REF!</v>
      </c>
    </row>
    <row r="287" ht="15.75" customHeight="1">
      <c r="B287" s="1" t="str">
        <f t="shared" si="1"/>
        <v/>
      </c>
      <c r="F287" s="1"/>
      <c r="G287" s="17"/>
      <c r="I287" s="1" t="str">
        <f t="shared" si="2"/>
        <v>#REF!</v>
      </c>
      <c r="J287" s="1" t="str">
        <f t="array" ref="J287">IFERROR(INDEX('Исходник'!$1:$626,MATCH($I287,'Исходник'!$T:$T,0),MATCH(J$1,'Исходник'!$1:$1,0)))</f>
        <v/>
      </c>
      <c r="K287" s="7" t="str">
        <f t="shared" si="3"/>
        <v>#REF!</v>
      </c>
      <c r="L287" s="1" t="str">
        <f>IF(I287&gt;0,IF(TODAY()-K287&lt;'Анализ'!$D$4+1,1,0),"")</f>
        <v>#REF!</v>
      </c>
    </row>
    <row r="288" ht="15.75" customHeight="1">
      <c r="B288" s="1" t="str">
        <f t="shared" si="1"/>
        <v/>
      </c>
      <c r="F288" s="1"/>
      <c r="G288" s="17"/>
      <c r="I288" s="1" t="str">
        <f t="shared" si="2"/>
        <v>#REF!</v>
      </c>
      <c r="J288" s="1" t="str">
        <f t="array" ref="J288">IFERROR(INDEX('Исходник'!$1:$626,MATCH($I288,'Исходник'!$T:$T,0),MATCH(J$1,'Исходник'!$1:$1,0)))</f>
        <v/>
      </c>
      <c r="K288" s="7" t="str">
        <f t="shared" si="3"/>
        <v>#REF!</v>
      </c>
      <c r="L288" s="1" t="str">
        <f>IF(I288&gt;0,IF(TODAY()-K288&lt;'Анализ'!$D$4+1,1,0),"")</f>
        <v>#REF!</v>
      </c>
    </row>
    <row r="289" ht="15.75" customHeight="1">
      <c r="B289" s="1" t="str">
        <f t="shared" si="1"/>
        <v/>
      </c>
      <c r="F289" s="1"/>
      <c r="G289" s="17"/>
      <c r="I289" s="1" t="str">
        <f t="shared" si="2"/>
        <v>#REF!</v>
      </c>
      <c r="J289" s="1" t="str">
        <f t="array" ref="J289">IFERROR(INDEX('Исходник'!$1:$626,MATCH($I289,'Исходник'!$T:$T,0),MATCH(J$1,'Исходник'!$1:$1,0)))</f>
        <v/>
      </c>
      <c r="K289" s="7" t="str">
        <f t="shared" si="3"/>
        <v>#REF!</v>
      </c>
      <c r="L289" s="1" t="str">
        <f>IF(I289&gt;0,IF(TODAY()-K289&lt;'Анализ'!$D$4+1,1,0),"")</f>
        <v>#REF!</v>
      </c>
    </row>
    <row r="290" ht="15.75" customHeight="1">
      <c r="B290" s="1" t="str">
        <f t="shared" si="1"/>
        <v/>
      </c>
      <c r="F290" s="1"/>
      <c r="G290" s="17"/>
      <c r="I290" s="1" t="str">
        <f t="shared" si="2"/>
        <v>#REF!</v>
      </c>
      <c r="J290" s="1" t="str">
        <f t="array" ref="J290">IFERROR(INDEX('Исходник'!$1:$626,MATCH($I290,'Исходник'!$T:$T,0),MATCH(J$1,'Исходник'!$1:$1,0)))</f>
        <v/>
      </c>
      <c r="K290" s="7" t="str">
        <f t="shared" si="3"/>
        <v>#REF!</v>
      </c>
      <c r="L290" s="1" t="str">
        <f>IF(I290&gt;0,IF(TODAY()-K290&lt;'Анализ'!$D$4+1,1,0),"")</f>
        <v>#REF!</v>
      </c>
    </row>
    <row r="291" ht="15.75" customHeight="1">
      <c r="B291" s="1" t="str">
        <f t="shared" si="1"/>
        <v/>
      </c>
      <c r="F291" s="1"/>
      <c r="G291" s="17"/>
      <c r="I291" s="1" t="str">
        <f t="shared" si="2"/>
        <v>#REF!</v>
      </c>
      <c r="J291" s="1" t="str">
        <f t="array" ref="J291">IFERROR(INDEX('Исходник'!$1:$626,MATCH($I291,'Исходник'!$T:$T,0),MATCH(J$1,'Исходник'!$1:$1,0)))</f>
        <v/>
      </c>
      <c r="K291" s="7" t="str">
        <f t="shared" si="3"/>
        <v>#REF!</v>
      </c>
      <c r="L291" s="1" t="str">
        <f>IF(I291&gt;0,IF(TODAY()-K291&lt;'Анализ'!$D$4+1,1,0),"")</f>
        <v>#REF!</v>
      </c>
    </row>
    <row r="292" ht="15.75" customHeight="1">
      <c r="B292" s="1" t="str">
        <f t="shared" si="1"/>
        <v/>
      </c>
      <c r="F292" s="1"/>
      <c r="G292" s="17"/>
      <c r="I292" s="1" t="str">
        <f t="shared" si="2"/>
        <v>#REF!</v>
      </c>
      <c r="J292" s="1" t="str">
        <f t="array" ref="J292">IFERROR(INDEX('Исходник'!$1:$626,MATCH($I292,'Исходник'!$T:$T,0),MATCH(J$1,'Исходник'!$1:$1,0)))</f>
        <v/>
      </c>
      <c r="K292" s="7" t="str">
        <f t="shared" si="3"/>
        <v>#REF!</v>
      </c>
      <c r="L292" s="1" t="str">
        <f>IF(I292&gt;0,IF(TODAY()-K292&lt;'Анализ'!$D$4+1,1,0),"")</f>
        <v>#REF!</v>
      </c>
    </row>
    <row r="293" ht="15.75" customHeight="1">
      <c r="B293" s="1" t="str">
        <f t="shared" si="1"/>
        <v/>
      </c>
      <c r="F293" s="1"/>
      <c r="G293" s="17"/>
      <c r="I293" s="1" t="str">
        <f t="shared" si="2"/>
        <v>#REF!</v>
      </c>
      <c r="J293" s="1" t="str">
        <f t="array" ref="J293">IFERROR(INDEX('Исходник'!$1:$626,MATCH($I293,'Исходник'!$T:$T,0),MATCH(J$1,'Исходник'!$1:$1,0)))</f>
        <v/>
      </c>
      <c r="K293" s="7" t="str">
        <f t="shared" si="3"/>
        <v>#REF!</v>
      </c>
      <c r="L293" s="1" t="str">
        <f>IF(I293&gt;0,IF(TODAY()-K293&lt;'Анализ'!$D$4+1,1,0),"")</f>
        <v>#REF!</v>
      </c>
    </row>
    <row r="294" ht="15.75" customHeight="1">
      <c r="B294" s="1" t="str">
        <f t="shared" si="1"/>
        <v/>
      </c>
      <c r="F294" s="1"/>
      <c r="G294" s="17"/>
      <c r="I294" s="1" t="str">
        <f t="shared" si="2"/>
        <v>#REF!</v>
      </c>
      <c r="J294" s="1" t="str">
        <f t="array" ref="J294">IFERROR(INDEX('Исходник'!$1:$626,MATCH($I294,'Исходник'!$T:$T,0),MATCH(J$1,'Исходник'!$1:$1,0)))</f>
        <v/>
      </c>
      <c r="K294" s="7" t="str">
        <f t="shared" si="3"/>
        <v>#REF!</v>
      </c>
      <c r="L294" s="1" t="str">
        <f>IF(I294&gt;0,IF(TODAY()-K294&lt;'Анализ'!$D$4+1,1,0),"")</f>
        <v>#REF!</v>
      </c>
    </row>
    <row r="295" ht="15.75" customHeight="1">
      <c r="B295" s="1" t="str">
        <f t="shared" si="1"/>
        <v/>
      </c>
      <c r="F295" s="1"/>
      <c r="G295" s="17"/>
      <c r="I295" s="1" t="str">
        <f t="shared" si="2"/>
        <v>#REF!</v>
      </c>
      <c r="J295" s="1" t="str">
        <f t="array" ref="J295">IFERROR(INDEX('Исходник'!$1:$626,MATCH($I295,'Исходник'!$T:$T,0),MATCH(J$1,'Исходник'!$1:$1,0)))</f>
        <v/>
      </c>
      <c r="K295" s="7" t="str">
        <f t="shared" si="3"/>
        <v>#REF!</v>
      </c>
      <c r="L295" s="1" t="str">
        <f>IF(I295&gt;0,IF(TODAY()-K295&lt;'Анализ'!$D$4+1,1,0),"")</f>
        <v>#REF!</v>
      </c>
    </row>
    <row r="296" ht="15.75" customHeight="1">
      <c r="B296" s="1" t="str">
        <f t="shared" si="1"/>
        <v/>
      </c>
      <c r="F296" s="1"/>
      <c r="G296" s="17"/>
      <c r="I296" s="1" t="str">
        <f t="shared" si="2"/>
        <v>#REF!</v>
      </c>
      <c r="J296" s="1" t="str">
        <f t="array" ref="J296">IFERROR(INDEX('Исходник'!$1:$626,MATCH($I296,'Исходник'!$T:$T,0),MATCH(J$1,'Исходник'!$1:$1,0)))</f>
        <v/>
      </c>
      <c r="K296" s="7" t="str">
        <f t="shared" si="3"/>
        <v>#REF!</v>
      </c>
      <c r="L296" s="1" t="str">
        <f>IF(I296&gt;0,IF(TODAY()-K296&lt;'Анализ'!$D$4+1,1,0),"")</f>
        <v>#REF!</v>
      </c>
    </row>
    <row r="297" ht="15.75" customHeight="1">
      <c r="B297" s="1" t="str">
        <f t="shared" si="1"/>
        <v/>
      </c>
      <c r="F297" s="1"/>
      <c r="G297" s="17"/>
      <c r="I297" s="1" t="str">
        <f t="shared" si="2"/>
        <v>#REF!</v>
      </c>
      <c r="J297" s="1" t="str">
        <f t="array" ref="J297">IFERROR(INDEX('Исходник'!$1:$626,MATCH($I297,'Исходник'!$T:$T,0),MATCH(J$1,'Исходник'!$1:$1,0)))</f>
        <v/>
      </c>
      <c r="K297" s="7" t="str">
        <f t="shared" si="3"/>
        <v>#REF!</v>
      </c>
      <c r="L297" s="1" t="str">
        <f>IF(I297&gt;0,IF(TODAY()-K297&lt;'Анализ'!$D$4+1,1,0),"")</f>
        <v>#REF!</v>
      </c>
    </row>
    <row r="298" ht="15.75" customHeight="1">
      <c r="B298" s="1" t="str">
        <f t="shared" si="1"/>
        <v/>
      </c>
      <c r="F298" s="1"/>
      <c r="G298" s="17"/>
      <c r="I298" s="1" t="str">
        <f t="shared" si="2"/>
        <v>#REF!</v>
      </c>
      <c r="J298" s="1" t="str">
        <f t="array" ref="J298">IFERROR(INDEX('Исходник'!$1:$626,MATCH($I298,'Исходник'!$T:$T,0),MATCH(J$1,'Исходник'!$1:$1,0)))</f>
        <v/>
      </c>
      <c r="K298" s="7" t="str">
        <f t="shared" si="3"/>
        <v>#REF!</v>
      </c>
      <c r="L298" s="1" t="str">
        <f>IF(I298&gt;0,IF(TODAY()-K298&lt;'Анализ'!$D$4+1,1,0),"")</f>
        <v>#REF!</v>
      </c>
    </row>
    <row r="299" ht="15.75" customHeight="1">
      <c r="B299" s="1" t="str">
        <f t="shared" si="1"/>
        <v/>
      </c>
      <c r="F299" s="1"/>
      <c r="G299" s="17"/>
      <c r="I299" s="1" t="str">
        <f t="shared" si="2"/>
        <v>#REF!</v>
      </c>
      <c r="J299" s="1" t="str">
        <f t="array" ref="J299">IFERROR(INDEX('Исходник'!$1:$626,MATCH($I299,'Исходник'!$T:$T,0),MATCH(J$1,'Исходник'!$1:$1,0)))</f>
        <v/>
      </c>
      <c r="K299" s="7" t="str">
        <f t="shared" si="3"/>
        <v>#REF!</v>
      </c>
      <c r="L299" s="1" t="str">
        <f>IF(I299&gt;0,IF(TODAY()-K299&lt;'Анализ'!$D$4+1,1,0),"")</f>
        <v>#REF!</v>
      </c>
    </row>
    <row r="300" ht="15.75" customHeight="1">
      <c r="B300" s="1" t="str">
        <f t="shared" si="1"/>
        <v/>
      </c>
      <c r="F300" s="1"/>
      <c r="G300" s="17"/>
      <c r="I300" s="1" t="str">
        <f t="shared" si="2"/>
        <v>#REF!</v>
      </c>
      <c r="J300" s="1" t="str">
        <f t="array" ref="J300">IFERROR(INDEX('Исходник'!$1:$626,MATCH($I300,'Исходник'!$T:$T,0),MATCH(J$1,'Исходник'!$1:$1,0)))</f>
        <v/>
      </c>
      <c r="K300" s="7" t="str">
        <f t="shared" si="3"/>
        <v>#REF!</v>
      </c>
      <c r="L300" s="1" t="str">
        <f>IF(I300&gt;0,IF(TODAY()-K300&lt;'Анализ'!$D$4+1,1,0),"")</f>
        <v>#REF!</v>
      </c>
    </row>
    <row r="301" ht="15.75" customHeight="1">
      <c r="B301" s="1" t="str">
        <f t="shared" si="1"/>
        <v/>
      </c>
      <c r="F301" s="1"/>
      <c r="G301" s="17"/>
      <c r="I301" s="1" t="str">
        <f t="shared" si="2"/>
        <v>#REF!</v>
      </c>
      <c r="J301" s="1" t="str">
        <f t="array" ref="J301">IFERROR(INDEX('Исходник'!$1:$626,MATCH($I301,'Исходник'!$T:$T,0),MATCH(J$1,'Исходник'!$1:$1,0)))</f>
        <v/>
      </c>
      <c r="K301" s="7" t="str">
        <f t="shared" si="3"/>
        <v>#REF!</v>
      </c>
      <c r="L301" s="1" t="str">
        <f>IF(I301&gt;0,IF(TODAY()-K301&lt;'Анализ'!$D$4+1,1,0),"")</f>
        <v>#REF!</v>
      </c>
    </row>
    <row r="302" ht="15.75" customHeight="1">
      <c r="B302" s="1" t="str">
        <f t="shared" si="1"/>
        <v/>
      </c>
      <c r="F302" s="1"/>
      <c r="G302" s="17"/>
      <c r="I302" s="1" t="str">
        <f t="shared" si="2"/>
        <v>#REF!</v>
      </c>
      <c r="J302" s="1" t="str">
        <f t="array" ref="J302">IFERROR(INDEX('Исходник'!$1:$626,MATCH($I302,'Исходник'!$T:$T,0),MATCH(J$1,'Исходник'!$1:$1,0)))</f>
        <v/>
      </c>
      <c r="K302" s="7" t="str">
        <f t="shared" si="3"/>
        <v>#REF!</v>
      </c>
      <c r="L302" s="1" t="str">
        <f>IF(I302&gt;0,IF(TODAY()-K302&lt;'Анализ'!$D$4+1,1,0),"")</f>
        <v>#REF!</v>
      </c>
    </row>
    <row r="303" ht="15.75" customHeight="1">
      <c r="B303" s="1" t="str">
        <f t="shared" si="1"/>
        <v/>
      </c>
      <c r="F303" s="1"/>
      <c r="G303" s="17"/>
      <c r="I303" s="1" t="str">
        <f t="shared" si="2"/>
        <v>#REF!</v>
      </c>
      <c r="J303" s="1" t="str">
        <f t="array" ref="J303">IFERROR(INDEX('Исходник'!$1:$626,MATCH($I303,'Исходник'!$T:$T,0),MATCH(J$1,'Исходник'!$1:$1,0)))</f>
        <v/>
      </c>
      <c r="K303" s="7" t="str">
        <f t="shared" si="3"/>
        <v>#REF!</v>
      </c>
      <c r="L303" s="1" t="str">
        <f>IF(I303&gt;0,IF(TODAY()-K303&lt;'Анализ'!$D$4+1,1,0),"")</f>
        <v>#REF!</v>
      </c>
    </row>
    <row r="304" ht="15.75" customHeight="1">
      <c r="B304" s="1" t="str">
        <f t="shared" si="1"/>
        <v/>
      </c>
      <c r="F304" s="1"/>
      <c r="G304" s="17"/>
      <c r="I304" s="1" t="str">
        <f t="shared" si="2"/>
        <v>#REF!</v>
      </c>
      <c r="J304" s="1" t="str">
        <f t="array" ref="J304">IFERROR(INDEX('Исходник'!$1:$626,MATCH($I304,'Исходник'!$T:$T,0),MATCH(J$1,'Исходник'!$1:$1,0)))</f>
        <v/>
      </c>
      <c r="K304" s="7" t="str">
        <f t="shared" si="3"/>
        <v>#REF!</v>
      </c>
      <c r="L304" s="1" t="str">
        <f>IF(I304&gt;0,IF(TODAY()-K304&lt;'Анализ'!$D$4+1,1,0),"")</f>
        <v>#REF!</v>
      </c>
    </row>
    <row r="305" ht="15.75" customHeight="1">
      <c r="B305" s="1" t="str">
        <f t="shared" si="1"/>
        <v/>
      </c>
      <c r="F305" s="1"/>
      <c r="G305" s="17"/>
      <c r="I305" s="1" t="str">
        <f t="shared" si="2"/>
        <v>#REF!</v>
      </c>
      <c r="J305" s="1" t="str">
        <f t="array" ref="J305">IFERROR(INDEX('Исходник'!$1:$626,MATCH($I305,'Исходник'!$T:$T,0),MATCH(J$1,'Исходник'!$1:$1,0)))</f>
        <v/>
      </c>
      <c r="K305" s="7" t="str">
        <f t="shared" si="3"/>
        <v>#REF!</v>
      </c>
      <c r="L305" s="1" t="str">
        <f>IF(I305&gt;0,IF(TODAY()-K305&lt;'Анализ'!$D$4+1,1,0),"")</f>
        <v>#REF!</v>
      </c>
    </row>
    <row r="306" ht="15.75" customHeight="1">
      <c r="B306" s="1" t="str">
        <f t="shared" si="1"/>
        <v/>
      </c>
      <c r="F306" s="1"/>
      <c r="G306" s="17"/>
      <c r="I306" s="1" t="str">
        <f t="shared" si="2"/>
        <v>#REF!</v>
      </c>
      <c r="J306" s="1" t="str">
        <f t="array" ref="J306">IFERROR(INDEX('Исходник'!$1:$626,MATCH($I306,'Исходник'!$T:$T,0),MATCH(J$1,'Исходник'!$1:$1,0)))</f>
        <v/>
      </c>
      <c r="K306" s="7" t="str">
        <f t="shared" si="3"/>
        <v>#REF!</v>
      </c>
      <c r="L306" s="1" t="str">
        <f>IF(I306&gt;0,IF(TODAY()-K306&lt;'Анализ'!$D$4+1,1,0),"")</f>
        <v>#REF!</v>
      </c>
    </row>
    <row r="307" ht="15.75" customHeight="1">
      <c r="B307" s="1" t="str">
        <f t="shared" si="1"/>
        <v/>
      </c>
      <c r="F307" s="1"/>
      <c r="G307" s="17"/>
      <c r="I307" s="1" t="str">
        <f t="shared" si="2"/>
        <v>#REF!</v>
      </c>
      <c r="J307" s="1" t="str">
        <f t="array" ref="J307">IFERROR(INDEX('Исходник'!$1:$626,MATCH($I307,'Исходник'!$T:$T,0),MATCH(J$1,'Исходник'!$1:$1,0)))</f>
        <v/>
      </c>
      <c r="K307" s="7" t="str">
        <f t="shared" si="3"/>
        <v>#REF!</v>
      </c>
      <c r="L307" s="1" t="str">
        <f>IF(I307&gt;0,IF(TODAY()-K307&lt;'Анализ'!$D$4+1,1,0),"")</f>
        <v>#REF!</v>
      </c>
    </row>
    <row r="308" ht="15.75" customHeight="1">
      <c r="B308" s="1" t="str">
        <f t="shared" si="1"/>
        <v/>
      </c>
      <c r="F308" s="1"/>
      <c r="G308" s="17"/>
      <c r="I308" s="1" t="str">
        <f t="shared" si="2"/>
        <v>#REF!</v>
      </c>
      <c r="J308" s="1" t="str">
        <f t="array" ref="J308">IFERROR(INDEX('Исходник'!$1:$626,MATCH($I308,'Исходник'!$T:$T,0),MATCH(J$1,'Исходник'!$1:$1,0)))</f>
        <v/>
      </c>
      <c r="K308" s="7" t="str">
        <f t="shared" si="3"/>
        <v>#REF!</v>
      </c>
      <c r="L308" s="1" t="str">
        <f>IF(I308&gt;0,IF(TODAY()-K308&lt;'Анализ'!$D$4+1,1,0),"")</f>
        <v>#REF!</v>
      </c>
    </row>
    <row r="309" ht="15.75" customHeight="1">
      <c r="B309" s="1" t="str">
        <f t="shared" si="1"/>
        <v/>
      </c>
      <c r="F309" s="1"/>
      <c r="G309" s="17"/>
      <c r="I309" s="1" t="str">
        <f t="shared" si="2"/>
        <v>#REF!</v>
      </c>
      <c r="J309" s="1" t="str">
        <f t="array" ref="J309">IFERROR(INDEX('Исходник'!$1:$626,MATCH($I309,'Исходник'!$T:$T,0),MATCH(J$1,'Исходник'!$1:$1,0)))</f>
        <v/>
      </c>
      <c r="K309" s="7" t="str">
        <f t="shared" si="3"/>
        <v>#REF!</v>
      </c>
      <c r="L309" s="1" t="str">
        <f>IF(I309&gt;0,IF(TODAY()-K309&lt;'Анализ'!$D$4+1,1,0),"")</f>
        <v>#REF!</v>
      </c>
    </row>
    <row r="310" ht="15.75" customHeight="1">
      <c r="B310" s="1" t="str">
        <f t="shared" si="1"/>
        <v/>
      </c>
      <c r="F310" s="1"/>
      <c r="G310" s="17"/>
      <c r="I310" s="1" t="str">
        <f t="shared" si="2"/>
        <v>#REF!</v>
      </c>
      <c r="J310" s="1" t="str">
        <f t="array" ref="J310">IFERROR(INDEX('Исходник'!$1:$626,MATCH($I310,'Исходник'!$T:$T,0),MATCH(J$1,'Исходник'!$1:$1,0)))</f>
        <v/>
      </c>
      <c r="K310" s="7" t="str">
        <f t="shared" si="3"/>
        <v>#REF!</v>
      </c>
      <c r="L310" s="1" t="str">
        <f>IF(I310&gt;0,IF(TODAY()-K310&lt;'Анализ'!$D$4+1,1,0),"")</f>
        <v>#REF!</v>
      </c>
    </row>
    <row r="311" ht="15.75" customHeight="1">
      <c r="B311" s="1" t="str">
        <f t="shared" si="1"/>
        <v/>
      </c>
      <c r="F311" s="1"/>
      <c r="G311" s="17"/>
      <c r="I311" s="1" t="str">
        <f t="shared" si="2"/>
        <v>#REF!</v>
      </c>
      <c r="J311" s="1" t="str">
        <f t="array" ref="J311">IFERROR(INDEX('Исходник'!$1:$626,MATCH($I311,'Исходник'!$T:$T,0),MATCH(J$1,'Исходник'!$1:$1,0)))</f>
        <v/>
      </c>
      <c r="K311" s="7" t="str">
        <f t="shared" si="3"/>
        <v>#REF!</v>
      </c>
      <c r="L311" s="1" t="str">
        <f>IF(I311&gt;0,IF(TODAY()-K311&lt;'Анализ'!$D$4+1,1,0),"")</f>
        <v>#REF!</v>
      </c>
    </row>
    <row r="312" ht="15.75" customHeight="1">
      <c r="B312" s="1" t="str">
        <f t="shared" si="1"/>
        <v/>
      </c>
      <c r="F312" s="1"/>
      <c r="G312" s="17"/>
      <c r="I312" s="1" t="str">
        <f t="shared" si="2"/>
        <v>#REF!</v>
      </c>
      <c r="J312" s="1" t="str">
        <f t="array" ref="J312">IFERROR(INDEX('Исходник'!$1:$626,MATCH($I312,'Исходник'!$T:$T,0),MATCH(J$1,'Исходник'!$1:$1,0)))</f>
        <v/>
      </c>
      <c r="K312" s="7" t="str">
        <f t="shared" si="3"/>
        <v>#REF!</v>
      </c>
      <c r="L312" s="1" t="str">
        <f>IF(I312&gt;0,IF(TODAY()-K312&lt;'Анализ'!$D$4+1,1,0),"")</f>
        <v>#REF!</v>
      </c>
    </row>
    <row r="313" ht="15.75" customHeight="1">
      <c r="B313" s="1" t="str">
        <f t="shared" si="1"/>
        <v/>
      </c>
      <c r="F313" s="1"/>
      <c r="G313" s="17"/>
      <c r="I313" s="1" t="str">
        <f t="shared" si="2"/>
        <v>#REF!</v>
      </c>
      <c r="J313" s="1" t="str">
        <f t="array" ref="J313">IFERROR(INDEX('Исходник'!$1:$626,MATCH($I313,'Исходник'!$T:$T,0),MATCH(J$1,'Исходник'!$1:$1,0)))</f>
        <v/>
      </c>
      <c r="K313" s="7" t="str">
        <f t="shared" si="3"/>
        <v>#REF!</v>
      </c>
      <c r="L313" s="1" t="str">
        <f>IF(I313&gt;0,IF(TODAY()-K313&lt;'Анализ'!$D$4+1,1,0),"")</f>
        <v>#REF!</v>
      </c>
    </row>
    <row r="314" ht="15.75" customHeight="1">
      <c r="B314" s="1" t="str">
        <f t="shared" si="1"/>
        <v/>
      </c>
      <c r="F314" s="1"/>
      <c r="G314" s="17"/>
      <c r="I314" s="1" t="str">
        <f t="shared" si="2"/>
        <v>#REF!</v>
      </c>
      <c r="J314" s="1" t="str">
        <f t="array" ref="J314">IFERROR(INDEX('Исходник'!$1:$626,MATCH($I314,'Исходник'!$T:$T,0),MATCH(J$1,'Исходник'!$1:$1,0)))</f>
        <v/>
      </c>
      <c r="K314" s="7" t="str">
        <f t="shared" si="3"/>
        <v>#REF!</v>
      </c>
      <c r="L314" s="1" t="str">
        <f>IF(I314&gt;0,IF(TODAY()-K314&lt;'Анализ'!$D$4+1,1,0),"")</f>
        <v>#REF!</v>
      </c>
    </row>
    <row r="315" ht="15.75" customHeight="1">
      <c r="B315" s="1" t="str">
        <f t="shared" si="1"/>
        <v/>
      </c>
      <c r="F315" s="1"/>
      <c r="G315" s="17"/>
      <c r="I315" s="1" t="str">
        <f t="shared" si="2"/>
        <v>#REF!</v>
      </c>
      <c r="J315" s="1" t="str">
        <f t="array" ref="J315">IFERROR(INDEX('Исходник'!$1:$626,MATCH($I315,'Исходник'!$T:$T,0),MATCH(J$1,'Исходник'!$1:$1,0)))</f>
        <v/>
      </c>
      <c r="K315" s="7" t="str">
        <f t="shared" si="3"/>
        <v>#REF!</v>
      </c>
      <c r="L315" s="1" t="str">
        <f>IF(I315&gt;0,IF(TODAY()-K315&lt;'Анализ'!$D$4+1,1,0),"")</f>
        <v>#REF!</v>
      </c>
    </row>
    <row r="316" ht="15.75" customHeight="1">
      <c r="B316" s="1" t="str">
        <f t="shared" si="1"/>
        <v/>
      </c>
      <c r="F316" s="1"/>
      <c r="G316" s="17"/>
      <c r="I316" s="1" t="str">
        <f t="shared" si="2"/>
        <v>#REF!</v>
      </c>
      <c r="J316" s="1" t="str">
        <f t="array" ref="J316">IFERROR(INDEX('Исходник'!$1:$626,MATCH($I316,'Исходник'!$T:$T,0),MATCH(J$1,'Исходник'!$1:$1,0)))</f>
        <v/>
      </c>
      <c r="K316" s="7" t="str">
        <f t="shared" si="3"/>
        <v>#REF!</v>
      </c>
      <c r="L316" s="1" t="str">
        <f>IF(I316&gt;0,IF(TODAY()-K316&lt;'Анализ'!$D$4+1,1,0),"")</f>
        <v>#REF!</v>
      </c>
    </row>
    <row r="317" ht="15.75" customHeight="1">
      <c r="B317" s="1" t="str">
        <f t="shared" si="1"/>
        <v/>
      </c>
      <c r="F317" s="1"/>
      <c r="G317" s="17"/>
      <c r="I317" s="1" t="str">
        <f t="shared" si="2"/>
        <v>#REF!</v>
      </c>
      <c r="J317" s="1" t="str">
        <f t="array" ref="J317">IFERROR(INDEX('Исходник'!$1:$626,MATCH($I317,'Исходник'!$T:$T,0),MATCH(J$1,'Исходник'!$1:$1,0)))</f>
        <v/>
      </c>
      <c r="K317" s="7" t="str">
        <f t="shared" si="3"/>
        <v>#REF!</v>
      </c>
      <c r="L317" s="1" t="str">
        <f>IF(I317&gt;0,IF(TODAY()-K317&lt;'Анализ'!$D$4+1,1,0),"")</f>
        <v>#REF!</v>
      </c>
    </row>
    <row r="318" ht="15.75" customHeight="1">
      <c r="B318" s="1" t="str">
        <f t="shared" si="1"/>
        <v/>
      </c>
      <c r="F318" s="1"/>
      <c r="G318" s="17"/>
      <c r="I318" s="1" t="str">
        <f t="shared" si="2"/>
        <v>#REF!</v>
      </c>
      <c r="J318" s="1" t="str">
        <f t="array" ref="J318">IFERROR(INDEX('Исходник'!$1:$626,MATCH($I318,'Исходник'!$T:$T,0),MATCH(J$1,'Исходник'!$1:$1,0)))</f>
        <v/>
      </c>
      <c r="K318" s="7" t="str">
        <f t="shared" si="3"/>
        <v>#REF!</v>
      </c>
      <c r="L318" s="1" t="str">
        <f>IF(I318&gt;0,IF(TODAY()-K318&lt;'Анализ'!$D$4+1,1,0),"")</f>
        <v>#REF!</v>
      </c>
    </row>
    <row r="319" ht="15.75" customHeight="1">
      <c r="B319" s="1" t="str">
        <f t="shared" si="1"/>
        <v/>
      </c>
      <c r="F319" s="1"/>
      <c r="G319" s="17"/>
      <c r="I319" s="1" t="str">
        <f t="shared" si="2"/>
        <v>#REF!</v>
      </c>
      <c r="J319" s="1" t="str">
        <f t="array" ref="J319">IFERROR(INDEX('Исходник'!$1:$626,MATCH($I319,'Исходник'!$T:$T,0),MATCH(J$1,'Исходник'!$1:$1,0)))</f>
        <v/>
      </c>
      <c r="K319" s="7" t="str">
        <f t="shared" si="3"/>
        <v>#REF!</v>
      </c>
      <c r="L319" s="1" t="str">
        <f>IF(I319&gt;0,IF(TODAY()-K319&lt;'Анализ'!$D$4+1,1,0),"")</f>
        <v>#REF!</v>
      </c>
    </row>
    <row r="320" ht="15.75" customHeight="1">
      <c r="B320" s="1" t="str">
        <f t="shared" si="1"/>
        <v/>
      </c>
      <c r="F320" s="1"/>
      <c r="G320" s="17"/>
      <c r="I320" s="1" t="str">
        <f t="shared" si="2"/>
        <v>#REF!</v>
      </c>
      <c r="J320" s="1" t="str">
        <f t="array" ref="J320">IFERROR(INDEX('Исходник'!$1:$626,MATCH($I320,'Исходник'!$T:$T,0),MATCH(J$1,'Исходник'!$1:$1,0)))</f>
        <v/>
      </c>
      <c r="K320" s="7" t="str">
        <f t="shared" si="3"/>
        <v>#REF!</v>
      </c>
      <c r="L320" s="1" t="str">
        <f>IF(I320&gt;0,IF(TODAY()-K320&lt;'Анализ'!$D$4+1,1,0),"")</f>
        <v>#REF!</v>
      </c>
    </row>
    <row r="321" ht="15.75" customHeight="1">
      <c r="B321" s="1" t="str">
        <f t="shared" si="1"/>
        <v/>
      </c>
      <c r="F321" s="1"/>
      <c r="G321" s="17"/>
      <c r="I321" s="1" t="str">
        <f t="shared" si="2"/>
        <v>#REF!</v>
      </c>
      <c r="J321" s="1" t="str">
        <f t="array" ref="J321">IFERROR(INDEX('Исходник'!$1:$626,MATCH($I321,'Исходник'!$T:$T,0),MATCH(J$1,'Исходник'!$1:$1,0)))</f>
        <v/>
      </c>
      <c r="K321" s="7" t="str">
        <f t="shared" si="3"/>
        <v>#REF!</v>
      </c>
      <c r="L321" s="1" t="str">
        <f>IF(I321&gt;0,IF(TODAY()-K321&lt;'Анализ'!$D$4+1,1,0),"")</f>
        <v>#REF!</v>
      </c>
    </row>
    <row r="322" ht="15.75" customHeight="1">
      <c r="B322" s="1" t="str">
        <f t="shared" si="1"/>
        <v/>
      </c>
      <c r="F322" s="1"/>
      <c r="G322" s="17"/>
      <c r="I322" s="1" t="str">
        <f t="shared" si="2"/>
        <v>#REF!</v>
      </c>
      <c r="J322" s="1" t="str">
        <f t="array" ref="J322">IFERROR(INDEX('Исходник'!$1:$626,MATCH($I322,'Исходник'!$T:$T,0),MATCH(J$1,'Исходник'!$1:$1,0)))</f>
        <v/>
      </c>
      <c r="K322" s="7" t="str">
        <f t="shared" si="3"/>
        <v>#REF!</v>
      </c>
      <c r="L322" s="1" t="str">
        <f>IF(I322&gt;0,IF(TODAY()-K322&lt;'Анализ'!$D$4+1,1,0),"")</f>
        <v>#REF!</v>
      </c>
    </row>
    <row r="323" ht="15.75" customHeight="1">
      <c r="B323" s="1" t="str">
        <f t="shared" si="1"/>
        <v/>
      </c>
      <c r="F323" s="1"/>
      <c r="G323" s="17"/>
      <c r="I323" s="1" t="str">
        <f t="shared" si="2"/>
        <v>#REF!</v>
      </c>
      <c r="J323" s="1" t="str">
        <f t="array" ref="J323">IFERROR(INDEX('Исходник'!$1:$626,MATCH($I323,'Исходник'!$T:$T,0),MATCH(J$1,'Исходник'!$1:$1,0)))</f>
        <v/>
      </c>
      <c r="K323" s="7" t="str">
        <f t="shared" si="3"/>
        <v>#REF!</v>
      </c>
      <c r="L323" s="1" t="str">
        <f>IF(I323&gt;0,IF(TODAY()-K323&lt;'Анализ'!$D$4+1,1,0),"")</f>
        <v>#REF!</v>
      </c>
    </row>
    <row r="324" ht="15.75" customHeight="1">
      <c r="B324" s="1" t="str">
        <f t="shared" si="1"/>
        <v/>
      </c>
      <c r="F324" s="1"/>
      <c r="G324" s="17"/>
      <c r="I324" s="1" t="str">
        <f t="shared" si="2"/>
        <v>#REF!</v>
      </c>
      <c r="J324" s="1" t="str">
        <f t="array" ref="J324">IFERROR(INDEX('Исходник'!$1:$626,MATCH($I324,'Исходник'!$T:$T,0),MATCH(J$1,'Исходник'!$1:$1,0)))</f>
        <v/>
      </c>
      <c r="K324" s="7" t="str">
        <f t="shared" si="3"/>
        <v>#REF!</v>
      </c>
      <c r="L324" s="1" t="str">
        <f>IF(I324&gt;0,IF(TODAY()-K324&lt;'Анализ'!$D$4+1,1,0),"")</f>
        <v>#REF!</v>
      </c>
    </row>
    <row r="325" ht="15.75" customHeight="1">
      <c r="B325" s="1" t="str">
        <f t="shared" si="1"/>
        <v/>
      </c>
      <c r="F325" s="1"/>
      <c r="G325" s="17"/>
      <c r="I325" s="1" t="str">
        <f t="shared" si="2"/>
        <v>#REF!</v>
      </c>
      <c r="J325" s="1" t="str">
        <f t="array" ref="J325">IFERROR(INDEX('Исходник'!$1:$626,MATCH($I325,'Исходник'!$T:$T,0),MATCH(J$1,'Исходник'!$1:$1,0)))</f>
        <v/>
      </c>
      <c r="K325" s="7" t="str">
        <f t="shared" si="3"/>
        <v>#REF!</v>
      </c>
      <c r="L325" s="1" t="str">
        <f>IF(I325&gt;0,IF(TODAY()-K325&lt;'Анализ'!$D$4+1,1,0),"")</f>
        <v>#REF!</v>
      </c>
    </row>
    <row r="326" ht="15.75" customHeight="1">
      <c r="B326" s="1" t="str">
        <f t="shared" si="1"/>
        <v/>
      </c>
      <c r="F326" s="1"/>
      <c r="G326" s="17"/>
      <c r="I326" s="1" t="str">
        <f t="shared" si="2"/>
        <v>#REF!</v>
      </c>
      <c r="J326" s="1" t="str">
        <f t="array" ref="J326">IFERROR(INDEX('Исходник'!$1:$626,MATCH($I326,'Исходник'!$T:$T,0),MATCH(J$1,'Исходник'!$1:$1,0)))</f>
        <v/>
      </c>
      <c r="K326" s="7" t="str">
        <f t="shared" si="3"/>
        <v>#REF!</v>
      </c>
      <c r="L326" s="1" t="str">
        <f>IF(I326&gt;0,IF(TODAY()-K326&lt;'Анализ'!$D$4+1,1,0),"")</f>
        <v>#REF!</v>
      </c>
    </row>
    <row r="327" ht="15.75" customHeight="1">
      <c r="B327" s="1" t="str">
        <f t="shared" si="1"/>
        <v/>
      </c>
      <c r="F327" s="1"/>
      <c r="G327" s="17"/>
      <c r="I327" s="1" t="str">
        <f t="shared" si="2"/>
        <v>#REF!</v>
      </c>
      <c r="J327" s="1" t="str">
        <f t="array" ref="J327">IFERROR(INDEX('Исходник'!$1:$626,MATCH($I327,'Исходник'!$T:$T,0),MATCH(J$1,'Исходник'!$1:$1,0)))</f>
        <v/>
      </c>
      <c r="K327" s="7" t="str">
        <f t="shared" si="3"/>
        <v>#REF!</v>
      </c>
      <c r="L327" s="1" t="str">
        <f>IF(I327&gt;0,IF(TODAY()-K327&lt;'Анализ'!$D$4+1,1,0),"")</f>
        <v>#REF!</v>
      </c>
    </row>
    <row r="328" ht="15.75" customHeight="1">
      <c r="B328" s="1" t="str">
        <f t="shared" si="1"/>
        <v/>
      </c>
      <c r="F328" s="1"/>
      <c r="G328" s="17"/>
      <c r="I328" s="1" t="str">
        <f t="shared" si="2"/>
        <v>#REF!</v>
      </c>
      <c r="J328" s="1" t="str">
        <f t="array" ref="J328">IFERROR(INDEX('Исходник'!$1:$626,MATCH($I328,'Исходник'!$T:$T,0),MATCH(J$1,'Исходник'!$1:$1,0)))</f>
        <v/>
      </c>
      <c r="K328" s="7" t="str">
        <f t="shared" si="3"/>
        <v>#REF!</v>
      </c>
      <c r="L328" s="1" t="str">
        <f>IF(I328&gt;0,IF(TODAY()-K328&lt;'Анализ'!$D$4+1,1,0),"")</f>
        <v>#REF!</v>
      </c>
    </row>
    <row r="329" ht="15.75" customHeight="1">
      <c r="B329" s="1" t="str">
        <f t="shared" si="1"/>
        <v/>
      </c>
      <c r="F329" s="1"/>
      <c r="G329" s="17"/>
      <c r="I329" s="1" t="str">
        <f t="shared" si="2"/>
        <v>#REF!</v>
      </c>
      <c r="J329" s="1" t="str">
        <f t="array" ref="J329">IFERROR(INDEX('Исходник'!$1:$626,MATCH($I329,'Исходник'!$T:$T,0),MATCH(J$1,'Исходник'!$1:$1,0)))</f>
        <v/>
      </c>
      <c r="K329" s="7" t="str">
        <f t="shared" si="3"/>
        <v>#REF!</v>
      </c>
      <c r="L329" s="1" t="str">
        <f>IF(I329&gt;0,IF(TODAY()-K329&lt;'Анализ'!$D$4+1,1,0),"")</f>
        <v>#REF!</v>
      </c>
    </row>
    <row r="330" ht="15.75" customHeight="1">
      <c r="B330" s="1" t="str">
        <f t="shared" si="1"/>
        <v/>
      </c>
      <c r="F330" s="1"/>
      <c r="G330" s="17"/>
      <c r="I330" s="1" t="str">
        <f t="shared" si="2"/>
        <v>#REF!</v>
      </c>
      <c r="J330" s="1" t="str">
        <f t="array" ref="J330">IFERROR(INDEX('Исходник'!$1:$626,MATCH($I330,'Исходник'!$T:$T,0),MATCH(J$1,'Исходник'!$1:$1,0)))</f>
        <v/>
      </c>
      <c r="K330" s="7" t="str">
        <f t="shared" si="3"/>
        <v>#REF!</v>
      </c>
      <c r="L330" s="1" t="str">
        <f>IF(I330&gt;0,IF(TODAY()-K330&lt;'Анализ'!$D$4+1,1,0),"")</f>
        <v>#REF!</v>
      </c>
    </row>
    <row r="331" ht="15.75" customHeight="1">
      <c r="B331" s="1" t="str">
        <f t="shared" si="1"/>
        <v/>
      </c>
      <c r="F331" s="1"/>
      <c r="G331" s="17"/>
      <c r="I331" s="1" t="str">
        <f t="shared" si="2"/>
        <v>#REF!</v>
      </c>
      <c r="J331" s="1" t="str">
        <f t="array" ref="J331">IFERROR(INDEX('Исходник'!$1:$626,MATCH($I331,'Исходник'!$T:$T,0),MATCH(J$1,'Исходник'!$1:$1,0)))</f>
        <v/>
      </c>
      <c r="K331" s="7" t="str">
        <f t="shared" si="3"/>
        <v>#REF!</v>
      </c>
      <c r="L331" s="1" t="str">
        <f>IF(I331&gt;0,IF(TODAY()-K331&lt;'Анализ'!$D$4+1,1,0),"")</f>
        <v>#REF!</v>
      </c>
    </row>
    <row r="332" ht="15.75" customHeight="1">
      <c r="B332" s="1" t="str">
        <f t="shared" si="1"/>
        <v/>
      </c>
      <c r="F332" s="1"/>
      <c r="G332" s="17"/>
      <c r="I332" s="1" t="str">
        <f t="shared" si="2"/>
        <v>#REF!</v>
      </c>
      <c r="J332" s="1" t="str">
        <f t="array" ref="J332">IFERROR(INDEX('Исходник'!$1:$626,MATCH($I332,'Исходник'!$T:$T,0),MATCH(J$1,'Исходник'!$1:$1,0)))</f>
        <v/>
      </c>
      <c r="K332" s="7" t="str">
        <f t="shared" si="3"/>
        <v>#REF!</v>
      </c>
      <c r="L332" s="1" t="str">
        <f>IF(I332&gt;0,IF(TODAY()-K332&lt;'Анализ'!$D$4+1,1,0),"")</f>
        <v>#REF!</v>
      </c>
    </row>
    <row r="333" ht="15.75" customHeight="1">
      <c r="B333" s="1" t="str">
        <f t="shared" si="1"/>
        <v/>
      </c>
      <c r="F333" s="1"/>
      <c r="G333" s="17"/>
      <c r="I333" s="1" t="str">
        <f t="shared" si="2"/>
        <v>#REF!</v>
      </c>
      <c r="J333" s="1" t="str">
        <f t="array" ref="J333">IFERROR(INDEX('Исходник'!$1:$626,MATCH($I333,'Исходник'!$T:$T,0),MATCH(J$1,'Исходник'!$1:$1,0)))</f>
        <v/>
      </c>
      <c r="K333" s="7" t="str">
        <f t="shared" si="3"/>
        <v>#REF!</v>
      </c>
      <c r="L333" s="1" t="str">
        <f>IF(I333&gt;0,IF(TODAY()-K333&lt;'Анализ'!$D$4+1,1,0),"")</f>
        <v>#REF!</v>
      </c>
    </row>
    <row r="334" ht="15.75" customHeight="1">
      <c r="B334" s="1" t="str">
        <f t="shared" si="1"/>
        <v/>
      </c>
      <c r="F334" s="1"/>
      <c r="G334" s="17"/>
      <c r="I334" s="1" t="str">
        <f t="shared" si="2"/>
        <v>#REF!</v>
      </c>
      <c r="J334" s="1" t="str">
        <f t="array" ref="J334">IFERROR(INDEX('Исходник'!$1:$626,MATCH($I334,'Исходник'!$T:$T,0),MATCH(J$1,'Исходник'!$1:$1,0)))</f>
        <v/>
      </c>
      <c r="K334" s="7" t="str">
        <f t="shared" si="3"/>
        <v>#REF!</v>
      </c>
      <c r="L334" s="1" t="str">
        <f>IF(I334&gt;0,IF(TODAY()-K334&lt;'Анализ'!$D$4+1,1,0),"")</f>
        <v>#REF!</v>
      </c>
    </row>
    <row r="335" ht="15.75" customHeight="1">
      <c r="B335" s="1" t="str">
        <f t="shared" si="1"/>
        <v/>
      </c>
      <c r="F335" s="1"/>
      <c r="G335" s="17"/>
      <c r="I335" s="1" t="str">
        <f t="shared" si="2"/>
        <v>#REF!</v>
      </c>
      <c r="J335" s="1" t="str">
        <f t="array" ref="J335">IFERROR(INDEX('Исходник'!$1:$626,MATCH($I335,'Исходник'!$T:$T,0),MATCH(J$1,'Исходник'!$1:$1,0)))</f>
        <v/>
      </c>
      <c r="K335" s="7" t="str">
        <f t="shared" si="3"/>
        <v>#REF!</v>
      </c>
      <c r="L335" s="1" t="str">
        <f>IF(I335&gt;0,IF(TODAY()-K335&lt;'Анализ'!$D$4+1,1,0),"")</f>
        <v>#REF!</v>
      </c>
    </row>
    <row r="336" ht="15.75" customHeight="1">
      <c r="B336" s="1" t="str">
        <f t="shared" si="1"/>
        <v/>
      </c>
      <c r="F336" s="1"/>
      <c r="G336" s="17"/>
      <c r="I336" s="1" t="str">
        <f t="shared" si="2"/>
        <v>#REF!</v>
      </c>
      <c r="J336" s="1" t="str">
        <f t="array" ref="J336">IFERROR(INDEX('Исходник'!$1:$626,MATCH($I336,'Исходник'!$T:$T,0),MATCH(J$1,'Исходник'!$1:$1,0)))</f>
        <v/>
      </c>
      <c r="K336" s="7" t="str">
        <f t="shared" si="3"/>
        <v>#REF!</v>
      </c>
      <c r="L336" s="1" t="str">
        <f>IF(I336&gt;0,IF(TODAY()-K336&lt;'Анализ'!$D$4+1,1,0),"")</f>
        <v>#REF!</v>
      </c>
    </row>
    <row r="337" ht="15.75" customHeight="1">
      <c r="B337" s="1" t="str">
        <f t="shared" si="1"/>
        <v/>
      </c>
      <c r="F337" s="1"/>
      <c r="G337" s="17"/>
      <c r="I337" s="1" t="str">
        <f t="shared" si="2"/>
        <v>#REF!</v>
      </c>
      <c r="J337" s="1" t="str">
        <f t="array" ref="J337">IFERROR(INDEX('Исходник'!$1:$626,MATCH($I337,'Исходник'!$T:$T,0),MATCH(J$1,'Исходник'!$1:$1,0)))</f>
        <v/>
      </c>
      <c r="K337" s="7" t="str">
        <f t="shared" si="3"/>
        <v>#REF!</v>
      </c>
      <c r="L337" s="1" t="str">
        <f>IF(I337&gt;0,IF(TODAY()-K337&lt;'Анализ'!$D$4+1,1,0),"")</f>
        <v>#REF!</v>
      </c>
    </row>
    <row r="338" ht="15.75" customHeight="1">
      <c r="B338" s="1" t="str">
        <f t="shared" si="1"/>
        <v/>
      </c>
      <c r="F338" s="1"/>
      <c r="G338" s="17"/>
      <c r="I338" s="1" t="str">
        <f t="shared" si="2"/>
        <v>#REF!</v>
      </c>
      <c r="J338" s="1" t="str">
        <f t="array" ref="J338">IFERROR(INDEX('Исходник'!$1:$626,MATCH($I338,'Исходник'!$T:$T,0),MATCH(J$1,'Исходник'!$1:$1,0)))</f>
        <v/>
      </c>
      <c r="K338" s="7" t="str">
        <f t="shared" si="3"/>
        <v>#REF!</v>
      </c>
      <c r="L338" s="1" t="str">
        <f>IF(I338&gt;0,IF(TODAY()-K338&lt;'Анализ'!$D$4+1,1,0),"")</f>
        <v>#REF!</v>
      </c>
    </row>
    <row r="339" ht="15.75" customHeight="1">
      <c r="B339" s="1" t="str">
        <f t="shared" si="1"/>
        <v/>
      </c>
      <c r="F339" s="1"/>
      <c r="G339" s="17"/>
      <c r="I339" s="1" t="str">
        <f t="shared" si="2"/>
        <v>#REF!</v>
      </c>
      <c r="J339" s="1" t="str">
        <f t="array" ref="J339">IFERROR(INDEX('Исходник'!$1:$626,MATCH($I339,'Исходник'!$T:$T,0),MATCH(J$1,'Исходник'!$1:$1,0)))</f>
        <v/>
      </c>
      <c r="K339" s="7" t="str">
        <f t="shared" si="3"/>
        <v>#REF!</v>
      </c>
      <c r="L339" s="1" t="str">
        <f>IF(I339&gt;0,IF(TODAY()-K339&lt;'Анализ'!$D$4+1,1,0),"")</f>
        <v>#REF!</v>
      </c>
    </row>
    <row r="340" ht="15.75" customHeight="1">
      <c r="B340" s="1" t="str">
        <f t="shared" si="1"/>
        <v/>
      </c>
      <c r="F340" s="1"/>
      <c r="G340" s="17"/>
      <c r="I340" s="1" t="str">
        <f t="shared" si="2"/>
        <v>#REF!</v>
      </c>
      <c r="J340" s="1" t="str">
        <f t="array" ref="J340">IFERROR(INDEX('Исходник'!$1:$626,MATCH($I340,'Исходник'!$T:$T,0),MATCH(J$1,'Исходник'!$1:$1,0)))</f>
        <v/>
      </c>
      <c r="K340" s="7" t="str">
        <f t="shared" si="3"/>
        <v>#REF!</v>
      </c>
      <c r="L340" s="1" t="str">
        <f>IF(I340&gt;0,IF(TODAY()-K340&lt;'Анализ'!$D$4+1,1,0),"")</f>
        <v>#REF!</v>
      </c>
    </row>
    <row r="341" ht="15.75" customHeight="1">
      <c r="B341" s="1" t="str">
        <f t="shared" si="1"/>
        <v/>
      </c>
      <c r="F341" s="1"/>
      <c r="G341" s="17"/>
      <c r="I341" s="1" t="str">
        <f t="shared" si="2"/>
        <v>#REF!</v>
      </c>
      <c r="J341" s="1" t="str">
        <f t="array" ref="J341">IFERROR(INDEX('Исходник'!$1:$626,MATCH($I341,'Исходник'!$T:$T,0),MATCH(J$1,'Исходник'!$1:$1,0)))</f>
        <v/>
      </c>
      <c r="K341" s="7" t="str">
        <f t="shared" si="3"/>
        <v>#REF!</v>
      </c>
      <c r="L341" s="1" t="str">
        <f>IF(I341&gt;0,IF(TODAY()-K341&lt;'Анализ'!$D$4+1,1,0),"")</f>
        <v>#REF!</v>
      </c>
    </row>
    <row r="342" ht="15.75" customHeight="1">
      <c r="B342" s="1" t="str">
        <f t="shared" si="1"/>
        <v/>
      </c>
      <c r="F342" s="1"/>
      <c r="G342" s="17"/>
      <c r="I342" s="1" t="str">
        <f t="shared" si="2"/>
        <v>#REF!</v>
      </c>
      <c r="J342" s="1" t="str">
        <f t="array" ref="J342">IFERROR(INDEX('Исходник'!$1:$626,MATCH($I342,'Исходник'!$T:$T,0),MATCH(J$1,'Исходник'!$1:$1,0)))</f>
        <v/>
      </c>
      <c r="K342" s="7" t="str">
        <f t="shared" si="3"/>
        <v>#REF!</v>
      </c>
      <c r="L342" s="1" t="str">
        <f>IF(I342&gt;0,IF(TODAY()-K342&lt;'Анализ'!$D$4+1,1,0),"")</f>
        <v>#REF!</v>
      </c>
    </row>
    <row r="343" ht="15.75" customHeight="1">
      <c r="B343" s="1" t="str">
        <f t="shared" si="1"/>
        <v/>
      </c>
      <c r="F343" s="1"/>
      <c r="G343" s="17"/>
      <c r="I343" s="1" t="str">
        <f t="shared" si="2"/>
        <v>#REF!</v>
      </c>
      <c r="J343" s="1" t="str">
        <f t="array" ref="J343">IFERROR(INDEX('Исходник'!$1:$626,MATCH($I343,'Исходник'!$T:$T,0),MATCH(J$1,'Исходник'!$1:$1,0)))</f>
        <v/>
      </c>
      <c r="K343" s="7" t="str">
        <f t="shared" si="3"/>
        <v>#REF!</v>
      </c>
      <c r="L343" s="1" t="str">
        <f>IF(I343&gt;0,IF(TODAY()-K343&lt;'Анализ'!$D$4+1,1,0),"")</f>
        <v>#REF!</v>
      </c>
    </row>
    <row r="344" ht="15.75" customHeight="1">
      <c r="B344" s="1" t="str">
        <f t="shared" si="1"/>
        <v/>
      </c>
      <c r="F344" s="1"/>
      <c r="G344" s="17"/>
      <c r="I344" s="1" t="str">
        <f t="shared" si="2"/>
        <v>#REF!</v>
      </c>
      <c r="J344" s="1" t="str">
        <f t="array" ref="J344">IFERROR(INDEX('Исходник'!$1:$626,MATCH($I344,'Исходник'!$T:$T,0),MATCH(J$1,'Исходник'!$1:$1,0)))</f>
        <v/>
      </c>
      <c r="K344" s="7" t="str">
        <f t="shared" si="3"/>
        <v>#REF!</v>
      </c>
      <c r="L344" s="1" t="str">
        <f>IF(I344&gt;0,IF(TODAY()-K344&lt;'Анализ'!$D$4+1,1,0),"")</f>
        <v>#REF!</v>
      </c>
    </row>
    <row r="345" ht="15.75" customHeight="1">
      <c r="B345" s="1" t="str">
        <f t="shared" si="1"/>
        <v/>
      </c>
      <c r="F345" s="1"/>
      <c r="G345" s="17"/>
      <c r="I345" s="1" t="str">
        <f t="shared" si="2"/>
        <v>#REF!</v>
      </c>
      <c r="J345" s="1" t="str">
        <f t="array" ref="J345">IFERROR(INDEX('Исходник'!$1:$626,MATCH($I345,'Исходник'!$T:$T,0),MATCH(J$1,'Исходник'!$1:$1,0)))</f>
        <v/>
      </c>
      <c r="K345" s="7" t="str">
        <f t="shared" si="3"/>
        <v>#REF!</v>
      </c>
      <c r="L345" s="1" t="str">
        <f>IF(I345&gt;0,IF(TODAY()-K345&lt;'Анализ'!$D$4+1,1,0),"")</f>
        <v>#REF!</v>
      </c>
    </row>
    <row r="346" ht="15.75" customHeight="1">
      <c r="B346" s="1" t="str">
        <f t="shared" si="1"/>
        <v/>
      </c>
      <c r="F346" s="1"/>
      <c r="G346" s="17"/>
      <c r="I346" s="1" t="str">
        <f t="shared" si="2"/>
        <v>#REF!</v>
      </c>
      <c r="J346" s="1" t="str">
        <f t="array" ref="J346">IFERROR(INDEX('Исходник'!$1:$626,MATCH($I346,'Исходник'!$T:$T,0),MATCH(J$1,'Исходник'!$1:$1,0)))</f>
        <v/>
      </c>
      <c r="K346" s="7" t="str">
        <f t="shared" si="3"/>
        <v>#REF!</v>
      </c>
      <c r="L346" s="1" t="str">
        <f>IF(I346&gt;0,IF(TODAY()-K346&lt;'Анализ'!$D$4+1,1,0),"")</f>
        <v>#REF!</v>
      </c>
    </row>
    <row r="347" ht="15.75" customHeight="1">
      <c r="B347" s="1" t="str">
        <f t="shared" si="1"/>
        <v/>
      </c>
      <c r="F347" s="1"/>
      <c r="G347" s="17"/>
      <c r="I347" s="1" t="str">
        <f t="shared" si="2"/>
        <v>#REF!</v>
      </c>
      <c r="J347" s="1" t="str">
        <f t="array" ref="J347">IFERROR(INDEX('Исходник'!$1:$626,MATCH($I347,'Исходник'!$T:$T,0),MATCH(J$1,'Исходник'!$1:$1,0)))</f>
        <v/>
      </c>
      <c r="K347" s="7" t="str">
        <f t="shared" si="3"/>
        <v>#REF!</v>
      </c>
      <c r="L347" s="1" t="str">
        <f>IF(I347&gt;0,IF(TODAY()-K347&lt;'Анализ'!$D$4+1,1,0),"")</f>
        <v>#REF!</v>
      </c>
    </row>
    <row r="348" ht="15.75" customHeight="1">
      <c r="B348" s="1" t="str">
        <f t="shared" si="1"/>
        <v/>
      </c>
      <c r="F348" s="1"/>
      <c r="G348" s="17"/>
      <c r="I348" s="1" t="str">
        <f t="shared" si="2"/>
        <v>#REF!</v>
      </c>
      <c r="J348" s="1" t="str">
        <f t="array" ref="J348">IFERROR(INDEX('Исходник'!$1:$626,MATCH($I348,'Исходник'!$T:$T,0),MATCH(J$1,'Исходник'!$1:$1,0)))</f>
        <v/>
      </c>
      <c r="K348" s="7" t="str">
        <f t="shared" si="3"/>
        <v>#REF!</v>
      </c>
      <c r="L348" s="1" t="str">
        <f>IF(I348&gt;0,IF(TODAY()-K348&lt;'Анализ'!$D$4+1,1,0),"")</f>
        <v>#REF!</v>
      </c>
    </row>
    <row r="349" ht="15.75" customHeight="1">
      <c r="B349" s="1" t="str">
        <f t="shared" si="1"/>
        <v/>
      </c>
      <c r="F349" s="1"/>
      <c r="G349" s="17"/>
      <c r="I349" s="1" t="str">
        <f t="shared" si="2"/>
        <v>#REF!</v>
      </c>
      <c r="J349" s="1" t="str">
        <f t="array" ref="J349">IFERROR(INDEX('Исходник'!$1:$626,MATCH($I349,'Исходник'!$T:$T,0),MATCH(J$1,'Исходник'!$1:$1,0)))</f>
        <v/>
      </c>
      <c r="K349" s="7" t="str">
        <f t="shared" si="3"/>
        <v>#REF!</v>
      </c>
      <c r="L349" s="1" t="str">
        <f>IF(I349&gt;0,IF(TODAY()-K349&lt;'Анализ'!$D$4+1,1,0),"")</f>
        <v>#REF!</v>
      </c>
    </row>
    <row r="350" ht="15.75" customHeight="1">
      <c r="B350" s="1" t="str">
        <f t="shared" si="1"/>
        <v/>
      </c>
      <c r="F350" s="1"/>
      <c r="G350" s="17"/>
      <c r="I350" s="1" t="str">
        <f t="shared" si="2"/>
        <v>#REF!</v>
      </c>
      <c r="J350" s="1" t="str">
        <f t="array" ref="J350">IFERROR(INDEX('Исходник'!$1:$626,MATCH($I350,'Исходник'!$T:$T,0),MATCH(J$1,'Исходник'!$1:$1,0)))</f>
        <v/>
      </c>
      <c r="K350" s="7" t="str">
        <f t="shared" si="3"/>
        <v>#REF!</v>
      </c>
      <c r="L350" s="1" t="str">
        <f>IF(I350&gt;0,IF(TODAY()-K350&lt;'Анализ'!$D$4+1,1,0),"")</f>
        <v>#REF!</v>
      </c>
    </row>
    <row r="351" ht="15.75" customHeight="1">
      <c r="B351" s="1" t="str">
        <f t="shared" si="1"/>
        <v/>
      </c>
      <c r="F351" s="1"/>
      <c r="G351" s="17"/>
      <c r="I351" s="1" t="str">
        <f t="shared" si="2"/>
        <v>#REF!</v>
      </c>
      <c r="J351" s="1" t="str">
        <f t="array" ref="J351">IFERROR(INDEX('Исходник'!$1:$626,MATCH($I351,'Исходник'!$T:$T,0),MATCH(J$1,'Исходник'!$1:$1,0)))</f>
        <v/>
      </c>
      <c r="K351" s="7" t="str">
        <f t="shared" si="3"/>
        <v>#REF!</v>
      </c>
      <c r="L351" s="1" t="str">
        <f>IF(I351&gt;0,IF(TODAY()-K351&lt;'Анализ'!$D$4+1,1,0),"")</f>
        <v>#REF!</v>
      </c>
    </row>
    <row r="352" ht="15.75" customHeight="1">
      <c r="B352" s="1" t="str">
        <f t="shared" si="1"/>
        <v/>
      </c>
      <c r="F352" s="1"/>
      <c r="G352" s="17"/>
      <c r="I352" s="1" t="str">
        <f t="shared" si="2"/>
        <v>#REF!</v>
      </c>
      <c r="J352" s="1" t="str">
        <f t="array" ref="J352">IFERROR(INDEX('Исходник'!$1:$626,MATCH($I352,'Исходник'!$T:$T,0),MATCH(J$1,'Исходник'!$1:$1,0)))</f>
        <v/>
      </c>
      <c r="K352" s="7" t="str">
        <f t="shared" si="3"/>
        <v>#REF!</v>
      </c>
      <c r="L352" s="1" t="str">
        <f>IF(I352&gt;0,IF(TODAY()-K352&lt;'Анализ'!$D$4+1,1,0),"")</f>
        <v>#REF!</v>
      </c>
    </row>
    <row r="353" ht="15.75" customHeight="1">
      <c r="B353" s="1" t="str">
        <f t="shared" si="1"/>
        <v/>
      </c>
      <c r="F353" s="1"/>
      <c r="G353" s="17"/>
      <c r="I353" s="1" t="str">
        <f t="shared" si="2"/>
        <v>#REF!</v>
      </c>
      <c r="J353" s="1" t="str">
        <f t="array" ref="J353">IFERROR(INDEX('Исходник'!$1:$626,MATCH($I353,'Исходник'!$T:$T,0),MATCH(J$1,'Исходник'!$1:$1,0)))</f>
        <v/>
      </c>
      <c r="K353" s="7" t="str">
        <f t="shared" si="3"/>
        <v>#REF!</v>
      </c>
      <c r="L353" s="1" t="str">
        <f>IF(I353&gt;0,IF(TODAY()-K353&lt;'Анализ'!$D$4+1,1,0),"")</f>
        <v>#REF!</v>
      </c>
    </row>
    <row r="354" ht="15.75" customHeight="1">
      <c r="B354" s="1" t="str">
        <f t="shared" si="1"/>
        <v/>
      </c>
      <c r="F354" s="1"/>
      <c r="G354" s="17"/>
      <c r="I354" s="1" t="str">
        <f t="shared" si="2"/>
        <v>#REF!</v>
      </c>
      <c r="J354" s="1" t="str">
        <f t="array" ref="J354">IFERROR(INDEX('Исходник'!$1:$626,MATCH($I354,'Исходник'!$T:$T,0),MATCH(J$1,'Исходник'!$1:$1,0)))</f>
        <v/>
      </c>
      <c r="K354" s="7" t="str">
        <f t="shared" si="3"/>
        <v>#REF!</v>
      </c>
      <c r="L354" s="1" t="str">
        <f>IF(I354&gt;0,IF(TODAY()-K354&lt;'Анализ'!$D$4+1,1,0),"")</f>
        <v>#REF!</v>
      </c>
    </row>
    <row r="355" ht="15.75" customHeight="1">
      <c r="B355" s="1" t="str">
        <f t="shared" si="1"/>
        <v/>
      </c>
      <c r="F355" s="1"/>
      <c r="G355" s="17"/>
      <c r="I355" s="1" t="str">
        <f t="shared" si="2"/>
        <v>#REF!</v>
      </c>
      <c r="J355" s="1" t="str">
        <f t="array" ref="J355">IFERROR(INDEX('Исходник'!$1:$626,MATCH($I355,'Исходник'!$T:$T,0),MATCH(J$1,'Исходник'!$1:$1,0)))</f>
        <v/>
      </c>
      <c r="K355" s="7" t="str">
        <f t="shared" si="3"/>
        <v>#REF!</v>
      </c>
      <c r="L355" s="1" t="str">
        <f>IF(I355&gt;0,IF(TODAY()-K355&lt;'Анализ'!$D$4+1,1,0),"")</f>
        <v>#REF!</v>
      </c>
    </row>
    <row r="356" ht="15.75" customHeight="1">
      <c r="B356" s="1" t="str">
        <f t="shared" si="1"/>
        <v/>
      </c>
      <c r="F356" s="1"/>
      <c r="G356" s="17"/>
      <c r="I356" s="1" t="str">
        <f t="shared" si="2"/>
        <v>#REF!</v>
      </c>
      <c r="J356" s="1" t="str">
        <f t="array" ref="J356">IFERROR(INDEX('Исходник'!$1:$626,MATCH($I356,'Исходник'!$T:$T,0),MATCH(J$1,'Исходник'!$1:$1,0)))</f>
        <v/>
      </c>
      <c r="K356" s="7" t="str">
        <f t="shared" si="3"/>
        <v>#REF!</v>
      </c>
      <c r="L356" s="1" t="str">
        <f>IF(I356&gt;0,IF(TODAY()-K356&lt;'Анализ'!$D$4+1,1,0),"")</f>
        <v>#REF!</v>
      </c>
    </row>
    <row r="357" ht="15.75" customHeight="1">
      <c r="B357" s="1" t="str">
        <f t="shared" si="1"/>
        <v/>
      </c>
      <c r="F357" s="1"/>
      <c r="G357" s="17"/>
      <c r="I357" s="1" t="str">
        <f t="shared" si="2"/>
        <v>#REF!</v>
      </c>
      <c r="J357" s="1" t="str">
        <f t="array" ref="J357">IFERROR(INDEX('Исходник'!$1:$626,MATCH($I357,'Исходник'!$T:$T,0),MATCH(J$1,'Исходник'!$1:$1,0)))</f>
        <v/>
      </c>
      <c r="K357" s="7" t="str">
        <f t="shared" si="3"/>
        <v>#REF!</v>
      </c>
      <c r="L357" s="1" t="str">
        <f>IF(I357&gt;0,IF(TODAY()-K357&lt;'Анализ'!$D$4+1,1,0),"")</f>
        <v>#REF!</v>
      </c>
    </row>
    <row r="358" ht="15.75" customHeight="1">
      <c r="B358" s="1" t="str">
        <f t="shared" si="1"/>
        <v/>
      </c>
      <c r="F358" s="1"/>
      <c r="G358" s="17"/>
      <c r="I358" s="1" t="str">
        <f t="shared" si="2"/>
        <v>#REF!</v>
      </c>
      <c r="J358" s="1" t="str">
        <f t="array" ref="J358">IFERROR(INDEX('Исходник'!$1:$626,MATCH($I358,'Исходник'!$T:$T,0),MATCH(J$1,'Исходник'!$1:$1,0)))</f>
        <v/>
      </c>
      <c r="K358" s="7" t="str">
        <f t="shared" si="3"/>
        <v>#REF!</v>
      </c>
      <c r="L358" s="1" t="str">
        <f>IF(I358&gt;0,IF(TODAY()-K358&lt;'Анализ'!$D$4+1,1,0),"")</f>
        <v>#REF!</v>
      </c>
    </row>
    <row r="359" ht="15.75" customHeight="1">
      <c r="B359" s="1" t="str">
        <f t="shared" si="1"/>
        <v/>
      </c>
      <c r="F359" s="1"/>
      <c r="G359" s="17"/>
      <c r="I359" s="1" t="str">
        <f t="shared" si="2"/>
        <v>#REF!</v>
      </c>
      <c r="J359" s="1" t="str">
        <f t="array" ref="J359">IFERROR(INDEX('Исходник'!$1:$626,MATCH($I359,'Исходник'!$T:$T,0),MATCH(J$1,'Исходник'!$1:$1,0)))</f>
        <v/>
      </c>
      <c r="K359" s="7" t="str">
        <f t="shared" si="3"/>
        <v>#REF!</v>
      </c>
      <c r="L359" s="1" t="str">
        <f>IF(I359&gt;0,IF(TODAY()-K359&lt;'Анализ'!$D$4+1,1,0),"")</f>
        <v>#REF!</v>
      </c>
    </row>
    <row r="360" ht="15.75" customHeight="1">
      <c r="B360" s="1" t="str">
        <f t="shared" si="1"/>
        <v/>
      </c>
      <c r="F360" s="1"/>
      <c r="G360" s="17"/>
      <c r="I360" s="1" t="str">
        <f t="shared" si="2"/>
        <v>#REF!</v>
      </c>
      <c r="J360" s="1" t="str">
        <f t="array" ref="J360">IFERROR(INDEX('Исходник'!$1:$626,MATCH($I360,'Исходник'!$T:$T,0),MATCH(J$1,'Исходник'!$1:$1,0)))</f>
        <v/>
      </c>
      <c r="K360" s="7" t="str">
        <f t="shared" si="3"/>
        <v>#REF!</v>
      </c>
      <c r="L360" s="1" t="str">
        <f>IF(I360&gt;0,IF(TODAY()-K360&lt;'Анализ'!$D$4+1,1,0),"")</f>
        <v>#REF!</v>
      </c>
    </row>
    <row r="361" ht="15.75" customHeight="1">
      <c r="B361" s="1" t="str">
        <f t="shared" si="1"/>
        <v/>
      </c>
      <c r="F361" s="1"/>
      <c r="G361" s="17"/>
      <c r="I361" s="1" t="str">
        <f t="shared" si="2"/>
        <v>#REF!</v>
      </c>
      <c r="J361" s="1" t="str">
        <f t="array" ref="J361">IFERROR(INDEX('Исходник'!$1:$626,MATCH($I361,'Исходник'!$T:$T,0),MATCH(J$1,'Исходник'!$1:$1,0)))</f>
        <v/>
      </c>
      <c r="K361" s="7" t="str">
        <f t="shared" si="3"/>
        <v>#REF!</v>
      </c>
      <c r="L361" s="1" t="str">
        <f>IF(I361&gt;0,IF(TODAY()-K361&lt;'Анализ'!$D$4+1,1,0),"")</f>
        <v>#REF!</v>
      </c>
    </row>
    <row r="362" ht="15.75" customHeight="1">
      <c r="B362" s="1" t="str">
        <f t="shared" si="1"/>
        <v/>
      </c>
      <c r="F362" s="1"/>
      <c r="G362" s="17"/>
      <c r="I362" s="1" t="str">
        <f t="shared" si="2"/>
        <v>#REF!</v>
      </c>
      <c r="J362" s="1" t="str">
        <f t="array" ref="J362">IFERROR(INDEX('Исходник'!$1:$626,MATCH($I362,'Исходник'!$T:$T,0),MATCH(J$1,'Исходник'!$1:$1,0)))</f>
        <v/>
      </c>
      <c r="K362" s="7" t="str">
        <f t="shared" si="3"/>
        <v>#REF!</v>
      </c>
      <c r="L362" s="1" t="str">
        <f>IF(I362&gt;0,IF(TODAY()-K362&lt;'Анализ'!$D$4+1,1,0),"")</f>
        <v>#REF!</v>
      </c>
    </row>
    <row r="363" ht="15.75" customHeight="1">
      <c r="B363" s="1" t="str">
        <f t="shared" si="1"/>
        <v/>
      </c>
      <c r="F363" s="1"/>
      <c r="G363" s="17"/>
      <c r="I363" s="1" t="str">
        <f t="shared" si="2"/>
        <v>#REF!</v>
      </c>
      <c r="J363" s="1" t="str">
        <f t="array" ref="J363">IFERROR(INDEX('Исходник'!$1:$626,MATCH($I363,'Исходник'!$T:$T,0),MATCH(J$1,'Исходник'!$1:$1,0)))</f>
        <v/>
      </c>
      <c r="K363" s="7" t="str">
        <f t="shared" si="3"/>
        <v>#REF!</v>
      </c>
      <c r="L363" s="1" t="str">
        <f>IF(I363&gt;0,IF(TODAY()-K363&lt;'Анализ'!$D$4+1,1,0),"")</f>
        <v>#REF!</v>
      </c>
    </row>
    <row r="364" ht="15.75" customHeight="1">
      <c r="B364" s="1" t="str">
        <f t="shared" si="1"/>
        <v/>
      </c>
      <c r="F364" s="1"/>
      <c r="G364" s="17"/>
      <c r="I364" s="1" t="str">
        <f t="shared" si="2"/>
        <v>#REF!</v>
      </c>
      <c r="J364" s="1" t="str">
        <f t="array" ref="J364">IFERROR(INDEX('Исходник'!$1:$626,MATCH($I364,'Исходник'!$T:$T,0),MATCH(J$1,'Исходник'!$1:$1,0)))</f>
        <v/>
      </c>
      <c r="K364" s="7" t="str">
        <f t="shared" si="3"/>
        <v>#REF!</v>
      </c>
      <c r="L364" s="1" t="str">
        <f>IF(I364&gt;0,IF(TODAY()-K364&lt;'Анализ'!$D$4+1,1,0),"")</f>
        <v>#REF!</v>
      </c>
    </row>
    <row r="365" ht="15.75" customHeight="1">
      <c r="B365" s="1" t="str">
        <f t="shared" si="1"/>
        <v/>
      </c>
      <c r="F365" s="1"/>
      <c r="G365" s="17"/>
      <c r="I365" s="1" t="str">
        <f t="shared" si="2"/>
        <v>#REF!</v>
      </c>
      <c r="J365" s="1" t="str">
        <f t="array" ref="J365">IFERROR(INDEX('Исходник'!$1:$626,MATCH($I365,'Исходник'!$T:$T,0),MATCH(J$1,'Исходник'!$1:$1,0)))</f>
        <v/>
      </c>
      <c r="K365" s="7" t="str">
        <f t="shared" si="3"/>
        <v>#REF!</v>
      </c>
      <c r="L365" s="1" t="str">
        <f>IF(I365&gt;0,IF(TODAY()-K365&lt;'Анализ'!$D$4+1,1,0),"")</f>
        <v>#REF!</v>
      </c>
    </row>
    <row r="366" ht="15.75" customHeight="1">
      <c r="B366" s="1" t="str">
        <f t="shared" si="1"/>
        <v/>
      </c>
      <c r="F366" s="1"/>
      <c r="G366" s="17"/>
      <c r="I366" s="1" t="str">
        <f t="shared" si="2"/>
        <v>#REF!</v>
      </c>
      <c r="J366" s="1" t="str">
        <f t="array" ref="J366">IFERROR(INDEX('Исходник'!$1:$626,MATCH($I366,'Исходник'!$T:$T,0),MATCH(J$1,'Исходник'!$1:$1,0)))</f>
        <v/>
      </c>
      <c r="K366" s="7" t="str">
        <f t="shared" si="3"/>
        <v>#REF!</v>
      </c>
      <c r="L366" s="1" t="str">
        <f>IF(I366&gt;0,IF(TODAY()-K366&lt;'Анализ'!$D$4+1,1,0),"")</f>
        <v>#REF!</v>
      </c>
    </row>
    <row r="367" ht="15.75" customHeight="1">
      <c r="B367" s="1" t="str">
        <f t="shared" si="1"/>
        <v/>
      </c>
      <c r="F367" s="1"/>
      <c r="G367" s="17"/>
      <c r="I367" s="1" t="str">
        <f t="shared" si="2"/>
        <v>#REF!</v>
      </c>
      <c r="J367" s="1" t="str">
        <f t="array" ref="J367">IFERROR(INDEX('Исходник'!$1:$626,MATCH($I367,'Исходник'!$T:$T,0),MATCH(J$1,'Исходник'!$1:$1,0)))</f>
        <v/>
      </c>
      <c r="K367" s="7" t="str">
        <f t="shared" si="3"/>
        <v>#REF!</v>
      </c>
      <c r="L367" s="1" t="str">
        <f>IF(I367&gt;0,IF(TODAY()-K367&lt;'Анализ'!$D$4+1,1,0),"")</f>
        <v>#REF!</v>
      </c>
    </row>
    <row r="368" ht="15.75" customHeight="1">
      <c r="B368" s="1" t="str">
        <f t="shared" si="1"/>
        <v/>
      </c>
      <c r="F368" s="1"/>
      <c r="G368" s="17"/>
      <c r="I368" s="1" t="str">
        <f t="shared" si="2"/>
        <v>#REF!</v>
      </c>
      <c r="J368" s="1" t="str">
        <f t="array" ref="J368">IFERROR(INDEX('Исходник'!$1:$626,MATCH($I368,'Исходник'!$T:$T,0),MATCH(J$1,'Исходник'!$1:$1,0)))</f>
        <v/>
      </c>
      <c r="K368" s="7" t="str">
        <f t="shared" si="3"/>
        <v>#REF!</v>
      </c>
      <c r="L368" s="1" t="str">
        <f>IF(I368&gt;0,IF(TODAY()-K368&lt;'Анализ'!$D$4+1,1,0),"")</f>
        <v>#REF!</v>
      </c>
    </row>
    <row r="369" ht="15.75" customHeight="1">
      <c r="B369" s="1" t="str">
        <f t="shared" si="1"/>
        <v/>
      </c>
      <c r="F369" s="1"/>
      <c r="G369" s="17"/>
      <c r="I369" s="1" t="str">
        <f t="shared" si="2"/>
        <v>#REF!</v>
      </c>
      <c r="J369" s="1" t="str">
        <f t="array" ref="J369">IFERROR(INDEX('Исходник'!$1:$626,MATCH($I369,'Исходник'!$T:$T,0),MATCH(J$1,'Исходник'!$1:$1,0)))</f>
        <v/>
      </c>
      <c r="K369" s="7" t="str">
        <f t="shared" si="3"/>
        <v>#REF!</v>
      </c>
      <c r="L369" s="1" t="str">
        <f>IF(I369&gt;0,IF(TODAY()-K369&lt;'Анализ'!$D$4+1,1,0),"")</f>
        <v>#REF!</v>
      </c>
    </row>
    <row r="370" ht="15.75" customHeight="1">
      <c r="B370" s="1" t="str">
        <f t="shared" si="1"/>
        <v/>
      </c>
      <c r="F370" s="1"/>
      <c r="G370" s="17"/>
      <c r="I370" s="1" t="str">
        <f t="shared" si="2"/>
        <v>#REF!</v>
      </c>
      <c r="J370" s="1" t="str">
        <f t="array" ref="J370">IFERROR(INDEX('Исходник'!$1:$626,MATCH($I370,'Исходник'!$T:$T,0),MATCH(J$1,'Исходник'!$1:$1,0)))</f>
        <v/>
      </c>
      <c r="K370" s="7" t="str">
        <f t="shared" si="3"/>
        <v>#REF!</v>
      </c>
      <c r="L370" s="1" t="str">
        <f>IF(I370&gt;0,IF(TODAY()-K370&lt;'Анализ'!$D$4+1,1,0),"")</f>
        <v>#REF!</v>
      </c>
    </row>
    <row r="371" ht="15.75" customHeight="1">
      <c r="B371" s="1" t="str">
        <f t="shared" si="1"/>
        <v/>
      </c>
      <c r="F371" s="1"/>
      <c r="G371" s="17"/>
      <c r="I371" s="1" t="str">
        <f t="shared" si="2"/>
        <v>#REF!</v>
      </c>
      <c r="J371" s="1" t="str">
        <f t="array" ref="J371">IFERROR(INDEX('Исходник'!$1:$626,MATCH($I371,'Исходник'!$T:$T,0),MATCH(J$1,'Исходник'!$1:$1,0)))</f>
        <v/>
      </c>
      <c r="K371" s="7" t="str">
        <f t="shared" si="3"/>
        <v>#REF!</v>
      </c>
      <c r="L371" s="1" t="str">
        <f>IF(I371&gt;0,IF(TODAY()-K371&lt;'Анализ'!$D$4+1,1,0),"")</f>
        <v>#REF!</v>
      </c>
    </row>
    <row r="372" ht="15.75" customHeight="1">
      <c r="B372" s="1" t="str">
        <f t="shared" si="1"/>
        <v/>
      </c>
      <c r="F372" s="1"/>
      <c r="G372" s="17"/>
      <c r="I372" s="1" t="str">
        <f t="shared" si="2"/>
        <v>#REF!</v>
      </c>
      <c r="J372" s="1" t="str">
        <f t="array" ref="J372">IFERROR(INDEX('Исходник'!$1:$626,MATCH($I372,'Исходник'!$T:$T,0),MATCH(J$1,'Исходник'!$1:$1,0)))</f>
        <v/>
      </c>
      <c r="K372" s="7" t="str">
        <f t="shared" si="3"/>
        <v>#REF!</v>
      </c>
      <c r="L372" s="1" t="str">
        <f>IF(I372&gt;0,IF(TODAY()-K372&lt;'Анализ'!$D$4+1,1,0),"")</f>
        <v>#REF!</v>
      </c>
    </row>
    <row r="373" ht="15.75" customHeight="1">
      <c r="B373" s="1" t="str">
        <f t="shared" si="1"/>
        <v/>
      </c>
      <c r="F373" s="1"/>
      <c r="G373" s="17"/>
      <c r="I373" s="1" t="str">
        <f t="shared" si="2"/>
        <v>#REF!</v>
      </c>
      <c r="J373" s="1" t="str">
        <f t="array" ref="J373">IFERROR(INDEX('Исходник'!$1:$626,MATCH($I373,'Исходник'!$T:$T,0),MATCH(J$1,'Исходник'!$1:$1,0)))</f>
        <v/>
      </c>
      <c r="K373" s="7" t="str">
        <f t="shared" si="3"/>
        <v>#REF!</v>
      </c>
      <c r="L373" s="1" t="str">
        <f>IF(I373&gt;0,IF(TODAY()-K373&lt;'Анализ'!$D$4+1,1,0),"")</f>
        <v>#REF!</v>
      </c>
    </row>
    <row r="374" ht="15.75" customHeight="1">
      <c r="B374" s="1" t="str">
        <f t="shared" si="1"/>
        <v/>
      </c>
      <c r="F374" s="1"/>
      <c r="G374" s="17"/>
      <c r="I374" s="1" t="str">
        <f t="shared" si="2"/>
        <v>#REF!</v>
      </c>
      <c r="J374" s="1" t="str">
        <f t="array" ref="J374">IFERROR(INDEX('Исходник'!$1:$626,MATCH($I374,'Исходник'!$T:$T,0),MATCH(J$1,'Исходник'!$1:$1,0)))</f>
        <v/>
      </c>
      <c r="K374" s="7" t="str">
        <f t="shared" si="3"/>
        <v>#REF!</v>
      </c>
      <c r="L374" s="1" t="str">
        <f>IF(I374&gt;0,IF(TODAY()-K374&lt;'Анализ'!$D$4+1,1,0),"")</f>
        <v>#REF!</v>
      </c>
    </row>
    <row r="375" ht="15.75" customHeight="1">
      <c r="B375" s="1" t="str">
        <f t="shared" si="1"/>
        <v/>
      </c>
      <c r="F375" s="1"/>
      <c r="G375" s="17"/>
      <c r="I375" s="1" t="str">
        <f t="shared" si="2"/>
        <v>#REF!</v>
      </c>
      <c r="J375" s="1" t="str">
        <f t="array" ref="J375">IFERROR(INDEX('Исходник'!$1:$626,MATCH($I375,'Исходник'!$T:$T,0),MATCH(J$1,'Исходник'!$1:$1,0)))</f>
        <v/>
      </c>
      <c r="K375" s="7" t="str">
        <f t="shared" si="3"/>
        <v>#REF!</v>
      </c>
      <c r="L375" s="1" t="str">
        <f>IF(I375&gt;0,IF(TODAY()-K375&lt;'Анализ'!$D$4+1,1,0),"")</f>
        <v>#REF!</v>
      </c>
    </row>
    <row r="376" ht="15.75" customHeight="1">
      <c r="B376" s="1" t="str">
        <f t="shared" si="1"/>
        <v/>
      </c>
      <c r="F376" s="1"/>
      <c r="G376" s="17"/>
      <c r="I376" s="1" t="str">
        <f>'Исходник'!T2</f>
        <v/>
      </c>
      <c r="J376" s="1" t="str">
        <f t="array" ref="J376">IFERROR(INDEX('Исходник'!$1:$626,MATCH($I376,'Исходник'!$T:$T,0),MATCH(J$1,'Исходник'!$1:$1,0)))</f>
        <v/>
      </c>
      <c r="K376" s="7" t="str">
        <f t="shared" si="3"/>
        <v/>
      </c>
      <c r="L376" s="1" t="str">
        <f>IF(I376&gt;0,IF(TODAY()-K376&lt;'Анализ'!$D$4+1,1,0),"")</f>
        <v/>
      </c>
    </row>
    <row r="377" ht="15.75" customHeight="1">
      <c r="B377" s="1" t="str">
        <f t="shared" si="1"/>
        <v/>
      </c>
      <c r="F377" s="1"/>
      <c r="G377" s="17"/>
      <c r="I377" s="1" t="str">
        <f>'Исходник'!T3</f>
        <v/>
      </c>
      <c r="J377" s="1" t="str">
        <f t="array" ref="J377">IFERROR(INDEX('Исходник'!$1:$626,MATCH($I377,'Исходник'!$T:$T,0),MATCH(J$1,'Исходник'!$1:$1,0)))</f>
        <v/>
      </c>
      <c r="K377" s="7" t="str">
        <f t="shared" si="3"/>
        <v/>
      </c>
      <c r="L377" s="1" t="str">
        <f>IF(I377&gt;0,IF(TODAY()-K377&lt;'Анализ'!$D$4+1,1,0),"")</f>
        <v/>
      </c>
    </row>
    <row r="378" ht="15.75" customHeight="1">
      <c r="B378" s="1" t="str">
        <f t="shared" si="1"/>
        <v/>
      </c>
      <c r="F378" s="1"/>
      <c r="G378" s="17"/>
      <c r="I378" s="1" t="str">
        <f>'Исходник'!T4</f>
        <v/>
      </c>
      <c r="J378" s="1" t="str">
        <f t="array" ref="J378">IFERROR(INDEX('Исходник'!$1:$626,MATCH($I378,'Исходник'!$T:$T,0),MATCH(J$1,'Исходник'!$1:$1,0)))</f>
        <v/>
      </c>
      <c r="K378" s="7" t="str">
        <f t="shared" si="3"/>
        <v/>
      </c>
      <c r="L378" s="1" t="str">
        <f>IF(I378&gt;0,IF(TODAY()-K378&lt;'Анализ'!$D$4+1,1,0),"")</f>
        <v/>
      </c>
    </row>
    <row r="379" ht="15.75" customHeight="1">
      <c r="B379" s="1" t="str">
        <f t="shared" si="1"/>
        <v/>
      </c>
      <c r="F379" s="1"/>
      <c r="G379" s="17"/>
      <c r="I379" s="1" t="str">
        <f>'Исходник'!T5</f>
        <v/>
      </c>
      <c r="J379" s="1" t="str">
        <f t="array" ref="J379">IFERROR(INDEX('Исходник'!$1:$626,MATCH($I379,'Исходник'!$T:$T,0),MATCH(J$1,'Исходник'!$1:$1,0)))</f>
        <v/>
      </c>
      <c r="K379" s="7" t="str">
        <f t="shared" si="3"/>
        <v/>
      </c>
      <c r="L379" s="1" t="str">
        <f>IF(I379&gt;0,IF(TODAY()-K379&lt;'Анализ'!$D$4+1,1,0),"")</f>
        <v/>
      </c>
    </row>
    <row r="380" ht="15.75" customHeight="1">
      <c r="B380" s="1" t="str">
        <f t="shared" si="1"/>
        <v/>
      </c>
      <c r="F380" s="1"/>
      <c r="G380" s="17"/>
      <c r="I380" s="1" t="str">
        <f>'Исходник'!T6</f>
        <v/>
      </c>
      <c r="J380" s="1" t="str">
        <f t="array" ref="J380">IFERROR(INDEX('Исходник'!$1:$626,MATCH($I380,'Исходник'!$T:$T,0),MATCH(J$1,'Исходник'!$1:$1,0)))</f>
        <v/>
      </c>
      <c r="K380" s="7" t="str">
        <f t="shared" si="3"/>
        <v/>
      </c>
      <c r="L380" s="1" t="str">
        <f>IF(I380&gt;0,IF(TODAY()-K380&lt;'Анализ'!$D$4+1,1,0),"")</f>
        <v/>
      </c>
    </row>
    <row r="381" ht="15.75" customHeight="1">
      <c r="B381" s="1" t="str">
        <f t="shared" si="1"/>
        <v/>
      </c>
      <c r="F381" s="1"/>
      <c r="G381" s="17"/>
      <c r="I381" s="1" t="str">
        <f>'Исходник'!T7</f>
        <v/>
      </c>
      <c r="J381" s="1" t="str">
        <f t="array" ref="J381">IFERROR(INDEX('Исходник'!$1:$626,MATCH($I381,'Исходник'!$T:$T,0),MATCH(J$1,'Исходник'!$1:$1,0)))</f>
        <v/>
      </c>
      <c r="K381" s="7" t="str">
        <f t="shared" si="3"/>
        <v/>
      </c>
      <c r="L381" s="1" t="str">
        <f>IF(I381&gt;0,IF(TODAY()-K381&lt;'Анализ'!$D$4+1,1,0),"")</f>
        <v/>
      </c>
    </row>
    <row r="382" ht="15.75" customHeight="1">
      <c r="B382" s="1" t="str">
        <f t="shared" si="1"/>
        <v/>
      </c>
      <c r="F382" s="1"/>
      <c r="G382" s="17"/>
      <c r="I382" s="1" t="str">
        <f>'Исходник'!T8</f>
        <v/>
      </c>
      <c r="J382" s="1" t="str">
        <f t="array" ref="J382">IFERROR(INDEX('Исходник'!$1:$626,MATCH($I382,'Исходник'!$T:$T,0),MATCH(J$1,'Исходник'!$1:$1,0)))</f>
        <v/>
      </c>
      <c r="K382" s="7" t="str">
        <f t="shared" si="3"/>
        <v/>
      </c>
      <c r="L382" s="1" t="str">
        <f>IF(I382&gt;0,IF(TODAY()-K382&lt;'Анализ'!$D$4+1,1,0),"")</f>
        <v/>
      </c>
    </row>
    <row r="383" ht="15.75" customHeight="1">
      <c r="B383" s="1" t="str">
        <f t="shared" si="1"/>
        <v/>
      </c>
      <c r="F383" s="1"/>
      <c r="G383" s="17"/>
      <c r="I383" s="1" t="str">
        <f>'Исходник'!T9</f>
        <v/>
      </c>
      <c r="J383" s="1" t="str">
        <f t="array" ref="J383">IFERROR(INDEX('Исходник'!$1:$626,MATCH($I383,'Исходник'!$T:$T,0),MATCH(J$1,'Исходник'!$1:$1,0)))</f>
        <v/>
      </c>
      <c r="K383" s="7" t="str">
        <f t="shared" si="3"/>
        <v/>
      </c>
      <c r="L383" s="1" t="str">
        <f>IF(I383&gt;0,IF(TODAY()-K383&lt;'Анализ'!$D$4+1,1,0),"")</f>
        <v/>
      </c>
    </row>
    <row r="384" ht="15.75" customHeight="1">
      <c r="B384" s="1" t="str">
        <f t="shared" si="1"/>
        <v/>
      </c>
      <c r="F384" s="1"/>
      <c r="G384" s="17"/>
      <c r="I384" s="1" t="str">
        <f>'Исходник'!T10</f>
        <v/>
      </c>
      <c r="J384" s="1" t="str">
        <f t="array" ref="J384">IFERROR(INDEX('Исходник'!$1:$626,MATCH($I384,'Исходник'!$T:$T,0),MATCH(J$1,'Исходник'!$1:$1,0)))</f>
        <v/>
      </c>
      <c r="K384" s="7" t="str">
        <f t="shared" si="3"/>
        <v/>
      </c>
      <c r="L384" s="1" t="str">
        <f>IF(I384&gt;0,IF(TODAY()-K384&lt;'Анализ'!$D$4+1,1,0),"")</f>
        <v/>
      </c>
    </row>
    <row r="385" ht="15.75" customHeight="1">
      <c r="B385" s="1" t="str">
        <f t="shared" si="1"/>
        <v/>
      </c>
      <c r="F385" s="1"/>
      <c r="G385" s="17"/>
      <c r="I385" s="1" t="str">
        <f>'Исходник'!T11</f>
        <v/>
      </c>
      <c r="J385" s="1" t="str">
        <f t="array" ref="J385">IFERROR(INDEX('Исходник'!$1:$626,MATCH($I385,'Исходник'!$T:$T,0),MATCH(J$1,'Исходник'!$1:$1,0)))</f>
        <v/>
      </c>
      <c r="K385" s="7" t="str">
        <f t="shared" si="3"/>
        <v/>
      </c>
      <c r="L385" s="1" t="str">
        <f>IF(I385&gt;0,IF(TODAY()-K385&lt;'Анализ'!$D$4+1,1,0),"")</f>
        <v/>
      </c>
    </row>
    <row r="386" ht="15.75" customHeight="1">
      <c r="B386" s="1" t="str">
        <f t="shared" si="1"/>
        <v/>
      </c>
      <c r="F386" s="1"/>
      <c r="G386" s="17"/>
      <c r="I386" s="1" t="str">
        <f>'Исходник'!T12</f>
        <v/>
      </c>
      <c r="J386" s="1" t="str">
        <f t="array" ref="J386">IFERROR(INDEX('Исходник'!$1:$626,MATCH($I386,'Исходник'!$T:$T,0),MATCH(J$1,'Исходник'!$1:$1,0)))</f>
        <v/>
      </c>
      <c r="K386" s="7" t="str">
        <f t="shared" si="3"/>
        <v/>
      </c>
      <c r="L386" s="1" t="str">
        <f>IF(I386&gt;0,IF(TODAY()-K386&lt;'Анализ'!$D$4+1,1,0),"")</f>
        <v/>
      </c>
    </row>
    <row r="387" ht="15.75" customHeight="1">
      <c r="B387" s="1" t="str">
        <f t="shared" si="1"/>
        <v/>
      </c>
      <c r="F387" s="1"/>
      <c r="G387" s="17"/>
      <c r="I387" s="1" t="str">
        <f>'Исходник'!T13</f>
        <v/>
      </c>
      <c r="J387" s="1" t="str">
        <f t="array" ref="J387">IFERROR(INDEX('Исходник'!$1:$626,MATCH($I387,'Исходник'!$T:$T,0),MATCH(J$1,'Исходник'!$1:$1,0)))</f>
        <v/>
      </c>
      <c r="K387" s="7" t="str">
        <f t="shared" si="3"/>
        <v/>
      </c>
      <c r="L387" s="1" t="str">
        <f>IF(I387&gt;0,IF(TODAY()-K387&lt;'Анализ'!$D$4+1,1,0),"")</f>
        <v/>
      </c>
    </row>
    <row r="388" ht="15.75" customHeight="1">
      <c r="B388" s="1" t="str">
        <f t="shared" si="1"/>
        <v/>
      </c>
      <c r="F388" s="1"/>
      <c r="G388" s="17"/>
      <c r="I388" s="1" t="str">
        <f>'Исходник'!T14</f>
        <v/>
      </c>
      <c r="J388" s="1" t="str">
        <f t="array" ref="J388">IFERROR(INDEX('Исходник'!$1:$626,MATCH($I388,'Исходник'!$T:$T,0),MATCH(J$1,'Исходник'!$1:$1,0)))</f>
        <v/>
      </c>
      <c r="K388" s="7" t="str">
        <f t="shared" si="3"/>
        <v/>
      </c>
      <c r="L388" s="1" t="str">
        <f>IF(I388&gt;0,IF(TODAY()-K388&lt;'Анализ'!$D$4+1,1,0),"")</f>
        <v/>
      </c>
    </row>
    <row r="389" ht="15.75" customHeight="1">
      <c r="B389" s="1" t="str">
        <f t="shared" si="1"/>
        <v/>
      </c>
      <c r="F389" s="1"/>
      <c r="G389" s="17"/>
      <c r="I389" s="1" t="str">
        <f>'Исходник'!T15</f>
        <v/>
      </c>
      <c r="J389" s="1" t="str">
        <f t="array" ref="J389">IFERROR(INDEX('Исходник'!$1:$626,MATCH($I389,'Исходник'!$T:$T,0),MATCH(J$1,'Исходник'!$1:$1,0)))</f>
        <v/>
      </c>
      <c r="K389" s="7" t="str">
        <f t="shared" si="3"/>
        <v/>
      </c>
      <c r="L389" s="1" t="str">
        <f>IF(I389&gt;0,IF(TODAY()-K389&lt;'Анализ'!$D$4+1,1,0),"")</f>
        <v/>
      </c>
    </row>
    <row r="390" ht="15.75" customHeight="1">
      <c r="B390" s="1" t="str">
        <f t="shared" si="1"/>
        <v/>
      </c>
      <c r="F390" s="1"/>
      <c r="G390" s="17"/>
      <c r="I390" s="1" t="str">
        <f>'Исходник'!T16</f>
        <v/>
      </c>
      <c r="J390" s="1" t="str">
        <f t="array" ref="J390">IFERROR(INDEX('Исходник'!$1:$626,MATCH($I390,'Исходник'!$T:$T,0),MATCH(J$1,'Исходник'!$1:$1,0)))</f>
        <v/>
      </c>
      <c r="K390" s="7" t="str">
        <f t="shared" si="3"/>
        <v/>
      </c>
      <c r="L390" s="1" t="str">
        <f>IF(I390&gt;0,IF(TODAY()-K390&lt;'Анализ'!$D$4+1,1,0),"")</f>
        <v/>
      </c>
    </row>
    <row r="391" ht="15.75" customHeight="1">
      <c r="B391" s="1" t="str">
        <f t="shared" si="1"/>
        <v/>
      </c>
      <c r="F391" s="1"/>
      <c r="G391" s="17"/>
      <c r="I391" s="1" t="str">
        <f>'Исходник'!T17</f>
        <v/>
      </c>
      <c r="J391" s="1" t="str">
        <f t="array" ref="J391">IFERROR(INDEX('Исходник'!$1:$626,MATCH($I391,'Исходник'!$T:$T,0),MATCH(J$1,'Исходник'!$1:$1,0)))</f>
        <v/>
      </c>
      <c r="K391" s="7" t="str">
        <f t="shared" si="3"/>
        <v/>
      </c>
      <c r="L391" s="1" t="str">
        <f>IF(I391&gt;0,IF(TODAY()-K391&lt;'Анализ'!$D$4+1,1,0),"")</f>
        <v/>
      </c>
    </row>
    <row r="392" ht="15.75" customHeight="1">
      <c r="B392" s="1" t="str">
        <f t="shared" si="1"/>
        <v/>
      </c>
      <c r="F392" s="1"/>
      <c r="G392" s="17"/>
      <c r="I392" s="1" t="str">
        <f>'Исходник'!T18</f>
        <v/>
      </c>
      <c r="J392" s="1" t="str">
        <f t="array" ref="J392">IFERROR(INDEX('Исходник'!$1:$626,MATCH($I392,'Исходник'!$T:$T,0),MATCH(J$1,'Исходник'!$1:$1,0)))</f>
        <v/>
      </c>
      <c r="K392" s="7" t="str">
        <f t="shared" si="3"/>
        <v/>
      </c>
      <c r="L392" s="1" t="str">
        <f>IF(I392&gt;0,IF(TODAY()-K392&lt;'Анализ'!$D$4+1,1,0),"")</f>
        <v/>
      </c>
    </row>
    <row r="393" ht="15.75" customHeight="1">
      <c r="B393" s="1" t="str">
        <f t="shared" si="1"/>
        <v/>
      </c>
      <c r="F393" s="1"/>
      <c r="G393" s="17"/>
      <c r="I393" s="1" t="str">
        <f>'Исходник'!T19</f>
        <v/>
      </c>
      <c r="J393" s="1" t="str">
        <f t="array" ref="J393">IFERROR(INDEX('Исходник'!$1:$626,MATCH($I393,'Исходник'!$T:$T,0),MATCH(J$1,'Исходник'!$1:$1,0)))</f>
        <v/>
      </c>
      <c r="K393" s="7" t="str">
        <f t="shared" si="3"/>
        <v/>
      </c>
      <c r="L393" s="1" t="str">
        <f>IF(I393&gt;0,IF(TODAY()-K393&lt;'Анализ'!$D$4+1,1,0),"")</f>
        <v/>
      </c>
    </row>
    <row r="394" ht="15.75" customHeight="1">
      <c r="B394" s="1" t="str">
        <f t="shared" si="1"/>
        <v/>
      </c>
      <c r="F394" s="1"/>
      <c r="G394" s="17"/>
      <c r="I394" s="1" t="str">
        <f>'Исходник'!T20</f>
        <v/>
      </c>
      <c r="J394" s="1" t="str">
        <f t="array" ref="J394">IFERROR(INDEX('Исходник'!$1:$626,MATCH($I394,'Исходник'!$T:$T,0),MATCH(J$1,'Исходник'!$1:$1,0)))</f>
        <v/>
      </c>
      <c r="K394" s="7" t="str">
        <f t="shared" si="3"/>
        <v/>
      </c>
      <c r="L394" s="1" t="str">
        <f>IF(I394&gt;0,IF(TODAY()-K394&lt;'Анализ'!$D$4+1,1,0),"")</f>
        <v/>
      </c>
    </row>
    <row r="395" ht="15.75" customHeight="1">
      <c r="B395" s="1" t="str">
        <f t="shared" si="1"/>
        <v/>
      </c>
      <c r="F395" s="1"/>
      <c r="G395" s="17"/>
      <c r="I395" s="1" t="str">
        <f>'Исходник'!T21</f>
        <v/>
      </c>
      <c r="J395" s="1" t="str">
        <f t="array" ref="J395">IFERROR(INDEX('Исходник'!$1:$626,MATCH($I395,'Исходник'!$T:$T,0),MATCH(J$1,'Исходник'!$1:$1,0)))</f>
        <v/>
      </c>
      <c r="K395" s="7" t="str">
        <f t="shared" si="3"/>
        <v/>
      </c>
      <c r="L395" s="1" t="str">
        <f>IF(I395&gt;0,IF(TODAY()-K395&lt;'Анализ'!$D$4+1,1,0),"")</f>
        <v/>
      </c>
    </row>
    <row r="396" ht="15.75" customHeight="1">
      <c r="B396" s="1" t="str">
        <f t="shared" si="1"/>
        <v/>
      </c>
      <c r="F396" s="1"/>
      <c r="G396" s="17"/>
      <c r="I396" s="1" t="str">
        <f>'Исходник'!T22</f>
        <v/>
      </c>
      <c r="J396" s="1" t="str">
        <f t="array" ref="J396">IFERROR(INDEX('Исходник'!$1:$626,MATCH($I396,'Исходник'!$T:$T,0),MATCH(J$1,'Исходник'!$1:$1,0)))</f>
        <v/>
      </c>
      <c r="K396" s="7" t="str">
        <f t="shared" si="3"/>
        <v/>
      </c>
      <c r="L396" s="1" t="str">
        <f>IF(I396&gt;0,IF(TODAY()-K396&lt;'Анализ'!$D$4+1,1,0),"")</f>
        <v/>
      </c>
    </row>
    <row r="397" ht="15.75" customHeight="1">
      <c r="B397" s="1" t="str">
        <f t="shared" si="1"/>
        <v/>
      </c>
      <c r="F397" s="1"/>
      <c r="G397" s="17"/>
      <c r="I397" s="1" t="str">
        <f>'Исходник'!T23</f>
        <v/>
      </c>
      <c r="J397" s="1" t="str">
        <f t="array" ref="J397">IFERROR(INDEX('Исходник'!$1:$626,MATCH($I397,'Исходник'!$T:$T,0),MATCH(J$1,'Исходник'!$1:$1,0)))</f>
        <v/>
      </c>
      <c r="K397" s="7" t="str">
        <f t="shared" si="3"/>
        <v/>
      </c>
      <c r="L397" s="1" t="str">
        <f>IF(I397&gt;0,IF(TODAY()-K397&lt;'Анализ'!$D$4+1,1,0),"")</f>
        <v/>
      </c>
    </row>
    <row r="398" ht="15.75" customHeight="1">
      <c r="B398" s="1" t="str">
        <f t="shared" si="1"/>
        <v/>
      </c>
      <c r="F398" s="1"/>
      <c r="G398" s="17"/>
      <c r="I398" s="1" t="str">
        <f>'Исходник'!T24</f>
        <v/>
      </c>
      <c r="J398" s="1" t="str">
        <f t="array" ref="J398">IFERROR(INDEX('Исходник'!$1:$626,MATCH($I398,'Исходник'!$T:$T,0),MATCH(J$1,'Исходник'!$1:$1,0)))</f>
        <v/>
      </c>
      <c r="K398" s="7" t="str">
        <f t="shared" si="3"/>
        <v/>
      </c>
      <c r="L398" s="1" t="str">
        <f>IF(I398&gt;0,IF(TODAY()-K398&lt;'Анализ'!$D$4+1,1,0),"")</f>
        <v/>
      </c>
    </row>
    <row r="399" ht="15.75" customHeight="1">
      <c r="B399" s="1" t="str">
        <f t="shared" si="1"/>
        <v/>
      </c>
      <c r="F399" s="1"/>
      <c r="G399" s="17"/>
      <c r="I399" s="1" t="str">
        <f>'Исходник'!T25</f>
        <v/>
      </c>
      <c r="J399" s="1" t="str">
        <f t="array" ref="J399">IFERROR(INDEX('Исходник'!$1:$626,MATCH($I399,'Исходник'!$T:$T,0),MATCH(J$1,'Исходник'!$1:$1,0)))</f>
        <v/>
      </c>
      <c r="K399" s="7" t="str">
        <f t="shared" si="3"/>
        <v/>
      </c>
      <c r="L399" s="1" t="str">
        <f>IF(I399&gt;0,IF(TODAY()-K399&lt;'Анализ'!$D$4+1,1,0),"")</f>
        <v/>
      </c>
    </row>
    <row r="400" ht="15.75" customHeight="1">
      <c r="B400" s="1" t="str">
        <f t="shared" si="1"/>
        <v/>
      </c>
      <c r="F400" s="1"/>
      <c r="G400" s="17"/>
      <c r="I400" s="1" t="str">
        <f>'Исходник'!T26</f>
        <v/>
      </c>
      <c r="J400" s="1" t="str">
        <f t="array" ref="J400">IFERROR(INDEX('Исходник'!$1:$626,MATCH($I400,'Исходник'!$T:$T,0),MATCH(J$1,'Исходник'!$1:$1,0)))</f>
        <v/>
      </c>
      <c r="K400" s="7" t="str">
        <f t="shared" si="3"/>
        <v/>
      </c>
      <c r="L400" s="1" t="str">
        <f>IF(I400&gt;0,IF(TODAY()-K400&lt;'Анализ'!$D$4+1,1,0),"")</f>
        <v/>
      </c>
    </row>
    <row r="401" ht="15.75" customHeight="1">
      <c r="B401" s="1" t="str">
        <f t="shared" si="1"/>
        <v/>
      </c>
      <c r="F401" s="1"/>
      <c r="G401" s="17"/>
      <c r="I401" s="1" t="str">
        <f>'Исходник'!T27</f>
        <v/>
      </c>
      <c r="J401" s="1" t="str">
        <f t="array" ref="J401">IFERROR(INDEX('Исходник'!$1:$626,MATCH($I401,'Исходник'!$T:$T,0),MATCH(J$1,'Исходник'!$1:$1,0)))</f>
        <v/>
      </c>
      <c r="K401" s="7" t="str">
        <f t="shared" si="3"/>
        <v/>
      </c>
      <c r="L401" s="1" t="str">
        <f>IF(I401&gt;0,IF(TODAY()-K401&lt;'Анализ'!$D$4+1,1,0),"")</f>
        <v/>
      </c>
    </row>
    <row r="402" ht="15.75" customHeight="1">
      <c r="B402" s="1" t="str">
        <f t="shared" si="1"/>
        <v/>
      </c>
      <c r="F402" s="1"/>
      <c r="G402" s="17"/>
      <c r="I402" s="1" t="str">
        <f>'Исходник'!T28</f>
        <v/>
      </c>
      <c r="J402" s="1" t="str">
        <f t="array" ref="J402">IFERROR(INDEX('Исходник'!$1:$626,MATCH($I402,'Исходник'!$T:$T,0),MATCH(J$1,'Исходник'!$1:$1,0)))</f>
        <v/>
      </c>
      <c r="K402" s="7" t="str">
        <f t="shared" si="3"/>
        <v/>
      </c>
      <c r="L402" s="1" t="str">
        <f>IF(I402&gt;0,IF(TODAY()-K402&lt;'Анализ'!$D$4+1,1,0),"")</f>
        <v/>
      </c>
    </row>
    <row r="403" ht="15.75" customHeight="1">
      <c r="B403" s="1" t="str">
        <f t="shared" si="1"/>
        <v/>
      </c>
      <c r="F403" s="1"/>
      <c r="G403" s="17"/>
      <c r="I403" s="1" t="str">
        <f>'Исходник'!T29</f>
        <v/>
      </c>
      <c r="J403" s="1" t="str">
        <f t="array" ref="J403">IFERROR(INDEX('Исходник'!$1:$626,MATCH($I403,'Исходник'!$T:$T,0),MATCH(J$1,'Исходник'!$1:$1,0)))</f>
        <v/>
      </c>
      <c r="K403" s="7" t="str">
        <f t="shared" si="3"/>
        <v/>
      </c>
      <c r="L403" s="1" t="str">
        <f>IF(I403&gt;0,IF(TODAY()-K403&lt;'Анализ'!$D$4+1,1,0),"")</f>
        <v/>
      </c>
    </row>
    <row r="404" ht="15.75" customHeight="1">
      <c r="B404" s="1" t="str">
        <f t="shared" si="1"/>
        <v/>
      </c>
      <c r="F404" s="1"/>
      <c r="G404" s="17"/>
      <c r="I404" s="1" t="str">
        <f>'Исходник'!T30</f>
        <v/>
      </c>
      <c r="J404" s="1" t="str">
        <f t="array" ref="J404">IFERROR(INDEX('Исходник'!$1:$626,MATCH($I404,'Исходник'!$T:$T,0),MATCH(J$1,'Исходник'!$1:$1,0)))</f>
        <v/>
      </c>
      <c r="K404" s="7" t="str">
        <f t="shared" si="3"/>
        <v/>
      </c>
      <c r="L404" s="1" t="str">
        <f>IF(I404&gt;0,IF(TODAY()-K404&lt;'Анализ'!$D$4+1,1,0),"")</f>
        <v/>
      </c>
    </row>
    <row r="405" ht="15.75" customHeight="1">
      <c r="B405" s="1" t="str">
        <f t="shared" si="1"/>
        <v/>
      </c>
      <c r="F405" s="1"/>
      <c r="G405" s="17"/>
      <c r="I405" s="1" t="str">
        <f>'Исходник'!T31</f>
        <v/>
      </c>
      <c r="J405" s="1" t="str">
        <f t="array" ref="J405">IFERROR(INDEX('Исходник'!$1:$626,MATCH($I405,'Исходник'!$T:$T,0),MATCH(J$1,'Исходник'!$1:$1,0)))</f>
        <v/>
      </c>
      <c r="K405" s="7" t="str">
        <f t="shared" si="3"/>
        <v/>
      </c>
      <c r="L405" s="1" t="str">
        <f>IF(I405&gt;0,IF(TODAY()-K405&lt;'Анализ'!$D$4+1,1,0),"")</f>
        <v/>
      </c>
    </row>
    <row r="406" ht="15.75" customHeight="1">
      <c r="B406" s="1" t="str">
        <f t="shared" si="1"/>
        <v/>
      </c>
      <c r="F406" s="1"/>
      <c r="G406" s="17"/>
      <c r="I406" s="1" t="str">
        <f>'Исходник'!T32</f>
        <v/>
      </c>
      <c r="J406" s="1" t="str">
        <f t="array" ref="J406">IFERROR(INDEX('Исходник'!$1:$626,MATCH($I406,'Исходник'!$T:$T,0),MATCH(J$1,'Исходник'!$1:$1,0)))</f>
        <v/>
      </c>
      <c r="K406" s="7" t="str">
        <f t="shared" si="3"/>
        <v/>
      </c>
      <c r="L406" s="1" t="str">
        <f>IF(I406&gt;0,IF(TODAY()-K406&lt;'Анализ'!$D$4+1,1,0),"")</f>
        <v/>
      </c>
    </row>
    <row r="407" ht="15.75" customHeight="1">
      <c r="B407" s="1" t="str">
        <f t="shared" si="1"/>
        <v/>
      </c>
      <c r="F407" s="1"/>
      <c r="G407" s="17"/>
      <c r="I407" s="1" t="str">
        <f>'Исходник'!T33</f>
        <v/>
      </c>
      <c r="J407" s="1" t="str">
        <f t="array" ref="J407">IFERROR(INDEX('Исходник'!$1:$626,MATCH($I407,'Исходник'!$T:$T,0),MATCH(J$1,'Исходник'!$1:$1,0)))</f>
        <v/>
      </c>
      <c r="K407" s="7" t="str">
        <f t="shared" si="3"/>
        <v/>
      </c>
      <c r="L407" s="1" t="str">
        <f>IF(I407&gt;0,IF(TODAY()-K407&lt;'Анализ'!$D$4+1,1,0),"")</f>
        <v/>
      </c>
    </row>
    <row r="408" ht="15.75" customHeight="1">
      <c r="B408" s="1" t="str">
        <f t="shared" si="1"/>
        <v/>
      </c>
      <c r="F408" s="1"/>
      <c r="G408" s="17"/>
      <c r="I408" s="1" t="str">
        <f>'Исходник'!T34</f>
        <v/>
      </c>
      <c r="J408" s="1" t="str">
        <f t="array" ref="J408">IFERROR(INDEX('Исходник'!$1:$626,MATCH($I408,'Исходник'!$T:$T,0),MATCH(J$1,'Исходник'!$1:$1,0)))</f>
        <v/>
      </c>
      <c r="K408" s="7" t="str">
        <f t="shared" si="3"/>
        <v/>
      </c>
      <c r="L408" s="1" t="str">
        <f>IF(I408&gt;0,IF(TODAY()-K408&lt;'Анализ'!$D$4+1,1,0),"")</f>
        <v/>
      </c>
    </row>
    <row r="409" ht="15.75" customHeight="1">
      <c r="B409" s="1" t="str">
        <f t="shared" si="1"/>
        <v/>
      </c>
      <c r="F409" s="1"/>
      <c r="G409" s="17"/>
      <c r="I409" s="1" t="str">
        <f>'Исходник'!T35</f>
        <v/>
      </c>
      <c r="J409" s="1" t="str">
        <f t="array" ref="J409">IFERROR(INDEX('Исходник'!$1:$626,MATCH($I409,'Исходник'!$T:$T,0),MATCH(J$1,'Исходник'!$1:$1,0)))</f>
        <v/>
      </c>
      <c r="K409" s="7" t="str">
        <f t="shared" si="3"/>
        <v/>
      </c>
      <c r="L409" s="1" t="str">
        <f>IF(I409&gt;0,IF(TODAY()-K409&lt;'Анализ'!$D$4+1,1,0),"")</f>
        <v/>
      </c>
    </row>
    <row r="410" ht="15.75" customHeight="1">
      <c r="B410" s="1" t="str">
        <f t="shared" si="1"/>
        <v/>
      </c>
      <c r="F410" s="1"/>
      <c r="G410" s="17"/>
      <c r="I410" s="1" t="str">
        <f>'Исходник'!T36</f>
        <v/>
      </c>
      <c r="J410" s="1" t="str">
        <f t="array" ref="J410">IFERROR(INDEX('Исходник'!$1:$626,MATCH($I410,'Исходник'!$T:$T,0),MATCH(J$1,'Исходник'!$1:$1,0)))</f>
        <v/>
      </c>
      <c r="K410" s="7" t="str">
        <f t="shared" si="3"/>
        <v/>
      </c>
      <c r="L410" s="1" t="str">
        <f>IF(I410&gt;0,IF(TODAY()-K410&lt;'Анализ'!$D$4+1,1,0),"")</f>
        <v/>
      </c>
    </row>
    <row r="411" ht="15.75" customHeight="1">
      <c r="B411" s="1" t="str">
        <f t="shared" si="1"/>
        <v/>
      </c>
      <c r="F411" s="1"/>
      <c r="G411" s="17"/>
      <c r="I411" s="1" t="str">
        <f>'Исходник'!T37</f>
        <v/>
      </c>
      <c r="J411" s="1" t="str">
        <f t="array" ref="J411">IFERROR(INDEX('Исходник'!$1:$626,MATCH($I411,'Исходник'!$T:$T,0),MATCH(J$1,'Исходник'!$1:$1,0)))</f>
        <v/>
      </c>
      <c r="K411" s="7" t="str">
        <f t="shared" si="3"/>
        <v/>
      </c>
      <c r="L411" s="1" t="str">
        <f>IF(I411&gt;0,IF(TODAY()-K411&lt;'Анализ'!$D$4+1,1,0),"")</f>
        <v/>
      </c>
    </row>
    <row r="412" ht="15.75" customHeight="1">
      <c r="B412" s="1" t="str">
        <f t="shared" si="1"/>
        <v/>
      </c>
      <c r="F412" s="1"/>
      <c r="G412" s="17"/>
      <c r="I412" s="1" t="str">
        <f>'Исходник'!T38</f>
        <v/>
      </c>
      <c r="J412" s="1" t="str">
        <f t="array" ref="J412">IFERROR(INDEX('Исходник'!$1:$626,MATCH($I412,'Исходник'!$T:$T,0),MATCH(J$1,'Исходник'!$1:$1,0)))</f>
        <v/>
      </c>
      <c r="K412" s="7" t="str">
        <f t="shared" si="3"/>
        <v/>
      </c>
      <c r="L412" s="1" t="str">
        <f>IF(I412&gt;0,IF(TODAY()-K412&lt;'Анализ'!$D$4+1,1,0),"")</f>
        <v/>
      </c>
    </row>
    <row r="413" ht="15.75" customHeight="1">
      <c r="B413" s="1" t="str">
        <f t="shared" si="1"/>
        <v/>
      </c>
      <c r="F413" s="1"/>
      <c r="G413" s="17"/>
      <c r="I413" s="1" t="str">
        <f>'Исходник'!T39</f>
        <v/>
      </c>
      <c r="J413" s="1" t="str">
        <f t="array" ref="J413">IFERROR(INDEX('Исходник'!$1:$626,MATCH($I413,'Исходник'!$T:$T,0),MATCH(J$1,'Исходник'!$1:$1,0)))</f>
        <v/>
      </c>
      <c r="K413" s="7" t="str">
        <f t="shared" si="3"/>
        <v/>
      </c>
      <c r="L413" s="1" t="str">
        <f>IF(I413&gt;0,IF(TODAY()-K413&lt;'Анализ'!$D$4+1,1,0),"")</f>
        <v/>
      </c>
    </row>
    <row r="414" ht="15.75" customHeight="1">
      <c r="B414" s="1" t="str">
        <f t="shared" si="1"/>
        <v/>
      </c>
      <c r="F414" s="1"/>
      <c r="G414" s="17"/>
      <c r="I414" s="1" t="str">
        <f>'Исходник'!T40</f>
        <v/>
      </c>
      <c r="J414" s="1" t="str">
        <f t="array" ref="J414">IFERROR(INDEX('Исходник'!$1:$626,MATCH($I414,'Исходник'!$T:$T,0),MATCH(J$1,'Исходник'!$1:$1,0)))</f>
        <v/>
      </c>
      <c r="K414" s="7" t="str">
        <f t="shared" si="3"/>
        <v/>
      </c>
      <c r="L414" s="1" t="str">
        <f>IF(I414&gt;0,IF(TODAY()-K414&lt;'Анализ'!$D$4+1,1,0),"")</f>
        <v/>
      </c>
    </row>
    <row r="415" ht="15.75" customHeight="1">
      <c r="B415" s="1" t="str">
        <f t="shared" si="1"/>
        <v/>
      </c>
      <c r="F415" s="1"/>
      <c r="G415" s="17"/>
      <c r="I415" s="1" t="str">
        <f>'Исходник'!T41</f>
        <v/>
      </c>
      <c r="J415" s="1" t="str">
        <f t="array" ref="J415">IFERROR(INDEX('Исходник'!$1:$626,MATCH($I415,'Исходник'!$T:$T,0),MATCH(J$1,'Исходник'!$1:$1,0)))</f>
        <v/>
      </c>
      <c r="K415" s="7" t="str">
        <f t="shared" si="3"/>
        <v/>
      </c>
      <c r="L415" s="1" t="str">
        <f>IF(I415&gt;0,IF(TODAY()-K415&lt;'Анализ'!$D$4+1,1,0),"")</f>
        <v/>
      </c>
    </row>
    <row r="416" ht="15.75" customHeight="1">
      <c r="B416" s="1" t="str">
        <f t="shared" si="1"/>
        <v/>
      </c>
      <c r="F416" s="1"/>
      <c r="G416" s="17"/>
      <c r="I416" s="1" t="str">
        <f>'Исходник'!T42</f>
        <v/>
      </c>
      <c r="J416" s="1" t="str">
        <f t="array" ref="J416">IFERROR(INDEX('Исходник'!$1:$626,MATCH($I416,'Исходник'!$T:$T,0),MATCH(J$1,'Исходник'!$1:$1,0)))</f>
        <v/>
      </c>
      <c r="K416" s="7" t="str">
        <f t="shared" si="3"/>
        <v/>
      </c>
      <c r="L416" s="1" t="str">
        <f>IF(I416&gt;0,IF(TODAY()-K416&lt;'Анализ'!$D$4+1,1,0),"")</f>
        <v/>
      </c>
    </row>
    <row r="417" ht="15.75" customHeight="1">
      <c r="B417" s="1" t="str">
        <f t="shared" si="1"/>
        <v/>
      </c>
      <c r="F417" s="1"/>
      <c r="G417" s="17"/>
      <c r="I417" s="1" t="str">
        <f>'Исходник'!T43</f>
        <v/>
      </c>
      <c r="J417" s="1" t="str">
        <f t="array" ref="J417">IFERROR(INDEX('Исходник'!$1:$626,MATCH($I417,'Исходник'!$T:$T,0),MATCH(J$1,'Исходник'!$1:$1,0)))</f>
        <v/>
      </c>
      <c r="K417" s="7" t="str">
        <f t="shared" si="3"/>
        <v/>
      </c>
      <c r="L417" s="1" t="str">
        <f>IF(I417&gt;0,IF(TODAY()-K417&lt;'Анализ'!$D$4+1,1,0),"")</f>
        <v/>
      </c>
    </row>
    <row r="418" ht="15.75" customHeight="1">
      <c r="B418" s="1" t="str">
        <f t="shared" si="1"/>
        <v/>
      </c>
      <c r="F418" s="1"/>
      <c r="G418" s="17"/>
      <c r="I418" s="1" t="str">
        <f>'Исходник'!T44</f>
        <v/>
      </c>
      <c r="J418" s="1" t="str">
        <f t="array" ref="J418">IFERROR(INDEX('Исходник'!$1:$626,MATCH($I418,'Исходник'!$T:$T,0),MATCH(J$1,'Исходник'!$1:$1,0)))</f>
        <v/>
      </c>
      <c r="K418" s="7" t="str">
        <f t="shared" si="3"/>
        <v/>
      </c>
      <c r="L418" s="1" t="str">
        <f>IF(I418&gt;0,IF(TODAY()-K418&lt;'Анализ'!$D$4+1,1,0),"")</f>
        <v/>
      </c>
    </row>
    <row r="419" ht="15.75" customHeight="1">
      <c r="B419" s="1" t="str">
        <f t="shared" si="1"/>
        <v/>
      </c>
      <c r="F419" s="1"/>
      <c r="G419" s="17"/>
      <c r="I419" s="1" t="str">
        <f>'Исходник'!T45</f>
        <v/>
      </c>
      <c r="J419" s="1" t="str">
        <f t="array" ref="J419">IFERROR(INDEX('Исходник'!$1:$626,MATCH($I419,'Исходник'!$T:$T,0),MATCH(J$1,'Исходник'!$1:$1,0)))</f>
        <v/>
      </c>
      <c r="K419" s="7" t="str">
        <f t="shared" si="3"/>
        <v/>
      </c>
      <c r="L419" s="1" t="str">
        <f>IF(I419&gt;0,IF(TODAY()-K419&lt;'Анализ'!$D$4+1,1,0),"")</f>
        <v/>
      </c>
    </row>
    <row r="420" ht="15.75" customHeight="1">
      <c r="B420" s="1" t="str">
        <f t="shared" si="1"/>
        <v/>
      </c>
      <c r="F420" s="1"/>
      <c r="G420" s="17"/>
      <c r="I420" s="1" t="str">
        <f>'Исходник'!T46</f>
        <v/>
      </c>
      <c r="J420" s="1" t="str">
        <f t="array" ref="J420">IFERROR(INDEX('Исходник'!$1:$626,MATCH($I420,'Исходник'!$T:$T,0),MATCH(J$1,'Исходник'!$1:$1,0)))</f>
        <v/>
      </c>
      <c r="K420" s="7" t="str">
        <f t="shared" si="3"/>
        <v/>
      </c>
      <c r="L420" s="1" t="str">
        <f>IF(I420&gt;0,IF(TODAY()-K420&lt;'Анализ'!$D$4+1,1,0),"")</f>
        <v/>
      </c>
    </row>
    <row r="421" ht="15.75" customHeight="1">
      <c r="B421" s="1" t="str">
        <f t="shared" si="1"/>
        <v/>
      </c>
      <c r="F421" s="1"/>
      <c r="G421" s="17"/>
      <c r="I421" s="1" t="str">
        <f>'Исходник'!T47</f>
        <v/>
      </c>
      <c r="J421" s="1" t="str">
        <f t="array" ref="J421">IFERROR(INDEX('Исходник'!$1:$626,MATCH($I421,'Исходник'!$T:$T,0),MATCH(J$1,'Исходник'!$1:$1,0)))</f>
        <v/>
      </c>
      <c r="K421" s="7" t="str">
        <f t="shared" si="3"/>
        <v/>
      </c>
      <c r="L421" s="1" t="str">
        <f>IF(I421&gt;0,IF(TODAY()-K421&lt;'Анализ'!$D$4+1,1,0),"")</f>
        <v/>
      </c>
    </row>
    <row r="422" ht="15.75" customHeight="1">
      <c r="B422" s="1" t="str">
        <f t="shared" si="1"/>
        <v/>
      </c>
      <c r="F422" s="1"/>
      <c r="G422" s="17"/>
      <c r="I422" s="1" t="str">
        <f>'Исходник'!T48</f>
        <v/>
      </c>
      <c r="J422" s="1" t="str">
        <f t="array" ref="J422">IFERROR(INDEX('Исходник'!$1:$626,MATCH($I422,'Исходник'!$T:$T,0),MATCH(J$1,'Исходник'!$1:$1,0)))</f>
        <v/>
      </c>
      <c r="K422" s="7" t="str">
        <f t="shared" si="3"/>
        <v/>
      </c>
      <c r="L422" s="1" t="str">
        <f>IF(I422&gt;0,IF(TODAY()-K422&lt;'Анализ'!$D$4+1,1,0),"")</f>
        <v/>
      </c>
    </row>
    <row r="423" ht="15.75" customHeight="1">
      <c r="B423" s="1" t="str">
        <f t="shared" si="1"/>
        <v/>
      </c>
      <c r="F423" s="1"/>
      <c r="G423" s="17"/>
      <c r="I423" s="1" t="str">
        <f>'Исходник'!T49</f>
        <v/>
      </c>
      <c r="J423" s="1" t="str">
        <f t="array" ref="J423">IFERROR(INDEX('Исходник'!$1:$626,MATCH($I423,'Исходник'!$T:$T,0),MATCH(J$1,'Исходник'!$1:$1,0)))</f>
        <v/>
      </c>
      <c r="K423" s="7" t="str">
        <f t="shared" si="3"/>
        <v/>
      </c>
      <c r="L423" s="1" t="str">
        <f>IF(I423&gt;0,IF(TODAY()-K423&lt;'Анализ'!$D$4+1,1,0),"")</f>
        <v/>
      </c>
    </row>
    <row r="424" ht="15.75" customHeight="1">
      <c r="B424" s="1" t="str">
        <f t="shared" si="1"/>
        <v/>
      </c>
      <c r="F424" s="1"/>
      <c r="G424" s="17"/>
      <c r="I424" s="1" t="str">
        <f>'Исходник'!T50</f>
        <v/>
      </c>
      <c r="J424" s="1" t="str">
        <f t="array" ref="J424">IFERROR(INDEX('Исходник'!$1:$626,MATCH($I424,'Исходник'!$T:$T,0),MATCH(J$1,'Исходник'!$1:$1,0)))</f>
        <v/>
      </c>
      <c r="K424" s="7" t="str">
        <f t="shared" si="3"/>
        <v/>
      </c>
      <c r="L424" s="1" t="str">
        <f>IF(I424&gt;0,IF(TODAY()-K424&lt;'Анализ'!$D$4+1,1,0),"")</f>
        <v/>
      </c>
    </row>
    <row r="425" ht="15.75" customHeight="1">
      <c r="B425" s="1" t="str">
        <f t="shared" si="1"/>
        <v/>
      </c>
      <c r="F425" s="1"/>
      <c r="G425" s="17"/>
      <c r="I425" s="1" t="str">
        <f>'Исходник'!T51</f>
        <v/>
      </c>
      <c r="J425" s="1" t="str">
        <f t="array" ref="J425">IFERROR(INDEX('Исходник'!$1:$626,MATCH($I425,'Исходник'!$T:$T,0),MATCH(J$1,'Исходник'!$1:$1,0)))</f>
        <v/>
      </c>
      <c r="K425" s="7" t="str">
        <f t="shared" si="3"/>
        <v/>
      </c>
      <c r="L425" s="1" t="str">
        <f>IF(I425&gt;0,IF(TODAY()-K425&lt;'Анализ'!$D$4+1,1,0),"")</f>
        <v/>
      </c>
    </row>
    <row r="426" ht="15.75" customHeight="1">
      <c r="B426" s="1" t="str">
        <f t="shared" si="1"/>
        <v/>
      </c>
      <c r="F426" s="1"/>
      <c r="G426" s="17"/>
      <c r="I426" s="1" t="str">
        <f>'Исходник'!T52</f>
        <v/>
      </c>
      <c r="J426" s="1" t="str">
        <f t="array" ref="J426">IFERROR(INDEX('Исходник'!$1:$626,MATCH($I426,'Исходник'!$T:$T,0),MATCH(J$1,'Исходник'!$1:$1,0)))</f>
        <v/>
      </c>
      <c r="K426" s="7" t="str">
        <f t="shared" si="3"/>
        <v/>
      </c>
      <c r="L426" s="1" t="str">
        <f>IF(I426&gt;0,IF(TODAY()-K426&lt;'Анализ'!$D$4+1,1,0),"")</f>
        <v/>
      </c>
    </row>
    <row r="427" ht="15.75" customHeight="1">
      <c r="B427" s="1" t="str">
        <f t="shared" si="1"/>
        <v/>
      </c>
      <c r="F427" s="1"/>
      <c r="G427" s="17"/>
      <c r="I427" s="1" t="str">
        <f>'Исходник'!T53</f>
        <v/>
      </c>
      <c r="J427" s="1" t="str">
        <f t="array" ref="J427">IFERROR(INDEX('Исходник'!$1:$626,MATCH($I427,'Исходник'!$T:$T,0),MATCH(J$1,'Исходник'!$1:$1,0)))</f>
        <v/>
      </c>
      <c r="K427" s="7" t="str">
        <f t="shared" si="3"/>
        <v/>
      </c>
      <c r="L427" s="1" t="str">
        <f>IF(I427&gt;0,IF(TODAY()-K427&lt;'Анализ'!$D$4+1,1,0),"")</f>
        <v/>
      </c>
    </row>
    <row r="428" ht="15.75" customHeight="1">
      <c r="B428" s="1" t="str">
        <f t="shared" si="1"/>
        <v/>
      </c>
      <c r="F428" s="1"/>
      <c r="G428" s="17"/>
      <c r="I428" s="1" t="str">
        <f>'Исходник'!T54</f>
        <v/>
      </c>
      <c r="J428" s="1" t="str">
        <f t="array" ref="J428">IFERROR(INDEX('Исходник'!$1:$626,MATCH($I428,'Исходник'!$T:$T,0),MATCH(J$1,'Исходник'!$1:$1,0)))</f>
        <v/>
      </c>
      <c r="K428" s="7" t="str">
        <f t="shared" si="3"/>
        <v/>
      </c>
      <c r="L428" s="1" t="str">
        <f>IF(I428&gt;0,IF(TODAY()-K428&lt;'Анализ'!$D$4+1,1,0),"")</f>
        <v/>
      </c>
    </row>
    <row r="429" ht="15.75" customHeight="1">
      <c r="B429" s="1" t="str">
        <f t="shared" si="1"/>
        <v/>
      </c>
      <c r="F429" s="1"/>
      <c r="G429" s="17"/>
      <c r="I429" s="1" t="str">
        <f>'Исходник'!T55</f>
        <v/>
      </c>
      <c r="J429" s="1" t="str">
        <f t="array" ref="J429">IFERROR(INDEX('Исходник'!$1:$626,MATCH($I429,'Исходник'!$T:$T,0),MATCH(J$1,'Исходник'!$1:$1,0)))</f>
        <v/>
      </c>
      <c r="K429" s="7" t="str">
        <f t="shared" si="3"/>
        <v/>
      </c>
      <c r="L429" s="1" t="str">
        <f>IF(I429&gt;0,IF(TODAY()-K429&lt;'Анализ'!$D$4+1,1,0),"")</f>
        <v/>
      </c>
    </row>
    <row r="430" ht="15.75" customHeight="1">
      <c r="B430" s="1" t="str">
        <f t="shared" si="1"/>
        <v/>
      </c>
      <c r="F430" s="1"/>
      <c r="G430" s="17"/>
      <c r="I430" s="1" t="str">
        <f>'Исходник'!T56</f>
        <v/>
      </c>
      <c r="J430" s="1" t="str">
        <f t="array" ref="J430">IFERROR(INDEX('Исходник'!$1:$626,MATCH($I430,'Исходник'!$T:$T,0),MATCH(J$1,'Исходник'!$1:$1,0)))</f>
        <v/>
      </c>
      <c r="K430" s="7" t="str">
        <f t="shared" si="3"/>
        <v/>
      </c>
      <c r="L430" s="1" t="str">
        <f>IF(I430&gt;0,IF(TODAY()-K430&lt;'Анализ'!$D$4+1,1,0),"")</f>
        <v/>
      </c>
    </row>
    <row r="431" ht="15.75" customHeight="1">
      <c r="B431" s="1" t="str">
        <f t="shared" si="1"/>
        <v/>
      </c>
      <c r="F431" s="1"/>
      <c r="G431" s="17"/>
      <c r="I431" s="1" t="str">
        <f>'Исходник'!T57</f>
        <v/>
      </c>
      <c r="J431" s="1" t="str">
        <f t="array" ref="J431">IFERROR(INDEX('Исходник'!$1:$626,MATCH($I431,'Исходник'!$T:$T,0),MATCH(J$1,'Исходник'!$1:$1,0)))</f>
        <v/>
      </c>
      <c r="K431" s="7" t="str">
        <f t="shared" si="3"/>
        <v/>
      </c>
      <c r="L431" s="1" t="str">
        <f>IF(I431&gt;0,IF(TODAY()-K431&lt;'Анализ'!$D$4+1,1,0),"")</f>
        <v/>
      </c>
    </row>
    <row r="432" ht="15.75" customHeight="1">
      <c r="B432" s="1" t="str">
        <f t="shared" si="1"/>
        <v/>
      </c>
      <c r="F432" s="1"/>
      <c r="G432" s="17"/>
      <c r="I432" s="1" t="str">
        <f>'Исходник'!T58</f>
        <v/>
      </c>
      <c r="J432" s="1" t="str">
        <f t="array" ref="J432">IFERROR(INDEX('Исходник'!$1:$626,MATCH($I432,'Исходник'!$T:$T,0),MATCH(J$1,'Исходник'!$1:$1,0)))</f>
        <v/>
      </c>
      <c r="K432" s="7" t="str">
        <f t="shared" si="3"/>
        <v/>
      </c>
      <c r="L432" s="1" t="str">
        <f>IF(I432&gt;0,IF(TODAY()-K432&lt;'Анализ'!$D$4+1,1,0),"")</f>
        <v/>
      </c>
    </row>
    <row r="433" ht="15.75" customHeight="1">
      <c r="B433" s="1" t="str">
        <f t="shared" si="1"/>
        <v/>
      </c>
      <c r="F433" s="1"/>
      <c r="G433" s="17"/>
      <c r="I433" s="1" t="str">
        <f>'Исходник'!T59</f>
        <v/>
      </c>
      <c r="J433" s="1" t="str">
        <f t="array" ref="J433">IFERROR(INDEX('Исходник'!$1:$626,MATCH($I433,'Исходник'!$T:$T,0),MATCH(J$1,'Исходник'!$1:$1,0)))</f>
        <v/>
      </c>
      <c r="K433" s="7" t="str">
        <f t="shared" si="3"/>
        <v/>
      </c>
      <c r="L433" s="1" t="str">
        <f>IF(I433&gt;0,IF(TODAY()-K433&lt;'Анализ'!$D$4+1,1,0),"")</f>
        <v/>
      </c>
    </row>
    <row r="434" ht="15.75" customHeight="1">
      <c r="B434" s="1" t="str">
        <f t="shared" si="1"/>
        <v/>
      </c>
      <c r="F434" s="1"/>
      <c r="G434" s="17"/>
      <c r="I434" s="1" t="str">
        <f>'Исходник'!T60</f>
        <v/>
      </c>
      <c r="J434" s="1" t="str">
        <f t="array" ref="J434">IFERROR(INDEX('Исходник'!$1:$626,MATCH($I434,'Исходник'!$T:$T,0),MATCH(J$1,'Исходник'!$1:$1,0)))</f>
        <v/>
      </c>
      <c r="K434" s="7" t="str">
        <f t="shared" si="3"/>
        <v/>
      </c>
      <c r="L434" s="1" t="str">
        <f>IF(I434&gt;0,IF(TODAY()-K434&lt;'Анализ'!$D$4+1,1,0),"")</f>
        <v/>
      </c>
    </row>
    <row r="435" ht="15.75" customHeight="1">
      <c r="B435" s="1" t="str">
        <f t="shared" si="1"/>
        <v/>
      </c>
      <c r="F435" s="1"/>
      <c r="G435" s="17"/>
      <c r="I435" s="1" t="str">
        <f>'Исходник'!T61</f>
        <v/>
      </c>
      <c r="J435" s="1" t="str">
        <f t="array" ref="J435">IFERROR(INDEX('Исходник'!$1:$626,MATCH($I435,'Исходник'!$T:$T,0),MATCH(J$1,'Исходник'!$1:$1,0)))</f>
        <v/>
      </c>
      <c r="K435" s="7" t="str">
        <f t="shared" si="3"/>
        <v/>
      </c>
      <c r="L435" s="1" t="str">
        <f>IF(I435&gt;0,IF(TODAY()-K435&lt;'Анализ'!$D$4+1,1,0),"")</f>
        <v/>
      </c>
    </row>
    <row r="436" ht="15.75" customHeight="1">
      <c r="B436" s="1" t="str">
        <f t="shared" si="1"/>
        <v/>
      </c>
      <c r="F436" s="1"/>
      <c r="G436" s="17"/>
      <c r="I436" s="1" t="str">
        <f>'Исходник'!T62</f>
        <v/>
      </c>
      <c r="J436" s="1" t="str">
        <f t="array" ref="J436">IFERROR(INDEX('Исходник'!$1:$626,MATCH($I436,'Исходник'!$T:$T,0),MATCH(J$1,'Исходник'!$1:$1,0)))</f>
        <v/>
      </c>
      <c r="K436" s="7" t="str">
        <f t="shared" si="3"/>
        <v/>
      </c>
      <c r="L436" s="1" t="str">
        <f>IF(I436&gt;0,IF(TODAY()-K436&lt;'Анализ'!$D$4+1,1,0),"")</f>
        <v/>
      </c>
    </row>
    <row r="437" ht="15.75" customHeight="1">
      <c r="B437" s="1" t="str">
        <f t="shared" si="1"/>
        <v/>
      </c>
      <c r="F437" s="1"/>
      <c r="G437" s="17"/>
      <c r="I437" s="1" t="str">
        <f>'Исходник'!T63</f>
        <v/>
      </c>
      <c r="J437" s="1" t="str">
        <f t="array" ref="J437">IFERROR(INDEX('Исходник'!$1:$626,MATCH($I437,'Исходник'!$T:$T,0),MATCH(J$1,'Исходник'!$1:$1,0)))</f>
        <v/>
      </c>
      <c r="K437" s="7" t="str">
        <f t="shared" si="3"/>
        <v/>
      </c>
      <c r="L437" s="1" t="str">
        <f>IF(I437&gt;0,IF(TODAY()-K437&lt;'Анализ'!$D$4+1,1,0),"")</f>
        <v/>
      </c>
    </row>
    <row r="438" ht="15.75" customHeight="1">
      <c r="B438" s="1" t="str">
        <f t="shared" si="1"/>
        <v/>
      </c>
      <c r="F438" s="1"/>
      <c r="G438" s="17"/>
      <c r="I438" s="1" t="str">
        <f>'Исходник'!T64</f>
        <v/>
      </c>
      <c r="J438" s="1" t="str">
        <f t="array" ref="J438">IFERROR(INDEX('Исходник'!$1:$626,MATCH($I438,'Исходник'!$T:$T,0),MATCH(J$1,'Исходник'!$1:$1,0)))</f>
        <v/>
      </c>
      <c r="K438" s="7" t="str">
        <f t="shared" si="3"/>
        <v/>
      </c>
      <c r="L438" s="1" t="str">
        <f>IF(I438&gt;0,IF(TODAY()-K438&lt;'Анализ'!$D$4+1,1,0),"")</f>
        <v/>
      </c>
    </row>
    <row r="439" ht="15.75" customHeight="1">
      <c r="B439" s="1" t="str">
        <f t="shared" si="1"/>
        <v/>
      </c>
      <c r="F439" s="1"/>
      <c r="G439" s="17"/>
      <c r="I439" s="1" t="str">
        <f>'Исходник'!T65</f>
        <v/>
      </c>
      <c r="J439" s="1" t="str">
        <f t="array" ref="J439">IFERROR(INDEX('Исходник'!$1:$626,MATCH($I439,'Исходник'!$T:$T,0),MATCH(J$1,'Исходник'!$1:$1,0)))</f>
        <v/>
      </c>
      <c r="K439" s="7" t="str">
        <f t="shared" si="3"/>
        <v/>
      </c>
      <c r="L439" s="1" t="str">
        <f>IF(I439&gt;0,IF(TODAY()-K439&lt;'Анализ'!$D$4+1,1,0),"")</f>
        <v/>
      </c>
    </row>
    <row r="440" ht="15.75" customHeight="1">
      <c r="B440" s="1" t="str">
        <f t="shared" si="1"/>
        <v/>
      </c>
      <c r="F440" s="1"/>
      <c r="G440" s="17"/>
      <c r="I440" s="1" t="str">
        <f>'Исходник'!T66</f>
        <v/>
      </c>
      <c r="J440" s="1" t="str">
        <f t="array" ref="J440">IFERROR(INDEX('Исходник'!$1:$626,MATCH($I440,'Исходник'!$T:$T,0),MATCH(J$1,'Исходник'!$1:$1,0)))</f>
        <v/>
      </c>
      <c r="K440" s="7" t="str">
        <f t="shared" si="3"/>
        <v/>
      </c>
      <c r="L440" s="1" t="str">
        <f>IF(I440&gt;0,IF(TODAY()-K440&lt;'Анализ'!$D$4+1,1,0),"")</f>
        <v/>
      </c>
    </row>
    <row r="441" ht="15.75" customHeight="1">
      <c r="B441" s="1" t="str">
        <f t="shared" si="1"/>
        <v/>
      </c>
      <c r="F441" s="1"/>
      <c r="G441" s="17"/>
      <c r="I441" s="1" t="str">
        <f>'Исходник'!T67</f>
        <v/>
      </c>
      <c r="J441" s="1" t="str">
        <f t="array" ref="J441">IFERROR(INDEX('Исходник'!$1:$626,MATCH($I441,'Исходник'!$T:$T,0),MATCH(J$1,'Исходник'!$1:$1,0)))</f>
        <v/>
      </c>
      <c r="K441" s="7" t="str">
        <f t="shared" si="3"/>
        <v/>
      </c>
      <c r="L441" s="1" t="str">
        <f>IF(I441&gt;0,IF(TODAY()-K441&lt;'Анализ'!$D$4+1,1,0),"")</f>
        <v/>
      </c>
    </row>
    <row r="442" ht="15.75" customHeight="1">
      <c r="B442" s="1" t="str">
        <f t="shared" si="1"/>
        <v/>
      </c>
      <c r="F442" s="1"/>
      <c r="G442" s="17"/>
      <c r="I442" s="1" t="str">
        <f>'Исходник'!T68</f>
        <v/>
      </c>
      <c r="J442" s="1" t="str">
        <f t="array" ref="J442">IFERROR(INDEX('Исходник'!$1:$626,MATCH($I442,'Исходник'!$T:$T,0),MATCH(J$1,'Исходник'!$1:$1,0)))</f>
        <v/>
      </c>
      <c r="K442" s="7" t="str">
        <f t="shared" si="3"/>
        <v/>
      </c>
      <c r="L442" s="1" t="str">
        <f>IF(I442&gt;0,IF(TODAY()-K442&lt;'Анализ'!$D$4+1,1,0),"")</f>
        <v/>
      </c>
    </row>
    <row r="443" ht="15.75" customHeight="1">
      <c r="B443" s="1" t="str">
        <f t="shared" si="1"/>
        <v/>
      </c>
      <c r="F443" s="1"/>
      <c r="G443" s="17"/>
      <c r="I443" s="1" t="str">
        <f>'Исходник'!T69</f>
        <v/>
      </c>
      <c r="J443" s="1" t="str">
        <f t="array" ref="J443">IFERROR(INDEX('Исходник'!$1:$626,MATCH($I443,'Исходник'!$T:$T,0),MATCH(J$1,'Исходник'!$1:$1,0)))</f>
        <v/>
      </c>
      <c r="K443" s="7" t="str">
        <f t="shared" si="3"/>
        <v/>
      </c>
      <c r="L443" s="1" t="str">
        <f>IF(I443&gt;0,IF(TODAY()-K443&lt;'Анализ'!$D$4+1,1,0),"")</f>
        <v/>
      </c>
    </row>
    <row r="444" ht="15.75" customHeight="1">
      <c r="B444" s="1" t="str">
        <f t="shared" si="1"/>
        <v/>
      </c>
      <c r="F444" s="1"/>
      <c r="G444" s="17"/>
      <c r="I444" s="1" t="str">
        <f>'Исходник'!T70</f>
        <v/>
      </c>
      <c r="J444" s="1" t="str">
        <f t="array" ref="J444">IFERROR(INDEX('Исходник'!$1:$626,MATCH($I444,'Исходник'!$T:$T,0),MATCH(J$1,'Исходник'!$1:$1,0)))</f>
        <v/>
      </c>
      <c r="K444" s="7" t="str">
        <f t="shared" si="3"/>
        <v/>
      </c>
      <c r="L444" s="1" t="str">
        <f>IF(I444&gt;0,IF(TODAY()-K444&lt;'Анализ'!$D$4+1,1,0),"")</f>
        <v/>
      </c>
    </row>
    <row r="445" ht="15.75" customHeight="1">
      <c r="B445" s="1" t="str">
        <f t="shared" si="1"/>
        <v/>
      </c>
      <c r="F445" s="1"/>
      <c r="G445" s="17"/>
      <c r="I445" s="1" t="str">
        <f>'Исходник'!T71</f>
        <v/>
      </c>
      <c r="J445" s="1" t="str">
        <f t="array" ref="J445">IFERROR(INDEX('Исходник'!$1:$626,MATCH($I445,'Исходник'!$T:$T,0),MATCH(J$1,'Исходник'!$1:$1,0)))</f>
        <v/>
      </c>
      <c r="K445" s="7" t="str">
        <f t="shared" si="3"/>
        <v/>
      </c>
      <c r="L445" s="1" t="str">
        <f>IF(I445&gt;0,IF(TODAY()-K445&lt;'Анализ'!$D$4+1,1,0),"")</f>
        <v/>
      </c>
    </row>
    <row r="446" ht="15.75" customHeight="1">
      <c r="B446" s="1" t="str">
        <f t="shared" si="1"/>
        <v/>
      </c>
      <c r="F446" s="1"/>
      <c r="G446" s="17"/>
      <c r="I446" s="1" t="str">
        <f>'Исходник'!T72</f>
        <v/>
      </c>
      <c r="J446" s="1" t="str">
        <f t="array" ref="J446">IFERROR(INDEX('Исходник'!$1:$626,MATCH($I446,'Исходник'!$T:$T,0),MATCH(J$1,'Исходник'!$1:$1,0)))</f>
        <v/>
      </c>
      <c r="K446" s="7" t="str">
        <f t="shared" si="3"/>
        <v/>
      </c>
      <c r="L446" s="1" t="str">
        <f>IF(I446&gt;0,IF(TODAY()-K446&lt;'Анализ'!$D$4+1,1,0),"")</f>
        <v/>
      </c>
    </row>
    <row r="447" ht="15.75" customHeight="1">
      <c r="B447" s="1" t="str">
        <f t="shared" si="1"/>
        <v/>
      </c>
      <c r="F447" s="1"/>
      <c r="G447" s="17"/>
      <c r="I447" s="1" t="str">
        <f>'Исходник'!T73</f>
        <v/>
      </c>
      <c r="J447" s="1" t="str">
        <f t="array" ref="J447">IFERROR(INDEX('Исходник'!$1:$626,MATCH($I447,'Исходник'!$T:$T,0),MATCH(J$1,'Исходник'!$1:$1,0)))</f>
        <v/>
      </c>
      <c r="K447" s="7" t="str">
        <f t="shared" si="3"/>
        <v/>
      </c>
      <c r="L447" s="1" t="str">
        <f>IF(I447&gt;0,IF(TODAY()-K447&lt;'Анализ'!$D$4+1,1,0),"")</f>
        <v/>
      </c>
    </row>
    <row r="448" ht="15.75" customHeight="1">
      <c r="B448" s="1" t="str">
        <f t="shared" si="1"/>
        <v/>
      </c>
      <c r="F448" s="1"/>
      <c r="G448" s="17"/>
      <c r="I448" s="1" t="str">
        <f>'Исходник'!T74</f>
        <v/>
      </c>
      <c r="J448" s="1" t="str">
        <f t="array" ref="J448">IFERROR(INDEX('Исходник'!$1:$626,MATCH($I448,'Исходник'!$T:$T,0),MATCH(J$1,'Исходник'!$1:$1,0)))</f>
        <v/>
      </c>
      <c r="K448" s="7" t="str">
        <f t="shared" si="3"/>
        <v/>
      </c>
      <c r="L448" s="1" t="str">
        <f>IF(I448&gt;0,IF(TODAY()-K448&lt;'Анализ'!$D$4+1,1,0),"")</f>
        <v/>
      </c>
    </row>
    <row r="449" ht="15.75" customHeight="1">
      <c r="B449" s="1" t="str">
        <f t="shared" si="1"/>
        <v/>
      </c>
      <c r="F449" s="1"/>
      <c r="G449" s="17"/>
      <c r="I449" s="1" t="str">
        <f>'Исходник'!T75</f>
        <v/>
      </c>
      <c r="J449" s="1" t="str">
        <f t="array" ref="J449">IFERROR(INDEX('Исходник'!$1:$626,MATCH($I449,'Исходник'!$T:$T,0),MATCH(J$1,'Исходник'!$1:$1,0)))</f>
        <v/>
      </c>
      <c r="K449" s="7" t="str">
        <f t="shared" si="3"/>
        <v/>
      </c>
      <c r="L449" s="1" t="str">
        <f>IF(I449&gt;0,IF(TODAY()-K449&lt;'Анализ'!$D$4+1,1,0),"")</f>
        <v/>
      </c>
    </row>
    <row r="450" ht="15.75" customHeight="1">
      <c r="B450" s="1" t="str">
        <f t="shared" si="1"/>
        <v/>
      </c>
      <c r="F450" s="1"/>
      <c r="G450" s="17"/>
      <c r="I450" s="1" t="str">
        <f>'Исходник'!T76</f>
        <v/>
      </c>
      <c r="J450" s="1" t="str">
        <f t="array" ref="J450">IFERROR(INDEX('Исходник'!$1:$626,MATCH($I450,'Исходник'!$T:$T,0),MATCH(J$1,'Исходник'!$1:$1,0)))</f>
        <v/>
      </c>
      <c r="K450" s="7" t="str">
        <f t="shared" si="3"/>
        <v/>
      </c>
      <c r="L450" s="1" t="str">
        <f>IF(I450&gt;0,IF(TODAY()-K450&lt;'Анализ'!$D$4+1,1,0),"")</f>
        <v/>
      </c>
    </row>
    <row r="451" ht="15.75" customHeight="1">
      <c r="B451" s="1" t="str">
        <f t="shared" si="1"/>
        <v/>
      </c>
      <c r="F451" s="1"/>
      <c r="G451" s="17"/>
      <c r="I451" s="1" t="str">
        <f>'Исходник'!T77</f>
        <v/>
      </c>
      <c r="J451" s="1" t="str">
        <f t="array" ref="J451">IFERROR(INDEX('Исходник'!$1:$626,MATCH($I451,'Исходник'!$T:$T,0),MATCH(J$1,'Исходник'!$1:$1,0)))</f>
        <v/>
      </c>
      <c r="K451" s="7" t="str">
        <f t="shared" si="3"/>
        <v/>
      </c>
      <c r="L451" s="1" t="str">
        <f>IF(I451&gt;0,IF(TODAY()-K451&lt;'Анализ'!$D$4+1,1,0),"")</f>
        <v/>
      </c>
    </row>
    <row r="452" ht="15.75" customHeight="1">
      <c r="B452" s="1" t="str">
        <f t="shared" si="1"/>
        <v/>
      </c>
      <c r="F452" s="1"/>
      <c r="G452" s="17"/>
      <c r="I452" s="1" t="str">
        <f>'Исходник'!T78</f>
        <v/>
      </c>
      <c r="J452" s="1" t="str">
        <f t="array" ref="J452">IFERROR(INDEX('Исходник'!$1:$626,MATCH($I452,'Исходник'!$T:$T,0),MATCH(J$1,'Исходник'!$1:$1,0)))</f>
        <v/>
      </c>
      <c r="K452" s="7" t="str">
        <f t="shared" si="3"/>
        <v/>
      </c>
      <c r="L452" s="1" t="str">
        <f>IF(I452&gt;0,IF(TODAY()-K452&lt;'Анализ'!$D$4+1,1,0),"")</f>
        <v/>
      </c>
    </row>
    <row r="453" ht="15.75" customHeight="1">
      <c r="B453" s="1" t="str">
        <f t="shared" si="1"/>
        <v/>
      </c>
      <c r="F453" s="1"/>
      <c r="G453" s="17"/>
      <c r="I453" s="1" t="str">
        <f>'Исходник'!T79</f>
        <v/>
      </c>
      <c r="J453" s="1" t="str">
        <f t="array" ref="J453">IFERROR(INDEX('Исходник'!$1:$626,MATCH($I453,'Исходник'!$T:$T,0),MATCH(J$1,'Исходник'!$1:$1,0)))</f>
        <v/>
      </c>
      <c r="K453" s="7" t="str">
        <f t="shared" si="3"/>
        <v/>
      </c>
      <c r="L453" s="1" t="str">
        <f>IF(I453&gt;0,IF(TODAY()-K453&lt;'Анализ'!$D$4+1,1,0),"")</f>
        <v/>
      </c>
    </row>
    <row r="454" ht="15.75" customHeight="1">
      <c r="B454" s="1" t="str">
        <f t="shared" si="1"/>
        <v/>
      </c>
      <c r="F454" s="1"/>
      <c r="G454" s="17"/>
      <c r="I454" s="1" t="str">
        <f>'Исходник'!T80</f>
        <v/>
      </c>
      <c r="J454" s="1" t="str">
        <f t="array" ref="J454">IFERROR(INDEX('Исходник'!$1:$626,MATCH($I454,'Исходник'!$T:$T,0),MATCH(J$1,'Исходник'!$1:$1,0)))</f>
        <v/>
      </c>
      <c r="K454" s="7" t="str">
        <f t="shared" si="3"/>
        <v/>
      </c>
      <c r="L454" s="1" t="str">
        <f>IF(I454&gt;0,IF(TODAY()-K454&lt;'Анализ'!$D$4+1,1,0),"")</f>
        <v/>
      </c>
    </row>
    <row r="455" ht="15.75" customHeight="1">
      <c r="B455" s="1" t="str">
        <f t="shared" si="1"/>
        <v/>
      </c>
      <c r="F455" s="1"/>
      <c r="G455" s="17"/>
      <c r="I455" s="1" t="str">
        <f>'Исходник'!T81</f>
        <v/>
      </c>
      <c r="J455" s="1" t="str">
        <f t="array" ref="J455">IFERROR(INDEX('Исходник'!$1:$626,MATCH($I455,'Исходник'!$T:$T,0),MATCH(J$1,'Исходник'!$1:$1,0)))</f>
        <v/>
      </c>
      <c r="K455" s="7" t="str">
        <f t="shared" si="3"/>
        <v/>
      </c>
      <c r="L455" s="1" t="str">
        <f>IF(I455&gt;0,IF(TODAY()-K455&lt;'Анализ'!$D$4+1,1,0),"")</f>
        <v/>
      </c>
    </row>
    <row r="456" ht="15.75" customHeight="1">
      <c r="B456" s="1" t="str">
        <f t="shared" si="1"/>
        <v/>
      </c>
      <c r="F456" s="1"/>
      <c r="G456" s="17"/>
      <c r="I456" s="1" t="str">
        <f>'Исходник'!T82</f>
        <v/>
      </c>
      <c r="J456" s="1" t="str">
        <f t="array" ref="J456">IFERROR(INDEX('Исходник'!$1:$626,MATCH($I456,'Исходник'!$T:$T,0),MATCH(J$1,'Исходник'!$1:$1,0)))</f>
        <v/>
      </c>
      <c r="K456" s="7" t="str">
        <f t="shared" si="3"/>
        <v/>
      </c>
      <c r="L456" s="1" t="str">
        <f>IF(I456&gt;0,IF(TODAY()-K456&lt;'Анализ'!$D$4+1,1,0),"")</f>
        <v/>
      </c>
    </row>
    <row r="457" ht="15.75" customHeight="1">
      <c r="B457" s="1" t="str">
        <f t="shared" si="1"/>
        <v/>
      </c>
      <c r="F457" s="1"/>
      <c r="G457" s="17"/>
      <c r="I457" s="1" t="str">
        <f>'Исходник'!T83</f>
        <v/>
      </c>
      <c r="J457" s="1" t="str">
        <f t="array" ref="J457">IFERROR(INDEX('Исходник'!$1:$626,MATCH($I457,'Исходник'!$T:$T,0),MATCH(J$1,'Исходник'!$1:$1,0)))</f>
        <v/>
      </c>
      <c r="K457" s="7" t="str">
        <f t="shared" si="3"/>
        <v/>
      </c>
      <c r="L457" s="1" t="str">
        <f>IF(I457&gt;0,IF(TODAY()-K457&lt;'Анализ'!$D$4+1,1,0),"")</f>
        <v/>
      </c>
    </row>
    <row r="458" ht="15.75" customHeight="1">
      <c r="B458" s="1" t="str">
        <f t="shared" si="1"/>
        <v/>
      </c>
      <c r="F458" s="1"/>
      <c r="G458" s="17"/>
      <c r="I458" s="1" t="str">
        <f>'Исходник'!T84</f>
        <v/>
      </c>
      <c r="J458" s="1" t="str">
        <f t="array" ref="J458">IFERROR(INDEX('Исходник'!$1:$626,MATCH($I458,'Исходник'!$T:$T,0),MATCH(J$1,'Исходник'!$1:$1,0)))</f>
        <v/>
      </c>
      <c r="K458" s="7" t="str">
        <f t="shared" si="3"/>
        <v/>
      </c>
      <c r="L458" s="1" t="str">
        <f>IF(I458&gt;0,IF(TODAY()-K458&lt;'Анализ'!$D$4+1,1,0),"")</f>
        <v/>
      </c>
    </row>
    <row r="459" ht="15.75" customHeight="1">
      <c r="B459" s="1" t="str">
        <f t="shared" si="1"/>
        <v/>
      </c>
      <c r="F459" s="1"/>
      <c r="G459" s="17"/>
      <c r="I459" s="1" t="str">
        <f>'Исходник'!T85</f>
        <v/>
      </c>
      <c r="J459" s="1" t="str">
        <f t="array" ref="J459">IFERROR(INDEX('Исходник'!$1:$626,MATCH($I459,'Исходник'!$T:$T,0),MATCH(J$1,'Исходник'!$1:$1,0)))</f>
        <v/>
      </c>
      <c r="K459" s="7" t="str">
        <f t="shared" si="3"/>
        <v/>
      </c>
      <c r="L459" s="1" t="str">
        <f>IF(I459&gt;0,IF(TODAY()-K459&lt;'Анализ'!$D$4+1,1,0),"")</f>
        <v/>
      </c>
    </row>
    <row r="460" ht="15.75" customHeight="1">
      <c r="B460" s="1" t="str">
        <f t="shared" si="1"/>
        <v/>
      </c>
      <c r="F460" s="1"/>
      <c r="G460" s="17"/>
      <c r="I460" s="1" t="str">
        <f>'Исходник'!T86</f>
        <v/>
      </c>
      <c r="J460" s="1" t="str">
        <f t="array" ref="J460">IFERROR(INDEX('Исходник'!$1:$626,MATCH($I460,'Исходник'!$T:$T,0),MATCH(J$1,'Исходник'!$1:$1,0)))</f>
        <v/>
      </c>
      <c r="K460" s="7" t="str">
        <f t="shared" si="3"/>
        <v/>
      </c>
      <c r="L460" s="1" t="str">
        <f>IF(I460&gt;0,IF(TODAY()-K460&lt;'Анализ'!$D$4+1,1,0),"")</f>
        <v/>
      </c>
    </row>
    <row r="461" ht="15.75" customHeight="1">
      <c r="B461" s="1" t="str">
        <f t="shared" si="1"/>
        <v/>
      </c>
      <c r="F461" s="1"/>
      <c r="G461" s="17"/>
      <c r="I461" s="1" t="str">
        <f>'Исходник'!T87</f>
        <v/>
      </c>
      <c r="J461" s="1" t="str">
        <f t="array" ref="J461">IFERROR(INDEX('Исходник'!$1:$626,MATCH($I461,'Исходник'!$T:$T,0),MATCH(J$1,'Исходник'!$1:$1,0)))</f>
        <v/>
      </c>
      <c r="K461" s="7" t="str">
        <f t="shared" si="3"/>
        <v/>
      </c>
      <c r="L461" s="1" t="str">
        <f>IF(I461&gt;0,IF(TODAY()-K461&lt;'Анализ'!$D$4+1,1,0),"")</f>
        <v/>
      </c>
    </row>
    <row r="462" ht="15.75" customHeight="1">
      <c r="B462" s="1" t="str">
        <f t="shared" si="1"/>
        <v/>
      </c>
      <c r="F462" s="1"/>
      <c r="G462" s="17"/>
      <c r="I462" s="1" t="str">
        <f>'Исходник'!T88</f>
        <v/>
      </c>
      <c r="J462" s="1" t="str">
        <f t="array" ref="J462">IFERROR(INDEX('Исходник'!$1:$626,MATCH($I462,'Исходник'!$T:$T,0),MATCH(J$1,'Исходник'!$1:$1,0)))</f>
        <v/>
      </c>
      <c r="K462" s="7" t="str">
        <f t="shared" si="3"/>
        <v/>
      </c>
      <c r="L462" s="1" t="str">
        <f>IF(I462&gt;0,IF(TODAY()-K462&lt;'Анализ'!$D$4+1,1,0),"")</f>
        <v/>
      </c>
    </row>
    <row r="463" ht="15.75" customHeight="1">
      <c r="B463" s="1" t="str">
        <f t="shared" si="1"/>
        <v/>
      </c>
      <c r="F463" s="1"/>
      <c r="G463" s="17"/>
      <c r="I463" s="1" t="str">
        <f>'Исходник'!T89</f>
        <v/>
      </c>
      <c r="J463" s="1" t="str">
        <f t="array" ref="J463">IFERROR(INDEX('Исходник'!$1:$626,MATCH($I463,'Исходник'!$T:$T,0),MATCH(J$1,'Исходник'!$1:$1,0)))</f>
        <v/>
      </c>
      <c r="K463" s="7" t="str">
        <f t="shared" si="3"/>
        <v/>
      </c>
      <c r="L463" s="1" t="str">
        <f>IF(I463&gt;0,IF(TODAY()-K463&lt;'Анализ'!$D$4+1,1,0),"")</f>
        <v/>
      </c>
    </row>
    <row r="464" ht="15.75" customHeight="1">
      <c r="B464" s="1" t="str">
        <f t="shared" si="1"/>
        <v/>
      </c>
      <c r="F464" s="1"/>
      <c r="G464" s="17"/>
      <c r="I464" s="1" t="str">
        <f>'Исходник'!T90</f>
        <v/>
      </c>
      <c r="J464" s="1" t="str">
        <f t="array" ref="J464">IFERROR(INDEX('Исходник'!$1:$626,MATCH($I464,'Исходник'!$T:$T,0),MATCH(J$1,'Исходник'!$1:$1,0)))</f>
        <v/>
      </c>
      <c r="K464" s="7" t="str">
        <f t="shared" si="3"/>
        <v/>
      </c>
      <c r="L464" s="1" t="str">
        <f>IF(I464&gt;0,IF(TODAY()-K464&lt;'Анализ'!$D$4+1,1,0),"")</f>
        <v/>
      </c>
    </row>
    <row r="465" ht="15.75" customHeight="1">
      <c r="B465" s="1" t="str">
        <f t="shared" si="1"/>
        <v/>
      </c>
      <c r="F465" s="1"/>
      <c r="G465" s="17"/>
      <c r="I465" s="1" t="str">
        <f>'Исходник'!T91</f>
        <v/>
      </c>
      <c r="J465" s="1" t="str">
        <f t="array" ref="J465">IFERROR(INDEX('Исходник'!$1:$626,MATCH($I465,'Исходник'!$T:$T,0),MATCH(J$1,'Исходник'!$1:$1,0)))</f>
        <v/>
      </c>
      <c r="K465" s="7" t="str">
        <f t="shared" si="3"/>
        <v/>
      </c>
      <c r="L465" s="1" t="str">
        <f>IF(I465&gt;0,IF(TODAY()-K465&lt;'Анализ'!$D$4+1,1,0),"")</f>
        <v/>
      </c>
    </row>
    <row r="466" ht="15.75" customHeight="1">
      <c r="B466" s="1" t="str">
        <f t="shared" si="1"/>
        <v/>
      </c>
      <c r="F466" s="1"/>
      <c r="G466" s="17"/>
      <c r="I466" s="1" t="str">
        <f>'Исходник'!T92</f>
        <v/>
      </c>
      <c r="J466" s="1" t="str">
        <f t="array" ref="J466">IFERROR(INDEX('Исходник'!$1:$626,MATCH($I466,'Исходник'!$T:$T,0),MATCH(J$1,'Исходник'!$1:$1,0)))</f>
        <v/>
      </c>
      <c r="K466" s="7" t="str">
        <f t="shared" si="3"/>
        <v/>
      </c>
      <c r="L466" s="1" t="str">
        <f>IF(I466&gt;0,IF(TODAY()-K466&lt;'Анализ'!$D$4+1,1,0),"")</f>
        <v/>
      </c>
    </row>
    <row r="467" ht="15.75" customHeight="1">
      <c r="B467" s="1" t="str">
        <f t="shared" si="1"/>
        <v/>
      </c>
      <c r="F467" s="1"/>
      <c r="G467" s="17"/>
      <c r="I467" s="1" t="str">
        <f>'Исходник'!T93</f>
        <v/>
      </c>
      <c r="J467" s="1" t="str">
        <f t="array" ref="J467">IFERROR(INDEX('Исходник'!$1:$626,MATCH($I467,'Исходник'!$T:$T,0),MATCH(J$1,'Исходник'!$1:$1,0)))</f>
        <v/>
      </c>
      <c r="K467" s="7" t="str">
        <f t="shared" si="3"/>
        <v/>
      </c>
      <c r="L467" s="1" t="str">
        <f>IF(I467&gt;0,IF(TODAY()-K467&lt;'Анализ'!$D$4+1,1,0),"")</f>
        <v/>
      </c>
    </row>
    <row r="468" ht="15.75" customHeight="1">
      <c r="B468" s="1" t="str">
        <f t="shared" si="1"/>
        <v/>
      </c>
      <c r="F468" s="1"/>
      <c r="G468" s="17"/>
      <c r="I468" s="1" t="str">
        <f>'Исходник'!T94</f>
        <v/>
      </c>
      <c r="J468" s="1" t="str">
        <f t="array" ref="J468">IFERROR(INDEX('Исходник'!$1:$626,MATCH($I468,'Исходник'!$T:$T,0),MATCH(J$1,'Исходник'!$1:$1,0)))</f>
        <v/>
      </c>
      <c r="K468" s="7" t="str">
        <f t="shared" si="3"/>
        <v/>
      </c>
      <c r="L468" s="1" t="str">
        <f>IF(I468&gt;0,IF(TODAY()-K468&lt;'Анализ'!$D$4+1,1,0),"")</f>
        <v/>
      </c>
    </row>
    <row r="469" ht="15.75" customHeight="1">
      <c r="B469" s="1" t="str">
        <f t="shared" si="1"/>
        <v/>
      </c>
      <c r="F469" s="1"/>
      <c r="G469" s="17"/>
      <c r="I469" s="1" t="str">
        <f>'Исходник'!T95</f>
        <v/>
      </c>
      <c r="J469" s="1" t="str">
        <f t="array" ref="J469">IFERROR(INDEX('Исходник'!$1:$626,MATCH($I469,'Исходник'!$T:$T,0),MATCH(J$1,'Исходник'!$1:$1,0)))</f>
        <v/>
      </c>
      <c r="K469" s="7" t="str">
        <f t="shared" si="3"/>
        <v/>
      </c>
      <c r="L469" s="1" t="str">
        <f>IF(I469&gt;0,IF(TODAY()-K469&lt;'Анализ'!$D$4+1,1,0),"")</f>
        <v/>
      </c>
    </row>
    <row r="470" ht="15.75" customHeight="1">
      <c r="B470" s="1" t="str">
        <f t="shared" si="1"/>
        <v/>
      </c>
      <c r="F470" s="1"/>
      <c r="G470" s="17"/>
      <c r="I470" s="1" t="str">
        <f>'Исходник'!T96</f>
        <v/>
      </c>
      <c r="J470" s="1" t="str">
        <f t="array" ref="J470">IFERROR(INDEX('Исходник'!$1:$626,MATCH($I470,'Исходник'!$T:$T,0),MATCH(J$1,'Исходник'!$1:$1,0)))</f>
        <v/>
      </c>
      <c r="K470" s="7" t="str">
        <f t="shared" si="3"/>
        <v/>
      </c>
      <c r="L470" s="1" t="str">
        <f>IF(I470&gt;0,IF(TODAY()-K470&lt;'Анализ'!$D$4+1,1,0),"")</f>
        <v/>
      </c>
    </row>
    <row r="471" ht="15.75" customHeight="1">
      <c r="B471" s="1" t="str">
        <f t="shared" si="1"/>
        <v/>
      </c>
      <c r="F471" s="1"/>
      <c r="G471" s="17"/>
      <c r="I471" s="1" t="str">
        <f>'Исходник'!T97</f>
        <v/>
      </c>
      <c r="J471" s="1" t="str">
        <f t="array" ref="J471">IFERROR(INDEX('Исходник'!$1:$626,MATCH($I471,'Исходник'!$T:$T,0),MATCH(J$1,'Исходник'!$1:$1,0)))</f>
        <v/>
      </c>
      <c r="K471" s="7" t="str">
        <f t="shared" si="3"/>
        <v/>
      </c>
      <c r="L471" s="1" t="str">
        <f>IF(I471&gt;0,IF(TODAY()-K471&lt;'Анализ'!$D$4+1,1,0),"")</f>
        <v/>
      </c>
    </row>
    <row r="472" ht="15.75" customHeight="1">
      <c r="B472" s="1" t="str">
        <f t="shared" si="1"/>
        <v/>
      </c>
      <c r="F472" s="1"/>
      <c r="G472" s="17"/>
      <c r="I472" s="1" t="str">
        <f>'Исходник'!T98</f>
        <v/>
      </c>
      <c r="J472" s="1" t="str">
        <f t="array" ref="J472">IFERROR(INDEX('Исходник'!$1:$626,MATCH($I472,'Исходник'!$T:$T,0),MATCH(J$1,'Исходник'!$1:$1,0)))</f>
        <v/>
      </c>
      <c r="K472" s="7" t="str">
        <f t="shared" si="3"/>
        <v/>
      </c>
      <c r="L472" s="1" t="str">
        <f>IF(I472&gt;0,IF(TODAY()-K472&lt;'Анализ'!$D$4+1,1,0),"")</f>
        <v/>
      </c>
    </row>
    <row r="473" ht="15.75" customHeight="1">
      <c r="B473" s="1" t="str">
        <f t="shared" si="1"/>
        <v/>
      </c>
      <c r="F473" s="1"/>
      <c r="G473" s="17"/>
      <c r="I473" s="1" t="str">
        <f>'Исходник'!T99</f>
        <v/>
      </c>
      <c r="J473" s="1" t="str">
        <f t="array" ref="J473">IFERROR(INDEX('Исходник'!$1:$626,MATCH($I473,'Исходник'!$T:$T,0),MATCH(J$1,'Исходник'!$1:$1,0)))</f>
        <v/>
      </c>
      <c r="K473" s="7" t="str">
        <f t="shared" si="3"/>
        <v/>
      </c>
      <c r="L473" s="1" t="str">
        <f>IF(I473&gt;0,IF(TODAY()-K473&lt;'Анализ'!$D$4+1,1,0),"")</f>
        <v/>
      </c>
    </row>
    <row r="474" ht="15.75" customHeight="1">
      <c r="B474" s="1" t="str">
        <f t="shared" si="1"/>
        <v/>
      </c>
      <c r="F474" s="1"/>
      <c r="G474" s="17"/>
      <c r="I474" s="1" t="str">
        <f>'Исходник'!T100</f>
        <v/>
      </c>
      <c r="J474" s="1" t="str">
        <f t="array" ref="J474">IFERROR(INDEX('Исходник'!$1:$626,MATCH($I474,'Исходник'!$T:$T,0),MATCH(J$1,'Исходник'!$1:$1,0)))</f>
        <v/>
      </c>
      <c r="K474" s="7" t="str">
        <f t="shared" si="3"/>
        <v/>
      </c>
      <c r="L474" s="1" t="str">
        <f>IF(I474&gt;0,IF(TODAY()-K474&lt;'Анализ'!$D$4+1,1,0),"")</f>
        <v/>
      </c>
    </row>
    <row r="475" ht="15.75" customHeight="1">
      <c r="B475" s="1" t="str">
        <f t="shared" si="1"/>
        <v/>
      </c>
      <c r="F475" s="1"/>
      <c r="G475" s="17"/>
      <c r="I475" s="1" t="str">
        <f>'Исходник'!T101</f>
        <v/>
      </c>
      <c r="J475" s="1" t="str">
        <f t="array" ref="J475">IFERROR(INDEX('Исходник'!$1:$626,MATCH($I475,'Исходник'!$T:$T,0),MATCH(J$1,'Исходник'!$1:$1,0)))</f>
        <v/>
      </c>
      <c r="K475" s="7" t="str">
        <f t="shared" si="3"/>
        <v/>
      </c>
      <c r="L475" s="1" t="str">
        <f>IF(I475&gt;0,IF(TODAY()-K475&lt;'Анализ'!$D$4+1,1,0),"")</f>
        <v/>
      </c>
    </row>
    <row r="476" ht="15.75" customHeight="1">
      <c r="B476" s="1" t="str">
        <f t="shared" si="1"/>
        <v/>
      </c>
      <c r="F476" s="1"/>
      <c r="G476" s="17"/>
      <c r="I476" s="1" t="str">
        <f>'Исходник'!T102</f>
        <v/>
      </c>
      <c r="J476" s="1" t="str">
        <f t="array" ref="J476">IFERROR(INDEX('Исходник'!$1:$626,MATCH($I476,'Исходник'!$T:$T,0),MATCH(J$1,'Исходник'!$1:$1,0)))</f>
        <v/>
      </c>
      <c r="K476" s="7" t="str">
        <f t="shared" si="3"/>
        <v/>
      </c>
      <c r="L476" s="1" t="str">
        <f>IF(I476&gt;0,IF(TODAY()-K476&lt;'Анализ'!$D$4+1,1,0),"")</f>
        <v/>
      </c>
    </row>
    <row r="477" ht="15.75" customHeight="1">
      <c r="B477" s="1" t="str">
        <f t="shared" si="1"/>
        <v/>
      </c>
      <c r="F477" s="1"/>
      <c r="G477" s="17"/>
      <c r="I477" s="1" t="str">
        <f>'Исходник'!T103</f>
        <v/>
      </c>
      <c r="J477" s="1" t="str">
        <f t="array" ref="J477">IFERROR(INDEX('Исходник'!$1:$626,MATCH($I477,'Исходник'!$T:$T,0),MATCH(J$1,'Исходник'!$1:$1,0)))</f>
        <v/>
      </c>
      <c r="K477" s="7" t="str">
        <f t="shared" si="3"/>
        <v/>
      </c>
      <c r="L477" s="1" t="str">
        <f>IF(I477&gt;0,IF(TODAY()-K477&lt;'Анализ'!$D$4+1,1,0),"")</f>
        <v/>
      </c>
    </row>
    <row r="478" ht="15.75" customHeight="1">
      <c r="B478" s="1" t="str">
        <f t="shared" si="1"/>
        <v/>
      </c>
      <c r="F478" s="1"/>
      <c r="G478" s="17"/>
      <c r="I478" s="1" t="str">
        <f>'Исходник'!T104</f>
        <v/>
      </c>
      <c r="J478" s="1" t="str">
        <f t="array" ref="J478">IFERROR(INDEX('Исходник'!$1:$626,MATCH($I478,'Исходник'!$T:$T,0),MATCH(J$1,'Исходник'!$1:$1,0)))</f>
        <v/>
      </c>
      <c r="K478" s="7" t="str">
        <f t="shared" si="3"/>
        <v/>
      </c>
      <c r="L478" s="1" t="str">
        <f>IF(I478&gt;0,IF(TODAY()-K478&lt;'Анализ'!$D$4+1,1,0),"")</f>
        <v/>
      </c>
    </row>
    <row r="479" ht="15.75" customHeight="1">
      <c r="B479" s="1" t="str">
        <f t="shared" si="1"/>
        <v/>
      </c>
      <c r="F479" s="1"/>
      <c r="G479" s="17"/>
      <c r="I479" s="1" t="str">
        <f>'Исходник'!T105</f>
        <v/>
      </c>
      <c r="J479" s="1" t="str">
        <f t="array" ref="J479">IFERROR(INDEX('Исходник'!$1:$626,MATCH($I479,'Исходник'!$T:$T,0),MATCH(J$1,'Исходник'!$1:$1,0)))</f>
        <v/>
      </c>
      <c r="K479" s="7" t="str">
        <f t="shared" si="3"/>
        <v/>
      </c>
      <c r="L479" s="1" t="str">
        <f>IF(I479&gt;0,IF(TODAY()-K479&lt;'Анализ'!$D$4+1,1,0),"")</f>
        <v/>
      </c>
    </row>
    <row r="480" ht="15.75" customHeight="1">
      <c r="B480" s="1" t="str">
        <f t="shared" si="1"/>
        <v/>
      </c>
      <c r="F480" s="1"/>
      <c r="G480" s="17"/>
      <c r="I480" s="1" t="str">
        <f>'Исходник'!T106</f>
        <v/>
      </c>
      <c r="J480" s="1" t="str">
        <f t="array" ref="J480">IFERROR(INDEX('Исходник'!$1:$626,MATCH($I480,'Исходник'!$T:$T,0),MATCH(J$1,'Исходник'!$1:$1,0)))</f>
        <v/>
      </c>
      <c r="K480" s="7" t="str">
        <f t="shared" si="3"/>
        <v/>
      </c>
      <c r="L480" s="1" t="str">
        <f>IF(I480&gt;0,IF(TODAY()-K480&lt;'Анализ'!$D$4+1,1,0),"")</f>
        <v/>
      </c>
    </row>
    <row r="481" ht="15.75" customHeight="1">
      <c r="B481" s="1" t="str">
        <f t="shared" si="1"/>
        <v/>
      </c>
      <c r="F481" s="1"/>
      <c r="G481" s="17"/>
      <c r="I481" s="1" t="str">
        <f>'Исходник'!T107</f>
        <v/>
      </c>
      <c r="J481" s="1" t="str">
        <f t="array" ref="J481">IFERROR(INDEX('Исходник'!$1:$626,MATCH($I481,'Исходник'!$T:$T,0),MATCH(J$1,'Исходник'!$1:$1,0)))</f>
        <v/>
      </c>
      <c r="K481" s="7" t="str">
        <f t="shared" si="3"/>
        <v/>
      </c>
      <c r="L481" s="1" t="str">
        <f>IF(I481&gt;0,IF(TODAY()-K481&lt;'Анализ'!$D$4+1,1,0),"")</f>
        <v/>
      </c>
    </row>
    <row r="482" ht="15.75" customHeight="1">
      <c r="B482" s="1" t="str">
        <f t="shared" si="1"/>
        <v/>
      </c>
      <c r="F482" s="1"/>
      <c r="G482" s="17"/>
      <c r="I482" s="1" t="str">
        <f>'Исходник'!T108</f>
        <v/>
      </c>
      <c r="J482" s="1" t="str">
        <f t="array" ref="J482">IFERROR(INDEX('Исходник'!$1:$626,MATCH($I482,'Исходник'!$T:$T,0),MATCH(J$1,'Исходник'!$1:$1,0)))</f>
        <v/>
      </c>
      <c r="K482" s="7" t="str">
        <f t="shared" si="3"/>
        <v/>
      </c>
      <c r="L482" s="1" t="str">
        <f>IF(I482&gt;0,IF(TODAY()-K482&lt;'Анализ'!$D$4+1,1,0),"")</f>
        <v/>
      </c>
    </row>
    <row r="483" ht="15.75" customHeight="1">
      <c r="B483" s="1" t="str">
        <f t="shared" si="1"/>
        <v/>
      </c>
      <c r="F483" s="1"/>
      <c r="G483" s="17"/>
      <c r="I483" s="1" t="str">
        <f>'Исходник'!T109</f>
        <v/>
      </c>
      <c r="J483" s="1" t="str">
        <f t="array" ref="J483">IFERROR(INDEX('Исходник'!$1:$626,MATCH($I483,'Исходник'!$T:$T,0),MATCH(J$1,'Исходник'!$1:$1,0)))</f>
        <v/>
      </c>
      <c r="K483" s="7" t="str">
        <f t="shared" si="3"/>
        <v/>
      </c>
      <c r="L483" s="1" t="str">
        <f>IF(I483&gt;0,IF(TODAY()-K483&lt;'Анализ'!$D$4+1,1,0),"")</f>
        <v/>
      </c>
    </row>
    <row r="484" ht="15.75" customHeight="1">
      <c r="B484" s="1" t="str">
        <f t="shared" si="1"/>
        <v/>
      </c>
      <c r="F484" s="1"/>
      <c r="G484" s="17"/>
      <c r="I484" s="1" t="str">
        <f>'Исходник'!T110</f>
        <v/>
      </c>
      <c r="J484" s="1" t="str">
        <f t="array" ref="J484">IFERROR(INDEX('Исходник'!$1:$626,MATCH($I484,'Исходник'!$T:$T,0),MATCH(J$1,'Исходник'!$1:$1,0)))</f>
        <v/>
      </c>
      <c r="K484" s="7" t="str">
        <f t="shared" si="3"/>
        <v/>
      </c>
      <c r="L484" s="1" t="str">
        <f>IF(I484&gt;0,IF(TODAY()-K484&lt;'Анализ'!$D$4+1,1,0),"")</f>
        <v/>
      </c>
    </row>
    <row r="485" ht="15.75" customHeight="1">
      <c r="B485" s="1" t="str">
        <f t="shared" si="1"/>
        <v/>
      </c>
      <c r="F485" s="1"/>
      <c r="G485" s="17"/>
      <c r="I485" s="1" t="str">
        <f>'Исходник'!T111</f>
        <v/>
      </c>
      <c r="J485" s="1" t="str">
        <f t="array" ref="J485">IFERROR(INDEX('Исходник'!$1:$626,MATCH($I485,'Исходник'!$T:$T,0),MATCH(J$1,'Исходник'!$1:$1,0)))</f>
        <v/>
      </c>
      <c r="K485" s="7" t="str">
        <f t="shared" si="3"/>
        <v/>
      </c>
      <c r="L485" s="1" t="str">
        <f>IF(I485&gt;0,IF(TODAY()-K485&lt;'Анализ'!$D$4+1,1,0),"")</f>
        <v/>
      </c>
    </row>
    <row r="486" ht="15.75" customHeight="1">
      <c r="B486" s="1" t="str">
        <f t="shared" si="1"/>
        <v/>
      </c>
      <c r="F486" s="1"/>
      <c r="G486" s="17"/>
      <c r="I486" s="1" t="str">
        <f>'Исходник'!T112</f>
        <v/>
      </c>
      <c r="J486" s="1" t="str">
        <f t="array" ref="J486">IFERROR(INDEX('Исходник'!$1:$626,MATCH($I486,'Исходник'!$T:$T,0),MATCH(J$1,'Исходник'!$1:$1,0)))</f>
        <v/>
      </c>
      <c r="K486" s="7" t="str">
        <f t="shared" si="3"/>
        <v/>
      </c>
      <c r="L486" s="1" t="str">
        <f>IF(I486&gt;0,IF(TODAY()-K486&lt;'Анализ'!$D$4+1,1,0),"")</f>
        <v/>
      </c>
    </row>
    <row r="487" ht="15.75" customHeight="1">
      <c r="B487" s="1" t="str">
        <f t="shared" si="1"/>
        <v/>
      </c>
      <c r="F487" s="1"/>
      <c r="G487" s="17"/>
      <c r="I487" s="1" t="str">
        <f>'Исходник'!T113</f>
        <v/>
      </c>
      <c r="J487" s="1" t="str">
        <f t="array" ref="J487">IFERROR(INDEX('Исходник'!$1:$626,MATCH($I487,'Исходник'!$T:$T,0),MATCH(J$1,'Исходник'!$1:$1,0)))</f>
        <v/>
      </c>
      <c r="K487" s="7" t="str">
        <f t="shared" si="3"/>
        <v/>
      </c>
      <c r="L487" s="1" t="str">
        <f>IF(I487&gt;0,IF(TODAY()-K487&lt;'Анализ'!$D$4+1,1,0),"")</f>
        <v/>
      </c>
    </row>
    <row r="488" ht="15.75" customHeight="1">
      <c r="B488" s="1" t="str">
        <f t="shared" si="1"/>
        <v/>
      </c>
      <c r="F488" s="1"/>
      <c r="G488" s="17"/>
      <c r="I488" s="1" t="str">
        <f>'Исходник'!T114</f>
        <v/>
      </c>
      <c r="J488" s="1" t="str">
        <f t="array" ref="J488">IFERROR(INDEX('Исходник'!$1:$626,MATCH($I488,'Исходник'!$T:$T,0),MATCH(J$1,'Исходник'!$1:$1,0)))</f>
        <v/>
      </c>
      <c r="K488" s="7" t="str">
        <f t="shared" si="3"/>
        <v/>
      </c>
      <c r="L488" s="1" t="str">
        <f>IF(I488&gt;0,IF(TODAY()-K488&lt;'Анализ'!$D$4+1,1,0),"")</f>
        <v/>
      </c>
    </row>
    <row r="489" ht="15.75" customHeight="1">
      <c r="B489" s="1" t="str">
        <f t="shared" si="1"/>
        <v/>
      </c>
      <c r="F489" s="1"/>
      <c r="G489" s="17"/>
      <c r="I489" s="1" t="str">
        <f>'Исходник'!T115</f>
        <v/>
      </c>
      <c r="J489" s="1" t="str">
        <f t="array" ref="J489">IFERROR(INDEX('Исходник'!$1:$626,MATCH($I489,'Исходник'!$T:$T,0),MATCH(J$1,'Исходник'!$1:$1,0)))</f>
        <v/>
      </c>
      <c r="K489" s="7" t="str">
        <f t="shared" si="3"/>
        <v/>
      </c>
      <c r="L489" s="1" t="str">
        <f>IF(I489&gt;0,IF(TODAY()-K489&lt;'Анализ'!$D$4+1,1,0),"")</f>
        <v/>
      </c>
    </row>
    <row r="490" ht="15.75" customHeight="1">
      <c r="B490" s="1" t="str">
        <f t="shared" si="1"/>
        <v/>
      </c>
      <c r="F490" s="1"/>
      <c r="G490" s="17"/>
      <c r="I490" s="1" t="str">
        <f>'Исходник'!T116</f>
        <v/>
      </c>
      <c r="J490" s="1" t="str">
        <f t="array" ref="J490">IFERROR(INDEX('Исходник'!$1:$626,MATCH($I490,'Исходник'!$T:$T,0),MATCH(J$1,'Исходник'!$1:$1,0)))</f>
        <v/>
      </c>
      <c r="K490" s="7" t="str">
        <f t="shared" si="3"/>
        <v/>
      </c>
      <c r="L490" s="1" t="str">
        <f>IF(I490&gt;0,IF(TODAY()-K490&lt;'Анализ'!$D$4+1,1,0),"")</f>
        <v/>
      </c>
    </row>
    <row r="491" ht="15.75" customHeight="1">
      <c r="B491" s="1" t="str">
        <f t="shared" si="1"/>
        <v/>
      </c>
      <c r="F491" s="1"/>
      <c r="G491" s="17"/>
      <c r="I491" s="1" t="str">
        <f>'Исходник'!T117</f>
        <v/>
      </c>
      <c r="J491" s="1" t="str">
        <f t="array" ref="J491">IFERROR(INDEX('Исходник'!$1:$626,MATCH($I491,'Исходник'!$T:$T,0),MATCH(J$1,'Исходник'!$1:$1,0)))</f>
        <v/>
      </c>
      <c r="K491" s="7" t="str">
        <f t="shared" si="3"/>
        <v/>
      </c>
      <c r="L491" s="1" t="str">
        <f>IF(I491&gt;0,IF(TODAY()-K491&lt;'Анализ'!$D$4+1,1,0),"")</f>
        <v/>
      </c>
    </row>
    <row r="492" ht="15.75" customHeight="1">
      <c r="B492" s="1" t="str">
        <f t="shared" si="1"/>
        <v/>
      </c>
      <c r="F492" s="1"/>
      <c r="G492" s="17"/>
      <c r="I492" s="1" t="str">
        <f>'Исходник'!T118</f>
        <v/>
      </c>
      <c r="J492" s="1" t="str">
        <f t="array" ref="J492">IFERROR(INDEX('Исходник'!$1:$626,MATCH($I492,'Исходник'!$T:$T,0),MATCH(J$1,'Исходник'!$1:$1,0)))</f>
        <v/>
      </c>
      <c r="K492" s="7" t="str">
        <f t="shared" si="3"/>
        <v/>
      </c>
      <c r="L492" s="1" t="str">
        <f>IF(I492&gt;0,IF(TODAY()-K492&lt;'Анализ'!$D$4+1,1,0),"")</f>
        <v/>
      </c>
    </row>
    <row r="493" ht="15.75" customHeight="1">
      <c r="B493" s="1" t="str">
        <f t="shared" si="1"/>
        <v/>
      </c>
      <c r="F493" s="1"/>
      <c r="G493" s="17"/>
      <c r="I493" s="1" t="str">
        <f>'Исходник'!T119</f>
        <v/>
      </c>
      <c r="J493" s="1" t="str">
        <f t="array" ref="J493">IFERROR(INDEX('Исходник'!$1:$626,MATCH($I493,'Исходник'!$T:$T,0),MATCH(J$1,'Исходник'!$1:$1,0)))</f>
        <v/>
      </c>
      <c r="K493" s="7" t="str">
        <f t="shared" si="3"/>
        <v/>
      </c>
      <c r="L493" s="1" t="str">
        <f>IF(I493&gt;0,IF(TODAY()-K493&lt;'Анализ'!$D$4+1,1,0),"")</f>
        <v/>
      </c>
    </row>
    <row r="494" ht="15.75" customHeight="1">
      <c r="B494" s="1" t="str">
        <f t="shared" si="1"/>
        <v/>
      </c>
      <c r="F494" s="1"/>
      <c r="G494" s="17"/>
      <c r="I494" s="1" t="str">
        <f>'Исходник'!T120</f>
        <v/>
      </c>
      <c r="J494" s="1" t="str">
        <f t="array" ref="J494">IFERROR(INDEX('Исходник'!$1:$626,MATCH($I494,'Исходник'!$T:$T,0),MATCH(J$1,'Исходник'!$1:$1,0)))</f>
        <v/>
      </c>
      <c r="K494" s="7" t="str">
        <f t="shared" si="3"/>
        <v/>
      </c>
      <c r="L494" s="1" t="str">
        <f>IF(I494&gt;0,IF(TODAY()-K494&lt;'Анализ'!$D$4+1,1,0),"")</f>
        <v/>
      </c>
    </row>
    <row r="495" ht="15.75" customHeight="1">
      <c r="B495" s="1" t="str">
        <f t="shared" si="1"/>
        <v/>
      </c>
      <c r="F495" s="1"/>
      <c r="G495" s="17"/>
      <c r="I495" s="1" t="str">
        <f>'Исходник'!T121</f>
        <v/>
      </c>
      <c r="J495" s="1" t="str">
        <f t="array" ref="J495">IFERROR(INDEX('Исходник'!$1:$626,MATCH($I495,'Исходник'!$T:$T,0),MATCH(J$1,'Исходник'!$1:$1,0)))</f>
        <v/>
      </c>
      <c r="K495" s="7" t="str">
        <f t="shared" si="3"/>
        <v/>
      </c>
      <c r="L495" s="1" t="str">
        <f>IF(I495&gt;0,IF(TODAY()-K495&lt;'Анализ'!$D$4+1,1,0),"")</f>
        <v/>
      </c>
    </row>
    <row r="496" ht="15.75" customHeight="1">
      <c r="B496" s="1" t="str">
        <f t="shared" si="1"/>
        <v/>
      </c>
      <c r="F496" s="1"/>
      <c r="G496" s="17"/>
      <c r="I496" s="1" t="str">
        <f>'Исходник'!T122</f>
        <v/>
      </c>
      <c r="J496" s="1" t="str">
        <f t="array" ref="J496">IFERROR(INDEX('Исходник'!$1:$626,MATCH($I496,'Исходник'!$T:$T,0),MATCH(J$1,'Исходник'!$1:$1,0)))</f>
        <v/>
      </c>
      <c r="K496" s="7" t="str">
        <f t="shared" si="3"/>
        <v/>
      </c>
      <c r="L496" s="1" t="str">
        <f>IF(I496&gt;0,IF(TODAY()-K496&lt;'Анализ'!$D$4+1,1,0),"")</f>
        <v/>
      </c>
    </row>
    <row r="497" ht="15.75" customHeight="1">
      <c r="B497" s="1" t="str">
        <f t="shared" si="1"/>
        <v/>
      </c>
      <c r="F497" s="1"/>
      <c r="G497" s="17"/>
      <c r="I497" s="1" t="str">
        <f>'Исходник'!T123</f>
        <v/>
      </c>
      <c r="J497" s="1" t="str">
        <f t="array" ref="J497">IFERROR(INDEX('Исходник'!$1:$626,MATCH($I497,'Исходник'!$T:$T,0),MATCH(J$1,'Исходник'!$1:$1,0)))</f>
        <v/>
      </c>
      <c r="K497" s="7" t="str">
        <f t="shared" si="3"/>
        <v/>
      </c>
      <c r="L497" s="1" t="str">
        <f>IF(I497&gt;0,IF(TODAY()-K497&lt;'Анализ'!$D$4+1,1,0),"")</f>
        <v/>
      </c>
    </row>
    <row r="498" ht="15.75" customHeight="1">
      <c r="B498" s="1" t="str">
        <f t="shared" si="1"/>
        <v/>
      </c>
      <c r="F498" s="1"/>
      <c r="G498" s="17"/>
      <c r="I498" s="1" t="str">
        <f>'Исходник'!T124</f>
        <v/>
      </c>
      <c r="J498" s="1" t="str">
        <f t="array" ref="J498">IFERROR(INDEX('Исходник'!$1:$626,MATCH($I498,'Исходник'!$T:$T,0),MATCH(J$1,'Исходник'!$1:$1,0)))</f>
        <v/>
      </c>
      <c r="K498" s="7" t="str">
        <f t="shared" si="3"/>
        <v/>
      </c>
      <c r="L498" s="1" t="str">
        <f>IF(I498&gt;0,IF(TODAY()-K498&lt;'Анализ'!$D$4+1,1,0),"")</f>
        <v/>
      </c>
    </row>
    <row r="499" ht="15.75" customHeight="1">
      <c r="B499" s="1" t="str">
        <f t="shared" si="1"/>
        <v/>
      </c>
      <c r="F499" s="1"/>
      <c r="G499" s="17"/>
      <c r="I499" s="1" t="str">
        <f>'Исходник'!T125</f>
        <v/>
      </c>
      <c r="J499" s="1" t="str">
        <f t="array" ref="J499">IFERROR(INDEX('Исходник'!$1:$626,MATCH($I499,'Исходник'!$T:$T,0),MATCH(J$1,'Исходник'!$1:$1,0)))</f>
        <v/>
      </c>
      <c r="K499" s="7" t="str">
        <f t="shared" si="3"/>
        <v/>
      </c>
      <c r="L499" s="1" t="str">
        <f>IF(I499&gt;0,IF(TODAY()-K499&lt;'Анализ'!$D$4+1,1,0),"")</f>
        <v/>
      </c>
    </row>
    <row r="500" ht="15.75" customHeight="1">
      <c r="B500" s="1" t="str">
        <f t="shared" si="1"/>
        <v/>
      </c>
      <c r="F500" s="1"/>
      <c r="G500" s="17"/>
      <c r="I500" s="1" t="str">
        <f>'Исходник'!T126</f>
        <v/>
      </c>
      <c r="J500" s="1" t="str">
        <f t="array" ref="J500">IFERROR(INDEX('Исходник'!$1:$626,MATCH($I500,'Исходник'!$T:$T,0),MATCH(J$1,'Исходник'!$1:$1,0)))</f>
        <v/>
      </c>
      <c r="K500" s="7" t="str">
        <f t="shared" si="3"/>
        <v/>
      </c>
      <c r="L500" s="1" t="str">
        <f>IF(I500&gt;0,IF(TODAY()-K500&lt;'Анализ'!$D$4+1,1,0),"")</f>
        <v/>
      </c>
    </row>
    <row r="501" ht="15.75" customHeight="1">
      <c r="B501" s="1" t="str">
        <f t="shared" si="1"/>
        <v/>
      </c>
      <c r="F501" s="1"/>
      <c r="G501" s="17"/>
      <c r="I501" s="1" t="str">
        <f>'Исходник'!T127</f>
        <v/>
      </c>
      <c r="J501" s="1" t="str">
        <f t="array" ref="J501">IFERROR(INDEX('Исходник'!$1:$626,MATCH($I501,'Исходник'!$T:$T,0),MATCH(J$1,'Исходник'!$1:$1,0)))</f>
        <v/>
      </c>
      <c r="K501" s="7" t="str">
        <f t="shared" si="3"/>
        <v/>
      </c>
      <c r="L501" s="1" t="str">
        <f>IF(I501&gt;0,IF(TODAY()-K501&lt;'Анализ'!$D$4+1,1,0),"")</f>
        <v/>
      </c>
    </row>
    <row r="502" ht="15.75" customHeight="1">
      <c r="B502" s="1" t="str">
        <f t="shared" si="1"/>
        <v/>
      </c>
      <c r="F502" s="1"/>
      <c r="G502" s="17"/>
      <c r="I502" s="1" t="str">
        <f>'Исходник'!T128</f>
        <v/>
      </c>
      <c r="J502" s="1" t="str">
        <f t="array" ref="J502">IFERROR(INDEX('Исходник'!$1:$626,MATCH($I502,'Исходник'!$T:$T,0),MATCH(J$1,'Исходник'!$1:$1,0)))</f>
        <v/>
      </c>
      <c r="K502" s="7" t="str">
        <f t="shared" si="3"/>
        <v/>
      </c>
      <c r="L502" s="1" t="str">
        <f>IF(I502&gt;0,IF(TODAY()-K502&lt;'Анализ'!$D$4+1,1,0),"")</f>
        <v/>
      </c>
    </row>
    <row r="503" ht="15.75" customHeight="1">
      <c r="B503" s="1" t="str">
        <f t="shared" si="1"/>
        <v/>
      </c>
      <c r="F503" s="1"/>
      <c r="G503" s="17"/>
      <c r="I503" s="1" t="str">
        <f>'Исходник'!T129</f>
        <v/>
      </c>
      <c r="J503" s="1" t="str">
        <f t="array" ref="J503">IFERROR(INDEX('Исходник'!$1:$626,MATCH($I503,'Исходник'!$T:$T,0),MATCH(J$1,'Исходник'!$1:$1,0)))</f>
        <v/>
      </c>
      <c r="K503" s="7" t="str">
        <f t="shared" si="3"/>
        <v/>
      </c>
      <c r="L503" s="1" t="str">
        <f>IF(I503&gt;0,IF(TODAY()-K503&lt;'Анализ'!$D$4+1,1,0),"")</f>
        <v/>
      </c>
    </row>
    <row r="504" ht="15.75" customHeight="1">
      <c r="B504" s="1" t="str">
        <f t="shared" si="1"/>
        <v/>
      </c>
      <c r="F504" s="1"/>
      <c r="G504" s="17"/>
      <c r="I504" s="1" t="str">
        <f>'Исходник'!T130</f>
        <v/>
      </c>
      <c r="J504" s="1" t="str">
        <f t="array" ref="J504">IFERROR(INDEX('Исходник'!$1:$626,MATCH($I504,'Исходник'!$T:$T,0),MATCH(J$1,'Исходник'!$1:$1,0)))</f>
        <v/>
      </c>
      <c r="K504" s="7" t="str">
        <f t="shared" si="3"/>
        <v/>
      </c>
      <c r="L504" s="1" t="str">
        <f>IF(I504&gt;0,IF(TODAY()-K504&lt;'Анализ'!$D$4+1,1,0),"")</f>
        <v/>
      </c>
    </row>
    <row r="505" ht="15.75" customHeight="1">
      <c r="B505" s="1" t="str">
        <f t="shared" si="1"/>
        <v/>
      </c>
      <c r="F505" s="1"/>
      <c r="G505" s="17"/>
      <c r="I505" s="1" t="str">
        <f>'Исходник'!T131</f>
        <v/>
      </c>
      <c r="J505" s="1" t="str">
        <f t="array" ref="J505">IFERROR(INDEX('Исходник'!$1:$626,MATCH($I505,'Исходник'!$T:$T,0),MATCH(J$1,'Исходник'!$1:$1,0)))</f>
        <v/>
      </c>
      <c r="K505" s="7" t="str">
        <f t="shared" si="3"/>
        <v/>
      </c>
      <c r="L505" s="1" t="str">
        <f>IF(I505&gt;0,IF(TODAY()-K505&lt;'Анализ'!$D$4+1,1,0),"")</f>
        <v/>
      </c>
    </row>
    <row r="506" ht="15.75" customHeight="1">
      <c r="B506" s="1" t="str">
        <f t="shared" si="1"/>
        <v/>
      </c>
      <c r="F506" s="1"/>
      <c r="G506" s="17"/>
      <c r="I506" s="1" t="str">
        <f>'Исходник'!T132</f>
        <v/>
      </c>
      <c r="J506" s="1" t="str">
        <f t="array" ref="J506">IFERROR(INDEX('Исходник'!$1:$626,MATCH($I506,'Исходник'!$T:$T,0),MATCH(J$1,'Исходник'!$1:$1,0)))</f>
        <v/>
      </c>
      <c r="K506" s="7" t="str">
        <f t="shared" si="3"/>
        <v/>
      </c>
      <c r="L506" s="1" t="str">
        <f>IF(I506&gt;0,IF(TODAY()-K506&lt;'Анализ'!$D$4+1,1,0),"")</f>
        <v/>
      </c>
    </row>
    <row r="507" ht="15.75" customHeight="1">
      <c r="B507" s="1" t="str">
        <f t="shared" si="1"/>
        <v/>
      </c>
      <c r="F507" s="1"/>
      <c r="G507" s="17"/>
      <c r="I507" s="1" t="str">
        <f>'Исходник'!T133</f>
        <v/>
      </c>
      <c r="J507" s="1" t="str">
        <f t="array" ref="J507">IFERROR(INDEX('Исходник'!$1:$626,MATCH($I507,'Исходник'!$T:$T,0),MATCH(J$1,'Исходник'!$1:$1,0)))</f>
        <v/>
      </c>
      <c r="K507" s="7" t="str">
        <f t="shared" si="3"/>
        <v/>
      </c>
      <c r="L507" s="1" t="str">
        <f>IF(I507&gt;0,IF(TODAY()-K507&lt;'Анализ'!$D$4+1,1,0),"")</f>
        <v/>
      </c>
    </row>
    <row r="508" ht="15.75" customHeight="1">
      <c r="B508" s="1" t="str">
        <f t="shared" si="1"/>
        <v/>
      </c>
      <c r="F508" s="1"/>
      <c r="G508" s="17"/>
      <c r="I508" s="1" t="str">
        <f>'Исходник'!T134</f>
        <v/>
      </c>
      <c r="J508" s="1" t="str">
        <f t="array" ref="J508">IFERROR(INDEX('Исходник'!$1:$626,MATCH($I508,'Исходник'!$T:$T,0),MATCH(J$1,'Исходник'!$1:$1,0)))</f>
        <v/>
      </c>
      <c r="K508" s="7" t="str">
        <f t="shared" si="3"/>
        <v/>
      </c>
      <c r="L508" s="1" t="str">
        <f>IF(I508&gt;0,IF(TODAY()-K508&lt;'Анализ'!$D$4+1,1,0),"")</f>
        <v/>
      </c>
    </row>
    <row r="509" ht="15.75" customHeight="1">
      <c r="B509" s="1" t="str">
        <f t="shared" si="1"/>
        <v/>
      </c>
      <c r="F509" s="1"/>
      <c r="G509" s="17"/>
      <c r="I509" s="1" t="str">
        <f>'Исходник'!T135</f>
        <v/>
      </c>
      <c r="J509" s="1" t="str">
        <f t="array" ref="J509">IFERROR(INDEX('Исходник'!$1:$626,MATCH($I509,'Исходник'!$T:$T,0),MATCH(J$1,'Исходник'!$1:$1,0)))</f>
        <v/>
      </c>
      <c r="K509" s="7" t="str">
        <f t="shared" si="3"/>
        <v/>
      </c>
      <c r="L509" s="1" t="str">
        <f>IF(I509&gt;0,IF(TODAY()-K509&lt;'Анализ'!$D$4+1,1,0),"")</f>
        <v/>
      </c>
    </row>
    <row r="510" ht="15.75" customHeight="1">
      <c r="B510" s="1" t="str">
        <f t="shared" si="1"/>
        <v/>
      </c>
      <c r="F510" s="1"/>
      <c r="G510" s="17"/>
      <c r="I510" s="1" t="str">
        <f>'Исходник'!T136</f>
        <v/>
      </c>
      <c r="J510" s="1" t="str">
        <f t="array" ref="J510">IFERROR(INDEX('Исходник'!$1:$626,MATCH($I510,'Исходник'!$T:$T,0),MATCH(J$1,'Исходник'!$1:$1,0)))</f>
        <v/>
      </c>
      <c r="K510" s="7" t="str">
        <f t="shared" si="3"/>
        <v/>
      </c>
      <c r="L510" s="1" t="str">
        <f>IF(I510&gt;0,IF(TODAY()-K510&lt;'Анализ'!$D$4+1,1,0),"")</f>
        <v/>
      </c>
    </row>
    <row r="511" ht="15.75" customHeight="1">
      <c r="B511" s="1" t="str">
        <f t="shared" si="1"/>
        <v/>
      </c>
      <c r="F511" s="1"/>
      <c r="G511" s="17"/>
      <c r="I511" s="1" t="str">
        <f>'Исходник'!T137</f>
        <v/>
      </c>
      <c r="J511" s="1" t="str">
        <f t="array" ref="J511">IFERROR(INDEX('Исходник'!$1:$626,MATCH($I511,'Исходник'!$T:$T,0),MATCH(J$1,'Исходник'!$1:$1,0)))</f>
        <v/>
      </c>
      <c r="K511" s="7" t="str">
        <f t="shared" si="3"/>
        <v/>
      </c>
      <c r="L511" s="1" t="str">
        <f>IF(I511&gt;0,IF(TODAY()-K511&lt;'Анализ'!$D$4+1,1,0),"")</f>
        <v/>
      </c>
    </row>
    <row r="512" ht="15.75" customHeight="1">
      <c r="B512" s="1" t="str">
        <f t="shared" si="1"/>
        <v/>
      </c>
      <c r="F512" s="1"/>
      <c r="G512" s="17"/>
      <c r="I512" s="1" t="str">
        <f>'Исходник'!T138</f>
        <v/>
      </c>
      <c r="J512" s="1" t="str">
        <f t="array" ref="J512">IFERROR(INDEX('Исходник'!$1:$626,MATCH($I512,'Исходник'!$T:$T,0),MATCH(J$1,'Исходник'!$1:$1,0)))</f>
        <v/>
      </c>
      <c r="K512" s="7" t="str">
        <f t="shared" si="3"/>
        <v/>
      </c>
      <c r="L512" s="1" t="str">
        <f>IF(I512&gt;0,IF(TODAY()-K512&lt;'Анализ'!$D$4+1,1,0),"")</f>
        <v/>
      </c>
    </row>
    <row r="513" ht="15.75" customHeight="1">
      <c r="B513" s="1" t="str">
        <f t="shared" si="1"/>
        <v/>
      </c>
      <c r="F513" s="1"/>
      <c r="G513" s="17"/>
      <c r="I513" s="1" t="str">
        <f>'Исходник'!T139</f>
        <v/>
      </c>
      <c r="J513" s="1" t="str">
        <f t="array" ref="J513">IFERROR(INDEX('Исходник'!$1:$626,MATCH($I513,'Исходник'!$T:$T,0),MATCH(J$1,'Исходник'!$1:$1,0)))</f>
        <v/>
      </c>
      <c r="K513" s="7" t="str">
        <f t="shared" si="3"/>
        <v/>
      </c>
      <c r="L513" s="1" t="str">
        <f>IF(I513&gt;0,IF(TODAY()-K513&lt;'Анализ'!$D$4+1,1,0),"")</f>
        <v/>
      </c>
    </row>
    <row r="514" ht="15.75" customHeight="1">
      <c r="B514" s="1" t="str">
        <f t="shared" si="1"/>
        <v/>
      </c>
      <c r="F514" s="1"/>
      <c r="G514" s="17"/>
      <c r="I514" s="1" t="str">
        <f>'Исходник'!T140</f>
        <v/>
      </c>
      <c r="J514" s="1" t="str">
        <f t="array" ref="J514">IFERROR(INDEX('Исходник'!$1:$626,MATCH($I514,'Исходник'!$T:$T,0),MATCH(J$1,'Исходник'!$1:$1,0)))</f>
        <v/>
      </c>
      <c r="K514" s="7" t="str">
        <f t="shared" si="3"/>
        <v/>
      </c>
      <c r="L514" s="1" t="str">
        <f>IF(I514&gt;0,IF(TODAY()-K514&lt;'Анализ'!$D$4+1,1,0),"")</f>
        <v/>
      </c>
    </row>
    <row r="515" ht="15.75" customHeight="1">
      <c r="B515" s="1" t="str">
        <f t="shared" si="1"/>
        <v/>
      </c>
      <c r="F515" s="1"/>
      <c r="G515" s="17"/>
      <c r="I515" s="1" t="str">
        <f>'Исходник'!T141</f>
        <v/>
      </c>
      <c r="J515" s="1" t="str">
        <f t="array" ref="J515">IFERROR(INDEX('Исходник'!$1:$626,MATCH($I515,'Исходник'!$T:$T,0),MATCH(J$1,'Исходник'!$1:$1,0)))</f>
        <v/>
      </c>
      <c r="K515" s="7" t="str">
        <f t="shared" si="3"/>
        <v/>
      </c>
      <c r="L515" s="1" t="str">
        <f>IF(I515&gt;0,IF(TODAY()-K515&lt;'Анализ'!$D$4+1,1,0),"")</f>
        <v/>
      </c>
    </row>
    <row r="516" ht="15.75" customHeight="1">
      <c r="B516" s="1" t="str">
        <f t="shared" si="1"/>
        <v/>
      </c>
      <c r="F516" s="1"/>
      <c r="G516" s="17"/>
      <c r="I516" s="1" t="str">
        <f>'Исходник'!T142</f>
        <v/>
      </c>
      <c r="J516" s="1" t="str">
        <f t="array" ref="J516">IFERROR(INDEX('Исходник'!$1:$626,MATCH($I516,'Исходник'!$T:$T,0),MATCH(J$1,'Исходник'!$1:$1,0)))</f>
        <v/>
      </c>
      <c r="K516" s="7" t="str">
        <f t="shared" si="3"/>
        <v/>
      </c>
      <c r="L516" s="1" t="str">
        <f>IF(I516&gt;0,IF(TODAY()-K516&lt;'Анализ'!$D$4+1,1,0),"")</f>
        <v/>
      </c>
    </row>
    <row r="517" ht="15.75" customHeight="1">
      <c r="B517" s="1" t="str">
        <f t="shared" si="1"/>
        <v/>
      </c>
      <c r="F517" s="1"/>
      <c r="G517" s="17"/>
      <c r="I517" s="1" t="str">
        <f>'Исходник'!T143</f>
        <v/>
      </c>
      <c r="J517" s="1" t="str">
        <f t="array" ref="J517">IFERROR(INDEX('Исходник'!$1:$626,MATCH($I517,'Исходник'!$T:$T,0),MATCH(J$1,'Исходник'!$1:$1,0)))</f>
        <v/>
      </c>
      <c r="K517" s="7" t="str">
        <f t="shared" si="3"/>
        <v/>
      </c>
      <c r="L517" s="1" t="str">
        <f>IF(I517&gt;0,IF(TODAY()-K517&lt;'Анализ'!$D$4+1,1,0),"")</f>
        <v/>
      </c>
    </row>
    <row r="518" ht="15.75" customHeight="1">
      <c r="B518" s="1" t="str">
        <f t="shared" si="1"/>
        <v/>
      </c>
      <c r="F518" s="1"/>
      <c r="G518" s="17"/>
      <c r="I518" s="1" t="str">
        <f>'Исходник'!T144</f>
        <v/>
      </c>
      <c r="J518" s="1" t="str">
        <f t="array" ref="J518">IFERROR(INDEX('Исходник'!$1:$626,MATCH($I518,'Исходник'!$T:$T,0),MATCH(J$1,'Исходник'!$1:$1,0)))</f>
        <v/>
      </c>
      <c r="K518" s="7" t="str">
        <f t="shared" si="3"/>
        <v/>
      </c>
      <c r="L518" s="1" t="str">
        <f>IF(I518&gt;0,IF(TODAY()-K518&lt;'Анализ'!$D$4+1,1,0),"")</f>
        <v/>
      </c>
    </row>
    <row r="519" ht="15.75" customHeight="1">
      <c r="B519" s="1" t="str">
        <f t="shared" si="1"/>
        <v/>
      </c>
      <c r="F519" s="1"/>
      <c r="G519" s="17"/>
      <c r="I519" s="1" t="str">
        <f>'Исходник'!T145</f>
        <v/>
      </c>
      <c r="J519" s="1" t="str">
        <f t="array" ref="J519">IFERROR(INDEX('Исходник'!$1:$626,MATCH($I519,'Исходник'!$T:$T,0),MATCH(J$1,'Исходник'!$1:$1,0)))</f>
        <v/>
      </c>
      <c r="K519" s="7" t="str">
        <f t="shared" si="3"/>
        <v/>
      </c>
      <c r="L519" s="1" t="str">
        <f>IF(I519&gt;0,IF(TODAY()-K519&lt;'Анализ'!$D$4+1,1,0),"")</f>
        <v/>
      </c>
    </row>
    <row r="520" ht="15.75" customHeight="1">
      <c r="B520" s="1" t="str">
        <f t="shared" si="1"/>
        <v/>
      </c>
      <c r="F520" s="1"/>
      <c r="G520" s="17"/>
      <c r="I520" s="1" t="str">
        <f>'Исходник'!T146</f>
        <v/>
      </c>
      <c r="J520" s="1" t="str">
        <f t="array" ref="J520">IFERROR(INDEX('Исходник'!$1:$626,MATCH($I520,'Исходник'!$T:$T,0),MATCH(J$1,'Исходник'!$1:$1,0)))</f>
        <v/>
      </c>
      <c r="K520" s="7" t="str">
        <f t="shared" si="3"/>
        <v/>
      </c>
      <c r="L520" s="1" t="str">
        <f>IF(I520&gt;0,IF(TODAY()-K520&lt;'Анализ'!$D$4+1,1,0),"")</f>
        <v/>
      </c>
    </row>
    <row r="521" ht="15.75" customHeight="1">
      <c r="B521" s="1" t="str">
        <f t="shared" si="1"/>
        <v/>
      </c>
      <c r="F521" s="1"/>
      <c r="G521" s="17"/>
      <c r="I521" s="1" t="str">
        <f>'Исходник'!T147</f>
        <v/>
      </c>
      <c r="J521" s="1" t="str">
        <f t="array" ref="J521">IFERROR(INDEX('Исходник'!$1:$626,MATCH($I521,'Исходник'!$T:$T,0),MATCH(J$1,'Исходник'!$1:$1,0)))</f>
        <v/>
      </c>
      <c r="K521" s="7" t="str">
        <f t="shared" si="3"/>
        <v/>
      </c>
      <c r="L521" s="1" t="str">
        <f>IF(I521&gt;0,IF(TODAY()-K521&lt;'Анализ'!$D$4+1,1,0),"")</f>
        <v/>
      </c>
    </row>
    <row r="522" ht="15.75" customHeight="1">
      <c r="B522" s="1" t="str">
        <f t="shared" si="1"/>
        <v/>
      </c>
      <c r="F522" s="1"/>
      <c r="G522" s="17"/>
      <c r="I522" s="1" t="str">
        <f>'Исходник'!T148</f>
        <v/>
      </c>
      <c r="J522" s="1" t="str">
        <f t="array" ref="J522">IFERROR(INDEX('Исходник'!$1:$626,MATCH($I522,'Исходник'!$T:$T,0),MATCH(J$1,'Исходник'!$1:$1,0)))</f>
        <v/>
      </c>
      <c r="K522" s="7" t="str">
        <f t="shared" si="3"/>
        <v/>
      </c>
      <c r="L522" s="1" t="str">
        <f>IF(I522&gt;0,IF(TODAY()-K522&lt;'Анализ'!$D$4+1,1,0),"")</f>
        <v/>
      </c>
    </row>
    <row r="523" ht="15.75" customHeight="1">
      <c r="B523" s="1" t="str">
        <f t="shared" si="1"/>
        <v/>
      </c>
      <c r="F523" s="1"/>
      <c r="G523" s="17"/>
      <c r="I523" s="1" t="str">
        <f>'Исходник'!T149</f>
        <v/>
      </c>
      <c r="J523" s="1" t="str">
        <f t="array" ref="J523">IFERROR(INDEX('Исходник'!$1:$626,MATCH($I523,'Исходник'!$T:$T,0),MATCH(J$1,'Исходник'!$1:$1,0)))</f>
        <v/>
      </c>
      <c r="K523" s="7" t="str">
        <f t="shared" si="3"/>
        <v/>
      </c>
      <c r="L523" s="1" t="str">
        <f>IF(I523&gt;0,IF(TODAY()-K523&lt;'Анализ'!$D$4+1,1,0),"")</f>
        <v/>
      </c>
    </row>
    <row r="524" ht="15.75" customHeight="1">
      <c r="B524" s="1" t="str">
        <f t="shared" si="1"/>
        <v/>
      </c>
      <c r="F524" s="1"/>
      <c r="G524" s="17"/>
      <c r="I524" s="1" t="str">
        <f>'Исходник'!T150</f>
        <v/>
      </c>
      <c r="J524" s="1" t="str">
        <f t="array" ref="J524">IFERROR(INDEX('Исходник'!$1:$626,MATCH($I524,'Исходник'!$T:$T,0),MATCH(J$1,'Исходник'!$1:$1,0)))</f>
        <v/>
      </c>
      <c r="K524" s="7" t="str">
        <f t="shared" si="3"/>
        <v/>
      </c>
      <c r="L524" s="1" t="str">
        <f>IF(I524&gt;0,IF(TODAY()-K524&lt;'Анализ'!$D$4+1,1,0),"")</f>
        <v/>
      </c>
    </row>
    <row r="525" ht="15.75" customHeight="1">
      <c r="B525" s="1" t="str">
        <f t="shared" si="1"/>
        <v/>
      </c>
      <c r="F525" s="1"/>
      <c r="G525" s="17"/>
      <c r="I525" s="1" t="str">
        <f>'Исходник'!T151</f>
        <v/>
      </c>
      <c r="J525" s="1" t="str">
        <f t="array" ref="J525">IFERROR(INDEX('Исходник'!$1:$626,MATCH($I525,'Исходник'!$T:$T,0),MATCH(J$1,'Исходник'!$1:$1,0)))</f>
        <v/>
      </c>
      <c r="K525" s="7" t="str">
        <f t="shared" si="3"/>
        <v/>
      </c>
      <c r="L525" s="1" t="str">
        <f>IF(I525&gt;0,IF(TODAY()-K525&lt;'Анализ'!$D$4+1,1,0),"")</f>
        <v/>
      </c>
    </row>
    <row r="526" ht="15.75" customHeight="1">
      <c r="B526" s="1" t="str">
        <f t="shared" si="1"/>
        <v/>
      </c>
      <c r="F526" s="1"/>
      <c r="G526" s="17"/>
      <c r="I526" s="1" t="str">
        <f>'Исходник'!T152</f>
        <v/>
      </c>
      <c r="J526" s="1" t="str">
        <f t="array" ref="J526">IFERROR(INDEX('Исходник'!$1:$626,MATCH($I526,'Исходник'!$T:$T,0),MATCH(J$1,'Исходник'!$1:$1,0)))</f>
        <v/>
      </c>
      <c r="K526" s="7" t="str">
        <f t="shared" si="3"/>
        <v/>
      </c>
      <c r="L526" s="1" t="str">
        <f>IF(I526&gt;0,IF(TODAY()-K526&lt;'Анализ'!$D$4+1,1,0),"")</f>
        <v/>
      </c>
    </row>
    <row r="527" ht="15.75" customHeight="1">
      <c r="B527" s="1" t="str">
        <f t="shared" si="1"/>
        <v/>
      </c>
      <c r="F527" s="1"/>
      <c r="G527" s="17"/>
      <c r="I527" s="1" t="str">
        <f>'Исходник'!T153</f>
        <v/>
      </c>
      <c r="J527" s="1" t="str">
        <f t="array" ref="J527">IFERROR(INDEX('Исходник'!$1:$626,MATCH($I527,'Исходник'!$T:$T,0),MATCH(J$1,'Исходник'!$1:$1,0)))</f>
        <v/>
      </c>
      <c r="K527" s="7" t="str">
        <f t="shared" si="3"/>
        <v/>
      </c>
      <c r="L527" s="1" t="str">
        <f>IF(I527&gt;0,IF(TODAY()-K527&lt;'Анализ'!$D$4+1,1,0),"")</f>
        <v/>
      </c>
    </row>
    <row r="528" ht="15.75" customHeight="1">
      <c r="B528" s="1" t="str">
        <f t="shared" si="1"/>
        <v/>
      </c>
      <c r="F528" s="1"/>
      <c r="G528" s="17"/>
      <c r="I528" s="1" t="str">
        <f>'Исходник'!T154</f>
        <v/>
      </c>
      <c r="J528" s="1" t="str">
        <f t="array" ref="J528">IFERROR(INDEX('Исходник'!$1:$626,MATCH($I528,'Исходник'!$T:$T,0),MATCH(J$1,'Исходник'!$1:$1,0)))</f>
        <v/>
      </c>
      <c r="K528" s="7" t="str">
        <f t="shared" si="3"/>
        <v/>
      </c>
      <c r="L528" s="1" t="str">
        <f>IF(I528&gt;0,IF(TODAY()-K528&lt;'Анализ'!$D$4+1,1,0),"")</f>
        <v/>
      </c>
    </row>
    <row r="529" ht="15.75" customHeight="1">
      <c r="B529" s="1" t="str">
        <f t="shared" si="1"/>
        <v/>
      </c>
      <c r="F529" s="1"/>
      <c r="G529" s="17"/>
      <c r="I529" s="1" t="str">
        <f>'Исходник'!T155</f>
        <v/>
      </c>
      <c r="J529" s="1" t="str">
        <f t="array" ref="J529">IFERROR(INDEX('Исходник'!$1:$626,MATCH($I529,'Исходник'!$T:$T,0),MATCH(J$1,'Исходник'!$1:$1,0)))</f>
        <v/>
      </c>
      <c r="K529" s="7" t="str">
        <f t="shared" si="3"/>
        <v/>
      </c>
      <c r="L529" s="1" t="str">
        <f>IF(I529&gt;0,IF(TODAY()-K529&lt;'Анализ'!$D$4+1,1,0),"")</f>
        <v/>
      </c>
    </row>
    <row r="530" ht="15.75" customHeight="1">
      <c r="B530" s="1" t="str">
        <f t="shared" si="1"/>
        <v/>
      </c>
      <c r="F530" s="1"/>
      <c r="G530" s="17"/>
      <c r="I530" s="1" t="str">
        <f>'Исходник'!T156</f>
        <v/>
      </c>
      <c r="J530" s="1" t="str">
        <f t="array" ref="J530">IFERROR(INDEX('Исходник'!$1:$626,MATCH($I530,'Исходник'!$T:$T,0),MATCH(J$1,'Исходник'!$1:$1,0)))</f>
        <v/>
      </c>
      <c r="K530" s="7" t="str">
        <f t="shared" si="3"/>
        <v/>
      </c>
      <c r="L530" s="1" t="str">
        <f>IF(I530&gt;0,IF(TODAY()-K530&lt;'Анализ'!$D$4+1,1,0),"")</f>
        <v/>
      </c>
    </row>
    <row r="531" ht="15.75" customHeight="1">
      <c r="B531" s="1" t="str">
        <f t="shared" si="1"/>
        <v/>
      </c>
      <c r="F531" s="1"/>
      <c r="G531" s="17"/>
      <c r="I531" s="1" t="str">
        <f>'Исходник'!T157</f>
        <v/>
      </c>
      <c r="J531" s="1" t="str">
        <f t="array" ref="J531">IFERROR(INDEX('Исходник'!$1:$626,MATCH($I531,'Исходник'!$T:$T,0),MATCH(J$1,'Исходник'!$1:$1,0)))</f>
        <v/>
      </c>
      <c r="K531" s="7" t="str">
        <f t="shared" si="3"/>
        <v/>
      </c>
      <c r="L531" s="1" t="str">
        <f>IF(I531&gt;0,IF(TODAY()-K531&lt;'Анализ'!$D$4+1,1,0),"")</f>
        <v/>
      </c>
    </row>
    <row r="532" ht="15.75" customHeight="1">
      <c r="B532" s="1" t="str">
        <f t="shared" si="1"/>
        <v/>
      </c>
      <c r="F532" s="1"/>
      <c r="G532" s="17"/>
      <c r="I532" s="1" t="str">
        <f>'Исходник'!T158</f>
        <v/>
      </c>
      <c r="J532" s="1" t="str">
        <f t="array" ref="J532">IFERROR(INDEX('Исходник'!$1:$626,MATCH($I532,'Исходник'!$T:$T,0),MATCH(J$1,'Исходник'!$1:$1,0)))</f>
        <v/>
      </c>
      <c r="K532" s="7" t="str">
        <f t="shared" si="3"/>
        <v/>
      </c>
      <c r="L532" s="1" t="str">
        <f>IF(I532&gt;0,IF(TODAY()-K532&lt;'Анализ'!$D$4+1,1,0),"")</f>
        <v/>
      </c>
    </row>
    <row r="533" ht="15.75" customHeight="1">
      <c r="B533" s="1" t="str">
        <f t="shared" si="1"/>
        <v/>
      </c>
      <c r="F533" s="1"/>
      <c r="G533" s="17"/>
      <c r="I533" s="1" t="str">
        <f>'Исходник'!T159</f>
        <v/>
      </c>
      <c r="J533" s="1" t="str">
        <f t="array" ref="J533">IFERROR(INDEX('Исходник'!$1:$626,MATCH($I533,'Исходник'!$T:$T,0),MATCH(J$1,'Исходник'!$1:$1,0)))</f>
        <v/>
      </c>
      <c r="K533" s="7" t="str">
        <f t="shared" si="3"/>
        <v/>
      </c>
      <c r="L533" s="1" t="str">
        <f>IF(I533&gt;0,IF(TODAY()-K533&lt;'Анализ'!$D$4+1,1,0),"")</f>
        <v/>
      </c>
    </row>
    <row r="534" ht="15.75" customHeight="1">
      <c r="B534" s="1" t="str">
        <f t="shared" si="1"/>
        <v/>
      </c>
      <c r="F534" s="1"/>
      <c r="G534" s="17"/>
      <c r="I534" s="1" t="str">
        <f>'Исходник'!T160</f>
        <v/>
      </c>
      <c r="J534" s="1" t="str">
        <f t="array" ref="J534">IFERROR(INDEX('Исходник'!$1:$626,MATCH($I534,'Исходник'!$T:$T,0),MATCH(J$1,'Исходник'!$1:$1,0)))</f>
        <v/>
      </c>
      <c r="K534" s="7" t="str">
        <f t="shared" si="3"/>
        <v/>
      </c>
      <c r="L534" s="1" t="str">
        <f>IF(I534&gt;0,IF(TODAY()-K534&lt;'Анализ'!$D$4+1,1,0),"")</f>
        <v/>
      </c>
    </row>
    <row r="535" ht="15.75" customHeight="1">
      <c r="B535" s="1" t="str">
        <f t="shared" si="1"/>
        <v/>
      </c>
      <c r="F535" s="1"/>
      <c r="G535" s="17"/>
      <c r="I535" s="1" t="str">
        <f>'Исходник'!T161</f>
        <v/>
      </c>
      <c r="J535" s="1" t="str">
        <f t="array" ref="J535">IFERROR(INDEX('Исходник'!$1:$626,MATCH($I535,'Исходник'!$T:$T,0),MATCH(J$1,'Исходник'!$1:$1,0)))</f>
        <v/>
      </c>
      <c r="K535" s="7" t="str">
        <f t="shared" si="3"/>
        <v/>
      </c>
      <c r="L535" s="1" t="str">
        <f>IF(I535&gt;0,IF(TODAY()-K535&lt;'Анализ'!$D$4+1,1,0),"")</f>
        <v/>
      </c>
    </row>
    <row r="536" ht="15.75" customHeight="1">
      <c r="B536" s="1" t="str">
        <f t="shared" si="1"/>
        <v/>
      </c>
      <c r="F536" s="1"/>
      <c r="G536" s="17"/>
      <c r="I536" s="1" t="str">
        <f>'Исходник'!T162</f>
        <v/>
      </c>
      <c r="J536" s="1" t="str">
        <f t="array" ref="J536">IFERROR(INDEX('Исходник'!$1:$626,MATCH($I536,'Исходник'!$T:$T,0),MATCH(J$1,'Исходник'!$1:$1,0)))</f>
        <v/>
      </c>
      <c r="K536" s="7" t="str">
        <f t="shared" si="3"/>
        <v/>
      </c>
      <c r="L536" s="1" t="str">
        <f>IF(I536&gt;0,IF(TODAY()-K536&lt;'Анализ'!$D$4+1,1,0),"")</f>
        <v/>
      </c>
    </row>
    <row r="537" ht="15.75" customHeight="1">
      <c r="B537" s="1" t="str">
        <f t="shared" si="1"/>
        <v/>
      </c>
      <c r="F537" s="1"/>
      <c r="G537" s="17"/>
      <c r="I537" s="1" t="str">
        <f>'Исходник'!T163</f>
        <v/>
      </c>
      <c r="J537" s="1" t="str">
        <f t="array" ref="J537">IFERROR(INDEX('Исходник'!$1:$626,MATCH($I537,'Исходник'!$T:$T,0),MATCH(J$1,'Исходник'!$1:$1,0)))</f>
        <v/>
      </c>
      <c r="K537" s="7" t="str">
        <f t="shared" si="3"/>
        <v/>
      </c>
      <c r="L537" s="1" t="str">
        <f>IF(I537&gt;0,IF(TODAY()-K537&lt;'Анализ'!$D$4+1,1,0),"")</f>
        <v/>
      </c>
    </row>
    <row r="538" ht="15.75" customHeight="1">
      <c r="B538" s="1" t="str">
        <f t="shared" si="1"/>
        <v/>
      </c>
      <c r="F538" s="1"/>
      <c r="G538" s="17"/>
      <c r="I538" s="1" t="str">
        <f>'Исходник'!T164</f>
        <v/>
      </c>
      <c r="J538" s="1" t="str">
        <f t="array" ref="J538">IFERROR(INDEX('Исходник'!$1:$626,MATCH($I538,'Исходник'!$T:$T,0),MATCH(J$1,'Исходник'!$1:$1,0)))</f>
        <v/>
      </c>
      <c r="K538" s="7" t="str">
        <f t="shared" si="3"/>
        <v/>
      </c>
      <c r="L538" s="1" t="str">
        <f>IF(I538&gt;0,IF(TODAY()-K538&lt;'Анализ'!$D$4+1,1,0),"")</f>
        <v/>
      </c>
    </row>
    <row r="539" ht="15.75" customHeight="1">
      <c r="B539" s="1" t="str">
        <f t="shared" si="1"/>
        <v/>
      </c>
      <c r="F539" s="1"/>
      <c r="G539" s="17"/>
      <c r="I539" s="1" t="str">
        <f>'Исходник'!T165</f>
        <v/>
      </c>
      <c r="J539" s="1" t="str">
        <f t="array" ref="J539">IFERROR(INDEX('Исходник'!$1:$626,MATCH($I539,'Исходник'!$T:$T,0),MATCH(J$1,'Исходник'!$1:$1,0)))</f>
        <v/>
      </c>
      <c r="K539" s="7" t="str">
        <f t="shared" si="3"/>
        <v/>
      </c>
      <c r="L539" s="1" t="str">
        <f>IF(I539&gt;0,IF(TODAY()-K539&lt;'Анализ'!$D$4+1,1,0),"")</f>
        <v/>
      </c>
    </row>
    <row r="540" ht="15.75" customHeight="1">
      <c r="B540" s="1" t="str">
        <f t="shared" si="1"/>
        <v/>
      </c>
      <c r="F540" s="1"/>
      <c r="G540" s="17"/>
      <c r="I540" s="1" t="str">
        <f>'Исходник'!T166</f>
        <v/>
      </c>
      <c r="J540" s="1" t="str">
        <f t="array" ref="J540">IFERROR(INDEX('Исходник'!$1:$626,MATCH($I540,'Исходник'!$T:$T,0),MATCH(J$1,'Исходник'!$1:$1,0)))</f>
        <v/>
      </c>
      <c r="K540" s="7" t="str">
        <f t="shared" si="3"/>
        <v/>
      </c>
      <c r="L540" s="1" t="str">
        <f>IF(I540&gt;0,IF(TODAY()-K540&lt;'Анализ'!$D$4+1,1,0),"")</f>
        <v/>
      </c>
    </row>
    <row r="541" ht="15.75" customHeight="1">
      <c r="B541" s="1" t="str">
        <f t="shared" si="1"/>
        <v/>
      </c>
      <c r="F541" s="1"/>
      <c r="G541" s="17"/>
      <c r="I541" s="1" t="str">
        <f>'Исходник'!T167</f>
        <v/>
      </c>
      <c r="J541" s="1" t="str">
        <f t="array" ref="J541">IFERROR(INDEX('Исходник'!$1:$626,MATCH($I541,'Исходник'!$T:$T,0),MATCH(J$1,'Исходник'!$1:$1,0)))</f>
        <v/>
      </c>
      <c r="K541" s="7" t="str">
        <f t="shared" si="3"/>
        <v/>
      </c>
      <c r="L541" s="1" t="str">
        <f>IF(I541&gt;0,IF(TODAY()-K541&lt;'Анализ'!$D$4+1,1,0),"")</f>
        <v/>
      </c>
    </row>
    <row r="542" ht="15.75" customHeight="1">
      <c r="B542" s="1" t="str">
        <f t="shared" si="1"/>
        <v/>
      </c>
      <c r="F542" s="1"/>
      <c r="G542" s="17"/>
      <c r="I542" s="1" t="str">
        <f>'Исходник'!T168</f>
        <v/>
      </c>
      <c r="J542" s="1" t="str">
        <f t="array" ref="J542">IFERROR(INDEX('Исходник'!$1:$626,MATCH($I542,'Исходник'!$T:$T,0),MATCH(J$1,'Исходник'!$1:$1,0)))</f>
        <v/>
      </c>
      <c r="K542" s="7" t="str">
        <f t="shared" si="3"/>
        <v/>
      </c>
      <c r="L542" s="1" t="str">
        <f>IF(I542&gt;0,IF(TODAY()-K542&lt;'Анализ'!$D$4+1,1,0),"")</f>
        <v/>
      </c>
    </row>
    <row r="543" ht="15.75" customHeight="1">
      <c r="B543" s="1" t="str">
        <f t="shared" si="1"/>
        <v/>
      </c>
      <c r="F543" s="1"/>
      <c r="G543" s="17"/>
      <c r="I543" s="1" t="str">
        <f>'Исходник'!T169</f>
        <v/>
      </c>
      <c r="J543" s="1" t="str">
        <f t="array" ref="J543">IFERROR(INDEX('Исходник'!$1:$626,MATCH($I543,'Исходник'!$T:$T,0),MATCH(J$1,'Исходник'!$1:$1,0)))</f>
        <v/>
      </c>
      <c r="K543" s="7" t="str">
        <f t="shared" si="3"/>
        <v/>
      </c>
      <c r="L543" s="1" t="str">
        <f>IF(I543&gt;0,IF(TODAY()-K543&lt;'Анализ'!$D$4+1,1,0),"")</f>
        <v/>
      </c>
    </row>
    <row r="544" ht="15.75" customHeight="1">
      <c r="B544" s="1" t="str">
        <f t="shared" si="1"/>
        <v/>
      </c>
      <c r="F544" s="1"/>
      <c r="G544" s="17"/>
      <c r="I544" s="1" t="str">
        <f>'Исходник'!T170</f>
        <v/>
      </c>
      <c r="J544" s="1" t="str">
        <f t="array" ref="J544">IFERROR(INDEX('Исходник'!$1:$626,MATCH($I544,'Исходник'!$T:$T,0),MATCH(J$1,'Исходник'!$1:$1,0)))</f>
        <v/>
      </c>
      <c r="K544" s="7" t="str">
        <f t="shared" si="3"/>
        <v/>
      </c>
      <c r="L544" s="1" t="str">
        <f>IF(I544&gt;0,IF(TODAY()-K544&lt;'Анализ'!$D$4+1,1,0),"")</f>
        <v/>
      </c>
    </row>
    <row r="545" ht="15.75" customHeight="1">
      <c r="B545" s="1" t="str">
        <f t="shared" si="1"/>
        <v/>
      </c>
      <c r="F545" s="1"/>
      <c r="G545" s="17"/>
      <c r="I545" s="1" t="str">
        <f>'Исходник'!T171</f>
        <v/>
      </c>
      <c r="J545" s="1" t="str">
        <f t="array" ref="J545">IFERROR(INDEX('Исходник'!$1:$626,MATCH($I545,'Исходник'!$T:$T,0),MATCH(J$1,'Исходник'!$1:$1,0)))</f>
        <v/>
      </c>
      <c r="K545" s="7" t="str">
        <f t="shared" si="3"/>
        <v/>
      </c>
      <c r="L545" s="1" t="str">
        <f>IF(I545&gt;0,IF(TODAY()-K545&lt;'Анализ'!$D$4+1,1,0),"")</f>
        <v/>
      </c>
    </row>
    <row r="546" ht="15.75" customHeight="1">
      <c r="B546" s="1" t="str">
        <f t="shared" si="1"/>
        <v/>
      </c>
      <c r="F546" s="1"/>
      <c r="G546" s="17"/>
      <c r="I546" s="1" t="str">
        <f>'Исходник'!T172</f>
        <v/>
      </c>
      <c r="J546" s="1" t="str">
        <f t="array" ref="J546">IFERROR(INDEX('Исходник'!$1:$626,MATCH($I546,'Исходник'!$T:$T,0),MATCH(J$1,'Исходник'!$1:$1,0)))</f>
        <v/>
      </c>
      <c r="K546" s="7" t="str">
        <f t="shared" si="3"/>
        <v/>
      </c>
      <c r="L546" s="1" t="str">
        <f>IF(I546&gt;0,IF(TODAY()-K546&lt;'Анализ'!$D$4+1,1,0),"")</f>
        <v/>
      </c>
    </row>
    <row r="547" ht="15.75" customHeight="1">
      <c r="B547" s="1" t="str">
        <f t="shared" si="1"/>
        <v/>
      </c>
      <c r="F547" s="1"/>
      <c r="G547" s="17"/>
      <c r="I547" s="1" t="str">
        <f>'Исходник'!T173</f>
        <v/>
      </c>
      <c r="J547" s="1" t="str">
        <f t="array" ref="J547">IFERROR(INDEX('Исходник'!$1:$626,MATCH($I547,'Исходник'!$T:$T,0),MATCH(J$1,'Исходник'!$1:$1,0)))</f>
        <v/>
      </c>
      <c r="K547" s="7" t="str">
        <f t="shared" si="3"/>
        <v/>
      </c>
      <c r="L547" s="1" t="str">
        <f>IF(I547&gt;0,IF(TODAY()-K547&lt;'Анализ'!$D$4+1,1,0),"")</f>
        <v/>
      </c>
    </row>
    <row r="548" ht="15.75" customHeight="1">
      <c r="B548" s="1" t="str">
        <f t="shared" si="1"/>
        <v/>
      </c>
      <c r="F548" s="1"/>
      <c r="G548" s="17"/>
      <c r="I548" s="1" t="str">
        <f>'Исходник'!T174</f>
        <v/>
      </c>
      <c r="J548" s="1" t="str">
        <f t="array" ref="J548">IFERROR(INDEX('Исходник'!$1:$626,MATCH($I548,'Исходник'!$T:$T,0),MATCH(J$1,'Исходник'!$1:$1,0)))</f>
        <v/>
      </c>
      <c r="K548" s="7" t="str">
        <f t="shared" si="3"/>
        <v/>
      </c>
      <c r="L548" s="1" t="str">
        <f>IF(I548&gt;0,IF(TODAY()-K548&lt;'Анализ'!$D$4+1,1,0),"")</f>
        <v/>
      </c>
    </row>
    <row r="549" ht="15.75" customHeight="1">
      <c r="B549" s="1" t="str">
        <f t="shared" si="1"/>
        <v/>
      </c>
      <c r="F549" s="1"/>
      <c r="G549" s="17"/>
      <c r="I549" s="1" t="str">
        <f>'Исходник'!T175</f>
        <v/>
      </c>
      <c r="J549" s="1" t="str">
        <f t="array" ref="J549">IFERROR(INDEX('Исходник'!$1:$626,MATCH($I549,'Исходник'!$T:$T,0),MATCH(J$1,'Исходник'!$1:$1,0)))</f>
        <v/>
      </c>
      <c r="K549" s="7" t="str">
        <f t="shared" si="3"/>
        <v/>
      </c>
      <c r="L549" s="1" t="str">
        <f>IF(I549&gt;0,IF(TODAY()-K549&lt;'Анализ'!$D$4+1,1,0),"")</f>
        <v/>
      </c>
    </row>
    <row r="550" ht="15.75" customHeight="1">
      <c r="B550" s="1" t="str">
        <f t="shared" si="1"/>
        <v/>
      </c>
      <c r="F550" s="1"/>
      <c r="G550" s="17"/>
      <c r="I550" s="1" t="str">
        <f>'Исходник'!T176</f>
        <v/>
      </c>
      <c r="J550" s="1" t="str">
        <f t="array" ref="J550">IFERROR(INDEX('Исходник'!$1:$626,MATCH($I550,'Исходник'!$T:$T,0),MATCH(J$1,'Исходник'!$1:$1,0)))</f>
        <v/>
      </c>
      <c r="K550" s="7" t="str">
        <f t="shared" si="3"/>
        <v/>
      </c>
      <c r="L550" s="1" t="str">
        <f>IF(I550&gt;0,IF(TODAY()-K550&lt;'Анализ'!$D$4+1,1,0),"")</f>
        <v/>
      </c>
    </row>
    <row r="551" ht="15.75" customHeight="1">
      <c r="B551" s="1" t="str">
        <f t="shared" si="1"/>
        <v/>
      </c>
      <c r="F551" s="1"/>
      <c r="G551" s="17"/>
      <c r="I551" s="1" t="str">
        <f>'Исходник'!T177</f>
        <v/>
      </c>
      <c r="J551" s="1" t="str">
        <f t="array" ref="J551">IFERROR(INDEX('Исходник'!$1:$626,MATCH($I551,'Исходник'!$T:$T,0),MATCH(J$1,'Исходник'!$1:$1,0)))</f>
        <v/>
      </c>
      <c r="K551" s="7" t="str">
        <f t="shared" si="3"/>
        <v/>
      </c>
      <c r="L551" s="1" t="str">
        <f>IF(I551&gt;0,IF(TODAY()-K551&lt;'Анализ'!$D$4+1,1,0),"")</f>
        <v/>
      </c>
    </row>
    <row r="552" ht="15.75" customHeight="1">
      <c r="B552" s="1" t="str">
        <f t="shared" si="1"/>
        <v/>
      </c>
      <c r="F552" s="1"/>
      <c r="G552" s="17"/>
      <c r="I552" s="1" t="str">
        <f>'Исходник'!T178</f>
        <v/>
      </c>
      <c r="J552" s="1" t="str">
        <f t="array" ref="J552">IFERROR(INDEX('Исходник'!$1:$626,MATCH($I552,'Исходник'!$T:$T,0),MATCH(J$1,'Исходник'!$1:$1,0)))</f>
        <v/>
      </c>
      <c r="K552" s="7" t="str">
        <f t="shared" si="3"/>
        <v/>
      </c>
      <c r="L552" s="1" t="str">
        <f>IF(I552&gt;0,IF(TODAY()-K552&lt;'Анализ'!$D$4+1,1,0),"")</f>
        <v/>
      </c>
    </row>
    <row r="553" ht="15.75" customHeight="1">
      <c r="B553" s="1" t="str">
        <f t="shared" si="1"/>
        <v/>
      </c>
      <c r="F553" s="1"/>
      <c r="G553" s="17"/>
      <c r="I553" s="1" t="str">
        <f>'Исходник'!T179</f>
        <v/>
      </c>
      <c r="J553" s="1" t="str">
        <f t="array" ref="J553">IFERROR(INDEX('Исходник'!$1:$626,MATCH($I553,'Исходник'!$T:$T,0),MATCH(J$1,'Исходник'!$1:$1,0)))</f>
        <v/>
      </c>
      <c r="K553" s="7" t="str">
        <f t="shared" si="3"/>
        <v/>
      </c>
      <c r="L553" s="1" t="str">
        <f>IF(I553&gt;0,IF(TODAY()-K553&lt;'Анализ'!$D$4+1,1,0),"")</f>
        <v/>
      </c>
    </row>
    <row r="554" ht="15.75" customHeight="1">
      <c r="B554" s="1" t="str">
        <f t="shared" si="1"/>
        <v/>
      </c>
      <c r="F554" s="1"/>
      <c r="G554" s="17"/>
      <c r="I554" s="1" t="str">
        <f>'Исходник'!T180</f>
        <v/>
      </c>
      <c r="J554" s="1" t="str">
        <f t="array" ref="J554">IFERROR(INDEX('Исходник'!$1:$626,MATCH($I554,'Исходник'!$T:$T,0),MATCH(J$1,'Исходник'!$1:$1,0)))</f>
        <v/>
      </c>
      <c r="K554" s="7" t="str">
        <f t="shared" si="3"/>
        <v/>
      </c>
      <c r="L554" s="1" t="str">
        <f>IF(I554&gt;0,IF(TODAY()-K554&lt;'Анализ'!$D$4+1,1,0),"")</f>
        <v/>
      </c>
    </row>
    <row r="555" ht="15.75" customHeight="1">
      <c r="B555" s="1" t="str">
        <f t="shared" si="1"/>
        <v/>
      </c>
      <c r="F555" s="1"/>
      <c r="G555" s="17"/>
      <c r="I555" s="1" t="str">
        <f>'Исходник'!T181</f>
        <v/>
      </c>
      <c r="J555" s="1" t="str">
        <f t="array" ref="J555">IFERROR(INDEX('Исходник'!$1:$626,MATCH($I555,'Исходник'!$T:$T,0),MATCH(J$1,'Исходник'!$1:$1,0)))</f>
        <v/>
      </c>
      <c r="K555" s="7" t="str">
        <f t="shared" si="3"/>
        <v/>
      </c>
      <c r="L555" s="1" t="str">
        <f>IF(I555&gt;0,IF(TODAY()-K555&lt;'Анализ'!$D$4+1,1,0),"")</f>
        <v/>
      </c>
    </row>
    <row r="556" ht="15.75" customHeight="1">
      <c r="B556" s="1" t="str">
        <f t="shared" si="1"/>
        <v/>
      </c>
      <c r="F556" s="1"/>
      <c r="G556" s="17"/>
      <c r="I556" s="1" t="str">
        <f>'Исходник'!T182</f>
        <v/>
      </c>
      <c r="J556" s="1" t="str">
        <f t="array" ref="J556">IFERROR(INDEX('Исходник'!$1:$626,MATCH($I556,'Исходник'!$T:$T,0),MATCH(J$1,'Исходник'!$1:$1,0)))</f>
        <v/>
      </c>
      <c r="K556" s="7" t="str">
        <f t="shared" si="3"/>
        <v/>
      </c>
      <c r="L556" s="1" t="str">
        <f>IF(I556&gt;0,IF(TODAY()-K556&lt;'Анализ'!$D$4+1,1,0),"")</f>
        <v/>
      </c>
    </row>
    <row r="557" ht="15.75" customHeight="1">
      <c r="B557" s="1" t="str">
        <f t="shared" si="1"/>
        <v/>
      </c>
      <c r="F557" s="1"/>
      <c r="G557" s="17"/>
      <c r="I557" s="1" t="str">
        <f>'Исходник'!T183</f>
        <v/>
      </c>
      <c r="J557" s="1" t="str">
        <f t="array" ref="J557">IFERROR(INDEX('Исходник'!$1:$626,MATCH($I557,'Исходник'!$T:$T,0),MATCH(J$1,'Исходник'!$1:$1,0)))</f>
        <v/>
      </c>
      <c r="K557" s="7" t="str">
        <f t="shared" si="3"/>
        <v/>
      </c>
      <c r="L557" s="1" t="str">
        <f>IF(I557&gt;0,IF(TODAY()-K557&lt;'Анализ'!$D$4+1,1,0),"")</f>
        <v/>
      </c>
    </row>
    <row r="558" ht="15.75" customHeight="1">
      <c r="B558" s="1" t="str">
        <f t="shared" si="1"/>
        <v/>
      </c>
      <c r="F558" s="1"/>
      <c r="G558" s="17"/>
      <c r="I558" s="1" t="str">
        <f>'Исходник'!T184</f>
        <v/>
      </c>
      <c r="J558" s="1" t="str">
        <f t="array" ref="J558">IFERROR(INDEX('Исходник'!$1:$626,MATCH($I558,'Исходник'!$T:$T,0),MATCH(J$1,'Исходник'!$1:$1,0)))</f>
        <v/>
      </c>
      <c r="K558" s="7" t="str">
        <f t="shared" si="3"/>
        <v/>
      </c>
      <c r="L558" s="1" t="str">
        <f>IF(I558&gt;0,IF(TODAY()-K558&lt;'Анализ'!$D$4+1,1,0),"")</f>
        <v/>
      </c>
    </row>
    <row r="559" ht="15.75" customHeight="1">
      <c r="B559" s="1" t="str">
        <f t="shared" si="1"/>
        <v/>
      </c>
      <c r="F559" s="1"/>
      <c r="G559" s="17"/>
      <c r="I559" s="1" t="str">
        <f>'Исходник'!T185</f>
        <v/>
      </c>
      <c r="J559" s="1" t="str">
        <f t="array" ref="J559">IFERROR(INDEX('Исходник'!$1:$626,MATCH($I559,'Исходник'!$T:$T,0),MATCH(J$1,'Исходник'!$1:$1,0)))</f>
        <v/>
      </c>
      <c r="K559" s="7" t="str">
        <f t="shared" si="3"/>
        <v/>
      </c>
      <c r="L559" s="1" t="str">
        <f>IF(I559&gt;0,IF(TODAY()-K559&lt;'Анализ'!$D$4+1,1,0),"")</f>
        <v/>
      </c>
    </row>
    <row r="560" ht="15.75" customHeight="1">
      <c r="B560" s="1" t="str">
        <f t="shared" si="1"/>
        <v/>
      </c>
      <c r="F560" s="1"/>
      <c r="G560" s="17"/>
      <c r="I560" s="1" t="str">
        <f>'Исходник'!T186</f>
        <v/>
      </c>
      <c r="J560" s="1" t="str">
        <f t="array" ref="J560">IFERROR(INDEX('Исходник'!$1:$626,MATCH($I560,'Исходник'!$T:$T,0),MATCH(J$1,'Исходник'!$1:$1,0)))</f>
        <v/>
      </c>
      <c r="K560" s="7" t="str">
        <f t="shared" si="3"/>
        <v/>
      </c>
      <c r="L560" s="1" t="str">
        <f>IF(I560&gt;0,IF(TODAY()-K560&lt;'Анализ'!$D$4+1,1,0),"")</f>
        <v/>
      </c>
    </row>
    <row r="561" ht="15.75" customHeight="1">
      <c r="B561" s="1" t="str">
        <f t="shared" si="1"/>
        <v/>
      </c>
      <c r="F561" s="1"/>
      <c r="G561" s="17"/>
      <c r="I561" s="1" t="str">
        <f>'Исходник'!T187</f>
        <v/>
      </c>
      <c r="J561" s="1" t="str">
        <f t="array" ref="J561">IFERROR(INDEX('Исходник'!$1:$626,MATCH($I561,'Исходник'!$T:$T,0),MATCH(J$1,'Исходник'!$1:$1,0)))</f>
        <v/>
      </c>
      <c r="K561" s="7" t="str">
        <f t="shared" si="3"/>
        <v/>
      </c>
      <c r="L561" s="1" t="str">
        <f>IF(I561&gt;0,IF(TODAY()-K561&lt;'Анализ'!$D$4+1,1,0),"")</f>
        <v/>
      </c>
    </row>
    <row r="562" ht="15.75" customHeight="1">
      <c r="B562" s="1" t="str">
        <f t="shared" si="1"/>
        <v/>
      </c>
      <c r="F562" s="1"/>
      <c r="G562" s="17"/>
      <c r="I562" s="1" t="str">
        <f>'Исходник'!T188</f>
        <v/>
      </c>
      <c r="J562" s="1" t="str">
        <f t="array" ref="J562">IFERROR(INDEX('Исходник'!$1:$626,MATCH($I562,'Исходник'!$T:$T,0),MATCH(J$1,'Исходник'!$1:$1,0)))</f>
        <v/>
      </c>
      <c r="K562" s="7" t="str">
        <f t="shared" si="3"/>
        <v/>
      </c>
      <c r="L562" s="1" t="str">
        <f>IF(I562&gt;0,IF(TODAY()-K562&lt;'Анализ'!$D$4+1,1,0),"")</f>
        <v/>
      </c>
    </row>
    <row r="563" ht="15.75" customHeight="1">
      <c r="B563" s="1" t="str">
        <f t="shared" si="1"/>
        <v/>
      </c>
      <c r="F563" s="1"/>
      <c r="G563" s="17"/>
      <c r="I563" s="1" t="str">
        <f>'Исходник'!T189</f>
        <v/>
      </c>
      <c r="J563" s="1" t="str">
        <f t="array" ref="J563">IFERROR(INDEX('Исходник'!$1:$626,MATCH($I563,'Исходник'!$T:$T,0),MATCH(J$1,'Исходник'!$1:$1,0)))</f>
        <v/>
      </c>
      <c r="K563" s="7" t="str">
        <f t="shared" si="3"/>
        <v/>
      </c>
      <c r="L563" s="1" t="str">
        <f>IF(I563&gt;0,IF(TODAY()-K563&lt;'Анализ'!$D$4+1,1,0),"")</f>
        <v/>
      </c>
    </row>
    <row r="564" ht="15.75" customHeight="1">
      <c r="B564" s="1" t="str">
        <f t="shared" si="1"/>
        <v/>
      </c>
      <c r="F564" s="1"/>
      <c r="G564" s="17"/>
      <c r="I564" s="1" t="str">
        <f>'Исходник'!T190</f>
        <v/>
      </c>
      <c r="J564" s="1" t="str">
        <f t="array" ref="J564">IFERROR(INDEX('Исходник'!$1:$626,MATCH($I564,'Исходник'!$T:$T,0),MATCH(J$1,'Исходник'!$1:$1,0)))</f>
        <v/>
      </c>
      <c r="K564" s="7" t="str">
        <f t="shared" si="3"/>
        <v/>
      </c>
      <c r="L564" s="1" t="str">
        <f>IF(I564&gt;0,IF(TODAY()-K564&lt;'Анализ'!$D$4+1,1,0),"")</f>
        <v/>
      </c>
    </row>
    <row r="565" ht="15.75" customHeight="1">
      <c r="B565" s="1" t="str">
        <f t="shared" si="1"/>
        <v/>
      </c>
      <c r="F565" s="1"/>
      <c r="G565" s="17"/>
      <c r="I565" s="1" t="str">
        <f>'Исходник'!T191</f>
        <v/>
      </c>
      <c r="J565" s="1" t="str">
        <f t="array" ref="J565">IFERROR(INDEX('Исходник'!$1:$626,MATCH($I565,'Исходник'!$T:$T,0),MATCH(J$1,'Исходник'!$1:$1,0)))</f>
        <v/>
      </c>
      <c r="K565" s="7" t="str">
        <f t="shared" si="3"/>
        <v/>
      </c>
      <c r="L565" s="1" t="str">
        <f>IF(I565&gt;0,IF(TODAY()-K565&lt;'Анализ'!$D$4+1,1,0),"")</f>
        <v/>
      </c>
    </row>
    <row r="566" ht="15.75" customHeight="1">
      <c r="B566" s="1" t="str">
        <f t="shared" si="1"/>
        <v/>
      </c>
      <c r="F566" s="1"/>
      <c r="G566" s="17"/>
      <c r="I566" s="1" t="str">
        <f>'Исходник'!T192</f>
        <v/>
      </c>
      <c r="J566" s="1" t="str">
        <f t="array" ref="J566">IFERROR(INDEX('Исходник'!$1:$626,MATCH($I566,'Исходник'!$T:$T,0),MATCH(J$1,'Исходник'!$1:$1,0)))</f>
        <v/>
      </c>
      <c r="K566" s="7" t="str">
        <f t="shared" si="3"/>
        <v/>
      </c>
      <c r="L566" s="1" t="str">
        <f>IF(I566&gt;0,IF(TODAY()-K566&lt;'Анализ'!$D$4+1,1,0),"")</f>
        <v/>
      </c>
    </row>
    <row r="567" ht="15.75" customHeight="1">
      <c r="B567" s="1" t="str">
        <f t="shared" si="1"/>
        <v/>
      </c>
      <c r="F567" s="1"/>
      <c r="G567" s="17"/>
      <c r="I567" s="1" t="str">
        <f>'Исходник'!T193</f>
        <v/>
      </c>
      <c r="J567" s="1" t="str">
        <f t="array" ref="J567">IFERROR(INDEX('Исходник'!$1:$626,MATCH($I567,'Исходник'!$T:$T,0),MATCH(J$1,'Исходник'!$1:$1,0)))</f>
        <v/>
      </c>
      <c r="K567" s="7" t="str">
        <f t="shared" si="3"/>
        <v/>
      </c>
      <c r="L567" s="1" t="str">
        <f>IF(I567&gt;0,IF(TODAY()-K567&lt;'Анализ'!$D$4+1,1,0),"")</f>
        <v/>
      </c>
    </row>
    <row r="568" ht="15.75" customHeight="1">
      <c r="B568" s="1" t="str">
        <f t="shared" si="1"/>
        <v/>
      </c>
      <c r="F568" s="1"/>
      <c r="G568" s="17"/>
      <c r="I568" s="1" t="str">
        <f>'Исходник'!T194</f>
        <v/>
      </c>
      <c r="J568" s="1" t="str">
        <f t="array" ref="J568">IFERROR(INDEX('Исходник'!$1:$626,MATCH($I568,'Исходник'!$T:$T,0),MATCH(J$1,'Исходник'!$1:$1,0)))</f>
        <v/>
      </c>
      <c r="K568" s="7" t="str">
        <f t="shared" si="3"/>
        <v/>
      </c>
      <c r="L568" s="1" t="str">
        <f>IF(I568&gt;0,IF(TODAY()-K568&lt;'Анализ'!$D$4+1,1,0),"")</f>
        <v/>
      </c>
    </row>
    <row r="569" ht="15.75" customHeight="1">
      <c r="B569" s="1" t="str">
        <f t="shared" si="1"/>
        <v/>
      </c>
      <c r="F569" s="1"/>
      <c r="G569" s="17"/>
      <c r="I569" s="1" t="str">
        <f>'Исходник'!T195</f>
        <v/>
      </c>
      <c r="J569" s="1" t="str">
        <f t="array" ref="J569">IFERROR(INDEX('Исходник'!$1:$626,MATCH($I569,'Исходник'!$T:$T,0),MATCH(J$1,'Исходник'!$1:$1,0)))</f>
        <v/>
      </c>
      <c r="K569" s="7" t="str">
        <f t="shared" si="3"/>
        <v/>
      </c>
      <c r="L569" s="1" t="str">
        <f>IF(I569&gt;0,IF(TODAY()-K569&lt;'Анализ'!$D$4+1,1,0),"")</f>
        <v/>
      </c>
    </row>
    <row r="570" ht="15.75" customHeight="1">
      <c r="B570" s="1" t="str">
        <f t="shared" si="1"/>
        <v/>
      </c>
      <c r="F570" s="1"/>
      <c r="G570" s="17"/>
      <c r="I570" s="1" t="str">
        <f>'Исходник'!T196</f>
        <v/>
      </c>
      <c r="J570" s="1" t="str">
        <f t="array" ref="J570">IFERROR(INDEX('Исходник'!$1:$626,MATCH($I570,'Исходник'!$T:$T,0),MATCH(J$1,'Исходник'!$1:$1,0)))</f>
        <v/>
      </c>
      <c r="K570" s="7" t="str">
        <f t="shared" si="3"/>
        <v/>
      </c>
      <c r="L570" s="1" t="str">
        <f>IF(I570&gt;0,IF(TODAY()-K570&lt;'Анализ'!$D$4+1,1,0),"")</f>
        <v/>
      </c>
    </row>
    <row r="571" ht="15.75" customHeight="1">
      <c r="B571" s="1" t="str">
        <f t="shared" si="1"/>
        <v/>
      </c>
      <c r="F571" s="1"/>
      <c r="G571" s="17"/>
      <c r="I571" s="1" t="str">
        <f>'Исходник'!T197</f>
        <v/>
      </c>
      <c r="J571" s="1" t="str">
        <f t="array" ref="J571">IFERROR(INDEX('Исходник'!$1:$626,MATCH($I571,'Исходник'!$T:$T,0),MATCH(J$1,'Исходник'!$1:$1,0)))</f>
        <v/>
      </c>
      <c r="K571" s="7" t="str">
        <f t="shared" si="3"/>
        <v/>
      </c>
      <c r="L571" s="1" t="str">
        <f>IF(I571&gt;0,IF(TODAY()-K571&lt;'Анализ'!$D$4+1,1,0),"")</f>
        <v/>
      </c>
    </row>
    <row r="572" ht="15.75" customHeight="1">
      <c r="B572" s="1" t="str">
        <f t="shared" si="1"/>
        <v/>
      </c>
      <c r="F572" s="1"/>
      <c r="G572" s="17"/>
      <c r="I572" s="1" t="str">
        <f>'Исходник'!T198</f>
        <v/>
      </c>
      <c r="J572" s="1" t="str">
        <f t="array" ref="J572">IFERROR(INDEX('Исходник'!$1:$626,MATCH($I572,'Исходник'!$T:$T,0),MATCH(J$1,'Исходник'!$1:$1,0)))</f>
        <v/>
      </c>
      <c r="K572" s="7" t="str">
        <f t="shared" si="3"/>
        <v/>
      </c>
      <c r="L572" s="1" t="str">
        <f>IF(I572&gt;0,IF(TODAY()-K572&lt;'Анализ'!$D$4+1,1,0),"")</f>
        <v/>
      </c>
    </row>
    <row r="573" ht="15.75" customHeight="1">
      <c r="B573" s="1" t="str">
        <f t="shared" si="1"/>
        <v/>
      </c>
      <c r="F573" s="1"/>
      <c r="G573" s="17"/>
      <c r="I573" s="1" t="str">
        <f>'Исходник'!T199</f>
        <v/>
      </c>
      <c r="J573" s="1" t="str">
        <f t="array" ref="J573">IFERROR(INDEX('Исходник'!$1:$626,MATCH($I573,'Исходник'!$T:$T,0),MATCH(J$1,'Исходник'!$1:$1,0)))</f>
        <v/>
      </c>
      <c r="K573" s="7" t="str">
        <f t="shared" si="3"/>
        <v/>
      </c>
      <c r="L573" s="1" t="str">
        <f>IF(I573&gt;0,IF(TODAY()-K573&lt;'Анализ'!$D$4+1,1,0),"")</f>
        <v/>
      </c>
    </row>
    <row r="574" ht="15.75" customHeight="1">
      <c r="B574" s="1" t="str">
        <f t="shared" si="1"/>
        <v/>
      </c>
      <c r="F574" s="1"/>
      <c r="G574" s="17"/>
      <c r="I574" s="1" t="str">
        <f>'Исходник'!T200</f>
        <v/>
      </c>
      <c r="J574" s="1" t="str">
        <f t="array" ref="J574">IFERROR(INDEX('Исходник'!$1:$626,MATCH($I574,'Исходник'!$T:$T,0),MATCH(J$1,'Исходник'!$1:$1,0)))</f>
        <v/>
      </c>
      <c r="K574" s="7" t="str">
        <f t="shared" si="3"/>
        <v/>
      </c>
      <c r="L574" s="1" t="str">
        <f>IF(I574&gt;0,IF(TODAY()-K574&lt;'Анализ'!$D$4+1,1,0),"")</f>
        <v/>
      </c>
    </row>
    <row r="575" ht="15.75" customHeight="1">
      <c r="B575" s="1" t="str">
        <f t="shared" si="1"/>
        <v/>
      </c>
      <c r="F575" s="1"/>
      <c r="G575" s="17"/>
      <c r="I575" s="1" t="str">
        <f>'Исходник'!T201</f>
        <v/>
      </c>
      <c r="J575" s="1" t="str">
        <f t="array" ref="J575">IFERROR(INDEX('Исходник'!$1:$626,MATCH($I575,'Исходник'!$T:$T,0),MATCH(J$1,'Исходник'!$1:$1,0)))</f>
        <v/>
      </c>
      <c r="K575" s="7" t="str">
        <f t="shared" si="3"/>
        <v/>
      </c>
      <c r="L575" s="1" t="str">
        <f>IF(I575&gt;0,IF(TODAY()-K575&lt;'Анализ'!$D$4+1,1,0),"")</f>
        <v/>
      </c>
    </row>
    <row r="576" ht="15.75" customHeight="1">
      <c r="B576" s="1" t="str">
        <f t="shared" si="1"/>
        <v/>
      </c>
      <c r="F576" s="1"/>
      <c r="G576" s="17"/>
      <c r="I576" s="1" t="str">
        <f>'Исходник'!T202</f>
        <v/>
      </c>
      <c r="J576" s="1" t="str">
        <f t="array" ref="J576">IFERROR(INDEX('Исходник'!$1:$626,MATCH($I576,'Исходник'!$T:$T,0),MATCH(J$1,'Исходник'!$1:$1,0)))</f>
        <v/>
      </c>
      <c r="K576" s="7" t="str">
        <f t="shared" si="3"/>
        <v/>
      </c>
      <c r="L576" s="1" t="str">
        <f>IF(I576&gt;0,IF(TODAY()-K576&lt;'Анализ'!$D$4+1,1,0),"")</f>
        <v/>
      </c>
    </row>
    <row r="577" ht="15.75" customHeight="1">
      <c r="B577" s="1" t="str">
        <f t="shared" si="1"/>
        <v/>
      </c>
      <c r="F577" s="1"/>
      <c r="G577" s="17"/>
      <c r="I577" s="1" t="str">
        <f>'Исходник'!T203</f>
        <v/>
      </c>
      <c r="J577" s="1" t="str">
        <f t="array" ref="J577">IFERROR(INDEX('Исходник'!$1:$626,MATCH($I577,'Исходник'!$T:$T,0),MATCH(J$1,'Исходник'!$1:$1,0)))</f>
        <v/>
      </c>
      <c r="K577" s="7" t="str">
        <f t="shared" si="3"/>
        <v/>
      </c>
      <c r="L577" s="1" t="str">
        <f>IF(I577&gt;0,IF(TODAY()-K577&lt;'Анализ'!$D$4+1,1,0),"")</f>
        <v/>
      </c>
    </row>
    <row r="578" ht="15.75" customHeight="1">
      <c r="B578" s="1" t="str">
        <f t="shared" si="1"/>
        <v/>
      </c>
      <c r="F578" s="1"/>
      <c r="G578" s="17"/>
      <c r="I578" s="1" t="str">
        <f>'Исходник'!T204</f>
        <v/>
      </c>
      <c r="J578" s="1" t="str">
        <f t="array" ref="J578">IFERROR(INDEX('Исходник'!$1:$626,MATCH($I578,'Исходник'!$T:$T,0),MATCH(J$1,'Исходник'!$1:$1,0)))</f>
        <v/>
      </c>
      <c r="K578" s="7" t="str">
        <f t="shared" si="3"/>
        <v/>
      </c>
      <c r="L578" s="1" t="str">
        <f>IF(I578&gt;0,IF(TODAY()-K578&lt;'Анализ'!$D$4+1,1,0),"")</f>
        <v/>
      </c>
    </row>
    <row r="579" ht="15.75" customHeight="1">
      <c r="B579" s="1" t="str">
        <f t="shared" si="1"/>
        <v/>
      </c>
      <c r="F579" s="1"/>
      <c r="G579" s="17"/>
      <c r="I579" s="1" t="str">
        <f>'Исходник'!T205</f>
        <v/>
      </c>
      <c r="J579" s="1" t="str">
        <f t="array" ref="J579">IFERROR(INDEX('Исходник'!$1:$626,MATCH($I579,'Исходник'!$T:$T,0),MATCH(J$1,'Исходник'!$1:$1,0)))</f>
        <v/>
      </c>
      <c r="K579" s="7" t="str">
        <f t="shared" si="3"/>
        <v/>
      </c>
      <c r="L579" s="1" t="str">
        <f>IF(I579&gt;0,IF(TODAY()-K579&lt;'Анализ'!$D$4+1,1,0),"")</f>
        <v/>
      </c>
    </row>
    <row r="580" ht="15.75" customHeight="1">
      <c r="B580" s="1" t="str">
        <f t="shared" si="1"/>
        <v/>
      </c>
      <c r="F580" s="1"/>
      <c r="G580" s="17"/>
      <c r="I580" s="1" t="str">
        <f>'Исходник'!T206</f>
        <v/>
      </c>
      <c r="J580" s="1" t="str">
        <f t="array" ref="J580">IFERROR(INDEX('Исходник'!$1:$626,MATCH($I580,'Исходник'!$T:$T,0),MATCH(J$1,'Исходник'!$1:$1,0)))</f>
        <v/>
      </c>
      <c r="K580" s="7" t="str">
        <f t="shared" si="3"/>
        <v/>
      </c>
      <c r="L580" s="1" t="str">
        <f>IF(I580&gt;0,IF(TODAY()-K580&lt;'Анализ'!$D$4+1,1,0),"")</f>
        <v/>
      </c>
    </row>
    <row r="581" ht="15.75" customHeight="1">
      <c r="B581" s="1" t="str">
        <f t="shared" si="1"/>
        <v/>
      </c>
      <c r="F581" s="1"/>
      <c r="G581" s="17"/>
      <c r="I581" s="1" t="str">
        <f>'Исходник'!T207</f>
        <v/>
      </c>
      <c r="J581" s="1" t="str">
        <f t="array" ref="J581">IFERROR(INDEX('Исходник'!$1:$626,MATCH($I581,'Исходник'!$T:$T,0),MATCH(J$1,'Исходник'!$1:$1,0)))</f>
        <v/>
      </c>
      <c r="K581" s="7" t="str">
        <f t="shared" si="3"/>
        <v/>
      </c>
      <c r="L581" s="1" t="str">
        <f>IF(I581&gt;0,IF(TODAY()-K581&lt;'Анализ'!$D$4+1,1,0),"")</f>
        <v/>
      </c>
    </row>
    <row r="582" ht="15.75" customHeight="1">
      <c r="B582" s="1" t="str">
        <f t="shared" si="1"/>
        <v/>
      </c>
      <c r="F582" s="1"/>
      <c r="G582" s="17"/>
      <c r="I582" s="1" t="str">
        <f>'Исходник'!T208</f>
        <v/>
      </c>
      <c r="J582" s="1" t="str">
        <f t="array" ref="J582">IFERROR(INDEX('Исходник'!$1:$626,MATCH($I582,'Исходник'!$T:$T,0),MATCH(J$1,'Исходник'!$1:$1,0)))</f>
        <v/>
      </c>
      <c r="K582" s="7" t="str">
        <f t="shared" si="3"/>
        <v/>
      </c>
      <c r="L582" s="1" t="str">
        <f>IF(I582&gt;0,IF(TODAY()-K582&lt;'Анализ'!$D$4+1,1,0),"")</f>
        <v/>
      </c>
    </row>
    <row r="583" ht="15.75" customHeight="1">
      <c r="B583" s="1" t="str">
        <f t="shared" si="1"/>
        <v/>
      </c>
      <c r="F583" s="1"/>
      <c r="G583" s="17"/>
      <c r="I583" s="1" t="str">
        <f>'Исходник'!T209</f>
        <v/>
      </c>
      <c r="J583" s="1" t="str">
        <f t="array" ref="J583">IFERROR(INDEX('Исходник'!$1:$626,MATCH($I583,'Исходник'!$T:$T,0),MATCH(J$1,'Исходник'!$1:$1,0)))</f>
        <v/>
      </c>
      <c r="K583" s="7" t="str">
        <f t="shared" si="3"/>
        <v/>
      </c>
      <c r="L583" s="1" t="str">
        <f>IF(I583&gt;0,IF(TODAY()-K583&lt;'Анализ'!$D$4+1,1,0),"")</f>
        <v/>
      </c>
    </row>
    <row r="584" ht="15.75" customHeight="1">
      <c r="B584" s="1" t="str">
        <f t="shared" si="1"/>
        <v/>
      </c>
      <c r="F584" s="1"/>
      <c r="G584" s="17"/>
      <c r="I584" s="1" t="str">
        <f>'Исходник'!T210</f>
        <v/>
      </c>
      <c r="J584" s="1" t="str">
        <f t="array" ref="J584">IFERROR(INDEX('Исходник'!$1:$626,MATCH($I584,'Исходник'!$T:$T,0),MATCH(J$1,'Исходник'!$1:$1,0)))</f>
        <v/>
      </c>
      <c r="K584" s="7" t="str">
        <f t="shared" si="3"/>
        <v/>
      </c>
      <c r="L584" s="1" t="str">
        <f>IF(I584&gt;0,IF(TODAY()-K584&lt;'Анализ'!$D$4+1,1,0),"")</f>
        <v/>
      </c>
    </row>
    <row r="585" ht="15.75" customHeight="1">
      <c r="B585" s="1" t="str">
        <f t="shared" si="1"/>
        <v/>
      </c>
      <c r="F585" s="1"/>
      <c r="G585" s="17"/>
      <c r="I585" s="1" t="str">
        <f>'Исходник'!T211</f>
        <v/>
      </c>
      <c r="J585" s="1" t="str">
        <f t="array" ref="J585">IFERROR(INDEX('Исходник'!$1:$626,MATCH($I585,'Исходник'!$T:$T,0),MATCH(J$1,'Исходник'!$1:$1,0)))</f>
        <v/>
      </c>
      <c r="K585" s="7" t="str">
        <f t="shared" si="3"/>
        <v/>
      </c>
      <c r="L585" s="1" t="str">
        <f>IF(I585&gt;0,IF(TODAY()-K585&lt;'Анализ'!$D$4+1,1,0),"")</f>
        <v/>
      </c>
    </row>
    <row r="586" ht="15.75" customHeight="1">
      <c r="B586" s="1" t="str">
        <f t="shared" si="1"/>
        <v/>
      </c>
      <c r="F586" s="1"/>
      <c r="G586" s="17"/>
      <c r="I586" s="1" t="str">
        <f>'Исходник'!T212</f>
        <v/>
      </c>
      <c r="J586" s="1" t="str">
        <f t="array" ref="J586">IFERROR(INDEX('Исходник'!$1:$626,MATCH($I586,'Исходник'!$T:$T,0),MATCH(J$1,'Исходник'!$1:$1,0)))</f>
        <v/>
      </c>
      <c r="K586" s="7" t="str">
        <f t="shared" si="3"/>
        <v/>
      </c>
      <c r="L586" s="1" t="str">
        <f>IF(I586&gt;0,IF(TODAY()-K586&lt;'Анализ'!$D$4+1,1,0),"")</f>
        <v/>
      </c>
    </row>
    <row r="587" ht="15.75" customHeight="1">
      <c r="B587" s="1" t="str">
        <f t="shared" si="1"/>
        <v/>
      </c>
      <c r="F587" s="1"/>
      <c r="G587" s="17"/>
      <c r="I587" s="1" t="str">
        <f>'Исходник'!T213</f>
        <v/>
      </c>
      <c r="J587" s="1" t="str">
        <f t="array" ref="J587">IFERROR(INDEX('Исходник'!$1:$626,MATCH($I587,'Исходник'!$T:$T,0),MATCH(J$1,'Исходник'!$1:$1,0)))</f>
        <v/>
      </c>
      <c r="K587" s="7" t="str">
        <f t="shared" si="3"/>
        <v/>
      </c>
      <c r="L587" s="1" t="str">
        <f>IF(I587&gt;0,IF(TODAY()-K587&lt;'Анализ'!$D$4+1,1,0),"")</f>
        <v/>
      </c>
    </row>
    <row r="588" ht="15.75" customHeight="1">
      <c r="B588" s="1" t="str">
        <f t="shared" si="1"/>
        <v/>
      </c>
      <c r="F588" s="1"/>
      <c r="G588" s="17"/>
      <c r="I588" s="1" t="str">
        <f>'Исходник'!T214</f>
        <v/>
      </c>
      <c r="J588" s="1" t="str">
        <f t="array" ref="J588">IFERROR(INDEX('Исходник'!$1:$626,MATCH($I588,'Исходник'!$T:$T,0),MATCH(J$1,'Исходник'!$1:$1,0)))</f>
        <v/>
      </c>
      <c r="K588" s="7" t="str">
        <f t="shared" si="3"/>
        <v/>
      </c>
      <c r="L588" s="1" t="str">
        <f>IF(I588&gt;0,IF(TODAY()-K588&lt;'Анализ'!$D$4+1,1,0),"")</f>
        <v/>
      </c>
    </row>
    <row r="589" ht="15.75" customHeight="1">
      <c r="B589" s="1" t="str">
        <f t="shared" si="1"/>
        <v/>
      </c>
      <c r="F589" s="1"/>
      <c r="G589" s="17"/>
      <c r="I589" s="1" t="str">
        <f>'Исходник'!T215</f>
        <v/>
      </c>
      <c r="J589" s="1" t="str">
        <f t="array" ref="J589">IFERROR(INDEX('Исходник'!$1:$626,MATCH($I589,'Исходник'!$T:$T,0),MATCH(J$1,'Исходник'!$1:$1,0)))</f>
        <v/>
      </c>
      <c r="K589" s="7" t="str">
        <f t="shared" si="3"/>
        <v/>
      </c>
      <c r="L589" s="1" t="str">
        <f>IF(I589&gt;0,IF(TODAY()-K589&lt;'Анализ'!$D$4+1,1,0),"")</f>
        <v/>
      </c>
    </row>
    <row r="590" ht="15.75" customHeight="1">
      <c r="B590" s="1" t="str">
        <f t="shared" si="1"/>
        <v/>
      </c>
      <c r="F590" s="1"/>
      <c r="G590" s="17"/>
      <c r="I590" s="1" t="str">
        <f>'Исходник'!T216</f>
        <v/>
      </c>
      <c r="J590" s="1" t="str">
        <f t="array" ref="J590">IFERROR(INDEX('Исходник'!$1:$626,MATCH($I590,'Исходник'!$T:$T,0),MATCH(J$1,'Исходник'!$1:$1,0)))</f>
        <v/>
      </c>
      <c r="K590" s="7" t="str">
        <f t="shared" si="3"/>
        <v/>
      </c>
      <c r="L590" s="1" t="str">
        <f>IF(I590&gt;0,IF(TODAY()-K590&lt;'Анализ'!$D$4+1,1,0),"")</f>
        <v/>
      </c>
    </row>
    <row r="591" ht="15.75" customHeight="1">
      <c r="B591" s="1" t="str">
        <f t="shared" si="1"/>
        <v/>
      </c>
      <c r="F591" s="1"/>
      <c r="G591" s="17"/>
      <c r="I591" s="1" t="str">
        <f>'Исходник'!T217</f>
        <v/>
      </c>
      <c r="J591" s="1" t="str">
        <f t="array" ref="J591">IFERROR(INDEX('Исходник'!$1:$626,MATCH($I591,'Исходник'!$T:$T,0),MATCH(J$1,'Исходник'!$1:$1,0)))</f>
        <v/>
      </c>
      <c r="K591" s="7" t="str">
        <f t="shared" si="3"/>
        <v/>
      </c>
      <c r="L591" s="1" t="str">
        <f>IF(I591&gt;0,IF(TODAY()-K591&lt;'Анализ'!$D$4+1,1,0),"")</f>
        <v/>
      </c>
    </row>
    <row r="592" ht="15.75" customHeight="1">
      <c r="B592" s="1" t="str">
        <f t="shared" si="1"/>
        <v/>
      </c>
      <c r="F592" s="1"/>
      <c r="G592" s="17"/>
      <c r="I592" s="1" t="str">
        <f>'Исходник'!T218</f>
        <v/>
      </c>
      <c r="J592" s="1" t="str">
        <f t="array" ref="J592">IFERROR(INDEX('Исходник'!$1:$626,MATCH($I592,'Исходник'!$T:$T,0),MATCH(J$1,'Исходник'!$1:$1,0)))</f>
        <v/>
      </c>
      <c r="K592" s="7" t="str">
        <f t="shared" si="3"/>
        <v/>
      </c>
      <c r="L592" s="1" t="str">
        <f>IF(I592&gt;0,IF(TODAY()-K592&lt;'Анализ'!$D$4+1,1,0),"")</f>
        <v/>
      </c>
    </row>
    <row r="593" ht="15.75" customHeight="1">
      <c r="B593" s="1" t="str">
        <f t="shared" si="1"/>
        <v/>
      </c>
      <c r="F593" s="1"/>
      <c r="G593" s="17"/>
      <c r="I593" s="1" t="str">
        <f>'Исходник'!T219</f>
        <v/>
      </c>
      <c r="J593" s="1" t="str">
        <f t="array" ref="J593">IFERROR(INDEX('Исходник'!$1:$626,MATCH($I593,'Исходник'!$T:$T,0),MATCH(J$1,'Исходник'!$1:$1,0)))</f>
        <v/>
      </c>
      <c r="K593" s="7" t="str">
        <f t="shared" si="3"/>
        <v/>
      </c>
      <c r="L593" s="1" t="str">
        <f>IF(I593&gt;0,IF(TODAY()-K593&lt;'Анализ'!$D$4+1,1,0),"")</f>
        <v/>
      </c>
    </row>
    <row r="594" ht="15.75" customHeight="1">
      <c r="B594" s="1" t="str">
        <f t="shared" si="1"/>
        <v/>
      </c>
      <c r="F594" s="1"/>
      <c r="G594" s="17"/>
      <c r="I594" s="1" t="str">
        <f>'Исходник'!T220</f>
        <v/>
      </c>
      <c r="J594" s="1" t="str">
        <f t="array" ref="J594">IFERROR(INDEX('Исходник'!$1:$626,MATCH($I594,'Исходник'!$T:$T,0),MATCH(J$1,'Исходник'!$1:$1,0)))</f>
        <v/>
      </c>
      <c r="K594" s="7" t="str">
        <f t="shared" si="3"/>
        <v/>
      </c>
      <c r="L594" s="1" t="str">
        <f>IF(I594&gt;0,IF(TODAY()-K594&lt;'Анализ'!$D$4+1,1,0),"")</f>
        <v/>
      </c>
    </row>
    <row r="595" ht="15.75" customHeight="1">
      <c r="B595" s="1" t="str">
        <f t="shared" si="1"/>
        <v/>
      </c>
      <c r="F595" s="1"/>
      <c r="G595" s="17"/>
      <c r="I595" s="1" t="str">
        <f>'Исходник'!T221</f>
        <v/>
      </c>
      <c r="J595" s="1" t="str">
        <f t="array" ref="J595">IFERROR(INDEX('Исходник'!$1:$626,MATCH($I595,'Исходник'!$T:$T,0),MATCH(J$1,'Исходник'!$1:$1,0)))</f>
        <v/>
      </c>
      <c r="K595" s="7" t="str">
        <f t="shared" si="3"/>
        <v/>
      </c>
      <c r="L595" s="1" t="str">
        <f>IF(I595&gt;0,IF(TODAY()-K595&lt;'Анализ'!$D$4+1,1,0),"")</f>
        <v/>
      </c>
    </row>
    <row r="596" ht="15.75" customHeight="1">
      <c r="B596" s="1" t="str">
        <f t="shared" si="1"/>
        <v/>
      </c>
      <c r="F596" s="1"/>
      <c r="G596" s="17"/>
      <c r="I596" s="1" t="str">
        <f>'Исходник'!T222</f>
        <v/>
      </c>
      <c r="J596" s="1" t="str">
        <f t="array" ref="J596">IFERROR(INDEX('Исходник'!$1:$626,MATCH($I596,'Исходник'!$T:$T,0),MATCH(J$1,'Исходник'!$1:$1,0)))</f>
        <v/>
      </c>
      <c r="K596" s="7" t="str">
        <f t="shared" si="3"/>
        <v/>
      </c>
      <c r="L596" s="1" t="str">
        <f>IF(I596&gt;0,IF(TODAY()-K596&lt;'Анализ'!$D$4+1,1,0),"")</f>
        <v/>
      </c>
    </row>
    <row r="597" ht="15.75" customHeight="1">
      <c r="B597" s="1" t="str">
        <f t="shared" si="1"/>
        <v/>
      </c>
      <c r="F597" s="1"/>
      <c r="G597" s="17"/>
      <c r="I597" s="1" t="str">
        <f>'Исходник'!T223</f>
        <v/>
      </c>
      <c r="J597" s="1" t="str">
        <f t="array" ref="J597">IFERROR(INDEX('Исходник'!$1:$626,MATCH($I597,'Исходник'!$T:$T,0),MATCH(J$1,'Исходник'!$1:$1,0)))</f>
        <v/>
      </c>
      <c r="K597" s="7" t="str">
        <f t="shared" si="3"/>
        <v/>
      </c>
      <c r="L597" s="1" t="str">
        <f>IF(I597&gt;0,IF(TODAY()-K597&lt;'Анализ'!$D$4+1,1,0),"")</f>
        <v/>
      </c>
    </row>
    <row r="598" ht="15.75" customHeight="1">
      <c r="B598" s="1" t="str">
        <f t="shared" si="1"/>
        <v/>
      </c>
      <c r="F598" s="1"/>
      <c r="G598" s="17"/>
      <c r="I598" s="1" t="str">
        <f>'Исходник'!T224</f>
        <v/>
      </c>
      <c r="J598" s="1" t="str">
        <f t="array" ref="J598">IFERROR(INDEX('Исходник'!$1:$626,MATCH($I598,'Исходник'!$T:$T,0),MATCH(J$1,'Исходник'!$1:$1,0)))</f>
        <v/>
      </c>
      <c r="K598" s="7" t="str">
        <f t="shared" si="3"/>
        <v/>
      </c>
      <c r="L598" s="1" t="str">
        <f>IF(I598&gt;0,IF(TODAY()-K598&lt;'Анализ'!$D$4+1,1,0),"")</f>
        <v/>
      </c>
    </row>
    <row r="599" ht="15.75" customHeight="1">
      <c r="B599" s="1" t="str">
        <f t="shared" si="1"/>
        <v/>
      </c>
      <c r="F599" s="1"/>
      <c r="G599" s="17"/>
      <c r="I599" s="1" t="str">
        <f>'Исходник'!T225</f>
        <v/>
      </c>
      <c r="J599" s="1" t="str">
        <f t="array" ref="J599">IFERROR(INDEX('Исходник'!$1:$626,MATCH($I599,'Исходник'!$T:$T,0),MATCH(J$1,'Исходник'!$1:$1,0)))</f>
        <v/>
      </c>
      <c r="K599" s="7" t="str">
        <f t="shared" si="3"/>
        <v/>
      </c>
      <c r="L599" s="1" t="str">
        <f>IF(I599&gt;0,IF(TODAY()-K599&lt;'Анализ'!$D$4+1,1,0),"")</f>
        <v/>
      </c>
    </row>
    <row r="600" ht="15.75" customHeight="1">
      <c r="B600" s="1" t="str">
        <f t="shared" si="1"/>
        <v/>
      </c>
      <c r="F600" s="1"/>
      <c r="G600" s="17"/>
      <c r="I600" s="1" t="str">
        <f>'Исходник'!T226</f>
        <v/>
      </c>
      <c r="J600" s="1" t="str">
        <f t="array" ref="J600">IFERROR(INDEX('Исходник'!$1:$626,MATCH($I600,'Исходник'!$T:$T,0),MATCH(J$1,'Исходник'!$1:$1,0)))</f>
        <v/>
      </c>
      <c r="K600" s="7" t="str">
        <f t="shared" si="3"/>
        <v/>
      </c>
      <c r="L600" s="1" t="str">
        <f>IF(I600&gt;0,IF(TODAY()-K600&lt;'Анализ'!$D$4+1,1,0),"")</f>
        <v/>
      </c>
    </row>
    <row r="601" ht="15.75" customHeight="1">
      <c r="B601" s="1" t="str">
        <f t="shared" si="1"/>
        <v/>
      </c>
      <c r="F601" s="1"/>
      <c r="G601" s="17"/>
      <c r="I601" s="1" t="str">
        <f>'Исходник'!T227</f>
        <v/>
      </c>
      <c r="J601" s="1" t="str">
        <f t="array" ref="J601">IFERROR(INDEX('Исходник'!$1:$626,MATCH($I601,'Исходник'!$T:$T,0),MATCH(J$1,'Исходник'!$1:$1,0)))</f>
        <v/>
      </c>
      <c r="K601" s="7" t="str">
        <f t="shared" si="3"/>
        <v/>
      </c>
      <c r="L601" s="1" t="str">
        <f>IF(I601&gt;0,IF(TODAY()-K601&lt;'Анализ'!$D$4+1,1,0),"")</f>
        <v/>
      </c>
    </row>
    <row r="602" ht="15.75" customHeight="1">
      <c r="B602" s="1" t="str">
        <f t="shared" si="1"/>
        <v/>
      </c>
      <c r="F602" s="1"/>
      <c r="G602" s="17"/>
      <c r="I602" s="1" t="str">
        <f>'Исходник'!T228</f>
        <v/>
      </c>
      <c r="J602" s="1" t="str">
        <f t="array" ref="J602">IFERROR(INDEX('Исходник'!$1:$626,MATCH($I602,'Исходник'!$T:$T,0),MATCH(J$1,'Исходник'!$1:$1,0)))</f>
        <v/>
      </c>
      <c r="K602" s="7" t="str">
        <f t="shared" si="3"/>
        <v/>
      </c>
      <c r="L602" s="1" t="str">
        <f>IF(I602&gt;0,IF(TODAY()-K602&lt;'Анализ'!$D$4+1,1,0),"")</f>
        <v/>
      </c>
    </row>
    <row r="603" ht="15.75" customHeight="1">
      <c r="B603" s="1" t="str">
        <f t="shared" si="1"/>
        <v/>
      </c>
      <c r="F603" s="1"/>
      <c r="G603" s="17"/>
      <c r="I603" s="1" t="str">
        <f>'Исходник'!T229</f>
        <v/>
      </c>
      <c r="J603" s="1" t="str">
        <f t="array" ref="J603">IFERROR(INDEX('Исходник'!$1:$626,MATCH($I603,'Исходник'!$T:$T,0),MATCH(J$1,'Исходник'!$1:$1,0)))</f>
        <v/>
      </c>
      <c r="K603" s="7" t="str">
        <f t="shared" si="3"/>
        <v/>
      </c>
      <c r="L603" s="1" t="str">
        <f>IF(I603&gt;0,IF(TODAY()-K603&lt;'Анализ'!$D$4+1,1,0),"")</f>
        <v/>
      </c>
    </row>
    <row r="604" ht="15.75" customHeight="1">
      <c r="B604" s="1" t="str">
        <f t="shared" si="1"/>
        <v/>
      </c>
      <c r="F604" s="1"/>
      <c r="G604" s="17"/>
      <c r="I604" s="1" t="str">
        <f>'Исходник'!T230</f>
        <v/>
      </c>
      <c r="J604" s="1" t="str">
        <f t="array" ref="J604">IFERROR(INDEX('Исходник'!$1:$626,MATCH($I604,'Исходник'!$T:$T,0),MATCH(J$1,'Исходник'!$1:$1,0)))</f>
        <v/>
      </c>
      <c r="K604" s="7" t="str">
        <f t="shared" si="3"/>
        <v/>
      </c>
      <c r="L604" s="1" t="str">
        <f>IF(I604&gt;0,IF(TODAY()-K604&lt;'Анализ'!$D$4+1,1,0),"")</f>
        <v/>
      </c>
    </row>
    <row r="605" ht="15.75" customHeight="1">
      <c r="B605" s="1" t="str">
        <f t="shared" si="1"/>
        <v/>
      </c>
      <c r="F605" s="1"/>
      <c r="G605" s="17"/>
      <c r="I605" s="1" t="str">
        <f>'Исходник'!T231</f>
        <v/>
      </c>
      <c r="J605" s="1" t="str">
        <f t="array" ref="J605">IFERROR(INDEX('Исходник'!$1:$626,MATCH($I605,'Исходник'!$T:$T,0),MATCH(J$1,'Исходник'!$1:$1,0)))</f>
        <v/>
      </c>
      <c r="K605" s="7" t="str">
        <f t="shared" si="3"/>
        <v/>
      </c>
      <c r="L605" s="1" t="str">
        <f>IF(I605&gt;0,IF(TODAY()-K605&lt;'Анализ'!$D$4+1,1,0),"")</f>
        <v/>
      </c>
    </row>
    <row r="606" ht="15.75" customHeight="1">
      <c r="B606" s="1" t="str">
        <f t="shared" si="1"/>
        <v/>
      </c>
      <c r="F606" s="1"/>
      <c r="G606" s="17"/>
      <c r="I606" s="1" t="str">
        <f>'Исходник'!T232</f>
        <v/>
      </c>
      <c r="J606" s="1" t="str">
        <f t="array" ref="J606">IFERROR(INDEX('Исходник'!$1:$626,MATCH($I606,'Исходник'!$T:$T,0),MATCH(J$1,'Исходник'!$1:$1,0)))</f>
        <v/>
      </c>
      <c r="K606" s="7" t="str">
        <f t="shared" si="3"/>
        <v/>
      </c>
      <c r="L606" s="1" t="str">
        <f>IF(I606&gt;0,IF(TODAY()-K606&lt;'Анализ'!$D$4+1,1,0),"")</f>
        <v/>
      </c>
    </row>
    <row r="607" ht="15.75" customHeight="1">
      <c r="B607" s="1" t="str">
        <f t="shared" si="1"/>
        <v/>
      </c>
      <c r="F607" s="1"/>
      <c r="G607" s="17"/>
      <c r="I607" s="1" t="str">
        <f>'Исходник'!T233</f>
        <v/>
      </c>
      <c r="J607" s="1" t="str">
        <f t="array" ref="J607">IFERROR(INDEX('Исходник'!$1:$626,MATCH($I607,'Исходник'!$T:$T,0),MATCH(J$1,'Исходник'!$1:$1,0)))</f>
        <v/>
      </c>
      <c r="K607" s="7" t="str">
        <f t="shared" si="3"/>
        <v/>
      </c>
      <c r="L607" s="1" t="str">
        <f>IF(I607&gt;0,IF(TODAY()-K607&lt;'Анализ'!$D$4+1,1,0),"")</f>
        <v/>
      </c>
    </row>
    <row r="608" ht="15.75" customHeight="1">
      <c r="B608" s="1" t="str">
        <f t="shared" si="1"/>
        <v/>
      </c>
      <c r="F608" s="1"/>
      <c r="G608" s="17"/>
      <c r="I608" s="1" t="str">
        <f>'Исходник'!T234</f>
        <v/>
      </c>
      <c r="J608" s="1" t="str">
        <f t="array" ref="J608">IFERROR(INDEX('Исходник'!$1:$626,MATCH($I608,'Исходник'!$T:$T,0),MATCH(J$1,'Исходник'!$1:$1,0)))</f>
        <v/>
      </c>
      <c r="K608" s="7" t="str">
        <f t="shared" si="3"/>
        <v/>
      </c>
      <c r="L608" s="1" t="str">
        <f>IF(I608&gt;0,IF(TODAY()-K608&lt;'Анализ'!$D$4+1,1,0),"")</f>
        <v/>
      </c>
    </row>
    <row r="609" ht="15.75" customHeight="1">
      <c r="B609" s="1" t="str">
        <f t="shared" si="1"/>
        <v/>
      </c>
      <c r="F609" s="1"/>
      <c r="G609" s="17"/>
      <c r="I609" s="1" t="str">
        <f>'Исходник'!T235</f>
        <v/>
      </c>
      <c r="J609" s="1" t="str">
        <f t="array" ref="J609">IFERROR(INDEX('Исходник'!$1:$626,MATCH($I609,'Исходник'!$T:$T,0),MATCH(J$1,'Исходник'!$1:$1,0)))</f>
        <v/>
      </c>
      <c r="K609" s="7" t="str">
        <f t="shared" si="3"/>
        <v/>
      </c>
      <c r="L609" s="1" t="str">
        <f>IF(I609&gt;0,IF(TODAY()-K609&lt;'Анализ'!$D$4+1,1,0),"")</f>
        <v/>
      </c>
    </row>
    <row r="610" ht="15.75" customHeight="1">
      <c r="B610" s="1" t="str">
        <f t="shared" si="1"/>
        <v/>
      </c>
      <c r="F610" s="1"/>
      <c r="G610" s="17"/>
      <c r="I610" s="1" t="str">
        <f>'Исходник'!T236</f>
        <v/>
      </c>
      <c r="J610" s="1" t="str">
        <f t="array" ref="J610">IFERROR(INDEX('Исходник'!$1:$626,MATCH($I610,'Исходник'!$T:$T,0),MATCH(J$1,'Исходник'!$1:$1,0)))</f>
        <v/>
      </c>
      <c r="K610" s="7" t="str">
        <f t="shared" si="3"/>
        <v/>
      </c>
      <c r="L610" s="1" t="str">
        <f>IF(I610&gt;0,IF(TODAY()-K610&lt;'Анализ'!$D$4+1,1,0),"")</f>
        <v/>
      </c>
    </row>
    <row r="611" ht="15.75" customHeight="1">
      <c r="B611" s="1" t="str">
        <f t="shared" si="1"/>
        <v/>
      </c>
      <c r="F611" s="1"/>
      <c r="G611" s="17"/>
      <c r="I611" s="1" t="str">
        <f>'Исходник'!T237</f>
        <v/>
      </c>
      <c r="J611" s="1" t="str">
        <f t="array" ref="J611">IFERROR(INDEX('Исходник'!$1:$626,MATCH($I611,'Исходник'!$T:$T,0),MATCH(J$1,'Исходник'!$1:$1,0)))</f>
        <v/>
      </c>
      <c r="K611" s="7" t="str">
        <f t="shared" si="3"/>
        <v/>
      </c>
      <c r="L611" s="1" t="str">
        <f>IF(I611&gt;0,IF(TODAY()-K611&lt;'Анализ'!$D$4+1,1,0),"")</f>
        <v/>
      </c>
    </row>
    <row r="612" ht="15.75" customHeight="1">
      <c r="B612" s="1" t="str">
        <f t="shared" si="1"/>
        <v/>
      </c>
      <c r="F612" s="1"/>
      <c r="G612" s="17"/>
      <c r="I612" s="1" t="str">
        <f>'Исходник'!T238</f>
        <v/>
      </c>
      <c r="J612" s="1" t="str">
        <f t="array" ref="J612">IFERROR(INDEX('Исходник'!$1:$626,MATCH($I612,'Исходник'!$T:$T,0),MATCH(J$1,'Исходник'!$1:$1,0)))</f>
        <v/>
      </c>
      <c r="K612" s="7" t="str">
        <f t="shared" si="3"/>
        <v/>
      </c>
      <c r="L612" s="1" t="str">
        <f>IF(I612&gt;0,IF(TODAY()-K612&lt;'Анализ'!$D$4+1,1,0),"")</f>
        <v/>
      </c>
    </row>
    <row r="613" ht="15.75" customHeight="1">
      <c r="B613" s="1" t="str">
        <f t="shared" si="1"/>
        <v/>
      </c>
      <c r="F613" s="1"/>
      <c r="G613" s="17"/>
      <c r="I613" s="1" t="str">
        <f>'Исходник'!T239</f>
        <v/>
      </c>
      <c r="J613" s="1" t="str">
        <f t="array" ref="J613">IFERROR(INDEX('Исходник'!$1:$626,MATCH($I613,'Исходник'!$T:$T,0),MATCH(J$1,'Исходник'!$1:$1,0)))</f>
        <v/>
      </c>
      <c r="K613" s="7" t="str">
        <f t="shared" si="3"/>
        <v/>
      </c>
      <c r="L613" s="1" t="str">
        <f>IF(I613&gt;0,IF(TODAY()-K613&lt;'Анализ'!$D$4+1,1,0),"")</f>
        <v/>
      </c>
    </row>
    <row r="614" ht="15.75" customHeight="1">
      <c r="B614" s="1" t="str">
        <f t="shared" si="1"/>
        <v/>
      </c>
      <c r="F614" s="1"/>
      <c r="G614" s="17"/>
      <c r="I614" s="1" t="str">
        <f>'Исходник'!T240</f>
        <v/>
      </c>
      <c r="J614" s="1" t="str">
        <f t="array" ref="J614">IFERROR(INDEX('Исходник'!$1:$626,MATCH($I614,'Исходник'!$T:$T,0),MATCH(J$1,'Исходник'!$1:$1,0)))</f>
        <v/>
      </c>
      <c r="K614" s="7" t="str">
        <f t="shared" si="3"/>
        <v/>
      </c>
      <c r="L614" s="1" t="str">
        <f>IF(I614&gt;0,IF(TODAY()-K614&lt;'Анализ'!$D$4+1,1,0),"")</f>
        <v/>
      </c>
    </row>
    <row r="615" ht="15.75" customHeight="1">
      <c r="B615" s="1" t="str">
        <f t="shared" si="1"/>
        <v/>
      </c>
      <c r="F615" s="1"/>
      <c r="G615" s="17"/>
      <c r="I615" s="1" t="str">
        <f>'Исходник'!T241</f>
        <v/>
      </c>
      <c r="J615" s="1" t="str">
        <f t="array" ref="J615">IFERROR(INDEX('Исходник'!$1:$626,MATCH($I615,'Исходник'!$T:$T,0),MATCH(J$1,'Исходник'!$1:$1,0)))</f>
        <v/>
      </c>
      <c r="K615" s="7" t="str">
        <f t="shared" si="3"/>
        <v/>
      </c>
      <c r="L615" s="1" t="str">
        <f>IF(I615&gt;0,IF(TODAY()-K615&lt;'Анализ'!$D$4+1,1,0),"")</f>
        <v/>
      </c>
    </row>
    <row r="616" ht="15.75" customHeight="1">
      <c r="B616" s="1" t="str">
        <f t="shared" si="1"/>
        <v/>
      </c>
      <c r="F616" s="1"/>
      <c r="G616" s="17"/>
      <c r="I616" s="1" t="str">
        <f>'Исходник'!T242</f>
        <v/>
      </c>
      <c r="J616" s="1" t="str">
        <f t="array" ref="J616">IFERROR(INDEX('Исходник'!$1:$626,MATCH($I616,'Исходник'!$T:$T,0),MATCH(J$1,'Исходник'!$1:$1,0)))</f>
        <v/>
      </c>
      <c r="K616" s="7" t="str">
        <f t="shared" si="3"/>
        <v/>
      </c>
      <c r="L616" s="1" t="str">
        <f>IF(I616&gt;0,IF(TODAY()-K616&lt;'Анализ'!$D$4+1,1,0),"")</f>
        <v/>
      </c>
    </row>
    <row r="617" ht="15.75" customHeight="1">
      <c r="B617" s="1" t="str">
        <f t="shared" si="1"/>
        <v/>
      </c>
      <c r="F617" s="1"/>
      <c r="G617" s="17"/>
      <c r="I617" s="1" t="str">
        <f>'Исходник'!T243</f>
        <v/>
      </c>
      <c r="J617" s="1" t="str">
        <f t="array" ref="J617">IFERROR(INDEX('Исходник'!$1:$626,MATCH($I617,'Исходник'!$T:$T,0),MATCH(J$1,'Исходник'!$1:$1,0)))</f>
        <v/>
      </c>
      <c r="K617" s="7" t="str">
        <f t="shared" si="3"/>
        <v/>
      </c>
      <c r="L617" s="1" t="str">
        <f>IF(I617&gt;0,IF(TODAY()-K617&lt;'Анализ'!$D$4+1,1,0),"")</f>
        <v/>
      </c>
    </row>
    <row r="618" ht="15.75" customHeight="1">
      <c r="B618" s="1" t="str">
        <f t="shared" si="1"/>
        <v/>
      </c>
      <c r="F618" s="1"/>
      <c r="G618" s="17"/>
      <c r="I618" s="1" t="str">
        <f>'Исходник'!T244</f>
        <v/>
      </c>
      <c r="J618" s="1" t="str">
        <f t="array" ref="J618">IFERROR(INDEX('Исходник'!$1:$626,MATCH($I618,'Исходник'!$T:$T,0),MATCH(J$1,'Исходник'!$1:$1,0)))</f>
        <v/>
      </c>
      <c r="K618" s="7" t="str">
        <f t="shared" si="3"/>
        <v/>
      </c>
      <c r="L618" s="1" t="str">
        <f>IF(I618&gt;0,IF(TODAY()-K618&lt;'Анализ'!$D$4+1,1,0),"")</f>
        <v/>
      </c>
    </row>
    <row r="619" ht="15.75" customHeight="1">
      <c r="B619" s="1" t="str">
        <f t="shared" si="1"/>
        <v/>
      </c>
      <c r="F619" s="1"/>
      <c r="G619" s="17"/>
      <c r="I619" s="1" t="str">
        <f>'Исходник'!T245</f>
        <v/>
      </c>
      <c r="J619" s="1" t="str">
        <f t="array" ref="J619">IFERROR(INDEX('Исходник'!$1:$626,MATCH($I619,'Исходник'!$T:$T,0),MATCH(J$1,'Исходник'!$1:$1,0)))</f>
        <v/>
      </c>
      <c r="K619" s="7" t="str">
        <f t="shared" si="3"/>
        <v/>
      </c>
      <c r="L619" s="1" t="str">
        <f>IF(I619&gt;0,IF(TODAY()-K619&lt;'Анализ'!$D$4+1,1,0),"")</f>
        <v/>
      </c>
    </row>
    <row r="620" ht="15.75" customHeight="1">
      <c r="B620" s="1" t="str">
        <f t="shared" si="1"/>
        <v/>
      </c>
      <c r="F620" s="1"/>
      <c r="G620" s="17"/>
      <c r="I620" s="1" t="str">
        <f>'Исходник'!T246</f>
        <v/>
      </c>
      <c r="J620" s="1" t="str">
        <f t="array" ref="J620">IFERROR(INDEX('Исходник'!$1:$626,MATCH($I620,'Исходник'!$T:$T,0),MATCH(J$1,'Исходник'!$1:$1,0)))</f>
        <v/>
      </c>
      <c r="K620" s="7" t="str">
        <f t="shared" si="3"/>
        <v/>
      </c>
      <c r="L620" s="1" t="str">
        <f>IF(I620&gt;0,IF(TODAY()-K620&lt;'Анализ'!$D$4+1,1,0),"")</f>
        <v/>
      </c>
    </row>
    <row r="621" ht="15.75" customHeight="1">
      <c r="B621" s="1" t="str">
        <f t="shared" si="1"/>
        <v/>
      </c>
      <c r="F621" s="1"/>
      <c r="G621" s="17"/>
      <c r="I621" s="1" t="str">
        <f>'Исходник'!T247</f>
        <v/>
      </c>
      <c r="J621" s="1" t="str">
        <f t="array" ref="J621">IFERROR(INDEX('Исходник'!$1:$626,MATCH($I621,'Исходник'!$T:$T,0),MATCH(J$1,'Исходник'!$1:$1,0)))</f>
        <v/>
      </c>
      <c r="K621" s="7" t="str">
        <f t="shared" si="3"/>
        <v/>
      </c>
      <c r="L621" s="1" t="str">
        <f>IF(I621&gt;0,IF(TODAY()-K621&lt;'Анализ'!$D$4+1,1,0),"")</f>
        <v/>
      </c>
    </row>
    <row r="622" ht="15.75" customHeight="1">
      <c r="B622" s="1" t="str">
        <f t="shared" si="1"/>
        <v/>
      </c>
      <c r="F622" s="1"/>
      <c r="G622" s="17"/>
      <c r="I622" s="1" t="str">
        <f>'Исходник'!T248</f>
        <v/>
      </c>
      <c r="J622" s="1" t="str">
        <f t="array" ref="J622">IFERROR(INDEX('Исходник'!$1:$626,MATCH($I622,'Исходник'!$T:$T,0),MATCH(J$1,'Исходник'!$1:$1,0)))</f>
        <v/>
      </c>
      <c r="K622" s="7" t="str">
        <f t="shared" si="3"/>
        <v/>
      </c>
      <c r="L622" s="1" t="str">
        <f>IF(I622&gt;0,IF(TODAY()-K622&lt;'Анализ'!$D$4+1,1,0),"")</f>
        <v/>
      </c>
    </row>
    <row r="623" ht="15.75" customHeight="1">
      <c r="B623" s="1" t="str">
        <f t="shared" si="1"/>
        <v/>
      </c>
      <c r="F623" s="1"/>
      <c r="G623" s="17"/>
      <c r="I623" s="1" t="str">
        <f>'Исходник'!T249</f>
        <v/>
      </c>
      <c r="J623" s="1" t="str">
        <f t="array" ref="J623">IFERROR(INDEX('Исходник'!$1:$626,MATCH($I623,'Исходник'!$T:$T,0),MATCH(J$1,'Исходник'!$1:$1,0)))</f>
        <v/>
      </c>
      <c r="K623" s="7" t="str">
        <f t="shared" si="3"/>
        <v/>
      </c>
      <c r="L623" s="1" t="str">
        <f>IF(I623&gt;0,IF(TODAY()-K623&lt;'Анализ'!$D$4+1,1,0),"")</f>
        <v/>
      </c>
    </row>
    <row r="624" ht="15.75" customHeight="1">
      <c r="B624" s="1" t="str">
        <f t="shared" si="1"/>
        <v/>
      </c>
      <c r="F624" s="1"/>
      <c r="G624" s="17"/>
      <c r="I624" s="1" t="str">
        <f>'Исходник'!T250</f>
        <v/>
      </c>
      <c r="J624" s="1" t="str">
        <f t="array" ref="J624">IFERROR(INDEX('Исходник'!$1:$626,MATCH($I624,'Исходник'!$T:$T,0),MATCH(J$1,'Исходник'!$1:$1,0)))</f>
        <v/>
      </c>
      <c r="K624" s="7" t="str">
        <f t="shared" si="3"/>
        <v/>
      </c>
      <c r="L624" s="1" t="str">
        <f>IF(I624&gt;0,IF(TODAY()-K624&lt;'Анализ'!$D$4+1,1,0),"")</f>
        <v/>
      </c>
    </row>
    <row r="625" ht="15.75" customHeight="1">
      <c r="B625" s="1" t="str">
        <f t="shared" si="1"/>
        <v/>
      </c>
      <c r="F625" s="1"/>
      <c r="G625" s="17"/>
      <c r="I625" s="1" t="str">
        <f>'Исходник'!T251</f>
        <v/>
      </c>
      <c r="J625" s="1" t="str">
        <f t="array" ref="J625">IFERROR(INDEX('Исходник'!$1:$626,MATCH($I625,'Исходник'!$T:$T,0),MATCH(J$1,'Исходник'!$1:$1,0)))</f>
        <v/>
      </c>
      <c r="K625" s="7" t="str">
        <f t="shared" si="3"/>
        <v/>
      </c>
      <c r="L625" s="1" t="str">
        <f>IF(I625&gt;0,IF(TODAY()-K625&lt;'Анализ'!$D$4+1,1,0),"")</f>
        <v/>
      </c>
    </row>
    <row r="626" ht="15.75" customHeight="1">
      <c r="B626" s="1" t="str">
        <f t="shared" si="1"/>
        <v/>
      </c>
      <c r="F626" s="1"/>
      <c r="G626" s="17"/>
      <c r="I626" s="1" t="str">
        <f>'Исходник'!T252</f>
        <v/>
      </c>
      <c r="J626" s="1" t="str">
        <f t="array" ref="J626">IFERROR(INDEX('Исходник'!$1:$626,MATCH($I626,'Исходник'!$T:$T,0),MATCH(J$1,'Исходник'!$1:$1,0)))</f>
        <v/>
      </c>
      <c r="K626" s="7" t="str">
        <f t="shared" si="3"/>
        <v/>
      </c>
      <c r="L626" s="1" t="str">
        <f>IF(I626&gt;0,IF(TODAY()-K626&lt;'Анализ'!$D$4+1,1,0),"")</f>
        <v/>
      </c>
    </row>
    <row r="627" ht="15.75" customHeight="1">
      <c r="B627" s="1" t="str">
        <f t="shared" si="1"/>
        <v/>
      </c>
      <c r="F627" s="1"/>
      <c r="G627" s="17"/>
      <c r="I627" s="1" t="str">
        <f>'Исходник'!T253</f>
        <v/>
      </c>
      <c r="J627" s="1" t="str">
        <f t="array" ref="J627">IFERROR(INDEX('Исходник'!$1:$626,MATCH($I627,'Исходник'!$T:$T,0),MATCH(J$1,'Исходник'!$1:$1,0)))</f>
        <v/>
      </c>
      <c r="K627" s="7" t="str">
        <f t="shared" si="3"/>
        <v/>
      </c>
      <c r="L627" s="1" t="str">
        <f>IF(I627&gt;0,IF(TODAY()-K627&lt;'Анализ'!$D$4+1,1,0),"")</f>
        <v/>
      </c>
    </row>
    <row r="628" ht="15.75" customHeight="1">
      <c r="B628" s="1" t="str">
        <f t="shared" si="1"/>
        <v/>
      </c>
      <c r="F628" s="1"/>
      <c r="G628" s="17"/>
      <c r="I628" s="1" t="str">
        <f>'Исходник'!T254</f>
        <v/>
      </c>
      <c r="J628" s="1" t="str">
        <f t="array" ref="J628">IFERROR(INDEX('Исходник'!$1:$626,MATCH($I628,'Исходник'!$T:$T,0),MATCH(J$1,'Исходник'!$1:$1,0)))</f>
        <v/>
      </c>
      <c r="K628" s="7" t="str">
        <f t="shared" si="3"/>
        <v/>
      </c>
      <c r="L628" s="1" t="str">
        <f>IF(I628&gt;0,IF(TODAY()-K628&lt;'Анализ'!$D$4+1,1,0),"")</f>
        <v/>
      </c>
    </row>
    <row r="629" ht="15.75" customHeight="1">
      <c r="B629" s="1" t="str">
        <f t="shared" si="1"/>
        <v/>
      </c>
      <c r="F629" s="1"/>
      <c r="G629" s="17"/>
      <c r="I629" s="1" t="str">
        <f>'Исходник'!T255</f>
        <v/>
      </c>
      <c r="J629" s="1" t="str">
        <f t="array" ref="J629">IFERROR(INDEX('Исходник'!$1:$626,MATCH($I629,'Исходник'!$T:$T,0),MATCH(J$1,'Исходник'!$1:$1,0)))</f>
        <v/>
      </c>
      <c r="K629" s="7" t="str">
        <f t="shared" si="3"/>
        <v/>
      </c>
      <c r="L629" s="1" t="str">
        <f>IF(I629&gt;0,IF(TODAY()-K629&lt;'Анализ'!$D$4+1,1,0),"")</f>
        <v/>
      </c>
    </row>
    <row r="630" ht="15.75" customHeight="1">
      <c r="B630" s="1" t="str">
        <f t="shared" si="1"/>
        <v/>
      </c>
      <c r="F630" s="1"/>
      <c r="G630" s="17"/>
      <c r="I630" s="1" t="str">
        <f>'Исходник'!T256</f>
        <v/>
      </c>
      <c r="J630" s="1" t="str">
        <f t="array" ref="J630">IFERROR(INDEX('Исходник'!$1:$626,MATCH($I630,'Исходник'!$T:$T,0),MATCH(J$1,'Исходник'!$1:$1,0)))</f>
        <v/>
      </c>
      <c r="K630" s="7" t="str">
        <f t="shared" si="3"/>
        <v/>
      </c>
      <c r="L630" s="1" t="str">
        <f>IF(I630&gt;0,IF(TODAY()-K630&lt;'Анализ'!$D$4+1,1,0),"")</f>
        <v/>
      </c>
    </row>
    <row r="631" ht="15.75" customHeight="1">
      <c r="B631" s="1" t="str">
        <f t="shared" si="1"/>
        <v/>
      </c>
      <c r="F631" s="1"/>
      <c r="G631" s="17"/>
      <c r="I631" s="1" t="str">
        <f>'Исходник'!T257</f>
        <v/>
      </c>
      <c r="J631" s="1" t="str">
        <f t="array" ref="J631">IFERROR(INDEX('Исходник'!$1:$626,MATCH($I631,'Исходник'!$T:$T,0),MATCH(J$1,'Исходник'!$1:$1,0)))</f>
        <v/>
      </c>
      <c r="K631" s="7" t="str">
        <f t="shared" si="3"/>
        <v/>
      </c>
      <c r="L631" s="1" t="str">
        <f>IF(I631&gt;0,IF(TODAY()-K631&lt;'Анализ'!$D$4+1,1,0),"")</f>
        <v/>
      </c>
    </row>
    <row r="632" ht="15.75" customHeight="1">
      <c r="B632" s="1" t="str">
        <f t="shared" si="1"/>
        <v/>
      </c>
      <c r="F632" s="1"/>
      <c r="G632" s="17"/>
      <c r="I632" s="1" t="str">
        <f>'Исходник'!T258</f>
        <v/>
      </c>
      <c r="J632" s="1" t="str">
        <f t="array" ref="J632">IFERROR(INDEX('Исходник'!$1:$626,MATCH($I632,'Исходник'!$T:$T,0),MATCH(J$1,'Исходник'!$1:$1,0)))</f>
        <v/>
      </c>
      <c r="K632" s="7" t="str">
        <f t="shared" si="3"/>
        <v/>
      </c>
      <c r="L632" s="1" t="str">
        <f>IF(I632&gt;0,IF(TODAY()-K632&lt;'Анализ'!$D$4+1,1,0),"")</f>
        <v/>
      </c>
    </row>
    <row r="633" ht="15.75" customHeight="1">
      <c r="B633" s="1" t="str">
        <f t="shared" si="1"/>
        <v/>
      </c>
      <c r="F633" s="1"/>
      <c r="G633" s="17"/>
      <c r="I633" s="1" t="str">
        <f>'Исходник'!T259</f>
        <v/>
      </c>
      <c r="J633" s="1" t="str">
        <f t="array" ref="J633">IFERROR(INDEX('Исходник'!$1:$626,MATCH($I633,'Исходник'!$T:$T,0),MATCH(J$1,'Исходник'!$1:$1,0)))</f>
        <v/>
      </c>
      <c r="K633" s="7" t="str">
        <f t="shared" si="3"/>
        <v/>
      </c>
      <c r="L633" s="1" t="str">
        <f>IF(I633&gt;0,IF(TODAY()-K633&lt;'Анализ'!$D$4+1,1,0),"")</f>
        <v/>
      </c>
    </row>
    <row r="634" ht="15.75" customHeight="1">
      <c r="B634" s="1" t="str">
        <f t="shared" si="1"/>
        <v/>
      </c>
      <c r="F634" s="1"/>
      <c r="G634" s="17"/>
      <c r="I634" s="1" t="str">
        <f>'Исходник'!T260</f>
        <v/>
      </c>
      <c r="J634" s="1" t="str">
        <f t="array" ref="J634">IFERROR(INDEX('Исходник'!$1:$626,MATCH($I634,'Исходник'!$T:$T,0),MATCH(J$1,'Исходник'!$1:$1,0)))</f>
        <v/>
      </c>
      <c r="K634" s="7" t="str">
        <f t="shared" si="3"/>
        <v/>
      </c>
      <c r="L634" s="1" t="str">
        <f>IF(I634&gt;0,IF(TODAY()-K634&lt;'Анализ'!$D$4+1,1,0),"")</f>
        <v/>
      </c>
    </row>
    <row r="635" ht="15.75" customHeight="1">
      <c r="B635" s="1" t="str">
        <f t="shared" si="1"/>
        <v/>
      </c>
      <c r="F635" s="1"/>
      <c r="G635" s="17"/>
      <c r="I635" s="1" t="str">
        <f>'Исходник'!T261</f>
        <v/>
      </c>
      <c r="J635" s="1" t="str">
        <f t="array" ref="J635">IFERROR(INDEX('Исходник'!$1:$626,MATCH($I635,'Исходник'!$T:$T,0),MATCH(J$1,'Исходник'!$1:$1,0)))</f>
        <v/>
      </c>
      <c r="K635" s="7" t="str">
        <f t="shared" si="3"/>
        <v/>
      </c>
      <c r="L635" s="1" t="str">
        <f>IF(I635&gt;0,IF(TODAY()-K635&lt;'Анализ'!$D$4+1,1,0),"")</f>
        <v/>
      </c>
    </row>
    <row r="636" ht="15.75" customHeight="1">
      <c r="B636" s="1" t="str">
        <f t="shared" si="1"/>
        <v/>
      </c>
      <c r="F636" s="1"/>
      <c r="G636" s="17"/>
      <c r="I636" s="1" t="str">
        <f>'Исходник'!T262</f>
        <v/>
      </c>
      <c r="J636" s="1" t="str">
        <f t="array" ref="J636">IFERROR(INDEX('Исходник'!$1:$626,MATCH($I636,'Исходник'!$T:$T,0),MATCH(J$1,'Исходник'!$1:$1,0)))</f>
        <v/>
      </c>
      <c r="K636" s="7" t="str">
        <f t="shared" si="3"/>
        <v/>
      </c>
      <c r="L636" s="1" t="str">
        <f>IF(I636&gt;0,IF(TODAY()-K636&lt;'Анализ'!$D$4+1,1,0),"")</f>
        <v/>
      </c>
    </row>
    <row r="637" ht="15.75" customHeight="1">
      <c r="B637" s="1" t="str">
        <f t="shared" si="1"/>
        <v/>
      </c>
      <c r="F637" s="1"/>
      <c r="G637" s="17"/>
      <c r="I637" s="1" t="str">
        <f>'Исходник'!T263</f>
        <v/>
      </c>
      <c r="J637" s="1" t="str">
        <f t="array" ref="J637">IFERROR(INDEX('Исходник'!$1:$626,MATCH($I637,'Исходник'!$T:$T,0),MATCH(J$1,'Исходник'!$1:$1,0)))</f>
        <v/>
      </c>
      <c r="K637" s="7" t="str">
        <f t="shared" si="3"/>
        <v/>
      </c>
      <c r="L637" s="1" t="str">
        <f>IF(I637&gt;0,IF(TODAY()-K637&lt;'Анализ'!$D$4+1,1,0),"")</f>
        <v/>
      </c>
    </row>
    <row r="638" ht="15.75" customHeight="1">
      <c r="B638" s="1" t="str">
        <f t="shared" si="1"/>
        <v/>
      </c>
      <c r="F638" s="1"/>
      <c r="G638" s="17"/>
      <c r="I638" s="1" t="str">
        <f>'Исходник'!T264</f>
        <v/>
      </c>
      <c r="J638" s="1" t="str">
        <f t="array" ref="J638">IFERROR(INDEX('Исходник'!$1:$626,MATCH($I638,'Исходник'!$T:$T,0),MATCH(J$1,'Исходник'!$1:$1,0)))</f>
        <v/>
      </c>
      <c r="K638" s="7" t="str">
        <f t="shared" si="3"/>
        <v/>
      </c>
      <c r="L638" s="1" t="str">
        <f>IF(I638&gt;0,IF(TODAY()-K638&lt;'Анализ'!$D$4+1,1,0),"")</f>
        <v/>
      </c>
    </row>
    <row r="639" ht="15.75" customHeight="1">
      <c r="B639" s="1" t="str">
        <f t="shared" si="1"/>
        <v/>
      </c>
      <c r="F639" s="1"/>
      <c r="G639" s="17"/>
      <c r="I639" s="1" t="str">
        <f>'Исходник'!T265</f>
        <v/>
      </c>
      <c r="J639" s="1" t="str">
        <f t="array" ref="J639">IFERROR(INDEX('Исходник'!$1:$626,MATCH($I639,'Исходник'!$T:$T,0),MATCH(J$1,'Исходник'!$1:$1,0)))</f>
        <v/>
      </c>
      <c r="K639" s="7" t="str">
        <f t="shared" si="3"/>
        <v/>
      </c>
      <c r="L639" s="1" t="str">
        <f>IF(I639&gt;0,IF(TODAY()-K639&lt;'Анализ'!$D$4+1,1,0),"")</f>
        <v/>
      </c>
    </row>
    <row r="640" ht="15.75" customHeight="1">
      <c r="B640" s="1" t="str">
        <f t="shared" si="1"/>
        <v/>
      </c>
      <c r="F640" s="1"/>
      <c r="G640" s="17"/>
      <c r="I640" s="1" t="str">
        <f>'Исходник'!T266</f>
        <v/>
      </c>
      <c r="J640" s="1" t="str">
        <f t="array" ref="J640">IFERROR(INDEX('Исходник'!$1:$626,MATCH($I640,'Исходник'!$T:$T,0),MATCH(J$1,'Исходник'!$1:$1,0)))</f>
        <v/>
      </c>
      <c r="K640" s="7" t="str">
        <f t="shared" si="3"/>
        <v/>
      </c>
      <c r="L640" s="1" t="str">
        <f>IF(I640&gt;0,IF(TODAY()-K640&lt;'Анализ'!$D$4+1,1,0),"")</f>
        <v/>
      </c>
    </row>
    <row r="641" ht="15.75" customHeight="1">
      <c r="B641" s="1" t="str">
        <f t="shared" si="1"/>
        <v/>
      </c>
      <c r="F641" s="1"/>
      <c r="G641" s="17"/>
      <c r="I641" s="1" t="str">
        <f>'Исходник'!T267</f>
        <v/>
      </c>
      <c r="J641" s="1" t="str">
        <f t="array" ref="J641">IFERROR(INDEX('Исходник'!$1:$626,MATCH($I641,'Исходник'!$T:$T,0),MATCH(J$1,'Исходник'!$1:$1,0)))</f>
        <v/>
      </c>
      <c r="K641" s="7" t="str">
        <f t="shared" si="3"/>
        <v/>
      </c>
      <c r="L641" s="1" t="str">
        <f>IF(I641&gt;0,IF(TODAY()-K641&lt;'Анализ'!$D$4+1,1,0),"")</f>
        <v/>
      </c>
    </row>
    <row r="642" ht="15.75" customHeight="1">
      <c r="B642" s="1" t="str">
        <f t="shared" si="1"/>
        <v/>
      </c>
      <c r="F642" s="1"/>
      <c r="G642" s="17"/>
      <c r="I642" s="1" t="str">
        <f>'Исходник'!T268</f>
        <v/>
      </c>
      <c r="J642" s="1" t="str">
        <f t="array" ref="J642">IFERROR(INDEX('Исходник'!$1:$626,MATCH($I642,'Исходник'!$T:$T,0),MATCH(J$1,'Исходник'!$1:$1,0)))</f>
        <v/>
      </c>
      <c r="K642" s="7" t="str">
        <f t="shared" si="3"/>
        <v/>
      </c>
      <c r="L642" s="1" t="str">
        <f>IF(I642&gt;0,IF(TODAY()-K642&lt;'Анализ'!$D$4+1,1,0),"")</f>
        <v/>
      </c>
    </row>
    <row r="643" ht="15.75" customHeight="1">
      <c r="B643" s="1" t="str">
        <f t="shared" si="1"/>
        <v/>
      </c>
      <c r="F643" s="1"/>
      <c r="G643" s="17"/>
      <c r="I643" s="1" t="str">
        <f>'Исходник'!T269</f>
        <v/>
      </c>
      <c r="J643" s="1" t="str">
        <f t="array" ref="J643">IFERROR(INDEX('Исходник'!$1:$626,MATCH($I643,'Исходник'!$T:$T,0),MATCH(J$1,'Исходник'!$1:$1,0)))</f>
        <v/>
      </c>
      <c r="K643" s="7" t="str">
        <f t="shared" si="3"/>
        <v/>
      </c>
      <c r="L643" s="1" t="str">
        <f>IF(I643&gt;0,IF(TODAY()-K643&lt;'Анализ'!$D$4+1,1,0),"")</f>
        <v/>
      </c>
    </row>
    <row r="644" ht="15.75" customHeight="1">
      <c r="B644" s="1" t="str">
        <f t="shared" si="1"/>
        <v/>
      </c>
      <c r="F644" s="1"/>
      <c r="G644" s="17"/>
      <c r="I644" s="1" t="str">
        <f>'Исходник'!T270</f>
        <v/>
      </c>
      <c r="J644" s="1" t="str">
        <f t="array" ref="J644">IFERROR(INDEX('Исходник'!$1:$626,MATCH($I644,'Исходник'!$T:$T,0),MATCH(J$1,'Исходник'!$1:$1,0)))</f>
        <v/>
      </c>
      <c r="K644" s="7" t="str">
        <f t="shared" si="3"/>
        <v/>
      </c>
      <c r="L644" s="1" t="str">
        <f>IF(I644&gt;0,IF(TODAY()-K644&lt;'Анализ'!$D$4+1,1,0),"")</f>
        <v/>
      </c>
    </row>
    <row r="645" ht="15.75" customHeight="1">
      <c r="B645" s="1" t="str">
        <f t="shared" si="1"/>
        <v/>
      </c>
      <c r="F645" s="1"/>
      <c r="G645" s="17"/>
      <c r="I645" s="1" t="str">
        <f>'Исходник'!T271</f>
        <v/>
      </c>
      <c r="J645" s="1" t="str">
        <f t="array" ref="J645">IFERROR(INDEX('Исходник'!$1:$626,MATCH($I645,'Исходник'!$T:$T,0),MATCH(J$1,'Исходник'!$1:$1,0)))</f>
        <v/>
      </c>
      <c r="K645" s="7" t="str">
        <f t="shared" si="3"/>
        <v/>
      </c>
      <c r="L645" s="1" t="str">
        <f>IF(I645&gt;0,IF(TODAY()-K645&lt;'Анализ'!$D$4+1,1,0),"")</f>
        <v/>
      </c>
    </row>
    <row r="646" ht="15.75" customHeight="1">
      <c r="B646" s="1" t="str">
        <f t="shared" si="1"/>
        <v/>
      </c>
      <c r="F646" s="1"/>
      <c r="G646" s="17"/>
      <c r="I646" s="1" t="str">
        <f>'Исходник'!T272</f>
        <v/>
      </c>
      <c r="J646" s="1" t="str">
        <f t="array" ref="J646">IFERROR(INDEX('Исходник'!$1:$626,MATCH($I646,'Исходник'!$T:$T,0),MATCH(J$1,'Исходник'!$1:$1,0)))</f>
        <v/>
      </c>
      <c r="K646" s="7" t="str">
        <f t="shared" si="3"/>
        <v/>
      </c>
      <c r="L646" s="1" t="str">
        <f>IF(I646&gt;0,IF(TODAY()-K646&lt;'Анализ'!$D$4+1,1,0),"")</f>
        <v/>
      </c>
    </row>
    <row r="647" ht="15.75" customHeight="1">
      <c r="B647" s="1" t="str">
        <f t="shared" si="1"/>
        <v/>
      </c>
      <c r="F647" s="1"/>
      <c r="G647" s="17"/>
      <c r="I647" s="1" t="str">
        <f>'Исходник'!T273</f>
        <v/>
      </c>
      <c r="J647" s="1" t="str">
        <f t="array" ref="J647">IFERROR(INDEX('Исходник'!$1:$626,MATCH($I647,'Исходник'!$T:$T,0),MATCH(J$1,'Исходник'!$1:$1,0)))</f>
        <v/>
      </c>
      <c r="K647" s="7" t="str">
        <f t="shared" si="3"/>
        <v/>
      </c>
      <c r="L647" s="1" t="str">
        <f>IF(I647&gt;0,IF(TODAY()-K647&lt;'Анализ'!$D$4+1,1,0),"")</f>
        <v/>
      </c>
    </row>
    <row r="648" ht="15.75" customHeight="1">
      <c r="B648" s="1" t="str">
        <f t="shared" si="1"/>
        <v/>
      </c>
      <c r="F648" s="1"/>
      <c r="G648" s="17"/>
      <c r="I648" s="1" t="str">
        <f>'Исходник'!T274</f>
        <v/>
      </c>
      <c r="J648" s="1" t="str">
        <f t="array" ref="J648">IFERROR(INDEX('Исходник'!$1:$626,MATCH($I648,'Исходник'!$T:$T,0),MATCH(J$1,'Исходник'!$1:$1,0)))</f>
        <v/>
      </c>
      <c r="K648" s="7" t="str">
        <f t="shared" si="3"/>
        <v/>
      </c>
      <c r="L648" s="1" t="str">
        <f>IF(I648&gt;0,IF(TODAY()-K648&lt;'Анализ'!$D$4+1,1,0),"")</f>
        <v/>
      </c>
    </row>
    <row r="649" ht="15.75" customHeight="1">
      <c r="B649" s="1" t="str">
        <f t="shared" si="1"/>
        <v/>
      </c>
      <c r="F649" s="1"/>
      <c r="G649" s="17"/>
      <c r="I649" s="1" t="str">
        <f>'Исходник'!T275</f>
        <v/>
      </c>
      <c r="J649" s="1" t="str">
        <f t="array" ref="J649">IFERROR(INDEX('Исходник'!$1:$626,MATCH($I649,'Исходник'!$T:$T,0),MATCH(J$1,'Исходник'!$1:$1,0)))</f>
        <v/>
      </c>
      <c r="K649" s="7" t="str">
        <f t="shared" si="3"/>
        <v/>
      </c>
      <c r="L649" s="1" t="str">
        <f>IF(I649&gt;0,IF(TODAY()-K649&lt;'Анализ'!$D$4+1,1,0),"")</f>
        <v/>
      </c>
    </row>
    <row r="650" ht="15.75" customHeight="1">
      <c r="B650" s="1" t="str">
        <f t="shared" si="1"/>
        <v/>
      </c>
      <c r="F650" s="1"/>
      <c r="G650" s="17"/>
      <c r="I650" s="1" t="str">
        <f>'Исходник'!T276</f>
        <v/>
      </c>
      <c r="J650" s="1" t="str">
        <f t="array" ref="J650">IFERROR(INDEX('Исходник'!$1:$626,MATCH($I650,'Исходник'!$T:$T,0),MATCH(J$1,'Исходник'!$1:$1,0)))</f>
        <v/>
      </c>
      <c r="K650" s="7" t="str">
        <f t="shared" si="3"/>
        <v/>
      </c>
      <c r="L650" s="1" t="str">
        <f>IF(I650&gt;0,IF(TODAY()-K650&lt;'Анализ'!$D$4+1,1,0),"")</f>
        <v/>
      </c>
    </row>
    <row r="651" ht="15.75" customHeight="1">
      <c r="B651" s="1" t="str">
        <f t="shared" si="1"/>
        <v/>
      </c>
      <c r="F651" s="1"/>
      <c r="G651" s="17"/>
      <c r="I651" s="1" t="str">
        <f>'Исходник'!T277</f>
        <v/>
      </c>
      <c r="J651" s="1" t="str">
        <f t="array" ref="J651">IFERROR(INDEX('Исходник'!$1:$626,MATCH($I651,'Исходник'!$T:$T,0),MATCH(J$1,'Исходник'!$1:$1,0)))</f>
        <v/>
      </c>
      <c r="K651" s="7" t="str">
        <f t="shared" si="3"/>
        <v/>
      </c>
      <c r="L651" s="1" t="str">
        <f>IF(I651&gt;0,IF(TODAY()-K651&lt;'Анализ'!$D$4+1,1,0),"")</f>
        <v/>
      </c>
    </row>
    <row r="652" ht="15.75" customHeight="1">
      <c r="B652" s="1" t="str">
        <f t="shared" si="1"/>
        <v/>
      </c>
      <c r="F652" s="1"/>
      <c r="G652" s="17"/>
      <c r="I652" s="1" t="str">
        <f>'Исходник'!T278</f>
        <v/>
      </c>
      <c r="J652" s="1" t="str">
        <f t="array" ref="J652">IFERROR(INDEX('Исходник'!$1:$626,MATCH($I652,'Исходник'!$T:$T,0),MATCH(J$1,'Исходник'!$1:$1,0)))</f>
        <v/>
      </c>
      <c r="K652" s="7" t="str">
        <f t="shared" si="3"/>
        <v/>
      </c>
      <c r="L652" s="1" t="str">
        <f>IF(I652&gt;0,IF(TODAY()-K652&lt;'Анализ'!$D$4+1,1,0),"")</f>
        <v/>
      </c>
    </row>
    <row r="653" ht="15.75" customHeight="1">
      <c r="B653" s="1" t="str">
        <f t="shared" si="1"/>
        <v/>
      </c>
      <c r="F653" s="1"/>
      <c r="G653" s="17"/>
      <c r="I653" s="1" t="str">
        <f>'Исходник'!T279</f>
        <v/>
      </c>
      <c r="J653" s="1" t="str">
        <f t="array" ref="J653">IFERROR(INDEX('Исходник'!$1:$626,MATCH($I653,'Исходник'!$T:$T,0),MATCH(J$1,'Исходник'!$1:$1,0)))</f>
        <v/>
      </c>
      <c r="K653" s="7" t="str">
        <f t="shared" si="3"/>
        <v/>
      </c>
      <c r="L653" s="1" t="str">
        <f>IF(I653&gt;0,IF(TODAY()-K653&lt;'Анализ'!$D$4+1,1,0),"")</f>
        <v/>
      </c>
    </row>
    <row r="654" ht="15.75" customHeight="1">
      <c r="B654" s="1" t="str">
        <f t="shared" si="1"/>
        <v/>
      </c>
      <c r="F654" s="1"/>
      <c r="G654" s="17"/>
      <c r="I654" s="1" t="str">
        <f>'Исходник'!T280</f>
        <v/>
      </c>
      <c r="J654" s="1" t="str">
        <f t="array" ref="J654">IFERROR(INDEX('Исходник'!$1:$626,MATCH($I654,'Исходник'!$T:$T,0),MATCH(J$1,'Исходник'!$1:$1,0)))</f>
        <v/>
      </c>
      <c r="K654" s="7" t="str">
        <f t="shared" si="3"/>
        <v/>
      </c>
      <c r="L654" s="1" t="str">
        <f>IF(I654&gt;0,IF(TODAY()-K654&lt;'Анализ'!$D$4+1,1,0),"")</f>
        <v/>
      </c>
    </row>
    <row r="655" ht="15.75" customHeight="1">
      <c r="B655" s="1" t="str">
        <f t="shared" si="1"/>
        <v/>
      </c>
      <c r="F655" s="1"/>
      <c r="G655" s="17"/>
      <c r="I655" s="1" t="str">
        <f>'Исходник'!T281</f>
        <v/>
      </c>
      <c r="J655" s="1" t="str">
        <f t="array" ref="J655">IFERROR(INDEX('Исходник'!$1:$626,MATCH($I655,'Исходник'!$T:$T,0),MATCH(J$1,'Исходник'!$1:$1,0)))</f>
        <v/>
      </c>
      <c r="K655" s="7" t="str">
        <f t="shared" si="3"/>
        <v/>
      </c>
      <c r="L655" s="1" t="str">
        <f>IF(I655&gt;0,IF(TODAY()-K655&lt;'Анализ'!$D$4+1,1,0),"")</f>
        <v/>
      </c>
    </row>
    <row r="656" ht="15.75" customHeight="1">
      <c r="B656" s="1" t="str">
        <f t="shared" si="1"/>
        <v/>
      </c>
      <c r="F656" s="1"/>
      <c r="G656" s="17"/>
      <c r="I656" s="1" t="str">
        <f>'Исходник'!T282</f>
        <v/>
      </c>
      <c r="J656" s="1" t="str">
        <f t="array" ref="J656">IFERROR(INDEX('Исходник'!$1:$626,MATCH($I656,'Исходник'!$T:$T,0),MATCH(J$1,'Исходник'!$1:$1,0)))</f>
        <v/>
      </c>
      <c r="K656" s="7" t="str">
        <f t="shared" si="3"/>
        <v/>
      </c>
      <c r="L656" s="1" t="str">
        <f>IF(I656&gt;0,IF(TODAY()-K656&lt;'Анализ'!$D$4+1,1,0),"")</f>
        <v/>
      </c>
    </row>
    <row r="657" ht="15.75" customHeight="1">
      <c r="B657" s="1" t="str">
        <f t="shared" si="1"/>
        <v/>
      </c>
      <c r="F657" s="1"/>
      <c r="G657" s="17"/>
      <c r="I657" s="1" t="str">
        <f>'Исходник'!T283</f>
        <v/>
      </c>
      <c r="J657" s="1" t="str">
        <f t="array" ref="J657">IFERROR(INDEX('Исходник'!$1:$626,MATCH($I657,'Исходник'!$T:$T,0),MATCH(J$1,'Исходник'!$1:$1,0)))</f>
        <v/>
      </c>
      <c r="K657" s="7" t="str">
        <f t="shared" si="3"/>
        <v/>
      </c>
      <c r="L657" s="1" t="str">
        <f>IF(I657&gt;0,IF(TODAY()-K657&lt;'Анализ'!$D$4+1,1,0),"")</f>
        <v/>
      </c>
    </row>
    <row r="658" ht="15.75" customHeight="1">
      <c r="B658" s="1" t="str">
        <f t="shared" si="1"/>
        <v/>
      </c>
      <c r="F658" s="1"/>
      <c r="G658" s="17"/>
      <c r="I658" s="1" t="str">
        <f>'Исходник'!T284</f>
        <v/>
      </c>
      <c r="J658" s="1" t="str">
        <f t="array" ref="J658">IFERROR(INDEX('Исходник'!$1:$626,MATCH($I658,'Исходник'!$T:$T,0),MATCH(J$1,'Исходник'!$1:$1,0)))</f>
        <v/>
      </c>
      <c r="K658" s="7" t="str">
        <f t="shared" si="3"/>
        <v/>
      </c>
      <c r="L658" s="1" t="str">
        <f>IF(I658&gt;0,IF(TODAY()-K658&lt;'Анализ'!$D$4+1,1,0),"")</f>
        <v/>
      </c>
    </row>
    <row r="659" ht="15.75" customHeight="1">
      <c r="B659" s="1" t="str">
        <f t="shared" si="1"/>
        <v/>
      </c>
      <c r="F659" s="1"/>
      <c r="G659" s="17"/>
      <c r="I659" s="1" t="str">
        <f>'Исходник'!T285</f>
        <v/>
      </c>
      <c r="J659" s="1" t="str">
        <f t="array" ref="J659">IFERROR(INDEX('Исходник'!$1:$626,MATCH($I659,'Исходник'!$T:$T,0),MATCH(J$1,'Исходник'!$1:$1,0)))</f>
        <v/>
      </c>
      <c r="K659" s="7" t="str">
        <f t="shared" si="3"/>
        <v/>
      </c>
      <c r="L659" s="1" t="str">
        <f>IF(I659&gt;0,IF(TODAY()-K659&lt;'Анализ'!$D$4+1,1,0),"")</f>
        <v/>
      </c>
    </row>
    <row r="660" ht="15.75" customHeight="1">
      <c r="B660" s="1" t="str">
        <f t="shared" si="1"/>
        <v/>
      </c>
      <c r="F660" s="1"/>
      <c r="G660" s="17"/>
      <c r="I660" s="1" t="str">
        <f>'Исходник'!T286</f>
        <v/>
      </c>
      <c r="J660" s="1" t="str">
        <f t="array" ref="J660">IFERROR(INDEX('Исходник'!$1:$626,MATCH($I660,'Исходник'!$T:$T,0),MATCH(J$1,'Исходник'!$1:$1,0)))</f>
        <v/>
      </c>
      <c r="K660" s="7" t="str">
        <f t="shared" si="3"/>
        <v/>
      </c>
      <c r="L660" s="1" t="str">
        <f>IF(I660&gt;0,IF(TODAY()-K660&lt;'Анализ'!$D$4+1,1,0),"")</f>
        <v/>
      </c>
    </row>
    <row r="661" ht="15.75" customHeight="1">
      <c r="B661" s="1" t="str">
        <f t="shared" si="1"/>
        <v/>
      </c>
      <c r="F661" s="1"/>
      <c r="G661" s="17"/>
      <c r="I661" s="1" t="str">
        <f>'Исходник'!T287</f>
        <v/>
      </c>
      <c r="J661" s="1" t="str">
        <f t="array" ref="J661">IFERROR(INDEX('Исходник'!$1:$626,MATCH($I661,'Исходник'!$T:$T,0),MATCH(J$1,'Исходник'!$1:$1,0)))</f>
        <v/>
      </c>
      <c r="K661" s="7" t="str">
        <f t="shared" si="3"/>
        <v/>
      </c>
      <c r="L661" s="1" t="str">
        <f>IF(I661&gt;0,IF(TODAY()-K661&lt;'Анализ'!$D$4+1,1,0),"")</f>
        <v/>
      </c>
    </row>
    <row r="662" ht="15.75" customHeight="1">
      <c r="B662" s="1" t="str">
        <f t="shared" si="1"/>
        <v/>
      </c>
      <c r="F662" s="1"/>
      <c r="G662" s="17"/>
      <c r="I662" s="1" t="str">
        <f>'Исходник'!T288</f>
        <v/>
      </c>
      <c r="J662" s="1" t="str">
        <f t="array" ref="J662">IFERROR(INDEX('Исходник'!$1:$626,MATCH($I662,'Исходник'!$T:$T,0),MATCH(J$1,'Исходник'!$1:$1,0)))</f>
        <v/>
      </c>
      <c r="K662" s="7" t="str">
        <f t="shared" si="3"/>
        <v/>
      </c>
      <c r="L662" s="1" t="str">
        <f>IF(I662&gt;0,IF(TODAY()-K662&lt;'Анализ'!$D$4+1,1,0),"")</f>
        <v/>
      </c>
    </row>
    <row r="663" ht="15.75" customHeight="1">
      <c r="B663" s="1" t="str">
        <f t="shared" si="1"/>
        <v/>
      </c>
      <c r="F663" s="1"/>
      <c r="G663" s="17"/>
      <c r="I663" s="1" t="str">
        <f>'Исходник'!T289</f>
        <v/>
      </c>
      <c r="J663" s="1" t="str">
        <f t="array" ref="J663">IFERROR(INDEX('Исходник'!$1:$626,MATCH($I663,'Исходник'!$T:$T,0),MATCH(J$1,'Исходник'!$1:$1,0)))</f>
        <v/>
      </c>
      <c r="K663" s="7" t="str">
        <f t="shared" si="3"/>
        <v/>
      </c>
      <c r="L663" s="1" t="str">
        <f>IF(I663&gt;0,IF(TODAY()-K663&lt;'Анализ'!$D$4+1,1,0),"")</f>
        <v/>
      </c>
    </row>
    <row r="664" ht="15.75" customHeight="1">
      <c r="B664" s="1" t="str">
        <f t="shared" si="1"/>
        <v/>
      </c>
      <c r="F664" s="1"/>
      <c r="G664" s="17"/>
      <c r="I664" s="1" t="str">
        <f>'Исходник'!T290</f>
        <v/>
      </c>
      <c r="J664" s="1" t="str">
        <f t="array" ref="J664">IFERROR(INDEX('Исходник'!$1:$626,MATCH($I664,'Исходник'!$T:$T,0),MATCH(J$1,'Исходник'!$1:$1,0)))</f>
        <v/>
      </c>
      <c r="K664" s="7" t="str">
        <f t="shared" si="3"/>
        <v/>
      </c>
      <c r="L664" s="1" t="str">
        <f>IF(I664&gt;0,IF(TODAY()-K664&lt;'Анализ'!$D$4+1,1,0),"")</f>
        <v/>
      </c>
    </row>
    <row r="665" ht="15.75" customHeight="1">
      <c r="B665" s="1" t="str">
        <f t="shared" si="1"/>
        <v/>
      </c>
      <c r="F665" s="1"/>
      <c r="G665" s="17"/>
      <c r="I665" s="1" t="str">
        <f>'Исходник'!T291</f>
        <v/>
      </c>
      <c r="J665" s="1" t="str">
        <f t="array" ref="J665">IFERROR(INDEX('Исходник'!$1:$626,MATCH($I665,'Исходник'!$T:$T,0),MATCH(J$1,'Исходник'!$1:$1,0)))</f>
        <v/>
      </c>
      <c r="K665" s="7" t="str">
        <f t="shared" si="3"/>
        <v/>
      </c>
      <c r="L665" s="1" t="str">
        <f>IF(I665&gt;0,IF(TODAY()-K665&lt;'Анализ'!$D$4+1,1,0),"")</f>
        <v/>
      </c>
    </row>
    <row r="666" ht="15.75" customHeight="1">
      <c r="B666" s="1" t="str">
        <f t="shared" si="1"/>
        <v/>
      </c>
      <c r="F666" s="1"/>
      <c r="G666" s="17"/>
      <c r="I666" s="1" t="str">
        <f>'Исходник'!T292</f>
        <v/>
      </c>
      <c r="J666" s="1" t="str">
        <f t="array" ref="J666">IFERROR(INDEX('Исходник'!$1:$626,MATCH($I666,'Исходник'!$T:$T,0),MATCH(J$1,'Исходник'!$1:$1,0)))</f>
        <v/>
      </c>
      <c r="K666" s="7" t="str">
        <f t="shared" si="3"/>
        <v/>
      </c>
      <c r="L666" s="1" t="str">
        <f>IF(I666&gt;0,IF(TODAY()-K666&lt;'Анализ'!$D$4+1,1,0),"")</f>
        <v/>
      </c>
    </row>
    <row r="667" ht="15.75" customHeight="1">
      <c r="B667" s="1" t="str">
        <f t="shared" si="1"/>
        <v/>
      </c>
      <c r="F667" s="1"/>
      <c r="G667" s="17"/>
      <c r="I667" s="1" t="str">
        <f>'Исходник'!T293</f>
        <v/>
      </c>
      <c r="J667" s="1" t="str">
        <f t="array" ref="J667">IFERROR(INDEX('Исходник'!$1:$626,MATCH($I667,'Исходник'!$T:$T,0),MATCH(J$1,'Исходник'!$1:$1,0)))</f>
        <v/>
      </c>
      <c r="K667" s="7" t="str">
        <f t="shared" si="3"/>
        <v/>
      </c>
      <c r="L667" s="1" t="str">
        <f>IF(I667&gt;0,IF(TODAY()-K667&lt;'Анализ'!$D$4+1,1,0),"")</f>
        <v/>
      </c>
    </row>
    <row r="668" ht="15.75" customHeight="1">
      <c r="B668" s="1" t="str">
        <f t="shared" si="1"/>
        <v/>
      </c>
      <c r="F668" s="1"/>
      <c r="G668" s="17"/>
      <c r="I668" s="1" t="str">
        <f>'Исходник'!T294</f>
        <v/>
      </c>
      <c r="J668" s="1" t="str">
        <f t="array" ref="J668">IFERROR(INDEX('Исходник'!$1:$626,MATCH($I668,'Исходник'!$T:$T,0),MATCH(J$1,'Исходник'!$1:$1,0)))</f>
        <v/>
      </c>
      <c r="K668" s="7" t="str">
        <f t="shared" si="3"/>
        <v/>
      </c>
      <c r="L668" s="1" t="str">
        <f>IF(I668&gt;0,IF(TODAY()-K668&lt;'Анализ'!$D$4+1,1,0),"")</f>
        <v/>
      </c>
    </row>
    <row r="669" ht="15.75" customHeight="1">
      <c r="B669" s="1" t="str">
        <f t="shared" si="1"/>
        <v/>
      </c>
      <c r="F669" s="1"/>
      <c r="G669" s="17"/>
      <c r="I669" s="1" t="str">
        <f>'Исходник'!T295</f>
        <v/>
      </c>
      <c r="J669" s="1" t="str">
        <f t="array" ref="J669">IFERROR(INDEX('Исходник'!$1:$626,MATCH($I669,'Исходник'!$T:$T,0),MATCH(J$1,'Исходник'!$1:$1,0)))</f>
        <v/>
      </c>
      <c r="K669" s="7" t="str">
        <f t="shared" si="3"/>
        <v/>
      </c>
      <c r="L669" s="1" t="str">
        <f>IF(I669&gt;0,IF(TODAY()-K669&lt;'Анализ'!$D$4+1,1,0),"")</f>
        <v/>
      </c>
    </row>
    <row r="670" ht="15.75" customHeight="1">
      <c r="B670" s="1" t="str">
        <f t="shared" si="1"/>
        <v/>
      </c>
      <c r="F670" s="1"/>
      <c r="G670" s="17"/>
      <c r="I670" s="1" t="str">
        <f>'Исходник'!T296</f>
        <v/>
      </c>
      <c r="J670" s="1" t="str">
        <f t="array" ref="J670">IFERROR(INDEX('Исходник'!$1:$626,MATCH($I670,'Исходник'!$T:$T,0),MATCH(J$1,'Исходник'!$1:$1,0)))</f>
        <v/>
      </c>
      <c r="K670" s="7" t="str">
        <f t="shared" si="3"/>
        <v/>
      </c>
      <c r="L670" s="1" t="str">
        <f>IF(I670&gt;0,IF(TODAY()-K670&lt;'Анализ'!$D$4+1,1,0),"")</f>
        <v/>
      </c>
    </row>
    <row r="671" ht="15.75" customHeight="1">
      <c r="B671" s="1" t="str">
        <f t="shared" si="1"/>
        <v/>
      </c>
      <c r="F671" s="1"/>
      <c r="G671" s="17"/>
      <c r="I671" s="1" t="str">
        <f>'Исходник'!T297</f>
        <v/>
      </c>
      <c r="J671" s="1" t="str">
        <f t="array" ref="J671">IFERROR(INDEX('Исходник'!$1:$626,MATCH($I671,'Исходник'!$T:$T,0),MATCH(J$1,'Исходник'!$1:$1,0)))</f>
        <v/>
      </c>
      <c r="K671" s="7" t="str">
        <f t="shared" si="3"/>
        <v/>
      </c>
      <c r="L671" s="1" t="str">
        <f>IF(I671&gt;0,IF(TODAY()-K671&lt;'Анализ'!$D$4+1,1,0),"")</f>
        <v/>
      </c>
    </row>
    <row r="672" ht="15.75" customHeight="1">
      <c r="B672" s="1" t="str">
        <f t="shared" si="1"/>
        <v/>
      </c>
      <c r="F672" s="1"/>
      <c r="G672" s="17"/>
      <c r="I672" s="1" t="str">
        <f>'Исходник'!T298</f>
        <v/>
      </c>
      <c r="J672" s="1" t="str">
        <f t="array" ref="J672">IFERROR(INDEX('Исходник'!$1:$626,MATCH($I672,'Исходник'!$T:$T,0),MATCH(J$1,'Исходник'!$1:$1,0)))</f>
        <v/>
      </c>
      <c r="K672" s="7" t="str">
        <f t="shared" si="3"/>
        <v/>
      </c>
      <c r="L672" s="1" t="str">
        <f>IF(I672&gt;0,IF(TODAY()-K672&lt;'Анализ'!$D$4+1,1,0),"")</f>
        <v/>
      </c>
    </row>
    <row r="673" ht="15.75" customHeight="1">
      <c r="B673" s="1" t="str">
        <f t="shared" si="1"/>
        <v/>
      </c>
      <c r="F673" s="1"/>
      <c r="G673" s="17"/>
      <c r="I673" s="1" t="str">
        <f>'Исходник'!T299</f>
        <v/>
      </c>
      <c r="J673" s="1" t="str">
        <f t="array" ref="J673">IFERROR(INDEX('Исходник'!$1:$626,MATCH($I673,'Исходник'!$T:$T,0),MATCH(J$1,'Исходник'!$1:$1,0)))</f>
        <v/>
      </c>
      <c r="K673" s="7" t="str">
        <f t="shared" si="3"/>
        <v/>
      </c>
      <c r="L673" s="1" t="str">
        <f>IF(I673&gt;0,IF(TODAY()-K673&lt;'Анализ'!$D$4+1,1,0),"")</f>
        <v/>
      </c>
    </row>
    <row r="674" ht="15.75" customHeight="1">
      <c r="B674" s="1" t="str">
        <f t="shared" si="1"/>
        <v/>
      </c>
      <c r="F674" s="1"/>
      <c r="G674" s="17"/>
      <c r="I674" s="1" t="str">
        <f>'Исходник'!T300</f>
        <v/>
      </c>
      <c r="J674" s="1" t="str">
        <f t="array" ref="J674">IFERROR(INDEX('Исходник'!$1:$626,MATCH($I674,'Исходник'!$T:$T,0),MATCH(J$1,'Исходник'!$1:$1,0)))</f>
        <v/>
      </c>
      <c r="K674" s="7" t="str">
        <f t="shared" si="3"/>
        <v/>
      </c>
      <c r="L674" s="1" t="str">
        <f>IF(I674&gt;0,IF(TODAY()-K674&lt;'Анализ'!$D$4+1,1,0),"")</f>
        <v/>
      </c>
    </row>
    <row r="675" ht="15.75" customHeight="1">
      <c r="B675" s="1" t="str">
        <f t="shared" si="1"/>
        <v/>
      </c>
      <c r="F675" s="1"/>
      <c r="G675" s="17"/>
      <c r="I675" s="1" t="str">
        <f>'Исходник'!T301</f>
        <v/>
      </c>
      <c r="J675" s="1" t="str">
        <f t="array" ref="J675">IFERROR(INDEX('Исходник'!$1:$626,MATCH($I675,'Исходник'!$T:$T,0),MATCH(J$1,'Исходник'!$1:$1,0)))</f>
        <v/>
      </c>
      <c r="K675" s="7" t="str">
        <f t="shared" si="3"/>
        <v/>
      </c>
      <c r="L675" s="1" t="str">
        <f>IF(I675&gt;0,IF(TODAY()-K675&lt;'Анализ'!$D$4+1,1,0),"")</f>
        <v/>
      </c>
    </row>
    <row r="676" ht="15.75" customHeight="1">
      <c r="B676" s="1" t="str">
        <f t="shared" si="1"/>
        <v/>
      </c>
      <c r="F676" s="1"/>
      <c r="G676" s="17"/>
      <c r="I676" s="1" t="str">
        <f>'Исходник'!T302</f>
        <v/>
      </c>
      <c r="J676" s="1" t="str">
        <f t="array" ref="J676">IFERROR(INDEX('Исходник'!$1:$626,MATCH($I676,'Исходник'!$T:$T,0),MATCH(J$1,'Исходник'!$1:$1,0)))</f>
        <v/>
      </c>
      <c r="K676" s="7" t="str">
        <f t="shared" si="3"/>
        <v/>
      </c>
      <c r="L676" s="1" t="str">
        <f>IF(I676&gt;0,IF(TODAY()-K676&lt;'Анализ'!$D$4+1,1,0),"")</f>
        <v/>
      </c>
    </row>
    <row r="677" ht="15.75" customHeight="1">
      <c r="B677" s="1" t="str">
        <f t="shared" si="1"/>
        <v/>
      </c>
      <c r="F677" s="1"/>
      <c r="G677" s="17"/>
      <c r="I677" s="1" t="str">
        <f>'Исходник'!T303</f>
        <v/>
      </c>
      <c r="J677" s="1" t="str">
        <f t="array" ref="J677">IFERROR(INDEX('Исходник'!$1:$626,MATCH($I677,'Исходник'!$T:$T,0),MATCH(J$1,'Исходник'!$1:$1,0)))</f>
        <v/>
      </c>
      <c r="K677" s="7" t="str">
        <f t="shared" si="3"/>
        <v/>
      </c>
      <c r="L677" s="1" t="str">
        <f>IF(I677&gt;0,IF(TODAY()-K677&lt;'Анализ'!$D$4+1,1,0),"")</f>
        <v/>
      </c>
    </row>
    <row r="678" ht="15.75" customHeight="1">
      <c r="B678" s="1" t="str">
        <f t="shared" si="1"/>
        <v/>
      </c>
      <c r="F678" s="1"/>
      <c r="G678" s="17"/>
      <c r="I678" s="1" t="str">
        <f>'Исходник'!T304</f>
        <v/>
      </c>
      <c r="J678" s="1" t="str">
        <f t="array" ref="J678">IFERROR(INDEX('Исходник'!$1:$626,MATCH($I678,'Исходник'!$T:$T,0),MATCH(J$1,'Исходник'!$1:$1,0)))</f>
        <v/>
      </c>
      <c r="K678" s="7" t="str">
        <f t="shared" si="3"/>
        <v/>
      </c>
      <c r="L678" s="1" t="str">
        <f>IF(I678&gt;0,IF(TODAY()-K678&lt;'Анализ'!$D$4+1,1,0),"")</f>
        <v/>
      </c>
    </row>
    <row r="679" ht="15.75" customHeight="1">
      <c r="B679" s="1" t="str">
        <f t="shared" si="1"/>
        <v/>
      </c>
      <c r="F679" s="1"/>
      <c r="G679" s="17"/>
      <c r="I679" s="1" t="str">
        <f>'Исходник'!T305</f>
        <v/>
      </c>
      <c r="J679" s="1" t="str">
        <f t="array" ref="J679">IFERROR(INDEX('Исходник'!$1:$626,MATCH($I679,'Исходник'!$T:$T,0),MATCH(J$1,'Исходник'!$1:$1,0)))</f>
        <v/>
      </c>
      <c r="K679" s="7" t="str">
        <f t="shared" si="3"/>
        <v/>
      </c>
      <c r="L679" s="1" t="str">
        <f>IF(I679&gt;0,IF(TODAY()-K679&lt;'Анализ'!$D$4+1,1,0),"")</f>
        <v/>
      </c>
    </row>
    <row r="680" ht="15.75" customHeight="1">
      <c r="B680" s="1" t="str">
        <f t="shared" si="1"/>
        <v/>
      </c>
      <c r="F680" s="1"/>
      <c r="G680" s="17"/>
      <c r="I680" s="1" t="str">
        <f>'Исходник'!T306</f>
        <v/>
      </c>
      <c r="J680" s="1" t="str">
        <f t="array" ref="J680">IFERROR(INDEX('Исходник'!$1:$626,MATCH($I680,'Исходник'!$T:$T,0),MATCH(J$1,'Исходник'!$1:$1,0)))</f>
        <v/>
      </c>
      <c r="K680" s="7" t="str">
        <f t="shared" si="3"/>
        <v/>
      </c>
      <c r="L680" s="1" t="str">
        <f>IF(I680&gt;0,IF(TODAY()-K680&lt;'Анализ'!$D$4+1,1,0),"")</f>
        <v/>
      </c>
    </row>
    <row r="681" ht="15.75" customHeight="1">
      <c r="B681" s="1" t="str">
        <f t="shared" si="1"/>
        <v/>
      </c>
      <c r="F681" s="1"/>
      <c r="G681" s="17"/>
      <c r="I681" s="1" t="str">
        <f>'Исходник'!T307</f>
        <v/>
      </c>
      <c r="J681" s="1" t="str">
        <f t="array" ref="J681">IFERROR(INDEX('Исходник'!$1:$626,MATCH($I681,'Исходник'!$T:$T,0),MATCH(J$1,'Исходник'!$1:$1,0)))</f>
        <v/>
      </c>
      <c r="K681" s="7" t="str">
        <f t="shared" si="3"/>
        <v/>
      </c>
      <c r="L681" s="1" t="str">
        <f>IF(I681&gt;0,IF(TODAY()-K681&lt;'Анализ'!$D$4+1,1,0),"")</f>
        <v/>
      </c>
    </row>
    <row r="682" ht="15.75" customHeight="1">
      <c r="B682" s="1" t="str">
        <f t="shared" si="1"/>
        <v/>
      </c>
      <c r="F682" s="1"/>
      <c r="G682" s="17"/>
      <c r="I682" s="1" t="str">
        <f>'Исходник'!T308</f>
        <v/>
      </c>
      <c r="J682" s="1" t="str">
        <f t="array" ref="J682">IFERROR(INDEX('Исходник'!$1:$626,MATCH($I682,'Исходник'!$T:$T,0),MATCH(J$1,'Исходник'!$1:$1,0)))</f>
        <v/>
      </c>
      <c r="K682" s="7" t="str">
        <f t="shared" si="3"/>
        <v/>
      </c>
      <c r="L682" s="1" t="str">
        <f>IF(I682&gt;0,IF(TODAY()-K682&lt;'Анализ'!$D$4+1,1,0),"")</f>
        <v/>
      </c>
    </row>
    <row r="683" ht="15.75" customHeight="1">
      <c r="B683" s="1" t="str">
        <f t="shared" si="1"/>
        <v/>
      </c>
      <c r="F683" s="1"/>
      <c r="G683" s="17"/>
      <c r="I683" s="1" t="str">
        <f>'Исходник'!T309</f>
        <v/>
      </c>
      <c r="J683" s="1" t="str">
        <f t="array" ref="J683">IFERROR(INDEX('Исходник'!$1:$626,MATCH($I683,'Исходник'!$T:$T,0),MATCH(J$1,'Исходник'!$1:$1,0)))</f>
        <v/>
      </c>
      <c r="K683" s="7" t="str">
        <f t="shared" si="3"/>
        <v/>
      </c>
      <c r="L683" s="1" t="str">
        <f>IF(I683&gt;0,IF(TODAY()-K683&lt;'Анализ'!$D$4+1,1,0),"")</f>
        <v/>
      </c>
    </row>
    <row r="684" ht="15.75" customHeight="1">
      <c r="B684" s="1" t="str">
        <f t="shared" si="1"/>
        <v/>
      </c>
      <c r="F684" s="1"/>
      <c r="G684" s="17"/>
      <c r="I684" s="1" t="str">
        <f>'Исходник'!T310</f>
        <v/>
      </c>
      <c r="J684" s="1" t="str">
        <f t="array" ref="J684">IFERROR(INDEX('Исходник'!$1:$626,MATCH($I684,'Исходник'!$T:$T,0),MATCH(J$1,'Исходник'!$1:$1,0)))</f>
        <v/>
      </c>
      <c r="K684" s="7" t="str">
        <f t="shared" si="3"/>
        <v/>
      </c>
      <c r="L684" s="1" t="str">
        <f>IF(I684&gt;0,IF(TODAY()-K684&lt;'Анализ'!$D$4+1,1,0),"")</f>
        <v/>
      </c>
    </row>
    <row r="685" ht="15.75" customHeight="1">
      <c r="B685" s="1" t="str">
        <f t="shared" si="1"/>
        <v/>
      </c>
      <c r="F685" s="1"/>
      <c r="G685" s="17"/>
      <c r="I685" s="1" t="str">
        <f>'Исходник'!T311</f>
        <v/>
      </c>
      <c r="J685" s="1" t="str">
        <f t="array" ref="J685">IFERROR(INDEX('Исходник'!$1:$626,MATCH($I685,'Исходник'!$T:$T,0),MATCH(J$1,'Исходник'!$1:$1,0)))</f>
        <v/>
      </c>
      <c r="K685" s="7" t="str">
        <f t="shared" si="3"/>
        <v/>
      </c>
      <c r="L685" s="1" t="str">
        <f>IF(I685&gt;0,IF(TODAY()-K685&lt;'Анализ'!$D$4+1,1,0),"")</f>
        <v/>
      </c>
    </row>
    <row r="686" ht="15.75" customHeight="1">
      <c r="B686" s="1" t="str">
        <f t="shared" si="1"/>
        <v/>
      </c>
      <c r="F686" s="1"/>
      <c r="G686" s="17"/>
      <c r="I686" s="1" t="str">
        <f>'Исходник'!T312</f>
        <v/>
      </c>
      <c r="J686" s="1" t="str">
        <f t="array" ref="J686">IFERROR(INDEX('Исходник'!$1:$626,MATCH($I686,'Исходник'!$T:$T,0),MATCH(J$1,'Исходник'!$1:$1,0)))</f>
        <v/>
      </c>
      <c r="K686" s="7" t="str">
        <f t="shared" si="3"/>
        <v/>
      </c>
      <c r="L686" s="1" t="str">
        <f>IF(I686&gt;0,IF(TODAY()-K686&lt;'Анализ'!$D$4+1,1,0),"")</f>
        <v/>
      </c>
    </row>
    <row r="687" ht="15.75" customHeight="1">
      <c r="B687" s="1" t="str">
        <f t="shared" si="1"/>
        <v/>
      </c>
      <c r="F687" s="1"/>
      <c r="G687" s="17"/>
      <c r="I687" s="1" t="str">
        <f>'Исходник'!T313</f>
        <v/>
      </c>
      <c r="J687" s="1" t="str">
        <f t="array" ref="J687">IFERROR(INDEX('Исходник'!$1:$626,MATCH($I687,'Исходник'!$T:$T,0),MATCH(J$1,'Исходник'!$1:$1,0)))</f>
        <v/>
      </c>
      <c r="K687" s="7" t="str">
        <f t="shared" si="3"/>
        <v/>
      </c>
      <c r="L687" s="1" t="str">
        <f>IF(I687&gt;0,IF(TODAY()-K687&lt;'Анализ'!$D$4+1,1,0),"")</f>
        <v/>
      </c>
    </row>
    <row r="688" ht="15.75" customHeight="1">
      <c r="B688" s="1" t="str">
        <f t="shared" si="1"/>
        <v/>
      </c>
      <c r="F688" s="1"/>
      <c r="G688" s="17"/>
      <c r="I688" s="1" t="str">
        <f>'Исходник'!T314</f>
        <v/>
      </c>
      <c r="J688" s="1" t="str">
        <f t="array" ref="J688">IFERROR(INDEX('Исходник'!$1:$626,MATCH($I688,'Исходник'!$T:$T,0),MATCH(J$1,'Исходник'!$1:$1,0)))</f>
        <v/>
      </c>
      <c r="K688" s="7" t="str">
        <f t="shared" si="3"/>
        <v/>
      </c>
      <c r="L688" s="1" t="str">
        <f>IF(I688&gt;0,IF(TODAY()-K688&lt;'Анализ'!$D$4+1,1,0),"")</f>
        <v/>
      </c>
    </row>
    <row r="689" ht="15.75" customHeight="1">
      <c r="B689" s="1" t="str">
        <f t="shared" si="1"/>
        <v/>
      </c>
      <c r="F689" s="1"/>
      <c r="G689" s="17"/>
      <c r="I689" s="1" t="str">
        <f>'Исходник'!T315</f>
        <v/>
      </c>
      <c r="J689" s="1" t="str">
        <f t="array" ref="J689">IFERROR(INDEX('Исходник'!$1:$626,MATCH($I689,'Исходник'!$T:$T,0),MATCH(J$1,'Исходник'!$1:$1,0)))</f>
        <v/>
      </c>
      <c r="K689" s="7" t="str">
        <f t="shared" si="3"/>
        <v/>
      </c>
      <c r="L689" s="1" t="str">
        <f>IF(I689&gt;0,IF(TODAY()-K689&lt;'Анализ'!$D$4+1,1,0),"")</f>
        <v/>
      </c>
    </row>
    <row r="690" ht="15.75" customHeight="1">
      <c r="B690" s="1" t="str">
        <f t="shared" si="1"/>
        <v/>
      </c>
      <c r="F690" s="1"/>
      <c r="G690" s="17"/>
      <c r="I690" s="1" t="str">
        <f>'Исходник'!T316</f>
        <v/>
      </c>
      <c r="J690" s="1" t="str">
        <f t="array" ref="J690">IFERROR(INDEX('Исходник'!$1:$626,MATCH($I690,'Исходник'!$T:$T,0),MATCH(J$1,'Исходник'!$1:$1,0)))</f>
        <v/>
      </c>
      <c r="K690" s="7" t="str">
        <f t="shared" si="3"/>
        <v/>
      </c>
      <c r="L690" s="1" t="str">
        <f>IF(I690&gt;0,IF(TODAY()-K690&lt;'Анализ'!$D$4+1,1,0),"")</f>
        <v/>
      </c>
    </row>
    <row r="691" ht="15.75" customHeight="1">
      <c r="B691" s="1" t="str">
        <f t="shared" si="1"/>
        <v/>
      </c>
      <c r="F691" s="1"/>
      <c r="G691" s="17"/>
      <c r="I691" s="1" t="str">
        <f>'Исходник'!T317</f>
        <v/>
      </c>
      <c r="J691" s="1" t="str">
        <f t="array" ref="J691">IFERROR(INDEX('Исходник'!$1:$626,MATCH($I691,'Исходник'!$T:$T,0),MATCH(J$1,'Исходник'!$1:$1,0)))</f>
        <v/>
      </c>
      <c r="K691" s="7" t="str">
        <f t="shared" si="3"/>
        <v/>
      </c>
      <c r="L691" s="1" t="str">
        <f>IF(I691&gt;0,IF(TODAY()-K691&lt;'Анализ'!$D$4+1,1,0),"")</f>
        <v/>
      </c>
    </row>
    <row r="692" ht="15.75" customHeight="1">
      <c r="B692" s="1" t="str">
        <f t="shared" si="1"/>
        <v/>
      </c>
      <c r="F692" s="1"/>
      <c r="G692" s="17"/>
      <c r="I692" s="1" t="str">
        <f>'Исходник'!T318</f>
        <v/>
      </c>
      <c r="J692" s="1" t="str">
        <f t="array" ref="J692">IFERROR(INDEX('Исходник'!$1:$626,MATCH($I692,'Исходник'!$T:$T,0),MATCH(J$1,'Исходник'!$1:$1,0)))</f>
        <v/>
      </c>
      <c r="K692" s="7" t="str">
        <f t="shared" si="3"/>
        <v/>
      </c>
      <c r="L692" s="1" t="str">
        <f>IF(I692&gt;0,IF(TODAY()-K692&lt;'Анализ'!$D$4+1,1,0),"")</f>
        <v/>
      </c>
    </row>
    <row r="693" ht="15.75" customHeight="1">
      <c r="B693" s="1" t="str">
        <f t="shared" si="1"/>
        <v/>
      </c>
      <c r="F693" s="1"/>
      <c r="G693" s="17"/>
      <c r="I693" s="1" t="str">
        <f>'Исходник'!T319</f>
        <v/>
      </c>
      <c r="J693" s="1" t="str">
        <f t="array" ref="J693">IFERROR(INDEX('Исходник'!$1:$626,MATCH($I693,'Исходник'!$T:$T,0),MATCH(J$1,'Исходник'!$1:$1,0)))</f>
        <v/>
      </c>
      <c r="K693" s="7" t="str">
        <f t="shared" si="3"/>
        <v/>
      </c>
      <c r="L693" s="1" t="str">
        <f>IF(I693&gt;0,IF(TODAY()-K693&lt;'Анализ'!$D$4+1,1,0),"")</f>
        <v/>
      </c>
    </row>
    <row r="694" ht="15.75" customHeight="1">
      <c r="B694" s="1" t="str">
        <f t="shared" si="1"/>
        <v/>
      </c>
      <c r="F694" s="1"/>
      <c r="G694" s="17"/>
      <c r="I694" s="1" t="str">
        <f>'Исходник'!T320</f>
        <v/>
      </c>
      <c r="J694" s="1" t="str">
        <f t="array" ref="J694">IFERROR(INDEX('Исходник'!$1:$626,MATCH($I694,'Исходник'!$T:$T,0),MATCH(J$1,'Исходник'!$1:$1,0)))</f>
        <v/>
      </c>
      <c r="K694" s="7" t="str">
        <f t="shared" si="3"/>
        <v/>
      </c>
      <c r="L694" s="1" t="str">
        <f>IF(I694&gt;0,IF(TODAY()-K694&lt;'Анализ'!$D$4+1,1,0),"")</f>
        <v/>
      </c>
    </row>
    <row r="695" ht="15.75" customHeight="1">
      <c r="B695" s="1" t="str">
        <f t="shared" si="1"/>
        <v/>
      </c>
      <c r="F695" s="1"/>
      <c r="G695" s="17"/>
      <c r="I695" s="1" t="str">
        <f>'Исходник'!T321</f>
        <v/>
      </c>
      <c r="J695" s="1" t="str">
        <f t="array" ref="J695">IFERROR(INDEX('Исходник'!$1:$626,MATCH($I695,'Исходник'!$T:$T,0),MATCH(J$1,'Исходник'!$1:$1,0)))</f>
        <v/>
      </c>
      <c r="K695" s="7" t="str">
        <f t="shared" si="3"/>
        <v/>
      </c>
      <c r="L695" s="1" t="str">
        <f>IF(I695&gt;0,IF(TODAY()-K695&lt;'Анализ'!$D$4+1,1,0),"")</f>
        <v/>
      </c>
    </row>
    <row r="696" ht="15.75" customHeight="1">
      <c r="B696" s="1" t="str">
        <f t="shared" si="1"/>
        <v/>
      </c>
      <c r="F696" s="1"/>
      <c r="G696" s="17"/>
      <c r="I696" s="1" t="str">
        <f>'Исходник'!T322</f>
        <v/>
      </c>
      <c r="J696" s="1" t="str">
        <f t="array" ref="J696">IFERROR(INDEX('Исходник'!$1:$626,MATCH($I696,'Исходник'!$T:$T,0),MATCH(J$1,'Исходник'!$1:$1,0)))</f>
        <v/>
      </c>
      <c r="K696" s="7" t="str">
        <f t="shared" si="3"/>
        <v/>
      </c>
      <c r="L696" s="1" t="str">
        <f>IF(I696&gt;0,IF(TODAY()-K696&lt;'Анализ'!$D$4+1,1,0),"")</f>
        <v/>
      </c>
    </row>
    <row r="697" ht="15.75" customHeight="1">
      <c r="B697" s="1" t="str">
        <f t="shared" si="1"/>
        <v/>
      </c>
      <c r="F697" s="1"/>
      <c r="G697" s="17"/>
      <c r="I697" s="1" t="str">
        <f>'Исходник'!T323</f>
        <v/>
      </c>
      <c r="J697" s="1" t="str">
        <f t="array" ref="J697">IFERROR(INDEX('Исходник'!$1:$626,MATCH($I697,'Исходник'!$T:$T,0),MATCH(J$1,'Исходник'!$1:$1,0)))</f>
        <v/>
      </c>
      <c r="K697" s="7" t="str">
        <f t="shared" si="3"/>
        <v/>
      </c>
      <c r="L697" s="1" t="str">
        <f>IF(I697&gt;0,IF(TODAY()-K697&lt;'Анализ'!$D$4+1,1,0),"")</f>
        <v/>
      </c>
    </row>
    <row r="698" ht="15.75" customHeight="1">
      <c r="B698" s="1" t="str">
        <f t="shared" si="1"/>
        <v/>
      </c>
      <c r="F698" s="1"/>
      <c r="G698" s="17"/>
      <c r="I698" s="1" t="str">
        <f>'Исходник'!T324</f>
        <v/>
      </c>
      <c r="J698" s="1" t="str">
        <f t="array" ref="J698">IFERROR(INDEX('Исходник'!$1:$626,MATCH($I698,'Исходник'!$T:$T,0),MATCH(J$1,'Исходник'!$1:$1,0)))</f>
        <v/>
      </c>
      <c r="K698" s="7" t="str">
        <f t="shared" si="3"/>
        <v/>
      </c>
      <c r="L698" s="1" t="str">
        <f>IF(I698&gt;0,IF(TODAY()-K698&lt;'Анализ'!$D$4+1,1,0),"")</f>
        <v/>
      </c>
    </row>
    <row r="699" ht="15.75" customHeight="1">
      <c r="B699" s="1" t="str">
        <f t="shared" si="1"/>
        <v/>
      </c>
      <c r="F699" s="1"/>
      <c r="G699" s="17"/>
      <c r="I699" s="1" t="str">
        <f>'Исходник'!T325</f>
        <v/>
      </c>
      <c r="J699" s="1" t="str">
        <f t="array" ref="J699">IFERROR(INDEX('Исходник'!$1:$626,MATCH($I699,'Исходник'!$T:$T,0),MATCH(J$1,'Исходник'!$1:$1,0)))</f>
        <v/>
      </c>
      <c r="K699" s="7" t="str">
        <f t="shared" si="3"/>
        <v/>
      </c>
      <c r="L699" s="1" t="str">
        <f>IF(I699&gt;0,IF(TODAY()-K699&lt;'Анализ'!$D$4+1,1,0),"")</f>
        <v/>
      </c>
    </row>
    <row r="700" ht="15.75" customHeight="1">
      <c r="B700" s="1" t="str">
        <f t="shared" si="1"/>
        <v/>
      </c>
      <c r="F700" s="1"/>
      <c r="G700" s="17"/>
      <c r="I700" s="1" t="str">
        <f>'Исходник'!T326</f>
        <v/>
      </c>
      <c r="J700" s="1" t="str">
        <f t="array" ref="J700">IFERROR(INDEX('Исходник'!$1:$626,MATCH($I700,'Исходник'!$T:$T,0),MATCH(J$1,'Исходник'!$1:$1,0)))</f>
        <v/>
      </c>
      <c r="K700" s="7" t="str">
        <f t="shared" si="3"/>
        <v/>
      </c>
      <c r="L700" s="1" t="str">
        <f>IF(I700&gt;0,IF(TODAY()-K700&lt;'Анализ'!$D$4+1,1,0),"")</f>
        <v/>
      </c>
    </row>
    <row r="701" ht="15.75" customHeight="1">
      <c r="B701" s="1" t="str">
        <f t="shared" si="1"/>
        <v/>
      </c>
      <c r="F701" s="1"/>
      <c r="G701" s="17"/>
      <c r="I701" s="1" t="str">
        <f>'Исходник'!T327</f>
        <v/>
      </c>
      <c r="J701" s="1" t="str">
        <f t="array" ref="J701">IFERROR(INDEX('Исходник'!$1:$626,MATCH($I701,'Исходник'!$T:$T,0),MATCH(J$1,'Исходник'!$1:$1,0)))</f>
        <v/>
      </c>
      <c r="K701" s="7" t="str">
        <f t="shared" si="3"/>
        <v/>
      </c>
      <c r="L701" s="1" t="str">
        <f>IF(I701&gt;0,IF(TODAY()-K701&lt;'Анализ'!$D$4+1,1,0),"")</f>
        <v/>
      </c>
    </row>
    <row r="702" ht="15.75" customHeight="1">
      <c r="B702" s="1" t="str">
        <f t="shared" si="1"/>
        <v/>
      </c>
      <c r="F702" s="1"/>
      <c r="G702" s="17"/>
      <c r="I702" s="1" t="str">
        <f>'Исходник'!T328</f>
        <v/>
      </c>
      <c r="J702" s="1" t="str">
        <f t="array" ref="J702">IFERROR(INDEX('Исходник'!$1:$626,MATCH($I702,'Исходник'!$T:$T,0),MATCH(J$1,'Исходник'!$1:$1,0)))</f>
        <v/>
      </c>
      <c r="K702" s="7" t="str">
        <f t="shared" si="3"/>
        <v/>
      </c>
      <c r="L702" s="1" t="str">
        <f>IF(I702&gt;0,IF(TODAY()-K702&lt;'Анализ'!$D$4+1,1,0),"")</f>
        <v/>
      </c>
    </row>
    <row r="703" ht="15.75" customHeight="1">
      <c r="B703" s="1" t="str">
        <f t="shared" si="1"/>
        <v/>
      </c>
      <c r="F703" s="1"/>
      <c r="G703" s="17"/>
      <c r="I703" s="1" t="str">
        <f>'Исходник'!T329</f>
        <v/>
      </c>
      <c r="J703" s="1" t="str">
        <f t="array" ref="J703">IFERROR(INDEX('Исходник'!$1:$626,MATCH($I703,'Исходник'!$T:$T,0),MATCH(J$1,'Исходник'!$1:$1,0)))</f>
        <v/>
      </c>
      <c r="K703" s="7" t="str">
        <f t="shared" si="3"/>
        <v/>
      </c>
      <c r="L703" s="1" t="str">
        <f>IF(I703&gt;0,IF(TODAY()-K703&lt;'Анализ'!$D$4+1,1,0),"")</f>
        <v/>
      </c>
    </row>
    <row r="704" ht="15.75" customHeight="1">
      <c r="B704" s="1" t="str">
        <f t="shared" si="1"/>
        <v/>
      </c>
      <c r="F704" s="1"/>
      <c r="G704" s="17"/>
      <c r="I704" s="1" t="str">
        <f>'Исходник'!T330</f>
        <v/>
      </c>
      <c r="J704" s="1" t="str">
        <f t="array" ref="J704">IFERROR(INDEX('Исходник'!$1:$626,MATCH($I704,'Исходник'!$T:$T,0),MATCH(J$1,'Исходник'!$1:$1,0)))</f>
        <v/>
      </c>
      <c r="K704" s="7" t="str">
        <f t="shared" si="3"/>
        <v/>
      </c>
      <c r="L704" s="1" t="str">
        <f>IF(I704&gt;0,IF(TODAY()-K704&lt;'Анализ'!$D$4+1,1,0),"")</f>
        <v/>
      </c>
    </row>
    <row r="705" ht="15.75" customHeight="1">
      <c r="B705" s="1" t="str">
        <f t="shared" si="1"/>
        <v/>
      </c>
      <c r="F705" s="1"/>
      <c r="G705" s="17"/>
      <c r="I705" s="1" t="str">
        <f>'Исходник'!T331</f>
        <v/>
      </c>
      <c r="J705" s="1" t="str">
        <f t="array" ref="J705">IFERROR(INDEX('Исходник'!$1:$626,MATCH($I705,'Исходник'!$T:$T,0),MATCH(J$1,'Исходник'!$1:$1,0)))</f>
        <v/>
      </c>
      <c r="K705" s="7" t="str">
        <f t="shared" si="3"/>
        <v/>
      </c>
      <c r="L705" s="1" t="str">
        <f>IF(I705&gt;0,IF(TODAY()-K705&lt;'Анализ'!$D$4+1,1,0),"")</f>
        <v/>
      </c>
    </row>
    <row r="706" ht="15.75" customHeight="1">
      <c r="B706" s="1" t="str">
        <f t="shared" si="1"/>
        <v/>
      </c>
      <c r="F706" s="1"/>
      <c r="G706" s="17"/>
      <c r="I706" s="1" t="str">
        <f>'Исходник'!T332</f>
        <v/>
      </c>
      <c r="J706" s="1" t="str">
        <f t="array" ref="J706">IFERROR(INDEX('Исходник'!$1:$626,MATCH($I706,'Исходник'!$T:$T,0),MATCH(J$1,'Исходник'!$1:$1,0)))</f>
        <v/>
      </c>
      <c r="K706" s="7" t="str">
        <f t="shared" si="3"/>
        <v/>
      </c>
      <c r="L706" s="1" t="str">
        <f>IF(I706&gt;0,IF(TODAY()-K706&lt;'Анализ'!$D$4+1,1,0),"")</f>
        <v/>
      </c>
    </row>
    <row r="707" ht="15.75" customHeight="1">
      <c r="B707" s="1" t="str">
        <f t="shared" si="1"/>
        <v/>
      </c>
      <c r="F707" s="1"/>
      <c r="G707" s="17"/>
      <c r="I707" s="1" t="str">
        <f>'Исходник'!T333</f>
        <v/>
      </c>
      <c r="J707" s="1" t="str">
        <f t="array" ref="J707">IFERROR(INDEX('Исходник'!$1:$626,MATCH($I707,'Исходник'!$T:$T,0),MATCH(J$1,'Исходник'!$1:$1,0)))</f>
        <v/>
      </c>
      <c r="K707" s="7" t="str">
        <f t="shared" si="3"/>
        <v/>
      </c>
      <c r="L707" s="1" t="str">
        <f>IF(I707&gt;0,IF(TODAY()-K707&lt;'Анализ'!$D$4+1,1,0),"")</f>
        <v/>
      </c>
    </row>
    <row r="708" ht="15.75" customHeight="1">
      <c r="B708" s="1" t="str">
        <f t="shared" si="1"/>
        <v/>
      </c>
      <c r="F708" s="1"/>
      <c r="G708" s="17"/>
      <c r="I708" s="1" t="str">
        <f>'Исходник'!T334</f>
        <v/>
      </c>
      <c r="J708" s="1" t="str">
        <f t="array" ref="J708">IFERROR(INDEX('Исходник'!$1:$626,MATCH($I708,'Исходник'!$T:$T,0),MATCH(J$1,'Исходник'!$1:$1,0)))</f>
        <v/>
      </c>
      <c r="K708" s="7" t="str">
        <f t="shared" si="3"/>
        <v/>
      </c>
      <c r="L708" s="1" t="str">
        <f>IF(I708&gt;0,IF(TODAY()-K708&lt;'Анализ'!$D$4+1,1,0),"")</f>
        <v/>
      </c>
    </row>
    <row r="709" ht="15.75" customHeight="1">
      <c r="B709" s="1" t="str">
        <f t="shared" si="1"/>
        <v/>
      </c>
      <c r="F709" s="1"/>
      <c r="G709" s="17"/>
      <c r="I709" s="1" t="str">
        <f>'Исходник'!T335</f>
        <v/>
      </c>
      <c r="J709" s="1" t="str">
        <f t="array" ref="J709">IFERROR(INDEX('Исходник'!$1:$626,MATCH($I709,'Исходник'!$T:$T,0),MATCH(J$1,'Исходник'!$1:$1,0)))</f>
        <v/>
      </c>
      <c r="K709" s="7" t="str">
        <f t="shared" si="3"/>
        <v/>
      </c>
      <c r="L709" s="1" t="str">
        <f>IF(I709&gt;0,IF(TODAY()-K709&lt;'Анализ'!$D$4+1,1,0),"")</f>
        <v/>
      </c>
    </row>
    <row r="710" ht="15.75" customHeight="1">
      <c r="B710" s="1" t="str">
        <f t="shared" si="1"/>
        <v/>
      </c>
      <c r="F710" s="1"/>
      <c r="G710" s="17"/>
      <c r="I710" s="1" t="str">
        <f>'Исходник'!T336</f>
        <v/>
      </c>
      <c r="J710" s="1" t="str">
        <f t="array" ref="J710">IFERROR(INDEX('Исходник'!$1:$626,MATCH($I710,'Исходник'!$T:$T,0),MATCH(J$1,'Исходник'!$1:$1,0)))</f>
        <v/>
      </c>
      <c r="K710" s="7" t="str">
        <f t="shared" si="3"/>
        <v/>
      </c>
      <c r="L710" s="1" t="str">
        <f>IF(I710&gt;0,IF(TODAY()-K710&lt;'Анализ'!$D$4+1,1,0),"")</f>
        <v/>
      </c>
    </row>
    <row r="711" ht="15.75" customHeight="1">
      <c r="B711" s="1" t="str">
        <f t="shared" si="1"/>
        <v/>
      </c>
      <c r="F711" s="1"/>
      <c r="G711" s="17"/>
      <c r="I711" s="1" t="str">
        <f>'Исходник'!T337</f>
        <v/>
      </c>
      <c r="J711" s="1" t="str">
        <f t="array" ref="J711">IFERROR(INDEX('Исходник'!$1:$626,MATCH($I711,'Исходник'!$T:$T,0),MATCH(J$1,'Исходник'!$1:$1,0)))</f>
        <v/>
      </c>
      <c r="K711" s="7" t="str">
        <f t="shared" si="3"/>
        <v/>
      </c>
      <c r="L711" s="1" t="str">
        <f>IF(I711&gt;0,IF(TODAY()-K711&lt;'Анализ'!$D$4+1,1,0),"")</f>
        <v/>
      </c>
    </row>
    <row r="712" ht="15.75" customHeight="1">
      <c r="B712" s="1" t="str">
        <f t="shared" si="1"/>
        <v/>
      </c>
      <c r="F712" s="1"/>
      <c r="G712" s="17"/>
      <c r="I712" s="1" t="str">
        <f>'Исходник'!T338</f>
        <v/>
      </c>
      <c r="J712" s="1" t="str">
        <f t="array" ref="J712">IFERROR(INDEX('Исходник'!$1:$626,MATCH($I712,'Исходник'!$T:$T,0),MATCH(J$1,'Исходник'!$1:$1,0)))</f>
        <v/>
      </c>
      <c r="K712" s="7" t="str">
        <f t="shared" si="3"/>
        <v/>
      </c>
      <c r="L712" s="1" t="str">
        <f>IF(I712&gt;0,IF(TODAY()-K712&lt;'Анализ'!$D$4+1,1,0),"")</f>
        <v/>
      </c>
    </row>
    <row r="713" ht="15.75" customHeight="1">
      <c r="B713" s="1" t="str">
        <f t="shared" si="1"/>
        <v/>
      </c>
      <c r="F713" s="1"/>
      <c r="G713" s="17"/>
      <c r="I713" s="1" t="str">
        <f>'Исходник'!T339</f>
        <v/>
      </c>
      <c r="J713" s="1" t="str">
        <f t="array" ref="J713">IFERROR(INDEX('Исходник'!$1:$626,MATCH($I713,'Исходник'!$T:$T,0),MATCH(J$1,'Исходник'!$1:$1,0)))</f>
        <v/>
      </c>
      <c r="K713" s="7" t="str">
        <f t="shared" si="3"/>
        <v/>
      </c>
      <c r="L713" s="1" t="str">
        <f>IF(I713&gt;0,IF(TODAY()-K713&lt;'Анализ'!$D$4+1,1,0),"")</f>
        <v/>
      </c>
    </row>
    <row r="714" ht="15.75" customHeight="1">
      <c r="B714" s="1" t="str">
        <f t="shared" si="1"/>
        <v/>
      </c>
      <c r="F714" s="1"/>
      <c r="G714" s="17"/>
      <c r="I714" s="1" t="str">
        <f>'Исходник'!T340</f>
        <v/>
      </c>
      <c r="J714" s="1" t="str">
        <f t="array" ref="J714">IFERROR(INDEX('Исходник'!$1:$626,MATCH($I714,'Исходник'!$T:$T,0),MATCH(J$1,'Исходник'!$1:$1,0)))</f>
        <v/>
      </c>
      <c r="K714" s="7" t="str">
        <f t="shared" si="3"/>
        <v/>
      </c>
      <c r="L714" s="1" t="str">
        <f>IF(I714&gt;0,IF(TODAY()-K714&lt;'Анализ'!$D$4+1,1,0),"")</f>
        <v/>
      </c>
    </row>
    <row r="715" ht="15.75" customHeight="1">
      <c r="B715" s="1" t="str">
        <f t="shared" si="1"/>
        <v/>
      </c>
      <c r="F715" s="1"/>
      <c r="G715" s="17"/>
      <c r="I715" s="1" t="str">
        <f>'Исходник'!T341</f>
        <v/>
      </c>
      <c r="J715" s="1" t="str">
        <f t="array" ref="J715">IFERROR(INDEX('Исходник'!$1:$626,MATCH($I715,'Исходник'!$T:$T,0),MATCH(J$1,'Исходник'!$1:$1,0)))</f>
        <v/>
      </c>
      <c r="K715" s="7" t="str">
        <f t="shared" si="3"/>
        <v/>
      </c>
      <c r="L715" s="1" t="str">
        <f>IF(I715&gt;0,IF(TODAY()-K715&lt;'Анализ'!$D$4+1,1,0),"")</f>
        <v/>
      </c>
    </row>
    <row r="716" ht="15.75" customHeight="1">
      <c r="B716" s="1" t="str">
        <f t="shared" si="1"/>
        <v/>
      </c>
      <c r="F716" s="1"/>
      <c r="G716" s="17"/>
      <c r="I716" s="1" t="str">
        <f>'Исходник'!T342</f>
        <v/>
      </c>
      <c r="J716" s="1" t="str">
        <f t="array" ref="J716">IFERROR(INDEX('Исходник'!$1:$626,MATCH($I716,'Исходник'!$T:$T,0),MATCH(J$1,'Исходник'!$1:$1,0)))</f>
        <v/>
      </c>
      <c r="K716" s="7" t="str">
        <f t="shared" si="3"/>
        <v/>
      </c>
      <c r="L716" s="1" t="str">
        <f>IF(I716&gt;0,IF(TODAY()-K716&lt;'Анализ'!$D$4+1,1,0),"")</f>
        <v/>
      </c>
    </row>
    <row r="717" ht="15.75" customHeight="1">
      <c r="B717" s="1" t="str">
        <f t="shared" si="1"/>
        <v/>
      </c>
      <c r="F717" s="1"/>
      <c r="G717" s="17"/>
      <c r="I717" s="1" t="str">
        <f>'Исходник'!T343</f>
        <v/>
      </c>
      <c r="J717" s="1" t="str">
        <f t="array" ref="J717">IFERROR(INDEX('Исходник'!$1:$626,MATCH($I717,'Исходник'!$T:$T,0),MATCH(J$1,'Исходник'!$1:$1,0)))</f>
        <v/>
      </c>
      <c r="K717" s="7" t="str">
        <f t="shared" si="3"/>
        <v/>
      </c>
      <c r="L717" s="1" t="str">
        <f>IF(I717&gt;0,IF(TODAY()-K717&lt;'Анализ'!$D$4+1,1,0),"")</f>
        <v/>
      </c>
    </row>
    <row r="718" ht="15.75" customHeight="1">
      <c r="B718" s="1" t="str">
        <f t="shared" si="1"/>
        <v/>
      </c>
      <c r="F718" s="1"/>
      <c r="G718" s="17"/>
      <c r="I718" s="1" t="str">
        <f>'Исходник'!T344</f>
        <v/>
      </c>
      <c r="J718" s="1" t="str">
        <f t="array" ref="J718">IFERROR(INDEX('Исходник'!$1:$626,MATCH($I718,'Исходник'!$T:$T,0),MATCH(J$1,'Исходник'!$1:$1,0)))</f>
        <v/>
      </c>
      <c r="K718" s="7" t="str">
        <f t="shared" si="3"/>
        <v/>
      </c>
      <c r="L718" s="1" t="str">
        <f>IF(I718&gt;0,IF(TODAY()-K718&lt;'Анализ'!$D$4+1,1,0),"")</f>
        <v/>
      </c>
    </row>
    <row r="719" ht="15.75" customHeight="1">
      <c r="B719" s="1" t="str">
        <f t="shared" si="1"/>
        <v/>
      </c>
      <c r="F719" s="1"/>
      <c r="G719" s="17"/>
      <c r="I719" s="1" t="str">
        <f>'Исходник'!T345</f>
        <v/>
      </c>
      <c r="J719" s="1" t="str">
        <f t="array" ref="J719">IFERROR(INDEX('Исходник'!$1:$626,MATCH($I719,'Исходник'!$T:$T,0),MATCH(J$1,'Исходник'!$1:$1,0)))</f>
        <v/>
      </c>
      <c r="K719" s="7" t="str">
        <f t="shared" si="3"/>
        <v/>
      </c>
      <c r="L719" s="1" t="str">
        <f>IF(I719&gt;0,IF(TODAY()-K719&lt;'Анализ'!$D$4+1,1,0),"")</f>
        <v/>
      </c>
    </row>
    <row r="720" ht="15.75" customHeight="1">
      <c r="B720" s="1" t="str">
        <f t="shared" si="1"/>
        <v/>
      </c>
      <c r="F720" s="1"/>
      <c r="G720" s="17"/>
      <c r="I720" s="1" t="str">
        <f>'Исходник'!T346</f>
        <v/>
      </c>
      <c r="J720" s="1" t="str">
        <f t="array" ref="J720">IFERROR(INDEX('Исходник'!$1:$626,MATCH($I720,'Исходник'!$T:$T,0),MATCH(J$1,'Исходник'!$1:$1,0)))</f>
        <v/>
      </c>
      <c r="K720" s="7" t="str">
        <f t="shared" si="3"/>
        <v/>
      </c>
      <c r="L720" s="1" t="str">
        <f>IF(I720&gt;0,IF(TODAY()-K720&lt;'Анализ'!$D$4+1,1,0),"")</f>
        <v/>
      </c>
    </row>
    <row r="721" ht="15.75" customHeight="1">
      <c r="B721" s="1" t="str">
        <f t="shared" si="1"/>
        <v/>
      </c>
      <c r="F721" s="1"/>
      <c r="G721" s="17"/>
      <c r="I721" s="1" t="str">
        <f>'Исходник'!T347</f>
        <v/>
      </c>
      <c r="J721" s="1" t="str">
        <f t="array" ref="J721">IFERROR(INDEX('Исходник'!$1:$626,MATCH($I721,'Исходник'!$T:$T,0),MATCH(J$1,'Исходник'!$1:$1,0)))</f>
        <v/>
      </c>
      <c r="K721" s="7" t="str">
        <f t="shared" si="3"/>
        <v/>
      </c>
      <c r="L721" s="1" t="str">
        <f>IF(I721&gt;0,IF(TODAY()-K721&lt;'Анализ'!$D$4+1,1,0),"")</f>
        <v/>
      </c>
    </row>
    <row r="722" ht="15.75" customHeight="1">
      <c r="B722" s="1" t="str">
        <f t="shared" si="1"/>
        <v/>
      </c>
      <c r="F722" s="1"/>
      <c r="G722" s="17"/>
      <c r="I722" s="1" t="str">
        <f>'Исходник'!T348</f>
        <v/>
      </c>
      <c r="J722" s="1" t="str">
        <f t="array" ref="J722">IFERROR(INDEX('Исходник'!$1:$626,MATCH($I722,'Исходник'!$T:$T,0),MATCH(J$1,'Исходник'!$1:$1,0)))</f>
        <v/>
      </c>
      <c r="K722" s="7" t="str">
        <f t="shared" si="3"/>
        <v/>
      </c>
      <c r="L722" s="1" t="str">
        <f>IF(I722&gt;0,IF(TODAY()-K722&lt;'Анализ'!$D$4+1,1,0),"")</f>
        <v/>
      </c>
    </row>
    <row r="723" ht="15.75" customHeight="1">
      <c r="B723" s="1" t="str">
        <f t="shared" si="1"/>
        <v/>
      </c>
      <c r="F723" s="1"/>
      <c r="G723" s="17"/>
      <c r="I723" s="1" t="str">
        <f>'Исходник'!T349</f>
        <v/>
      </c>
      <c r="J723" s="1" t="str">
        <f t="array" ref="J723">IFERROR(INDEX('Исходник'!$1:$626,MATCH($I723,'Исходник'!$T:$T,0),MATCH(J$1,'Исходник'!$1:$1,0)))</f>
        <v/>
      </c>
      <c r="K723" s="7" t="str">
        <f t="shared" si="3"/>
        <v/>
      </c>
      <c r="L723" s="1" t="str">
        <f>IF(I723&gt;0,IF(TODAY()-K723&lt;'Анализ'!$D$4+1,1,0),"")</f>
        <v/>
      </c>
    </row>
    <row r="724" ht="15.75" customHeight="1">
      <c r="B724" s="1" t="str">
        <f t="shared" si="1"/>
        <v/>
      </c>
      <c r="F724" s="1"/>
      <c r="G724" s="17"/>
      <c r="I724" s="1" t="str">
        <f>'Исходник'!T350</f>
        <v/>
      </c>
      <c r="J724" s="1" t="str">
        <f t="array" ref="J724">IFERROR(INDEX('Исходник'!$1:$626,MATCH($I724,'Исходник'!$T:$T,0),MATCH(J$1,'Исходник'!$1:$1,0)))</f>
        <v/>
      </c>
      <c r="K724" s="7" t="str">
        <f t="shared" si="3"/>
        <v/>
      </c>
      <c r="L724" s="1" t="str">
        <f>IF(I724&gt;0,IF(TODAY()-K724&lt;'Анализ'!$D$4+1,1,0),"")</f>
        <v/>
      </c>
    </row>
    <row r="725" ht="15.75" customHeight="1">
      <c r="B725" s="1" t="str">
        <f t="shared" si="1"/>
        <v/>
      </c>
      <c r="F725" s="1"/>
      <c r="G725" s="17"/>
      <c r="I725" s="1" t="str">
        <f>'Исходник'!T351</f>
        <v/>
      </c>
      <c r="J725" s="1" t="str">
        <f t="array" ref="J725">IFERROR(INDEX('Исходник'!$1:$626,MATCH($I725,'Исходник'!$T:$T,0),MATCH(J$1,'Исходник'!$1:$1,0)))</f>
        <v/>
      </c>
      <c r="K725" s="7" t="str">
        <f t="shared" si="3"/>
        <v/>
      </c>
      <c r="L725" s="1" t="str">
        <f>IF(I725&gt;0,IF(TODAY()-K725&lt;'Анализ'!$D$4+1,1,0),"")</f>
        <v/>
      </c>
    </row>
    <row r="726" ht="15.75" customHeight="1">
      <c r="B726" s="1" t="str">
        <f t="shared" si="1"/>
        <v/>
      </c>
      <c r="F726" s="1"/>
      <c r="G726" s="17"/>
      <c r="I726" s="1" t="str">
        <f>'Исходник'!T352</f>
        <v/>
      </c>
      <c r="J726" s="1" t="str">
        <f t="array" ref="J726">IFERROR(INDEX('Исходник'!$1:$626,MATCH($I726,'Исходник'!$T:$T,0),MATCH(J$1,'Исходник'!$1:$1,0)))</f>
        <v/>
      </c>
      <c r="K726" s="7" t="str">
        <f t="shared" si="3"/>
        <v/>
      </c>
      <c r="L726" s="1" t="str">
        <f>IF(I726&gt;0,IF(TODAY()-K726&lt;'Анализ'!$D$4+1,1,0),"")</f>
        <v/>
      </c>
    </row>
    <row r="727" ht="15.75" customHeight="1">
      <c r="B727" s="1" t="str">
        <f t="shared" si="1"/>
        <v/>
      </c>
      <c r="F727" s="1"/>
      <c r="G727" s="17"/>
      <c r="I727" s="1" t="str">
        <f>'Исходник'!T353</f>
        <v/>
      </c>
      <c r="J727" s="1" t="str">
        <f t="array" ref="J727">IFERROR(INDEX('Исходник'!$1:$626,MATCH($I727,'Исходник'!$T:$T,0),MATCH(J$1,'Исходник'!$1:$1,0)))</f>
        <v/>
      </c>
      <c r="K727" s="7" t="str">
        <f t="shared" si="3"/>
        <v/>
      </c>
      <c r="L727" s="1" t="str">
        <f>IF(I727&gt;0,IF(TODAY()-K727&lt;'Анализ'!$D$4+1,1,0),"")</f>
        <v/>
      </c>
    </row>
    <row r="728" ht="15.75" customHeight="1">
      <c r="B728" s="1" t="str">
        <f t="shared" si="1"/>
        <v/>
      </c>
      <c r="F728" s="1"/>
      <c r="G728" s="17"/>
      <c r="I728" s="1" t="str">
        <f>'Исходник'!T354</f>
        <v/>
      </c>
      <c r="J728" s="1" t="str">
        <f t="array" ref="J728">IFERROR(INDEX('Исходник'!$1:$626,MATCH($I728,'Исходник'!$T:$T,0),MATCH(J$1,'Исходник'!$1:$1,0)))</f>
        <v/>
      </c>
      <c r="K728" s="7" t="str">
        <f t="shared" si="3"/>
        <v/>
      </c>
      <c r="L728" s="1" t="str">
        <f>IF(I728&gt;0,IF(TODAY()-K728&lt;'Анализ'!$D$4+1,1,0),"")</f>
        <v/>
      </c>
    </row>
    <row r="729" ht="15.75" customHeight="1">
      <c r="B729" s="1" t="str">
        <f t="shared" si="1"/>
        <v/>
      </c>
      <c r="F729" s="1"/>
      <c r="G729" s="17"/>
      <c r="I729" s="1" t="str">
        <f>'Исходник'!T355</f>
        <v/>
      </c>
      <c r="J729" s="1" t="str">
        <f t="array" ref="J729">IFERROR(INDEX('Исходник'!$1:$626,MATCH($I729,'Исходник'!$T:$T,0),MATCH(J$1,'Исходник'!$1:$1,0)))</f>
        <v/>
      </c>
      <c r="K729" s="7" t="str">
        <f t="shared" si="3"/>
        <v/>
      </c>
      <c r="L729" s="1" t="str">
        <f>IF(I729&gt;0,IF(TODAY()-K729&lt;'Анализ'!$D$4+1,1,0),"")</f>
        <v/>
      </c>
    </row>
    <row r="730" ht="15.75" customHeight="1">
      <c r="B730" s="1" t="str">
        <f t="shared" si="1"/>
        <v/>
      </c>
      <c r="F730" s="1"/>
      <c r="G730" s="17"/>
      <c r="I730" s="1" t="str">
        <f>'Исходник'!T356</f>
        <v/>
      </c>
      <c r="J730" s="1" t="str">
        <f t="array" ref="J730">IFERROR(INDEX('Исходник'!$1:$626,MATCH($I730,'Исходник'!$T:$T,0),MATCH(J$1,'Исходник'!$1:$1,0)))</f>
        <v/>
      </c>
      <c r="K730" s="7" t="str">
        <f t="shared" si="3"/>
        <v/>
      </c>
      <c r="L730" s="1" t="str">
        <f>IF(I730&gt;0,IF(TODAY()-K730&lt;'Анализ'!$D$4+1,1,0),"")</f>
        <v/>
      </c>
    </row>
    <row r="731" ht="15.75" customHeight="1">
      <c r="B731" s="1" t="str">
        <f t="shared" si="1"/>
        <v/>
      </c>
      <c r="F731" s="1"/>
      <c r="G731" s="17"/>
      <c r="I731" s="1" t="str">
        <f>'Исходник'!T357</f>
        <v/>
      </c>
      <c r="J731" s="1" t="str">
        <f t="array" ref="J731">IFERROR(INDEX('Исходник'!$1:$626,MATCH($I731,'Исходник'!$T:$T,0),MATCH(J$1,'Исходник'!$1:$1,0)))</f>
        <v/>
      </c>
      <c r="K731" s="7" t="str">
        <f t="shared" si="3"/>
        <v/>
      </c>
      <c r="L731" s="1" t="str">
        <f>IF(I731&gt;0,IF(TODAY()-K731&lt;'Анализ'!$D$4+1,1,0),"")</f>
        <v/>
      </c>
    </row>
    <row r="732" ht="15.75" customHeight="1">
      <c r="B732" s="1" t="str">
        <f t="shared" si="1"/>
        <v/>
      </c>
      <c r="F732" s="1"/>
      <c r="G732" s="17"/>
      <c r="I732" s="1" t="str">
        <f>'Исходник'!T358</f>
        <v/>
      </c>
      <c r="J732" s="1" t="str">
        <f t="array" ref="J732">IFERROR(INDEX('Исходник'!$1:$626,MATCH($I732,'Исходник'!$T:$T,0),MATCH(J$1,'Исходник'!$1:$1,0)))</f>
        <v/>
      </c>
      <c r="K732" s="7" t="str">
        <f t="shared" si="3"/>
        <v/>
      </c>
      <c r="L732" s="1" t="str">
        <f>IF(I732&gt;0,IF(TODAY()-K732&lt;'Анализ'!$D$4+1,1,0),"")</f>
        <v/>
      </c>
    </row>
    <row r="733" ht="15.75" customHeight="1">
      <c r="B733" s="1" t="str">
        <f t="shared" si="1"/>
        <v/>
      </c>
      <c r="F733" s="1"/>
      <c r="G733" s="17"/>
      <c r="I733" s="1" t="str">
        <f>'Исходник'!T359</f>
        <v/>
      </c>
      <c r="J733" s="1" t="str">
        <f t="array" ref="J733">IFERROR(INDEX('Исходник'!$1:$626,MATCH($I733,'Исходник'!$T:$T,0),MATCH(J$1,'Исходник'!$1:$1,0)))</f>
        <v/>
      </c>
      <c r="K733" s="7" t="str">
        <f t="shared" si="3"/>
        <v/>
      </c>
      <c r="L733" s="1" t="str">
        <f>IF(I733&gt;0,IF(TODAY()-K733&lt;'Анализ'!$D$4+1,1,0),"")</f>
        <v/>
      </c>
    </row>
    <row r="734" ht="15.75" customHeight="1">
      <c r="B734" s="1" t="str">
        <f t="shared" si="1"/>
        <v/>
      </c>
      <c r="F734" s="1"/>
      <c r="G734" s="17"/>
      <c r="I734" s="1" t="str">
        <f>'Исходник'!T360</f>
        <v/>
      </c>
      <c r="J734" s="1" t="str">
        <f t="array" ref="J734">IFERROR(INDEX('Исходник'!$1:$626,MATCH($I734,'Исходник'!$T:$T,0),MATCH(J$1,'Исходник'!$1:$1,0)))</f>
        <v/>
      </c>
      <c r="K734" s="7" t="str">
        <f t="shared" si="3"/>
        <v/>
      </c>
      <c r="L734" s="1" t="str">
        <f>IF(I734&gt;0,IF(TODAY()-K734&lt;'Анализ'!$D$4+1,1,0),"")</f>
        <v/>
      </c>
    </row>
    <row r="735" ht="15.75" customHeight="1">
      <c r="B735" s="1" t="str">
        <f t="shared" si="1"/>
        <v/>
      </c>
      <c r="F735" s="1"/>
      <c r="G735" s="17"/>
      <c r="I735" s="1" t="str">
        <f>'Исходник'!T361</f>
        <v/>
      </c>
      <c r="J735" s="1" t="str">
        <f t="array" ref="J735">IFERROR(INDEX('Исходник'!$1:$626,MATCH($I735,'Исходник'!$T:$T,0),MATCH(J$1,'Исходник'!$1:$1,0)))</f>
        <v/>
      </c>
      <c r="K735" s="7" t="str">
        <f t="shared" si="3"/>
        <v/>
      </c>
      <c r="L735" s="1" t="str">
        <f>IF(I735&gt;0,IF(TODAY()-K735&lt;'Анализ'!$D$4+1,1,0),"")</f>
        <v/>
      </c>
    </row>
    <row r="736" ht="15.75" customHeight="1">
      <c r="B736" s="1" t="str">
        <f t="shared" si="1"/>
        <v/>
      </c>
      <c r="F736" s="1"/>
      <c r="G736" s="17"/>
      <c r="I736" s="1" t="str">
        <f>'Исходник'!T362</f>
        <v/>
      </c>
      <c r="J736" s="1" t="str">
        <f t="array" ref="J736">IFERROR(INDEX('Исходник'!$1:$626,MATCH($I736,'Исходник'!$T:$T,0),MATCH(J$1,'Исходник'!$1:$1,0)))</f>
        <v/>
      </c>
      <c r="K736" s="7" t="str">
        <f t="shared" si="3"/>
        <v/>
      </c>
      <c r="L736" s="1" t="str">
        <f>IF(I736&gt;0,IF(TODAY()-K736&lt;'Анализ'!$D$4+1,1,0),"")</f>
        <v/>
      </c>
    </row>
    <row r="737" ht="15.75" customHeight="1">
      <c r="B737" s="1" t="str">
        <f t="shared" si="1"/>
        <v/>
      </c>
      <c r="F737" s="1"/>
      <c r="G737" s="17"/>
      <c r="I737" s="1" t="str">
        <f>'Исходник'!T363</f>
        <v/>
      </c>
      <c r="J737" s="1" t="str">
        <f t="array" ref="J737">IFERROR(INDEX('Исходник'!$1:$626,MATCH($I737,'Исходник'!$T:$T,0),MATCH(J$1,'Исходник'!$1:$1,0)))</f>
        <v/>
      </c>
      <c r="K737" s="7" t="str">
        <f t="shared" si="3"/>
        <v/>
      </c>
      <c r="L737" s="1" t="str">
        <f>IF(I737&gt;0,IF(TODAY()-K737&lt;'Анализ'!$D$4+1,1,0),"")</f>
        <v/>
      </c>
    </row>
    <row r="738" ht="15.75" customHeight="1">
      <c r="B738" s="1" t="str">
        <f t="shared" si="1"/>
        <v/>
      </c>
      <c r="F738" s="1"/>
      <c r="G738" s="17"/>
      <c r="I738" s="1" t="str">
        <f>'Исходник'!T364</f>
        <v/>
      </c>
      <c r="J738" s="1" t="str">
        <f t="array" ref="J738">IFERROR(INDEX('Исходник'!$1:$626,MATCH($I738,'Исходник'!$T:$T,0),MATCH(J$1,'Исходник'!$1:$1,0)))</f>
        <v/>
      </c>
      <c r="K738" s="7" t="str">
        <f t="shared" si="3"/>
        <v/>
      </c>
      <c r="L738" s="1" t="str">
        <f>IF(I738&gt;0,IF(TODAY()-K738&lt;'Анализ'!$D$4+1,1,0),"")</f>
        <v/>
      </c>
    </row>
    <row r="739" ht="15.75" customHeight="1">
      <c r="B739" s="1" t="str">
        <f t="shared" si="1"/>
        <v/>
      </c>
      <c r="F739" s="1"/>
      <c r="G739" s="17"/>
      <c r="I739" s="1" t="str">
        <f>'Исходник'!T365</f>
        <v/>
      </c>
      <c r="J739" s="1" t="str">
        <f t="array" ref="J739">IFERROR(INDEX('Исходник'!$1:$626,MATCH($I739,'Исходник'!$T:$T,0),MATCH(J$1,'Исходник'!$1:$1,0)))</f>
        <v/>
      </c>
      <c r="K739" s="7" t="str">
        <f t="shared" si="3"/>
        <v/>
      </c>
      <c r="L739" s="1" t="str">
        <f>IF(I739&gt;0,IF(TODAY()-K739&lt;'Анализ'!$D$4+1,1,0),"")</f>
        <v/>
      </c>
    </row>
    <row r="740" ht="15.75" customHeight="1">
      <c r="B740" s="1" t="str">
        <f t="shared" si="1"/>
        <v/>
      </c>
      <c r="F740" s="1"/>
      <c r="G740" s="17"/>
      <c r="I740" s="1" t="str">
        <f>'Исходник'!T366</f>
        <v/>
      </c>
      <c r="J740" s="1" t="str">
        <f t="array" ref="J740">IFERROR(INDEX('Исходник'!$1:$626,MATCH($I740,'Исходник'!$T:$T,0),MATCH(J$1,'Исходник'!$1:$1,0)))</f>
        <v/>
      </c>
      <c r="K740" s="7" t="str">
        <f t="shared" si="3"/>
        <v/>
      </c>
      <c r="L740" s="1" t="str">
        <f>IF(I740&gt;0,IF(TODAY()-K740&lt;'Анализ'!$D$4+1,1,0),"")</f>
        <v/>
      </c>
    </row>
    <row r="741" ht="15.75" customHeight="1">
      <c r="B741" s="1" t="str">
        <f t="shared" si="1"/>
        <v/>
      </c>
      <c r="F741" s="1"/>
      <c r="G741" s="17"/>
      <c r="I741" s="1" t="str">
        <f>'Исходник'!T367</f>
        <v/>
      </c>
      <c r="J741" s="1" t="str">
        <f t="array" ref="J741">IFERROR(INDEX('Исходник'!$1:$626,MATCH($I741,'Исходник'!$T:$T,0),MATCH(J$1,'Исходник'!$1:$1,0)))</f>
        <v/>
      </c>
      <c r="K741" s="7" t="str">
        <f t="shared" si="3"/>
        <v/>
      </c>
      <c r="L741" s="1" t="str">
        <f>IF(I741&gt;0,IF(TODAY()-K741&lt;'Анализ'!$D$4+1,1,0),"")</f>
        <v/>
      </c>
    </row>
    <row r="742" ht="15.75" customHeight="1">
      <c r="B742" s="1" t="str">
        <f t="shared" si="1"/>
        <v/>
      </c>
      <c r="F742" s="1"/>
      <c r="G742" s="17"/>
      <c r="I742" s="1" t="str">
        <f>'Исходник'!T368</f>
        <v/>
      </c>
      <c r="J742" s="1" t="str">
        <f t="array" ref="J742">IFERROR(INDEX('Исходник'!$1:$626,MATCH($I742,'Исходник'!$T:$T,0),MATCH(J$1,'Исходник'!$1:$1,0)))</f>
        <v/>
      </c>
      <c r="K742" s="7" t="str">
        <f t="shared" si="3"/>
        <v/>
      </c>
      <c r="L742" s="1" t="str">
        <f>IF(I742&gt;0,IF(TODAY()-K742&lt;'Анализ'!$D$4+1,1,0),"")</f>
        <v/>
      </c>
    </row>
    <row r="743" ht="15.75" customHeight="1">
      <c r="B743" s="1" t="str">
        <f t="shared" si="1"/>
        <v/>
      </c>
      <c r="F743" s="1"/>
      <c r="G743" s="17"/>
      <c r="I743" s="1" t="str">
        <f>'Исходник'!T369</f>
        <v/>
      </c>
      <c r="J743" s="1" t="str">
        <f t="array" ref="J743">IFERROR(INDEX('Исходник'!$1:$626,MATCH($I743,'Исходник'!$T:$T,0),MATCH(J$1,'Исходник'!$1:$1,0)))</f>
        <v/>
      </c>
      <c r="K743" s="7" t="str">
        <f t="shared" si="3"/>
        <v/>
      </c>
      <c r="L743" s="1" t="str">
        <f>IF(I743&gt;0,IF(TODAY()-K743&lt;'Анализ'!$D$4+1,1,0),"")</f>
        <v/>
      </c>
    </row>
    <row r="744" ht="15.75" customHeight="1">
      <c r="B744" s="1" t="str">
        <f t="shared" si="1"/>
        <v/>
      </c>
      <c r="F744" s="1"/>
      <c r="G744" s="17"/>
      <c r="I744" s="1" t="str">
        <f>'Исходник'!T370</f>
        <v/>
      </c>
      <c r="J744" s="1" t="str">
        <f t="array" ref="J744">IFERROR(INDEX('Исходник'!$1:$626,MATCH($I744,'Исходник'!$T:$T,0),MATCH(J$1,'Исходник'!$1:$1,0)))</f>
        <v/>
      </c>
      <c r="K744" s="7" t="str">
        <f t="shared" si="3"/>
        <v/>
      </c>
      <c r="L744" s="1" t="str">
        <f>IF(I744&gt;0,IF(TODAY()-K744&lt;'Анализ'!$D$4+1,1,0),"")</f>
        <v/>
      </c>
    </row>
    <row r="745" ht="15.75" customHeight="1">
      <c r="B745" s="1" t="str">
        <f t="shared" si="1"/>
        <v/>
      </c>
      <c r="F745" s="1"/>
      <c r="G745" s="17"/>
      <c r="I745" s="1" t="str">
        <f>'Исходник'!T371</f>
        <v/>
      </c>
      <c r="J745" s="1" t="str">
        <f t="array" ref="J745">IFERROR(INDEX('Исходник'!$1:$626,MATCH($I745,'Исходник'!$T:$T,0),MATCH(J$1,'Исходник'!$1:$1,0)))</f>
        <v/>
      </c>
      <c r="K745" s="7" t="str">
        <f t="shared" si="3"/>
        <v/>
      </c>
      <c r="L745" s="1" t="str">
        <f>IF(I745&gt;0,IF(TODAY()-K745&lt;'Анализ'!$D$4+1,1,0),"")</f>
        <v/>
      </c>
    </row>
    <row r="746" ht="15.75" customHeight="1">
      <c r="B746" s="1" t="str">
        <f t="shared" si="1"/>
        <v/>
      </c>
      <c r="F746" s="1"/>
      <c r="G746" s="17"/>
      <c r="I746" s="1" t="str">
        <f>'Исходник'!T372</f>
        <v/>
      </c>
      <c r="J746" s="1" t="str">
        <f t="array" ref="J746">IFERROR(INDEX('Исходник'!$1:$626,MATCH($I746,'Исходник'!$T:$T,0),MATCH(J$1,'Исходник'!$1:$1,0)))</f>
        <v/>
      </c>
      <c r="K746" s="7" t="str">
        <f t="shared" si="3"/>
        <v/>
      </c>
      <c r="L746" s="1" t="str">
        <f>IF(I746&gt;0,IF(TODAY()-K746&lt;'Анализ'!$D$4+1,1,0),"")</f>
        <v/>
      </c>
    </row>
    <row r="747" ht="15.75" customHeight="1">
      <c r="B747" s="1" t="str">
        <f t="shared" si="1"/>
        <v/>
      </c>
      <c r="F747" s="1"/>
      <c r="G747" s="17"/>
      <c r="I747" s="1" t="str">
        <f>'Исходник'!T373</f>
        <v/>
      </c>
      <c r="J747" s="1" t="str">
        <f t="array" ref="J747">IFERROR(INDEX('Исходник'!$1:$626,MATCH($I747,'Исходник'!$T:$T,0),MATCH(J$1,'Исходник'!$1:$1,0)))</f>
        <v/>
      </c>
      <c r="K747" s="7" t="str">
        <f t="shared" si="3"/>
        <v/>
      </c>
      <c r="L747" s="1" t="str">
        <f>IF(I747&gt;0,IF(TODAY()-K747&lt;'Анализ'!$D$4+1,1,0),"")</f>
        <v/>
      </c>
    </row>
    <row r="748" ht="15.75" customHeight="1">
      <c r="B748" s="1" t="str">
        <f t="shared" si="1"/>
        <v/>
      </c>
      <c r="F748" s="1"/>
      <c r="G748" s="17"/>
      <c r="I748" s="1" t="str">
        <f>'Исходник'!T374</f>
        <v/>
      </c>
      <c r="J748" s="1" t="str">
        <f t="array" ref="J748">IFERROR(INDEX('Исходник'!$1:$626,MATCH($I748,'Исходник'!$T:$T,0),MATCH(J$1,'Исходник'!$1:$1,0)))</f>
        <v/>
      </c>
      <c r="K748" s="7" t="str">
        <f t="shared" si="3"/>
        <v/>
      </c>
      <c r="L748" s="1" t="str">
        <f>IF(I748&gt;0,IF(TODAY()-K748&lt;'Анализ'!$D$4+1,1,0),"")</f>
        <v/>
      </c>
    </row>
    <row r="749" ht="15.75" customHeight="1">
      <c r="B749" s="1" t="str">
        <f t="shared" si="1"/>
        <v/>
      </c>
      <c r="F749" s="1"/>
      <c r="G749" s="17"/>
      <c r="I749" s="1" t="str">
        <f>'Исходник'!T375</f>
        <v/>
      </c>
      <c r="J749" s="1" t="str">
        <f t="array" ref="J749">IFERROR(INDEX('Исходник'!$1:$626,MATCH($I749,'Исходник'!$T:$T,0),MATCH(J$1,'Исходник'!$1:$1,0)))</f>
        <v/>
      </c>
      <c r="K749" s="7" t="str">
        <f t="shared" si="3"/>
        <v/>
      </c>
      <c r="L749" s="1" t="str">
        <f>IF(I749&gt;0,IF(TODAY()-K749&lt;'Анализ'!$D$4+1,1,0),"")</f>
        <v/>
      </c>
    </row>
    <row r="750" ht="15.75" customHeight="1">
      <c r="B750" s="1" t="str">
        <f t="shared" si="1"/>
        <v/>
      </c>
      <c r="F750" s="1"/>
      <c r="G750" s="17"/>
      <c r="I750" s="1" t="str">
        <f>'Исходник'!T376</f>
        <v/>
      </c>
      <c r="J750" s="1" t="str">
        <f t="array" ref="J750">IFERROR(INDEX('Исходник'!$1:$626,MATCH($I750,'Исходник'!$T:$T,0),MATCH(J$1,'Исходник'!$1:$1,0)))</f>
        <v/>
      </c>
      <c r="K750" s="7" t="str">
        <f t="shared" si="3"/>
        <v/>
      </c>
      <c r="L750" s="1" t="str">
        <f>IF(I750&gt;0,IF(TODAY()-K750&lt;'Анализ'!$D$4+1,1,0),"")</f>
        <v/>
      </c>
    </row>
    <row r="751" ht="15.75" customHeight="1">
      <c r="B751" s="1" t="str">
        <f t="shared" si="1"/>
        <v/>
      </c>
      <c r="F751" s="1"/>
      <c r="G751" s="17"/>
      <c r="I751" s="1" t="str">
        <f>'Исходник'!T377</f>
        <v/>
      </c>
      <c r="J751" s="1" t="str">
        <f t="array" ref="J751">IFERROR(INDEX('Исходник'!$1:$626,MATCH($I751,'Исходник'!$T:$T,0),MATCH(J$1,'Исходник'!$1:$1,0)))</f>
        <v/>
      </c>
      <c r="K751" s="7" t="str">
        <f t="shared" si="3"/>
        <v/>
      </c>
      <c r="L751" s="1" t="str">
        <f>IF(I751&gt;0,IF(TODAY()-K751&lt;'Анализ'!$D$4+1,1,0),"")</f>
        <v/>
      </c>
    </row>
    <row r="752" ht="15.75" customHeight="1">
      <c r="B752" s="1" t="str">
        <f t="shared" si="1"/>
        <v/>
      </c>
      <c r="F752" s="1"/>
      <c r="G752" s="17"/>
      <c r="I752" s="1" t="str">
        <f>'Исходник'!T378</f>
        <v/>
      </c>
      <c r="J752" s="1" t="str">
        <f t="array" ref="J752">IFERROR(INDEX('Исходник'!$1:$626,MATCH($I752,'Исходник'!$T:$T,0),MATCH(J$1,'Исходник'!$1:$1,0)))</f>
        <v/>
      </c>
      <c r="K752" s="7" t="str">
        <f t="shared" si="3"/>
        <v/>
      </c>
      <c r="L752" s="1" t="str">
        <f>IF(I752&gt;0,IF(TODAY()-K752&lt;'Анализ'!$D$4+1,1,0),"")</f>
        <v/>
      </c>
    </row>
    <row r="753" ht="15.75" customHeight="1">
      <c r="B753" s="1" t="str">
        <f t="shared" si="1"/>
        <v/>
      </c>
      <c r="F753" s="1"/>
      <c r="G753" s="17"/>
      <c r="I753" s="1" t="str">
        <f>'Исходник'!T379</f>
        <v/>
      </c>
      <c r="J753" s="1" t="str">
        <f t="array" ref="J753">IFERROR(INDEX('Исходник'!$1:$626,MATCH($I753,'Исходник'!$T:$T,0),MATCH(J$1,'Исходник'!$1:$1,0)))</f>
        <v/>
      </c>
      <c r="K753" s="7" t="str">
        <f t="shared" si="3"/>
        <v/>
      </c>
      <c r="L753" s="1" t="str">
        <f>IF(I753&gt;0,IF(TODAY()-K753&lt;'Анализ'!$D$4+1,1,0),"")</f>
        <v/>
      </c>
    </row>
    <row r="754" ht="15.75" customHeight="1">
      <c r="B754" s="1" t="str">
        <f t="shared" si="1"/>
        <v/>
      </c>
      <c r="F754" s="1"/>
      <c r="G754" s="17"/>
      <c r="I754" s="1" t="str">
        <f>'Исходник'!T380</f>
        <v/>
      </c>
      <c r="J754" s="1" t="str">
        <f t="array" ref="J754">IFERROR(INDEX('Исходник'!$1:$626,MATCH($I754,'Исходник'!$T:$T,0),MATCH(J$1,'Исходник'!$1:$1,0)))</f>
        <v/>
      </c>
      <c r="K754" s="7" t="str">
        <f t="shared" si="3"/>
        <v/>
      </c>
      <c r="L754" s="1" t="str">
        <f>IF(I754&gt;0,IF(TODAY()-K754&lt;'Анализ'!$D$4+1,1,0),"")</f>
        <v/>
      </c>
    </row>
    <row r="755" ht="15.75" customHeight="1">
      <c r="B755" s="1" t="str">
        <f t="shared" si="1"/>
        <v/>
      </c>
      <c r="F755" s="1"/>
      <c r="G755" s="17"/>
      <c r="I755" s="1" t="str">
        <f>'Исходник'!T381</f>
        <v/>
      </c>
      <c r="J755" s="1" t="str">
        <f t="array" ref="J755">IFERROR(INDEX('Исходник'!$1:$626,MATCH($I755,'Исходник'!$T:$T,0),MATCH(J$1,'Исходник'!$1:$1,0)))</f>
        <v/>
      </c>
      <c r="K755" s="7" t="str">
        <f t="shared" si="3"/>
        <v/>
      </c>
      <c r="L755" s="1" t="str">
        <f>IF(I755&gt;0,IF(TODAY()-K755&lt;'Анализ'!$D$4+1,1,0),"")</f>
        <v/>
      </c>
    </row>
    <row r="756" ht="15.75" customHeight="1">
      <c r="B756" s="1" t="str">
        <f t="shared" si="1"/>
        <v/>
      </c>
      <c r="F756" s="1"/>
      <c r="G756" s="17"/>
      <c r="I756" s="1" t="str">
        <f>'Исходник'!T382</f>
        <v/>
      </c>
      <c r="J756" s="1" t="str">
        <f t="array" ref="J756">IFERROR(INDEX('Исходник'!$1:$626,MATCH($I756,'Исходник'!$T:$T,0),MATCH(J$1,'Исходник'!$1:$1,0)))</f>
        <v/>
      </c>
      <c r="K756" s="7" t="str">
        <f t="shared" si="3"/>
        <v/>
      </c>
      <c r="L756" s="1" t="str">
        <f>IF(I756&gt;0,IF(TODAY()-K756&lt;'Анализ'!$D$4+1,1,0),"")</f>
        <v/>
      </c>
    </row>
    <row r="757" ht="15.75" customHeight="1">
      <c r="B757" s="1" t="str">
        <f t="shared" si="1"/>
        <v/>
      </c>
      <c r="F757" s="1"/>
      <c r="G757" s="17"/>
      <c r="I757" s="1" t="str">
        <f>'Исходник'!T383</f>
        <v/>
      </c>
      <c r="J757" s="1" t="str">
        <f t="array" ref="J757">IFERROR(INDEX('Исходник'!$1:$626,MATCH($I757,'Исходник'!$T:$T,0),MATCH(J$1,'Исходник'!$1:$1,0)))</f>
        <v/>
      </c>
      <c r="K757" s="7" t="str">
        <f t="shared" si="3"/>
        <v/>
      </c>
      <c r="L757" s="1" t="str">
        <f>IF(I757&gt;0,IF(TODAY()-K757&lt;'Анализ'!$D$4+1,1,0),"")</f>
        <v/>
      </c>
    </row>
    <row r="758" ht="15.75" customHeight="1">
      <c r="B758" s="1" t="str">
        <f t="shared" si="1"/>
        <v/>
      </c>
      <c r="F758" s="1"/>
      <c r="G758" s="17"/>
      <c r="I758" s="1" t="str">
        <f>'Исходник'!T384</f>
        <v/>
      </c>
      <c r="J758" s="1" t="str">
        <f t="array" ref="J758">IFERROR(INDEX('Исходник'!$1:$626,MATCH($I758,'Исходник'!$T:$T,0),MATCH(J$1,'Исходник'!$1:$1,0)))</f>
        <v/>
      </c>
      <c r="K758" s="7" t="str">
        <f t="shared" si="3"/>
        <v/>
      </c>
      <c r="L758" s="1" t="str">
        <f>IF(I758&gt;0,IF(TODAY()-K758&lt;'Анализ'!$D$4+1,1,0),"")</f>
        <v/>
      </c>
    </row>
    <row r="759" ht="15.75" customHeight="1">
      <c r="B759" s="1" t="str">
        <f t="shared" si="1"/>
        <v/>
      </c>
      <c r="F759" s="1"/>
      <c r="G759" s="17"/>
      <c r="I759" s="1" t="str">
        <f>'Исходник'!T385</f>
        <v/>
      </c>
      <c r="J759" s="1" t="str">
        <f t="array" ref="J759">IFERROR(INDEX('Исходник'!$1:$626,MATCH($I759,'Исходник'!$T:$T,0),MATCH(J$1,'Исходник'!$1:$1,0)))</f>
        <v/>
      </c>
      <c r="K759" s="7" t="str">
        <f t="shared" si="3"/>
        <v/>
      </c>
      <c r="L759" s="1" t="str">
        <f>IF(I759&gt;0,IF(TODAY()-K759&lt;'Анализ'!$D$4+1,1,0),"")</f>
        <v/>
      </c>
    </row>
    <row r="760" ht="15.75" customHeight="1">
      <c r="B760" s="1" t="str">
        <f t="shared" si="1"/>
        <v/>
      </c>
      <c r="F760" s="1"/>
      <c r="G760" s="17"/>
      <c r="I760" s="1" t="str">
        <f>'Исходник'!T386</f>
        <v/>
      </c>
      <c r="J760" s="1" t="str">
        <f t="array" ref="J760">IFERROR(INDEX('Исходник'!$1:$626,MATCH($I760,'Исходник'!$T:$T,0),MATCH(J$1,'Исходник'!$1:$1,0)))</f>
        <v/>
      </c>
      <c r="K760" s="7" t="str">
        <f t="shared" si="3"/>
        <v/>
      </c>
      <c r="L760" s="1" t="str">
        <f>IF(I760&gt;0,IF(TODAY()-K760&lt;'Анализ'!$D$4+1,1,0),"")</f>
        <v/>
      </c>
    </row>
    <row r="761" ht="15.75" customHeight="1">
      <c r="B761" s="1" t="str">
        <f t="shared" si="1"/>
        <v/>
      </c>
      <c r="F761" s="1"/>
      <c r="G761" s="17"/>
      <c r="I761" s="1" t="str">
        <f>'Исходник'!T387</f>
        <v/>
      </c>
      <c r="J761" s="1" t="str">
        <f t="array" ref="J761">IFERROR(INDEX('Исходник'!$1:$626,MATCH($I761,'Исходник'!$T:$T,0),MATCH(J$1,'Исходник'!$1:$1,0)))</f>
        <v/>
      </c>
      <c r="K761" s="7" t="str">
        <f t="shared" si="3"/>
        <v/>
      </c>
      <c r="L761" s="1" t="str">
        <f>IF(I761&gt;0,IF(TODAY()-K761&lt;'Анализ'!$D$4+1,1,0),"")</f>
        <v/>
      </c>
    </row>
    <row r="762" ht="15.75" customHeight="1">
      <c r="B762" s="1" t="str">
        <f t="shared" si="1"/>
        <v/>
      </c>
      <c r="F762" s="1"/>
      <c r="G762" s="17"/>
      <c r="I762" s="1" t="str">
        <f>'Исходник'!T388</f>
        <v/>
      </c>
      <c r="J762" s="1" t="str">
        <f t="array" ref="J762">IFERROR(INDEX('Исходник'!$1:$626,MATCH($I762,'Исходник'!$T:$T,0),MATCH(J$1,'Исходник'!$1:$1,0)))</f>
        <v/>
      </c>
      <c r="K762" s="7" t="str">
        <f t="shared" si="3"/>
        <v/>
      </c>
      <c r="L762" s="1" t="str">
        <f>IF(I762&gt;0,IF(TODAY()-K762&lt;'Анализ'!$D$4+1,1,0),"")</f>
        <v/>
      </c>
    </row>
    <row r="763" ht="15.75" customHeight="1">
      <c r="B763" s="1" t="str">
        <f t="shared" si="1"/>
        <v/>
      </c>
      <c r="F763" s="1"/>
      <c r="G763" s="17"/>
      <c r="I763" s="1" t="str">
        <f>'Исходник'!T389</f>
        <v/>
      </c>
      <c r="J763" s="1" t="str">
        <f t="array" ref="J763">IFERROR(INDEX('Исходник'!$1:$626,MATCH($I763,'Исходник'!$T:$T,0),MATCH(J$1,'Исходник'!$1:$1,0)))</f>
        <v/>
      </c>
      <c r="K763" s="7" t="str">
        <f t="shared" si="3"/>
        <v/>
      </c>
      <c r="L763" s="1" t="str">
        <f>IF(I763&gt;0,IF(TODAY()-K763&lt;'Анализ'!$D$4+1,1,0),"")</f>
        <v/>
      </c>
    </row>
    <row r="764" ht="15.75" customHeight="1">
      <c r="B764" s="1" t="str">
        <f t="shared" si="1"/>
        <v/>
      </c>
      <c r="F764" s="1"/>
      <c r="G764" s="17"/>
      <c r="I764" s="1" t="str">
        <f>'Исходник'!T390</f>
        <v/>
      </c>
      <c r="J764" s="1" t="str">
        <f t="array" ref="J764">IFERROR(INDEX('Исходник'!$1:$626,MATCH($I764,'Исходник'!$T:$T,0),MATCH(J$1,'Исходник'!$1:$1,0)))</f>
        <v/>
      </c>
      <c r="K764" s="7" t="str">
        <f t="shared" si="3"/>
        <v/>
      </c>
      <c r="L764" s="1" t="str">
        <f>IF(I764&gt;0,IF(TODAY()-K764&lt;'Анализ'!$D$4+1,1,0),"")</f>
        <v/>
      </c>
    </row>
    <row r="765" ht="15.75" customHeight="1">
      <c r="B765" s="1" t="str">
        <f t="shared" si="1"/>
        <v/>
      </c>
      <c r="F765" s="1"/>
      <c r="G765" s="17"/>
      <c r="I765" s="1" t="str">
        <f>'Исходник'!T391</f>
        <v/>
      </c>
      <c r="J765" s="1" t="str">
        <f t="array" ref="J765">IFERROR(INDEX('Исходник'!$1:$626,MATCH($I765,'Исходник'!$T:$T,0),MATCH(J$1,'Исходник'!$1:$1,0)))</f>
        <v/>
      </c>
      <c r="K765" s="7" t="str">
        <f t="shared" si="3"/>
        <v/>
      </c>
      <c r="L765" s="1" t="str">
        <f>IF(I765&gt;0,IF(TODAY()-K765&lt;'Анализ'!$D$4+1,1,0),"")</f>
        <v/>
      </c>
    </row>
    <row r="766" ht="15.75" customHeight="1">
      <c r="B766" s="1" t="str">
        <f t="shared" si="1"/>
        <v/>
      </c>
      <c r="F766" s="1"/>
      <c r="G766" s="17"/>
      <c r="I766" s="1" t="str">
        <f>'Исходник'!T392</f>
        <v/>
      </c>
      <c r="J766" s="1" t="str">
        <f t="array" ref="J766">IFERROR(INDEX('Исходник'!$1:$626,MATCH($I766,'Исходник'!$T:$T,0),MATCH(J$1,'Исходник'!$1:$1,0)))</f>
        <v/>
      </c>
      <c r="K766" s="7" t="str">
        <f t="shared" si="3"/>
        <v/>
      </c>
      <c r="L766" s="1" t="str">
        <f>IF(I766&gt;0,IF(TODAY()-K766&lt;'Анализ'!$D$4+1,1,0),"")</f>
        <v/>
      </c>
    </row>
    <row r="767" ht="15.75" customHeight="1">
      <c r="B767" s="1" t="str">
        <f t="shared" si="1"/>
        <v/>
      </c>
      <c r="F767" s="1"/>
      <c r="G767" s="17"/>
      <c r="I767" s="1" t="str">
        <f>'Исходник'!T393</f>
        <v/>
      </c>
      <c r="J767" s="1" t="str">
        <f t="array" ref="J767">IFERROR(INDEX('Исходник'!$1:$626,MATCH($I767,'Исходник'!$T:$T,0),MATCH(J$1,'Исходник'!$1:$1,0)))</f>
        <v/>
      </c>
      <c r="K767" s="7" t="str">
        <f t="shared" si="3"/>
        <v/>
      </c>
      <c r="L767" s="1" t="str">
        <f>IF(I767&gt;0,IF(TODAY()-K767&lt;'Анализ'!$D$4+1,1,0),"")</f>
        <v/>
      </c>
    </row>
    <row r="768" ht="15.75" customHeight="1">
      <c r="B768" s="1" t="str">
        <f t="shared" si="1"/>
        <v/>
      </c>
      <c r="F768" s="1"/>
      <c r="G768" s="17"/>
      <c r="I768" s="1" t="str">
        <f>'Исходник'!T394</f>
        <v/>
      </c>
      <c r="J768" s="1" t="str">
        <f t="array" ref="J768">IFERROR(INDEX('Исходник'!$1:$626,MATCH($I768,'Исходник'!$T:$T,0),MATCH(J$1,'Исходник'!$1:$1,0)))</f>
        <v/>
      </c>
      <c r="K768" s="7" t="str">
        <f t="shared" si="3"/>
        <v/>
      </c>
      <c r="L768" s="1" t="str">
        <f>IF(I768&gt;0,IF(TODAY()-K768&lt;'Анализ'!$D$4+1,1,0),"")</f>
        <v/>
      </c>
    </row>
    <row r="769" ht="15.75" customHeight="1">
      <c r="B769" s="1" t="str">
        <f t="shared" si="1"/>
        <v/>
      </c>
      <c r="F769" s="1"/>
      <c r="G769" s="17"/>
      <c r="I769" s="1" t="str">
        <f>'Исходник'!T395</f>
        <v/>
      </c>
      <c r="J769" s="1" t="str">
        <f t="array" ref="J769">IFERROR(INDEX('Исходник'!$1:$626,MATCH($I769,'Исходник'!$T:$T,0),MATCH(J$1,'Исходник'!$1:$1,0)))</f>
        <v/>
      </c>
      <c r="K769" s="7" t="str">
        <f t="shared" si="3"/>
        <v/>
      </c>
      <c r="L769" s="1" t="str">
        <f>IF(I769&gt;0,IF(TODAY()-K769&lt;'Анализ'!$D$4+1,1,0),"")</f>
        <v/>
      </c>
    </row>
    <row r="770" ht="15.75" customHeight="1">
      <c r="B770" s="1" t="str">
        <f t="shared" si="1"/>
        <v/>
      </c>
      <c r="F770" s="1"/>
      <c r="G770" s="17"/>
      <c r="I770" s="1" t="str">
        <f>'Исходник'!T396</f>
        <v/>
      </c>
      <c r="J770" s="1" t="str">
        <f t="array" ref="J770">IFERROR(INDEX('Исходник'!$1:$626,MATCH($I770,'Исходник'!$T:$T,0),MATCH(J$1,'Исходник'!$1:$1,0)))</f>
        <v/>
      </c>
      <c r="K770" s="7" t="str">
        <f t="shared" si="3"/>
        <v/>
      </c>
      <c r="L770" s="1" t="str">
        <f>IF(I770&gt;0,IF(TODAY()-K770&lt;'Анализ'!$D$4+1,1,0),"")</f>
        <v/>
      </c>
    </row>
    <row r="771" ht="15.75" customHeight="1">
      <c r="B771" s="1" t="str">
        <f t="shared" si="1"/>
        <v/>
      </c>
      <c r="F771" s="1"/>
      <c r="G771" s="17"/>
      <c r="I771" s="1" t="str">
        <f>'Исходник'!T397</f>
        <v/>
      </c>
      <c r="J771" s="1" t="str">
        <f t="array" ref="J771">IFERROR(INDEX('Исходник'!$1:$626,MATCH($I771,'Исходник'!$T:$T,0),MATCH(J$1,'Исходник'!$1:$1,0)))</f>
        <v/>
      </c>
      <c r="K771" s="7" t="str">
        <f t="shared" si="3"/>
        <v/>
      </c>
      <c r="L771" s="1" t="str">
        <f>IF(I771&gt;0,IF(TODAY()-K771&lt;'Анализ'!$D$4+1,1,0),"")</f>
        <v/>
      </c>
    </row>
    <row r="772" ht="15.75" customHeight="1">
      <c r="B772" s="1" t="str">
        <f t="shared" si="1"/>
        <v/>
      </c>
      <c r="F772" s="1"/>
      <c r="G772" s="17"/>
      <c r="I772" s="1" t="str">
        <f>'Исходник'!T398</f>
        <v/>
      </c>
      <c r="J772" s="1" t="str">
        <f t="array" ref="J772">IFERROR(INDEX('Исходник'!$1:$626,MATCH($I772,'Исходник'!$T:$T,0),MATCH(J$1,'Исходник'!$1:$1,0)))</f>
        <v/>
      </c>
      <c r="K772" s="7" t="str">
        <f t="shared" si="3"/>
        <v/>
      </c>
      <c r="L772" s="1" t="str">
        <f>IF(I772&gt;0,IF(TODAY()-K772&lt;'Анализ'!$D$4+1,1,0),"")</f>
        <v/>
      </c>
    </row>
    <row r="773" ht="15.75" customHeight="1">
      <c r="B773" s="1" t="str">
        <f t="shared" si="1"/>
        <v/>
      </c>
      <c r="F773" s="1"/>
      <c r="G773" s="17"/>
      <c r="I773" s="1" t="str">
        <f>'Исходник'!T399</f>
        <v/>
      </c>
      <c r="J773" s="1" t="str">
        <f t="array" ref="J773">IFERROR(INDEX('Исходник'!$1:$626,MATCH($I773,'Исходник'!$T:$T,0),MATCH(J$1,'Исходник'!$1:$1,0)))</f>
        <v/>
      </c>
      <c r="K773" s="7" t="str">
        <f t="shared" si="3"/>
        <v/>
      </c>
      <c r="L773" s="1" t="str">
        <f>IF(I773&gt;0,IF(TODAY()-K773&lt;'Анализ'!$D$4+1,1,0),"")</f>
        <v/>
      </c>
    </row>
    <row r="774" ht="15.75" customHeight="1">
      <c r="B774" s="1" t="str">
        <f t="shared" si="1"/>
        <v/>
      </c>
      <c r="F774" s="1"/>
      <c r="G774" s="17"/>
      <c r="I774" s="1" t="str">
        <f>'Исходник'!T400</f>
        <v/>
      </c>
      <c r="J774" s="1" t="str">
        <f t="array" ref="J774">IFERROR(INDEX('Исходник'!$1:$626,MATCH($I774,'Исходник'!$T:$T,0),MATCH(J$1,'Исходник'!$1:$1,0)))</f>
        <v/>
      </c>
      <c r="K774" s="7" t="str">
        <f t="shared" si="3"/>
        <v/>
      </c>
      <c r="L774" s="1" t="str">
        <f>IF(I774&gt;0,IF(TODAY()-K774&lt;'Анализ'!$D$4+1,1,0),"")</f>
        <v/>
      </c>
    </row>
    <row r="775" ht="15.75" customHeight="1">
      <c r="B775" s="1" t="str">
        <f t="shared" si="1"/>
        <v/>
      </c>
      <c r="F775" s="1"/>
      <c r="G775" s="17"/>
      <c r="I775" s="1" t="str">
        <f>'Исходник'!T401</f>
        <v/>
      </c>
      <c r="J775" s="1" t="str">
        <f t="array" ref="J775">IFERROR(INDEX('Исходник'!$1:$626,MATCH($I775,'Исходник'!$T:$T,0),MATCH(J$1,'Исходник'!$1:$1,0)))</f>
        <v/>
      </c>
      <c r="K775" s="7" t="str">
        <f t="shared" si="3"/>
        <v/>
      </c>
      <c r="L775" s="1" t="str">
        <f>IF(I775&gt;0,IF(TODAY()-K775&lt;'Анализ'!$D$4+1,1,0),"")</f>
        <v/>
      </c>
    </row>
    <row r="776" ht="15.75" customHeight="1">
      <c r="B776" s="1" t="str">
        <f t="shared" si="1"/>
        <v/>
      </c>
      <c r="F776" s="1"/>
      <c r="G776" s="17"/>
      <c r="I776" s="1" t="str">
        <f>'Исходник'!T402</f>
        <v/>
      </c>
      <c r="J776" s="1" t="str">
        <f t="array" ref="J776">IFERROR(INDEX('Исходник'!$1:$626,MATCH($I776,'Исходник'!$T:$T,0),MATCH(J$1,'Исходник'!$1:$1,0)))</f>
        <v/>
      </c>
      <c r="K776" s="7" t="str">
        <f t="shared" si="3"/>
        <v/>
      </c>
      <c r="L776" s="1" t="str">
        <f>IF(I776&gt;0,IF(TODAY()-K776&lt;'Анализ'!$D$4+1,1,0),"")</f>
        <v/>
      </c>
    </row>
    <row r="777" ht="15.75" customHeight="1">
      <c r="B777" s="1" t="str">
        <f t="shared" si="1"/>
        <v/>
      </c>
      <c r="F777" s="1"/>
      <c r="G777" s="17"/>
      <c r="I777" s="1" t="str">
        <f>'Исходник'!T403</f>
        <v/>
      </c>
      <c r="J777" s="1" t="str">
        <f t="array" ref="J777">IFERROR(INDEX('Исходник'!$1:$626,MATCH($I777,'Исходник'!$T:$T,0),MATCH(J$1,'Исходник'!$1:$1,0)))</f>
        <v/>
      </c>
      <c r="K777" s="7" t="str">
        <f t="shared" si="3"/>
        <v/>
      </c>
      <c r="L777" s="1" t="str">
        <f>IF(I777&gt;0,IF(TODAY()-K777&lt;'Анализ'!$D$4+1,1,0),"")</f>
        <v/>
      </c>
    </row>
    <row r="778" ht="15.75" customHeight="1">
      <c r="B778" s="1" t="str">
        <f t="shared" si="1"/>
        <v/>
      </c>
      <c r="F778" s="1"/>
      <c r="G778" s="17"/>
      <c r="I778" s="1" t="str">
        <f>'Исходник'!T404</f>
        <v/>
      </c>
      <c r="J778" s="1" t="str">
        <f t="array" ref="J778">IFERROR(INDEX('Исходник'!$1:$626,MATCH($I778,'Исходник'!$T:$T,0),MATCH(J$1,'Исходник'!$1:$1,0)))</f>
        <v/>
      </c>
      <c r="K778" s="7" t="str">
        <f t="shared" si="3"/>
        <v/>
      </c>
      <c r="L778" s="1" t="str">
        <f>IF(I778&gt;0,IF(TODAY()-K778&lt;'Анализ'!$D$4+1,1,0),"")</f>
        <v/>
      </c>
    </row>
    <row r="779" ht="15.75" customHeight="1">
      <c r="B779" s="1" t="str">
        <f t="shared" si="1"/>
        <v/>
      </c>
      <c r="F779" s="1"/>
      <c r="G779" s="17"/>
      <c r="I779" s="1" t="str">
        <f>'Исходник'!T405</f>
        <v/>
      </c>
      <c r="J779" s="1" t="str">
        <f t="array" ref="J779">IFERROR(INDEX('Исходник'!$1:$626,MATCH($I779,'Исходник'!$T:$T,0),MATCH(J$1,'Исходник'!$1:$1,0)))</f>
        <v/>
      </c>
      <c r="K779" s="7" t="str">
        <f t="shared" si="3"/>
        <v/>
      </c>
      <c r="L779" s="1" t="str">
        <f>IF(I779&gt;0,IF(TODAY()-K779&lt;'Анализ'!$D$4+1,1,0),"")</f>
        <v/>
      </c>
    </row>
    <row r="780" ht="15.75" customHeight="1">
      <c r="B780" s="1" t="str">
        <f t="shared" si="1"/>
        <v/>
      </c>
      <c r="F780" s="1"/>
      <c r="G780" s="17"/>
      <c r="I780" s="1" t="str">
        <f>'Исходник'!T406</f>
        <v/>
      </c>
      <c r="J780" s="1" t="str">
        <f t="array" ref="J780">IFERROR(INDEX('Исходник'!$1:$626,MATCH($I780,'Исходник'!$T:$T,0),MATCH(J$1,'Исходник'!$1:$1,0)))</f>
        <v/>
      </c>
      <c r="K780" s="7" t="str">
        <f t="shared" si="3"/>
        <v/>
      </c>
      <c r="L780" s="1" t="str">
        <f>IF(I780&gt;0,IF(TODAY()-K780&lt;'Анализ'!$D$4+1,1,0),"")</f>
        <v/>
      </c>
    </row>
    <row r="781" ht="15.75" customHeight="1">
      <c r="B781" s="1" t="str">
        <f t="shared" si="1"/>
        <v/>
      </c>
      <c r="F781" s="1"/>
      <c r="G781" s="17"/>
      <c r="I781" s="1" t="str">
        <f>'Исходник'!T407</f>
        <v/>
      </c>
      <c r="J781" s="1" t="str">
        <f t="array" ref="J781">IFERROR(INDEX('Исходник'!$1:$626,MATCH($I781,'Исходник'!$T:$T,0),MATCH(J$1,'Исходник'!$1:$1,0)))</f>
        <v/>
      </c>
      <c r="K781" s="7" t="str">
        <f t="shared" si="3"/>
        <v/>
      </c>
      <c r="L781" s="1" t="str">
        <f>IF(I781&gt;0,IF(TODAY()-K781&lt;'Анализ'!$D$4+1,1,0),"")</f>
        <v/>
      </c>
    </row>
    <row r="782" ht="15.75" customHeight="1">
      <c r="B782" s="1" t="str">
        <f t="shared" si="1"/>
        <v/>
      </c>
      <c r="F782" s="1"/>
      <c r="G782" s="17"/>
      <c r="I782" s="1" t="str">
        <f>'Исходник'!T408</f>
        <v/>
      </c>
      <c r="J782" s="1" t="str">
        <f t="array" ref="J782">IFERROR(INDEX('Исходник'!$1:$626,MATCH($I782,'Исходник'!$T:$T,0),MATCH(J$1,'Исходник'!$1:$1,0)))</f>
        <v/>
      </c>
      <c r="K782" s="7" t="str">
        <f t="shared" si="3"/>
        <v/>
      </c>
      <c r="L782" s="1" t="str">
        <f>IF(I782&gt;0,IF(TODAY()-K782&lt;'Анализ'!$D$4+1,1,0),"")</f>
        <v/>
      </c>
    </row>
    <row r="783" ht="15.75" customHeight="1">
      <c r="B783" s="1" t="str">
        <f t="shared" si="1"/>
        <v/>
      </c>
      <c r="F783" s="1"/>
      <c r="G783" s="17"/>
      <c r="I783" s="1" t="str">
        <f>'Исходник'!T409</f>
        <v/>
      </c>
      <c r="J783" s="1" t="str">
        <f t="array" ref="J783">IFERROR(INDEX('Исходник'!$1:$626,MATCH($I783,'Исходник'!$T:$T,0),MATCH(J$1,'Исходник'!$1:$1,0)))</f>
        <v/>
      </c>
      <c r="K783" s="7" t="str">
        <f t="shared" si="3"/>
        <v/>
      </c>
      <c r="L783" s="1" t="str">
        <f>IF(I783&gt;0,IF(TODAY()-K783&lt;'Анализ'!$D$4+1,1,0),"")</f>
        <v/>
      </c>
    </row>
    <row r="784" ht="15.75" customHeight="1">
      <c r="B784" s="1" t="str">
        <f t="shared" si="1"/>
        <v/>
      </c>
      <c r="F784" s="1"/>
      <c r="G784" s="17"/>
      <c r="I784" s="1" t="str">
        <f>'Исходник'!T410</f>
        <v/>
      </c>
      <c r="J784" s="1" t="str">
        <f t="array" ref="J784">IFERROR(INDEX('Исходник'!$1:$626,MATCH($I784,'Исходник'!$T:$T,0),MATCH(J$1,'Исходник'!$1:$1,0)))</f>
        <v/>
      </c>
      <c r="K784" s="7" t="str">
        <f t="shared" si="3"/>
        <v/>
      </c>
      <c r="L784" s="1" t="str">
        <f>IF(I784&gt;0,IF(TODAY()-K784&lt;'Анализ'!$D$4+1,1,0),"")</f>
        <v/>
      </c>
    </row>
    <row r="785" ht="15.75" customHeight="1">
      <c r="B785" s="1" t="str">
        <f t="shared" si="1"/>
        <v/>
      </c>
      <c r="F785" s="1"/>
      <c r="G785" s="17"/>
      <c r="I785" s="1" t="str">
        <f>'Исходник'!T411</f>
        <v/>
      </c>
      <c r="J785" s="1" t="str">
        <f t="array" ref="J785">IFERROR(INDEX('Исходник'!$1:$626,MATCH($I785,'Исходник'!$T:$T,0),MATCH(J$1,'Исходник'!$1:$1,0)))</f>
        <v/>
      </c>
      <c r="K785" s="7" t="str">
        <f t="shared" si="3"/>
        <v/>
      </c>
      <c r="L785" s="1" t="str">
        <f>IF(I785&gt;0,IF(TODAY()-K785&lt;'Анализ'!$D$4+1,1,0),"")</f>
        <v/>
      </c>
    </row>
    <row r="786" ht="15.75" customHeight="1">
      <c r="B786" s="1" t="str">
        <f t="shared" si="1"/>
        <v/>
      </c>
      <c r="F786" s="1"/>
      <c r="G786" s="17"/>
      <c r="I786" s="1" t="str">
        <f>'Исходник'!T412</f>
        <v/>
      </c>
      <c r="J786" s="1" t="str">
        <f t="array" ref="J786">IFERROR(INDEX('Исходник'!$1:$626,MATCH($I786,'Исходник'!$T:$T,0),MATCH(J$1,'Исходник'!$1:$1,0)))</f>
        <v/>
      </c>
      <c r="K786" s="7" t="str">
        <f t="shared" si="3"/>
        <v/>
      </c>
      <c r="L786" s="1" t="str">
        <f>IF(I786&gt;0,IF(TODAY()-K786&lt;'Анализ'!$D$4+1,1,0),"")</f>
        <v/>
      </c>
    </row>
    <row r="787" ht="15.75" customHeight="1">
      <c r="B787" s="1" t="str">
        <f t="shared" si="1"/>
        <v/>
      </c>
      <c r="F787" s="1"/>
      <c r="G787" s="17"/>
      <c r="I787" s="1" t="str">
        <f>'Исходник'!T413</f>
        <v/>
      </c>
      <c r="J787" s="1" t="str">
        <f t="array" ref="J787">IFERROR(INDEX('Исходник'!$1:$626,MATCH($I787,'Исходник'!$T:$T,0),MATCH(J$1,'Исходник'!$1:$1,0)))</f>
        <v/>
      </c>
      <c r="K787" s="7" t="str">
        <f t="shared" si="3"/>
        <v/>
      </c>
      <c r="L787" s="1" t="str">
        <f>IF(I787&gt;0,IF(TODAY()-K787&lt;'Анализ'!$D$4+1,1,0),"")</f>
        <v/>
      </c>
    </row>
    <row r="788" ht="15.75" customHeight="1">
      <c r="B788" s="1" t="str">
        <f t="shared" si="1"/>
        <v/>
      </c>
      <c r="F788" s="1"/>
      <c r="G788" s="17"/>
      <c r="I788" s="1" t="str">
        <f>'Исходник'!T414</f>
        <v/>
      </c>
      <c r="J788" s="1" t="str">
        <f t="array" ref="J788">IFERROR(INDEX('Исходник'!$1:$626,MATCH($I788,'Исходник'!$T:$T,0),MATCH(J$1,'Исходник'!$1:$1,0)))</f>
        <v/>
      </c>
      <c r="K788" s="7" t="str">
        <f t="shared" si="3"/>
        <v/>
      </c>
      <c r="L788" s="1" t="str">
        <f>IF(I788&gt;0,IF(TODAY()-K788&lt;'Анализ'!$D$4+1,1,0),"")</f>
        <v/>
      </c>
    </row>
    <row r="789" ht="15.75" customHeight="1">
      <c r="B789" s="1" t="str">
        <f t="shared" si="1"/>
        <v/>
      </c>
      <c r="F789" s="1"/>
      <c r="G789" s="17"/>
      <c r="I789" s="1" t="str">
        <f>'Исходник'!T415</f>
        <v/>
      </c>
      <c r="J789" s="1" t="str">
        <f t="array" ref="J789">IFERROR(INDEX('Исходник'!$1:$626,MATCH($I789,'Исходник'!$T:$T,0),MATCH(J$1,'Исходник'!$1:$1,0)))</f>
        <v/>
      </c>
      <c r="K789" s="7" t="str">
        <f t="shared" si="3"/>
        <v/>
      </c>
      <c r="L789" s="1" t="str">
        <f>IF(I789&gt;0,IF(TODAY()-K789&lt;'Анализ'!$D$4+1,1,0),"")</f>
        <v/>
      </c>
    </row>
    <row r="790" ht="15.75" customHeight="1">
      <c r="B790" s="1" t="str">
        <f t="shared" si="1"/>
        <v/>
      </c>
      <c r="F790" s="1"/>
      <c r="G790" s="17"/>
      <c r="I790" s="1" t="str">
        <f>'Исходник'!T416</f>
        <v/>
      </c>
      <c r="J790" s="1" t="str">
        <f t="array" ref="J790">IFERROR(INDEX('Исходник'!$1:$626,MATCH($I790,'Исходник'!$T:$T,0),MATCH(J$1,'Исходник'!$1:$1,0)))</f>
        <v/>
      </c>
      <c r="K790" s="7" t="str">
        <f t="shared" si="3"/>
        <v/>
      </c>
      <c r="L790" s="1" t="str">
        <f>IF(I790&gt;0,IF(TODAY()-K790&lt;'Анализ'!$D$4+1,1,0),"")</f>
        <v/>
      </c>
    </row>
    <row r="791" ht="15.75" customHeight="1">
      <c r="B791" s="1" t="str">
        <f t="shared" si="1"/>
        <v/>
      </c>
      <c r="F791" s="1"/>
      <c r="G791" s="17"/>
      <c r="I791" s="1" t="str">
        <f>'Исходник'!T417</f>
        <v/>
      </c>
      <c r="J791" s="1" t="str">
        <f t="array" ref="J791">IFERROR(INDEX('Исходник'!$1:$626,MATCH($I791,'Исходник'!$T:$T,0),MATCH(J$1,'Исходник'!$1:$1,0)))</f>
        <v/>
      </c>
      <c r="K791" s="7" t="str">
        <f t="shared" si="3"/>
        <v/>
      </c>
      <c r="L791" s="1" t="str">
        <f>IF(I791&gt;0,IF(TODAY()-K791&lt;'Анализ'!$D$4+1,1,0),"")</f>
        <v/>
      </c>
    </row>
    <row r="792" ht="15.75" customHeight="1">
      <c r="B792" s="1" t="str">
        <f t="shared" si="1"/>
        <v/>
      </c>
      <c r="F792" s="1"/>
      <c r="G792" s="17"/>
      <c r="I792" s="1" t="str">
        <f>'Исходник'!T418</f>
        <v/>
      </c>
      <c r="J792" s="1" t="str">
        <f t="array" ref="J792">IFERROR(INDEX('Исходник'!$1:$626,MATCH($I792,'Исходник'!$T:$T,0),MATCH(J$1,'Исходник'!$1:$1,0)))</f>
        <v/>
      </c>
      <c r="K792" s="7" t="str">
        <f t="shared" si="3"/>
        <v/>
      </c>
      <c r="L792" s="1" t="str">
        <f>IF(I792&gt;0,IF(TODAY()-K792&lt;'Анализ'!$D$4+1,1,0),"")</f>
        <v/>
      </c>
    </row>
    <row r="793" ht="15.75" customHeight="1">
      <c r="B793" s="1" t="str">
        <f t="shared" si="1"/>
        <v/>
      </c>
      <c r="F793" s="1"/>
      <c r="G793" s="17"/>
      <c r="I793" s="1" t="str">
        <f>'Исходник'!T419</f>
        <v/>
      </c>
      <c r="J793" s="1" t="str">
        <f t="array" ref="J793">IFERROR(INDEX('Исходник'!$1:$626,MATCH($I793,'Исходник'!$T:$T,0),MATCH(J$1,'Исходник'!$1:$1,0)))</f>
        <v/>
      </c>
      <c r="K793" s="7" t="str">
        <f t="shared" si="3"/>
        <v/>
      </c>
      <c r="L793" s="1" t="str">
        <f>IF(I793&gt;0,IF(TODAY()-K793&lt;'Анализ'!$D$4+1,1,0),"")</f>
        <v/>
      </c>
    </row>
    <row r="794" ht="15.75" customHeight="1">
      <c r="B794" s="1" t="str">
        <f t="shared" si="1"/>
        <v/>
      </c>
      <c r="F794" s="1"/>
      <c r="G794" s="17"/>
      <c r="I794" s="1" t="str">
        <f>'Исходник'!T420</f>
        <v/>
      </c>
      <c r="J794" s="1" t="str">
        <f t="array" ref="J794">IFERROR(INDEX('Исходник'!$1:$626,MATCH($I794,'Исходник'!$T:$T,0),MATCH(J$1,'Исходник'!$1:$1,0)))</f>
        <v/>
      </c>
      <c r="K794" s="7" t="str">
        <f t="shared" si="3"/>
        <v/>
      </c>
      <c r="L794" s="1" t="str">
        <f>IF(I794&gt;0,IF(TODAY()-K794&lt;'Анализ'!$D$4+1,1,0),"")</f>
        <v/>
      </c>
    </row>
    <row r="795" ht="15.75" customHeight="1">
      <c r="B795" s="1" t="str">
        <f t="shared" si="1"/>
        <v/>
      </c>
      <c r="F795" s="1"/>
      <c r="G795" s="17"/>
      <c r="I795" s="1" t="str">
        <f>'Исходник'!T421</f>
        <v/>
      </c>
      <c r="J795" s="1" t="str">
        <f t="array" ref="J795">IFERROR(INDEX('Исходник'!$1:$626,MATCH($I795,'Исходник'!$T:$T,0),MATCH(J$1,'Исходник'!$1:$1,0)))</f>
        <v/>
      </c>
      <c r="K795" s="7" t="str">
        <f t="shared" si="3"/>
        <v/>
      </c>
      <c r="L795" s="1" t="str">
        <f>IF(I795&gt;0,IF(TODAY()-K795&lt;'Анализ'!$D$4+1,1,0),"")</f>
        <v/>
      </c>
    </row>
    <row r="796" ht="15.75" customHeight="1">
      <c r="B796" s="1" t="str">
        <f t="shared" si="1"/>
        <v/>
      </c>
      <c r="F796" s="1"/>
      <c r="G796" s="17"/>
      <c r="I796" s="1" t="str">
        <f>'Исходник'!T422</f>
        <v/>
      </c>
      <c r="J796" s="1" t="str">
        <f t="array" ref="J796">IFERROR(INDEX('Исходник'!$1:$626,MATCH($I796,'Исходник'!$T:$T,0),MATCH(J$1,'Исходник'!$1:$1,0)))</f>
        <v/>
      </c>
      <c r="K796" s="7" t="str">
        <f t="shared" si="3"/>
        <v/>
      </c>
      <c r="L796" s="1" t="str">
        <f>IF(I796&gt;0,IF(TODAY()-K796&lt;'Анализ'!$D$4+1,1,0),"")</f>
        <v/>
      </c>
    </row>
    <row r="797" ht="15.75" customHeight="1">
      <c r="B797" s="1" t="str">
        <f t="shared" si="1"/>
        <v/>
      </c>
      <c r="F797" s="1"/>
      <c r="G797" s="17"/>
      <c r="I797" s="1" t="str">
        <f>'Исходник'!T423</f>
        <v/>
      </c>
      <c r="J797" s="1" t="str">
        <f t="array" ref="J797">IFERROR(INDEX('Исходник'!$1:$626,MATCH($I797,'Исходник'!$T:$T,0),MATCH(J$1,'Исходник'!$1:$1,0)))</f>
        <v/>
      </c>
      <c r="K797" s="7" t="str">
        <f t="shared" si="3"/>
        <v/>
      </c>
      <c r="L797" s="1" t="str">
        <f>IF(I797&gt;0,IF(TODAY()-K797&lt;'Анализ'!$D$4+1,1,0),"")</f>
        <v/>
      </c>
    </row>
    <row r="798" ht="15.75" customHeight="1">
      <c r="B798" s="1" t="str">
        <f t="shared" si="1"/>
        <v/>
      </c>
      <c r="F798" s="1"/>
      <c r="G798" s="17"/>
      <c r="I798" s="1" t="str">
        <f>'Исходник'!T424</f>
        <v/>
      </c>
      <c r="J798" s="1" t="str">
        <f t="array" ref="J798">IFERROR(INDEX('Исходник'!$1:$626,MATCH($I798,'Исходник'!$T:$T,0),MATCH(J$1,'Исходник'!$1:$1,0)))</f>
        <v/>
      </c>
      <c r="K798" s="7" t="str">
        <f t="shared" si="3"/>
        <v/>
      </c>
      <c r="L798" s="1" t="str">
        <f>IF(I798&gt;0,IF(TODAY()-K798&lt;'Анализ'!$D$4+1,1,0),"")</f>
        <v/>
      </c>
    </row>
    <row r="799" ht="15.75" customHeight="1">
      <c r="B799" s="1" t="str">
        <f t="shared" si="1"/>
        <v/>
      </c>
      <c r="F799" s="1"/>
      <c r="G799" s="17"/>
      <c r="I799" s="1" t="str">
        <f>'Исходник'!T425</f>
        <v/>
      </c>
      <c r="J799" s="1" t="str">
        <f t="array" ref="J799">IFERROR(INDEX('Исходник'!$1:$626,MATCH($I799,'Исходник'!$T:$T,0),MATCH(J$1,'Исходник'!$1:$1,0)))</f>
        <v/>
      </c>
      <c r="K799" s="7" t="str">
        <f t="shared" si="3"/>
        <v/>
      </c>
      <c r="L799" s="1" t="str">
        <f>IF(I799&gt;0,IF(TODAY()-K799&lt;'Анализ'!$D$4+1,1,0),"")</f>
        <v/>
      </c>
    </row>
    <row r="800" ht="15.75" customHeight="1">
      <c r="B800" s="1" t="str">
        <f t="shared" si="1"/>
        <v/>
      </c>
      <c r="F800" s="1"/>
      <c r="G800" s="17"/>
      <c r="I800" s="1" t="str">
        <f>'Исходник'!T426</f>
        <v/>
      </c>
      <c r="J800" s="1" t="str">
        <f t="array" ref="J800">IFERROR(INDEX('Исходник'!$1:$626,MATCH($I800,'Исходник'!$T:$T,0),MATCH(J$1,'Исходник'!$1:$1,0)))</f>
        <v/>
      </c>
      <c r="K800" s="7" t="str">
        <f t="shared" si="3"/>
        <v/>
      </c>
      <c r="L800" s="1" t="str">
        <f>IF(I800&gt;0,IF(TODAY()-K800&lt;'Анализ'!$D$4+1,1,0),"")</f>
        <v/>
      </c>
    </row>
    <row r="801" ht="15.75" customHeight="1">
      <c r="B801" s="1" t="str">
        <f t="shared" si="1"/>
        <v/>
      </c>
      <c r="F801" s="1"/>
      <c r="G801" s="17"/>
      <c r="I801" s="1" t="str">
        <f>'Исходник'!T427</f>
        <v/>
      </c>
      <c r="J801" s="1" t="str">
        <f t="array" ref="J801">IFERROR(INDEX('Исходник'!$1:$626,MATCH($I801,'Исходник'!$T:$T,0),MATCH(J$1,'Исходник'!$1:$1,0)))</f>
        <v/>
      </c>
      <c r="K801" s="7" t="str">
        <f t="shared" si="3"/>
        <v/>
      </c>
      <c r="L801" s="1" t="str">
        <f>IF(I801&gt;0,IF(TODAY()-K801&lt;'Анализ'!$D$4+1,1,0),"")</f>
        <v/>
      </c>
    </row>
    <row r="802" ht="15.75" customHeight="1">
      <c r="B802" s="1" t="str">
        <f t="shared" si="1"/>
        <v/>
      </c>
      <c r="F802" s="1"/>
      <c r="G802" s="17"/>
      <c r="I802" s="1" t="str">
        <f>'Исходник'!T428</f>
        <v/>
      </c>
      <c r="J802" s="1" t="str">
        <f t="array" ref="J802">IFERROR(INDEX('Исходник'!$1:$626,MATCH($I802,'Исходник'!$T:$T,0),MATCH(J$1,'Исходник'!$1:$1,0)))</f>
        <v/>
      </c>
      <c r="K802" s="7" t="str">
        <f t="shared" si="3"/>
        <v/>
      </c>
      <c r="L802" s="1" t="str">
        <f>IF(I802&gt;0,IF(TODAY()-K802&lt;'Анализ'!$D$4+1,1,0),"")</f>
        <v/>
      </c>
    </row>
    <row r="803" ht="15.75" customHeight="1">
      <c r="B803" s="1" t="str">
        <f t="shared" si="1"/>
        <v/>
      </c>
      <c r="F803" s="1"/>
      <c r="G803" s="17"/>
      <c r="I803" s="1" t="str">
        <f>'Исходник'!T429</f>
        <v/>
      </c>
      <c r="J803" s="1" t="str">
        <f t="array" ref="J803">IFERROR(INDEX('Исходник'!$1:$626,MATCH($I803,'Исходник'!$T:$T,0),MATCH(J$1,'Исходник'!$1:$1,0)))</f>
        <v/>
      </c>
      <c r="K803" s="7" t="str">
        <f t="shared" si="3"/>
        <v/>
      </c>
      <c r="L803" s="1" t="str">
        <f>IF(I803&gt;0,IF(TODAY()-K803&lt;'Анализ'!$D$4+1,1,0),"")</f>
        <v/>
      </c>
    </row>
    <row r="804" ht="15.75" customHeight="1">
      <c r="B804" s="1" t="str">
        <f t="shared" si="1"/>
        <v/>
      </c>
      <c r="F804" s="1"/>
      <c r="G804" s="17"/>
      <c r="I804" s="1" t="str">
        <f>'Исходник'!T430</f>
        <v/>
      </c>
      <c r="J804" s="1" t="str">
        <f t="array" ref="J804">IFERROR(INDEX('Исходник'!$1:$626,MATCH($I804,'Исходник'!$T:$T,0),MATCH(J$1,'Исходник'!$1:$1,0)))</f>
        <v/>
      </c>
      <c r="K804" s="7" t="str">
        <f t="shared" si="3"/>
        <v/>
      </c>
      <c r="L804" s="1" t="str">
        <f>IF(I804&gt;0,IF(TODAY()-K804&lt;'Анализ'!$D$4+1,1,0),"")</f>
        <v/>
      </c>
    </row>
    <row r="805" ht="15.75" customHeight="1">
      <c r="B805" s="1" t="str">
        <f t="shared" si="1"/>
        <v/>
      </c>
      <c r="F805" s="1"/>
      <c r="G805" s="17"/>
      <c r="I805" s="1" t="str">
        <f>'Исходник'!T431</f>
        <v/>
      </c>
      <c r="J805" s="1" t="str">
        <f t="array" ref="J805">IFERROR(INDEX('Исходник'!$1:$626,MATCH($I805,'Исходник'!$T:$T,0),MATCH(J$1,'Исходник'!$1:$1,0)))</f>
        <v/>
      </c>
      <c r="K805" s="7" t="str">
        <f t="shared" si="3"/>
        <v/>
      </c>
      <c r="L805" s="1" t="str">
        <f>IF(I805&gt;0,IF(TODAY()-K805&lt;'Анализ'!$D$4+1,1,0),"")</f>
        <v/>
      </c>
    </row>
    <row r="806" ht="15.75" customHeight="1">
      <c r="B806" s="1" t="str">
        <f t="shared" si="1"/>
        <v/>
      </c>
      <c r="F806" s="1"/>
      <c r="G806" s="17"/>
      <c r="I806" s="1" t="str">
        <f>'Исходник'!T432</f>
        <v/>
      </c>
      <c r="J806" s="1" t="str">
        <f t="array" ref="J806">IFERROR(INDEX('Исходник'!$1:$626,MATCH($I806,'Исходник'!$T:$T,0),MATCH(J$1,'Исходник'!$1:$1,0)))</f>
        <v/>
      </c>
      <c r="K806" s="7" t="str">
        <f t="shared" si="3"/>
        <v/>
      </c>
      <c r="L806" s="1" t="str">
        <f>IF(I806&gt;0,IF(TODAY()-K806&lt;'Анализ'!$D$4+1,1,0),"")</f>
        <v/>
      </c>
    </row>
    <row r="807" ht="15.75" customHeight="1">
      <c r="B807" s="1" t="str">
        <f t="shared" si="1"/>
        <v/>
      </c>
      <c r="F807" s="1"/>
      <c r="G807" s="17"/>
      <c r="I807" s="1" t="str">
        <f>'Исходник'!T433</f>
        <v/>
      </c>
      <c r="J807" s="1" t="str">
        <f t="array" ref="J807">IFERROR(INDEX('Исходник'!$1:$626,MATCH($I807,'Исходник'!$T:$T,0),MATCH(J$1,'Исходник'!$1:$1,0)))</f>
        <v/>
      </c>
      <c r="K807" s="7" t="str">
        <f t="shared" si="3"/>
        <v/>
      </c>
      <c r="L807" s="1" t="str">
        <f>IF(I807&gt;0,IF(TODAY()-K807&lt;'Анализ'!$D$4+1,1,0),"")</f>
        <v/>
      </c>
    </row>
    <row r="808" ht="15.75" customHeight="1">
      <c r="B808" s="1" t="str">
        <f t="shared" si="1"/>
        <v/>
      </c>
      <c r="F808" s="1"/>
      <c r="G808" s="17"/>
      <c r="I808" s="1" t="str">
        <f>'Исходник'!T434</f>
        <v/>
      </c>
      <c r="J808" s="1" t="str">
        <f t="array" ref="J808">IFERROR(INDEX('Исходник'!$1:$626,MATCH($I808,'Исходник'!$T:$T,0),MATCH(J$1,'Исходник'!$1:$1,0)))</f>
        <v/>
      </c>
      <c r="K808" s="7" t="str">
        <f t="shared" si="3"/>
        <v/>
      </c>
      <c r="L808" s="1" t="str">
        <f>IF(I808&gt;0,IF(TODAY()-K808&lt;'Анализ'!$D$4+1,1,0),"")</f>
        <v/>
      </c>
    </row>
    <row r="809" ht="15.75" customHeight="1">
      <c r="B809" s="1" t="str">
        <f t="shared" si="1"/>
        <v/>
      </c>
      <c r="F809" s="1"/>
      <c r="G809" s="17"/>
      <c r="I809" s="1" t="str">
        <f>'Исходник'!T435</f>
        <v/>
      </c>
      <c r="J809" s="1" t="str">
        <f t="array" ref="J809">IFERROR(INDEX('Исходник'!$1:$626,MATCH($I809,'Исходник'!$T:$T,0),MATCH(J$1,'Исходник'!$1:$1,0)))</f>
        <v/>
      </c>
      <c r="K809" s="7" t="str">
        <f t="shared" si="3"/>
        <v/>
      </c>
      <c r="L809" s="1" t="str">
        <f>IF(I809&gt;0,IF(TODAY()-K809&lt;'Анализ'!$D$4+1,1,0),"")</f>
        <v/>
      </c>
    </row>
    <row r="810" ht="15.75" customHeight="1">
      <c r="B810" s="1" t="str">
        <f t="shared" si="1"/>
        <v/>
      </c>
      <c r="F810" s="1"/>
      <c r="G810" s="17"/>
      <c r="I810" s="1" t="str">
        <f>'Исходник'!T436</f>
        <v/>
      </c>
      <c r="J810" s="1" t="str">
        <f t="array" ref="J810">IFERROR(INDEX('Исходник'!$1:$626,MATCH($I810,'Исходник'!$T:$T,0),MATCH(J$1,'Исходник'!$1:$1,0)))</f>
        <v/>
      </c>
      <c r="K810" s="7" t="str">
        <f t="shared" si="3"/>
        <v/>
      </c>
      <c r="L810" s="1" t="str">
        <f>IF(I810&gt;0,IF(TODAY()-K810&lt;'Анализ'!$D$4+1,1,0),"")</f>
        <v/>
      </c>
    </row>
    <row r="811" ht="15.75" customHeight="1">
      <c r="B811" s="1" t="str">
        <f t="shared" si="1"/>
        <v/>
      </c>
      <c r="F811" s="1"/>
      <c r="G811" s="17"/>
      <c r="I811" s="1" t="str">
        <f>'Исходник'!T437</f>
        <v/>
      </c>
      <c r="J811" s="1" t="str">
        <f t="array" ref="J811">IFERROR(INDEX('Исходник'!$1:$626,MATCH($I811,'Исходник'!$T:$T,0),MATCH(J$1,'Исходник'!$1:$1,0)))</f>
        <v/>
      </c>
      <c r="K811" s="7" t="str">
        <f t="shared" si="3"/>
        <v/>
      </c>
      <c r="L811" s="1" t="str">
        <f>IF(I811&gt;0,IF(TODAY()-K811&lt;'Анализ'!$D$4+1,1,0),"")</f>
        <v/>
      </c>
    </row>
    <row r="812" ht="15.75" customHeight="1">
      <c r="B812" s="1" t="str">
        <f t="shared" si="1"/>
        <v/>
      </c>
      <c r="F812" s="1"/>
      <c r="G812" s="17"/>
      <c r="I812" s="1" t="str">
        <f>'Исходник'!T438</f>
        <v/>
      </c>
      <c r="J812" s="1" t="str">
        <f t="array" ref="J812">IFERROR(INDEX('Исходник'!$1:$626,MATCH($I812,'Исходник'!$T:$T,0),MATCH(J$1,'Исходник'!$1:$1,0)))</f>
        <v/>
      </c>
      <c r="K812" s="7" t="str">
        <f t="shared" si="3"/>
        <v/>
      </c>
      <c r="L812" s="1" t="str">
        <f>IF(I812&gt;0,IF(TODAY()-K812&lt;'Анализ'!$D$4+1,1,0),"")</f>
        <v/>
      </c>
    </row>
    <row r="813" ht="15.75" customHeight="1">
      <c r="B813" s="1" t="str">
        <f t="shared" si="1"/>
        <v/>
      </c>
      <c r="F813" s="1"/>
      <c r="G813" s="17"/>
      <c r="I813" s="1" t="str">
        <f>'Исходник'!T439</f>
        <v/>
      </c>
      <c r="J813" s="1" t="str">
        <f t="array" ref="J813">IFERROR(INDEX('Исходник'!$1:$626,MATCH($I813,'Исходник'!$T:$T,0),MATCH(J$1,'Исходник'!$1:$1,0)))</f>
        <v/>
      </c>
      <c r="K813" s="7" t="str">
        <f t="shared" si="3"/>
        <v/>
      </c>
      <c r="L813" s="1" t="str">
        <f>IF(I813&gt;0,IF(TODAY()-K813&lt;'Анализ'!$D$4+1,1,0),"")</f>
        <v/>
      </c>
    </row>
    <row r="814" ht="15.75" customHeight="1">
      <c r="B814" s="1" t="str">
        <f t="shared" si="1"/>
        <v/>
      </c>
      <c r="F814" s="1"/>
      <c r="G814" s="17"/>
      <c r="I814" s="1" t="str">
        <f>'Исходник'!T440</f>
        <v/>
      </c>
      <c r="J814" s="1" t="str">
        <f t="array" ref="J814">IFERROR(INDEX('Исходник'!$1:$626,MATCH($I814,'Исходник'!$T:$T,0),MATCH(J$1,'Исходник'!$1:$1,0)))</f>
        <v/>
      </c>
      <c r="K814" s="7" t="str">
        <f t="shared" si="3"/>
        <v/>
      </c>
      <c r="L814" s="1" t="str">
        <f>IF(I814&gt;0,IF(TODAY()-K814&lt;'Анализ'!$D$4+1,1,0),"")</f>
        <v/>
      </c>
    </row>
    <row r="815" ht="15.75" customHeight="1">
      <c r="B815" s="1" t="str">
        <f t="shared" si="1"/>
        <v/>
      </c>
      <c r="F815" s="1"/>
      <c r="G815" s="17"/>
      <c r="I815" s="1" t="str">
        <f>'Исходник'!T441</f>
        <v/>
      </c>
      <c r="J815" s="1" t="str">
        <f t="array" ref="J815">IFERROR(INDEX('Исходник'!$1:$626,MATCH($I815,'Исходник'!$T:$T,0),MATCH(J$1,'Исходник'!$1:$1,0)))</f>
        <v/>
      </c>
      <c r="K815" s="7" t="str">
        <f t="shared" si="3"/>
        <v/>
      </c>
      <c r="L815" s="1" t="str">
        <f>IF(I815&gt;0,IF(TODAY()-K815&lt;'Анализ'!$D$4+1,1,0),"")</f>
        <v/>
      </c>
    </row>
    <row r="816" ht="15.75" customHeight="1">
      <c r="B816" s="1" t="str">
        <f t="shared" si="1"/>
        <v/>
      </c>
      <c r="F816" s="1"/>
      <c r="G816" s="17"/>
      <c r="I816" s="1" t="str">
        <f>'Исходник'!T442</f>
        <v/>
      </c>
      <c r="J816" s="1" t="str">
        <f t="array" ref="J816">IFERROR(INDEX('Исходник'!$1:$626,MATCH($I816,'Исходник'!$T:$T,0),MATCH(J$1,'Исходник'!$1:$1,0)))</f>
        <v/>
      </c>
      <c r="K816" s="7" t="str">
        <f t="shared" si="3"/>
        <v/>
      </c>
      <c r="L816" s="1" t="str">
        <f>IF(I816&gt;0,IF(TODAY()-K816&lt;'Анализ'!$D$4+1,1,0),"")</f>
        <v/>
      </c>
    </row>
    <row r="817" ht="15.75" customHeight="1">
      <c r="B817" s="1" t="str">
        <f t="shared" si="1"/>
        <v/>
      </c>
      <c r="F817" s="1"/>
      <c r="G817" s="17"/>
      <c r="I817" s="1" t="str">
        <f>'Исходник'!T443</f>
        <v/>
      </c>
      <c r="J817" s="1" t="str">
        <f t="array" ref="J817">IFERROR(INDEX('Исходник'!$1:$626,MATCH($I817,'Исходник'!$T:$T,0),MATCH(J$1,'Исходник'!$1:$1,0)))</f>
        <v/>
      </c>
      <c r="K817" s="7" t="str">
        <f t="shared" si="3"/>
        <v/>
      </c>
      <c r="L817" s="1" t="str">
        <f>IF(I817&gt;0,IF(TODAY()-K817&lt;'Анализ'!$D$4+1,1,0),"")</f>
        <v/>
      </c>
    </row>
    <row r="818" ht="15.75" customHeight="1">
      <c r="B818" s="1" t="str">
        <f t="shared" si="1"/>
        <v/>
      </c>
      <c r="F818" s="1"/>
      <c r="G818" s="17"/>
      <c r="I818" s="1" t="str">
        <f>'Исходник'!T444</f>
        <v/>
      </c>
      <c r="J818" s="1" t="str">
        <f t="array" ref="J818">IFERROR(INDEX('Исходник'!$1:$626,MATCH($I818,'Исходник'!$T:$T,0),MATCH(J$1,'Исходник'!$1:$1,0)))</f>
        <v/>
      </c>
      <c r="K818" s="7" t="str">
        <f t="shared" si="3"/>
        <v/>
      </c>
      <c r="L818" s="1" t="str">
        <f>IF(I818&gt;0,IF(TODAY()-K818&lt;'Анализ'!$D$4+1,1,0),"")</f>
        <v/>
      </c>
    </row>
    <row r="819" ht="15.75" customHeight="1">
      <c r="B819" s="1" t="str">
        <f t="shared" si="1"/>
        <v/>
      </c>
      <c r="F819" s="1"/>
      <c r="G819" s="17"/>
      <c r="I819" s="1" t="str">
        <f>'Исходник'!T445</f>
        <v/>
      </c>
      <c r="J819" s="1" t="str">
        <f t="array" ref="J819">IFERROR(INDEX('Исходник'!$1:$626,MATCH($I819,'Исходник'!$T:$T,0),MATCH(J$1,'Исходник'!$1:$1,0)))</f>
        <v/>
      </c>
      <c r="K819" s="7" t="str">
        <f t="shared" si="3"/>
        <v/>
      </c>
      <c r="L819" s="1" t="str">
        <f>IF(I819&gt;0,IF(TODAY()-K819&lt;'Анализ'!$D$4+1,1,0),"")</f>
        <v/>
      </c>
    </row>
    <row r="820" ht="15.75" customHeight="1">
      <c r="B820" s="1" t="str">
        <f t="shared" si="1"/>
        <v/>
      </c>
      <c r="F820" s="1"/>
      <c r="G820" s="17"/>
      <c r="I820" s="1" t="str">
        <f>'Исходник'!T446</f>
        <v/>
      </c>
      <c r="J820" s="1" t="str">
        <f t="array" ref="J820">IFERROR(INDEX('Исходник'!$1:$626,MATCH($I820,'Исходник'!$T:$T,0),MATCH(J$1,'Исходник'!$1:$1,0)))</f>
        <v/>
      </c>
      <c r="K820" s="7" t="str">
        <f t="shared" si="3"/>
        <v/>
      </c>
      <c r="L820" s="1" t="str">
        <f>IF(I820&gt;0,IF(TODAY()-K820&lt;'Анализ'!$D$4+1,1,0),"")</f>
        <v/>
      </c>
    </row>
    <row r="821" ht="15.75" customHeight="1">
      <c r="B821" s="1" t="str">
        <f t="shared" si="1"/>
        <v/>
      </c>
      <c r="F821" s="1"/>
      <c r="G821" s="17"/>
      <c r="I821" s="1" t="str">
        <f>'Исходник'!T447</f>
        <v/>
      </c>
      <c r="J821" s="1" t="str">
        <f t="array" ref="J821">IFERROR(INDEX('Исходник'!$1:$626,MATCH($I821,'Исходник'!$T:$T,0),MATCH(J$1,'Исходник'!$1:$1,0)))</f>
        <v/>
      </c>
      <c r="K821" s="7" t="str">
        <f t="shared" si="3"/>
        <v/>
      </c>
      <c r="L821" s="1" t="str">
        <f>IF(I821&gt;0,IF(TODAY()-K821&lt;'Анализ'!$D$4+1,1,0),"")</f>
        <v/>
      </c>
    </row>
    <row r="822" ht="15.75" customHeight="1">
      <c r="B822" s="1" t="str">
        <f t="shared" si="1"/>
        <v/>
      </c>
      <c r="F822" s="1"/>
      <c r="G822" s="17"/>
      <c r="I822" s="1" t="str">
        <f>'Исходник'!T448</f>
        <v/>
      </c>
      <c r="J822" s="1" t="str">
        <f t="array" ref="J822">IFERROR(INDEX('Исходник'!$1:$626,MATCH($I822,'Исходник'!$T:$T,0),MATCH(J$1,'Исходник'!$1:$1,0)))</f>
        <v/>
      </c>
      <c r="K822" s="7" t="str">
        <f t="shared" si="3"/>
        <v/>
      </c>
      <c r="L822" s="1" t="str">
        <f>IF(I822&gt;0,IF(TODAY()-K822&lt;'Анализ'!$D$4+1,1,0),"")</f>
        <v/>
      </c>
    </row>
    <row r="823" ht="15.75" customHeight="1">
      <c r="B823" s="1" t="str">
        <f t="shared" si="1"/>
        <v/>
      </c>
      <c r="F823" s="1"/>
      <c r="G823" s="17"/>
      <c r="I823" s="1" t="str">
        <f>'Исходник'!T449</f>
        <v/>
      </c>
      <c r="J823" s="1" t="str">
        <f t="array" ref="J823">IFERROR(INDEX('Исходник'!$1:$626,MATCH($I823,'Исходник'!$T:$T,0),MATCH(J$1,'Исходник'!$1:$1,0)))</f>
        <v/>
      </c>
      <c r="K823" s="7" t="str">
        <f t="shared" si="3"/>
        <v/>
      </c>
      <c r="L823" s="1" t="str">
        <f>IF(I823&gt;0,IF(TODAY()-K823&lt;'Анализ'!$D$4+1,1,0),"")</f>
        <v/>
      </c>
    </row>
    <row r="824" ht="15.75" customHeight="1">
      <c r="B824" s="1" t="str">
        <f t="shared" si="1"/>
        <v/>
      </c>
      <c r="F824" s="1"/>
      <c r="G824" s="17"/>
      <c r="I824" s="1" t="str">
        <f>'Исходник'!T450</f>
        <v/>
      </c>
      <c r="J824" s="1" t="str">
        <f t="array" ref="J824">IFERROR(INDEX('Исходник'!$1:$626,MATCH($I824,'Исходник'!$T:$T,0),MATCH(J$1,'Исходник'!$1:$1,0)))</f>
        <v/>
      </c>
      <c r="K824" s="7" t="str">
        <f t="shared" si="3"/>
        <v/>
      </c>
      <c r="L824" s="1" t="str">
        <f>IF(I824&gt;0,IF(TODAY()-K824&lt;'Анализ'!$D$4+1,1,0),"")</f>
        <v/>
      </c>
    </row>
    <row r="825" ht="15.75" customHeight="1">
      <c r="B825" s="1" t="str">
        <f t="shared" si="1"/>
        <v/>
      </c>
      <c r="F825" s="1"/>
      <c r="G825" s="17"/>
      <c r="I825" s="1" t="str">
        <f>'Исходник'!T451</f>
        <v/>
      </c>
      <c r="J825" s="1" t="str">
        <f t="array" ref="J825">IFERROR(INDEX('Исходник'!$1:$626,MATCH($I825,'Исходник'!$T:$T,0),MATCH(J$1,'Исходник'!$1:$1,0)))</f>
        <v/>
      </c>
      <c r="K825" s="7" t="str">
        <f t="shared" si="3"/>
        <v/>
      </c>
      <c r="L825" s="1" t="str">
        <f>IF(I825&gt;0,IF(TODAY()-K825&lt;'Анализ'!$D$4+1,1,0),"")</f>
        <v/>
      </c>
    </row>
    <row r="826" ht="15.75" customHeight="1">
      <c r="B826" s="1" t="str">
        <f t="shared" si="1"/>
        <v/>
      </c>
      <c r="F826" s="1"/>
      <c r="G826" s="17"/>
      <c r="I826" s="1" t="str">
        <f>'Исходник'!T452</f>
        <v/>
      </c>
      <c r="J826" s="1" t="str">
        <f t="array" ref="J826">IFERROR(INDEX('Исходник'!$1:$626,MATCH($I826,'Исходник'!$T:$T,0),MATCH(J$1,'Исходник'!$1:$1,0)))</f>
        <v/>
      </c>
      <c r="K826" s="7" t="str">
        <f t="shared" si="3"/>
        <v/>
      </c>
      <c r="L826" s="1" t="str">
        <f>IF(I826&gt;0,IF(TODAY()-K826&lt;'Анализ'!$D$4+1,1,0),"")</f>
        <v/>
      </c>
    </row>
    <row r="827" ht="15.75" customHeight="1">
      <c r="B827" s="1" t="str">
        <f t="shared" si="1"/>
        <v/>
      </c>
      <c r="F827" s="1"/>
      <c r="G827" s="17"/>
      <c r="I827" s="1" t="str">
        <f>'Исходник'!T453</f>
        <v/>
      </c>
      <c r="J827" s="1" t="str">
        <f t="array" ref="J827">IFERROR(INDEX('Исходник'!$1:$626,MATCH($I827,'Исходник'!$T:$T,0),MATCH(J$1,'Исходник'!$1:$1,0)))</f>
        <v/>
      </c>
      <c r="K827" s="7" t="str">
        <f t="shared" si="3"/>
        <v/>
      </c>
      <c r="L827" s="1" t="str">
        <f>IF(I827&gt;0,IF(TODAY()-K827&lt;'Анализ'!$D$4+1,1,0),"")</f>
        <v/>
      </c>
    </row>
    <row r="828" ht="15.75" customHeight="1">
      <c r="B828" s="1" t="str">
        <f t="shared" si="1"/>
        <v/>
      </c>
      <c r="F828" s="1"/>
      <c r="G828" s="17"/>
      <c r="I828" s="1" t="str">
        <f>'Исходник'!T454</f>
        <v/>
      </c>
      <c r="J828" s="1" t="str">
        <f t="array" ref="J828">IFERROR(INDEX('Исходник'!$1:$626,MATCH($I828,'Исходник'!$T:$T,0),MATCH(J$1,'Исходник'!$1:$1,0)))</f>
        <v/>
      </c>
      <c r="K828" s="7" t="str">
        <f t="shared" si="3"/>
        <v/>
      </c>
      <c r="L828" s="1" t="str">
        <f>IF(I828&gt;0,IF(TODAY()-K828&lt;'Анализ'!$D$4+1,1,0),"")</f>
        <v/>
      </c>
    </row>
    <row r="829" ht="15.75" customHeight="1">
      <c r="B829" s="1" t="str">
        <f t="shared" si="1"/>
        <v/>
      </c>
      <c r="F829" s="1"/>
      <c r="G829" s="17"/>
      <c r="I829" s="1" t="str">
        <f>'Исходник'!T455</f>
        <v/>
      </c>
      <c r="J829" s="1" t="str">
        <f t="array" ref="J829">IFERROR(INDEX('Исходник'!$1:$626,MATCH($I829,'Исходник'!$T:$T,0),MATCH(J$1,'Исходник'!$1:$1,0)))</f>
        <v/>
      </c>
      <c r="K829" s="7" t="str">
        <f t="shared" si="3"/>
        <v/>
      </c>
      <c r="L829" s="1" t="str">
        <f>IF(I829&gt;0,IF(TODAY()-K829&lt;'Анализ'!$D$4+1,1,0),"")</f>
        <v/>
      </c>
    </row>
    <row r="830" ht="15.75" customHeight="1">
      <c r="B830" s="1" t="str">
        <f t="shared" si="1"/>
        <v/>
      </c>
      <c r="F830" s="1"/>
      <c r="G830" s="17"/>
      <c r="I830" s="1" t="str">
        <f>'Исходник'!T456</f>
        <v/>
      </c>
      <c r="J830" s="1" t="str">
        <f t="array" ref="J830">IFERROR(INDEX('Исходник'!$1:$626,MATCH($I830,'Исходник'!$T:$T,0),MATCH(J$1,'Исходник'!$1:$1,0)))</f>
        <v/>
      </c>
      <c r="K830" s="7" t="str">
        <f t="shared" si="3"/>
        <v/>
      </c>
      <c r="L830" s="1" t="str">
        <f>IF(I830&gt;0,IF(TODAY()-K830&lt;'Анализ'!$D$4+1,1,0),"")</f>
        <v/>
      </c>
    </row>
    <row r="831" ht="15.75" customHeight="1">
      <c r="B831" s="1" t="str">
        <f t="shared" si="1"/>
        <v/>
      </c>
      <c r="F831" s="1"/>
      <c r="G831" s="17"/>
      <c r="I831" s="1" t="str">
        <f>'Исходник'!T457</f>
        <v/>
      </c>
      <c r="J831" s="1" t="str">
        <f t="array" ref="J831">IFERROR(INDEX('Исходник'!$1:$626,MATCH($I831,'Исходник'!$T:$T,0),MATCH(J$1,'Исходник'!$1:$1,0)))</f>
        <v/>
      </c>
      <c r="K831" s="7" t="str">
        <f t="shared" si="3"/>
        <v/>
      </c>
      <c r="L831" s="1" t="str">
        <f>IF(I831&gt;0,IF(TODAY()-K831&lt;'Анализ'!$D$4+1,1,0),"")</f>
        <v/>
      </c>
    </row>
    <row r="832" ht="15.75" customHeight="1">
      <c r="B832" s="1" t="str">
        <f t="shared" si="1"/>
        <v/>
      </c>
      <c r="F832" s="1"/>
      <c r="G832" s="17"/>
      <c r="I832" s="1" t="str">
        <f>'Исходник'!T458</f>
        <v/>
      </c>
      <c r="J832" s="1" t="str">
        <f t="array" ref="J832">IFERROR(INDEX('Исходник'!$1:$626,MATCH($I832,'Исходник'!$T:$T,0),MATCH(J$1,'Исходник'!$1:$1,0)))</f>
        <v/>
      </c>
      <c r="K832" s="7" t="str">
        <f t="shared" si="3"/>
        <v/>
      </c>
      <c r="L832" s="1" t="str">
        <f>IF(I832&gt;0,IF(TODAY()-K832&lt;'Анализ'!$D$4+1,1,0),"")</f>
        <v/>
      </c>
    </row>
    <row r="833" ht="15.75" customHeight="1">
      <c r="B833" s="1" t="str">
        <f t="shared" si="1"/>
        <v/>
      </c>
      <c r="F833" s="1"/>
      <c r="G833" s="17"/>
      <c r="I833" s="1" t="str">
        <f>'Исходник'!T459</f>
        <v/>
      </c>
      <c r="J833" s="1" t="str">
        <f t="array" ref="J833">IFERROR(INDEX('Исходник'!$1:$626,MATCH($I833,'Исходник'!$T:$T,0),MATCH(J$1,'Исходник'!$1:$1,0)))</f>
        <v/>
      </c>
      <c r="K833" s="7" t="str">
        <f t="shared" si="3"/>
        <v/>
      </c>
      <c r="L833" s="1" t="str">
        <f>IF(I833&gt;0,IF(TODAY()-K833&lt;'Анализ'!$D$4+1,1,0),"")</f>
        <v/>
      </c>
    </row>
    <row r="834" ht="15.75" customHeight="1">
      <c r="B834" s="1" t="str">
        <f t="shared" si="1"/>
        <v/>
      </c>
      <c r="F834" s="1"/>
      <c r="G834" s="17"/>
      <c r="I834" s="1" t="str">
        <f>'Исходник'!T460</f>
        <v/>
      </c>
      <c r="J834" s="1" t="str">
        <f t="array" ref="J834">IFERROR(INDEX('Исходник'!$1:$626,MATCH($I834,'Исходник'!$T:$T,0),MATCH(J$1,'Исходник'!$1:$1,0)))</f>
        <v/>
      </c>
      <c r="K834" s="7" t="str">
        <f t="shared" si="3"/>
        <v/>
      </c>
      <c r="L834" s="1" t="str">
        <f>IF(I834&gt;0,IF(TODAY()-K834&lt;'Анализ'!$D$4+1,1,0),"")</f>
        <v/>
      </c>
    </row>
    <row r="835" ht="15.75" customHeight="1">
      <c r="B835" s="1" t="str">
        <f t="shared" si="1"/>
        <v/>
      </c>
      <c r="F835" s="1"/>
      <c r="G835" s="17"/>
      <c r="I835" s="1" t="str">
        <f>'Исходник'!T461</f>
        <v/>
      </c>
      <c r="J835" s="1" t="str">
        <f t="array" ref="J835">IFERROR(INDEX('Исходник'!$1:$626,MATCH($I835,'Исходник'!$T:$T,0),MATCH(J$1,'Исходник'!$1:$1,0)))</f>
        <v/>
      </c>
      <c r="K835" s="7" t="str">
        <f t="shared" si="3"/>
        <v/>
      </c>
      <c r="L835" s="1" t="str">
        <f>IF(I835&gt;0,IF(TODAY()-K835&lt;'Анализ'!$D$4+1,1,0),"")</f>
        <v/>
      </c>
    </row>
    <row r="836" ht="15.75" customHeight="1">
      <c r="B836" s="1" t="str">
        <f t="shared" si="1"/>
        <v/>
      </c>
      <c r="F836" s="1"/>
      <c r="G836" s="17"/>
      <c r="I836" s="1" t="str">
        <f>'Исходник'!T462</f>
        <v/>
      </c>
      <c r="J836" s="1" t="str">
        <f t="array" ref="J836">IFERROR(INDEX('Исходник'!$1:$626,MATCH($I836,'Исходник'!$T:$T,0),MATCH(J$1,'Исходник'!$1:$1,0)))</f>
        <v/>
      </c>
      <c r="K836" s="7" t="str">
        <f t="shared" si="3"/>
        <v/>
      </c>
      <c r="L836" s="1" t="str">
        <f>IF(I836&gt;0,IF(TODAY()-K836&lt;'Анализ'!$D$4+1,1,0),"")</f>
        <v/>
      </c>
    </row>
    <row r="837" ht="15.75" customHeight="1">
      <c r="B837" s="1" t="str">
        <f t="shared" si="1"/>
        <v/>
      </c>
      <c r="F837" s="1"/>
      <c r="G837" s="17"/>
      <c r="I837" s="1" t="str">
        <f>'Исходник'!T463</f>
        <v/>
      </c>
      <c r="J837" s="1" t="str">
        <f t="array" ref="J837">IFERROR(INDEX('Исходник'!$1:$626,MATCH($I837,'Исходник'!$T:$T,0),MATCH(J$1,'Исходник'!$1:$1,0)))</f>
        <v/>
      </c>
      <c r="K837" s="7" t="str">
        <f t="shared" si="3"/>
        <v/>
      </c>
      <c r="L837" s="1" t="str">
        <f>IF(I837&gt;0,IF(TODAY()-K837&lt;'Анализ'!$D$4+1,1,0),"")</f>
        <v/>
      </c>
    </row>
    <row r="838" ht="15.75" customHeight="1">
      <c r="B838" s="1" t="str">
        <f t="shared" si="1"/>
        <v/>
      </c>
      <c r="F838" s="1"/>
      <c r="G838" s="17"/>
      <c r="I838" s="1" t="str">
        <f>'Исходник'!T464</f>
        <v/>
      </c>
      <c r="J838" s="1" t="str">
        <f t="array" ref="J838">IFERROR(INDEX('Исходник'!$1:$626,MATCH($I838,'Исходник'!$T:$T,0),MATCH(J$1,'Исходник'!$1:$1,0)))</f>
        <v/>
      </c>
      <c r="K838" s="7" t="str">
        <f t="shared" si="3"/>
        <v/>
      </c>
      <c r="L838" s="1" t="str">
        <f>IF(I838&gt;0,IF(TODAY()-K838&lt;'Анализ'!$D$4+1,1,0),"")</f>
        <v/>
      </c>
    </row>
    <row r="839" ht="15.75" customHeight="1">
      <c r="B839" s="1" t="str">
        <f t="shared" si="1"/>
        <v/>
      </c>
      <c r="F839" s="1"/>
      <c r="G839" s="17"/>
      <c r="I839" s="1" t="str">
        <f>'Исходник'!T465</f>
        <v/>
      </c>
      <c r="J839" s="1" t="str">
        <f t="array" ref="J839">IFERROR(INDEX('Исходник'!$1:$626,MATCH($I839,'Исходник'!$T:$T,0),MATCH(J$1,'Исходник'!$1:$1,0)))</f>
        <v/>
      </c>
      <c r="K839" s="7" t="str">
        <f t="shared" si="3"/>
        <v/>
      </c>
      <c r="L839" s="1" t="str">
        <f>IF(I839&gt;0,IF(TODAY()-K839&lt;'Анализ'!$D$4+1,1,0),"")</f>
        <v/>
      </c>
    </row>
    <row r="840" ht="15.75" customHeight="1">
      <c r="B840" s="1" t="str">
        <f t="shared" si="1"/>
        <v/>
      </c>
      <c r="F840" s="1"/>
      <c r="G840" s="17"/>
      <c r="I840" s="1" t="str">
        <f>'Исходник'!T466</f>
        <v/>
      </c>
      <c r="J840" s="1" t="str">
        <f t="array" ref="J840">IFERROR(INDEX('Исходник'!$1:$626,MATCH($I840,'Исходник'!$T:$T,0),MATCH(J$1,'Исходник'!$1:$1,0)))</f>
        <v/>
      </c>
      <c r="K840" s="7" t="str">
        <f t="shared" si="3"/>
        <v/>
      </c>
      <c r="L840" s="1" t="str">
        <f>IF(I840&gt;0,IF(TODAY()-K840&lt;'Анализ'!$D$4+1,1,0),"")</f>
        <v/>
      </c>
    </row>
    <row r="841" ht="15.75" customHeight="1">
      <c r="B841" s="1" t="str">
        <f t="shared" si="1"/>
        <v/>
      </c>
      <c r="F841" s="1"/>
      <c r="G841" s="17"/>
      <c r="I841" s="1" t="str">
        <f>'Исходник'!T467</f>
        <v/>
      </c>
      <c r="J841" s="1" t="str">
        <f t="array" ref="J841">IFERROR(INDEX('Исходник'!$1:$626,MATCH($I841,'Исходник'!$T:$T,0),MATCH(J$1,'Исходник'!$1:$1,0)))</f>
        <v/>
      </c>
      <c r="K841" s="7" t="str">
        <f t="shared" si="3"/>
        <v/>
      </c>
      <c r="L841" s="1" t="str">
        <f>IF(I841&gt;0,IF(TODAY()-K841&lt;'Анализ'!$D$4+1,1,0),"")</f>
        <v/>
      </c>
    </row>
    <row r="842" ht="15.75" customHeight="1">
      <c r="B842" s="1" t="str">
        <f t="shared" si="1"/>
        <v/>
      </c>
      <c r="F842" s="1"/>
      <c r="G842" s="17"/>
      <c r="I842" s="1" t="str">
        <f>'Исходник'!T468</f>
        <v/>
      </c>
      <c r="J842" s="1" t="str">
        <f t="array" ref="J842">IFERROR(INDEX('Исходник'!$1:$626,MATCH($I842,'Исходник'!$T:$T,0),MATCH(J$1,'Исходник'!$1:$1,0)))</f>
        <v/>
      </c>
      <c r="K842" s="7" t="str">
        <f t="shared" si="3"/>
        <v/>
      </c>
      <c r="L842" s="1" t="str">
        <f>IF(I842&gt;0,IF(TODAY()-K842&lt;'Анализ'!$D$4+1,1,0),"")</f>
        <v/>
      </c>
    </row>
    <row r="843" ht="15.75" customHeight="1">
      <c r="B843" s="1" t="str">
        <f t="shared" si="1"/>
        <v/>
      </c>
      <c r="F843" s="1"/>
      <c r="G843" s="17"/>
      <c r="I843" s="1" t="str">
        <f>'Исходник'!T469</f>
        <v/>
      </c>
      <c r="J843" s="1" t="str">
        <f t="array" ref="J843">IFERROR(INDEX('Исходник'!$1:$626,MATCH($I843,'Исходник'!$T:$T,0),MATCH(J$1,'Исходник'!$1:$1,0)))</f>
        <v/>
      </c>
      <c r="K843" s="7" t="str">
        <f t="shared" si="3"/>
        <v/>
      </c>
      <c r="L843" s="1" t="str">
        <f>IF(I843&gt;0,IF(TODAY()-K843&lt;'Анализ'!$D$4+1,1,0),"")</f>
        <v/>
      </c>
    </row>
    <row r="844" ht="15.75" customHeight="1">
      <c r="B844" s="1" t="str">
        <f t="shared" si="1"/>
        <v/>
      </c>
      <c r="F844" s="1"/>
      <c r="G844" s="17"/>
      <c r="I844" s="1" t="str">
        <f>'Исходник'!T470</f>
        <v/>
      </c>
      <c r="J844" s="1" t="str">
        <f t="array" ref="J844">IFERROR(INDEX('Исходник'!$1:$626,MATCH($I844,'Исходник'!$T:$T,0),MATCH(J$1,'Исходник'!$1:$1,0)))</f>
        <v/>
      </c>
      <c r="K844" s="7" t="str">
        <f t="shared" si="3"/>
        <v/>
      </c>
      <c r="L844" s="1" t="str">
        <f>IF(I844&gt;0,IF(TODAY()-K844&lt;'Анализ'!$D$4+1,1,0),"")</f>
        <v/>
      </c>
    </row>
    <row r="845" ht="15.75" customHeight="1">
      <c r="B845" s="1" t="str">
        <f t="shared" si="1"/>
        <v/>
      </c>
      <c r="F845" s="1"/>
      <c r="G845" s="17"/>
      <c r="I845" s="1" t="str">
        <f>'Исходник'!T471</f>
        <v/>
      </c>
      <c r="J845" s="1" t="str">
        <f t="array" ref="J845">IFERROR(INDEX('Исходник'!$1:$626,MATCH($I845,'Исходник'!$T:$T,0),MATCH(J$1,'Исходник'!$1:$1,0)))</f>
        <v/>
      </c>
      <c r="K845" s="7" t="str">
        <f t="shared" si="3"/>
        <v/>
      </c>
      <c r="L845" s="1" t="str">
        <f>IF(I845&gt;0,IF(TODAY()-K845&lt;'Анализ'!$D$4+1,1,0),"")</f>
        <v/>
      </c>
    </row>
    <row r="846" ht="15.75" customHeight="1">
      <c r="B846" s="1" t="str">
        <f t="shared" si="1"/>
        <v/>
      </c>
      <c r="F846" s="1"/>
      <c r="G846" s="17"/>
      <c r="I846" s="1" t="str">
        <f>'Исходник'!T472</f>
        <v/>
      </c>
      <c r="J846" s="1" t="str">
        <f t="array" ref="J846">IFERROR(INDEX('Исходник'!$1:$626,MATCH($I846,'Исходник'!$T:$T,0),MATCH(J$1,'Исходник'!$1:$1,0)))</f>
        <v/>
      </c>
      <c r="K846" s="7" t="str">
        <f t="shared" si="3"/>
        <v/>
      </c>
      <c r="L846" s="1" t="str">
        <f>IF(I846&gt;0,IF(TODAY()-K846&lt;'Анализ'!$D$4+1,1,0),"")</f>
        <v/>
      </c>
    </row>
    <row r="847" ht="15.75" customHeight="1">
      <c r="B847" s="1" t="str">
        <f t="shared" si="1"/>
        <v/>
      </c>
      <c r="F847" s="1"/>
      <c r="G847" s="17"/>
      <c r="I847" s="1" t="str">
        <f>'Исходник'!T473</f>
        <v/>
      </c>
      <c r="J847" s="1" t="str">
        <f t="array" ref="J847">IFERROR(INDEX('Исходник'!$1:$626,MATCH($I847,'Исходник'!$T:$T,0),MATCH(J$1,'Исходник'!$1:$1,0)))</f>
        <v/>
      </c>
      <c r="K847" s="7" t="str">
        <f t="shared" si="3"/>
        <v/>
      </c>
      <c r="L847" s="1" t="str">
        <f>IF(I847&gt;0,IF(TODAY()-K847&lt;'Анализ'!$D$4+1,1,0),"")</f>
        <v/>
      </c>
    </row>
    <row r="848" ht="15.75" customHeight="1">
      <c r="B848" s="1" t="str">
        <f t="shared" si="1"/>
        <v/>
      </c>
      <c r="F848" s="1"/>
      <c r="G848" s="17"/>
      <c r="I848" s="1" t="str">
        <f>'Исходник'!T474</f>
        <v/>
      </c>
      <c r="J848" s="1" t="str">
        <f t="array" ref="J848">IFERROR(INDEX('Исходник'!$1:$626,MATCH($I848,'Исходник'!$T:$T,0),MATCH(J$1,'Исходник'!$1:$1,0)))</f>
        <v/>
      </c>
      <c r="K848" s="7" t="str">
        <f t="shared" si="3"/>
        <v/>
      </c>
      <c r="L848" s="1" t="str">
        <f>IF(I848&gt;0,IF(TODAY()-K848&lt;'Анализ'!$D$4+1,1,0),"")</f>
        <v/>
      </c>
    </row>
    <row r="849" ht="15.75" customHeight="1">
      <c r="B849" s="1" t="str">
        <f t="shared" si="1"/>
        <v/>
      </c>
      <c r="F849" s="1"/>
      <c r="G849" s="17"/>
      <c r="I849" s="1" t="str">
        <f>'Исходник'!T475</f>
        <v/>
      </c>
      <c r="J849" s="1" t="str">
        <f t="array" ref="J849">IFERROR(INDEX('Исходник'!$1:$626,MATCH($I849,'Исходник'!$T:$T,0),MATCH(J$1,'Исходник'!$1:$1,0)))</f>
        <v/>
      </c>
      <c r="K849" s="7" t="str">
        <f t="shared" si="3"/>
        <v/>
      </c>
      <c r="L849" s="1" t="str">
        <f>IF(I849&gt;0,IF(TODAY()-K849&lt;'Анализ'!$D$4+1,1,0),"")</f>
        <v/>
      </c>
    </row>
    <row r="850" ht="15.75" customHeight="1">
      <c r="B850" s="1" t="str">
        <f t="shared" si="1"/>
        <v/>
      </c>
      <c r="F850" s="1"/>
      <c r="G850" s="17"/>
      <c r="I850" s="1" t="str">
        <f>'Исходник'!T476</f>
        <v/>
      </c>
      <c r="J850" s="1" t="str">
        <f t="array" ref="J850">IFERROR(INDEX('Исходник'!$1:$626,MATCH($I850,'Исходник'!$T:$T,0),MATCH(J$1,'Исходник'!$1:$1,0)))</f>
        <v/>
      </c>
      <c r="K850" s="7" t="str">
        <f t="shared" si="3"/>
        <v/>
      </c>
      <c r="L850" s="1" t="str">
        <f>IF(I850&gt;0,IF(TODAY()-K850&lt;'Анализ'!$D$4+1,1,0),"")</f>
        <v/>
      </c>
    </row>
    <row r="851" ht="15.75" customHeight="1">
      <c r="B851" s="1" t="str">
        <f t="shared" si="1"/>
        <v/>
      </c>
      <c r="F851" s="1"/>
      <c r="G851" s="17"/>
      <c r="I851" s="1" t="str">
        <f>'Исходник'!T477</f>
        <v/>
      </c>
      <c r="J851" s="1" t="str">
        <f t="array" ref="J851">IFERROR(INDEX('Исходник'!$1:$626,MATCH($I851,'Исходник'!$T:$T,0),MATCH(J$1,'Исходник'!$1:$1,0)))</f>
        <v/>
      </c>
      <c r="K851" s="7" t="str">
        <f t="shared" si="3"/>
        <v/>
      </c>
      <c r="L851" s="1" t="str">
        <f>IF(I851&gt;0,IF(TODAY()-K851&lt;'Анализ'!$D$4+1,1,0),"")</f>
        <v/>
      </c>
    </row>
    <row r="852" ht="15.75" customHeight="1">
      <c r="B852" s="1" t="str">
        <f t="shared" si="1"/>
        <v/>
      </c>
      <c r="F852" s="1"/>
      <c r="G852" s="17"/>
      <c r="I852" s="1" t="str">
        <f>'Исходник'!T478</f>
        <v/>
      </c>
      <c r="J852" s="1" t="str">
        <f t="array" ref="J852">IFERROR(INDEX('Исходник'!$1:$626,MATCH($I852,'Исходник'!$T:$T,0),MATCH(J$1,'Исходник'!$1:$1,0)))</f>
        <v/>
      </c>
      <c r="K852" s="7" t="str">
        <f t="shared" si="3"/>
        <v/>
      </c>
      <c r="L852" s="1" t="str">
        <f>IF(I852&gt;0,IF(TODAY()-K852&lt;'Анализ'!$D$4+1,1,0),"")</f>
        <v/>
      </c>
    </row>
    <row r="853" ht="15.75" customHeight="1">
      <c r="B853" s="1" t="str">
        <f t="shared" si="1"/>
        <v/>
      </c>
      <c r="F853" s="1"/>
      <c r="G853" s="17"/>
      <c r="I853" s="1" t="str">
        <f>'Исходник'!T479</f>
        <v/>
      </c>
      <c r="J853" s="1" t="str">
        <f t="array" ref="J853">IFERROR(INDEX('Исходник'!$1:$626,MATCH($I853,'Исходник'!$T:$T,0),MATCH(J$1,'Исходник'!$1:$1,0)))</f>
        <v/>
      </c>
      <c r="K853" s="7" t="str">
        <f t="shared" si="3"/>
        <v/>
      </c>
      <c r="L853" s="1" t="str">
        <f>IF(I853&gt;0,IF(TODAY()-K853&lt;'Анализ'!$D$4+1,1,0),"")</f>
        <v/>
      </c>
    </row>
    <row r="854" ht="15.75" customHeight="1">
      <c r="B854" s="1" t="str">
        <f t="shared" si="1"/>
        <v/>
      </c>
      <c r="F854" s="1"/>
      <c r="G854" s="17"/>
      <c r="I854" s="1" t="str">
        <f>'Исходник'!T480</f>
        <v/>
      </c>
      <c r="J854" s="1" t="str">
        <f t="array" ref="J854">IFERROR(INDEX('Исходник'!$1:$626,MATCH($I854,'Исходник'!$T:$T,0),MATCH(J$1,'Исходник'!$1:$1,0)))</f>
        <v/>
      </c>
      <c r="K854" s="7" t="str">
        <f t="shared" si="3"/>
        <v/>
      </c>
      <c r="L854" s="1" t="str">
        <f>IF(I854&gt;0,IF(TODAY()-K854&lt;'Анализ'!$D$4+1,1,0),"")</f>
        <v/>
      </c>
    </row>
    <row r="855" ht="15.75" customHeight="1">
      <c r="B855" s="1" t="str">
        <f t="shared" si="1"/>
        <v/>
      </c>
      <c r="F855" s="1"/>
      <c r="G855" s="17"/>
      <c r="I855" s="1" t="str">
        <f>'Исходник'!T481</f>
        <v/>
      </c>
      <c r="J855" s="1" t="str">
        <f t="array" ref="J855">IFERROR(INDEX('Исходник'!$1:$626,MATCH($I855,'Исходник'!$T:$T,0),MATCH(J$1,'Исходник'!$1:$1,0)))</f>
        <v/>
      </c>
      <c r="K855" s="7" t="str">
        <f t="shared" si="3"/>
        <v/>
      </c>
      <c r="L855" s="1" t="str">
        <f>IF(I855&gt;0,IF(TODAY()-K855&lt;'Анализ'!$D$4+1,1,0),"")</f>
        <v/>
      </c>
    </row>
    <row r="856" ht="15.75" customHeight="1">
      <c r="B856" s="1" t="str">
        <f t="shared" si="1"/>
        <v/>
      </c>
      <c r="F856" s="1"/>
      <c r="G856" s="17"/>
      <c r="I856" s="1" t="str">
        <f>'Исходник'!T482</f>
        <v/>
      </c>
      <c r="J856" s="1" t="str">
        <f t="array" ref="J856">IFERROR(INDEX('Исходник'!$1:$626,MATCH($I856,'Исходник'!$T:$T,0),MATCH(J$1,'Исходник'!$1:$1,0)))</f>
        <v/>
      </c>
      <c r="K856" s="7" t="str">
        <f t="shared" si="3"/>
        <v/>
      </c>
      <c r="L856" s="1" t="str">
        <f>IF(I856&gt;0,IF(TODAY()-K856&lt;'Анализ'!$D$4+1,1,0),"")</f>
        <v/>
      </c>
    </row>
    <row r="857" ht="15.75" customHeight="1">
      <c r="B857" s="1" t="str">
        <f t="shared" si="1"/>
        <v/>
      </c>
      <c r="F857" s="1"/>
      <c r="G857" s="17"/>
      <c r="I857" s="1" t="str">
        <f>'Исходник'!T483</f>
        <v/>
      </c>
      <c r="J857" s="1" t="str">
        <f t="array" ref="J857">IFERROR(INDEX('Исходник'!$1:$626,MATCH($I857,'Исходник'!$T:$T,0),MATCH(J$1,'Исходник'!$1:$1,0)))</f>
        <v/>
      </c>
      <c r="K857" s="7" t="str">
        <f t="shared" si="3"/>
        <v/>
      </c>
      <c r="L857" s="1" t="str">
        <f>IF(I857&gt;0,IF(TODAY()-K857&lt;'Анализ'!$D$4+1,1,0),"")</f>
        <v/>
      </c>
    </row>
    <row r="858" ht="15.75" customHeight="1">
      <c r="B858" s="1" t="str">
        <f t="shared" si="1"/>
        <v/>
      </c>
      <c r="F858" s="1"/>
      <c r="G858" s="17"/>
      <c r="I858" s="1" t="str">
        <f>'Исходник'!T484</f>
        <v/>
      </c>
      <c r="J858" s="1" t="str">
        <f t="array" ref="J858">IFERROR(INDEX('Исходник'!$1:$626,MATCH($I858,'Исходник'!$T:$T,0),MATCH(J$1,'Исходник'!$1:$1,0)))</f>
        <v/>
      </c>
      <c r="K858" s="7" t="str">
        <f t="shared" si="3"/>
        <v/>
      </c>
      <c r="L858" s="1" t="str">
        <f>IF(I858&gt;0,IF(TODAY()-K858&lt;'Анализ'!$D$4+1,1,0),"")</f>
        <v/>
      </c>
    </row>
    <row r="859" ht="15.75" customHeight="1">
      <c r="B859" s="1" t="str">
        <f t="shared" si="1"/>
        <v/>
      </c>
      <c r="F859" s="1"/>
      <c r="G859" s="17"/>
      <c r="I859" s="1" t="str">
        <f>'Исходник'!T485</f>
        <v/>
      </c>
      <c r="J859" s="1" t="str">
        <f t="array" ref="J859">IFERROR(INDEX('Исходник'!$1:$626,MATCH($I859,'Исходник'!$T:$T,0),MATCH(J$1,'Исходник'!$1:$1,0)))</f>
        <v/>
      </c>
      <c r="K859" s="7" t="str">
        <f t="shared" si="3"/>
        <v/>
      </c>
      <c r="L859" s="1" t="str">
        <f>IF(I859&gt;0,IF(TODAY()-K859&lt;'Анализ'!$D$4+1,1,0),"")</f>
        <v/>
      </c>
    </row>
    <row r="860" ht="15.75" customHeight="1">
      <c r="B860" s="1" t="str">
        <f t="shared" si="1"/>
        <v/>
      </c>
      <c r="F860" s="1"/>
      <c r="G860" s="17"/>
      <c r="I860" s="1" t="str">
        <f>'Исходник'!T486</f>
        <v/>
      </c>
      <c r="J860" s="1" t="str">
        <f t="array" ref="J860">IFERROR(INDEX('Исходник'!$1:$626,MATCH($I860,'Исходник'!$T:$T,0),MATCH(J$1,'Исходник'!$1:$1,0)))</f>
        <v/>
      </c>
      <c r="K860" s="7" t="str">
        <f t="shared" si="3"/>
        <v/>
      </c>
      <c r="L860" s="1" t="str">
        <f>IF(I860&gt;0,IF(TODAY()-K860&lt;'Анализ'!$D$4+1,1,0),"")</f>
        <v/>
      </c>
    </row>
    <row r="861" ht="15.75" customHeight="1">
      <c r="B861" s="1" t="str">
        <f t="shared" si="1"/>
        <v/>
      </c>
      <c r="F861" s="1"/>
      <c r="G861" s="17"/>
      <c r="I861" s="1" t="str">
        <f>'Исходник'!T487</f>
        <v/>
      </c>
      <c r="J861" s="1" t="str">
        <f t="array" ref="J861">IFERROR(INDEX('Исходник'!$1:$626,MATCH($I861,'Исходник'!$T:$T,0),MATCH(J$1,'Исходник'!$1:$1,0)))</f>
        <v/>
      </c>
      <c r="K861" s="7" t="str">
        <f t="shared" si="3"/>
        <v/>
      </c>
      <c r="L861" s="1" t="str">
        <f>IF(I861&gt;0,IF(TODAY()-K861&lt;'Анализ'!$D$4+1,1,0),"")</f>
        <v/>
      </c>
    </row>
    <row r="862" ht="15.75" customHeight="1">
      <c r="B862" s="1" t="str">
        <f t="shared" si="1"/>
        <v/>
      </c>
      <c r="F862" s="1"/>
      <c r="G862" s="17"/>
      <c r="I862" s="1" t="str">
        <f>'Исходник'!T488</f>
        <v/>
      </c>
      <c r="J862" s="1" t="str">
        <f t="array" ref="J862">IFERROR(INDEX('Исходник'!$1:$626,MATCH($I862,'Исходник'!$T:$T,0),MATCH(J$1,'Исходник'!$1:$1,0)))</f>
        <v/>
      </c>
      <c r="K862" s="7" t="str">
        <f t="shared" si="3"/>
        <v/>
      </c>
      <c r="L862" s="1" t="str">
        <f>IF(I862&gt;0,IF(TODAY()-K862&lt;'Анализ'!$D$4+1,1,0),"")</f>
        <v/>
      </c>
    </row>
    <row r="863" ht="15.75" customHeight="1">
      <c r="B863" s="1" t="str">
        <f t="shared" si="1"/>
        <v/>
      </c>
      <c r="F863" s="1"/>
      <c r="G863" s="17"/>
      <c r="I863" s="1" t="str">
        <f>'Исходник'!T489</f>
        <v/>
      </c>
      <c r="J863" s="1" t="str">
        <f t="array" ref="J863">IFERROR(INDEX('Исходник'!$1:$626,MATCH($I863,'Исходник'!$T:$T,0),MATCH(J$1,'Исходник'!$1:$1,0)))</f>
        <v/>
      </c>
      <c r="K863" s="7" t="str">
        <f t="shared" si="3"/>
        <v/>
      </c>
      <c r="L863" s="1" t="str">
        <f>IF(I863&gt;0,IF(TODAY()-K863&lt;'Анализ'!$D$4+1,1,0),"")</f>
        <v/>
      </c>
    </row>
    <row r="864" ht="15.75" customHeight="1">
      <c r="B864" s="1" t="str">
        <f t="shared" si="1"/>
        <v/>
      </c>
      <c r="F864" s="1"/>
      <c r="G864" s="17"/>
      <c r="I864" s="1" t="str">
        <f>'Исходник'!T490</f>
        <v/>
      </c>
      <c r="J864" s="1" t="str">
        <f t="array" ref="J864">IFERROR(INDEX('Исходник'!$1:$626,MATCH($I864,'Исходник'!$T:$T,0),MATCH(J$1,'Исходник'!$1:$1,0)))</f>
        <v/>
      </c>
      <c r="K864" s="7" t="str">
        <f t="shared" si="3"/>
        <v/>
      </c>
      <c r="L864" s="1" t="str">
        <f>IF(I864&gt;0,IF(TODAY()-K864&lt;'Анализ'!$D$4+1,1,0),"")</f>
        <v/>
      </c>
    </row>
    <row r="865" ht="15.75" customHeight="1">
      <c r="B865" s="1" t="str">
        <f t="shared" si="1"/>
        <v/>
      </c>
      <c r="F865" s="1"/>
      <c r="G865" s="17"/>
      <c r="I865" s="1" t="str">
        <f>'Исходник'!T491</f>
        <v/>
      </c>
      <c r="J865" s="1" t="str">
        <f t="array" ref="J865">IFERROR(INDEX('Исходник'!$1:$626,MATCH($I865,'Исходник'!$T:$T,0),MATCH(J$1,'Исходник'!$1:$1,0)))</f>
        <v/>
      </c>
      <c r="K865" s="7" t="str">
        <f t="shared" si="3"/>
        <v/>
      </c>
      <c r="L865" s="1" t="str">
        <f>IF(I865&gt;0,IF(TODAY()-K865&lt;'Анализ'!$D$4+1,1,0),"")</f>
        <v/>
      </c>
    </row>
    <row r="866" ht="15.75" customHeight="1">
      <c r="B866" s="1" t="str">
        <f t="shared" si="1"/>
        <v/>
      </c>
      <c r="F866" s="1"/>
      <c r="G866" s="17"/>
      <c r="I866" s="1" t="str">
        <f>'Исходник'!T492</f>
        <v/>
      </c>
      <c r="J866" s="1" t="str">
        <f t="array" ref="J866">IFERROR(INDEX('Исходник'!$1:$626,MATCH($I866,'Исходник'!$T:$T,0),MATCH(J$1,'Исходник'!$1:$1,0)))</f>
        <v/>
      </c>
      <c r="K866" s="7" t="str">
        <f t="shared" si="3"/>
        <v/>
      </c>
      <c r="L866" s="1" t="str">
        <f>IF(I866&gt;0,IF(TODAY()-K866&lt;'Анализ'!$D$4+1,1,0),"")</f>
        <v/>
      </c>
    </row>
    <row r="867" ht="15.75" customHeight="1">
      <c r="B867" s="1" t="str">
        <f t="shared" si="1"/>
        <v/>
      </c>
      <c r="F867" s="1"/>
      <c r="G867" s="17"/>
      <c r="I867" s="1" t="str">
        <f>'Исходник'!T493</f>
        <v/>
      </c>
      <c r="J867" s="1" t="str">
        <f t="array" ref="J867">IFERROR(INDEX('Исходник'!$1:$626,MATCH($I867,'Исходник'!$T:$T,0),MATCH(J$1,'Исходник'!$1:$1,0)))</f>
        <v/>
      </c>
      <c r="K867" s="7" t="str">
        <f t="shared" si="3"/>
        <v/>
      </c>
      <c r="L867" s="1" t="str">
        <f>IF(I867&gt;0,IF(TODAY()-K867&lt;'Анализ'!$D$4+1,1,0),"")</f>
        <v/>
      </c>
    </row>
    <row r="868" ht="15.75" customHeight="1">
      <c r="B868" s="1" t="str">
        <f t="shared" si="1"/>
        <v/>
      </c>
      <c r="F868" s="1"/>
      <c r="G868" s="17"/>
      <c r="I868" s="1" t="str">
        <f>'Исходник'!T494</f>
        <v/>
      </c>
      <c r="J868" s="1" t="str">
        <f t="array" ref="J868">IFERROR(INDEX('Исходник'!$1:$626,MATCH($I868,'Исходник'!$T:$T,0),MATCH(J$1,'Исходник'!$1:$1,0)))</f>
        <v/>
      </c>
      <c r="K868" s="7" t="str">
        <f t="shared" si="3"/>
        <v/>
      </c>
      <c r="L868" s="1" t="str">
        <f>IF(I868&gt;0,IF(TODAY()-K868&lt;'Анализ'!$D$4+1,1,0),"")</f>
        <v/>
      </c>
    </row>
    <row r="869" ht="15.75" customHeight="1">
      <c r="B869" s="1" t="str">
        <f t="shared" si="1"/>
        <v/>
      </c>
      <c r="F869" s="1"/>
      <c r="G869" s="17"/>
      <c r="I869" s="1" t="str">
        <f>'Исходник'!T495</f>
        <v/>
      </c>
      <c r="J869" s="1" t="str">
        <f t="array" ref="J869">IFERROR(INDEX('Исходник'!$1:$626,MATCH($I869,'Исходник'!$T:$T,0),MATCH(J$1,'Исходник'!$1:$1,0)))</f>
        <v/>
      </c>
      <c r="K869" s="7" t="str">
        <f t="shared" si="3"/>
        <v/>
      </c>
      <c r="L869" s="1" t="str">
        <f>IF(I869&gt;0,IF(TODAY()-K869&lt;'Анализ'!$D$4+1,1,0),"")</f>
        <v/>
      </c>
    </row>
    <row r="870" ht="15.75" customHeight="1">
      <c r="B870" s="1" t="str">
        <f t="shared" si="1"/>
        <v/>
      </c>
      <c r="F870" s="1"/>
      <c r="G870" s="17"/>
      <c r="I870" s="1" t="str">
        <f>'Исходник'!T496</f>
        <v/>
      </c>
      <c r="J870" s="1" t="str">
        <f t="array" ref="J870">IFERROR(INDEX('Исходник'!$1:$626,MATCH($I870,'Исходник'!$T:$T,0),MATCH(J$1,'Исходник'!$1:$1,0)))</f>
        <v/>
      </c>
      <c r="K870" s="7" t="str">
        <f t="shared" si="3"/>
        <v/>
      </c>
      <c r="L870" s="1" t="str">
        <f>IF(I870&gt;0,IF(TODAY()-K870&lt;'Анализ'!$D$4+1,1,0),"")</f>
        <v/>
      </c>
    </row>
    <row r="871" ht="15.75" customHeight="1">
      <c r="B871" s="1" t="str">
        <f t="shared" si="1"/>
        <v/>
      </c>
      <c r="F871" s="1"/>
      <c r="G871" s="17"/>
      <c r="I871" s="1" t="str">
        <f>'Исходник'!T497</f>
        <v/>
      </c>
      <c r="J871" s="1" t="str">
        <f t="array" ref="J871">IFERROR(INDEX('Исходник'!$1:$626,MATCH($I871,'Исходник'!$T:$T,0),MATCH(J$1,'Исходник'!$1:$1,0)))</f>
        <v/>
      </c>
      <c r="K871" s="7" t="str">
        <f t="shared" si="3"/>
        <v/>
      </c>
      <c r="L871" s="1" t="str">
        <f>IF(I871&gt;0,IF(TODAY()-K871&lt;'Анализ'!$D$4+1,1,0),"")</f>
        <v/>
      </c>
    </row>
    <row r="872" ht="15.75" customHeight="1">
      <c r="B872" s="1" t="str">
        <f t="shared" si="1"/>
        <v/>
      </c>
      <c r="F872" s="1"/>
      <c r="G872" s="17"/>
      <c r="I872" s="1" t="str">
        <f>'Исходник'!T498</f>
        <v/>
      </c>
      <c r="J872" s="1" t="str">
        <f t="array" ref="J872">IFERROR(INDEX('Исходник'!$1:$626,MATCH($I872,'Исходник'!$T:$T,0),MATCH(J$1,'Исходник'!$1:$1,0)))</f>
        <v/>
      </c>
      <c r="K872" s="7" t="str">
        <f t="shared" si="3"/>
        <v/>
      </c>
      <c r="L872" s="1" t="str">
        <f>IF(I872&gt;0,IF(TODAY()-K872&lt;'Анализ'!$D$4+1,1,0),"")</f>
        <v/>
      </c>
    </row>
    <row r="873" ht="15.75" customHeight="1">
      <c r="B873" s="1" t="str">
        <f t="shared" si="1"/>
        <v/>
      </c>
      <c r="F873" s="1"/>
      <c r="G873" s="17"/>
      <c r="I873" s="1" t="str">
        <f>'Исходник'!T499</f>
        <v/>
      </c>
      <c r="J873" s="1" t="str">
        <f t="array" ref="J873">IFERROR(INDEX('Исходник'!$1:$626,MATCH($I873,'Исходник'!$T:$T,0),MATCH(J$1,'Исходник'!$1:$1,0)))</f>
        <v/>
      </c>
      <c r="K873" s="7" t="str">
        <f t="shared" si="3"/>
        <v/>
      </c>
      <c r="L873" s="1" t="str">
        <f>IF(I873&gt;0,IF(TODAY()-K873&lt;'Анализ'!$D$4+1,1,0),"")</f>
        <v/>
      </c>
    </row>
    <row r="874" ht="15.75" customHeight="1">
      <c r="B874" s="1" t="str">
        <f t="shared" si="1"/>
        <v/>
      </c>
      <c r="F874" s="1"/>
      <c r="G874" s="17"/>
      <c r="I874" s="1" t="str">
        <f>'Исходник'!T500</f>
        <v/>
      </c>
      <c r="J874" s="1" t="str">
        <f t="array" ref="J874">IFERROR(INDEX('Исходник'!$1:$626,MATCH($I874,'Исходник'!$T:$T,0),MATCH(J$1,'Исходник'!$1:$1,0)))</f>
        <v/>
      </c>
      <c r="K874" s="7" t="str">
        <f t="shared" si="3"/>
        <v/>
      </c>
      <c r="L874" s="1" t="str">
        <f>IF(I874&gt;0,IF(TODAY()-K874&lt;'Анализ'!$D$4+1,1,0),"")</f>
        <v/>
      </c>
    </row>
    <row r="875" ht="15.75" customHeight="1">
      <c r="B875" s="1" t="str">
        <f t="shared" si="1"/>
        <v/>
      </c>
      <c r="F875" s="1"/>
      <c r="G875" s="17"/>
      <c r="I875" s="1" t="str">
        <f>'Исходник'!T501</f>
        <v/>
      </c>
      <c r="J875" s="1" t="str">
        <f t="array" ref="J875">IFERROR(INDEX('Исходник'!$1:$626,MATCH($I875,'Исходник'!$T:$T,0),MATCH(J$1,'Исходник'!$1:$1,0)))</f>
        <v/>
      </c>
      <c r="K875" s="7" t="str">
        <f t="shared" si="3"/>
        <v/>
      </c>
      <c r="L875" s="1" t="str">
        <f>IF(I875&gt;0,IF(TODAY()-K875&lt;'Анализ'!$D$4+1,1,0),"")</f>
        <v/>
      </c>
    </row>
    <row r="876" ht="15.75" customHeight="1">
      <c r="B876" s="1" t="str">
        <f t="shared" si="1"/>
        <v/>
      </c>
      <c r="F876" s="1"/>
      <c r="G876" s="17"/>
      <c r="I876" s="1" t="str">
        <f>'Исходник'!T502</f>
        <v/>
      </c>
      <c r="J876" s="1" t="str">
        <f t="array" ref="J876">IFERROR(INDEX('Исходник'!$1:$626,MATCH($I876,'Исходник'!$T:$T,0),MATCH(J$1,'Исходник'!$1:$1,0)))</f>
        <v/>
      </c>
      <c r="K876" s="7" t="str">
        <f t="shared" si="3"/>
        <v/>
      </c>
      <c r="L876" s="1" t="str">
        <f>IF(I876&gt;0,IF(TODAY()-K876&lt;'Анализ'!$D$4+1,1,0),"")</f>
        <v/>
      </c>
    </row>
    <row r="877" ht="15.75" customHeight="1">
      <c r="B877" s="1" t="str">
        <f t="shared" si="1"/>
        <v/>
      </c>
      <c r="F877" s="1"/>
      <c r="G877" s="17"/>
      <c r="I877" s="1" t="str">
        <f>'Исходник'!T503</f>
        <v/>
      </c>
      <c r="J877" s="1" t="str">
        <f t="array" ref="J877">IFERROR(INDEX('Исходник'!$1:$626,MATCH($I877,'Исходник'!$T:$T,0),MATCH(J$1,'Исходник'!$1:$1,0)))</f>
        <v/>
      </c>
      <c r="K877" s="7" t="str">
        <f t="shared" si="3"/>
        <v/>
      </c>
      <c r="L877" s="1" t="str">
        <f>IF(I877&gt;0,IF(TODAY()-K877&lt;'Анализ'!$D$4+1,1,0),"")</f>
        <v/>
      </c>
    </row>
    <row r="878" ht="15.75" customHeight="1">
      <c r="B878" s="1" t="str">
        <f t="shared" si="1"/>
        <v/>
      </c>
      <c r="F878" s="1"/>
      <c r="G878" s="17"/>
      <c r="I878" s="1" t="str">
        <f>'Исходник'!T504</f>
        <v/>
      </c>
      <c r="J878" s="1" t="str">
        <f t="array" ref="J878">IFERROR(INDEX('Исходник'!$1:$626,MATCH($I878,'Исходник'!$T:$T,0),MATCH(J$1,'Исходник'!$1:$1,0)))</f>
        <v/>
      </c>
      <c r="K878" s="7" t="str">
        <f t="shared" si="3"/>
        <v/>
      </c>
      <c r="L878" s="1" t="str">
        <f>IF(I878&gt;0,IF(TODAY()-K878&lt;'Анализ'!$D$4+1,1,0),"")</f>
        <v/>
      </c>
    </row>
    <row r="879" ht="15.75" customHeight="1">
      <c r="B879" s="1" t="str">
        <f t="shared" si="1"/>
        <v/>
      </c>
      <c r="F879" s="1"/>
      <c r="G879" s="17"/>
      <c r="I879" s="1" t="str">
        <f>'Исходник'!T505</f>
        <v/>
      </c>
      <c r="J879" s="1" t="str">
        <f t="array" ref="J879">IFERROR(INDEX('Исходник'!$1:$626,MATCH($I879,'Исходник'!$T:$T,0),MATCH(J$1,'Исходник'!$1:$1,0)))</f>
        <v/>
      </c>
      <c r="K879" s="7" t="str">
        <f t="shared" si="3"/>
        <v/>
      </c>
      <c r="L879" s="1" t="str">
        <f>IF(I879&gt;0,IF(TODAY()-K879&lt;'Анализ'!$D$4+1,1,0),"")</f>
        <v/>
      </c>
    </row>
    <row r="880" ht="15.75" customHeight="1">
      <c r="B880" s="1" t="str">
        <f t="shared" si="1"/>
        <v/>
      </c>
      <c r="F880" s="1"/>
      <c r="G880" s="17"/>
      <c r="I880" s="1" t="str">
        <f>'Исходник'!T506</f>
        <v/>
      </c>
      <c r="J880" s="1" t="str">
        <f t="array" ref="J880">IFERROR(INDEX('Исходник'!$1:$626,MATCH($I880,'Исходник'!$T:$T,0),MATCH(J$1,'Исходник'!$1:$1,0)))</f>
        <v/>
      </c>
      <c r="K880" s="7" t="str">
        <f t="shared" si="3"/>
        <v/>
      </c>
      <c r="L880" s="1" t="str">
        <f>IF(I880&gt;0,IF(TODAY()-K880&lt;'Анализ'!$D$4+1,1,0),"")</f>
        <v/>
      </c>
    </row>
    <row r="881" ht="15.75" customHeight="1">
      <c r="B881" s="1" t="str">
        <f t="shared" si="1"/>
        <v/>
      </c>
      <c r="F881" s="1"/>
      <c r="G881" s="17"/>
      <c r="I881" s="1" t="str">
        <f>'Исходник'!T507</f>
        <v/>
      </c>
      <c r="J881" s="1" t="str">
        <f t="array" ref="J881">IFERROR(INDEX('Исходник'!$1:$626,MATCH($I881,'Исходник'!$T:$T,0),MATCH(J$1,'Исходник'!$1:$1,0)))</f>
        <v/>
      </c>
      <c r="K881" s="7" t="str">
        <f t="shared" si="3"/>
        <v/>
      </c>
      <c r="L881" s="1" t="str">
        <f>IF(I881&gt;0,IF(TODAY()-K881&lt;'Анализ'!$D$4+1,1,0),"")</f>
        <v/>
      </c>
    </row>
    <row r="882" ht="15.75" customHeight="1">
      <c r="B882" s="1" t="str">
        <f t="shared" si="1"/>
        <v/>
      </c>
      <c r="F882" s="1"/>
      <c r="G882" s="17"/>
      <c r="I882" s="1" t="str">
        <f>'Исходник'!T508</f>
        <v/>
      </c>
      <c r="J882" s="1" t="str">
        <f t="array" ref="J882">IFERROR(INDEX('Исходник'!$1:$626,MATCH($I882,'Исходник'!$T:$T,0),MATCH(J$1,'Исходник'!$1:$1,0)))</f>
        <v/>
      </c>
      <c r="K882" s="7" t="str">
        <f t="shared" si="3"/>
        <v/>
      </c>
      <c r="L882" s="1" t="str">
        <f>IF(I882&gt;0,IF(TODAY()-K882&lt;'Анализ'!$D$4+1,1,0),"")</f>
        <v/>
      </c>
    </row>
    <row r="883" ht="15.75" customHeight="1">
      <c r="B883" s="1" t="str">
        <f t="shared" si="1"/>
        <v/>
      </c>
      <c r="F883" s="1"/>
      <c r="G883" s="17"/>
      <c r="I883" s="1" t="str">
        <f>'Исходник'!T509</f>
        <v/>
      </c>
      <c r="J883" s="1" t="str">
        <f t="array" ref="J883">IFERROR(INDEX('Исходник'!$1:$626,MATCH($I883,'Исходник'!$T:$T,0),MATCH(J$1,'Исходник'!$1:$1,0)))</f>
        <v/>
      </c>
      <c r="K883" s="7" t="str">
        <f t="shared" si="3"/>
        <v/>
      </c>
      <c r="L883" s="1" t="str">
        <f>IF(I883&gt;0,IF(TODAY()-K883&lt;'Анализ'!$D$4+1,1,0),"")</f>
        <v/>
      </c>
    </row>
    <row r="884" ht="15.75" customHeight="1">
      <c r="B884" s="1" t="str">
        <f t="shared" si="1"/>
        <v/>
      </c>
      <c r="F884" s="1"/>
      <c r="G884" s="17"/>
      <c r="I884" s="1" t="str">
        <f>'Исходник'!T510</f>
        <v/>
      </c>
      <c r="J884" s="1" t="str">
        <f t="array" ref="J884">IFERROR(INDEX('Исходник'!$1:$626,MATCH($I884,'Исходник'!$T:$T,0),MATCH(J$1,'Исходник'!$1:$1,0)))</f>
        <v/>
      </c>
      <c r="K884" s="7" t="str">
        <f t="shared" si="3"/>
        <v/>
      </c>
      <c r="L884" s="1" t="str">
        <f>IF(I884&gt;0,IF(TODAY()-K884&lt;'Анализ'!$D$4+1,1,0),"")</f>
        <v/>
      </c>
    </row>
    <row r="885" ht="15.75" customHeight="1">
      <c r="B885" s="1" t="str">
        <f t="shared" si="1"/>
        <v/>
      </c>
      <c r="F885" s="1"/>
      <c r="G885" s="17"/>
      <c r="I885" s="1" t="str">
        <f>'Исходник'!T511</f>
        <v/>
      </c>
      <c r="J885" s="1" t="str">
        <f t="array" ref="J885">IFERROR(INDEX('Исходник'!$1:$626,MATCH($I885,'Исходник'!$T:$T,0),MATCH(J$1,'Исходник'!$1:$1,0)))</f>
        <v/>
      </c>
      <c r="K885" s="7" t="str">
        <f t="shared" si="3"/>
        <v/>
      </c>
      <c r="L885" s="1" t="str">
        <f>IF(I885&gt;0,IF(TODAY()-K885&lt;'Анализ'!$D$4+1,1,0),"")</f>
        <v/>
      </c>
    </row>
    <row r="886" ht="15.75" customHeight="1">
      <c r="B886" s="1" t="str">
        <f t="shared" si="1"/>
        <v/>
      </c>
      <c r="F886" s="1"/>
      <c r="G886" s="17"/>
      <c r="I886" s="1" t="str">
        <f>'Исходник'!T512</f>
        <v/>
      </c>
      <c r="J886" s="1" t="str">
        <f t="array" ref="J886">IFERROR(INDEX('Исходник'!$1:$626,MATCH($I886,'Исходник'!$T:$T,0),MATCH(J$1,'Исходник'!$1:$1,0)))</f>
        <v/>
      </c>
      <c r="K886" s="7" t="str">
        <f t="shared" si="3"/>
        <v/>
      </c>
      <c r="L886" s="1" t="str">
        <f>IF(I886&gt;0,IF(TODAY()-K886&lt;'Анализ'!$D$4+1,1,0),"")</f>
        <v/>
      </c>
    </row>
    <row r="887" ht="15.75" customHeight="1">
      <c r="B887" s="1" t="str">
        <f t="shared" si="1"/>
        <v/>
      </c>
      <c r="F887" s="1"/>
      <c r="G887" s="17"/>
      <c r="I887" s="1" t="str">
        <f>'Исходник'!T513</f>
        <v/>
      </c>
      <c r="J887" s="1" t="str">
        <f t="array" ref="J887">IFERROR(INDEX('Исходник'!$1:$626,MATCH($I887,'Исходник'!$T:$T,0),MATCH(J$1,'Исходник'!$1:$1,0)))</f>
        <v/>
      </c>
      <c r="K887" s="7" t="str">
        <f t="shared" si="3"/>
        <v/>
      </c>
      <c r="L887" s="1" t="str">
        <f>IF(I887&gt;0,IF(TODAY()-K887&lt;'Анализ'!$D$4+1,1,0),"")</f>
        <v/>
      </c>
    </row>
    <row r="888" ht="15.75" customHeight="1">
      <c r="B888" s="1" t="str">
        <f t="shared" si="1"/>
        <v/>
      </c>
      <c r="F888" s="1"/>
      <c r="G888" s="17"/>
      <c r="I888" s="1" t="str">
        <f>'Исходник'!T514</f>
        <v/>
      </c>
      <c r="J888" s="1" t="str">
        <f t="array" ref="J888">IFERROR(INDEX('Исходник'!$1:$626,MATCH($I888,'Исходник'!$T:$T,0),MATCH(J$1,'Исходник'!$1:$1,0)))</f>
        <v/>
      </c>
      <c r="K888" s="7" t="str">
        <f t="shared" si="3"/>
        <v/>
      </c>
      <c r="L888" s="1" t="str">
        <f>IF(I888&gt;0,IF(TODAY()-K888&lt;'Анализ'!$D$4+1,1,0),"")</f>
        <v/>
      </c>
    </row>
    <row r="889" ht="15.75" customHeight="1">
      <c r="B889" s="1" t="str">
        <f t="shared" si="1"/>
        <v/>
      </c>
      <c r="F889" s="1"/>
      <c r="G889" s="17"/>
      <c r="I889" s="1" t="str">
        <f>'Исходник'!T515</f>
        <v/>
      </c>
      <c r="J889" s="1" t="str">
        <f t="array" ref="J889">IFERROR(INDEX('Исходник'!$1:$626,MATCH($I889,'Исходник'!$T:$T,0),MATCH(J$1,'Исходник'!$1:$1,0)))</f>
        <v/>
      </c>
      <c r="K889" s="7" t="str">
        <f t="shared" si="3"/>
        <v/>
      </c>
      <c r="L889" s="1" t="str">
        <f>IF(I889&gt;0,IF(TODAY()-K889&lt;'Анализ'!$D$4+1,1,0),"")</f>
        <v/>
      </c>
    </row>
    <row r="890" ht="15.75" customHeight="1">
      <c r="B890" s="1" t="str">
        <f t="shared" si="1"/>
        <v/>
      </c>
      <c r="F890" s="1"/>
      <c r="G890" s="17"/>
      <c r="I890" s="1" t="str">
        <f>'Исходник'!T516</f>
        <v/>
      </c>
      <c r="J890" s="1" t="str">
        <f t="array" ref="J890">IFERROR(INDEX('Исходник'!$1:$626,MATCH($I890,'Исходник'!$T:$T,0),MATCH(J$1,'Исходник'!$1:$1,0)))</f>
        <v/>
      </c>
      <c r="K890" s="7" t="str">
        <f t="shared" si="3"/>
        <v/>
      </c>
      <c r="L890" s="1" t="str">
        <f>IF(I890&gt;0,IF(TODAY()-K890&lt;'Анализ'!$D$4+1,1,0),"")</f>
        <v/>
      </c>
    </row>
    <row r="891" ht="15.75" customHeight="1">
      <c r="B891" s="1" t="str">
        <f t="shared" si="1"/>
        <v/>
      </c>
      <c r="F891" s="1"/>
      <c r="G891" s="17"/>
      <c r="I891" s="1" t="str">
        <f>'Исходник'!T517</f>
        <v/>
      </c>
      <c r="J891" s="1" t="str">
        <f t="array" ref="J891">IFERROR(INDEX('Исходник'!$1:$626,MATCH($I891,'Исходник'!$T:$T,0),MATCH(J$1,'Исходник'!$1:$1,0)))</f>
        <v/>
      </c>
      <c r="K891" s="7" t="str">
        <f t="shared" si="3"/>
        <v/>
      </c>
      <c r="L891" s="1" t="str">
        <f>IF(I891&gt;0,IF(TODAY()-K891&lt;'Анализ'!$D$4+1,1,0),"")</f>
        <v/>
      </c>
    </row>
    <row r="892" ht="15.75" customHeight="1">
      <c r="B892" s="1" t="str">
        <f t="shared" si="1"/>
        <v/>
      </c>
      <c r="F892" s="1"/>
      <c r="G892" s="17"/>
      <c r="I892" s="1" t="str">
        <f>'Исходник'!T518</f>
        <v/>
      </c>
      <c r="J892" s="1" t="str">
        <f t="array" ref="J892">IFERROR(INDEX('Исходник'!$1:$626,MATCH($I892,'Исходник'!$T:$T,0),MATCH(J$1,'Исходник'!$1:$1,0)))</f>
        <v/>
      </c>
      <c r="K892" s="7" t="str">
        <f t="shared" si="3"/>
        <v/>
      </c>
      <c r="L892" s="1" t="str">
        <f>IF(I892&gt;0,IF(TODAY()-K892&lt;'Анализ'!$D$4+1,1,0),"")</f>
        <v/>
      </c>
    </row>
    <row r="893" ht="15.75" customHeight="1">
      <c r="B893" s="1" t="str">
        <f t="shared" si="1"/>
        <v/>
      </c>
      <c r="F893" s="1"/>
      <c r="G893" s="17"/>
      <c r="I893" s="1" t="str">
        <f>'Исходник'!T519</f>
        <v/>
      </c>
      <c r="J893" s="1" t="str">
        <f t="array" ref="J893">IFERROR(INDEX('Исходник'!$1:$626,MATCH($I893,'Исходник'!$T:$T,0),MATCH(J$1,'Исходник'!$1:$1,0)))</f>
        <v/>
      </c>
      <c r="K893" s="7" t="str">
        <f t="shared" si="3"/>
        <v/>
      </c>
      <c r="L893" s="1" t="str">
        <f>IF(I893&gt;0,IF(TODAY()-K893&lt;'Анализ'!$D$4+1,1,0),"")</f>
        <v/>
      </c>
    </row>
    <row r="894" ht="15.75" customHeight="1">
      <c r="B894" s="1" t="str">
        <f t="shared" si="1"/>
        <v/>
      </c>
      <c r="F894" s="1"/>
      <c r="G894" s="17"/>
      <c r="I894" s="1" t="str">
        <f>'Исходник'!T520</f>
        <v/>
      </c>
      <c r="J894" s="1" t="str">
        <f t="array" ref="J894">IFERROR(INDEX('Исходник'!$1:$626,MATCH($I894,'Исходник'!$T:$T,0),MATCH(J$1,'Исходник'!$1:$1,0)))</f>
        <v/>
      </c>
      <c r="K894" s="7" t="str">
        <f t="shared" si="3"/>
        <v/>
      </c>
      <c r="L894" s="1" t="str">
        <f>IF(I894&gt;0,IF(TODAY()-K894&lt;'Анализ'!$D$4+1,1,0),"")</f>
        <v/>
      </c>
    </row>
    <row r="895" ht="15.75" customHeight="1">
      <c r="B895" s="1" t="str">
        <f t="shared" si="1"/>
        <v/>
      </c>
      <c r="F895" s="1"/>
      <c r="G895" s="17"/>
      <c r="I895" s="1" t="str">
        <f>'Исходник'!T521</f>
        <v/>
      </c>
      <c r="J895" s="1" t="str">
        <f t="array" ref="J895">IFERROR(INDEX('Исходник'!$1:$626,MATCH($I895,'Исходник'!$T:$T,0),MATCH(J$1,'Исходник'!$1:$1,0)))</f>
        <v/>
      </c>
      <c r="K895" s="7" t="str">
        <f t="shared" si="3"/>
        <v/>
      </c>
      <c r="L895" s="1" t="str">
        <f>IF(I895&gt;0,IF(TODAY()-K895&lt;'Анализ'!$D$4+1,1,0),"")</f>
        <v/>
      </c>
    </row>
    <row r="896" ht="15.75" customHeight="1">
      <c r="B896" s="1" t="str">
        <f t="shared" si="1"/>
        <v/>
      </c>
      <c r="F896" s="1"/>
      <c r="G896" s="17"/>
      <c r="I896" s="1" t="str">
        <f>'Исходник'!T522</f>
        <v/>
      </c>
      <c r="J896" s="1" t="str">
        <f t="array" ref="J896">IFERROR(INDEX('Исходник'!$1:$626,MATCH($I896,'Исходник'!$T:$T,0),MATCH(J$1,'Исходник'!$1:$1,0)))</f>
        <v/>
      </c>
      <c r="K896" s="7" t="str">
        <f t="shared" si="3"/>
        <v/>
      </c>
      <c r="L896" s="1" t="str">
        <f>IF(I896&gt;0,IF(TODAY()-K896&lt;'Анализ'!$D$4+1,1,0),"")</f>
        <v/>
      </c>
    </row>
    <row r="897" ht="15.75" customHeight="1">
      <c r="B897" s="1" t="str">
        <f t="shared" si="1"/>
        <v/>
      </c>
      <c r="F897" s="1"/>
      <c r="G897" s="17"/>
      <c r="I897" s="1" t="str">
        <f>'Исходник'!T523</f>
        <v/>
      </c>
      <c r="J897" s="1" t="str">
        <f t="array" ref="J897">IFERROR(INDEX('Исходник'!$1:$626,MATCH($I897,'Исходник'!$T:$T,0),MATCH(J$1,'Исходник'!$1:$1,0)))</f>
        <v/>
      </c>
      <c r="K897" s="7" t="str">
        <f t="shared" si="3"/>
        <v/>
      </c>
      <c r="L897" s="1" t="str">
        <f>IF(I897&gt;0,IF(TODAY()-K897&lt;'Анализ'!$D$4+1,1,0),"")</f>
        <v/>
      </c>
    </row>
    <row r="898" ht="15.75" customHeight="1">
      <c r="B898" s="1" t="str">
        <f t="shared" si="1"/>
        <v/>
      </c>
      <c r="F898" s="1"/>
      <c r="G898" s="17"/>
      <c r="I898" s="1" t="str">
        <f>'Исходник'!T524</f>
        <v/>
      </c>
      <c r="J898" s="1" t="str">
        <f t="array" ref="J898">IFERROR(INDEX('Исходник'!$1:$626,MATCH($I898,'Исходник'!$T:$T,0),MATCH(J$1,'Исходник'!$1:$1,0)))</f>
        <v/>
      </c>
      <c r="K898" s="7" t="str">
        <f t="shared" si="3"/>
        <v/>
      </c>
      <c r="L898" s="1" t="str">
        <f>IF(I898&gt;0,IF(TODAY()-K898&lt;'Анализ'!$D$4+1,1,0),"")</f>
        <v/>
      </c>
    </row>
    <row r="899" ht="15.75" customHeight="1">
      <c r="B899" s="1" t="str">
        <f t="shared" si="1"/>
        <v/>
      </c>
      <c r="F899" s="1"/>
      <c r="G899" s="17"/>
      <c r="I899" s="1" t="str">
        <f>'Исходник'!T525</f>
        <v/>
      </c>
      <c r="J899" s="1" t="str">
        <f t="array" ref="J899">IFERROR(INDEX('Исходник'!$1:$626,MATCH($I899,'Исходник'!$T:$T,0),MATCH(J$1,'Исходник'!$1:$1,0)))</f>
        <v/>
      </c>
      <c r="K899" s="7" t="str">
        <f t="shared" si="3"/>
        <v/>
      </c>
      <c r="L899" s="1" t="str">
        <f>IF(I899&gt;0,IF(TODAY()-K899&lt;'Анализ'!$D$4+1,1,0),"")</f>
        <v/>
      </c>
    </row>
    <row r="900" ht="15.75" customHeight="1">
      <c r="B900" s="1" t="str">
        <f t="shared" si="1"/>
        <v/>
      </c>
      <c r="F900" s="1"/>
      <c r="G900" s="17"/>
      <c r="I900" s="1" t="str">
        <f>'Исходник'!T526</f>
        <v/>
      </c>
      <c r="J900" s="1" t="str">
        <f t="array" ref="J900">IFERROR(INDEX('Исходник'!$1:$626,MATCH($I900,'Исходник'!$T:$T,0),MATCH(J$1,'Исходник'!$1:$1,0)))</f>
        <v/>
      </c>
      <c r="K900" s="7" t="str">
        <f t="shared" si="3"/>
        <v/>
      </c>
      <c r="L900" s="1" t="str">
        <f>IF(I900&gt;0,IF(TODAY()-K900&lt;'Анализ'!$D$4+1,1,0),"")</f>
        <v/>
      </c>
    </row>
    <row r="901" ht="15.75" customHeight="1">
      <c r="B901" s="1" t="str">
        <f t="shared" si="1"/>
        <v/>
      </c>
      <c r="F901" s="1"/>
      <c r="G901" s="17"/>
      <c r="I901" s="1" t="str">
        <f>'Исходник'!T527</f>
        <v/>
      </c>
      <c r="J901" s="1" t="str">
        <f t="array" ref="J901">IFERROR(INDEX('Исходник'!$1:$626,MATCH($I901,'Исходник'!$T:$T,0),MATCH(J$1,'Исходник'!$1:$1,0)))</f>
        <v/>
      </c>
      <c r="K901" s="7" t="str">
        <f t="shared" si="3"/>
        <v/>
      </c>
      <c r="L901" s="1" t="str">
        <f>IF(I901&gt;0,IF(TODAY()-K901&lt;'Анализ'!$D$4+1,1,0),"")</f>
        <v/>
      </c>
    </row>
    <row r="902" ht="15.75" customHeight="1">
      <c r="B902" s="1" t="str">
        <f t="shared" si="1"/>
        <v/>
      </c>
      <c r="F902" s="1"/>
      <c r="G902" s="17"/>
      <c r="I902" s="1" t="str">
        <f>'Исходник'!T528</f>
        <v/>
      </c>
      <c r="J902" s="1" t="str">
        <f t="array" ref="J902">IFERROR(INDEX('Исходник'!$1:$626,MATCH($I902,'Исходник'!$T:$T,0),MATCH(J$1,'Исходник'!$1:$1,0)))</f>
        <v/>
      </c>
      <c r="K902" s="7" t="str">
        <f t="shared" si="3"/>
        <v/>
      </c>
      <c r="L902" s="1" t="str">
        <f>IF(I902&gt;0,IF(TODAY()-K902&lt;'Анализ'!$D$4+1,1,0),"")</f>
        <v/>
      </c>
    </row>
    <row r="903" ht="15.75" customHeight="1">
      <c r="B903" s="1" t="str">
        <f t="shared" si="1"/>
        <v/>
      </c>
      <c r="F903" s="1"/>
      <c r="G903" s="17"/>
      <c r="I903" s="1" t="str">
        <f>'Исходник'!T529</f>
        <v/>
      </c>
      <c r="J903" s="1" t="str">
        <f t="array" ref="J903">IFERROR(INDEX('Исходник'!$1:$626,MATCH($I903,'Исходник'!$T:$T,0),MATCH(J$1,'Исходник'!$1:$1,0)))</f>
        <v/>
      </c>
      <c r="K903" s="7" t="str">
        <f t="shared" si="3"/>
        <v/>
      </c>
      <c r="L903" s="1" t="str">
        <f>IF(I903&gt;0,IF(TODAY()-K903&lt;'Анализ'!$D$4+1,1,0),"")</f>
        <v/>
      </c>
    </row>
    <row r="904" ht="15.75" customHeight="1">
      <c r="B904" s="1" t="str">
        <f t="shared" si="1"/>
        <v/>
      </c>
      <c r="F904" s="1"/>
      <c r="G904" s="17"/>
      <c r="I904" s="1" t="str">
        <f>'Исходник'!T530</f>
        <v/>
      </c>
      <c r="J904" s="1" t="str">
        <f t="array" ref="J904">IFERROR(INDEX('Исходник'!$1:$626,MATCH($I904,'Исходник'!$T:$T,0),MATCH(J$1,'Исходник'!$1:$1,0)))</f>
        <v/>
      </c>
      <c r="K904" s="7" t="str">
        <f t="shared" si="3"/>
        <v/>
      </c>
      <c r="L904" s="1" t="str">
        <f>IF(I904&gt;0,IF(TODAY()-K904&lt;'Анализ'!$D$4+1,1,0),"")</f>
        <v/>
      </c>
    </row>
    <row r="905" ht="15.75" customHeight="1">
      <c r="B905" s="1" t="str">
        <f t="shared" si="1"/>
        <v/>
      </c>
      <c r="F905" s="1"/>
      <c r="G905" s="17"/>
      <c r="I905" s="1" t="str">
        <f>'Исходник'!T531</f>
        <v/>
      </c>
      <c r="J905" s="1" t="str">
        <f t="array" ref="J905">IFERROR(INDEX('Исходник'!$1:$626,MATCH($I905,'Исходник'!$T:$T,0),MATCH(J$1,'Исходник'!$1:$1,0)))</f>
        <v/>
      </c>
      <c r="K905" s="7" t="str">
        <f t="shared" si="3"/>
        <v/>
      </c>
      <c r="L905" s="1" t="str">
        <f>IF(I905&gt;0,IF(TODAY()-K905&lt;'Анализ'!$D$4+1,1,0),"")</f>
        <v/>
      </c>
    </row>
    <row r="906" ht="15.75" customHeight="1">
      <c r="B906" s="1" t="str">
        <f t="shared" si="1"/>
        <v/>
      </c>
      <c r="F906" s="1"/>
      <c r="G906" s="17"/>
      <c r="I906" s="1" t="str">
        <f>'Исходник'!T532</f>
        <v/>
      </c>
      <c r="J906" s="1" t="str">
        <f t="array" ref="J906">IFERROR(INDEX('Исходник'!$1:$626,MATCH($I906,'Исходник'!$T:$T,0),MATCH(J$1,'Исходник'!$1:$1,0)))</f>
        <v/>
      </c>
      <c r="K906" s="7" t="str">
        <f t="shared" si="3"/>
        <v/>
      </c>
      <c r="L906" s="1" t="str">
        <f>IF(I906&gt;0,IF(TODAY()-K906&lt;'Анализ'!$D$4+1,1,0),"")</f>
        <v/>
      </c>
    </row>
    <row r="907" ht="15.75" customHeight="1">
      <c r="B907" s="1" t="str">
        <f t="shared" si="1"/>
        <v/>
      </c>
      <c r="F907" s="1"/>
      <c r="G907" s="17"/>
      <c r="I907" s="1" t="str">
        <f>'Исходник'!T533</f>
        <v/>
      </c>
      <c r="J907" s="1" t="str">
        <f t="array" ref="J907">IFERROR(INDEX('Исходник'!$1:$626,MATCH($I907,'Исходник'!$T:$T,0),MATCH(J$1,'Исходник'!$1:$1,0)))</f>
        <v/>
      </c>
      <c r="K907" s="7" t="str">
        <f t="shared" si="3"/>
        <v/>
      </c>
      <c r="L907" s="1" t="str">
        <f>IF(I907&gt;0,IF(TODAY()-K907&lt;'Анализ'!$D$4+1,1,0),"")</f>
        <v/>
      </c>
    </row>
    <row r="908" ht="15.75" customHeight="1">
      <c r="B908" s="1" t="str">
        <f t="shared" si="1"/>
        <v/>
      </c>
      <c r="F908" s="1"/>
      <c r="G908" s="17"/>
      <c r="I908" s="1" t="str">
        <f>'Исходник'!T534</f>
        <v/>
      </c>
      <c r="J908" s="1" t="str">
        <f t="array" ref="J908">IFERROR(INDEX('Исходник'!$1:$626,MATCH($I908,'Исходник'!$T:$T,0),MATCH(J$1,'Исходник'!$1:$1,0)))</f>
        <v/>
      </c>
      <c r="K908" s="7" t="str">
        <f t="shared" si="3"/>
        <v/>
      </c>
      <c r="L908" s="1" t="str">
        <f>IF(I908&gt;0,IF(TODAY()-K908&lt;'Анализ'!$D$4+1,1,0),"")</f>
        <v/>
      </c>
    </row>
    <row r="909" ht="15.75" customHeight="1">
      <c r="B909" s="1" t="str">
        <f t="shared" si="1"/>
        <v/>
      </c>
      <c r="F909" s="1"/>
      <c r="G909" s="17"/>
      <c r="I909" s="1" t="str">
        <f>'Исходник'!T535</f>
        <v/>
      </c>
      <c r="J909" s="1" t="str">
        <f t="array" ref="J909">IFERROR(INDEX('Исходник'!$1:$626,MATCH($I909,'Исходник'!$T:$T,0),MATCH(J$1,'Исходник'!$1:$1,0)))</f>
        <v/>
      </c>
      <c r="K909" s="7" t="str">
        <f t="shared" si="3"/>
        <v/>
      </c>
      <c r="L909" s="1" t="str">
        <f>IF(I909&gt;0,IF(TODAY()-K909&lt;'Анализ'!$D$4+1,1,0),"")</f>
        <v/>
      </c>
    </row>
    <row r="910" ht="15.75" customHeight="1">
      <c r="B910" s="1" t="str">
        <f t="shared" si="1"/>
        <v/>
      </c>
      <c r="F910" s="1"/>
      <c r="G910" s="17"/>
      <c r="I910" s="1" t="str">
        <f>'Исходник'!T536</f>
        <v/>
      </c>
      <c r="J910" s="1" t="str">
        <f t="array" ref="J910">IFERROR(INDEX('Исходник'!$1:$626,MATCH($I910,'Исходник'!$T:$T,0),MATCH(J$1,'Исходник'!$1:$1,0)))</f>
        <v/>
      </c>
      <c r="K910" s="7" t="str">
        <f t="shared" si="3"/>
        <v/>
      </c>
      <c r="L910" s="1" t="str">
        <f>IF(I910&gt;0,IF(TODAY()-K910&lt;'Анализ'!$D$4+1,1,0),"")</f>
        <v/>
      </c>
    </row>
    <row r="911" ht="15.75" customHeight="1">
      <c r="B911" s="1" t="str">
        <f t="shared" si="1"/>
        <v/>
      </c>
      <c r="F911" s="1"/>
      <c r="G911" s="17"/>
      <c r="I911" s="1" t="str">
        <f>'Исходник'!T537</f>
        <v/>
      </c>
      <c r="J911" s="1" t="str">
        <f t="array" ref="J911">IFERROR(INDEX('Исходник'!$1:$626,MATCH($I911,'Исходник'!$T:$T,0),MATCH(J$1,'Исходник'!$1:$1,0)))</f>
        <v/>
      </c>
      <c r="K911" s="7" t="str">
        <f t="shared" si="3"/>
        <v/>
      </c>
      <c r="L911" s="1" t="str">
        <f>IF(I911&gt;0,IF(TODAY()-K911&lt;'Анализ'!$D$4+1,1,0),"")</f>
        <v/>
      </c>
    </row>
    <row r="912" ht="15.75" customHeight="1">
      <c r="B912" s="1" t="str">
        <f t="shared" si="1"/>
        <v/>
      </c>
      <c r="F912" s="1"/>
      <c r="G912" s="17"/>
      <c r="I912" s="1" t="str">
        <f>'Исходник'!T538</f>
        <v/>
      </c>
      <c r="J912" s="1" t="str">
        <f t="array" ref="J912">IFERROR(INDEX('Исходник'!$1:$626,MATCH($I912,'Исходник'!$T:$T,0),MATCH(J$1,'Исходник'!$1:$1,0)))</f>
        <v/>
      </c>
      <c r="K912" s="7" t="str">
        <f t="shared" si="3"/>
        <v/>
      </c>
      <c r="L912" s="1" t="str">
        <f>IF(I912&gt;0,IF(TODAY()-K912&lt;'Анализ'!$D$4+1,1,0),"")</f>
        <v/>
      </c>
    </row>
    <row r="913" ht="15.75" customHeight="1">
      <c r="B913" s="1" t="str">
        <f t="shared" si="1"/>
        <v/>
      </c>
      <c r="F913" s="1"/>
      <c r="G913" s="17"/>
      <c r="I913" s="1" t="str">
        <f>'Исходник'!T539</f>
        <v/>
      </c>
      <c r="J913" s="1" t="str">
        <f t="array" ref="J913">IFERROR(INDEX('Исходник'!$1:$626,MATCH($I913,'Исходник'!$T:$T,0),MATCH(J$1,'Исходник'!$1:$1,0)))</f>
        <v/>
      </c>
      <c r="K913" s="7" t="str">
        <f t="shared" si="3"/>
        <v/>
      </c>
      <c r="L913" s="1" t="str">
        <f>IF(I913&gt;0,IF(TODAY()-K913&lt;'Анализ'!$D$4+1,1,0),"")</f>
        <v/>
      </c>
    </row>
    <row r="914" ht="15.75" customHeight="1">
      <c r="B914" s="1" t="str">
        <f t="shared" si="1"/>
        <v/>
      </c>
      <c r="F914" s="1"/>
      <c r="G914" s="17"/>
      <c r="I914" s="1" t="str">
        <f>'Исходник'!T540</f>
        <v/>
      </c>
      <c r="J914" s="1" t="str">
        <f t="array" ref="J914">IFERROR(INDEX('Исходник'!$1:$626,MATCH($I914,'Исходник'!$T:$T,0),MATCH(J$1,'Исходник'!$1:$1,0)))</f>
        <v/>
      </c>
      <c r="K914" s="7" t="str">
        <f t="shared" si="3"/>
        <v/>
      </c>
      <c r="L914" s="1" t="str">
        <f>IF(I914&gt;0,IF(TODAY()-K914&lt;'Анализ'!$D$4+1,1,0),"")</f>
        <v/>
      </c>
    </row>
    <row r="915" ht="15.75" customHeight="1">
      <c r="B915" s="1" t="str">
        <f t="shared" si="1"/>
        <v/>
      </c>
      <c r="F915" s="1"/>
      <c r="G915" s="17"/>
      <c r="I915" s="1" t="str">
        <f>'Исходник'!T541</f>
        <v/>
      </c>
      <c r="J915" s="1" t="str">
        <f t="array" ref="J915">IFERROR(INDEX('Исходник'!$1:$626,MATCH($I915,'Исходник'!$T:$T,0),MATCH(J$1,'Исходник'!$1:$1,0)))</f>
        <v/>
      </c>
      <c r="K915" s="7" t="str">
        <f t="shared" si="3"/>
        <v/>
      </c>
      <c r="L915" s="1" t="str">
        <f>IF(I915&gt;0,IF(TODAY()-K915&lt;'Анализ'!$D$4+1,1,0),"")</f>
        <v/>
      </c>
    </row>
    <row r="916" ht="15.75" customHeight="1">
      <c r="B916" s="1" t="str">
        <f t="shared" si="1"/>
        <v/>
      </c>
      <c r="F916" s="1"/>
      <c r="G916" s="17"/>
      <c r="I916" s="1" t="str">
        <f>'Исходник'!T542</f>
        <v/>
      </c>
      <c r="J916" s="1" t="str">
        <f t="array" ref="J916">IFERROR(INDEX('Исходник'!$1:$626,MATCH($I916,'Исходник'!$T:$T,0),MATCH(J$1,'Исходник'!$1:$1,0)))</f>
        <v/>
      </c>
      <c r="K916" s="7" t="str">
        <f t="shared" si="3"/>
        <v/>
      </c>
      <c r="L916" s="1" t="str">
        <f>IF(I916&gt;0,IF(TODAY()-K916&lt;'Анализ'!$D$4+1,1,0),"")</f>
        <v/>
      </c>
    </row>
    <row r="917" ht="15.75" customHeight="1">
      <c r="B917" s="1" t="str">
        <f t="shared" si="1"/>
        <v/>
      </c>
      <c r="F917" s="1"/>
      <c r="G917" s="17"/>
      <c r="I917" s="1" t="str">
        <f>'Исходник'!T543</f>
        <v/>
      </c>
      <c r="J917" s="1" t="str">
        <f t="array" ref="J917">IFERROR(INDEX('Исходник'!$1:$626,MATCH($I917,'Исходник'!$T:$T,0),MATCH(J$1,'Исходник'!$1:$1,0)))</f>
        <v/>
      </c>
      <c r="K917" s="7" t="str">
        <f t="shared" si="3"/>
        <v/>
      </c>
      <c r="L917" s="1" t="str">
        <f>IF(I917&gt;0,IF(TODAY()-K917&lt;'Анализ'!$D$4+1,1,0),"")</f>
        <v/>
      </c>
    </row>
    <row r="918" ht="15.75" customHeight="1">
      <c r="B918" s="1" t="str">
        <f t="shared" si="1"/>
        <v/>
      </c>
      <c r="F918" s="1"/>
      <c r="G918" s="17"/>
      <c r="I918" s="1" t="str">
        <f>'Исходник'!T544</f>
        <v/>
      </c>
      <c r="J918" s="1" t="str">
        <f t="array" ref="J918">IFERROR(INDEX('Исходник'!$1:$626,MATCH($I918,'Исходник'!$T:$T,0),MATCH(J$1,'Исходник'!$1:$1,0)))</f>
        <v/>
      </c>
      <c r="K918" s="7" t="str">
        <f t="shared" si="3"/>
        <v/>
      </c>
      <c r="L918" s="1" t="str">
        <f>IF(I918&gt;0,IF(TODAY()-K918&lt;'Анализ'!$D$4+1,1,0),"")</f>
        <v/>
      </c>
    </row>
    <row r="919" ht="15.75" customHeight="1">
      <c r="B919" s="1" t="str">
        <f t="shared" si="1"/>
        <v/>
      </c>
      <c r="F919" s="1"/>
      <c r="G919" s="17"/>
      <c r="I919" s="1" t="str">
        <f>'Исходник'!T545</f>
        <v/>
      </c>
      <c r="J919" s="1" t="str">
        <f t="array" ref="J919">IFERROR(INDEX('Исходник'!$1:$626,MATCH($I919,'Исходник'!$T:$T,0),MATCH(J$1,'Исходник'!$1:$1,0)))</f>
        <v/>
      </c>
      <c r="K919" s="7" t="str">
        <f t="shared" si="3"/>
        <v/>
      </c>
      <c r="L919" s="1" t="str">
        <f>IF(I919&gt;0,IF(TODAY()-K919&lt;'Анализ'!$D$4+1,1,0),"")</f>
        <v/>
      </c>
    </row>
    <row r="920" ht="15.75" customHeight="1">
      <c r="B920" s="1" t="str">
        <f t="shared" si="1"/>
        <v/>
      </c>
      <c r="F920" s="1"/>
      <c r="G920" s="17"/>
      <c r="I920" s="1" t="str">
        <f>'Исходник'!T546</f>
        <v/>
      </c>
      <c r="J920" s="1" t="str">
        <f t="array" ref="J920">IFERROR(INDEX('Исходник'!$1:$626,MATCH($I920,'Исходник'!$T:$T,0),MATCH(J$1,'Исходник'!$1:$1,0)))</f>
        <v/>
      </c>
      <c r="K920" s="7" t="str">
        <f t="shared" si="3"/>
        <v/>
      </c>
      <c r="L920" s="1" t="str">
        <f>IF(I920&gt;0,IF(TODAY()-K920&lt;'Анализ'!$D$4+1,1,0),"")</f>
        <v/>
      </c>
    </row>
    <row r="921" ht="15.75" customHeight="1">
      <c r="B921" s="1" t="str">
        <f t="shared" si="1"/>
        <v/>
      </c>
      <c r="F921" s="1"/>
      <c r="G921" s="17"/>
      <c r="I921" s="1" t="str">
        <f>'Исходник'!T547</f>
        <v/>
      </c>
      <c r="J921" s="1" t="str">
        <f t="array" ref="J921">IFERROR(INDEX('Исходник'!$1:$626,MATCH($I921,'Исходник'!$T:$T,0),MATCH(J$1,'Исходник'!$1:$1,0)))</f>
        <v/>
      </c>
      <c r="K921" s="7" t="str">
        <f t="shared" si="3"/>
        <v/>
      </c>
      <c r="L921" s="1" t="str">
        <f>IF(I921&gt;0,IF(TODAY()-K921&lt;'Анализ'!$D$4+1,1,0),"")</f>
        <v/>
      </c>
    </row>
    <row r="922" ht="15.75" customHeight="1">
      <c r="B922" s="1" t="str">
        <f t="shared" si="1"/>
        <v/>
      </c>
      <c r="F922" s="1"/>
      <c r="G922" s="17"/>
      <c r="I922" s="1" t="str">
        <f>'Исходник'!T548</f>
        <v/>
      </c>
      <c r="J922" s="1" t="str">
        <f t="array" ref="J922">IFERROR(INDEX('Исходник'!$1:$626,MATCH($I922,'Исходник'!$T:$T,0),MATCH(J$1,'Исходник'!$1:$1,0)))</f>
        <v/>
      </c>
      <c r="K922" s="7" t="str">
        <f t="shared" si="3"/>
        <v/>
      </c>
      <c r="L922" s="1" t="str">
        <f>IF(I922&gt;0,IF(TODAY()-K922&lt;'Анализ'!$D$4+1,1,0),"")</f>
        <v/>
      </c>
    </row>
    <row r="923" ht="15.75" customHeight="1">
      <c r="B923" s="1" t="str">
        <f t="shared" si="1"/>
        <v/>
      </c>
      <c r="F923" s="1"/>
      <c r="G923" s="17"/>
      <c r="I923" s="1" t="str">
        <f>'Исходник'!T549</f>
        <v/>
      </c>
      <c r="J923" s="1" t="str">
        <f t="array" ref="J923">IFERROR(INDEX('Исходник'!$1:$626,MATCH($I923,'Исходник'!$T:$T,0),MATCH(J$1,'Исходник'!$1:$1,0)))</f>
        <v/>
      </c>
      <c r="K923" s="7" t="str">
        <f t="shared" si="3"/>
        <v/>
      </c>
      <c r="L923" s="1" t="str">
        <f>IF(I923&gt;0,IF(TODAY()-K923&lt;'Анализ'!$D$4+1,1,0),"")</f>
        <v/>
      </c>
    </row>
    <row r="924" ht="15.75" customHeight="1">
      <c r="B924" s="1" t="str">
        <f t="shared" si="1"/>
        <v/>
      </c>
      <c r="F924" s="1"/>
      <c r="G924" s="17"/>
      <c r="I924" s="1" t="str">
        <f>'Исходник'!T550</f>
        <v/>
      </c>
      <c r="J924" s="1" t="str">
        <f t="array" ref="J924">IFERROR(INDEX('Исходник'!$1:$626,MATCH($I924,'Исходник'!$T:$T,0),MATCH(J$1,'Исходник'!$1:$1,0)))</f>
        <v/>
      </c>
      <c r="K924" s="7" t="str">
        <f t="shared" si="3"/>
        <v/>
      </c>
      <c r="L924" s="1" t="str">
        <f>IF(I924&gt;0,IF(TODAY()-K924&lt;'Анализ'!$D$4+1,1,0),"")</f>
        <v/>
      </c>
    </row>
    <row r="925" ht="15.75" customHeight="1">
      <c r="B925" s="1" t="str">
        <f t="shared" si="1"/>
        <v/>
      </c>
      <c r="F925" s="1"/>
      <c r="G925" s="17"/>
      <c r="I925" s="1" t="str">
        <f>'Исходник'!T551</f>
        <v/>
      </c>
      <c r="J925" s="1" t="str">
        <f t="array" ref="J925">IFERROR(INDEX('Исходник'!$1:$626,MATCH($I925,'Исходник'!$T:$T,0),MATCH(J$1,'Исходник'!$1:$1,0)))</f>
        <v/>
      </c>
      <c r="K925" s="7" t="str">
        <f t="shared" si="3"/>
        <v/>
      </c>
      <c r="L925" s="1" t="str">
        <f>IF(I925&gt;0,IF(TODAY()-K925&lt;'Анализ'!$D$4+1,1,0),"")</f>
        <v/>
      </c>
    </row>
    <row r="926" ht="15.75" customHeight="1">
      <c r="B926" s="1" t="str">
        <f t="shared" si="1"/>
        <v/>
      </c>
      <c r="F926" s="1"/>
      <c r="G926" s="17"/>
      <c r="I926" s="1" t="str">
        <f>'Исходник'!T552</f>
        <v/>
      </c>
      <c r="J926" s="1" t="str">
        <f t="array" ref="J926">IFERROR(INDEX('Исходник'!$1:$626,MATCH($I926,'Исходник'!$T:$T,0),MATCH(J$1,'Исходник'!$1:$1,0)))</f>
        <v/>
      </c>
      <c r="K926" s="7" t="str">
        <f t="shared" si="3"/>
        <v/>
      </c>
      <c r="L926" s="1" t="str">
        <f>IF(I926&gt;0,IF(TODAY()-K926&lt;'Анализ'!$D$4+1,1,0),"")</f>
        <v/>
      </c>
    </row>
    <row r="927" ht="15.75" customHeight="1">
      <c r="B927" s="1" t="str">
        <f t="shared" si="1"/>
        <v/>
      </c>
      <c r="F927" s="1"/>
      <c r="G927" s="17"/>
      <c r="I927" s="1" t="str">
        <f>'Исходник'!T553</f>
        <v/>
      </c>
      <c r="J927" s="1" t="str">
        <f t="array" ref="J927">IFERROR(INDEX('Исходник'!$1:$626,MATCH($I927,'Исходник'!$T:$T,0),MATCH(J$1,'Исходник'!$1:$1,0)))</f>
        <v/>
      </c>
      <c r="K927" s="7" t="str">
        <f t="shared" si="3"/>
        <v/>
      </c>
      <c r="L927" s="1" t="str">
        <f>IF(I927&gt;0,IF(TODAY()-K927&lt;'Анализ'!$D$4+1,1,0),"")</f>
        <v/>
      </c>
    </row>
    <row r="928" ht="15.75" customHeight="1">
      <c r="B928" s="1" t="str">
        <f t="shared" si="1"/>
        <v/>
      </c>
      <c r="F928" s="1"/>
      <c r="G928" s="17"/>
      <c r="I928" s="1" t="str">
        <f>'Исходник'!T554</f>
        <v/>
      </c>
      <c r="J928" s="1" t="str">
        <f t="array" ref="J928">IFERROR(INDEX('Исходник'!$1:$626,MATCH($I928,'Исходник'!$T:$T,0),MATCH(J$1,'Исходник'!$1:$1,0)))</f>
        <v/>
      </c>
      <c r="K928" s="7" t="str">
        <f t="shared" si="3"/>
        <v/>
      </c>
      <c r="L928" s="1" t="str">
        <f>IF(I928&gt;0,IF(TODAY()-K928&lt;'Анализ'!$D$4+1,1,0),"")</f>
        <v/>
      </c>
    </row>
    <row r="929" ht="15.75" customHeight="1">
      <c r="B929" s="1" t="str">
        <f t="shared" si="1"/>
        <v/>
      </c>
      <c r="F929" s="1"/>
      <c r="G929" s="17"/>
      <c r="I929" s="1" t="str">
        <f>'Исходник'!T555</f>
        <v/>
      </c>
      <c r="J929" s="1" t="str">
        <f t="array" ref="J929">IFERROR(INDEX('Исходник'!$1:$626,MATCH($I929,'Исходник'!$T:$T,0),MATCH(J$1,'Исходник'!$1:$1,0)))</f>
        <v/>
      </c>
      <c r="K929" s="7" t="str">
        <f t="shared" si="3"/>
        <v/>
      </c>
      <c r="L929" s="1" t="str">
        <f>IF(I929&gt;0,IF(TODAY()-K929&lt;'Анализ'!$D$4+1,1,0),"")</f>
        <v/>
      </c>
    </row>
    <row r="930" ht="15.75" customHeight="1">
      <c r="B930" s="1" t="str">
        <f t="shared" si="1"/>
        <v/>
      </c>
      <c r="F930" s="1"/>
      <c r="G930" s="17"/>
      <c r="I930" s="1" t="str">
        <f>'Исходник'!T556</f>
        <v/>
      </c>
      <c r="J930" s="1" t="str">
        <f t="array" ref="J930">IFERROR(INDEX('Исходник'!$1:$626,MATCH($I930,'Исходник'!$T:$T,0),MATCH(J$1,'Исходник'!$1:$1,0)))</f>
        <v/>
      </c>
      <c r="K930" s="7" t="str">
        <f t="shared" si="3"/>
        <v/>
      </c>
      <c r="L930" s="1" t="str">
        <f>IF(I930&gt;0,IF(TODAY()-K930&lt;'Анализ'!$D$4+1,1,0),"")</f>
        <v/>
      </c>
    </row>
    <row r="931" ht="15.75" customHeight="1">
      <c r="B931" s="1" t="str">
        <f t="shared" si="1"/>
        <v/>
      </c>
      <c r="F931" s="1"/>
      <c r="G931" s="17"/>
      <c r="I931" s="1" t="str">
        <f>'Исходник'!T557</f>
        <v/>
      </c>
      <c r="J931" s="1" t="str">
        <f t="array" ref="J931">IFERROR(INDEX('Исходник'!$1:$626,MATCH($I931,'Исходник'!$T:$T,0),MATCH(J$1,'Исходник'!$1:$1,0)))</f>
        <v/>
      </c>
      <c r="K931" s="7" t="str">
        <f t="shared" si="3"/>
        <v/>
      </c>
      <c r="L931" s="1" t="str">
        <f>IF(I931&gt;0,IF(TODAY()-K931&lt;'Анализ'!$D$4+1,1,0),"")</f>
        <v/>
      </c>
    </row>
    <row r="932" ht="15.75" customHeight="1">
      <c r="B932" s="1" t="str">
        <f t="shared" si="1"/>
        <v/>
      </c>
      <c r="F932" s="1"/>
      <c r="G932" s="17"/>
      <c r="I932" s="1" t="str">
        <f>'Исходник'!T558</f>
        <v/>
      </c>
      <c r="J932" s="1" t="str">
        <f t="array" ref="J932">IFERROR(INDEX('Исходник'!$1:$626,MATCH($I932,'Исходник'!$T:$T,0),MATCH(J$1,'Исходник'!$1:$1,0)))</f>
        <v/>
      </c>
      <c r="K932" s="7" t="str">
        <f t="shared" si="3"/>
        <v/>
      </c>
      <c r="L932" s="1" t="str">
        <f>IF(I932&gt;0,IF(TODAY()-K932&lt;'Анализ'!$D$4+1,1,0),"")</f>
        <v/>
      </c>
    </row>
    <row r="933" ht="15.75" customHeight="1">
      <c r="B933" s="1" t="str">
        <f t="shared" si="1"/>
        <v/>
      </c>
      <c r="F933" s="1"/>
      <c r="G933" s="17"/>
      <c r="I933" s="1" t="str">
        <f>'Исходник'!T559</f>
        <v/>
      </c>
      <c r="J933" s="1" t="str">
        <f t="array" ref="J933">IFERROR(INDEX('Исходник'!$1:$626,MATCH($I933,'Исходник'!$T:$T,0),MATCH(J$1,'Исходник'!$1:$1,0)))</f>
        <v/>
      </c>
      <c r="K933" s="7" t="str">
        <f t="shared" si="3"/>
        <v/>
      </c>
      <c r="L933" s="1" t="str">
        <f>IF(I933&gt;0,IF(TODAY()-K933&lt;'Анализ'!$D$4+1,1,0),"")</f>
        <v/>
      </c>
    </row>
    <row r="934" ht="15.75" customHeight="1">
      <c r="B934" s="1" t="str">
        <f t="shared" si="1"/>
        <v/>
      </c>
      <c r="F934" s="1"/>
      <c r="G934" s="17"/>
      <c r="I934" s="1" t="str">
        <f>'Исходник'!T560</f>
        <v/>
      </c>
      <c r="J934" s="1" t="str">
        <f t="array" ref="J934">IFERROR(INDEX('Исходник'!$1:$626,MATCH($I934,'Исходник'!$T:$T,0),MATCH(J$1,'Исходник'!$1:$1,0)))</f>
        <v/>
      </c>
      <c r="K934" s="7" t="str">
        <f t="shared" si="3"/>
        <v/>
      </c>
      <c r="L934" s="1" t="str">
        <f>IF(I934&gt;0,IF(TODAY()-K934&lt;'Анализ'!$D$4+1,1,0),"")</f>
        <v/>
      </c>
    </row>
    <row r="935" ht="15.75" customHeight="1">
      <c r="B935" s="1" t="str">
        <f t="shared" si="1"/>
        <v/>
      </c>
      <c r="F935" s="1"/>
      <c r="G935" s="17"/>
      <c r="I935" s="1" t="str">
        <f>'Исходник'!T561</f>
        <v/>
      </c>
      <c r="J935" s="1" t="str">
        <f t="array" ref="J935">IFERROR(INDEX('Исходник'!$1:$626,MATCH($I935,'Исходник'!$T:$T,0),MATCH(J$1,'Исходник'!$1:$1,0)))</f>
        <v/>
      </c>
      <c r="K935" s="7" t="str">
        <f t="shared" si="3"/>
        <v/>
      </c>
      <c r="L935" s="1" t="str">
        <f>IF(I935&gt;0,IF(TODAY()-K935&lt;'Анализ'!$D$4+1,1,0),"")</f>
        <v/>
      </c>
    </row>
    <row r="936" ht="15.75" customHeight="1">
      <c r="B936" s="1" t="str">
        <f t="shared" si="1"/>
        <v/>
      </c>
      <c r="F936" s="1"/>
      <c r="G936" s="17"/>
      <c r="I936" s="1" t="str">
        <f>'Исходник'!T562</f>
        <v/>
      </c>
      <c r="J936" s="1" t="str">
        <f t="array" ref="J936">IFERROR(INDEX('Исходник'!$1:$626,MATCH($I936,'Исходник'!$T:$T,0),MATCH(J$1,'Исходник'!$1:$1,0)))</f>
        <v/>
      </c>
      <c r="K936" s="7" t="str">
        <f t="shared" si="3"/>
        <v/>
      </c>
      <c r="L936" s="1" t="str">
        <f>IF(I936&gt;0,IF(TODAY()-K936&lt;'Анализ'!$D$4+1,1,0),"")</f>
        <v/>
      </c>
    </row>
    <row r="937" ht="15.75" customHeight="1">
      <c r="B937" s="1" t="str">
        <f t="shared" si="1"/>
        <v/>
      </c>
      <c r="F937" s="1"/>
      <c r="G937" s="17"/>
      <c r="I937" s="1" t="str">
        <f>'Исходник'!T563</f>
        <v/>
      </c>
      <c r="J937" s="1" t="str">
        <f t="array" ref="J937">IFERROR(INDEX('Исходник'!$1:$626,MATCH($I937,'Исходник'!$T:$T,0),MATCH(J$1,'Исходник'!$1:$1,0)))</f>
        <v/>
      </c>
      <c r="K937" s="7" t="str">
        <f t="shared" si="3"/>
        <v/>
      </c>
      <c r="L937" s="1" t="str">
        <f>IF(I937&gt;0,IF(TODAY()-K937&lt;'Анализ'!$D$4+1,1,0),"")</f>
        <v/>
      </c>
    </row>
    <row r="938" ht="15.75" customHeight="1">
      <c r="B938" s="1" t="str">
        <f t="shared" si="1"/>
        <v/>
      </c>
      <c r="F938" s="1"/>
      <c r="G938" s="17"/>
      <c r="I938" s="1" t="str">
        <f>'Исходник'!T564</f>
        <v/>
      </c>
      <c r="J938" s="1" t="str">
        <f t="array" ref="J938">IFERROR(INDEX('Исходник'!$1:$626,MATCH($I938,'Исходник'!$T:$T,0),MATCH(J$1,'Исходник'!$1:$1,0)))</f>
        <v/>
      </c>
      <c r="K938" s="7" t="str">
        <f t="shared" si="3"/>
        <v/>
      </c>
      <c r="L938" s="1" t="str">
        <f>IF(I938&gt;0,IF(TODAY()-K938&lt;'Анализ'!$D$4+1,1,0),"")</f>
        <v/>
      </c>
    </row>
    <row r="939" ht="15.75" customHeight="1">
      <c r="B939" s="1" t="str">
        <f t="shared" si="1"/>
        <v/>
      </c>
      <c r="F939" s="1"/>
      <c r="G939" s="17"/>
      <c r="I939" s="1" t="str">
        <f>'Исходник'!T565</f>
        <v/>
      </c>
      <c r="J939" s="1" t="str">
        <f t="array" ref="J939">IFERROR(INDEX('Исходник'!$1:$626,MATCH($I939,'Исходник'!$T:$T,0),MATCH(J$1,'Исходник'!$1:$1,0)))</f>
        <v/>
      </c>
      <c r="K939" s="7" t="str">
        <f t="shared" si="3"/>
        <v/>
      </c>
      <c r="L939" s="1" t="str">
        <f>IF(I939&gt;0,IF(TODAY()-K939&lt;'Анализ'!$D$4+1,1,0),"")</f>
        <v/>
      </c>
    </row>
    <row r="940" ht="15.75" customHeight="1">
      <c r="B940" s="1" t="str">
        <f t="shared" si="1"/>
        <v/>
      </c>
      <c r="F940" s="1"/>
      <c r="G940" s="17"/>
      <c r="I940" s="1" t="str">
        <f>'Исходник'!T566</f>
        <v/>
      </c>
      <c r="J940" s="1" t="str">
        <f t="array" ref="J940">IFERROR(INDEX('Исходник'!$1:$626,MATCH($I940,'Исходник'!$T:$T,0),MATCH(J$1,'Исходник'!$1:$1,0)))</f>
        <v/>
      </c>
      <c r="K940" s="7" t="str">
        <f t="shared" si="3"/>
        <v/>
      </c>
      <c r="L940" s="1" t="str">
        <f>IF(I940&gt;0,IF(TODAY()-K940&lt;'Анализ'!$D$4+1,1,0),"")</f>
        <v/>
      </c>
    </row>
    <row r="941" ht="15.75" customHeight="1">
      <c r="B941" s="1" t="str">
        <f t="shared" si="1"/>
        <v/>
      </c>
      <c r="F941" s="1"/>
      <c r="G941" s="17"/>
      <c r="I941" s="1" t="str">
        <f>'Исходник'!T567</f>
        <v/>
      </c>
      <c r="J941" s="1" t="str">
        <f t="array" ref="J941">IFERROR(INDEX('Исходник'!$1:$626,MATCH($I941,'Исходник'!$T:$T,0),MATCH(J$1,'Исходник'!$1:$1,0)))</f>
        <v/>
      </c>
      <c r="K941" s="7" t="str">
        <f t="shared" si="3"/>
        <v/>
      </c>
      <c r="L941" s="1" t="str">
        <f>IF(I941&gt;0,IF(TODAY()-K941&lt;'Анализ'!$D$4+1,1,0),"")</f>
        <v/>
      </c>
    </row>
    <row r="942" ht="15.75" customHeight="1">
      <c r="B942" s="1" t="str">
        <f t="shared" si="1"/>
        <v/>
      </c>
      <c r="F942" s="1"/>
      <c r="G942" s="17"/>
      <c r="I942" s="1" t="str">
        <f>'Исходник'!T568</f>
        <v/>
      </c>
      <c r="J942" s="1" t="str">
        <f t="array" ref="J942">IFERROR(INDEX('Исходник'!$1:$626,MATCH($I942,'Исходник'!$T:$T,0),MATCH(J$1,'Исходник'!$1:$1,0)))</f>
        <v/>
      </c>
      <c r="K942" s="7" t="str">
        <f t="shared" si="3"/>
        <v/>
      </c>
      <c r="L942" s="1" t="str">
        <f>IF(I942&gt;0,IF(TODAY()-K942&lt;'Анализ'!$D$4+1,1,0),"")</f>
        <v/>
      </c>
    </row>
    <row r="943" ht="15.75" customHeight="1">
      <c r="B943" s="1" t="str">
        <f t="shared" si="1"/>
        <v/>
      </c>
      <c r="F943" s="1"/>
      <c r="G943" s="17"/>
      <c r="I943" s="1" t="str">
        <f>'Исходник'!T569</f>
        <v/>
      </c>
      <c r="J943" s="1" t="str">
        <f t="array" ref="J943">IFERROR(INDEX('Исходник'!$1:$626,MATCH($I943,'Исходник'!$T:$T,0),MATCH(J$1,'Исходник'!$1:$1,0)))</f>
        <v/>
      </c>
      <c r="K943" s="7" t="str">
        <f t="shared" si="3"/>
        <v/>
      </c>
      <c r="L943" s="1" t="str">
        <f>IF(I943&gt;0,IF(TODAY()-K943&lt;'Анализ'!$D$4+1,1,0),"")</f>
        <v/>
      </c>
    </row>
    <row r="944" ht="15.75" customHeight="1">
      <c r="B944" s="1" t="str">
        <f t="shared" si="1"/>
        <v/>
      </c>
      <c r="F944" s="1"/>
      <c r="G944" s="17"/>
      <c r="I944" s="1" t="str">
        <f>'Исходник'!T570</f>
        <v/>
      </c>
      <c r="J944" s="1" t="str">
        <f t="array" ref="J944">IFERROR(INDEX('Исходник'!$1:$626,MATCH($I944,'Исходник'!$T:$T,0),MATCH(J$1,'Исходник'!$1:$1,0)))</f>
        <v/>
      </c>
      <c r="K944" s="7" t="str">
        <f t="shared" si="3"/>
        <v/>
      </c>
      <c r="L944" s="1" t="str">
        <f>IF(I944&gt;0,IF(TODAY()-K944&lt;'Анализ'!$D$4+1,1,0),"")</f>
        <v/>
      </c>
    </row>
    <row r="945" ht="15.75" customHeight="1">
      <c r="B945" s="1" t="str">
        <f t="shared" si="1"/>
        <v/>
      </c>
      <c r="F945" s="1"/>
      <c r="G945" s="17"/>
      <c r="I945" s="1" t="str">
        <f>'Исходник'!T571</f>
        <v/>
      </c>
      <c r="J945" s="1" t="str">
        <f t="array" ref="J945">IFERROR(INDEX('Исходник'!$1:$626,MATCH($I945,'Исходник'!$T:$T,0),MATCH(J$1,'Исходник'!$1:$1,0)))</f>
        <v/>
      </c>
      <c r="K945" s="7" t="str">
        <f t="shared" si="3"/>
        <v/>
      </c>
      <c r="L945" s="1" t="str">
        <f>IF(I945&gt;0,IF(TODAY()-K945&lt;'Анализ'!$D$4+1,1,0),"")</f>
        <v/>
      </c>
    </row>
    <row r="946" ht="15.75" customHeight="1">
      <c r="B946" s="1" t="str">
        <f t="shared" si="1"/>
        <v/>
      </c>
      <c r="F946" s="1"/>
      <c r="G946" s="17"/>
      <c r="I946" s="1" t="str">
        <f>'Исходник'!T572</f>
        <v/>
      </c>
      <c r="J946" s="1" t="str">
        <f t="array" ref="J946">IFERROR(INDEX('Исходник'!$1:$626,MATCH($I946,'Исходник'!$T:$T,0),MATCH(J$1,'Исходник'!$1:$1,0)))</f>
        <v/>
      </c>
      <c r="K946" s="7" t="str">
        <f t="shared" si="3"/>
        <v/>
      </c>
      <c r="L946" s="1" t="str">
        <f>IF(I946&gt;0,IF(TODAY()-K946&lt;'Анализ'!$D$4+1,1,0),"")</f>
        <v/>
      </c>
    </row>
    <row r="947" ht="15.75" customHeight="1">
      <c r="B947" s="1" t="str">
        <f t="shared" si="1"/>
        <v/>
      </c>
      <c r="F947" s="1"/>
      <c r="G947" s="17"/>
      <c r="I947" s="1" t="str">
        <f>'Исходник'!T573</f>
        <v/>
      </c>
      <c r="J947" s="1" t="str">
        <f t="array" ref="J947">IFERROR(INDEX('Исходник'!$1:$626,MATCH($I947,'Исходник'!$T:$T,0),MATCH(J$1,'Исходник'!$1:$1,0)))</f>
        <v/>
      </c>
      <c r="K947" s="7" t="str">
        <f t="shared" si="3"/>
        <v/>
      </c>
      <c r="L947" s="1" t="str">
        <f>IF(I947&gt;0,IF(TODAY()-K947&lt;'Анализ'!$D$4+1,1,0),"")</f>
        <v/>
      </c>
    </row>
    <row r="948" ht="15.75" customHeight="1">
      <c r="B948" s="1" t="str">
        <f t="shared" si="1"/>
        <v/>
      </c>
      <c r="F948" s="1"/>
      <c r="G948" s="17"/>
      <c r="I948" s="1" t="str">
        <f>'Исходник'!T574</f>
        <v/>
      </c>
      <c r="J948" s="1" t="str">
        <f t="array" ref="J948">IFERROR(INDEX('Исходник'!$1:$626,MATCH($I948,'Исходник'!$T:$T,0),MATCH(J$1,'Исходник'!$1:$1,0)))</f>
        <v/>
      </c>
      <c r="K948" s="7" t="str">
        <f t="shared" si="3"/>
        <v/>
      </c>
      <c r="L948" s="1" t="str">
        <f>IF(I948&gt;0,IF(TODAY()-K948&lt;'Анализ'!$D$4+1,1,0),"")</f>
        <v/>
      </c>
    </row>
    <row r="949" ht="15.75" customHeight="1">
      <c r="B949" s="1" t="str">
        <f t="shared" si="1"/>
        <v/>
      </c>
      <c r="F949" s="1"/>
      <c r="G949" s="17"/>
      <c r="I949" s="1" t="str">
        <f>'Исходник'!T575</f>
        <v/>
      </c>
      <c r="J949" s="1" t="str">
        <f t="array" ref="J949">IFERROR(INDEX('Исходник'!$1:$626,MATCH($I949,'Исходник'!$T:$T,0),MATCH(J$1,'Исходник'!$1:$1,0)))</f>
        <v/>
      </c>
      <c r="K949" s="7" t="str">
        <f t="shared" si="3"/>
        <v/>
      </c>
      <c r="L949" s="1" t="str">
        <f>IF(I949&gt;0,IF(TODAY()-K949&lt;'Анализ'!$D$4+1,1,0),"")</f>
        <v/>
      </c>
    </row>
    <row r="950" ht="15.75" customHeight="1">
      <c r="B950" s="1" t="str">
        <f t="shared" si="1"/>
        <v/>
      </c>
      <c r="F950" s="1"/>
      <c r="G950" s="17"/>
      <c r="I950" s="1" t="str">
        <f>'Исходник'!T576</f>
        <v/>
      </c>
      <c r="J950" s="1" t="str">
        <f t="array" ref="J950">IFERROR(INDEX('Исходник'!$1:$626,MATCH($I950,'Исходник'!$T:$T,0),MATCH(J$1,'Исходник'!$1:$1,0)))</f>
        <v/>
      </c>
      <c r="K950" s="7" t="str">
        <f t="shared" si="3"/>
        <v/>
      </c>
      <c r="L950" s="1" t="str">
        <f>IF(I950&gt;0,IF(TODAY()-K950&lt;'Анализ'!$D$4+1,1,0),"")</f>
        <v/>
      </c>
    </row>
    <row r="951" ht="15.75" customHeight="1">
      <c r="B951" s="1" t="str">
        <f t="shared" si="1"/>
        <v/>
      </c>
      <c r="F951" s="1"/>
      <c r="G951" s="17"/>
      <c r="I951" s="1" t="str">
        <f>'Исходник'!T577</f>
        <v/>
      </c>
      <c r="J951" s="1" t="str">
        <f t="array" ref="J951">IFERROR(INDEX('Исходник'!$1:$626,MATCH($I951,'Исходник'!$T:$T,0),MATCH(J$1,'Исходник'!$1:$1,0)))</f>
        <v/>
      </c>
      <c r="K951" s="7" t="str">
        <f t="shared" si="3"/>
        <v/>
      </c>
      <c r="L951" s="1" t="str">
        <f>IF(I951&gt;0,IF(TODAY()-K951&lt;'Анализ'!$D$4+1,1,0),"")</f>
        <v/>
      </c>
    </row>
    <row r="952" ht="15.75" customHeight="1">
      <c r="B952" s="1" t="str">
        <f t="shared" si="1"/>
        <v/>
      </c>
      <c r="F952" s="1"/>
      <c r="G952" s="17"/>
      <c r="I952" s="1" t="str">
        <f>'Исходник'!T578</f>
        <v/>
      </c>
      <c r="J952" s="1" t="str">
        <f t="array" ref="J952">IFERROR(INDEX('Исходник'!$1:$626,MATCH($I952,'Исходник'!$T:$T,0),MATCH(J$1,'Исходник'!$1:$1,0)))</f>
        <v/>
      </c>
      <c r="K952" s="7" t="str">
        <f t="shared" si="3"/>
        <v/>
      </c>
      <c r="L952" s="1" t="str">
        <f>IF(I952&gt;0,IF(TODAY()-K952&lt;'Анализ'!$D$4+1,1,0),"")</f>
        <v/>
      </c>
    </row>
    <row r="953" ht="15.75" customHeight="1">
      <c r="B953" s="1" t="str">
        <f t="shared" si="1"/>
        <v/>
      </c>
      <c r="F953" s="1"/>
      <c r="G953" s="17"/>
      <c r="I953" s="1" t="str">
        <f>'Исходник'!T579</f>
        <v/>
      </c>
      <c r="J953" s="1" t="str">
        <f t="array" ref="J953">IFERROR(INDEX('Исходник'!$1:$626,MATCH($I953,'Исходник'!$T:$T,0),MATCH(J$1,'Исходник'!$1:$1,0)))</f>
        <v/>
      </c>
      <c r="K953" s="7" t="str">
        <f t="shared" si="3"/>
        <v/>
      </c>
      <c r="L953" s="1" t="str">
        <f>IF(I953&gt;0,IF(TODAY()-K953&lt;'Анализ'!$D$4+1,1,0),"")</f>
        <v/>
      </c>
    </row>
    <row r="954" ht="15.75" customHeight="1">
      <c r="B954" s="1" t="str">
        <f t="shared" si="1"/>
        <v/>
      </c>
      <c r="F954" s="1"/>
      <c r="G954" s="17"/>
      <c r="I954" s="1" t="str">
        <f>'Исходник'!T580</f>
        <v/>
      </c>
      <c r="J954" s="1" t="str">
        <f t="array" ref="J954">IFERROR(INDEX('Исходник'!$1:$626,MATCH($I954,'Исходник'!$T:$T,0),MATCH(J$1,'Исходник'!$1:$1,0)))</f>
        <v/>
      </c>
      <c r="K954" s="7" t="str">
        <f t="shared" si="3"/>
        <v/>
      </c>
      <c r="L954" s="1" t="str">
        <f>IF(I954&gt;0,IF(TODAY()-K954&lt;'Анализ'!$D$4+1,1,0),"")</f>
        <v/>
      </c>
    </row>
    <row r="955" ht="15.75" customHeight="1">
      <c r="B955" s="1" t="str">
        <f t="shared" si="1"/>
        <v/>
      </c>
      <c r="F955" s="1"/>
      <c r="G955" s="17"/>
      <c r="I955" s="1" t="str">
        <f>'Исходник'!T581</f>
        <v/>
      </c>
      <c r="J955" s="1" t="str">
        <f t="array" ref="J955">IFERROR(INDEX('Исходник'!$1:$626,MATCH($I955,'Исходник'!$T:$T,0),MATCH(J$1,'Исходник'!$1:$1,0)))</f>
        <v/>
      </c>
      <c r="K955" s="7" t="str">
        <f t="shared" si="3"/>
        <v/>
      </c>
      <c r="L955" s="1" t="str">
        <f>IF(I955&gt;0,IF(TODAY()-K955&lt;'Анализ'!$D$4+1,1,0),"")</f>
        <v/>
      </c>
    </row>
    <row r="956" ht="15.75" customHeight="1">
      <c r="B956" s="1" t="str">
        <f t="shared" si="1"/>
        <v/>
      </c>
      <c r="F956" s="1"/>
      <c r="G956" s="17"/>
      <c r="I956" s="1" t="str">
        <f>'Исходник'!T582</f>
        <v/>
      </c>
      <c r="J956" s="1" t="str">
        <f t="array" ref="J956">IFERROR(INDEX('Исходник'!$1:$626,MATCH($I956,'Исходник'!$T:$T,0),MATCH(J$1,'Исходник'!$1:$1,0)))</f>
        <v/>
      </c>
      <c r="K956" s="7" t="str">
        <f t="shared" si="3"/>
        <v/>
      </c>
      <c r="L956" s="1" t="str">
        <f>IF(I956&gt;0,IF(TODAY()-K956&lt;'Анализ'!$D$4+1,1,0),"")</f>
        <v/>
      </c>
    </row>
    <row r="957" ht="15.75" customHeight="1">
      <c r="B957" s="1" t="str">
        <f t="shared" si="1"/>
        <v/>
      </c>
      <c r="F957" s="1"/>
      <c r="G957" s="17"/>
      <c r="I957" s="1" t="str">
        <f>'Исходник'!T583</f>
        <v/>
      </c>
      <c r="J957" s="1" t="str">
        <f t="array" ref="J957">IFERROR(INDEX('Исходник'!$1:$626,MATCH($I957,'Исходник'!$T:$T,0),MATCH(J$1,'Исходник'!$1:$1,0)))</f>
        <v/>
      </c>
      <c r="K957" s="7" t="str">
        <f t="shared" si="3"/>
        <v/>
      </c>
      <c r="L957" s="1" t="str">
        <f>IF(I957&gt;0,IF(TODAY()-K957&lt;'Анализ'!$D$4+1,1,0),"")</f>
        <v/>
      </c>
    </row>
    <row r="958" ht="15.75" customHeight="1">
      <c r="B958" s="1" t="str">
        <f t="shared" si="1"/>
        <v/>
      </c>
      <c r="F958" s="1"/>
      <c r="G958" s="17"/>
      <c r="I958" s="1" t="str">
        <f>'Исходник'!T584</f>
        <v/>
      </c>
      <c r="J958" s="1" t="str">
        <f t="array" ref="J958">IFERROR(INDEX('Исходник'!$1:$626,MATCH($I958,'Исходник'!$T:$T,0),MATCH(J$1,'Исходник'!$1:$1,0)))</f>
        <v/>
      </c>
      <c r="K958" s="7" t="str">
        <f t="shared" si="3"/>
        <v/>
      </c>
      <c r="L958" s="1" t="str">
        <f>IF(I958&gt;0,IF(TODAY()-K958&lt;'Анализ'!$D$4+1,1,0),"")</f>
        <v/>
      </c>
    </row>
    <row r="959" ht="15.75" customHeight="1">
      <c r="B959" s="1" t="str">
        <f t="shared" si="1"/>
        <v/>
      </c>
      <c r="F959" s="1"/>
      <c r="G959" s="17"/>
      <c r="I959" s="1" t="str">
        <f>'Исходник'!T585</f>
        <v/>
      </c>
      <c r="J959" s="1" t="str">
        <f t="array" ref="J959">IFERROR(INDEX('Исходник'!$1:$626,MATCH($I959,'Исходник'!$T:$T,0),MATCH(J$1,'Исходник'!$1:$1,0)))</f>
        <v/>
      </c>
      <c r="K959" s="7" t="str">
        <f t="shared" si="3"/>
        <v/>
      </c>
      <c r="L959" s="1" t="str">
        <f>IF(I959&gt;0,IF(TODAY()-K959&lt;'Анализ'!$D$4+1,1,0),"")</f>
        <v/>
      </c>
    </row>
    <row r="960" ht="15.75" customHeight="1">
      <c r="B960" s="1" t="str">
        <f t="shared" si="1"/>
        <v/>
      </c>
      <c r="F960" s="1"/>
      <c r="G960" s="17"/>
      <c r="I960" s="1" t="str">
        <f>'Исходник'!T586</f>
        <v/>
      </c>
      <c r="J960" s="1" t="str">
        <f t="array" ref="J960">IFERROR(INDEX('Исходник'!$1:$626,MATCH($I960,'Исходник'!$T:$T,0),MATCH(J$1,'Исходник'!$1:$1,0)))</f>
        <v/>
      </c>
      <c r="K960" s="7" t="str">
        <f t="shared" si="3"/>
        <v/>
      </c>
      <c r="L960" s="1" t="str">
        <f>IF(I960&gt;0,IF(TODAY()-K960&lt;'Анализ'!$D$4+1,1,0),"")</f>
        <v/>
      </c>
    </row>
    <row r="961" ht="15.75" customHeight="1">
      <c r="B961" s="1" t="str">
        <f t="shared" si="1"/>
        <v/>
      </c>
      <c r="F961" s="1"/>
      <c r="G961" s="17"/>
      <c r="I961" s="1" t="str">
        <f>'Исходник'!T587</f>
        <v/>
      </c>
      <c r="J961" s="1" t="str">
        <f t="array" ref="J961">IFERROR(INDEX('Исходник'!$1:$626,MATCH($I961,'Исходник'!$T:$T,0),MATCH(J$1,'Исходник'!$1:$1,0)))</f>
        <v/>
      </c>
      <c r="K961" s="7" t="str">
        <f t="shared" si="3"/>
        <v/>
      </c>
      <c r="L961" s="1" t="str">
        <f>IF(I961&gt;0,IF(TODAY()-K961&lt;'Анализ'!$D$4+1,1,0),"")</f>
        <v/>
      </c>
    </row>
    <row r="962" ht="15.75" customHeight="1">
      <c r="B962" s="1" t="str">
        <f t="shared" si="1"/>
        <v/>
      </c>
      <c r="F962" s="1"/>
      <c r="G962" s="17"/>
      <c r="I962" s="1" t="str">
        <f>'Исходник'!T588</f>
        <v/>
      </c>
      <c r="J962" s="1" t="str">
        <f t="array" ref="J962">IFERROR(INDEX('Исходник'!$1:$626,MATCH($I962,'Исходник'!$T:$T,0),MATCH(J$1,'Исходник'!$1:$1,0)))</f>
        <v/>
      </c>
      <c r="K962" s="7" t="str">
        <f t="shared" si="3"/>
        <v/>
      </c>
      <c r="L962" s="1" t="str">
        <f>IF(I962&gt;0,IF(TODAY()-K962&lt;'Анализ'!$D$4+1,1,0),"")</f>
        <v/>
      </c>
    </row>
    <row r="963" ht="15.75" customHeight="1">
      <c r="B963" s="1" t="str">
        <f t="shared" si="1"/>
        <v/>
      </c>
      <c r="F963" s="1"/>
      <c r="G963" s="17"/>
      <c r="I963" s="1" t="str">
        <f>'Исходник'!T589</f>
        <v/>
      </c>
      <c r="J963" s="1" t="str">
        <f t="array" ref="J963">IFERROR(INDEX('Исходник'!$1:$626,MATCH($I963,'Исходник'!$T:$T,0),MATCH(J$1,'Исходник'!$1:$1,0)))</f>
        <v/>
      </c>
      <c r="K963" s="7" t="str">
        <f t="shared" si="3"/>
        <v/>
      </c>
      <c r="L963" s="1" t="str">
        <f>IF(I963&gt;0,IF(TODAY()-K963&lt;'Анализ'!$D$4+1,1,0),"")</f>
        <v/>
      </c>
    </row>
    <row r="964" ht="15.75" customHeight="1">
      <c r="B964" s="1" t="str">
        <f t="shared" si="1"/>
        <v/>
      </c>
      <c r="F964" s="1"/>
      <c r="G964" s="17"/>
      <c r="I964" s="1" t="str">
        <f>'Исходник'!T590</f>
        <v/>
      </c>
      <c r="J964" s="1" t="str">
        <f t="array" ref="J964">IFERROR(INDEX('Исходник'!$1:$626,MATCH($I964,'Исходник'!$T:$T,0),MATCH(J$1,'Исходник'!$1:$1,0)))</f>
        <v/>
      </c>
      <c r="K964" s="7" t="str">
        <f t="shared" si="3"/>
        <v/>
      </c>
      <c r="L964" s="1" t="str">
        <f>IF(I964&gt;0,IF(TODAY()-K964&lt;'Анализ'!$D$4+1,1,0),"")</f>
        <v/>
      </c>
    </row>
    <row r="965" ht="15.75" customHeight="1">
      <c r="B965" s="1" t="str">
        <f t="shared" si="1"/>
        <v/>
      </c>
      <c r="F965" s="1"/>
      <c r="G965" s="17"/>
      <c r="I965" s="1" t="str">
        <f>'Исходник'!T591</f>
        <v/>
      </c>
      <c r="J965" s="1" t="str">
        <f t="array" ref="J965">IFERROR(INDEX('Исходник'!$1:$626,MATCH($I965,'Исходник'!$T:$T,0),MATCH(J$1,'Исходник'!$1:$1,0)))</f>
        <v/>
      </c>
      <c r="K965" s="7" t="str">
        <f t="shared" si="3"/>
        <v/>
      </c>
      <c r="L965" s="1" t="str">
        <f>IF(I965&gt;0,IF(TODAY()-K965&lt;'Анализ'!$D$4+1,1,0),"")</f>
        <v/>
      </c>
    </row>
    <row r="966" ht="15.75" customHeight="1">
      <c r="B966" s="1" t="str">
        <f t="shared" si="1"/>
        <v/>
      </c>
      <c r="F966" s="1"/>
      <c r="G966" s="17"/>
      <c r="I966" s="1" t="str">
        <f>'Исходник'!T592</f>
        <v/>
      </c>
      <c r="J966" s="1" t="str">
        <f t="array" ref="J966">IFERROR(INDEX('Исходник'!$1:$626,MATCH($I966,'Исходник'!$T:$T,0),MATCH(J$1,'Исходник'!$1:$1,0)))</f>
        <v/>
      </c>
      <c r="K966" s="7" t="str">
        <f t="shared" si="3"/>
        <v/>
      </c>
      <c r="L966" s="1" t="str">
        <f>IF(I966&gt;0,IF(TODAY()-K966&lt;'Анализ'!$D$4+1,1,0),"")</f>
        <v/>
      </c>
    </row>
    <row r="967" ht="15.75" customHeight="1">
      <c r="B967" s="1" t="str">
        <f t="shared" si="1"/>
        <v/>
      </c>
      <c r="F967" s="1"/>
      <c r="G967" s="17"/>
      <c r="I967" s="1" t="str">
        <f>'Исходник'!T593</f>
        <v/>
      </c>
      <c r="J967" s="1" t="str">
        <f t="array" ref="J967">IFERROR(INDEX('Исходник'!$1:$626,MATCH($I967,'Исходник'!$T:$T,0),MATCH(J$1,'Исходник'!$1:$1,0)))</f>
        <v/>
      </c>
      <c r="K967" s="7" t="str">
        <f t="shared" si="3"/>
        <v/>
      </c>
      <c r="L967" s="1" t="str">
        <f>IF(I967&gt;0,IF(TODAY()-K967&lt;'Анализ'!$D$4+1,1,0),"")</f>
        <v/>
      </c>
    </row>
    <row r="968" ht="15.75" customHeight="1">
      <c r="B968" s="1" t="str">
        <f t="shared" si="1"/>
        <v/>
      </c>
      <c r="F968" s="1"/>
      <c r="G968" s="17"/>
      <c r="I968" s="1" t="str">
        <f>'Исходник'!T594</f>
        <v/>
      </c>
      <c r="J968" s="1" t="str">
        <f t="array" ref="J968">IFERROR(INDEX('Исходник'!$1:$626,MATCH($I968,'Исходник'!$T:$T,0),MATCH(J$1,'Исходник'!$1:$1,0)))</f>
        <v/>
      </c>
      <c r="K968" s="7" t="str">
        <f t="shared" si="3"/>
        <v/>
      </c>
      <c r="L968" s="1" t="str">
        <f>IF(I968&gt;0,IF(TODAY()-K968&lt;'Анализ'!$D$4+1,1,0),"")</f>
        <v/>
      </c>
    </row>
    <row r="969" ht="15.75" customHeight="1">
      <c r="B969" s="1" t="str">
        <f t="shared" si="1"/>
        <v/>
      </c>
      <c r="F969" s="1"/>
      <c r="G969" s="17"/>
      <c r="I969" s="1" t="str">
        <f>'Исходник'!T595</f>
        <v/>
      </c>
      <c r="J969" s="1" t="str">
        <f t="array" ref="J969">IFERROR(INDEX('Исходник'!$1:$626,MATCH($I969,'Исходник'!$T:$T,0),MATCH(J$1,'Исходник'!$1:$1,0)))</f>
        <v/>
      </c>
      <c r="K969" s="7" t="str">
        <f t="shared" si="3"/>
        <v/>
      </c>
      <c r="L969" s="1" t="str">
        <f>IF(I969&gt;0,IF(TODAY()-K969&lt;'Анализ'!$D$4+1,1,0),"")</f>
        <v/>
      </c>
    </row>
    <row r="970" ht="15.75" customHeight="1">
      <c r="B970" s="1" t="str">
        <f t="shared" si="1"/>
        <v/>
      </c>
      <c r="F970" s="1"/>
      <c r="G970" s="17"/>
      <c r="I970" s="1" t="str">
        <f>'Исходник'!T596</f>
        <v/>
      </c>
      <c r="J970" s="1" t="str">
        <f t="array" ref="J970">IFERROR(INDEX('Исходник'!$1:$626,MATCH($I970,'Исходник'!$T:$T,0),MATCH(J$1,'Исходник'!$1:$1,0)))</f>
        <v/>
      </c>
      <c r="K970" s="7" t="str">
        <f t="shared" si="3"/>
        <v/>
      </c>
      <c r="L970" s="1" t="str">
        <f>IF(I970&gt;0,IF(TODAY()-K970&lt;'Анализ'!$D$4+1,1,0),"")</f>
        <v/>
      </c>
    </row>
    <row r="971" ht="15.75" customHeight="1">
      <c r="B971" s="1" t="str">
        <f t="shared" si="1"/>
        <v/>
      </c>
      <c r="F971" s="1"/>
      <c r="G971" s="17"/>
      <c r="I971" s="1" t="str">
        <f>'Исходник'!T597</f>
        <v/>
      </c>
      <c r="J971" s="1" t="str">
        <f t="array" ref="J971">IFERROR(INDEX('Исходник'!$1:$626,MATCH($I971,'Исходник'!$T:$T,0),MATCH(J$1,'Исходник'!$1:$1,0)))</f>
        <v/>
      </c>
      <c r="K971" s="7" t="str">
        <f t="shared" si="3"/>
        <v/>
      </c>
      <c r="L971" s="1" t="str">
        <f>IF(I971&gt;0,IF(TODAY()-K971&lt;'Анализ'!$D$4+1,1,0),"")</f>
        <v/>
      </c>
    </row>
    <row r="972" ht="15.75" customHeight="1">
      <c r="B972" s="1" t="str">
        <f t="shared" si="1"/>
        <v/>
      </c>
      <c r="F972" s="1"/>
      <c r="G972" s="17"/>
      <c r="I972" s="1" t="str">
        <f>'Исходник'!T598</f>
        <v/>
      </c>
      <c r="J972" s="1" t="str">
        <f t="array" ref="J972">IFERROR(INDEX('Исходник'!$1:$626,MATCH($I972,'Исходник'!$T:$T,0),MATCH(J$1,'Исходник'!$1:$1,0)))</f>
        <v/>
      </c>
      <c r="K972" s="7" t="str">
        <f t="shared" si="3"/>
        <v/>
      </c>
      <c r="L972" s="1" t="str">
        <f>IF(I972&gt;0,IF(TODAY()-K972&lt;'Анализ'!$D$4+1,1,0),"")</f>
        <v/>
      </c>
    </row>
    <row r="973" ht="15.75" customHeight="1">
      <c r="B973" s="1" t="str">
        <f t="shared" si="1"/>
        <v/>
      </c>
      <c r="F973" s="1"/>
      <c r="G973" s="17"/>
      <c r="I973" s="1" t="str">
        <f>'Исходник'!T599</f>
        <v/>
      </c>
      <c r="J973" s="1" t="str">
        <f t="array" ref="J973">IFERROR(INDEX('Исходник'!$1:$626,MATCH($I973,'Исходник'!$T:$T,0),MATCH(J$1,'Исходник'!$1:$1,0)))</f>
        <v/>
      </c>
      <c r="K973" s="7" t="str">
        <f t="shared" si="3"/>
        <v/>
      </c>
      <c r="L973" s="1" t="str">
        <f>IF(I973&gt;0,IF(TODAY()-K973&lt;'Анализ'!$D$4+1,1,0),"")</f>
        <v/>
      </c>
    </row>
    <row r="974" ht="15.75" customHeight="1">
      <c r="B974" s="1" t="str">
        <f t="shared" si="1"/>
        <v/>
      </c>
      <c r="F974" s="1"/>
      <c r="G974" s="17"/>
      <c r="I974" s="1" t="str">
        <f>'Исходник'!T600</f>
        <v/>
      </c>
      <c r="J974" s="1" t="str">
        <f t="array" ref="J974">IFERROR(INDEX('Исходник'!$1:$626,MATCH($I974,'Исходник'!$T:$T,0),MATCH(J$1,'Исходник'!$1:$1,0)))</f>
        <v/>
      </c>
      <c r="K974" s="7" t="str">
        <f t="shared" si="3"/>
        <v/>
      </c>
      <c r="L974" s="1" t="str">
        <f>IF(I974&gt;0,IF(TODAY()-K974&lt;'Анализ'!$D$4+1,1,0),"")</f>
        <v/>
      </c>
    </row>
    <row r="975" ht="15.75" customHeight="1">
      <c r="B975" s="1" t="str">
        <f t="shared" si="1"/>
        <v/>
      </c>
      <c r="F975" s="1"/>
      <c r="G975" s="17"/>
      <c r="I975" s="1" t="str">
        <f>'Исходник'!T601</f>
        <v/>
      </c>
      <c r="J975" s="1" t="str">
        <f t="array" ref="J975">IFERROR(INDEX('Исходник'!$1:$626,MATCH($I975,'Исходник'!$T:$T,0),MATCH(J$1,'Исходник'!$1:$1,0)))</f>
        <v/>
      </c>
      <c r="K975" s="7" t="str">
        <f t="shared" si="3"/>
        <v/>
      </c>
      <c r="L975" s="1" t="str">
        <f>IF(I975&gt;0,IF(TODAY()-K975&lt;'Анализ'!$D$4+1,1,0),"")</f>
        <v/>
      </c>
    </row>
    <row r="976" ht="15.75" customHeight="1">
      <c r="B976" s="1" t="str">
        <f t="shared" si="1"/>
        <v/>
      </c>
      <c r="F976" s="1"/>
      <c r="G976" s="17"/>
      <c r="I976" s="1" t="str">
        <f>'Исходник'!T602</f>
        <v/>
      </c>
      <c r="J976" s="1" t="str">
        <f t="array" ref="J976">IFERROR(INDEX('Исходник'!$1:$626,MATCH($I976,'Исходник'!$T:$T,0),MATCH(J$1,'Исходник'!$1:$1,0)))</f>
        <v/>
      </c>
      <c r="K976" s="7" t="str">
        <f t="shared" si="3"/>
        <v/>
      </c>
      <c r="L976" s="1" t="str">
        <f>IF(I976&gt;0,IF(TODAY()-K976&lt;'Анализ'!$D$4+1,1,0),"")</f>
        <v/>
      </c>
    </row>
    <row r="977" ht="15.75" customHeight="1">
      <c r="B977" s="1" t="str">
        <f t="shared" si="1"/>
        <v/>
      </c>
      <c r="F977" s="1"/>
      <c r="G977" s="17"/>
      <c r="I977" s="1" t="str">
        <f>'Исходник'!T603</f>
        <v/>
      </c>
      <c r="J977" s="1" t="str">
        <f t="array" ref="J977">IFERROR(INDEX('Исходник'!$1:$626,MATCH($I977,'Исходник'!$T:$T,0),MATCH(J$1,'Исходник'!$1:$1,0)))</f>
        <v/>
      </c>
      <c r="K977" s="7" t="str">
        <f t="shared" si="3"/>
        <v/>
      </c>
      <c r="L977" s="1" t="str">
        <f>IF(I977&gt;0,IF(TODAY()-K977&lt;'Анализ'!$D$4+1,1,0),"")</f>
        <v/>
      </c>
    </row>
    <row r="978" ht="15.75" customHeight="1">
      <c r="B978" s="1" t="str">
        <f t="shared" si="1"/>
        <v/>
      </c>
      <c r="F978" s="1"/>
      <c r="G978" s="17"/>
      <c r="I978" s="1" t="str">
        <f>'Исходник'!T604</f>
        <v/>
      </c>
      <c r="J978" s="1" t="str">
        <f t="array" ref="J978">IFERROR(INDEX('Исходник'!$1:$626,MATCH($I978,'Исходник'!$T:$T,0),MATCH(J$1,'Исходник'!$1:$1,0)))</f>
        <v/>
      </c>
      <c r="K978" s="7" t="str">
        <f t="shared" si="3"/>
        <v/>
      </c>
      <c r="L978" s="1" t="str">
        <f>IF(I978&gt;0,IF(TODAY()-K978&lt;'Анализ'!$D$4+1,1,0),"")</f>
        <v/>
      </c>
    </row>
    <row r="979" ht="15.75" customHeight="1">
      <c r="B979" s="1" t="str">
        <f t="shared" si="1"/>
        <v/>
      </c>
      <c r="F979" s="1"/>
      <c r="G979" s="17"/>
      <c r="I979" s="1" t="str">
        <f>'Исходник'!T605</f>
        <v/>
      </c>
      <c r="J979" s="1" t="str">
        <f t="array" ref="J979">IFERROR(INDEX('Исходник'!$1:$626,MATCH($I979,'Исходник'!$T:$T,0),MATCH(J$1,'Исходник'!$1:$1,0)))</f>
        <v/>
      </c>
      <c r="K979" s="7" t="str">
        <f t="shared" si="3"/>
        <v/>
      </c>
      <c r="L979" s="1" t="str">
        <f>IF(I979&gt;0,IF(TODAY()-K979&lt;'Анализ'!$D$4+1,1,0),"")</f>
        <v/>
      </c>
    </row>
    <row r="980" ht="15.75" customHeight="1">
      <c r="B980" s="1" t="str">
        <f t="shared" si="1"/>
        <v/>
      </c>
      <c r="F980" s="1"/>
      <c r="G980" s="17"/>
      <c r="I980" s="1" t="str">
        <f>'Исходник'!T606</f>
        <v/>
      </c>
      <c r="J980" s="1" t="str">
        <f t="array" ref="J980">IFERROR(INDEX('Исходник'!$1:$626,MATCH($I980,'Исходник'!$T:$T,0),MATCH(J$1,'Исходник'!$1:$1,0)))</f>
        <v/>
      </c>
      <c r="K980" s="7" t="str">
        <f t="shared" si="3"/>
        <v/>
      </c>
      <c r="L980" s="1" t="str">
        <f>IF(I980&gt;0,IF(TODAY()-K980&lt;'Анализ'!$D$4+1,1,0),"")</f>
        <v/>
      </c>
    </row>
    <row r="981" ht="15.75" customHeight="1">
      <c r="B981" s="1" t="str">
        <f t="shared" si="1"/>
        <v/>
      </c>
      <c r="F981" s="1"/>
      <c r="G981" s="17"/>
      <c r="I981" s="1" t="str">
        <f>'Исходник'!T607</f>
        <v/>
      </c>
      <c r="J981" s="1" t="str">
        <f t="array" ref="J981">IFERROR(INDEX('Исходник'!$1:$626,MATCH($I981,'Исходник'!$T:$T,0),MATCH(J$1,'Исходник'!$1:$1,0)))</f>
        <v/>
      </c>
      <c r="K981" s="7" t="str">
        <f t="shared" si="3"/>
        <v/>
      </c>
      <c r="L981" s="1" t="str">
        <f>IF(I981&gt;0,IF(TODAY()-K981&lt;'Анализ'!$D$4+1,1,0),"")</f>
        <v/>
      </c>
    </row>
    <row r="982" ht="15.75" customHeight="1">
      <c r="B982" s="1" t="str">
        <f t="shared" si="1"/>
        <v/>
      </c>
      <c r="F982" s="1"/>
      <c r="G982" s="17"/>
      <c r="I982" s="1" t="str">
        <f>'Исходник'!T608</f>
        <v/>
      </c>
      <c r="J982" s="1" t="str">
        <f t="array" ref="J982">IFERROR(INDEX('Исходник'!$1:$626,MATCH($I982,'Исходник'!$T:$T,0),MATCH(J$1,'Исходник'!$1:$1,0)))</f>
        <v/>
      </c>
      <c r="K982" s="7" t="str">
        <f t="shared" si="3"/>
        <v/>
      </c>
      <c r="L982" s="1" t="str">
        <f>IF(I982&gt;0,IF(TODAY()-K982&lt;'Анализ'!$D$4+1,1,0),"")</f>
        <v/>
      </c>
    </row>
    <row r="983" ht="15.75" customHeight="1">
      <c r="B983" s="1" t="str">
        <f t="shared" si="1"/>
        <v/>
      </c>
      <c r="F983" s="1"/>
      <c r="G983" s="17"/>
      <c r="I983" s="1" t="str">
        <f>'Исходник'!T609</f>
        <v/>
      </c>
      <c r="J983" s="1" t="str">
        <f t="array" ref="J983">IFERROR(INDEX('Исходник'!$1:$626,MATCH($I983,'Исходник'!$T:$T,0),MATCH(J$1,'Исходник'!$1:$1,0)))</f>
        <v/>
      </c>
      <c r="K983" s="7" t="str">
        <f t="shared" si="3"/>
        <v/>
      </c>
      <c r="L983" s="1" t="str">
        <f>IF(I983&gt;0,IF(TODAY()-K983&lt;'Анализ'!$D$4+1,1,0),"")</f>
        <v/>
      </c>
    </row>
    <row r="984" ht="15.75" customHeight="1">
      <c r="B984" s="1" t="str">
        <f t="shared" si="1"/>
        <v/>
      </c>
      <c r="F984" s="1"/>
      <c r="G984" s="17"/>
      <c r="I984" s="1" t="str">
        <f>'Исходник'!T610</f>
        <v/>
      </c>
      <c r="J984" s="1" t="str">
        <f t="array" ref="J984">IFERROR(INDEX('Исходник'!$1:$626,MATCH($I984,'Исходник'!$T:$T,0),MATCH(J$1,'Исходник'!$1:$1,0)))</f>
        <v/>
      </c>
      <c r="K984" s="7" t="str">
        <f t="shared" si="3"/>
        <v/>
      </c>
      <c r="L984" s="1" t="str">
        <f>IF(I984&gt;0,IF(TODAY()-K984&lt;'Анализ'!$D$4+1,1,0),"")</f>
        <v/>
      </c>
    </row>
    <row r="985" ht="15.75" customHeight="1">
      <c r="B985" s="1" t="str">
        <f t="shared" si="1"/>
        <v/>
      </c>
      <c r="F985" s="1"/>
      <c r="G985" s="17"/>
      <c r="I985" s="1" t="str">
        <f>'Исходник'!T611</f>
        <v/>
      </c>
      <c r="J985" s="1" t="str">
        <f t="array" ref="J985">IFERROR(INDEX('Исходник'!$1:$626,MATCH($I985,'Исходник'!$T:$T,0),MATCH(J$1,'Исходник'!$1:$1,0)))</f>
        <v/>
      </c>
      <c r="K985" s="7" t="str">
        <f t="shared" si="3"/>
        <v/>
      </c>
      <c r="L985" s="1" t="str">
        <f>IF(I985&gt;0,IF(TODAY()-K985&lt;'Анализ'!$D$4+1,1,0),"")</f>
        <v/>
      </c>
    </row>
    <row r="986" ht="15.75" customHeight="1">
      <c r="B986" s="1" t="str">
        <f t="shared" si="1"/>
        <v/>
      </c>
      <c r="F986" s="1"/>
      <c r="G986" s="17"/>
      <c r="I986" s="1" t="str">
        <f>'Исходник'!T612</f>
        <v/>
      </c>
      <c r="J986" s="1" t="str">
        <f t="array" ref="J986">IFERROR(INDEX('Исходник'!$1:$626,MATCH($I986,'Исходник'!$T:$T,0),MATCH(J$1,'Исходник'!$1:$1,0)))</f>
        <v/>
      </c>
      <c r="K986" s="7" t="str">
        <f t="shared" si="3"/>
        <v/>
      </c>
      <c r="L986" s="1" t="str">
        <f>IF(I986&gt;0,IF(TODAY()-K986&lt;'Анализ'!$D$4+1,1,0),"")</f>
        <v/>
      </c>
    </row>
    <row r="987" ht="15.75" customHeight="1">
      <c r="B987" s="1" t="str">
        <f t="shared" si="1"/>
        <v/>
      </c>
      <c r="F987" s="1"/>
      <c r="G987" s="17"/>
      <c r="I987" s="1" t="str">
        <f>'Исходник'!T613</f>
        <v/>
      </c>
      <c r="J987" s="1" t="str">
        <f t="array" ref="J987">IFERROR(INDEX('Исходник'!$1:$626,MATCH($I987,'Исходник'!$T:$T,0),MATCH(J$1,'Исходник'!$1:$1,0)))</f>
        <v/>
      </c>
      <c r="K987" s="7" t="str">
        <f t="shared" si="3"/>
        <v/>
      </c>
      <c r="L987" s="1" t="str">
        <f>IF(I987&gt;0,IF(TODAY()-K987&lt;'Анализ'!$D$4+1,1,0),"")</f>
        <v/>
      </c>
    </row>
    <row r="988" ht="15.75" customHeight="1">
      <c r="B988" s="1" t="str">
        <f t="shared" si="1"/>
        <v/>
      </c>
      <c r="F988" s="1"/>
      <c r="G988" s="17"/>
      <c r="I988" s="1" t="str">
        <f>'Исходник'!T614</f>
        <v/>
      </c>
      <c r="J988" s="1" t="str">
        <f t="array" ref="J988">IFERROR(INDEX('Исходник'!$1:$626,MATCH($I988,'Исходник'!$T:$T,0),MATCH(J$1,'Исходник'!$1:$1,0)))</f>
        <v/>
      </c>
      <c r="K988" s="7" t="str">
        <f t="shared" si="3"/>
        <v/>
      </c>
      <c r="L988" s="1" t="str">
        <f>IF(I988&gt;0,IF(TODAY()-K988&lt;'Анализ'!$D$4+1,1,0),"")</f>
        <v/>
      </c>
    </row>
    <row r="989" ht="15.75" customHeight="1">
      <c r="B989" s="1" t="str">
        <f t="shared" si="1"/>
        <v/>
      </c>
      <c r="F989" s="1"/>
      <c r="G989" s="17"/>
      <c r="I989" s="1" t="str">
        <f>'Исходник'!T615</f>
        <v/>
      </c>
      <c r="J989" s="1" t="str">
        <f t="array" ref="J989">IFERROR(INDEX('Исходник'!$1:$626,MATCH($I989,'Исходник'!$T:$T,0),MATCH(J$1,'Исходник'!$1:$1,0)))</f>
        <v/>
      </c>
      <c r="K989" s="7" t="str">
        <f t="shared" si="3"/>
        <v/>
      </c>
      <c r="L989" s="1" t="str">
        <f>IF(I989&gt;0,IF(TODAY()-K989&lt;'Анализ'!$D$4+1,1,0),"")</f>
        <v/>
      </c>
    </row>
    <row r="990" ht="15.75" customHeight="1">
      <c r="B990" s="1" t="str">
        <f t="shared" si="1"/>
        <v/>
      </c>
      <c r="F990" s="1"/>
      <c r="G990" s="17"/>
      <c r="I990" s="1" t="str">
        <f>'Исходник'!T616</f>
        <v/>
      </c>
      <c r="J990" s="1" t="str">
        <f t="array" ref="J990">IFERROR(INDEX('Исходник'!$1:$626,MATCH($I990,'Исходник'!$T:$T,0),MATCH(J$1,'Исходник'!$1:$1,0)))</f>
        <v/>
      </c>
      <c r="K990" s="7" t="str">
        <f t="shared" si="3"/>
        <v/>
      </c>
      <c r="L990" s="1" t="str">
        <f>IF(I990&gt;0,IF(TODAY()-K990&lt;'Анализ'!$D$4+1,1,0),"")</f>
        <v/>
      </c>
    </row>
    <row r="991" ht="15.75" customHeight="1">
      <c r="B991" s="1" t="str">
        <f t="shared" si="1"/>
        <v/>
      </c>
      <c r="F991" s="1"/>
      <c r="G991" s="17"/>
      <c r="I991" s="1" t="str">
        <f>'Исходник'!T617</f>
        <v/>
      </c>
      <c r="J991" s="1" t="str">
        <f t="array" ref="J991">IFERROR(INDEX('Исходник'!$1:$626,MATCH($I991,'Исходник'!$T:$T,0),MATCH(J$1,'Исходник'!$1:$1,0)))</f>
        <v/>
      </c>
      <c r="K991" s="7" t="str">
        <f t="shared" si="3"/>
        <v/>
      </c>
      <c r="L991" s="1" t="str">
        <f>IF(I991&gt;0,IF(TODAY()-K991&lt;'Анализ'!$D$4+1,1,0),"")</f>
        <v/>
      </c>
    </row>
    <row r="992" ht="15.75" customHeight="1">
      <c r="B992" s="1" t="str">
        <f t="shared" si="1"/>
        <v/>
      </c>
      <c r="F992" s="1"/>
      <c r="G992" s="17"/>
      <c r="I992" s="1" t="str">
        <f>'Исходник'!T618</f>
        <v/>
      </c>
      <c r="J992" s="1" t="str">
        <f t="array" ref="J992">IFERROR(INDEX('Исходник'!$1:$626,MATCH($I992,'Исходник'!$T:$T,0),MATCH(J$1,'Исходник'!$1:$1,0)))</f>
        <v/>
      </c>
      <c r="K992" s="7" t="str">
        <f t="shared" si="3"/>
        <v/>
      </c>
      <c r="L992" s="1" t="str">
        <f>IF(I992&gt;0,IF(TODAY()-K992&lt;'Анализ'!$D$4+1,1,0),"")</f>
        <v/>
      </c>
    </row>
    <row r="993" ht="15.75" customHeight="1">
      <c r="B993" s="1" t="str">
        <f t="shared" si="1"/>
        <v/>
      </c>
      <c r="F993" s="1"/>
      <c r="G993" s="17"/>
      <c r="I993" s="1" t="str">
        <f>'Исходник'!T619</f>
        <v/>
      </c>
      <c r="J993" s="1" t="str">
        <f t="array" ref="J993">IFERROR(INDEX('Исходник'!$1:$626,MATCH($I993,'Исходник'!$T:$T,0),MATCH(J$1,'Исходник'!$1:$1,0)))</f>
        <v/>
      </c>
      <c r="K993" s="7" t="str">
        <f t="shared" si="3"/>
        <v/>
      </c>
      <c r="L993" s="1" t="str">
        <f>IF(I993&gt;0,IF(TODAY()-K993&lt;'Анализ'!$D$4+1,1,0),"")</f>
        <v/>
      </c>
    </row>
    <row r="994" ht="15.75" customHeight="1">
      <c r="B994" s="1" t="str">
        <f t="shared" si="1"/>
        <v/>
      </c>
      <c r="F994" s="26"/>
      <c r="G994" s="17"/>
      <c r="I994" s="1" t="str">
        <f>'Исходник'!T620</f>
        <v/>
      </c>
      <c r="J994" s="1" t="str">
        <f t="array" ref="J994">IFERROR(INDEX('Исходник'!$1:$626,MATCH($I994,'Исходник'!$T:$T,0),MATCH(J$1,'Исходник'!$1:$1,0)))</f>
        <v/>
      </c>
      <c r="K994" s="7" t="str">
        <f t="shared" si="3"/>
        <v/>
      </c>
      <c r="L994" s="1" t="str">
        <f>IF(I994&gt;0,IF(TODAY()-K994&lt;'Анализ'!$D$4+1,1,0),"")</f>
        <v/>
      </c>
    </row>
    <row r="995" ht="15.75" customHeight="1">
      <c r="B995" s="1" t="str">
        <f t="shared" si="1"/>
        <v/>
      </c>
      <c r="F995" s="26"/>
      <c r="G995" s="17"/>
      <c r="I995" s="1" t="str">
        <f>'Исходник'!T621</f>
        <v/>
      </c>
      <c r="J995" s="1" t="str">
        <f t="array" ref="J995">IFERROR(INDEX('Исходник'!$1:$626,MATCH($I995,'Исходник'!$T:$T,0),MATCH(J$1,'Исходник'!$1:$1,0)))</f>
        <v/>
      </c>
      <c r="K995" s="7" t="str">
        <f t="shared" si="3"/>
        <v/>
      </c>
      <c r="L995" s="1" t="str">
        <f>IF(I995&gt;0,IF(TODAY()-K995&lt;'Анализ'!$D$4+1,1,0),"")</f>
        <v/>
      </c>
    </row>
    <row r="996" ht="15.75" customHeight="1">
      <c r="B996" s="1" t="str">
        <f t="shared" si="1"/>
        <v/>
      </c>
      <c r="F996" s="26"/>
      <c r="G996" s="17"/>
      <c r="I996" s="1" t="str">
        <f>'Исходник'!T622</f>
        <v/>
      </c>
      <c r="J996" s="1" t="str">
        <f t="array" ref="J996">IFERROR(INDEX('Исходник'!$1:$626,MATCH($I996,'Исходник'!$T:$T,0),MATCH(J$1,'Исходник'!$1:$1,0)))</f>
        <v/>
      </c>
      <c r="K996" s="7" t="str">
        <f t="shared" si="3"/>
        <v/>
      </c>
      <c r="L996" s="1" t="str">
        <f>IF(I996&gt;0,IF(TODAY()-K996&lt;'Анализ'!$D$4+1,1,0),"")</f>
        <v/>
      </c>
    </row>
    <row r="997" ht="15.75" customHeight="1">
      <c r="B997" s="1" t="str">
        <f t="shared" si="1"/>
        <v/>
      </c>
      <c r="F997" s="26"/>
      <c r="G997" s="17"/>
      <c r="I997" s="1" t="str">
        <f>'Исходник'!T623</f>
        <v/>
      </c>
      <c r="J997" s="1" t="str">
        <f t="array" ref="J997">IFERROR(INDEX('Исходник'!$1:$626,MATCH($I997,'Исходник'!$T:$T,0),MATCH(J$1,'Исходник'!$1:$1,0)))</f>
        <v/>
      </c>
      <c r="K997" s="7" t="str">
        <f t="shared" si="3"/>
        <v/>
      </c>
      <c r="L997" s="1" t="str">
        <f>IF(I997&gt;0,IF(TODAY()-K997&lt;'Анализ'!$D$4+1,1,0),"")</f>
        <v/>
      </c>
    </row>
    <row r="998" ht="15.75" customHeight="1">
      <c r="B998" s="1" t="str">
        <f t="shared" si="1"/>
        <v/>
      </c>
      <c r="F998" s="26"/>
      <c r="G998" s="17"/>
      <c r="I998" s="1" t="str">
        <f>'Исходник'!T624</f>
        <v/>
      </c>
      <c r="J998" s="1" t="str">
        <f t="array" ref="J998">IFERROR(INDEX('Исходник'!$1:$626,MATCH($I998,'Исходник'!$T:$T,0),MATCH(J$1,'Исходник'!$1:$1,0)))</f>
        <v/>
      </c>
      <c r="K998" s="7" t="str">
        <f t="shared" si="3"/>
        <v/>
      </c>
      <c r="L998" s="1" t="str">
        <f>IF(I998&gt;0,IF(TODAY()-K998&lt;'Анализ'!$D$4+1,1,0),"")</f>
        <v/>
      </c>
    </row>
    <row r="999" ht="15.75" customHeight="1">
      <c r="B999" s="1" t="str">
        <f t="shared" si="1"/>
        <v/>
      </c>
      <c r="F999" s="26"/>
      <c r="G999" s="17"/>
      <c r="I999" s="1" t="str">
        <f>'Исходник'!T625</f>
        <v/>
      </c>
      <c r="J999" s="1" t="str">
        <f t="array" ref="J999">IFERROR(INDEX('Исходник'!$1:$626,MATCH($I999,'Исходник'!$T:$T,0),MATCH(J$1,'Исходник'!$1:$1,0)))</f>
        <v/>
      </c>
      <c r="K999" s="7" t="str">
        <f t="shared" si="3"/>
        <v/>
      </c>
      <c r="L999" s="1" t="str">
        <f>IF(I999&gt;0,IF(TODAY()-K999&lt;'Анализ'!$D$4+1,1,0),"")</f>
        <v/>
      </c>
    </row>
    <row r="1000" ht="15.75" customHeight="1">
      <c r="B1000" s="1" t="str">
        <f t="shared" si="1"/>
        <v/>
      </c>
      <c r="G1000" s="17"/>
      <c r="I1000" s="1" t="str">
        <f>'Исходник'!T626</f>
        <v/>
      </c>
      <c r="J1000" s="1" t="str">
        <f t="array" ref="J1000">IFERROR(INDEX('Исходник'!$1:$626,MATCH($I1000,'Исходник'!$T:$T,0),MATCH(J$1,'Исходник'!$1:$1,0)))</f>
        <v/>
      </c>
      <c r="K1000" s="7" t="str">
        <f t="shared" si="3"/>
        <v/>
      </c>
      <c r="L1000" s="1" t="str">
        <f>IF(I1000&gt;0,IF(TODAY()-K1000&lt;'Анализ'!$D$4+1,1,0),"")</f>
        <v/>
      </c>
    </row>
    <row r="1001" ht="15.75" customHeight="1">
      <c r="B1001" s="1" t="str">
        <f t="shared" si="1"/>
        <v/>
      </c>
      <c r="G1001" s="17"/>
      <c r="J1001" s="1" t="str">
        <f t="array" ref="J1001">IFERROR(INDEX('Исходник'!$1:$626,MATCH($I1001,'Исходник'!$T:$T,0),MATCH(J$1,'Исходник'!$1:$1,0)))</f>
        <v/>
      </c>
      <c r="K1001" s="7" t="str">
        <f t="shared" si="3"/>
        <v/>
      </c>
      <c r="L1001" s="1" t="str">
        <f>IF(I1001&gt;0,IF(TODAY()-K1001&lt;'Анализ'!$D$4+1,1,0),"")</f>
        <v/>
      </c>
    </row>
    <row r="1002" ht="15.75" customHeight="1">
      <c r="B1002" s="1" t="str">
        <f t="shared" si="1"/>
        <v/>
      </c>
      <c r="G1002" s="17"/>
      <c r="J1002" s="1" t="str">
        <f t="array" ref="J1002">IFERROR(INDEX('Исходник'!$1:$626,MATCH($I1002,'Исходник'!$T:$T,0),MATCH(J$1,'Исходник'!$1:$1,0)))</f>
        <v/>
      </c>
      <c r="K1002" s="7" t="str">
        <f t="shared" si="3"/>
        <v/>
      </c>
      <c r="L1002" s="1" t="str">
        <f>IF(I1002&gt;0,IF(TODAY()-K1002&lt;'Анализ'!$D$4+1,1,0),"")</f>
        <v/>
      </c>
    </row>
    <row r="1003" ht="15.75" customHeight="1">
      <c r="B1003" s="1" t="str">
        <f t="shared" si="1"/>
        <v/>
      </c>
      <c r="G1003" s="17"/>
      <c r="J1003" s="1" t="str">
        <f t="array" ref="J1003">IFERROR(INDEX('Исходник'!$1:$626,MATCH($I1003,'Исходник'!$T:$T,0),MATCH(J$1,'Исходник'!$1:$1,0)))</f>
        <v/>
      </c>
      <c r="K1003" s="7" t="str">
        <f t="shared" si="3"/>
        <v/>
      </c>
      <c r="L1003" s="1" t="str">
        <f>IF(I1003&gt;0,IF(TODAY()-K1003&lt;'Анализ'!$D$4+1,1,0),"")</f>
        <v/>
      </c>
    </row>
    <row r="1004" ht="15.75" customHeight="1">
      <c r="B1004" s="1" t="str">
        <f t="shared" si="1"/>
        <v/>
      </c>
      <c r="G1004" s="17"/>
      <c r="J1004" s="1" t="str">
        <f t="array" ref="J1004">IFERROR(INDEX('Исходник'!$1:$626,MATCH($I1004,'Исходник'!$T:$T,0),MATCH(J$1,'Исходник'!$1:$1,0)))</f>
        <v/>
      </c>
      <c r="K1004" s="7" t="str">
        <f t="shared" si="3"/>
        <v/>
      </c>
      <c r="L1004" s="1" t="str">
        <f>IF(I1004&gt;0,IF(TODAY()-K1004&lt;'Анализ'!$D$4+1,1,0),"")</f>
        <v/>
      </c>
    </row>
    <row r="1005" ht="15.75" customHeight="1">
      <c r="B1005" s="1" t="str">
        <f t="shared" si="1"/>
        <v/>
      </c>
      <c r="G1005" s="17"/>
      <c r="J1005" s="1" t="str">
        <f t="array" ref="J1005">IFERROR(INDEX('Исходник'!$1:$626,MATCH($I1005,'Исходник'!$T:$T,0),MATCH(J$1,'Исходник'!$1:$1,0)))</f>
        <v/>
      </c>
      <c r="K1005" s="7" t="str">
        <f t="shared" si="3"/>
        <v/>
      </c>
      <c r="L1005" s="1" t="str">
        <f>IF(I1005&gt;0,IF(TODAY()-K1005&lt;'Анализ'!$D$4+1,1,0),"")</f>
        <v/>
      </c>
    </row>
    <row r="1006" ht="15.75" customHeight="1">
      <c r="B1006" s="1" t="str">
        <f t="shared" si="1"/>
        <v/>
      </c>
      <c r="G1006" s="17"/>
      <c r="J1006" s="1" t="str">
        <f t="array" ref="J1006">IFERROR(INDEX('Исходник'!$1:$626,MATCH($I1006,'Исходник'!$T:$T,0),MATCH(J$1,'Исходник'!$1:$1,0)))</f>
        <v/>
      </c>
      <c r="K1006" s="7" t="str">
        <f t="shared" si="3"/>
        <v/>
      </c>
      <c r="L1006" s="1" t="str">
        <f>IF(I1006&gt;0,IF(TODAY()-K1006&lt;'Анализ'!$D$4+1,1,0),"")</f>
        <v/>
      </c>
    </row>
    <row r="1007" ht="15.75" customHeight="1">
      <c r="B1007" s="1" t="str">
        <f t="shared" si="1"/>
        <v/>
      </c>
      <c r="G1007" s="17"/>
      <c r="J1007" s="1" t="str">
        <f t="array" ref="J1007">IFERROR(INDEX('Исходник'!$1:$626,MATCH($I1007,'Исходник'!$T:$T,0),MATCH(J$1,'Исходник'!$1:$1,0)))</f>
        <v/>
      </c>
      <c r="K1007" s="7" t="str">
        <f t="shared" si="3"/>
        <v/>
      </c>
      <c r="L1007" s="1" t="str">
        <f>IF(I1007&gt;0,IF(TODAY()-K1007&lt;'Анализ'!$D$4+1,1,0),"")</f>
        <v/>
      </c>
    </row>
    <row r="1008" ht="15.75" customHeight="1">
      <c r="B1008" s="1" t="str">
        <f t="shared" si="1"/>
        <v/>
      </c>
      <c r="G1008" s="17"/>
      <c r="J1008" s="1" t="str">
        <f t="array" ref="J1008">IFERROR(INDEX('Исходник'!$1:$626,MATCH($I1008,'Исходник'!$T:$T,0),MATCH(J$1,'Исходник'!$1:$1,0)))</f>
        <v/>
      </c>
      <c r="K1008" s="7" t="str">
        <f t="shared" si="3"/>
        <v/>
      </c>
      <c r="L1008" s="1" t="str">
        <f>IF(I1008&gt;0,IF(TODAY()-K1008&lt;'Анализ'!$D$4+1,1,0),"")</f>
        <v/>
      </c>
    </row>
    <row r="1009" ht="15.75" customHeight="1">
      <c r="B1009" s="1" t="str">
        <f t="shared" si="1"/>
        <v/>
      </c>
      <c r="G1009" s="17"/>
      <c r="J1009" s="1" t="str">
        <f t="array" ref="J1009">IFERROR(INDEX('Исходник'!$1:$626,MATCH($I1009,'Исходник'!$T:$T,0),MATCH(J$1,'Исходник'!$1:$1,0)))</f>
        <v/>
      </c>
      <c r="K1009" s="7" t="str">
        <f t="shared" si="3"/>
        <v/>
      </c>
      <c r="L1009" s="1" t="str">
        <f>IF(I1009&gt;0,IF(TODAY()-K1009&lt;'Анализ'!$D$4+1,1,0),"")</f>
        <v/>
      </c>
    </row>
    <row r="1010" ht="15.75" customHeight="1">
      <c r="B1010" s="1" t="str">
        <f t="shared" si="1"/>
        <v/>
      </c>
      <c r="G1010" s="17"/>
      <c r="J1010" s="1" t="str">
        <f t="array" ref="J1010">IFERROR(INDEX('Исходник'!$1:$626,MATCH($I1010,'Исходник'!$T:$T,0),MATCH(J$1,'Исходник'!$1:$1,0)))</f>
        <v/>
      </c>
      <c r="K1010" s="7" t="str">
        <f t="shared" si="3"/>
        <v/>
      </c>
      <c r="L1010" s="1" t="str">
        <f>IF(I1010&gt;0,IF(TODAY()-K1010&lt;'Анализ'!$D$4+1,1,0),"")</f>
        <v/>
      </c>
    </row>
    <row r="1011" ht="15.75" customHeight="1">
      <c r="B1011" s="1" t="str">
        <f t="shared" si="1"/>
        <v/>
      </c>
      <c r="G1011" s="17"/>
      <c r="J1011" s="1" t="str">
        <f t="array" ref="J1011">IFERROR(INDEX('Исходник'!$1:$626,MATCH($I1011,'Исходник'!$T:$T,0),MATCH(J$1,'Исходник'!$1:$1,0)))</f>
        <v/>
      </c>
      <c r="K1011" s="7" t="str">
        <f t="shared" si="3"/>
        <v/>
      </c>
      <c r="L1011" s="1" t="str">
        <f>IF(I1011&gt;0,IF(TODAY()-K1011&lt;'Анализ'!$D$4+1,1,0),"")</f>
        <v/>
      </c>
    </row>
    <row r="1012" ht="15.75" customHeight="1">
      <c r="B1012" s="1" t="str">
        <f t="shared" si="1"/>
        <v/>
      </c>
      <c r="G1012" s="17"/>
      <c r="J1012" s="1" t="str">
        <f t="array" ref="J1012">IFERROR(INDEX('Исходник'!$1:$626,MATCH($I1012,'Исходник'!$T:$T,0),MATCH(J$1,'Исходник'!$1:$1,0)))</f>
        <v/>
      </c>
      <c r="K1012" s="7" t="str">
        <f t="shared" si="3"/>
        <v/>
      </c>
      <c r="L1012" s="1" t="str">
        <f>IF(I1012&gt;0,IF(TODAY()-K1012&lt;'Анализ'!$D$4+1,1,0),"")</f>
        <v/>
      </c>
    </row>
    <row r="1013" ht="15.75" customHeight="1">
      <c r="B1013" s="1" t="str">
        <f t="shared" si="1"/>
        <v/>
      </c>
      <c r="G1013" s="17"/>
      <c r="J1013" s="1" t="str">
        <f t="array" ref="J1013">IFERROR(INDEX('Исходник'!$1:$626,MATCH($I1013,'Исходник'!$T:$T,0),MATCH(J$1,'Исходник'!$1:$1,0)))</f>
        <v/>
      </c>
      <c r="K1013" s="7" t="str">
        <f t="shared" si="3"/>
        <v/>
      </c>
      <c r="L1013" s="1" t="str">
        <f>IF(I1013&gt;0,IF(TODAY()-K1013&lt;'Анализ'!$D$4+1,1,0),"")</f>
        <v/>
      </c>
    </row>
    <row r="1014" ht="15.75" customHeight="1">
      <c r="B1014" s="1" t="str">
        <f t="shared" si="1"/>
        <v/>
      </c>
      <c r="G1014" s="17"/>
      <c r="J1014" s="1" t="str">
        <f t="array" ref="J1014">IFERROR(INDEX('Исходник'!$1:$626,MATCH($I1014,'Исходник'!$T:$T,0),MATCH(J$1,'Исходник'!$1:$1,0)))</f>
        <v/>
      </c>
      <c r="K1014" s="7" t="str">
        <f t="shared" si="3"/>
        <v/>
      </c>
      <c r="L1014" s="1" t="str">
        <f>IF(I1014&gt;0,IF(TODAY()-K1014&lt;'Анализ'!$D$4+1,1,0),"")</f>
        <v/>
      </c>
    </row>
    <row r="1015" ht="15.75" customHeight="1">
      <c r="B1015" s="1" t="str">
        <f t="shared" si="1"/>
        <v/>
      </c>
      <c r="G1015" s="17"/>
      <c r="J1015" s="1" t="str">
        <f t="array" ref="J1015">IFERROR(INDEX('Исходник'!$1:$626,MATCH($I1015,'Исходник'!$T:$T,0),MATCH(J$1,'Исходник'!$1:$1,0)))</f>
        <v/>
      </c>
      <c r="K1015" s="7" t="str">
        <f t="shared" si="3"/>
        <v/>
      </c>
      <c r="L1015" s="1" t="str">
        <f>IF(I1015&gt;0,IF(TODAY()-K1015&lt;'Анализ'!$D$4+1,1,0),"")</f>
        <v/>
      </c>
    </row>
    <row r="1016" ht="15.75" customHeight="1">
      <c r="B1016" s="1" t="str">
        <f t="shared" si="1"/>
        <v/>
      </c>
      <c r="G1016" s="17"/>
      <c r="J1016" s="1" t="str">
        <f t="array" ref="J1016">IFERROR(INDEX('Исходник'!$1:$626,MATCH($I1016,'Исходник'!$T:$T,0),MATCH(J$1,'Исходник'!$1:$1,0)))</f>
        <v/>
      </c>
      <c r="K1016" s="7" t="str">
        <f t="shared" si="3"/>
        <v/>
      </c>
      <c r="L1016" s="1" t="str">
        <f>IF(I1016&gt;0,IF(TODAY()-K1016&lt;'Анализ'!$D$4+1,1,0),"")</f>
        <v/>
      </c>
    </row>
    <row r="1017" ht="15.75" customHeight="1">
      <c r="B1017" s="1" t="str">
        <f t="shared" si="1"/>
        <v/>
      </c>
      <c r="G1017" s="17"/>
      <c r="J1017" s="1" t="str">
        <f t="array" ref="J1017">IFERROR(INDEX('Исходник'!$1:$626,MATCH($I1017,'Исходник'!$T:$T,0),MATCH(J$1,'Исходник'!$1:$1,0)))</f>
        <v/>
      </c>
      <c r="K1017" s="7" t="str">
        <f t="shared" si="3"/>
        <v/>
      </c>
      <c r="L1017" s="1" t="str">
        <f>IF(I1017&gt;0,IF(TODAY()-K1017&lt;'Анализ'!$D$4+1,1,0),"")</f>
        <v/>
      </c>
    </row>
    <row r="1018" ht="15.75" customHeight="1">
      <c r="B1018" s="1" t="str">
        <f t="shared" si="1"/>
        <v/>
      </c>
      <c r="G1018" s="17"/>
      <c r="J1018" s="1" t="str">
        <f t="array" ref="J1018">IFERROR(INDEX('Исходник'!$1:$626,MATCH($I1018,'Исходник'!$T:$T,0),MATCH(J$1,'Исходник'!$1:$1,0)))</f>
        <v/>
      </c>
      <c r="K1018" s="7" t="str">
        <f t="shared" si="3"/>
        <v/>
      </c>
      <c r="L1018" s="1" t="str">
        <f>IF(I1018&gt;0,IF(TODAY()-K1018&lt;'Анализ'!$D$4+1,1,0),"")</f>
        <v/>
      </c>
    </row>
    <row r="1019" ht="15.75" customHeight="1">
      <c r="B1019" s="1" t="str">
        <f t="shared" si="1"/>
        <v/>
      </c>
      <c r="G1019" s="17"/>
      <c r="J1019" s="1" t="str">
        <f t="array" ref="J1019">IFERROR(INDEX('Исходник'!$1:$626,MATCH($I1019,'Исходник'!$T:$T,0),MATCH(J$1,'Исходник'!$1:$1,0)))</f>
        <v/>
      </c>
      <c r="K1019" s="7" t="str">
        <f t="shared" si="3"/>
        <v/>
      </c>
      <c r="L1019" s="1" t="str">
        <f>IF(I1019&gt;0,IF(TODAY()-K1019&lt;'Анализ'!$D$4+1,1,0),"")</f>
        <v/>
      </c>
    </row>
    <row r="1020" ht="15.75" customHeight="1">
      <c r="B1020" s="1" t="str">
        <f t="shared" si="1"/>
        <v/>
      </c>
      <c r="G1020" s="17"/>
      <c r="J1020" s="1" t="str">
        <f t="array" ref="J1020">IFERROR(INDEX('Исходник'!$1:$626,MATCH($I1020,'Исходник'!$T:$T,0),MATCH(J$1,'Исходник'!$1:$1,0)))</f>
        <v/>
      </c>
      <c r="K1020" s="7" t="str">
        <f t="shared" si="3"/>
        <v/>
      </c>
      <c r="L1020" s="1" t="str">
        <f>IF(I1020&gt;0,IF(TODAY()-K1020&lt;'Анализ'!$D$4+1,1,0),"")</f>
        <v/>
      </c>
    </row>
    <row r="1021" ht="15.75" customHeight="1">
      <c r="B1021" s="1" t="str">
        <f t="shared" si="1"/>
        <v/>
      </c>
      <c r="G1021" s="17"/>
      <c r="J1021" s="1" t="str">
        <f t="array" ref="J1021">IFERROR(INDEX('Исходник'!$1:$626,MATCH($I1021,'Исходник'!$T:$T,0),MATCH(J$1,'Исходник'!$1:$1,0)))</f>
        <v/>
      </c>
      <c r="K1021" s="7" t="str">
        <f t="shared" si="3"/>
        <v/>
      </c>
      <c r="L1021" s="1" t="str">
        <f>IF(I1021&gt;0,IF(TODAY()-K1021&lt;'Анализ'!$D$4+1,1,0),"")</f>
        <v/>
      </c>
    </row>
    <row r="1022" ht="15.75" customHeight="1">
      <c r="B1022" s="1" t="str">
        <f t="shared" si="1"/>
        <v/>
      </c>
      <c r="G1022" s="17"/>
      <c r="J1022" s="1" t="str">
        <f t="array" ref="J1022">IFERROR(INDEX('Исходник'!$1:$626,MATCH($I1022,'Исходник'!$T:$T,0),MATCH(J$1,'Исходник'!$1:$1,0)))</f>
        <v/>
      </c>
      <c r="K1022" s="7" t="str">
        <f t="shared" si="3"/>
        <v/>
      </c>
      <c r="L1022" s="1" t="str">
        <f>IF(I1022&gt;0,IF(TODAY()-K1022&lt;'Анализ'!$D$4+1,1,0),"")</f>
        <v/>
      </c>
    </row>
    <row r="1023" ht="15.75" customHeight="1">
      <c r="B1023" s="1" t="str">
        <f t="shared" si="1"/>
        <v/>
      </c>
      <c r="G1023" s="17"/>
      <c r="J1023" s="1" t="str">
        <f t="array" ref="J1023">IFERROR(INDEX('Исходник'!$1:$626,MATCH($I1023,'Исходник'!$T:$T,0),MATCH(J$1,'Исходник'!$1:$1,0)))</f>
        <v/>
      </c>
      <c r="K1023" s="7" t="str">
        <f t="shared" si="3"/>
        <v/>
      </c>
      <c r="L1023" s="1" t="str">
        <f>IF(I1023&gt;0,IF(TODAY()-K1023&lt;'Анализ'!$D$4+1,1,0),"")</f>
        <v/>
      </c>
    </row>
    <row r="1024" ht="15.75" customHeight="1">
      <c r="B1024" s="1" t="str">
        <f t="shared" si="1"/>
        <v/>
      </c>
      <c r="G1024" s="17"/>
      <c r="J1024" s="1" t="str">
        <f t="array" ref="J1024">IFERROR(INDEX('Исходник'!$1:$626,MATCH($I1024,'Исходник'!$T:$T,0),MATCH(J$1,'Исходник'!$1:$1,0)))</f>
        <v/>
      </c>
      <c r="K1024" s="7" t="str">
        <f t="shared" si="3"/>
        <v/>
      </c>
      <c r="L1024" s="1" t="str">
        <f>IF(I1024&gt;0,IF(TODAY()-K1024&lt;'Анализ'!$D$4+1,1,0),"")</f>
        <v/>
      </c>
    </row>
    <row r="1025" ht="15.75" customHeight="1">
      <c r="B1025" s="1" t="str">
        <f t="shared" si="1"/>
        <v/>
      </c>
      <c r="G1025" s="17"/>
      <c r="J1025" s="1" t="str">
        <f t="array" ref="J1025">IFERROR(INDEX('Исходник'!$1:$626,MATCH($I1025,'Исходник'!$T:$T,0),MATCH(J$1,'Исходник'!$1:$1,0)))</f>
        <v/>
      </c>
      <c r="K1025" s="7" t="str">
        <f t="shared" si="3"/>
        <v/>
      </c>
      <c r="L1025" s="1" t="str">
        <f>IF(I1025&gt;0,IF(TODAY()-K1025&lt;'Анализ'!$D$4+1,1,0),"")</f>
        <v/>
      </c>
    </row>
    <row r="1026" ht="15.75" customHeight="1">
      <c r="B1026" s="1" t="str">
        <f t="shared" si="1"/>
        <v/>
      </c>
      <c r="G1026" s="17"/>
      <c r="J1026" s="1" t="str">
        <f t="array" ref="J1026">IFERROR(INDEX('Исходник'!$1:$626,MATCH($I1026,'Исходник'!$T:$T,0),MATCH(J$1,'Исходник'!$1:$1,0)))</f>
        <v/>
      </c>
      <c r="K1026" s="7" t="str">
        <f t="shared" si="3"/>
        <v/>
      </c>
      <c r="L1026" s="1" t="str">
        <f>IF(I1026&gt;0,IF(TODAY()-K1026&lt;'Анализ'!$D$4+1,1,0),"")</f>
        <v/>
      </c>
    </row>
    <row r="1027" ht="15.75" customHeight="1">
      <c r="B1027" s="1" t="str">
        <f t="shared" si="1"/>
        <v/>
      </c>
      <c r="G1027" s="17"/>
      <c r="J1027" s="1" t="str">
        <f t="array" ref="J1027">IFERROR(INDEX('Исходник'!$1:$626,MATCH($I1027,'Исходник'!$T:$T,0),MATCH(J$1,'Исходник'!$1:$1,0)))</f>
        <v/>
      </c>
      <c r="K1027" s="7" t="str">
        <f t="shared" si="3"/>
        <v/>
      </c>
      <c r="L1027" s="1" t="str">
        <f>IF(I1027&gt;0,IF(TODAY()-K1027&lt;'Анализ'!$D$4+1,1,0),"")</f>
        <v/>
      </c>
    </row>
    <row r="1028" ht="15.75" customHeight="1">
      <c r="B1028" s="1" t="str">
        <f t="shared" si="1"/>
        <v/>
      </c>
      <c r="G1028" s="17"/>
      <c r="J1028" s="1" t="str">
        <f t="array" ref="J1028">IFERROR(INDEX('Исходник'!$1:$626,MATCH($I1028,'Исходник'!$T:$T,0),MATCH(J$1,'Исходник'!$1:$1,0)))</f>
        <v/>
      </c>
      <c r="K1028" s="7" t="str">
        <f t="shared" si="3"/>
        <v/>
      </c>
      <c r="L1028" s="1" t="str">
        <f>IF(I1028&gt;0,IF(TODAY()-K1028&lt;'Анализ'!$D$4+1,1,0),"")</f>
        <v/>
      </c>
    </row>
    <row r="1029" ht="15.75" customHeight="1">
      <c r="B1029" s="1" t="str">
        <f t="shared" si="1"/>
        <v/>
      </c>
      <c r="G1029" s="17"/>
      <c r="J1029" s="1" t="str">
        <f t="array" ref="J1029">IFERROR(INDEX('Исходник'!$1:$626,MATCH($I1029,'Исходник'!$T:$T,0),MATCH(J$1,'Исходник'!$1:$1,0)))</f>
        <v/>
      </c>
      <c r="K1029" s="7" t="str">
        <f t="shared" si="3"/>
        <v/>
      </c>
      <c r="L1029" s="1" t="str">
        <f>IF(I1029&gt;0,IF(TODAY()-K1029&lt;'Анализ'!$D$4+1,1,0),"")</f>
        <v/>
      </c>
    </row>
    <row r="1030" ht="15.75" customHeight="1">
      <c r="B1030" s="1" t="str">
        <f t="shared" si="1"/>
        <v/>
      </c>
      <c r="G1030" s="17"/>
      <c r="J1030" s="1" t="str">
        <f t="array" ref="J1030">IFERROR(INDEX('Исходник'!$1:$626,MATCH($I1030,'Исходник'!$T:$T,0),MATCH(J$1,'Исходник'!$1:$1,0)))</f>
        <v/>
      </c>
      <c r="K1030" s="7" t="str">
        <f t="shared" si="3"/>
        <v/>
      </c>
      <c r="L1030" s="1" t="str">
        <f>IF(I1030&gt;0,IF(TODAY()-K1030&lt;'Анализ'!$D$4+1,1,0),"")</f>
        <v/>
      </c>
    </row>
    <row r="1031" ht="15.75" customHeight="1">
      <c r="B1031" s="1" t="str">
        <f t="shared" si="1"/>
        <v/>
      </c>
      <c r="G1031" s="17"/>
      <c r="J1031" s="1" t="str">
        <f t="array" ref="J1031">IFERROR(INDEX('Исходник'!$1:$626,MATCH($I1031,'Исходник'!$T:$T,0),MATCH(J$1,'Исходник'!$1:$1,0)))</f>
        <v/>
      </c>
      <c r="K1031" s="7" t="str">
        <f t="shared" si="3"/>
        <v/>
      </c>
      <c r="L1031" s="1" t="str">
        <f>IF(I1031&gt;0,IF(TODAY()-K1031&lt;'Анализ'!$D$4+1,1,0),"")</f>
        <v/>
      </c>
    </row>
    <row r="1032" ht="15.75" customHeight="1">
      <c r="B1032" s="1" t="str">
        <f t="shared" si="1"/>
        <v/>
      </c>
      <c r="G1032" s="17"/>
      <c r="J1032" s="1" t="str">
        <f t="array" ref="J1032">IFERROR(INDEX('Исходник'!$1:$626,MATCH($I1032,'Исходник'!$T:$T,0),MATCH(J$1,'Исходник'!$1:$1,0)))</f>
        <v/>
      </c>
      <c r="K1032" s="7" t="str">
        <f t="shared" si="3"/>
        <v/>
      </c>
      <c r="L1032" s="1" t="str">
        <f>IF(I1032&gt;0,IF(TODAY()-K1032&lt;'Анализ'!$D$4+1,1,0),"")</f>
        <v/>
      </c>
    </row>
    <row r="1033" ht="15.75" customHeight="1">
      <c r="B1033" s="1" t="str">
        <f t="shared" si="1"/>
        <v/>
      </c>
      <c r="G1033" s="17"/>
      <c r="J1033" s="1" t="str">
        <f t="array" ref="J1033">IFERROR(INDEX('Исходник'!$1:$626,MATCH($I1033,'Исходник'!$T:$T,0),MATCH(J$1,'Исходник'!$1:$1,0)))</f>
        <v/>
      </c>
      <c r="K1033" s="7" t="str">
        <f t="shared" si="3"/>
        <v/>
      </c>
      <c r="L1033" s="1" t="str">
        <f>IF(I1033&gt;0,IF(TODAY()-K1033&lt;'Анализ'!$D$4+1,1,0),"")</f>
        <v/>
      </c>
    </row>
    <row r="1034" ht="15.75" customHeight="1">
      <c r="B1034" s="1" t="str">
        <f t="shared" si="1"/>
        <v/>
      </c>
      <c r="G1034" s="17"/>
      <c r="J1034" s="1" t="str">
        <f t="array" ref="J1034">IFERROR(INDEX('Исходник'!$1:$626,MATCH($I1034,'Исходник'!$T:$T,0),MATCH(J$1,'Исходник'!$1:$1,0)))</f>
        <v/>
      </c>
      <c r="K1034" s="7" t="str">
        <f t="shared" si="3"/>
        <v/>
      </c>
      <c r="L1034" s="1" t="str">
        <f>IF(I1034&gt;0,IF(TODAY()-K1034&lt;'Анализ'!$D$4+1,1,0),"")</f>
        <v/>
      </c>
    </row>
    <row r="1035" ht="15.75" customHeight="1">
      <c r="B1035" s="1" t="str">
        <f t="shared" si="1"/>
        <v/>
      </c>
      <c r="G1035" s="17"/>
      <c r="J1035" s="1" t="str">
        <f t="array" ref="J1035">IFERROR(INDEX('Исходник'!$1:$626,MATCH($I1035,'Исходник'!$T:$T,0),MATCH(J$1,'Исходник'!$1:$1,0)))</f>
        <v/>
      </c>
      <c r="K1035" s="7" t="str">
        <f t="shared" si="3"/>
        <v/>
      </c>
      <c r="L1035" s="1" t="str">
        <f>IF(I1035&gt;0,IF(TODAY()-K1035&lt;'Анализ'!$D$4+1,1,0),"")</f>
        <v/>
      </c>
    </row>
    <row r="1036" ht="15.75" customHeight="1">
      <c r="B1036" s="1" t="str">
        <f t="shared" si="1"/>
        <v/>
      </c>
      <c r="G1036" s="17"/>
      <c r="J1036" s="1" t="str">
        <f t="array" ref="J1036">IFERROR(INDEX('Исходник'!$1:$626,MATCH($I1036,'Исходник'!$T:$T,0),MATCH(J$1,'Исходник'!$1:$1,0)))</f>
        <v/>
      </c>
      <c r="K1036" s="7" t="str">
        <f t="shared" si="3"/>
        <v/>
      </c>
      <c r="L1036" s="1" t="str">
        <f>IF(I1036&gt;0,IF(TODAY()-K1036&lt;'Анализ'!$D$4+1,1,0),"")</f>
        <v/>
      </c>
    </row>
    <row r="1037" ht="15.75" customHeight="1">
      <c r="B1037" s="1" t="str">
        <f t="shared" si="1"/>
        <v/>
      </c>
      <c r="G1037" s="17"/>
      <c r="J1037" s="1" t="str">
        <f t="array" ref="J1037">IFERROR(INDEX('Исходник'!$1:$626,MATCH($I1037,'Исходник'!$T:$T,0),MATCH(J$1,'Исходник'!$1:$1,0)))</f>
        <v/>
      </c>
      <c r="K1037" s="7" t="str">
        <f t="shared" si="3"/>
        <v/>
      </c>
      <c r="L1037" s="1" t="str">
        <f>IF(I1037&gt;0,IF(TODAY()-K1037&lt;'Анализ'!$D$4+1,1,0),"")</f>
        <v/>
      </c>
    </row>
    <row r="1038" ht="15.75" customHeight="1">
      <c r="B1038" s="1" t="str">
        <f t="shared" si="1"/>
        <v/>
      </c>
      <c r="G1038" s="17"/>
      <c r="J1038" s="1" t="str">
        <f t="array" ref="J1038">IFERROR(INDEX('Исходник'!$1:$626,MATCH($I1038,'Исходник'!$T:$T,0),MATCH(J$1,'Исходник'!$1:$1,0)))</f>
        <v/>
      </c>
      <c r="K1038" s="7" t="str">
        <f t="shared" si="3"/>
        <v/>
      </c>
      <c r="L1038" s="1" t="str">
        <f>IF(I1038&gt;0,IF(TODAY()-K1038&lt;'Анализ'!$D$4+1,1,0),"")</f>
        <v/>
      </c>
    </row>
    <row r="1039" ht="15.75" customHeight="1">
      <c r="B1039" s="1" t="str">
        <f t="shared" si="1"/>
        <v/>
      </c>
      <c r="G1039" s="17"/>
      <c r="J1039" s="1" t="str">
        <f t="array" ref="J1039">IFERROR(INDEX('Исходник'!$1:$626,MATCH($I1039,'Исходник'!$T:$T,0),MATCH(J$1,'Исходник'!$1:$1,0)))</f>
        <v/>
      </c>
      <c r="K1039" s="7" t="str">
        <f t="shared" si="3"/>
        <v/>
      </c>
      <c r="L1039" s="1" t="str">
        <f>IF(I1039&gt;0,IF(TODAY()-K1039&lt;'Анализ'!$D$4+1,1,0),"")</f>
        <v/>
      </c>
    </row>
    <row r="1040" ht="15.75" customHeight="1">
      <c r="B1040" s="1" t="str">
        <f t="shared" si="1"/>
        <v/>
      </c>
      <c r="G1040" s="17"/>
      <c r="J1040" s="1" t="str">
        <f t="array" ref="J1040">IFERROR(INDEX('Исходник'!$1:$626,MATCH($I1040,'Исходник'!$T:$T,0),MATCH(J$1,'Исходник'!$1:$1,0)))</f>
        <v/>
      </c>
      <c r="K1040" s="7" t="str">
        <f t="shared" si="3"/>
        <v/>
      </c>
      <c r="L1040" s="1" t="str">
        <f>IF(I1040&gt;0,IF(TODAY()-K1040&lt;'Анализ'!$D$4+1,1,0),"")</f>
        <v/>
      </c>
    </row>
    <row r="1041" ht="15.75" customHeight="1">
      <c r="B1041" s="1" t="str">
        <f t="shared" si="1"/>
        <v/>
      </c>
      <c r="G1041" s="17"/>
      <c r="J1041" s="1" t="str">
        <f t="array" ref="J1041">IFERROR(INDEX('Исходник'!$1:$626,MATCH($I1041,'Исходник'!$T:$T,0),MATCH(J$1,'Исходник'!$1:$1,0)))</f>
        <v/>
      </c>
      <c r="K1041" s="7" t="str">
        <f t="shared" si="3"/>
        <v/>
      </c>
      <c r="L1041" s="1" t="str">
        <f>IF(I1041&gt;0,IF(TODAY()-K1041&lt;'Анализ'!$D$4+1,1,0),"")</f>
        <v/>
      </c>
    </row>
    <row r="1042" ht="15.75" customHeight="1">
      <c r="B1042" s="1" t="str">
        <f t="shared" si="1"/>
        <v/>
      </c>
      <c r="G1042" s="17"/>
      <c r="J1042" s="1" t="str">
        <f t="array" ref="J1042">IFERROR(INDEX('Исходник'!$1:$626,MATCH($I1042,'Исходник'!$T:$T,0),MATCH(J$1,'Исходник'!$1:$1,0)))</f>
        <v/>
      </c>
      <c r="K1042" s="7" t="str">
        <f t="shared" si="3"/>
        <v/>
      </c>
      <c r="L1042" s="1" t="str">
        <f>IF(I1042&gt;0,IF(TODAY()-K1042&lt;'Анализ'!$D$4+1,1,0),"")</f>
        <v/>
      </c>
    </row>
    <row r="1043" ht="15.75" customHeight="1">
      <c r="B1043" s="1" t="str">
        <f t="shared" si="1"/>
        <v/>
      </c>
      <c r="G1043" s="17"/>
      <c r="J1043" s="1" t="str">
        <f t="array" ref="J1043">IFERROR(INDEX('Исходник'!$1:$626,MATCH($I1043,'Исходник'!$T:$T,0),MATCH(J$1,'Исходник'!$1:$1,0)))</f>
        <v/>
      </c>
      <c r="K1043" s="7" t="str">
        <f t="shared" si="3"/>
        <v/>
      </c>
      <c r="L1043" s="1" t="str">
        <f>IF(I1043&gt;0,IF(TODAY()-K1043&lt;'Анализ'!$D$4+1,1,0),"")</f>
        <v/>
      </c>
    </row>
    <row r="1044" ht="15.75" customHeight="1">
      <c r="B1044" s="1" t="str">
        <f t="shared" si="1"/>
        <v/>
      </c>
      <c r="G1044" s="17"/>
      <c r="J1044" s="1" t="str">
        <f t="array" ref="J1044">IFERROR(INDEX('Исходник'!$1:$626,MATCH($I1044,'Исходник'!$T:$T,0),MATCH(J$1,'Исходник'!$1:$1,0)))</f>
        <v/>
      </c>
      <c r="K1044" s="7" t="str">
        <f t="shared" si="3"/>
        <v/>
      </c>
      <c r="L1044" s="1" t="str">
        <f>IF(I1044&gt;0,IF(TODAY()-K1044&lt;'Анализ'!$D$4+1,1,0),"")</f>
        <v/>
      </c>
    </row>
    <row r="1045" ht="15.75" customHeight="1">
      <c r="B1045" s="1" t="str">
        <f t="shared" si="1"/>
        <v/>
      </c>
      <c r="G1045" s="17"/>
      <c r="J1045" s="1" t="str">
        <f t="array" ref="J1045">IFERROR(INDEX('Исходник'!$1:$626,MATCH($I1045,'Исходник'!$T:$T,0),MATCH(J$1,'Исходник'!$1:$1,0)))</f>
        <v/>
      </c>
      <c r="K1045" s="7" t="str">
        <f t="shared" si="3"/>
        <v/>
      </c>
      <c r="L1045" s="1" t="str">
        <f>IF(I1045&gt;0,IF(TODAY()-K1045&lt;'Анализ'!$D$4+1,1,0),"")</f>
        <v/>
      </c>
    </row>
    <row r="1046" ht="15.75" customHeight="1">
      <c r="B1046" s="1" t="str">
        <f t="shared" si="1"/>
        <v/>
      </c>
      <c r="G1046" s="17"/>
      <c r="J1046" s="1" t="str">
        <f t="array" ref="J1046">IFERROR(INDEX('Исходник'!$1:$626,MATCH($I1046,'Исходник'!$T:$T,0),MATCH(J$1,'Исходник'!$1:$1,0)))</f>
        <v/>
      </c>
      <c r="K1046" s="7" t="str">
        <f t="shared" si="3"/>
        <v/>
      </c>
      <c r="L1046" s="1" t="str">
        <f>IF(I1046&gt;0,IF(TODAY()-K1046&lt;'Анализ'!$D$4+1,1,0),"")</f>
        <v/>
      </c>
    </row>
    <row r="1047" ht="15.75" customHeight="1">
      <c r="B1047" s="1" t="str">
        <f t="shared" si="1"/>
        <v/>
      </c>
      <c r="G1047" s="17"/>
      <c r="J1047" s="1" t="str">
        <f t="array" ref="J1047">IFERROR(INDEX('Исходник'!$1:$626,MATCH($I1047,'Исходник'!$T:$T,0),MATCH(J$1,'Исходник'!$1:$1,0)))</f>
        <v/>
      </c>
      <c r="K1047" s="7" t="str">
        <f t="shared" si="3"/>
        <v/>
      </c>
      <c r="L1047" s="1" t="str">
        <f>IF(I1047&gt;0,IF(TODAY()-K1047&lt;'Анализ'!$D$4+1,1,0),"")</f>
        <v/>
      </c>
    </row>
    <row r="1048" ht="15.75" customHeight="1">
      <c r="B1048" s="1" t="str">
        <f t="shared" si="1"/>
        <v/>
      </c>
      <c r="G1048" s="17"/>
      <c r="J1048" s="1" t="str">
        <f t="array" ref="J1048">IFERROR(INDEX('Исходник'!$1:$626,MATCH($I1048,'Исходник'!$T:$T,0),MATCH(J$1,'Исходник'!$1:$1,0)))</f>
        <v/>
      </c>
      <c r="K1048" s="7" t="str">
        <f t="shared" si="3"/>
        <v/>
      </c>
      <c r="L1048" s="1" t="str">
        <f>IF(I1048&gt;0,IF(TODAY()-K1048&lt;'Анализ'!$D$4+1,1,0),"")</f>
        <v/>
      </c>
    </row>
    <row r="1049" ht="15.75" customHeight="1">
      <c r="B1049" s="1" t="str">
        <f t="shared" si="1"/>
        <v/>
      </c>
      <c r="G1049" s="17"/>
      <c r="J1049" s="1" t="str">
        <f t="array" ref="J1049">IFERROR(INDEX('Исходник'!$1:$626,MATCH($I1049,'Исходник'!$T:$T,0),MATCH(J$1,'Исходник'!$1:$1,0)))</f>
        <v/>
      </c>
      <c r="K1049" s="7" t="str">
        <f t="shared" si="3"/>
        <v/>
      </c>
      <c r="L1049" s="1" t="str">
        <f>IF(I1049&gt;0,IF(TODAY()-K1049&lt;'Анализ'!$D$4+1,1,0),"")</f>
        <v/>
      </c>
    </row>
    <row r="1050" ht="15.75" customHeight="1">
      <c r="B1050" s="1" t="str">
        <f t="shared" si="1"/>
        <v/>
      </c>
      <c r="G1050" s="17"/>
      <c r="J1050" s="1" t="str">
        <f t="array" ref="J1050">IFERROR(INDEX('Исходник'!$1:$626,MATCH($I1050,'Исходник'!$T:$T,0),MATCH(J$1,'Исходник'!$1:$1,0)))</f>
        <v/>
      </c>
      <c r="K1050" s="7" t="str">
        <f t="shared" si="3"/>
        <v/>
      </c>
      <c r="L1050" s="1" t="str">
        <f>IF(I1050&gt;0,IF(TODAY()-K1050&lt;'Анализ'!$D$4+1,1,0),"")</f>
        <v/>
      </c>
    </row>
    <row r="1051" ht="15.75" customHeight="1">
      <c r="B1051" s="1" t="str">
        <f t="shared" si="1"/>
        <v/>
      </c>
      <c r="G1051" s="17"/>
      <c r="J1051" s="1" t="str">
        <f t="array" ref="J1051">IFERROR(INDEX('Исходник'!$1:$626,MATCH($I1051,'Исходник'!$T:$T,0),MATCH(J$1,'Исходник'!$1:$1,0)))</f>
        <v/>
      </c>
      <c r="K1051" s="7" t="str">
        <f t="shared" si="3"/>
        <v/>
      </c>
      <c r="L1051" s="1" t="str">
        <f>IF(I1051&gt;0,IF(TODAY()-K1051&lt;'Анализ'!$D$4+1,1,0),"")</f>
        <v/>
      </c>
    </row>
    <row r="1052" ht="15.75" customHeight="1">
      <c r="B1052" s="1" t="str">
        <f t="shared" si="1"/>
        <v/>
      </c>
      <c r="G1052" s="17"/>
      <c r="J1052" s="1" t="str">
        <f t="array" ref="J1052">IFERROR(INDEX('Исходник'!$1:$626,MATCH($I1052,'Исходник'!$T:$T,0),MATCH(J$1,'Исходник'!$1:$1,0)))</f>
        <v/>
      </c>
      <c r="K1052" s="7" t="str">
        <f t="shared" si="3"/>
        <v/>
      </c>
      <c r="L1052" s="1" t="str">
        <f>IF(I1052&gt;0,IF(TODAY()-K1052&lt;'Анализ'!$D$4+1,1,0),"")</f>
        <v/>
      </c>
    </row>
    <row r="1053" ht="15.75" customHeight="1">
      <c r="B1053" s="1" t="str">
        <f t="shared" si="1"/>
        <v/>
      </c>
      <c r="G1053" s="17"/>
      <c r="J1053" s="1" t="str">
        <f t="array" ref="J1053">IFERROR(INDEX('Исходник'!$1:$626,MATCH($I1053,'Исходник'!$T:$T,0),MATCH(J$1,'Исходник'!$1:$1,0)))</f>
        <v/>
      </c>
      <c r="K1053" s="7" t="str">
        <f t="shared" si="3"/>
        <v/>
      </c>
      <c r="L1053" s="1" t="str">
        <f>IF(I1053&gt;0,IF(TODAY()-K1053&lt;'Анализ'!$D$4+1,1,0),"")</f>
        <v/>
      </c>
    </row>
    <row r="1054" ht="15.75" customHeight="1">
      <c r="B1054" s="1" t="str">
        <f t="shared" si="1"/>
        <v/>
      </c>
      <c r="G1054" s="17"/>
      <c r="J1054" s="1" t="str">
        <f t="array" ref="J1054">IFERROR(INDEX('Исходник'!$1:$626,MATCH($I1054,'Исходник'!$T:$T,0),MATCH(J$1,'Исходник'!$1:$1,0)))</f>
        <v/>
      </c>
      <c r="K1054" s="7" t="str">
        <f t="shared" si="3"/>
        <v/>
      </c>
      <c r="L1054" s="1" t="str">
        <f>IF(I1054&gt;0,IF(TODAY()-K1054&lt;'Анализ'!$D$4+1,1,0),"")</f>
        <v/>
      </c>
    </row>
    <row r="1055" ht="15.75" customHeight="1">
      <c r="B1055" s="1" t="str">
        <f t="shared" si="1"/>
        <v/>
      </c>
      <c r="G1055" s="17"/>
      <c r="J1055" s="1" t="str">
        <f t="array" ref="J1055">IFERROR(INDEX('Исходник'!$1:$626,MATCH($I1055,'Исходник'!$T:$T,0),MATCH(J$1,'Исходник'!$1:$1,0)))</f>
        <v/>
      </c>
      <c r="K1055" s="7" t="str">
        <f t="shared" si="3"/>
        <v/>
      </c>
      <c r="L1055" s="1" t="str">
        <f>IF(I1055&gt;0,IF(TODAY()-K1055&lt;'Анализ'!$D$4+1,1,0),"")</f>
        <v/>
      </c>
    </row>
    <row r="1056" ht="15.75" customHeight="1">
      <c r="B1056" s="1" t="str">
        <f t="shared" si="1"/>
        <v/>
      </c>
      <c r="G1056" s="17"/>
      <c r="J1056" s="1" t="str">
        <f t="array" ref="J1056">IFERROR(INDEX('Исходник'!$1:$626,MATCH($I1056,'Исходник'!$T:$T,0),MATCH(J$1,'Исходник'!$1:$1,0)))</f>
        <v/>
      </c>
      <c r="K1056" s="7" t="str">
        <f t="shared" si="3"/>
        <v/>
      </c>
      <c r="L1056" s="1" t="str">
        <f>IF(I1056&gt;0,IF(TODAY()-K1056&lt;'Анализ'!$D$4+1,1,0),"")</f>
        <v/>
      </c>
    </row>
    <row r="1057" ht="15.75" customHeight="1">
      <c r="B1057" s="1" t="str">
        <f t="shared" si="1"/>
        <v/>
      </c>
      <c r="G1057" s="17"/>
      <c r="J1057" s="1" t="str">
        <f t="array" ref="J1057">IFERROR(INDEX('Исходник'!$1:$626,MATCH($I1057,'Исходник'!$T:$T,0),MATCH(J$1,'Исходник'!$1:$1,0)))</f>
        <v/>
      </c>
      <c r="K1057" s="7" t="str">
        <f t="shared" si="3"/>
        <v/>
      </c>
      <c r="L1057" s="1" t="str">
        <f>IF(I1057&gt;0,IF(TODAY()-K1057&lt;'Анализ'!$D$4+1,1,0),"")</f>
        <v/>
      </c>
    </row>
    <row r="1058" ht="15.75" customHeight="1">
      <c r="B1058" s="1" t="str">
        <f t="shared" si="1"/>
        <v/>
      </c>
      <c r="G1058" s="17"/>
      <c r="J1058" s="1" t="str">
        <f t="array" ref="J1058">IFERROR(INDEX('Исходник'!$1:$626,MATCH($I1058,'Исходник'!$T:$T,0),MATCH(J$1,'Исходник'!$1:$1,0)))</f>
        <v/>
      </c>
      <c r="K1058" s="7" t="str">
        <f t="shared" si="3"/>
        <v/>
      </c>
      <c r="L1058" s="1" t="str">
        <f>IF(I1058&gt;0,IF(TODAY()-K1058&lt;'Анализ'!$D$4+1,1,0),"")</f>
        <v/>
      </c>
    </row>
    <row r="1059" ht="15.75" customHeight="1">
      <c r="B1059" s="1" t="str">
        <f t="shared" si="1"/>
        <v/>
      </c>
      <c r="G1059" s="17"/>
      <c r="J1059" s="1" t="str">
        <f t="array" ref="J1059">IFERROR(INDEX('Исходник'!$1:$626,MATCH($I1059,'Исходник'!$T:$T,0),MATCH(J$1,'Исходник'!$1:$1,0)))</f>
        <v/>
      </c>
      <c r="K1059" s="7" t="str">
        <f t="shared" si="3"/>
        <v/>
      </c>
      <c r="L1059" s="1" t="str">
        <f>IF(I1059&gt;0,IF(TODAY()-K1059&lt;'Анализ'!$D$4+1,1,0),"")</f>
        <v/>
      </c>
    </row>
    <row r="1060" ht="15.75" customHeight="1">
      <c r="B1060" s="1" t="str">
        <f t="shared" si="1"/>
        <v/>
      </c>
      <c r="G1060" s="17"/>
      <c r="J1060" s="1" t="str">
        <f t="array" ref="J1060">IFERROR(INDEX('Исходник'!$1:$626,MATCH($I1060,'Исходник'!$T:$T,0),MATCH(J$1,'Исходник'!$1:$1,0)))</f>
        <v/>
      </c>
      <c r="K1060" s="7" t="str">
        <f t="shared" si="3"/>
        <v/>
      </c>
      <c r="L1060" s="1" t="str">
        <f>IF(I1060&gt;0,IF(TODAY()-K1060&lt;'Анализ'!$D$4+1,1,0),"")</f>
        <v/>
      </c>
    </row>
    <row r="1061" ht="15.75" customHeight="1">
      <c r="B1061" s="1" t="str">
        <f t="shared" si="1"/>
        <v/>
      </c>
      <c r="G1061" s="17"/>
      <c r="J1061" s="1" t="str">
        <f t="array" ref="J1061">IFERROR(INDEX('Исходник'!$1:$626,MATCH($I1061,'Исходник'!$T:$T,0),MATCH(J$1,'Исходник'!$1:$1,0)))</f>
        <v/>
      </c>
      <c r="K1061" s="7" t="str">
        <f t="shared" si="3"/>
        <v/>
      </c>
      <c r="L1061" s="1" t="str">
        <f>IF(I1061&gt;0,IF(TODAY()-K1061&lt;'Анализ'!$D$4+1,1,0),"")</f>
        <v/>
      </c>
    </row>
    <row r="1062" ht="15.75" customHeight="1">
      <c r="B1062" s="1" t="str">
        <f t="shared" si="1"/>
        <v/>
      </c>
      <c r="G1062" s="17"/>
      <c r="J1062" s="1" t="str">
        <f t="array" ref="J1062">IFERROR(INDEX('Исходник'!$1:$626,MATCH($I1062,'Исходник'!$T:$T,0),MATCH(J$1,'Исходник'!$1:$1,0)))</f>
        <v/>
      </c>
      <c r="K1062" s="7" t="str">
        <f t="shared" si="3"/>
        <v/>
      </c>
      <c r="L1062" s="1" t="str">
        <f>IF(I1062&gt;0,IF(TODAY()-K1062&lt;'Анализ'!$D$4+1,1,0),"")</f>
        <v/>
      </c>
    </row>
    <row r="1063" ht="15.75" customHeight="1">
      <c r="B1063" s="1" t="str">
        <f t="shared" si="1"/>
        <v/>
      </c>
      <c r="G1063" s="17"/>
      <c r="J1063" s="1" t="str">
        <f t="array" ref="J1063">IFERROR(INDEX('Исходник'!$1:$626,MATCH($I1063,'Исходник'!$T:$T,0),MATCH(J$1,'Исходник'!$1:$1,0)))</f>
        <v/>
      </c>
      <c r="K1063" s="7" t="str">
        <f t="shared" si="3"/>
        <v/>
      </c>
      <c r="L1063" s="1" t="str">
        <f>IF(I1063&gt;0,IF(TODAY()-K1063&lt;'Анализ'!$D$4+1,1,0),"")</f>
        <v/>
      </c>
    </row>
    <row r="1064" ht="15.75" customHeight="1">
      <c r="B1064" s="1" t="str">
        <f t="shared" si="1"/>
        <v/>
      </c>
      <c r="G1064" s="17"/>
      <c r="J1064" s="1" t="str">
        <f t="array" ref="J1064">IFERROR(INDEX('Исходник'!$1:$626,MATCH($I1064,'Исходник'!$T:$T,0),MATCH(J$1,'Исходник'!$1:$1,0)))</f>
        <v/>
      </c>
      <c r="K1064" s="7" t="str">
        <f t="shared" si="3"/>
        <v/>
      </c>
      <c r="L1064" s="1" t="str">
        <f>IF(I1064&gt;0,IF(TODAY()-K1064&lt;'Анализ'!$D$4+1,1,0),"")</f>
        <v/>
      </c>
    </row>
    <row r="1065" ht="15.75" customHeight="1">
      <c r="B1065" s="1" t="str">
        <f t="shared" si="1"/>
        <v/>
      </c>
      <c r="G1065" s="17"/>
      <c r="J1065" s="1" t="str">
        <f t="array" ref="J1065">IFERROR(INDEX('Исходник'!$1:$626,MATCH($I1065,'Исходник'!$T:$T,0),MATCH(J$1,'Исходник'!$1:$1,0)))</f>
        <v/>
      </c>
      <c r="K1065" s="7" t="str">
        <f t="shared" si="3"/>
        <v/>
      </c>
      <c r="L1065" s="1" t="str">
        <f>IF(I1065&gt;0,IF(TODAY()-K1065&lt;'Анализ'!$D$4+1,1,0),"")</f>
        <v/>
      </c>
    </row>
    <row r="1066" ht="15.75" customHeight="1">
      <c r="B1066" s="1" t="str">
        <f t="shared" si="1"/>
        <v/>
      </c>
      <c r="G1066" s="17"/>
      <c r="J1066" s="1" t="str">
        <f t="array" ref="J1066">IFERROR(INDEX('Исходник'!$1:$626,MATCH($I1066,'Исходник'!$T:$T,0),MATCH(J$1,'Исходник'!$1:$1,0)))</f>
        <v/>
      </c>
      <c r="K1066" s="7" t="str">
        <f t="shared" si="3"/>
        <v/>
      </c>
      <c r="L1066" s="1" t="str">
        <f>IF(I1066&gt;0,IF(TODAY()-K1066&lt;'Анализ'!$D$4+1,1,0),"")</f>
        <v/>
      </c>
    </row>
    <row r="1067" ht="15.75" customHeight="1">
      <c r="B1067" s="1" t="str">
        <f t="shared" si="1"/>
        <v/>
      </c>
      <c r="G1067" s="17"/>
      <c r="J1067" s="1" t="str">
        <f t="array" ref="J1067">IFERROR(INDEX('Исходник'!$1:$626,MATCH($I1067,'Исходник'!$T:$T,0),MATCH(J$1,'Исходник'!$1:$1,0)))</f>
        <v/>
      </c>
      <c r="K1067" s="7" t="str">
        <f t="shared" si="3"/>
        <v/>
      </c>
      <c r="L1067" s="1" t="str">
        <f>IF(I1067&gt;0,IF(TODAY()-K1067&lt;'Анализ'!$D$4+1,1,0),"")</f>
        <v/>
      </c>
    </row>
    <row r="1068" ht="15.75" customHeight="1">
      <c r="B1068" s="1" t="str">
        <f t="shared" si="1"/>
        <v/>
      </c>
      <c r="G1068" s="17"/>
      <c r="J1068" s="1" t="str">
        <f t="array" ref="J1068">IFERROR(INDEX('Исходник'!$1:$626,MATCH($I1068,'Исходник'!$T:$T,0),MATCH(J$1,'Исходник'!$1:$1,0)))</f>
        <v/>
      </c>
      <c r="K1068" s="7" t="str">
        <f t="shared" si="3"/>
        <v/>
      </c>
      <c r="L1068" s="1" t="str">
        <f>IF(I1068&gt;0,IF(TODAY()-K1068&lt;'Анализ'!$D$4+1,1,0),"")</f>
        <v/>
      </c>
    </row>
    <row r="1069" ht="15.75" customHeight="1">
      <c r="B1069" s="1" t="str">
        <f t="shared" si="1"/>
        <v/>
      </c>
      <c r="G1069" s="17"/>
      <c r="J1069" s="1" t="str">
        <f t="array" ref="J1069">IFERROR(INDEX('Исходник'!$1:$626,MATCH($I1069,'Исходник'!$T:$T,0),MATCH(J$1,'Исходник'!$1:$1,0)))</f>
        <v/>
      </c>
      <c r="K1069" s="7" t="str">
        <f t="shared" si="3"/>
        <v/>
      </c>
      <c r="L1069" s="1" t="str">
        <f>IF(I1069&gt;0,IF(TODAY()-K1069&lt;'Анализ'!$D$4+1,1,0),"")</f>
        <v/>
      </c>
    </row>
    <row r="1070" ht="15.75" customHeight="1">
      <c r="B1070" s="1" t="str">
        <f t="shared" si="1"/>
        <v/>
      </c>
      <c r="G1070" s="17"/>
      <c r="J1070" s="1" t="str">
        <f t="array" ref="J1070">IFERROR(INDEX('Исходник'!$1:$626,MATCH($I1070,'Исходник'!$T:$T,0),MATCH(J$1,'Исходник'!$1:$1,0)))</f>
        <v/>
      </c>
      <c r="K1070" s="7" t="str">
        <f t="shared" si="3"/>
        <v/>
      </c>
      <c r="L1070" s="1" t="str">
        <f>IF(I1070&gt;0,IF(TODAY()-K1070&lt;'Анализ'!$D$4+1,1,0),"")</f>
        <v/>
      </c>
    </row>
    <row r="1071" ht="15.75" customHeight="1">
      <c r="B1071" s="1" t="str">
        <f t="shared" si="1"/>
        <v/>
      </c>
      <c r="G1071" s="17"/>
      <c r="J1071" s="1" t="str">
        <f t="array" ref="J1071">IFERROR(INDEX('Исходник'!$1:$626,MATCH($I1071,'Исходник'!$T:$T,0),MATCH(J$1,'Исходник'!$1:$1,0)))</f>
        <v/>
      </c>
      <c r="K1071" s="7" t="str">
        <f t="shared" si="3"/>
        <v/>
      </c>
      <c r="L1071" s="1" t="str">
        <f>IF(I1071&gt;0,IF(TODAY()-K1071&lt;'Анализ'!$D$4+1,1,0),"")</f>
        <v/>
      </c>
    </row>
    <row r="1072" ht="15.75" customHeight="1">
      <c r="B1072" s="1" t="str">
        <f t="shared" si="1"/>
        <v/>
      </c>
      <c r="G1072" s="17"/>
      <c r="J1072" s="1" t="str">
        <f t="array" ref="J1072">IFERROR(INDEX('Исходник'!$1:$626,MATCH($I1072,'Исходник'!$T:$T,0),MATCH(J$1,'Исходник'!$1:$1,0)))</f>
        <v/>
      </c>
      <c r="K1072" s="7" t="str">
        <f t="shared" si="3"/>
        <v/>
      </c>
      <c r="L1072" s="1" t="str">
        <f>IF(I1072&gt;0,IF(TODAY()-K1072&lt;'Анализ'!$D$4+1,1,0),"")</f>
        <v/>
      </c>
    </row>
    <row r="1073" ht="15.75" customHeight="1">
      <c r="B1073" s="1" t="str">
        <f t="shared" si="1"/>
        <v/>
      </c>
      <c r="G1073" s="17"/>
      <c r="J1073" s="1" t="str">
        <f t="array" ref="J1073">IFERROR(INDEX('Исходник'!$1:$626,MATCH($I1073,'Исходник'!$T:$T,0),MATCH(J$1,'Исходник'!$1:$1,0)))</f>
        <v/>
      </c>
      <c r="K1073" s="7" t="str">
        <f t="shared" si="3"/>
        <v/>
      </c>
      <c r="L1073" s="1" t="str">
        <f>IF(I1073&gt;0,IF(TODAY()-K1073&lt;'Анализ'!$D$4+1,1,0),"")</f>
        <v/>
      </c>
    </row>
    <row r="1074" ht="15.75" customHeight="1">
      <c r="B1074" s="1" t="str">
        <f t="shared" si="1"/>
        <v/>
      </c>
      <c r="G1074" s="17"/>
      <c r="J1074" s="1" t="str">
        <f t="array" ref="J1074">IFERROR(INDEX('Исходник'!$1:$626,MATCH($I1074,'Исходник'!$T:$T,0),MATCH(J$1,'Исходник'!$1:$1,0)))</f>
        <v/>
      </c>
      <c r="K1074" s="7" t="str">
        <f t="shared" si="3"/>
        <v/>
      </c>
      <c r="L1074" s="1" t="str">
        <f>IF(I1074&gt;0,IF(TODAY()-K1074&lt;'Анализ'!$D$4+1,1,0),"")</f>
        <v/>
      </c>
    </row>
    <row r="1075" ht="15.75" customHeight="1">
      <c r="B1075" s="1" t="str">
        <f t="shared" si="1"/>
        <v/>
      </c>
      <c r="G1075" s="17"/>
      <c r="J1075" s="1" t="str">
        <f t="array" ref="J1075">IFERROR(INDEX('Исходник'!$1:$626,MATCH($I1075,'Исходник'!$T:$T,0),MATCH(J$1,'Исходник'!$1:$1,0)))</f>
        <v/>
      </c>
      <c r="K1075" s="7" t="str">
        <f t="shared" si="3"/>
        <v/>
      </c>
      <c r="L1075" s="1" t="str">
        <f>IF(I1075&gt;0,IF(TODAY()-K1075&lt;'Анализ'!$D$4+1,1,0),"")</f>
        <v/>
      </c>
    </row>
    <row r="1076" ht="15.75" customHeight="1">
      <c r="B1076" s="1" t="str">
        <f t="shared" si="1"/>
        <v/>
      </c>
      <c r="G1076" s="17"/>
      <c r="J1076" s="1" t="str">
        <f t="array" ref="J1076">IFERROR(INDEX('Исходник'!$1:$626,MATCH($I1076,'Исходник'!$T:$T,0),MATCH(J$1,'Исходник'!$1:$1,0)))</f>
        <v/>
      </c>
      <c r="K1076" s="7" t="str">
        <f t="shared" si="3"/>
        <v/>
      </c>
      <c r="L1076" s="1" t="str">
        <f>IF(I1076&gt;0,IF(TODAY()-K1076&lt;'Анализ'!$D$4+1,1,0),"")</f>
        <v/>
      </c>
    </row>
    <row r="1077" ht="15.75" customHeight="1">
      <c r="B1077" s="1" t="str">
        <f t="shared" si="1"/>
        <v/>
      </c>
      <c r="G1077" s="17"/>
      <c r="J1077" s="1" t="str">
        <f t="array" ref="J1077">IFERROR(INDEX('Исходник'!$1:$626,MATCH($I1077,'Исходник'!$T:$T,0),MATCH(J$1,'Исходник'!$1:$1,0)))</f>
        <v/>
      </c>
      <c r="K1077" s="7" t="str">
        <f t="shared" si="3"/>
        <v/>
      </c>
      <c r="L1077" s="1" t="str">
        <f>IF(I1077&gt;0,IF(TODAY()-K1077&lt;'Анализ'!$D$4+1,1,0),"")</f>
        <v/>
      </c>
    </row>
    <row r="1078" ht="15.75" customHeight="1">
      <c r="B1078" s="1" t="str">
        <f t="shared" si="1"/>
        <v/>
      </c>
      <c r="G1078" s="17"/>
      <c r="J1078" s="1" t="str">
        <f t="array" ref="J1078">IFERROR(INDEX('Исходник'!$1:$626,MATCH($I1078,'Исходник'!$T:$T,0),MATCH(J$1,'Исходник'!$1:$1,0)))</f>
        <v/>
      </c>
      <c r="K1078" s="7" t="str">
        <f t="shared" si="3"/>
        <v/>
      </c>
      <c r="L1078" s="1" t="str">
        <f>IF(I1078&gt;0,IF(TODAY()-K1078&lt;'Анализ'!$D$4+1,1,0),"")</f>
        <v/>
      </c>
    </row>
    <row r="1079" ht="15.75" customHeight="1">
      <c r="B1079" s="1" t="str">
        <f t="shared" si="1"/>
        <v/>
      </c>
      <c r="G1079" s="17"/>
      <c r="J1079" s="1" t="str">
        <f t="array" ref="J1079">IFERROR(INDEX('Исходник'!$1:$626,MATCH($I1079,'Исходник'!$T:$T,0),MATCH(J$1,'Исходник'!$1:$1,0)))</f>
        <v/>
      </c>
      <c r="K1079" s="7" t="str">
        <f t="shared" si="3"/>
        <v/>
      </c>
      <c r="L1079" s="1" t="str">
        <f>IF(I1079&gt;0,IF(TODAY()-K1079&lt;'Анализ'!$D$4+1,1,0),"")</f>
        <v/>
      </c>
    </row>
    <row r="1080" ht="15.75" customHeight="1">
      <c r="B1080" s="1" t="str">
        <f t="shared" si="1"/>
        <v/>
      </c>
      <c r="G1080" s="17"/>
      <c r="J1080" s="1" t="str">
        <f t="array" ref="J1080">IFERROR(INDEX('Исходник'!$1:$626,MATCH($I1080,'Исходник'!$T:$T,0),MATCH(J$1,'Исходник'!$1:$1,0)))</f>
        <v/>
      </c>
      <c r="K1080" s="7" t="str">
        <f t="shared" si="3"/>
        <v/>
      </c>
      <c r="L1080" s="1" t="str">
        <f>IF(I1080&gt;0,IF(TODAY()-K1080&lt;'Анализ'!$D$4+1,1,0),"")</f>
        <v/>
      </c>
    </row>
    <row r="1081" ht="15.75" customHeight="1">
      <c r="B1081" s="1" t="str">
        <f t="shared" si="1"/>
        <v/>
      </c>
      <c r="G1081" s="17"/>
      <c r="J1081" s="1" t="str">
        <f t="array" ref="J1081">IFERROR(INDEX('Исходник'!$1:$626,MATCH($I1081,'Исходник'!$T:$T,0),MATCH(J$1,'Исходник'!$1:$1,0)))</f>
        <v/>
      </c>
      <c r="K1081" s="7" t="str">
        <f t="shared" si="3"/>
        <v/>
      </c>
      <c r="L1081" s="1" t="str">
        <f>IF(I1081&gt;0,IF(TODAY()-K1081&lt;'Анализ'!$D$4+1,1,0),"")</f>
        <v/>
      </c>
    </row>
    <row r="1082" ht="15.75" customHeight="1">
      <c r="B1082" s="1" t="str">
        <f t="shared" si="1"/>
        <v/>
      </c>
      <c r="G1082" s="17"/>
      <c r="J1082" s="1" t="str">
        <f t="array" ref="J1082">IFERROR(INDEX('Исходник'!$1:$626,MATCH($I1082,'Исходник'!$T:$T,0),MATCH(J$1,'Исходник'!$1:$1,0)))</f>
        <v/>
      </c>
      <c r="K1082" s="7" t="str">
        <f t="shared" si="3"/>
        <v/>
      </c>
      <c r="L1082" s="1" t="str">
        <f>IF(I1082&gt;0,IF(TODAY()-K1082&lt;'Анализ'!$D$4+1,1,0),"")</f>
        <v/>
      </c>
    </row>
    <row r="1083" ht="15.75" customHeight="1">
      <c r="B1083" s="1" t="str">
        <f t="shared" si="1"/>
        <v/>
      </c>
      <c r="G1083" s="17"/>
      <c r="J1083" s="1" t="str">
        <f t="array" ref="J1083">IFERROR(INDEX('Исходник'!$1:$626,MATCH($I1083,'Исходник'!$T:$T,0),MATCH(J$1,'Исходник'!$1:$1,0)))</f>
        <v/>
      </c>
      <c r="K1083" s="7" t="str">
        <f t="shared" si="3"/>
        <v/>
      </c>
      <c r="L1083" s="1" t="str">
        <f>IF(I1083&gt;0,IF(TODAY()-K1083&lt;'Анализ'!$D$4+1,1,0),"")</f>
        <v/>
      </c>
    </row>
    <row r="1084" ht="15.75" customHeight="1">
      <c r="B1084" s="1" t="str">
        <f t="shared" si="1"/>
        <v/>
      </c>
      <c r="G1084" s="17"/>
      <c r="J1084" s="1" t="str">
        <f t="array" ref="J1084">IFERROR(INDEX('Исходник'!$1:$626,MATCH($I1084,'Исходник'!$T:$T,0),MATCH(J$1,'Исходник'!$1:$1,0)))</f>
        <v/>
      </c>
      <c r="K1084" s="7" t="str">
        <f t="shared" si="3"/>
        <v/>
      </c>
      <c r="L1084" s="1" t="str">
        <f>IF(I1084&gt;0,IF(TODAY()-K1084&lt;'Анализ'!$D$4+1,1,0),"")</f>
        <v/>
      </c>
    </row>
    <row r="1085" ht="15.75" customHeight="1">
      <c r="B1085" s="1" t="str">
        <f t="shared" si="1"/>
        <v/>
      </c>
      <c r="G1085" s="17"/>
      <c r="J1085" s="1" t="str">
        <f t="array" ref="J1085">IFERROR(INDEX('Исходник'!$1:$626,MATCH($I1085,'Исходник'!$T:$T,0),MATCH(J$1,'Исходник'!$1:$1,0)))</f>
        <v/>
      </c>
      <c r="K1085" s="7" t="str">
        <f t="shared" si="3"/>
        <v/>
      </c>
      <c r="L1085" s="1" t="str">
        <f>IF(I1085&gt;0,IF(TODAY()-K1085&lt;'Анализ'!$D$4+1,1,0),"")</f>
        <v/>
      </c>
    </row>
    <row r="1086" ht="15.75" customHeight="1">
      <c r="B1086" s="1" t="str">
        <f t="shared" si="1"/>
        <v/>
      </c>
      <c r="G1086" s="17"/>
      <c r="J1086" s="1" t="str">
        <f t="array" ref="J1086">IFERROR(INDEX('Исходник'!$1:$626,MATCH($I1086,'Исходник'!$T:$T,0),MATCH(J$1,'Исходник'!$1:$1,0)))</f>
        <v/>
      </c>
      <c r="K1086" s="7" t="str">
        <f t="shared" si="3"/>
        <v/>
      </c>
      <c r="L1086" s="1" t="str">
        <f>IF(I1086&gt;0,IF(TODAY()-K1086&lt;'Анализ'!$D$4+1,1,0),"")</f>
        <v/>
      </c>
    </row>
    <row r="1087" ht="15.75" customHeight="1">
      <c r="B1087" s="1" t="str">
        <f t="shared" si="1"/>
        <v/>
      </c>
      <c r="G1087" s="17"/>
      <c r="J1087" s="1" t="str">
        <f t="array" ref="J1087">IFERROR(INDEX('Исходник'!$1:$626,MATCH($I1087,'Исходник'!$T:$T,0),MATCH(J$1,'Исходник'!$1:$1,0)))</f>
        <v/>
      </c>
      <c r="K1087" s="7" t="str">
        <f t="shared" si="3"/>
        <v/>
      </c>
      <c r="L1087" s="1" t="str">
        <f>IF(I1087&gt;0,IF(TODAY()-K1087&lt;'Анализ'!$D$4+1,1,0),"")</f>
        <v/>
      </c>
    </row>
    <row r="1088" ht="15.75" customHeight="1">
      <c r="B1088" s="1" t="str">
        <f t="shared" si="1"/>
        <v/>
      </c>
      <c r="G1088" s="17"/>
      <c r="J1088" s="1" t="str">
        <f t="array" ref="J1088">IFERROR(INDEX('Исходник'!$1:$626,MATCH($I1088,'Исходник'!$T:$T,0),MATCH(J$1,'Исходник'!$1:$1,0)))</f>
        <v/>
      </c>
      <c r="K1088" s="7" t="str">
        <f t="shared" si="3"/>
        <v/>
      </c>
      <c r="L1088" s="1" t="str">
        <f>IF(I1088&gt;0,IF(TODAY()-K1088&lt;'Анализ'!$D$4+1,1,0),"")</f>
        <v/>
      </c>
    </row>
    <row r="1089" ht="15.75" customHeight="1">
      <c r="B1089" s="1" t="str">
        <f t="shared" si="1"/>
        <v/>
      </c>
      <c r="G1089" s="17"/>
      <c r="J1089" s="1" t="str">
        <f t="array" ref="J1089">IFERROR(INDEX('Исходник'!$1:$626,MATCH($I1089,'Исходник'!$T:$T,0),MATCH(J$1,'Исходник'!$1:$1,0)))</f>
        <v/>
      </c>
      <c r="K1089" s="7" t="str">
        <f t="shared" si="3"/>
        <v/>
      </c>
      <c r="L1089" s="1" t="str">
        <f>IF(I1089&gt;0,IF(TODAY()-K1089&lt;'Анализ'!$D$4+1,1,0),"")</f>
        <v/>
      </c>
    </row>
    <row r="1090" ht="15.75" customHeight="1">
      <c r="B1090" s="1" t="str">
        <f t="shared" si="1"/>
        <v/>
      </c>
      <c r="G1090" s="17"/>
      <c r="J1090" s="1" t="str">
        <f t="array" ref="J1090">IFERROR(INDEX('Исходник'!$1:$626,MATCH($I1090,'Исходник'!$T:$T,0),MATCH(J$1,'Исходник'!$1:$1,0)))</f>
        <v/>
      </c>
      <c r="K1090" s="7" t="str">
        <f t="shared" si="3"/>
        <v/>
      </c>
      <c r="L1090" s="1" t="str">
        <f>IF(I1090&gt;0,IF(TODAY()-K1090&lt;'Анализ'!$D$4+1,1,0),"")</f>
        <v/>
      </c>
    </row>
    <row r="1091" ht="15.75" customHeight="1">
      <c r="B1091" s="1" t="str">
        <f t="shared" si="1"/>
        <v/>
      </c>
      <c r="G1091" s="17"/>
      <c r="J1091" s="1" t="str">
        <f t="array" ref="J1091">IFERROR(INDEX('Исходник'!$1:$626,MATCH($I1091,'Исходник'!$T:$T,0),MATCH(J$1,'Исходник'!$1:$1,0)))</f>
        <v/>
      </c>
      <c r="K1091" s="7" t="str">
        <f t="shared" si="3"/>
        <v/>
      </c>
      <c r="L1091" s="1" t="str">
        <f>IF(I1091&gt;0,IF(TODAY()-K1091&lt;'Анализ'!$D$4+1,1,0),"")</f>
        <v/>
      </c>
    </row>
    <row r="1092" ht="15.75" customHeight="1">
      <c r="B1092" s="1" t="str">
        <f t="shared" si="1"/>
        <v/>
      </c>
      <c r="G1092" s="17"/>
      <c r="J1092" s="1" t="str">
        <f t="array" ref="J1092">IFERROR(INDEX('Исходник'!$1:$626,MATCH($I1092,'Исходник'!$T:$T,0),MATCH(J$1,'Исходник'!$1:$1,0)))</f>
        <v/>
      </c>
      <c r="K1092" s="7" t="str">
        <f t="shared" si="3"/>
        <v/>
      </c>
      <c r="L1092" s="1" t="str">
        <f>IF(I1092&gt;0,IF(TODAY()-K1092&lt;'Анализ'!$D$4+1,1,0),"")</f>
        <v/>
      </c>
    </row>
    <row r="1093" ht="15.75" customHeight="1">
      <c r="B1093" s="1" t="str">
        <f t="shared" si="1"/>
        <v/>
      </c>
      <c r="G1093" s="17"/>
      <c r="J1093" s="1" t="str">
        <f t="array" ref="J1093">IFERROR(INDEX('Исходник'!$1:$626,MATCH($I1093,'Исходник'!$T:$T,0),MATCH(J$1,'Исходник'!$1:$1,0)))</f>
        <v/>
      </c>
      <c r="K1093" s="7" t="str">
        <f t="shared" si="3"/>
        <v/>
      </c>
      <c r="L1093" s="1" t="str">
        <f>IF(I1093&gt;0,IF(TODAY()-K1093&lt;'Анализ'!$D$4+1,1,0),"")</f>
        <v/>
      </c>
    </row>
    <row r="1094" ht="15.75" customHeight="1">
      <c r="B1094" s="1" t="str">
        <f t="shared" si="1"/>
        <v/>
      </c>
      <c r="G1094" s="17"/>
      <c r="J1094" s="1" t="str">
        <f t="array" ref="J1094">IFERROR(INDEX('Исходник'!$1:$626,MATCH($I1094,'Исходник'!$T:$T,0),MATCH(J$1,'Исходник'!$1:$1,0)))</f>
        <v/>
      </c>
      <c r="K1094" s="7" t="str">
        <f t="shared" si="3"/>
        <v/>
      </c>
      <c r="L1094" s="1" t="str">
        <f>IF(I1094&gt;0,IF(TODAY()-K1094&lt;'Анализ'!$D$4+1,1,0),"")</f>
        <v/>
      </c>
    </row>
    <row r="1095" ht="15.75" customHeight="1">
      <c r="B1095" s="1" t="str">
        <f t="shared" si="1"/>
        <v/>
      </c>
      <c r="G1095" s="17"/>
      <c r="J1095" s="1" t="str">
        <f t="array" ref="J1095">IFERROR(INDEX('Исходник'!$1:$626,MATCH($I1095,'Исходник'!$T:$T,0),MATCH(J$1,'Исходник'!$1:$1,0)))</f>
        <v/>
      </c>
      <c r="K1095" s="7" t="str">
        <f t="shared" si="3"/>
        <v/>
      </c>
      <c r="L1095" s="1" t="str">
        <f>IF(I1095&gt;0,IF(TODAY()-K1095&lt;'Анализ'!$D$4+1,1,0),"")</f>
        <v/>
      </c>
    </row>
    <row r="1096" ht="15.75" customHeight="1">
      <c r="B1096" s="1" t="str">
        <f t="shared" si="1"/>
        <v/>
      </c>
      <c r="G1096" s="17"/>
      <c r="J1096" s="1" t="str">
        <f t="array" ref="J1096">IFERROR(INDEX('Исходник'!$1:$626,MATCH($I1096,'Исходник'!$T:$T,0),MATCH(J$1,'Исходник'!$1:$1,0)))</f>
        <v/>
      </c>
      <c r="K1096" s="7" t="str">
        <f t="shared" si="3"/>
        <v/>
      </c>
      <c r="L1096" s="1" t="str">
        <f>IF(I1096&gt;0,IF(TODAY()-K1096&lt;'Анализ'!$D$4+1,1,0),"")</f>
        <v/>
      </c>
    </row>
    <row r="1097" ht="15.75" customHeight="1">
      <c r="B1097" s="1" t="str">
        <f t="shared" si="1"/>
        <v/>
      </c>
      <c r="G1097" s="17"/>
      <c r="J1097" s="1" t="str">
        <f t="array" ref="J1097">IFERROR(INDEX('Исходник'!$1:$626,MATCH($I1097,'Исходник'!$T:$T,0),MATCH(J$1,'Исходник'!$1:$1,0)))</f>
        <v/>
      </c>
      <c r="K1097" s="7" t="str">
        <f t="shared" si="3"/>
        <v/>
      </c>
      <c r="L1097" s="1" t="str">
        <f>IF(I1097&gt;0,IF(TODAY()-K1097&lt;'Анализ'!$D$4+1,1,0),"")</f>
        <v/>
      </c>
    </row>
    <row r="1098" ht="15.75" customHeight="1">
      <c r="B1098" s="1" t="str">
        <f t="shared" si="1"/>
        <v/>
      </c>
      <c r="G1098" s="17"/>
      <c r="J1098" s="1" t="str">
        <f t="array" ref="J1098">IFERROR(INDEX('Исходник'!$1:$626,MATCH($I1098,'Исходник'!$T:$T,0),MATCH(J$1,'Исходник'!$1:$1,0)))</f>
        <v/>
      </c>
      <c r="K1098" s="7" t="str">
        <f t="shared" si="3"/>
        <v/>
      </c>
      <c r="L1098" s="1" t="str">
        <f>IF(I1098&gt;0,IF(TODAY()-K1098&lt;'Анализ'!$D$4+1,1,0),"")</f>
        <v/>
      </c>
    </row>
    <row r="1099" ht="15.75" customHeight="1">
      <c r="B1099" s="1" t="str">
        <f t="shared" si="1"/>
        <v/>
      </c>
      <c r="G1099" s="17"/>
      <c r="J1099" s="1" t="str">
        <f t="array" ref="J1099">IFERROR(INDEX('Исходник'!$1:$626,MATCH($I1099,'Исходник'!$T:$T,0),MATCH(J$1,'Исходник'!$1:$1,0)))</f>
        <v/>
      </c>
      <c r="K1099" s="7" t="str">
        <f t="shared" si="3"/>
        <v/>
      </c>
      <c r="L1099" s="1" t="str">
        <f>IF(I1099&gt;0,IF(TODAY()-K1099&lt;'Анализ'!$D$4+1,1,0),"")</f>
        <v/>
      </c>
    </row>
    <row r="1100" ht="15.75" customHeight="1">
      <c r="B1100" s="1" t="str">
        <f t="shared" si="1"/>
        <v/>
      </c>
      <c r="G1100" s="17"/>
      <c r="J1100" s="1" t="str">
        <f t="array" ref="J1100">IFERROR(INDEX('Исходник'!$1:$626,MATCH($I1100,'Исходник'!$T:$T,0),MATCH(J$1,'Исходник'!$1:$1,0)))</f>
        <v/>
      </c>
      <c r="K1100" s="7" t="str">
        <f t="shared" si="3"/>
        <v/>
      </c>
      <c r="L1100" s="1" t="str">
        <f>IF(I1100&gt;0,IF(TODAY()-K1100&lt;'Анализ'!$D$4+1,1,0),"")</f>
        <v/>
      </c>
    </row>
    <row r="1101" ht="15.75" customHeight="1">
      <c r="B1101" s="1" t="str">
        <f t="shared" si="1"/>
        <v/>
      </c>
      <c r="G1101" s="17"/>
      <c r="J1101" s="1" t="str">
        <f t="array" ref="J1101">IFERROR(INDEX('Исходник'!$1:$626,MATCH($I1101,'Исходник'!$T:$T,0),MATCH(J$1,'Исходник'!$1:$1,0)))</f>
        <v/>
      </c>
      <c r="K1101" s="7" t="str">
        <f t="shared" si="3"/>
        <v/>
      </c>
      <c r="L1101" s="1" t="str">
        <f>IF(I1101&gt;0,IF(TODAY()-K1101&lt;'Анализ'!$D$4+1,1,0),"")</f>
        <v/>
      </c>
    </row>
    <row r="1102" ht="15.75" customHeight="1">
      <c r="B1102" s="1" t="str">
        <f t="shared" si="1"/>
        <v/>
      </c>
      <c r="G1102" s="17"/>
      <c r="J1102" s="1" t="str">
        <f t="array" ref="J1102">IFERROR(INDEX('Исходник'!$1:$626,MATCH($I1102,'Исходник'!$T:$T,0),MATCH(J$1,'Исходник'!$1:$1,0)))</f>
        <v/>
      </c>
      <c r="K1102" s="7" t="str">
        <f t="shared" si="3"/>
        <v/>
      </c>
      <c r="L1102" s="1" t="str">
        <f>IF(I1102&gt;0,IF(TODAY()-K1102&lt;'Анализ'!$D$4+1,1,0),"")</f>
        <v/>
      </c>
    </row>
    <row r="1103" ht="15.75" customHeight="1">
      <c r="B1103" s="1" t="str">
        <f t="shared" si="1"/>
        <v/>
      </c>
      <c r="G1103" s="17"/>
      <c r="J1103" s="1" t="str">
        <f t="array" ref="J1103">IFERROR(INDEX('Исходник'!$1:$626,MATCH($I1103,'Исходник'!$T:$T,0),MATCH(J$1,'Исходник'!$1:$1,0)))</f>
        <v/>
      </c>
      <c r="K1103" s="7" t="str">
        <f t="shared" si="3"/>
        <v/>
      </c>
      <c r="L1103" s="1" t="str">
        <f>IF(I1103&gt;0,IF(TODAY()-K1103&lt;'Анализ'!$D$4+1,1,0),"")</f>
        <v/>
      </c>
    </row>
    <row r="1104" ht="15.75" customHeight="1">
      <c r="B1104" s="1" t="str">
        <f t="shared" si="1"/>
        <v/>
      </c>
      <c r="G1104" s="17"/>
      <c r="J1104" s="1" t="str">
        <f t="array" ref="J1104">IFERROR(INDEX('Исходник'!$1:$626,MATCH($I1104,'Исходник'!$T:$T,0),MATCH(J$1,'Исходник'!$1:$1,0)))</f>
        <v/>
      </c>
      <c r="K1104" s="7" t="str">
        <f t="shared" si="3"/>
        <v/>
      </c>
      <c r="L1104" s="1" t="str">
        <f>IF(I1104&gt;0,IF(TODAY()-K1104&lt;'Анализ'!$D$4+1,1,0),"")</f>
        <v/>
      </c>
    </row>
    <row r="1105" ht="15.75" customHeight="1">
      <c r="B1105" s="1" t="str">
        <f t="shared" si="1"/>
        <v/>
      </c>
      <c r="G1105" s="17"/>
      <c r="J1105" s="1" t="str">
        <f t="array" ref="J1105">IFERROR(INDEX('Исходник'!$1:$626,MATCH($I1105,'Исходник'!$T:$T,0),MATCH(J$1,'Исходник'!$1:$1,0)))</f>
        <v/>
      </c>
      <c r="K1105" s="7" t="str">
        <f t="shared" si="3"/>
        <v/>
      </c>
      <c r="L1105" s="1" t="str">
        <f>IF(I1105&gt;0,IF(TODAY()-K1105&lt;'Анализ'!$D$4+1,1,0),"")</f>
        <v/>
      </c>
    </row>
    <row r="1106" ht="15.75" customHeight="1">
      <c r="B1106" s="1" t="str">
        <f t="shared" si="1"/>
        <v/>
      </c>
      <c r="G1106" s="17"/>
      <c r="J1106" s="1" t="str">
        <f t="array" ref="J1106">IFERROR(INDEX('Исходник'!$1:$626,MATCH($I1106,'Исходник'!$T:$T,0),MATCH(J$1,'Исходник'!$1:$1,0)))</f>
        <v/>
      </c>
      <c r="K1106" s="7" t="str">
        <f t="shared" si="3"/>
        <v/>
      </c>
      <c r="L1106" s="1" t="str">
        <f>IF(I1106&gt;0,IF(TODAY()-K1106&lt;'Анализ'!$D$4+1,1,0),"")</f>
        <v/>
      </c>
    </row>
    <row r="1107" ht="15.75" customHeight="1">
      <c r="B1107" s="1" t="str">
        <f t="shared" si="1"/>
        <v/>
      </c>
      <c r="G1107" s="17"/>
      <c r="J1107" s="1" t="str">
        <f t="array" ref="J1107">IFERROR(INDEX('Исходник'!$1:$626,MATCH($I1107,'Исходник'!$T:$T,0),MATCH(J$1,'Исходник'!$1:$1,0)))</f>
        <v/>
      </c>
      <c r="K1107" s="7" t="str">
        <f t="shared" si="3"/>
        <v/>
      </c>
      <c r="L1107" s="1" t="str">
        <f>IF(I1107&gt;0,IF(TODAY()-K1107&lt;'Анализ'!$D$4+1,1,0),"")</f>
        <v/>
      </c>
    </row>
    <row r="1108" ht="15.75" customHeight="1">
      <c r="B1108" s="1" t="str">
        <f t="shared" si="1"/>
        <v/>
      </c>
      <c r="G1108" s="17"/>
      <c r="J1108" s="1" t="str">
        <f t="array" ref="J1108">IFERROR(INDEX('Исходник'!$1:$626,MATCH($I1108,'Исходник'!$T:$T,0),MATCH(J$1,'Исходник'!$1:$1,0)))</f>
        <v/>
      </c>
      <c r="K1108" s="7" t="str">
        <f t="shared" si="3"/>
        <v/>
      </c>
      <c r="L1108" s="1" t="str">
        <f>IF(I1108&gt;0,IF(TODAY()-K1108&lt;'Анализ'!$D$4+1,1,0),"")</f>
        <v/>
      </c>
    </row>
    <row r="1109" ht="15.75" customHeight="1">
      <c r="B1109" s="1" t="str">
        <f t="shared" si="1"/>
        <v/>
      </c>
      <c r="G1109" s="17"/>
      <c r="J1109" s="1" t="str">
        <f t="array" ref="J1109">IFERROR(INDEX('Исходник'!$1:$626,MATCH($I1109,'Исходник'!$T:$T,0),MATCH(J$1,'Исходник'!$1:$1,0)))</f>
        <v/>
      </c>
      <c r="K1109" s="7" t="str">
        <f t="shared" si="3"/>
        <v/>
      </c>
      <c r="L1109" s="1" t="str">
        <f>IF(I1109&gt;0,IF(TODAY()-K1109&lt;'Анализ'!$D$4+1,1,0),"")</f>
        <v/>
      </c>
    </row>
    <row r="1110" ht="15.75" customHeight="1">
      <c r="B1110" s="1" t="str">
        <f t="shared" si="1"/>
        <v/>
      </c>
      <c r="G1110" s="17"/>
      <c r="J1110" s="1" t="str">
        <f t="array" ref="J1110">IFERROR(INDEX('Исходник'!$1:$626,MATCH($I1110,'Исходник'!$T:$T,0),MATCH(J$1,'Исходник'!$1:$1,0)))</f>
        <v/>
      </c>
      <c r="K1110" s="7" t="str">
        <f t="shared" si="3"/>
        <v/>
      </c>
      <c r="L1110" s="1" t="str">
        <f>IF(I1110&gt;0,IF(TODAY()-K1110&lt;'Анализ'!$D$4+1,1,0),"")</f>
        <v/>
      </c>
    </row>
    <row r="1111" ht="15.75" customHeight="1">
      <c r="B1111" s="1" t="str">
        <f t="shared" si="1"/>
        <v/>
      </c>
      <c r="G1111" s="17"/>
      <c r="J1111" s="1" t="str">
        <f t="array" ref="J1111">IFERROR(INDEX('Исходник'!$1:$626,MATCH($I1111,'Исходник'!$T:$T,0),MATCH(J$1,'Исходник'!$1:$1,0)))</f>
        <v/>
      </c>
      <c r="K1111" s="7" t="str">
        <f t="shared" si="3"/>
        <v/>
      </c>
      <c r="L1111" s="1" t="str">
        <f>IF(I1111&gt;0,IF(TODAY()-K1111&lt;'Анализ'!$D$4+1,1,0),"")</f>
        <v/>
      </c>
    </row>
    <row r="1112" ht="15.75" customHeight="1">
      <c r="B1112" s="1" t="str">
        <f t="shared" si="1"/>
        <v/>
      </c>
      <c r="G1112" s="17"/>
      <c r="J1112" s="1" t="str">
        <f t="array" ref="J1112">IFERROR(INDEX('Исходник'!$1:$626,MATCH($I1112,'Исходник'!$T:$T,0),MATCH(J$1,'Исходник'!$1:$1,0)))</f>
        <v/>
      </c>
      <c r="K1112" s="7" t="str">
        <f t="shared" si="3"/>
        <v/>
      </c>
      <c r="L1112" s="1" t="str">
        <f>IF(I1112&gt;0,IF(TODAY()-K1112&lt;'Анализ'!$D$4+1,1,0),"")</f>
        <v/>
      </c>
    </row>
    <row r="1113" ht="15.75" customHeight="1">
      <c r="B1113" s="1" t="str">
        <f t="shared" si="1"/>
        <v/>
      </c>
      <c r="G1113" s="17"/>
      <c r="J1113" s="1" t="str">
        <f t="array" ref="J1113">IFERROR(INDEX('Исходник'!$1:$626,MATCH($I1113,'Исходник'!$T:$T,0),MATCH(J$1,'Исходник'!$1:$1,0)))</f>
        <v/>
      </c>
      <c r="K1113" s="7" t="str">
        <f t="shared" si="3"/>
        <v/>
      </c>
      <c r="L1113" s="1" t="str">
        <f>IF(I1113&gt;0,IF(TODAY()-K1113&lt;'Анализ'!$D$4+1,1,0),"")</f>
        <v/>
      </c>
    </row>
    <row r="1114" ht="15.75" customHeight="1">
      <c r="B1114" s="1" t="str">
        <f t="shared" si="1"/>
        <v/>
      </c>
      <c r="G1114" s="17"/>
      <c r="J1114" s="1" t="str">
        <f t="array" ref="J1114">IFERROR(INDEX('Исходник'!$1:$626,MATCH($I1114,'Исходник'!$T:$T,0),MATCH(J$1,'Исходник'!$1:$1,0)))</f>
        <v/>
      </c>
      <c r="K1114" s="7" t="str">
        <f t="shared" si="3"/>
        <v/>
      </c>
      <c r="L1114" s="1" t="str">
        <f>IF(I1114&gt;0,IF(TODAY()-K1114&lt;'Анализ'!$D$4+1,1,0),"")</f>
        <v/>
      </c>
    </row>
    <row r="1115" ht="15.75" customHeight="1">
      <c r="B1115" s="1" t="str">
        <f t="shared" si="1"/>
        <v/>
      </c>
      <c r="G1115" s="17"/>
      <c r="J1115" s="1" t="str">
        <f t="array" ref="J1115">IFERROR(INDEX('Исходник'!$1:$626,MATCH($I1115,'Исходник'!$T:$T,0),MATCH(J$1,'Исходник'!$1:$1,0)))</f>
        <v/>
      </c>
      <c r="K1115" s="7" t="str">
        <f t="shared" si="3"/>
        <v/>
      </c>
      <c r="L1115" s="1" t="str">
        <f>IF(I1115&gt;0,IF(TODAY()-K1115&lt;'Анализ'!$D$4+1,1,0),"")</f>
        <v/>
      </c>
    </row>
    <row r="1116" ht="15.75" customHeight="1">
      <c r="B1116" s="1" t="str">
        <f t="shared" si="1"/>
        <v/>
      </c>
      <c r="G1116" s="17"/>
      <c r="J1116" s="1" t="str">
        <f t="array" ref="J1116">IFERROR(INDEX('Исходник'!$1:$626,MATCH($I1116,'Исходник'!$T:$T,0),MATCH(J$1,'Исходник'!$1:$1,0)))</f>
        <v/>
      </c>
      <c r="K1116" s="7" t="str">
        <f t="shared" si="3"/>
        <v/>
      </c>
      <c r="L1116" s="1" t="str">
        <f>IF(I1116&gt;0,IF(TODAY()-K1116&lt;'Анализ'!$D$4+1,1,0),"")</f>
        <v/>
      </c>
    </row>
    <row r="1117" ht="15.75" customHeight="1">
      <c r="B1117" s="1" t="str">
        <f t="shared" si="1"/>
        <v/>
      </c>
      <c r="G1117" s="17"/>
      <c r="J1117" s="1" t="str">
        <f t="array" ref="J1117">IFERROR(INDEX('Исходник'!$1:$626,MATCH($I1117,'Исходник'!$T:$T,0),MATCH(J$1,'Исходник'!$1:$1,0)))</f>
        <v/>
      </c>
      <c r="K1117" s="7" t="str">
        <f t="shared" si="3"/>
        <v/>
      </c>
      <c r="L1117" s="1" t="str">
        <f>IF(I1117&gt;0,IF(TODAY()-K1117&lt;'Анализ'!$D$4+1,1,0),"")</f>
        <v/>
      </c>
    </row>
    <row r="1118" ht="15.75" customHeight="1">
      <c r="B1118" s="1" t="str">
        <f t="shared" si="1"/>
        <v/>
      </c>
      <c r="G1118" s="17"/>
      <c r="J1118" s="1" t="str">
        <f t="array" ref="J1118">IFERROR(INDEX('Исходник'!$1:$626,MATCH($I1118,'Исходник'!$T:$T,0),MATCH(J$1,'Исходник'!$1:$1,0)))</f>
        <v/>
      </c>
      <c r="K1118" s="7" t="str">
        <f t="shared" si="3"/>
        <v/>
      </c>
      <c r="L1118" s="1" t="str">
        <f>IF(I1118&gt;0,IF(TODAY()-K1118&lt;'Анализ'!$D$4+1,1,0),"")</f>
        <v/>
      </c>
    </row>
    <row r="1119" ht="15.75" customHeight="1">
      <c r="B1119" s="1" t="str">
        <f t="shared" si="1"/>
        <v/>
      </c>
      <c r="G1119" s="17"/>
      <c r="J1119" s="1" t="str">
        <f t="array" ref="J1119">IFERROR(INDEX('Исходник'!$1:$626,MATCH($I1119,'Исходник'!$T:$T,0),MATCH(J$1,'Исходник'!$1:$1,0)))</f>
        <v/>
      </c>
      <c r="K1119" s="7" t="str">
        <f t="shared" si="3"/>
        <v/>
      </c>
      <c r="L1119" s="1" t="str">
        <f>IF(I1119&gt;0,IF(TODAY()-K1119&lt;'Анализ'!$D$4+1,1,0),"")</f>
        <v/>
      </c>
    </row>
    <row r="1120" ht="15.75" customHeight="1">
      <c r="B1120" s="1" t="str">
        <f t="shared" si="1"/>
        <v/>
      </c>
      <c r="G1120" s="17"/>
      <c r="J1120" s="1" t="str">
        <f t="array" ref="J1120">IFERROR(INDEX('Исходник'!$1:$626,MATCH($I1120,'Исходник'!$T:$T,0),MATCH(J$1,'Исходник'!$1:$1,0)))</f>
        <v/>
      </c>
      <c r="K1120" s="7" t="str">
        <f t="shared" si="3"/>
        <v/>
      </c>
      <c r="L1120" s="1" t="str">
        <f>IF(I1120&gt;0,IF(TODAY()-K1120&lt;'Анализ'!$D$4+1,1,0),"")</f>
        <v/>
      </c>
    </row>
    <row r="1121" ht="15.75" customHeight="1">
      <c r="B1121" s="1" t="str">
        <f t="shared" si="1"/>
        <v/>
      </c>
      <c r="G1121" s="17"/>
      <c r="J1121" s="1" t="str">
        <f t="array" ref="J1121">IFERROR(INDEX('Исходник'!$1:$626,MATCH($I1121,'Исходник'!$T:$T,0),MATCH(J$1,'Исходник'!$1:$1,0)))</f>
        <v/>
      </c>
      <c r="K1121" s="7" t="str">
        <f t="shared" si="3"/>
        <v/>
      </c>
      <c r="L1121" s="1" t="str">
        <f>IF(I1121&gt;0,IF(TODAY()-K1121&lt;'Анализ'!$D$4+1,1,0),"")</f>
        <v/>
      </c>
    </row>
    <row r="1122" ht="15.75" customHeight="1">
      <c r="B1122" s="1" t="str">
        <f t="shared" si="1"/>
        <v/>
      </c>
      <c r="G1122" s="17"/>
      <c r="J1122" s="1" t="str">
        <f t="array" ref="J1122">IFERROR(INDEX('Исходник'!$1:$626,MATCH($I1122,'Исходник'!$T:$T,0),MATCH(J$1,'Исходник'!$1:$1,0)))</f>
        <v/>
      </c>
      <c r="K1122" s="7" t="str">
        <f t="shared" si="3"/>
        <v/>
      </c>
      <c r="L1122" s="1" t="str">
        <f>IF(I1122&gt;0,IF(TODAY()-K1122&lt;'Анализ'!$D$4+1,1,0),"")</f>
        <v/>
      </c>
    </row>
    <row r="1123" ht="15.75" customHeight="1">
      <c r="B1123" s="1" t="str">
        <f t="shared" si="1"/>
        <v/>
      </c>
      <c r="G1123" s="17"/>
      <c r="J1123" s="1" t="str">
        <f t="array" ref="J1123">IFERROR(INDEX('Исходник'!$1:$626,MATCH($I1123,'Исходник'!$T:$T,0),MATCH(J$1,'Исходник'!$1:$1,0)))</f>
        <v/>
      </c>
      <c r="K1123" s="7" t="str">
        <f t="shared" si="3"/>
        <v/>
      </c>
      <c r="L1123" s="1" t="str">
        <f>IF(I1123&gt;0,IF(TODAY()-K1123&lt;'Анализ'!$D$4+1,1,0),"")</f>
        <v/>
      </c>
    </row>
    <row r="1124" ht="15.75" customHeight="1">
      <c r="B1124" s="1" t="str">
        <f t="shared" si="1"/>
        <v/>
      </c>
      <c r="G1124" s="17"/>
      <c r="J1124" s="1" t="str">
        <f t="array" ref="J1124">IFERROR(INDEX('Исходник'!$1:$626,MATCH($I1124,'Исходник'!$T:$T,0),MATCH(J$1,'Исходник'!$1:$1,0)))</f>
        <v/>
      </c>
      <c r="K1124" s="7" t="str">
        <f t="shared" si="3"/>
        <v/>
      </c>
      <c r="L1124" s="1" t="str">
        <f>IF(I1124&gt;0,IF(TODAY()-K1124&lt;'Анализ'!$D$4+1,1,0),"")</f>
        <v/>
      </c>
    </row>
    <row r="1125" ht="15.75" customHeight="1">
      <c r="B1125" s="1" t="str">
        <f t="shared" si="1"/>
        <v/>
      </c>
      <c r="G1125" s="17"/>
      <c r="J1125" s="1" t="str">
        <f t="array" ref="J1125">IFERROR(INDEX('Исходник'!$1:$626,MATCH($I1125,'Исходник'!$T:$T,0),MATCH(J$1,'Исходник'!$1:$1,0)))</f>
        <v/>
      </c>
      <c r="K1125" s="7" t="str">
        <f t="shared" si="3"/>
        <v/>
      </c>
      <c r="L1125" s="1" t="str">
        <f>IF(I1125&gt;0,IF(TODAY()-K1125&lt;'Анализ'!$D$4+1,1,0),"")</f>
        <v/>
      </c>
    </row>
    <row r="1126" ht="15.75" customHeight="1">
      <c r="B1126" s="1" t="str">
        <f t="shared" si="1"/>
        <v/>
      </c>
      <c r="G1126" s="17"/>
      <c r="J1126" s="1" t="str">
        <f t="array" ref="J1126">IFERROR(INDEX('Исходник'!$1:$626,MATCH($I1126,'Исходник'!$T:$T,0),MATCH(J$1,'Исходник'!$1:$1,0)))</f>
        <v/>
      </c>
      <c r="K1126" s="7" t="str">
        <f t="shared" si="3"/>
        <v/>
      </c>
      <c r="L1126" s="1" t="str">
        <f>IF(I1126&gt;0,IF(TODAY()-K1126&lt;'Анализ'!$D$4+1,1,0),"")</f>
        <v/>
      </c>
    </row>
    <row r="1127" ht="15.75" customHeight="1">
      <c r="B1127" s="1" t="str">
        <f t="shared" si="1"/>
        <v/>
      </c>
      <c r="G1127" s="17"/>
      <c r="J1127" s="1" t="str">
        <f t="array" ref="J1127">IFERROR(INDEX('Исходник'!$1:$626,MATCH($I1127,'Исходник'!$T:$T,0),MATCH(J$1,'Исходник'!$1:$1,0)))</f>
        <v/>
      </c>
      <c r="K1127" s="7" t="str">
        <f t="shared" si="3"/>
        <v/>
      </c>
      <c r="L1127" s="1" t="str">
        <f>IF(I1127&gt;0,IF(TODAY()-K1127&lt;'Анализ'!$D$4+1,1,0),"")</f>
        <v/>
      </c>
    </row>
    <row r="1128" ht="15.75" customHeight="1">
      <c r="B1128" s="1" t="str">
        <f t="shared" si="1"/>
        <v/>
      </c>
      <c r="G1128" s="17"/>
      <c r="J1128" s="1" t="str">
        <f t="array" ref="J1128">IFERROR(INDEX('Исходник'!$1:$626,MATCH($I1128,'Исходник'!$T:$T,0),MATCH(J$1,'Исходник'!$1:$1,0)))</f>
        <v/>
      </c>
      <c r="K1128" s="7" t="str">
        <f t="shared" si="3"/>
        <v/>
      </c>
      <c r="L1128" s="1" t="str">
        <f>IF(I1128&gt;0,IF(TODAY()-K1128&lt;'Анализ'!$D$4+1,1,0),"")</f>
        <v/>
      </c>
    </row>
    <row r="1129" ht="15.75" customHeight="1">
      <c r="B1129" s="1" t="str">
        <f t="shared" si="1"/>
        <v/>
      </c>
      <c r="G1129" s="17"/>
      <c r="J1129" s="1" t="str">
        <f t="array" ref="J1129">IFERROR(INDEX('Исходник'!$1:$626,MATCH($I1129,'Исходник'!$T:$T,0),MATCH(J$1,'Исходник'!$1:$1,0)))</f>
        <v/>
      </c>
      <c r="K1129" s="7" t="str">
        <f t="shared" si="3"/>
        <v/>
      </c>
      <c r="L1129" s="1" t="str">
        <f>IF(I1129&gt;0,IF(TODAY()-K1129&lt;'Анализ'!$D$4+1,1,0),"")</f>
        <v/>
      </c>
    </row>
    <row r="1130" ht="15.75" customHeight="1">
      <c r="B1130" s="1" t="str">
        <f t="shared" si="1"/>
        <v/>
      </c>
      <c r="G1130" s="17"/>
      <c r="J1130" s="1" t="str">
        <f t="array" ref="J1130">IFERROR(INDEX('Исходник'!$1:$626,MATCH($I1130,'Исходник'!$T:$T,0),MATCH(J$1,'Исходник'!$1:$1,0)))</f>
        <v/>
      </c>
      <c r="K1130" s="7" t="str">
        <f t="shared" si="3"/>
        <v/>
      </c>
      <c r="L1130" s="1" t="str">
        <f>IF(I1130&gt;0,IF(TODAY()-K1130&lt;'Анализ'!$D$4+1,1,0),"")</f>
        <v/>
      </c>
    </row>
    <row r="1131" ht="15.75" customHeight="1">
      <c r="B1131" s="1" t="str">
        <f t="shared" si="1"/>
        <v/>
      </c>
      <c r="G1131" s="17"/>
      <c r="J1131" s="1" t="str">
        <f t="array" ref="J1131">IFERROR(INDEX('Исходник'!$1:$626,MATCH($I1131,'Исходник'!$T:$T,0),MATCH(J$1,'Исходник'!$1:$1,0)))</f>
        <v/>
      </c>
      <c r="K1131" s="7" t="str">
        <f t="shared" si="3"/>
        <v/>
      </c>
      <c r="L1131" s="1" t="str">
        <f>IF(I1131&gt;0,IF(TODAY()-K1131&lt;'Анализ'!$D$4+1,1,0),"")</f>
        <v/>
      </c>
    </row>
    <row r="1132" ht="15.75" customHeight="1">
      <c r="B1132" s="1" t="str">
        <f t="shared" si="1"/>
        <v/>
      </c>
      <c r="G1132" s="17"/>
      <c r="J1132" s="1" t="str">
        <f t="array" ref="J1132">IFERROR(INDEX('Исходник'!$1:$626,MATCH($I1132,'Исходник'!$T:$T,0),MATCH(J$1,'Исходник'!$1:$1,0)))</f>
        <v/>
      </c>
      <c r="K1132" s="7" t="str">
        <f t="shared" si="3"/>
        <v/>
      </c>
      <c r="L1132" s="1" t="str">
        <f>IF(I1132&gt;0,IF(TODAY()-K1132&lt;'Анализ'!$D$4+1,1,0),"")</f>
        <v/>
      </c>
    </row>
    <row r="1133" ht="15.75" customHeight="1">
      <c r="B1133" s="1" t="str">
        <f t="shared" si="1"/>
        <v/>
      </c>
      <c r="G1133" s="17"/>
      <c r="J1133" s="1" t="str">
        <f t="array" ref="J1133">IFERROR(INDEX('Исходник'!$1:$626,MATCH($I1133,'Исходник'!$T:$T,0),MATCH(J$1,'Исходник'!$1:$1,0)))</f>
        <v/>
      </c>
      <c r="K1133" s="7" t="str">
        <f t="shared" si="3"/>
        <v/>
      </c>
      <c r="L1133" s="1" t="str">
        <f>IF(I1133&gt;0,IF(TODAY()-K1133&lt;'Анализ'!$D$4+1,1,0),"")</f>
        <v/>
      </c>
    </row>
    <row r="1134" ht="15.75" customHeight="1">
      <c r="B1134" s="1" t="str">
        <f t="shared" si="1"/>
        <v/>
      </c>
      <c r="G1134" s="17"/>
      <c r="J1134" s="1" t="str">
        <f t="array" ref="J1134">IFERROR(INDEX('Исходник'!$1:$626,MATCH($I1134,'Исходник'!$T:$T,0),MATCH(J$1,'Исходник'!$1:$1,0)))</f>
        <v/>
      </c>
      <c r="K1134" s="7" t="str">
        <f t="shared" si="3"/>
        <v/>
      </c>
      <c r="L1134" s="1" t="str">
        <f>IF(I1134&gt;0,IF(TODAY()-K1134&lt;'Анализ'!$D$4+1,1,0),"")</f>
        <v/>
      </c>
    </row>
    <row r="1135" ht="15.75" customHeight="1">
      <c r="B1135" s="1" t="str">
        <f t="shared" si="1"/>
        <v/>
      </c>
      <c r="G1135" s="17"/>
      <c r="J1135" s="1" t="str">
        <f t="array" ref="J1135">IFERROR(INDEX('Исходник'!$1:$626,MATCH($I1135,'Исходник'!$T:$T,0),MATCH(J$1,'Исходник'!$1:$1,0)))</f>
        <v/>
      </c>
      <c r="K1135" s="7" t="str">
        <f t="shared" si="3"/>
        <v/>
      </c>
      <c r="L1135" s="1" t="str">
        <f>IF(I1135&gt;0,IF(TODAY()-K1135&lt;'Анализ'!$D$4+1,1,0),"")</f>
        <v/>
      </c>
    </row>
    <row r="1136" ht="15.75" customHeight="1">
      <c r="B1136" s="1" t="str">
        <f t="shared" si="1"/>
        <v/>
      </c>
      <c r="G1136" s="17"/>
      <c r="J1136" s="1" t="str">
        <f t="array" ref="J1136">IFERROR(INDEX('Исходник'!$1:$626,MATCH($I1136,'Исходник'!$T:$T,0),MATCH(J$1,'Исходник'!$1:$1,0)))</f>
        <v/>
      </c>
      <c r="K1136" s="7" t="str">
        <f t="shared" si="3"/>
        <v/>
      </c>
      <c r="L1136" s="1" t="str">
        <f>IF(I1136&gt;0,IF(TODAY()-K1136&lt;'Анализ'!$D$4+1,1,0),"")</f>
        <v/>
      </c>
    </row>
    <row r="1137" ht="15.75" customHeight="1">
      <c r="B1137" s="1" t="str">
        <f t="shared" si="1"/>
        <v/>
      </c>
      <c r="G1137" s="17"/>
      <c r="J1137" s="1" t="str">
        <f t="array" ref="J1137">IFERROR(INDEX('Исходник'!$1:$626,MATCH($I1137,'Исходник'!$T:$T,0),MATCH(J$1,'Исходник'!$1:$1,0)))</f>
        <v/>
      </c>
      <c r="K1137" s="7" t="str">
        <f t="shared" si="3"/>
        <v/>
      </c>
      <c r="L1137" s="1" t="str">
        <f>IF(I1137&gt;0,IF(TODAY()-K1137&lt;'Анализ'!$D$4+1,1,0),"")</f>
        <v/>
      </c>
    </row>
    <row r="1138" ht="15.75" customHeight="1">
      <c r="B1138" s="1" t="str">
        <f t="shared" si="1"/>
        <v/>
      </c>
      <c r="G1138" s="17"/>
      <c r="J1138" s="1" t="str">
        <f t="array" ref="J1138">IFERROR(INDEX('Исходник'!$1:$626,MATCH($I1138,'Исходник'!$T:$T,0),MATCH(J$1,'Исходник'!$1:$1,0)))</f>
        <v/>
      </c>
      <c r="K1138" s="7" t="str">
        <f t="shared" si="3"/>
        <v/>
      </c>
      <c r="L1138" s="1" t="str">
        <f>IF(I1138&gt;0,IF(TODAY()-K1138&lt;'Анализ'!$D$4+1,1,0),"")</f>
        <v/>
      </c>
    </row>
    <row r="1139" ht="15.75" customHeight="1">
      <c r="B1139" s="1" t="str">
        <f t="shared" si="1"/>
        <v/>
      </c>
      <c r="G1139" s="17"/>
      <c r="J1139" s="1" t="str">
        <f t="array" ref="J1139">IFERROR(INDEX('Исходник'!$1:$626,MATCH($I1139,'Исходник'!$T:$T,0),MATCH(J$1,'Исходник'!$1:$1,0)))</f>
        <v/>
      </c>
      <c r="K1139" s="7" t="str">
        <f t="shared" si="3"/>
        <v/>
      </c>
      <c r="L1139" s="1" t="str">
        <f>IF(I1139&gt;0,IF(TODAY()-K1139&lt;'Анализ'!$D$4+1,1,0),"")</f>
        <v/>
      </c>
    </row>
    <row r="1140" ht="15.75" customHeight="1">
      <c r="B1140" s="1" t="str">
        <f t="shared" si="1"/>
        <v/>
      </c>
      <c r="G1140" s="17"/>
      <c r="J1140" s="1" t="str">
        <f t="array" ref="J1140">IFERROR(INDEX('Исходник'!$1:$626,MATCH($I1140,'Исходник'!$T:$T,0),MATCH(J$1,'Исходник'!$1:$1,0)))</f>
        <v/>
      </c>
      <c r="K1140" s="7" t="str">
        <f t="shared" si="3"/>
        <v/>
      </c>
      <c r="L1140" s="1" t="str">
        <f>IF(I1140&gt;0,IF(TODAY()-K1140&lt;'Анализ'!$D$4+1,1,0),"")</f>
        <v/>
      </c>
    </row>
    <row r="1141" ht="15.75" customHeight="1">
      <c r="B1141" s="1" t="str">
        <f t="shared" si="1"/>
        <v/>
      </c>
      <c r="G1141" s="17"/>
      <c r="J1141" s="1" t="str">
        <f t="array" ref="J1141">IFERROR(INDEX('Исходник'!$1:$626,MATCH($I1141,'Исходник'!$T:$T,0),MATCH(J$1,'Исходник'!$1:$1,0)))</f>
        <v/>
      </c>
      <c r="K1141" s="7" t="str">
        <f t="shared" si="3"/>
        <v/>
      </c>
      <c r="L1141" s="1" t="str">
        <f>IF(I1141&gt;0,IF(TODAY()-K1141&lt;'Анализ'!$D$4+1,1,0),"")</f>
        <v/>
      </c>
    </row>
    <row r="1142" ht="15.75" customHeight="1">
      <c r="B1142" s="1" t="str">
        <f t="shared" si="1"/>
        <v/>
      </c>
      <c r="G1142" s="17"/>
      <c r="J1142" s="1" t="str">
        <f t="array" ref="J1142">IFERROR(INDEX('Исходник'!$1:$626,MATCH($I1142,'Исходник'!$T:$T,0),MATCH(J$1,'Исходник'!$1:$1,0)))</f>
        <v/>
      </c>
      <c r="K1142" s="7" t="str">
        <f t="shared" si="3"/>
        <v/>
      </c>
      <c r="L1142" s="1" t="str">
        <f>IF(I1142&gt;0,IF(TODAY()-K1142&lt;'Анализ'!$D$4+1,1,0),"")</f>
        <v/>
      </c>
    </row>
    <row r="1143" ht="15.75" customHeight="1">
      <c r="B1143" s="1" t="str">
        <f t="shared" si="1"/>
        <v/>
      </c>
      <c r="G1143" s="17"/>
      <c r="J1143" s="1" t="str">
        <f t="array" ref="J1143">IFERROR(INDEX('Исходник'!$1:$626,MATCH($I1143,'Исходник'!$T:$T,0),MATCH(J$1,'Исходник'!$1:$1,0)))</f>
        <v/>
      </c>
      <c r="K1143" s="7" t="str">
        <f t="shared" si="3"/>
        <v/>
      </c>
      <c r="L1143" s="1" t="str">
        <f>IF(I1143&gt;0,IF(TODAY()-K1143&lt;'Анализ'!$D$4+1,1,0),"")</f>
        <v/>
      </c>
    </row>
    <row r="1144" ht="15.75" customHeight="1">
      <c r="B1144" s="1" t="str">
        <f t="shared" si="1"/>
        <v/>
      </c>
      <c r="G1144" s="17"/>
      <c r="J1144" s="1" t="str">
        <f t="array" ref="J1144">IFERROR(INDEX('Исходник'!$1:$626,MATCH($I1144,'Исходник'!$T:$T,0),MATCH(J$1,'Исходник'!$1:$1,0)))</f>
        <v/>
      </c>
      <c r="K1144" s="7" t="str">
        <f t="shared" si="3"/>
        <v/>
      </c>
      <c r="L1144" s="1" t="str">
        <f>IF(I1144&gt;0,IF(TODAY()-K1144&lt;'Анализ'!$D$4+1,1,0),"")</f>
        <v/>
      </c>
    </row>
    <row r="1145" ht="15.75" customHeight="1">
      <c r="B1145" s="1" t="str">
        <f t="shared" si="1"/>
        <v/>
      </c>
      <c r="G1145" s="17"/>
      <c r="J1145" s="1" t="str">
        <f t="array" ref="J1145">IFERROR(INDEX('Исходник'!$1:$626,MATCH($I1145,'Исходник'!$T:$T,0),MATCH(J$1,'Исходник'!$1:$1,0)))</f>
        <v/>
      </c>
      <c r="K1145" s="7" t="str">
        <f t="shared" si="3"/>
        <v/>
      </c>
      <c r="L1145" s="1" t="str">
        <f>IF(I1145&gt;0,IF(TODAY()-K1145&lt;'Анализ'!$D$4+1,1,0),"")</f>
        <v/>
      </c>
    </row>
    <row r="1146" ht="15.75" customHeight="1">
      <c r="B1146" s="1" t="str">
        <f t="shared" si="1"/>
        <v/>
      </c>
      <c r="G1146" s="17"/>
      <c r="J1146" s="1" t="str">
        <f t="array" ref="J1146">IFERROR(INDEX('Исходник'!$1:$626,MATCH($I1146,'Исходник'!$T:$T,0),MATCH(J$1,'Исходник'!$1:$1,0)))</f>
        <v/>
      </c>
      <c r="K1146" s="7" t="str">
        <f t="shared" si="3"/>
        <v/>
      </c>
      <c r="L1146" s="1" t="str">
        <f>IF(I1146&gt;0,IF(TODAY()-K1146&lt;'Анализ'!$D$4+1,1,0),"")</f>
        <v/>
      </c>
    </row>
    <row r="1147" ht="15.75" customHeight="1">
      <c r="B1147" s="1" t="str">
        <f t="shared" si="1"/>
        <v/>
      </c>
      <c r="G1147" s="17"/>
      <c r="J1147" s="1" t="str">
        <f t="array" ref="J1147">IFERROR(INDEX('Исходник'!$1:$626,MATCH($I1147,'Исходник'!$T:$T,0),MATCH(J$1,'Исходник'!$1:$1,0)))</f>
        <v/>
      </c>
      <c r="K1147" s="7" t="str">
        <f t="shared" si="3"/>
        <v/>
      </c>
      <c r="L1147" s="1" t="str">
        <f>IF(I1147&gt;0,IF(TODAY()-K1147&lt;'Анализ'!$D$4+1,1,0),"")</f>
        <v/>
      </c>
    </row>
    <row r="1148" ht="15.75" customHeight="1">
      <c r="B1148" s="1" t="str">
        <f t="shared" si="1"/>
        <v/>
      </c>
      <c r="G1148" s="17"/>
      <c r="J1148" s="1" t="str">
        <f t="array" ref="J1148">IFERROR(INDEX('Исходник'!$1:$626,MATCH($I1148,'Исходник'!$T:$T,0),MATCH(J$1,'Исходник'!$1:$1,0)))</f>
        <v/>
      </c>
      <c r="K1148" s="7" t="str">
        <f t="shared" si="3"/>
        <v/>
      </c>
      <c r="L1148" s="1" t="str">
        <f>IF(I1148&gt;0,IF(TODAY()-K1148&lt;'Анализ'!$D$4+1,1,0),"")</f>
        <v/>
      </c>
    </row>
    <row r="1149" ht="15.75" customHeight="1">
      <c r="B1149" s="1" t="str">
        <f t="shared" si="1"/>
        <v/>
      </c>
      <c r="G1149" s="17"/>
      <c r="J1149" s="1" t="str">
        <f t="array" ref="J1149">IFERROR(INDEX('Исходник'!$1:$626,MATCH($I1149,'Исходник'!$T:$T,0),MATCH(J$1,'Исходник'!$1:$1,0)))</f>
        <v/>
      </c>
      <c r="K1149" s="7" t="str">
        <f t="shared" si="3"/>
        <v/>
      </c>
      <c r="L1149" s="1" t="str">
        <f>IF(I1149&gt;0,IF(TODAY()-K1149&lt;'Анализ'!$D$4+1,1,0),"")</f>
        <v/>
      </c>
    </row>
    <row r="1150" ht="15.75" customHeight="1">
      <c r="B1150" s="1" t="str">
        <f t="shared" si="1"/>
        <v/>
      </c>
      <c r="G1150" s="17"/>
      <c r="J1150" s="1" t="str">
        <f t="array" ref="J1150">IFERROR(INDEX('Исходник'!$1:$626,MATCH($I1150,'Исходник'!$T:$T,0),MATCH(J$1,'Исходник'!$1:$1,0)))</f>
        <v/>
      </c>
      <c r="K1150" s="7" t="str">
        <f t="shared" si="3"/>
        <v/>
      </c>
      <c r="L1150" s="1" t="str">
        <f>IF(I1150&gt;0,IF(TODAY()-K1150&lt;'Анализ'!$D$4+1,1,0),"")</f>
        <v/>
      </c>
    </row>
    <row r="1151" ht="15.75" customHeight="1">
      <c r="B1151" s="1" t="str">
        <f t="shared" si="1"/>
        <v/>
      </c>
      <c r="G1151" s="17"/>
      <c r="J1151" s="1" t="str">
        <f t="array" ref="J1151">IFERROR(INDEX('Исходник'!$1:$626,MATCH($I1151,'Исходник'!$T:$T,0),MATCH(J$1,'Исходник'!$1:$1,0)))</f>
        <v/>
      </c>
      <c r="K1151" s="7" t="str">
        <f t="shared" si="3"/>
        <v/>
      </c>
      <c r="L1151" s="1" t="str">
        <f>IF(I1151&gt;0,IF(TODAY()-K1151&lt;'Анализ'!$D$4+1,1,0),"")</f>
        <v/>
      </c>
    </row>
    <row r="1152" ht="15.75" customHeight="1">
      <c r="B1152" s="1" t="str">
        <f t="shared" si="1"/>
        <v/>
      </c>
      <c r="G1152" s="17"/>
      <c r="J1152" s="1" t="str">
        <f t="array" ref="J1152">IFERROR(INDEX('Исходник'!$1:$626,MATCH($I1152,'Исходник'!$T:$T,0),MATCH(J$1,'Исходник'!$1:$1,0)))</f>
        <v/>
      </c>
      <c r="K1152" s="7" t="str">
        <f t="shared" si="3"/>
        <v/>
      </c>
      <c r="L1152" s="1" t="str">
        <f>IF(I1152&gt;0,IF(TODAY()-K1152&lt;'Анализ'!$D$4+1,1,0),"")</f>
        <v/>
      </c>
    </row>
    <row r="1153" ht="15.75" customHeight="1">
      <c r="B1153" s="1" t="str">
        <f t="shared" si="1"/>
        <v/>
      </c>
      <c r="G1153" s="17"/>
      <c r="J1153" s="1" t="str">
        <f t="array" ref="J1153">IFERROR(INDEX('Исходник'!$1:$626,MATCH($I1153,'Исходник'!$T:$T,0),MATCH(J$1,'Исходник'!$1:$1,0)))</f>
        <v/>
      </c>
      <c r="K1153" s="7" t="str">
        <f t="shared" si="3"/>
        <v/>
      </c>
      <c r="L1153" s="1" t="str">
        <f>IF(I1153&gt;0,IF(TODAY()-K1153&lt;'Анализ'!$D$4+1,1,0),"")</f>
        <v/>
      </c>
    </row>
    <row r="1154" ht="15.75" customHeight="1">
      <c r="B1154" s="1" t="str">
        <f t="shared" si="1"/>
        <v/>
      </c>
      <c r="G1154" s="17"/>
      <c r="J1154" s="1" t="str">
        <f t="array" ref="J1154">IFERROR(INDEX('Исходник'!$1:$626,MATCH($I1154,'Исходник'!$T:$T,0),MATCH(J$1,'Исходник'!$1:$1,0)))</f>
        <v/>
      </c>
      <c r="K1154" s="7" t="str">
        <f t="shared" si="3"/>
        <v/>
      </c>
      <c r="L1154" s="1" t="str">
        <f>IF(I1154&gt;0,IF(TODAY()-K1154&lt;'Анализ'!$D$4+1,1,0),"")</f>
        <v/>
      </c>
    </row>
    <row r="1155" ht="15.75" customHeight="1">
      <c r="B1155" s="1" t="str">
        <f t="shared" si="1"/>
        <v/>
      </c>
      <c r="G1155" s="17"/>
      <c r="J1155" s="1" t="str">
        <f t="array" ref="J1155">IFERROR(INDEX('Исходник'!$1:$626,MATCH($I1155,'Исходник'!$T:$T,0),MATCH(J$1,'Исходник'!$1:$1,0)))</f>
        <v/>
      </c>
      <c r="K1155" s="7" t="str">
        <f t="shared" si="3"/>
        <v/>
      </c>
      <c r="L1155" s="1" t="str">
        <f>IF(I1155&gt;0,IF(TODAY()-K1155&lt;'Анализ'!$D$4+1,1,0),"")</f>
        <v/>
      </c>
    </row>
    <row r="1156" ht="15.75" customHeight="1">
      <c r="B1156" s="1" t="str">
        <f t="shared" si="1"/>
        <v/>
      </c>
      <c r="G1156" s="17"/>
      <c r="J1156" s="1" t="str">
        <f t="array" ref="J1156">IFERROR(INDEX('Исходник'!$1:$626,MATCH($I1156,'Исходник'!$T:$T,0),MATCH(J$1,'Исходник'!$1:$1,0)))</f>
        <v/>
      </c>
      <c r="K1156" s="7" t="str">
        <f t="shared" si="3"/>
        <v/>
      </c>
      <c r="L1156" s="1" t="str">
        <f>IF(I1156&gt;0,IF(TODAY()-K1156&lt;'Анализ'!$D$4+1,1,0),"")</f>
        <v/>
      </c>
    </row>
    <row r="1157" ht="15.75" customHeight="1">
      <c r="B1157" s="1" t="str">
        <f t="shared" si="1"/>
        <v/>
      </c>
      <c r="G1157" s="17"/>
      <c r="J1157" s="1" t="str">
        <f t="array" ref="J1157">IFERROR(INDEX('Исходник'!$1:$626,MATCH($I1157,'Исходник'!$T:$T,0),MATCH(J$1,'Исходник'!$1:$1,0)))</f>
        <v/>
      </c>
      <c r="K1157" s="7" t="str">
        <f t="shared" si="3"/>
        <v/>
      </c>
      <c r="L1157" s="1" t="str">
        <f>IF(I1157&gt;0,IF(TODAY()-K1157&lt;'Анализ'!$D$4+1,1,0),"")</f>
        <v/>
      </c>
    </row>
    <row r="1158" ht="15.75" customHeight="1">
      <c r="B1158" s="1" t="str">
        <f t="shared" si="1"/>
        <v/>
      </c>
      <c r="G1158" s="17"/>
      <c r="J1158" s="1" t="str">
        <f t="array" ref="J1158">IFERROR(INDEX('Исходник'!$1:$626,MATCH($I1158,'Исходник'!$T:$T,0),MATCH(J$1,'Исходник'!$1:$1,0)))</f>
        <v/>
      </c>
      <c r="K1158" s="7" t="str">
        <f t="shared" si="3"/>
        <v/>
      </c>
      <c r="L1158" s="1" t="str">
        <f>IF(I1158&gt;0,IF(TODAY()-K1158&lt;'Анализ'!$D$4+1,1,0),"")</f>
        <v/>
      </c>
    </row>
    <row r="1159" ht="15.75" customHeight="1">
      <c r="B1159" s="1" t="str">
        <f t="shared" si="1"/>
        <v/>
      </c>
      <c r="G1159" s="17"/>
      <c r="J1159" s="1" t="str">
        <f t="array" ref="J1159">IFERROR(INDEX('Исходник'!$1:$626,MATCH($I1159,'Исходник'!$T:$T,0),MATCH(J$1,'Исходник'!$1:$1,0)))</f>
        <v/>
      </c>
      <c r="K1159" s="7" t="str">
        <f t="shared" si="3"/>
        <v/>
      </c>
      <c r="L1159" s="1" t="str">
        <f>IF(I1159&gt;0,IF(TODAY()-K1159&lt;'Анализ'!$D$4+1,1,0),"")</f>
        <v/>
      </c>
    </row>
    <row r="1160" ht="15.75" customHeight="1">
      <c r="B1160" s="1" t="str">
        <f t="shared" si="1"/>
        <v/>
      </c>
      <c r="G1160" s="17"/>
      <c r="J1160" s="1" t="str">
        <f t="array" ref="J1160">IFERROR(INDEX('Исходник'!$1:$626,MATCH($I1160,'Исходник'!$T:$T,0),MATCH(J$1,'Исходник'!$1:$1,0)))</f>
        <v/>
      </c>
      <c r="K1160" s="7" t="str">
        <f t="shared" si="3"/>
        <v/>
      </c>
      <c r="L1160" s="1" t="str">
        <f>IF(I1160&gt;0,IF(TODAY()-K1160&lt;'Анализ'!$D$4+1,1,0),"")</f>
        <v/>
      </c>
    </row>
    <row r="1161" ht="15.75" customHeight="1">
      <c r="B1161" s="1" t="str">
        <f t="shared" si="1"/>
        <v/>
      </c>
      <c r="G1161" s="17"/>
      <c r="J1161" s="1" t="str">
        <f t="array" ref="J1161">IFERROR(INDEX('Исходник'!$1:$626,MATCH($I1161,'Исходник'!$T:$T,0),MATCH(J$1,'Исходник'!$1:$1,0)))</f>
        <v/>
      </c>
      <c r="K1161" s="7" t="str">
        <f t="shared" si="3"/>
        <v/>
      </c>
      <c r="L1161" s="1" t="str">
        <f>IF(I1161&gt;0,IF(TODAY()-K1161&lt;'Анализ'!$D$4+1,1,0),"")</f>
        <v/>
      </c>
    </row>
    <row r="1162" ht="15.75" customHeight="1">
      <c r="B1162" s="1" t="str">
        <f t="shared" si="1"/>
        <v/>
      </c>
      <c r="G1162" s="17"/>
      <c r="J1162" s="1" t="str">
        <f t="array" ref="J1162">IFERROR(INDEX('Исходник'!$1:$626,MATCH($I1162,'Исходник'!$T:$T,0),MATCH(J$1,'Исходник'!$1:$1,0)))</f>
        <v/>
      </c>
      <c r="K1162" s="7" t="str">
        <f t="shared" si="3"/>
        <v/>
      </c>
      <c r="L1162" s="1" t="str">
        <f>IF(I1162&gt;0,IF(TODAY()-K1162&lt;'Анализ'!$D$4+1,1,0),"")</f>
        <v/>
      </c>
    </row>
    <row r="1163" ht="15.75" customHeight="1">
      <c r="B1163" s="1" t="str">
        <f t="shared" si="1"/>
        <v/>
      </c>
      <c r="G1163" s="17"/>
      <c r="J1163" s="1" t="str">
        <f t="array" ref="J1163">IFERROR(INDEX('Исходник'!$1:$626,MATCH($I1163,'Исходник'!$T:$T,0),MATCH(J$1,'Исходник'!$1:$1,0)))</f>
        <v/>
      </c>
      <c r="K1163" s="7" t="str">
        <f t="shared" si="3"/>
        <v/>
      </c>
      <c r="L1163" s="1" t="str">
        <f>IF(I1163&gt;0,IF(TODAY()-K1163&lt;'Анализ'!$D$4+1,1,0),"")</f>
        <v/>
      </c>
    </row>
    <row r="1164" ht="15.75" customHeight="1">
      <c r="B1164" s="1" t="str">
        <f t="shared" si="1"/>
        <v/>
      </c>
      <c r="G1164" s="17"/>
      <c r="J1164" s="1" t="str">
        <f t="array" ref="J1164">IFERROR(INDEX('Исходник'!$1:$626,MATCH($I1164,'Исходник'!$T:$T,0),MATCH(J$1,'Исходник'!$1:$1,0)))</f>
        <v/>
      </c>
      <c r="K1164" s="7" t="str">
        <f t="shared" si="3"/>
        <v/>
      </c>
      <c r="L1164" s="1" t="str">
        <f>IF(I1164&gt;0,IF(TODAY()-K1164&lt;'Анализ'!$D$4+1,1,0),"")</f>
        <v/>
      </c>
    </row>
    <row r="1165" ht="15.75" customHeight="1">
      <c r="B1165" s="1" t="str">
        <f t="shared" si="1"/>
        <v/>
      </c>
      <c r="G1165" s="17"/>
      <c r="J1165" s="1" t="str">
        <f t="array" ref="J1165">IFERROR(INDEX('Исходник'!$1:$626,MATCH($I1165,'Исходник'!$T:$T,0),MATCH(J$1,'Исходник'!$1:$1,0)))</f>
        <v/>
      </c>
      <c r="K1165" s="7" t="str">
        <f t="shared" si="3"/>
        <v/>
      </c>
      <c r="L1165" s="1" t="str">
        <f>IF(I1165&gt;0,IF(TODAY()-K1165&lt;'Анализ'!$D$4+1,1,0),"")</f>
        <v/>
      </c>
    </row>
    <row r="1166" ht="15.75" customHeight="1">
      <c r="B1166" s="1" t="str">
        <f t="shared" si="1"/>
        <v/>
      </c>
      <c r="G1166" s="17"/>
      <c r="J1166" s="1" t="str">
        <f t="array" ref="J1166">IFERROR(INDEX('Исходник'!$1:$626,MATCH($I1166,'Исходник'!$T:$T,0),MATCH(J$1,'Исходник'!$1:$1,0)))</f>
        <v/>
      </c>
      <c r="K1166" s="7" t="str">
        <f t="shared" si="3"/>
        <v/>
      </c>
      <c r="L1166" s="1" t="str">
        <f>IF(I1166&gt;0,IF(TODAY()-K1166&lt;'Анализ'!$D$4+1,1,0),"")</f>
        <v/>
      </c>
    </row>
    <row r="1167" ht="15.75" customHeight="1">
      <c r="B1167" s="1" t="str">
        <f t="shared" si="1"/>
        <v/>
      </c>
      <c r="G1167" s="17"/>
      <c r="J1167" s="1" t="str">
        <f t="array" ref="J1167">IFERROR(INDEX('Исходник'!$1:$626,MATCH($I1167,'Исходник'!$T:$T,0),MATCH(J$1,'Исходник'!$1:$1,0)))</f>
        <v/>
      </c>
      <c r="K1167" s="7" t="str">
        <f t="shared" si="3"/>
        <v/>
      </c>
      <c r="L1167" s="1" t="str">
        <f>IF(I1167&gt;0,IF(TODAY()-K1167&lt;'Анализ'!$D$4+1,1,0),"")</f>
        <v/>
      </c>
    </row>
    <row r="1168" ht="15.75" customHeight="1">
      <c r="B1168" s="1" t="str">
        <f t="shared" si="1"/>
        <v/>
      </c>
      <c r="G1168" s="17"/>
      <c r="J1168" s="1" t="str">
        <f t="array" ref="J1168">IFERROR(INDEX('Исходник'!$1:$626,MATCH($I1168,'Исходник'!$T:$T,0),MATCH(J$1,'Исходник'!$1:$1,0)))</f>
        <v/>
      </c>
      <c r="K1168" s="7" t="str">
        <f t="shared" si="3"/>
        <v/>
      </c>
      <c r="L1168" s="1" t="str">
        <f>IF(I1168&gt;0,IF(TODAY()-K1168&lt;'Анализ'!$D$4+1,1,0),"")</f>
        <v/>
      </c>
    </row>
    <row r="1169" ht="15.75" customHeight="1">
      <c r="B1169" s="1" t="str">
        <f t="shared" si="1"/>
        <v/>
      </c>
      <c r="G1169" s="17"/>
      <c r="J1169" s="1" t="str">
        <f t="array" ref="J1169">IFERROR(INDEX('Исходник'!$1:$626,MATCH($I1169,'Исходник'!$T:$T,0),MATCH(J$1,'Исходник'!$1:$1,0)))</f>
        <v/>
      </c>
      <c r="K1169" s="7" t="str">
        <f t="shared" si="3"/>
        <v/>
      </c>
      <c r="L1169" s="1" t="str">
        <f>IF(I1169&gt;0,IF(TODAY()-K1169&lt;'Анализ'!$D$4+1,1,0),"")</f>
        <v/>
      </c>
    </row>
    <row r="1170" ht="15.75" customHeight="1">
      <c r="B1170" s="1" t="str">
        <f t="shared" si="1"/>
        <v/>
      </c>
      <c r="G1170" s="17"/>
      <c r="J1170" s="1" t="str">
        <f t="array" ref="J1170">IFERROR(INDEX('Исходник'!$1:$626,MATCH($I1170,'Исходник'!$T:$T,0),MATCH(J$1,'Исходник'!$1:$1,0)))</f>
        <v/>
      </c>
      <c r="K1170" s="7" t="str">
        <f t="shared" si="3"/>
        <v/>
      </c>
      <c r="L1170" s="1" t="str">
        <f>IF(I1170&gt;0,IF(TODAY()-K1170&lt;'Анализ'!$D$4+1,1,0),"")</f>
        <v/>
      </c>
    </row>
    <row r="1171" ht="15.75" customHeight="1">
      <c r="B1171" s="1" t="str">
        <f t="shared" si="1"/>
        <v/>
      </c>
      <c r="G1171" s="17"/>
      <c r="J1171" s="1" t="str">
        <f t="array" ref="J1171">IFERROR(INDEX('Исходник'!$1:$626,MATCH($I1171,'Исходник'!$T:$T,0),MATCH(J$1,'Исходник'!$1:$1,0)))</f>
        <v/>
      </c>
      <c r="K1171" s="7" t="str">
        <f t="shared" si="3"/>
        <v/>
      </c>
      <c r="L1171" s="1" t="str">
        <f>IF(I1171&gt;0,IF(TODAY()-K1171&lt;'Анализ'!$D$4+1,1,0),"")</f>
        <v/>
      </c>
    </row>
    <row r="1172" ht="15.75" customHeight="1">
      <c r="B1172" s="1" t="str">
        <f t="shared" si="1"/>
        <v/>
      </c>
      <c r="G1172" s="17"/>
      <c r="J1172" s="1" t="str">
        <f t="array" ref="J1172">IFERROR(INDEX('Исходник'!$1:$626,MATCH($I1172,'Исходник'!$T:$T,0),MATCH(J$1,'Исходник'!$1:$1,0)))</f>
        <v/>
      </c>
      <c r="K1172" s="7" t="str">
        <f t="shared" si="3"/>
        <v/>
      </c>
      <c r="L1172" s="1" t="str">
        <f>IF(I1172&gt;0,IF(TODAY()-K1172&lt;'Анализ'!$D$4+1,1,0),"")</f>
        <v/>
      </c>
    </row>
    <row r="1173" ht="15.75" customHeight="1">
      <c r="B1173" s="1" t="str">
        <f t="shared" si="1"/>
        <v/>
      </c>
      <c r="G1173" s="17"/>
      <c r="J1173" s="1" t="str">
        <f t="array" ref="J1173">IFERROR(INDEX('Исходник'!$1:$626,MATCH($I1173,'Исходник'!$T:$T,0),MATCH(J$1,'Исходник'!$1:$1,0)))</f>
        <v/>
      </c>
      <c r="K1173" s="7" t="str">
        <f t="shared" si="3"/>
        <v/>
      </c>
      <c r="L1173" s="1" t="str">
        <f>IF(I1173&gt;0,IF(TODAY()-K1173&lt;'Анализ'!$D$4+1,1,0),"")</f>
        <v/>
      </c>
    </row>
    <row r="1174" ht="15.75" customHeight="1">
      <c r="B1174" s="1" t="str">
        <f t="shared" si="1"/>
        <v/>
      </c>
      <c r="G1174" s="17"/>
      <c r="J1174" s="1" t="str">
        <f t="array" ref="J1174">IFERROR(INDEX('Исходник'!$1:$626,MATCH($I1174,'Исходник'!$T:$T,0),MATCH(J$1,'Исходник'!$1:$1,0)))</f>
        <v/>
      </c>
      <c r="K1174" s="7" t="str">
        <f t="shared" si="3"/>
        <v/>
      </c>
      <c r="L1174" s="1" t="str">
        <f>IF(I1174&gt;0,IF(TODAY()-K1174&lt;'Анализ'!$D$4+1,1,0),"")</f>
        <v/>
      </c>
    </row>
    <row r="1175" ht="15.75" customHeight="1">
      <c r="B1175" s="1" t="str">
        <f t="shared" si="1"/>
        <v/>
      </c>
      <c r="G1175" s="17"/>
      <c r="J1175" s="1" t="str">
        <f t="array" ref="J1175">IFERROR(INDEX('Исходник'!$1:$626,MATCH($I1175,'Исходник'!$T:$T,0),MATCH(J$1,'Исходник'!$1:$1,0)))</f>
        <v/>
      </c>
      <c r="K1175" s="7" t="str">
        <f t="shared" si="3"/>
        <v/>
      </c>
      <c r="L1175" s="1" t="str">
        <f>IF(I1175&gt;0,IF(TODAY()-K1175&lt;'Анализ'!$D$4+1,1,0),"")</f>
        <v/>
      </c>
    </row>
    <row r="1176" ht="15.75" customHeight="1">
      <c r="B1176" s="1" t="str">
        <f t="shared" si="1"/>
        <v/>
      </c>
      <c r="G1176" s="17"/>
      <c r="J1176" s="1" t="str">
        <f t="array" ref="J1176">IFERROR(INDEX('Исходник'!$1:$626,MATCH($I1176,'Исходник'!$T:$T,0),MATCH(J$1,'Исходник'!$1:$1,0)))</f>
        <v/>
      </c>
      <c r="K1176" s="7" t="str">
        <f t="shared" si="3"/>
        <v/>
      </c>
      <c r="L1176" s="1" t="str">
        <f>IF(I1176&gt;0,IF(TODAY()-K1176&lt;'Анализ'!$D$4+1,1,0),"")</f>
        <v/>
      </c>
    </row>
    <row r="1177" ht="15.75" customHeight="1">
      <c r="B1177" s="1" t="str">
        <f t="shared" si="1"/>
        <v/>
      </c>
      <c r="G1177" s="17"/>
      <c r="J1177" s="1" t="str">
        <f t="array" ref="J1177">IFERROR(INDEX('Исходник'!$1:$626,MATCH($I1177,'Исходник'!$T:$T,0),MATCH(J$1,'Исходник'!$1:$1,0)))</f>
        <v/>
      </c>
      <c r="K1177" s="7" t="str">
        <f t="shared" si="3"/>
        <v/>
      </c>
      <c r="L1177" s="1" t="str">
        <f>IF(I1177&gt;0,IF(TODAY()-K1177&lt;'Анализ'!$D$4+1,1,0),"")</f>
        <v/>
      </c>
    </row>
    <row r="1178" ht="15.75" customHeight="1">
      <c r="B1178" s="1" t="str">
        <f t="shared" si="1"/>
        <v/>
      </c>
      <c r="G1178" s="17"/>
      <c r="J1178" s="1" t="str">
        <f t="array" ref="J1178">IFERROR(INDEX('Исходник'!$1:$626,MATCH($I1178,'Исходник'!$T:$T,0),MATCH(J$1,'Исходник'!$1:$1,0)))</f>
        <v/>
      </c>
      <c r="K1178" s="7" t="str">
        <f t="shared" si="3"/>
        <v/>
      </c>
      <c r="L1178" s="1" t="str">
        <f>IF(I1178&gt;0,IF(TODAY()-K1178&lt;'Анализ'!$D$4+1,1,0),"")</f>
        <v/>
      </c>
    </row>
    <row r="1179" ht="15.75" customHeight="1">
      <c r="B1179" s="1" t="str">
        <f t="shared" si="1"/>
        <v/>
      </c>
      <c r="G1179" s="17"/>
      <c r="J1179" s="1" t="str">
        <f t="array" ref="J1179">IFERROR(INDEX('Исходник'!$1:$626,MATCH($I1179,'Исходник'!$T:$T,0),MATCH(J$1,'Исходник'!$1:$1,0)))</f>
        <v/>
      </c>
      <c r="K1179" s="7" t="str">
        <f t="shared" si="3"/>
        <v/>
      </c>
      <c r="L1179" s="1" t="str">
        <f>IF(I1179&gt;0,IF(TODAY()-K1179&lt;'Анализ'!$D$4+1,1,0),"")</f>
        <v/>
      </c>
    </row>
    <row r="1180" ht="15.75" customHeight="1">
      <c r="B1180" s="1" t="str">
        <f t="shared" si="1"/>
        <v/>
      </c>
      <c r="G1180" s="17"/>
      <c r="J1180" s="1" t="str">
        <f t="array" ref="J1180">IFERROR(INDEX('Исходник'!$1:$626,MATCH($I1180,'Исходник'!$T:$T,0),MATCH(J$1,'Исходник'!$1:$1,0)))</f>
        <v/>
      </c>
      <c r="K1180" s="7" t="str">
        <f t="shared" si="3"/>
        <v/>
      </c>
      <c r="L1180" s="1" t="str">
        <f>IF(I1180&gt;0,IF(TODAY()-K1180&lt;'Анализ'!$D$4+1,1,0),"")</f>
        <v/>
      </c>
    </row>
    <row r="1181" ht="15.75" customHeight="1">
      <c r="B1181" s="1" t="str">
        <f t="shared" si="1"/>
        <v/>
      </c>
      <c r="G1181" s="17"/>
      <c r="J1181" s="1" t="str">
        <f t="array" ref="J1181">IFERROR(INDEX('Исходник'!$1:$626,MATCH($I1181,'Исходник'!$T:$T,0),MATCH(J$1,'Исходник'!$1:$1,0)))</f>
        <v/>
      </c>
      <c r="K1181" s="7" t="str">
        <f t="shared" si="3"/>
        <v/>
      </c>
      <c r="L1181" s="1" t="str">
        <f>IF(I1181&gt;0,IF(TODAY()-K1181&lt;'Анализ'!$D$4+1,1,0),"")</f>
        <v/>
      </c>
    </row>
    <row r="1182" ht="15.75" customHeight="1">
      <c r="B1182" s="1" t="str">
        <f t="shared" si="1"/>
        <v/>
      </c>
      <c r="G1182" s="17"/>
      <c r="J1182" s="1" t="str">
        <f t="array" ref="J1182">IFERROR(INDEX('Исходник'!$1:$626,MATCH($I1182,'Исходник'!$T:$T,0),MATCH(J$1,'Исходник'!$1:$1,0)))</f>
        <v/>
      </c>
      <c r="K1182" s="7" t="str">
        <f t="shared" si="3"/>
        <v/>
      </c>
      <c r="L1182" s="1" t="str">
        <f>IF(I1182&gt;0,IF(TODAY()-K1182&lt;'Анализ'!$D$4+1,1,0),"")</f>
        <v/>
      </c>
    </row>
    <row r="1183" ht="15.75" customHeight="1">
      <c r="B1183" s="1" t="str">
        <f t="shared" si="1"/>
        <v/>
      </c>
      <c r="G1183" s="17"/>
      <c r="J1183" s="1" t="str">
        <f t="array" ref="J1183">IFERROR(INDEX('Исходник'!$1:$626,MATCH($I1183,'Исходник'!$T:$T,0),MATCH(J$1,'Исходник'!$1:$1,0)))</f>
        <v/>
      </c>
      <c r="K1183" s="7" t="str">
        <f t="shared" si="3"/>
        <v/>
      </c>
      <c r="L1183" s="1" t="str">
        <f>IF(I1183&gt;0,IF(TODAY()-K1183&lt;'Анализ'!$D$4+1,1,0),"")</f>
        <v/>
      </c>
    </row>
    <row r="1184" ht="15.75" customHeight="1">
      <c r="B1184" s="1" t="str">
        <f t="shared" si="1"/>
        <v/>
      </c>
      <c r="G1184" s="17"/>
      <c r="J1184" s="1" t="str">
        <f t="array" ref="J1184">IFERROR(INDEX('Исходник'!$1:$626,MATCH($I1184,'Исходник'!$T:$T,0),MATCH(J$1,'Исходник'!$1:$1,0)))</f>
        <v/>
      </c>
      <c r="K1184" s="7" t="str">
        <f t="shared" si="3"/>
        <v/>
      </c>
      <c r="L1184" s="1" t="str">
        <f>IF(I1184&gt;0,IF(TODAY()-K1184&lt;'Анализ'!$D$4+1,1,0),"")</f>
        <v/>
      </c>
    </row>
    <row r="1185" ht="15.75" customHeight="1">
      <c r="B1185" s="1" t="str">
        <f t="shared" si="1"/>
        <v/>
      </c>
      <c r="G1185" s="17"/>
      <c r="J1185" s="1" t="str">
        <f t="array" ref="J1185">IFERROR(INDEX('Исходник'!$1:$626,MATCH($I1185,'Исходник'!$T:$T,0),MATCH(J$1,'Исходник'!$1:$1,0)))</f>
        <v/>
      </c>
      <c r="K1185" s="7" t="str">
        <f t="shared" si="3"/>
        <v/>
      </c>
      <c r="L1185" s="1" t="str">
        <f>IF(I1185&gt;0,IF(TODAY()-K1185&lt;'Анализ'!$D$4+1,1,0),"")</f>
        <v/>
      </c>
    </row>
    <row r="1186" ht="15.75" customHeight="1">
      <c r="B1186" s="1" t="str">
        <f t="shared" si="1"/>
        <v/>
      </c>
      <c r="G1186" s="17"/>
      <c r="J1186" s="1" t="str">
        <f t="array" ref="J1186">IFERROR(INDEX('Исходник'!$1:$626,MATCH($I1186,'Исходник'!$T:$T,0),MATCH(J$1,'Исходник'!$1:$1,0)))</f>
        <v/>
      </c>
      <c r="K1186" s="7" t="str">
        <f t="shared" si="3"/>
        <v/>
      </c>
      <c r="L1186" s="1" t="str">
        <f>IF(I1186&gt;0,IF(TODAY()-K1186&lt;'Анализ'!$D$4+1,1,0),"")</f>
        <v/>
      </c>
    </row>
    <row r="1187" ht="15.75" customHeight="1">
      <c r="B1187" s="1" t="str">
        <f t="shared" si="1"/>
        <v/>
      </c>
      <c r="G1187" s="17"/>
      <c r="J1187" s="1" t="str">
        <f t="array" ref="J1187">IFERROR(INDEX('Исходник'!$1:$626,MATCH($I1187,'Исходник'!$T:$T,0),MATCH(J$1,'Исходник'!$1:$1,0)))</f>
        <v/>
      </c>
      <c r="K1187" s="7" t="str">
        <f t="shared" si="3"/>
        <v/>
      </c>
      <c r="L1187" s="1" t="str">
        <f>IF(I1187&gt;0,IF(TODAY()-K1187&lt;'Анализ'!$D$4+1,1,0),"")</f>
        <v/>
      </c>
    </row>
    <row r="1188" ht="15.75" customHeight="1">
      <c r="B1188" s="1" t="str">
        <f t="shared" si="1"/>
        <v/>
      </c>
      <c r="G1188" s="17"/>
      <c r="J1188" s="1" t="str">
        <f t="array" ref="J1188">IFERROR(INDEX('Исходник'!$1:$626,MATCH($I1188,'Исходник'!$T:$T,0),MATCH(J$1,'Исходник'!$1:$1,0)))</f>
        <v/>
      </c>
      <c r="K1188" s="7" t="str">
        <f t="shared" si="3"/>
        <v/>
      </c>
      <c r="L1188" s="1" t="str">
        <f>IF(I1188&gt;0,IF(TODAY()-K1188&lt;'Анализ'!$D$4+1,1,0),"")</f>
        <v/>
      </c>
    </row>
    <row r="1189" ht="15.75" customHeight="1">
      <c r="B1189" s="1" t="str">
        <f t="shared" si="1"/>
        <v/>
      </c>
      <c r="G1189" s="17"/>
      <c r="J1189" s="1" t="str">
        <f t="array" ref="J1189">IFERROR(INDEX('Исходник'!$1:$626,MATCH($I1189,'Исходник'!$T:$T,0),MATCH(J$1,'Исходник'!$1:$1,0)))</f>
        <v/>
      </c>
      <c r="K1189" s="7" t="str">
        <f t="shared" si="3"/>
        <v/>
      </c>
      <c r="L1189" s="1" t="str">
        <f>IF(I1189&gt;0,IF(TODAY()-K1189&lt;'Анализ'!$D$4+1,1,0),"")</f>
        <v/>
      </c>
    </row>
    <row r="1190" ht="15.75" customHeight="1">
      <c r="B1190" s="1" t="str">
        <f t="shared" si="1"/>
        <v/>
      </c>
      <c r="G1190" s="17"/>
      <c r="J1190" s="1" t="str">
        <f t="array" ref="J1190">IFERROR(INDEX('Исходник'!$1:$626,MATCH($I1190,'Исходник'!$T:$T,0),MATCH(J$1,'Исходник'!$1:$1,0)))</f>
        <v/>
      </c>
      <c r="K1190" s="7" t="str">
        <f t="shared" si="3"/>
        <v/>
      </c>
      <c r="L1190" s="1" t="str">
        <f>IF(I1190&gt;0,IF(TODAY()-K1190&lt;'Анализ'!$D$4+1,1,0),"")</f>
        <v/>
      </c>
    </row>
    <row r="1191" ht="15.75" customHeight="1">
      <c r="B1191" s="1" t="str">
        <f t="shared" si="1"/>
        <v/>
      </c>
      <c r="G1191" s="17"/>
      <c r="J1191" s="1" t="str">
        <f t="array" ref="J1191">IFERROR(INDEX('Исходник'!$1:$626,MATCH($I1191,'Исходник'!$T:$T,0),MATCH(J$1,'Исходник'!$1:$1,0)))</f>
        <v/>
      </c>
      <c r="K1191" s="7" t="str">
        <f t="shared" si="3"/>
        <v/>
      </c>
      <c r="L1191" s="1" t="str">
        <f>IF(I1191&gt;0,IF(TODAY()-K1191&lt;'Анализ'!$D$4+1,1,0),"")</f>
        <v/>
      </c>
    </row>
    <row r="1192" ht="15.75" customHeight="1">
      <c r="B1192" s="1" t="str">
        <f t="shared" si="1"/>
        <v/>
      </c>
      <c r="G1192" s="17"/>
      <c r="J1192" s="1" t="str">
        <f t="array" ref="J1192">IFERROR(INDEX('Исходник'!$1:$626,MATCH($I1192,'Исходник'!$T:$T,0),MATCH(J$1,'Исходник'!$1:$1,0)))</f>
        <v/>
      </c>
      <c r="K1192" s="7" t="str">
        <f t="shared" si="3"/>
        <v/>
      </c>
      <c r="L1192" s="1" t="str">
        <f>IF(I1192&gt;0,IF(TODAY()-K1192&lt;'Анализ'!$D$4+1,1,0),"")</f>
        <v/>
      </c>
    </row>
    <row r="1193" ht="15.75" customHeight="1">
      <c r="B1193" s="1" t="str">
        <f t="shared" si="1"/>
        <v/>
      </c>
      <c r="G1193" s="17"/>
      <c r="J1193" s="1" t="str">
        <f t="array" ref="J1193">IFERROR(INDEX('Исходник'!$1:$626,MATCH($I1193,'Исходник'!$T:$T,0),MATCH(J$1,'Исходник'!$1:$1,0)))</f>
        <v/>
      </c>
      <c r="K1193" s="7" t="str">
        <f t="shared" si="3"/>
        <v/>
      </c>
      <c r="L1193" s="1" t="str">
        <f>IF(I1193&gt;0,IF(TODAY()-K1193&lt;'Анализ'!$D$4+1,1,0),"")</f>
        <v/>
      </c>
    </row>
    <row r="1194" ht="15.75" customHeight="1">
      <c r="B1194" s="1" t="str">
        <f t="shared" si="1"/>
        <v/>
      </c>
      <c r="G1194" s="17"/>
      <c r="J1194" s="1" t="str">
        <f t="array" ref="J1194">IFERROR(INDEX('Исходник'!$1:$626,MATCH($I1194,'Исходник'!$T:$T,0),MATCH(J$1,'Исходник'!$1:$1,0)))</f>
        <v/>
      </c>
      <c r="K1194" s="7" t="str">
        <f t="shared" si="3"/>
        <v/>
      </c>
      <c r="L1194" s="1" t="str">
        <f>IF(I1194&gt;0,IF(TODAY()-K1194&lt;'Анализ'!$D$4+1,1,0),"")</f>
        <v/>
      </c>
    </row>
    <row r="1195" ht="15.75" customHeight="1">
      <c r="B1195" s="1" t="str">
        <f t="shared" si="1"/>
        <v/>
      </c>
      <c r="G1195" s="17"/>
      <c r="J1195" s="1" t="str">
        <f t="array" ref="J1195">IFERROR(INDEX('Исходник'!$1:$626,MATCH($I1195,'Исходник'!$T:$T,0),MATCH(J$1,'Исходник'!$1:$1,0)))</f>
        <v/>
      </c>
      <c r="K1195" s="7" t="str">
        <f t="shared" si="3"/>
        <v/>
      </c>
      <c r="L1195" s="1" t="str">
        <f>IF(I1195&gt;0,IF(TODAY()-K1195&lt;'Анализ'!$D$4+1,1,0),"")</f>
        <v/>
      </c>
    </row>
    <row r="1196" ht="15.75" customHeight="1">
      <c r="B1196" s="1" t="str">
        <f t="shared" si="1"/>
        <v/>
      </c>
      <c r="G1196" s="17"/>
      <c r="J1196" s="1" t="str">
        <f t="array" ref="J1196">IFERROR(INDEX('Исходник'!$1:$626,MATCH($I1196,'Исходник'!$T:$T,0),MATCH(J$1,'Исходник'!$1:$1,0)))</f>
        <v/>
      </c>
      <c r="K1196" s="7" t="str">
        <f t="shared" si="3"/>
        <v/>
      </c>
      <c r="L1196" s="1" t="str">
        <f>IF(I1196&gt;0,IF(TODAY()-K1196&lt;'Анализ'!$D$4+1,1,0),"")</f>
        <v/>
      </c>
    </row>
    <row r="1197" ht="15.75" customHeight="1">
      <c r="B1197" s="1" t="str">
        <f t="shared" si="1"/>
        <v/>
      </c>
      <c r="G1197" s="17"/>
      <c r="J1197" s="1" t="str">
        <f t="array" ref="J1197">IFERROR(INDEX('Исходник'!$1:$626,MATCH($I1197,'Исходник'!$T:$T,0),MATCH(J$1,'Исходник'!$1:$1,0)))</f>
        <v/>
      </c>
      <c r="K1197" s="7" t="str">
        <f t="shared" si="3"/>
        <v/>
      </c>
      <c r="L1197" s="1" t="str">
        <f>IF(I1197&gt;0,IF(TODAY()-K1197&lt;'Анализ'!$D$4+1,1,0),"")</f>
        <v/>
      </c>
    </row>
    <row r="1198" ht="15.75" customHeight="1">
      <c r="B1198" s="1" t="str">
        <f t="shared" si="1"/>
        <v/>
      </c>
      <c r="G1198" s="17"/>
      <c r="J1198" s="1" t="str">
        <f t="array" ref="J1198">IFERROR(INDEX('Исходник'!$1:$626,MATCH($I1198,'Исходник'!$T:$T,0),MATCH(J$1,'Исходник'!$1:$1,0)))</f>
        <v/>
      </c>
      <c r="K1198" s="7" t="str">
        <f t="shared" si="3"/>
        <v/>
      </c>
      <c r="L1198" s="1" t="str">
        <f>IF(I1198&gt;0,IF(TODAY()-K1198&lt;'Анализ'!$D$4+1,1,0),"")</f>
        <v/>
      </c>
    </row>
    <row r="1199" ht="15.75" customHeight="1">
      <c r="B1199" s="1" t="str">
        <f t="shared" si="1"/>
        <v/>
      </c>
      <c r="G1199" s="17"/>
      <c r="J1199" s="1" t="str">
        <f t="array" ref="J1199">IFERROR(INDEX('Исходник'!$1:$626,MATCH($I1199,'Исходник'!$T:$T,0),MATCH(J$1,'Исходник'!$1:$1,0)))</f>
        <v/>
      </c>
      <c r="K1199" s="7" t="str">
        <f t="shared" si="3"/>
        <v/>
      </c>
      <c r="L1199" s="1" t="str">
        <f>IF(I1199&gt;0,IF(TODAY()-K1199&lt;'Анализ'!$D$4+1,1,0),"")</f>
        <v/>
      </c>
    </row>
    <row r="1200" ht="15.75" customHeight="1">
      <c r="B1200" s="1" t="str">
        <f t="shared" si="1"/>
        <v/>
      </c>
      <c r="G1200" s="17"/>
      <c r="J1200" s="1" t="str">
        <f t="array" ref="J1200">IFERROR(INDEX('Исходник'!$1:$626,MATCH($I1200,'Исходник'!$T:$T,0),MATCH(J$1,'Исходник'!$1:$1,0)))</f>
        <v/>
      </c>
      <c r="K1200" s="7" t="str">
        <f t="shared" si="3"/>
        <v/>
      </c>
      <c r="L1200" s="1" t="str">
        <f>IF(I1200&gt;0,IF(TODAY()-K1200&lt;'Анализ'!$D$4+1,1,0),"")</f>
        <v/>
      </c>
    </row>
    <row r="1201" ht="15.75" customHeight="1">
      <c r="B1201" s="1" t="str">
        <f t="shared" si="1"/>
        <v/>
      </c>
      <c r="G1201" s="17"/>
      <c r="J1201" s="1" t="str">
        <f t="array" ref="J1201">IFERROR(INDEX('Исходник'!$1:$626,MATCH($I1201,'Исходник'!$T:$T,0),MATCH(J$1,'Исходник'!$1:$1,0)))</f>
        <v/>
      </c>
      <c r="K1201" s="7" t="str">
        <f t="shared" si="3"/>
        <v/>
      </c>
      <c r="L1201" s="1" t="str">
        <f>IF(I1201&gt;0,IF(TODAY()-K1201&lt;'Анализ'!$D$4+1,1,0),"")</f>
        <v/>
      </c>
    </row>
    <row r="1202" ht="15.75" customHeight="1">
      <c r="B1202" s="1" t="str">
        <f t="shared" si="1"/>
        <v/>
      </c>
      <c r="G1202" s="17"/>
      <c r="J1202" s="1" t="str">
        <f t="array" ref="J1202">IFERROR(INDEX('Исходник'!$1:$626,MATCH($I1202,'Исходник'!$T:$T,0),MATCH(J$1,'Исходник'!$1:$1,0)))</f>
        <v/>
      </c>
      <c r="K1202" s="7" t="str">
        <f t="shared" si="3"/>
        <v/>
      </c>
      <c r="L1202" s="1" t="str">
        <f>IF(I1202&gt;0,IF(TODAY()-K1202&lt;'Анализ'!$D$4+1,1,0),"")</f>
        <v/>
      </c>
    </row>
    <row r="1203" ht="15.75" customHeight="1">
      <c r="B1203" s="1" t="str">
        <f t="shared" si="1"/>
        <v/>
      </c>
      <c r="G1203" s="17"/>
      <c r="J1203" s="1" t="str">
        <f t="array" ref="J1203">IFERROR(INDEX('Исходник'!$1:$626,MATCH($I1203,'Исходник'!$T:$T,0),MATCH(J$1,'Исходник'!$1:$1,0)))</f>
        <v/>
      </c>
      <c r="K1203" s="7" t="str">
        <f t="shared" si="3"/>
        <v/>
      </c>
      <c r="L1203" s="1" t="str">
        <f>IF(I1203&gt;0,IF(TODAY()-K1203&lt;'Анализ'!$D$4+1,1,0),"")</f>
        <v/>
      </c>
    </row>
    <row r="1204" ht="15.75" customHeight="1">
      <c r="B1204" s="1" t="str">
        <f t="shared" si="1"/>
        <v/>
      </c>
      <c r="G1204" s="17"/>
      <c r="J1204" s="1" t="str">
        <f t="array" ref="J1204">IFERROR(INDEX('Исходник'!$1:$626,MATCH($I1204,'Исходник'!$T:$T,0),MATCH(J$1,'Исходник'!$1:$1,0)))</f>
        <v/>
      </c>
      <c r="K1204" s="7" t="str">
        <f t="shared" si="3"/>
        <v/>
      </c>
      <c r="L1204" s="1" t="str">
        <f>IF(I1204&gt;0,IF(TODAY()-K1204&lt;'Анализ'!$D$4+1,1,0),"")</f>
        <v/>
      </c>
    </row>
    <row r="1205" ht="15.75" customHeight="1">
      <c r="B1205" s="1" t="str">
        <f t="shared" si="1"/>
        <v/>
      </c>
      <c r="G1205" s="17"/>
      <c r="J1205" s="1" t="str">
        <f t="array" ref="J1205">IFERROR(INDEX('Исходник'!$1:$626,MATCH($I1205,'Исходник'!$T:$T,0),MATCH(J$1,'Исходник'!$1:$1,0)))</f>
        <v/>
      </c>
      <c r="K1205" s="7" t="str">
        <f t="shared" si="3"/>
        <v/>
      </c>
      <c r="L1205" s="1" t="str">
        <f>IF(I1205&gt;0,IF(TODAY()-K1205&lt;'Анализ'!$D$4+1,1,0),"")</f>
        <v/>
      </c>
    </row>
    <row r="1206" ht="15.75" customHeight="1">
      <c r="B1206" s="1" t="str">
        <f t="shared" si="1"/>
        <v/>
      </c>
      <c r="G1206" s="17"/>
      <c r="J1206" s="1" t="str">
        <f t="array" ref="J1206">IFERROR(INDEX('Исходник'!$1:$626,MATCH($I1206,'Исходник'!$T:$T,0),MATCH(J$1,'Исходник'!$1:$1,0)))</f>
        <v/>
      </c>
      <c r="K1206" s="7" t="str">
        <f t="shared" si="3"/>
        <v/>
      </c>
      <c r="L1206" s="1" t="str">
        <f>IF(I1206&gt;0,IF(TODAY()-K1206&lt;'Анализ'!$D$4+1,1,0),"")</f>
        <v/>
      </c>
    </row>
    <row r="1207" ht="15.75" customHeight="1">
      <c r="B1207" s="1" t="str">
        <f t="shared" si="1"/>
        <v/>
      </c>
      <c r="G1207" s="17"/>
      <c r="J1207" s="1" t="str">
        <f t="array" ref="J1207">IFERROR(INDEX('Исходник'!$1:$626,MATCH($I1207,'Исходник'!$T:$T,0),MATCH(J$1,'Исходник'!$1:$1,0)))</f>
        <v/>
      </c>
      <c r="K1207" s="7" t="str">
        <f t="shared" si="3"/>
        <v/>
      </c>
      <c r="L1207" s="1" t="str">
        <f>IF(I1207&gt;0,IF(TODAY()-K1207&lt;'Анализ'!$D$4+1,1,0),"")</f>
        <v/>
      </c>
    </row>
    <row r="1208" ht="15.75" customHeight="1">
      <c r="B1208" s="1" t="str">
        <f t="shared" si="1"/>
        <v/>
      </c>
      <c r="G1208" s="17"/>
      <c r="J1208" s="1" t="str">
        <f t="array" ref="J1208">IFERROR(INDEX('Исходник'!$1:$626,MATCH($I1208,'Исходник'!$T:$T,0),MATCH(J$1,'Исходник'!$1:$1,0)))</f>
        <v/>
      </c>
      <c r="K1208" s="7" t="str">
        <f t="shared" si="3"/>
        <v/>
      </c>
      <c r="L1208" s="1" t="str">
        <f>IF(I1208&gt;0,IF(TODAY()-K1208&lt;'Анализ'!$D$4+1,1,0),"")</f>
        <v/>
      </c>
    </row>
    <row r="1209" ht="15.75" customHeight="1">
      <c r="B1209" s="1" t="str">
        <f t="shared" si="1"/>
        <v/>
      </c>
      <c r="G1209" s="17"/>
      <c r="J1209" s="1" t="str">
        <f t="array" ref="J1209">IFERROR(INDEX('Исходник'!$1:$626,MATCH($I1209,'Исходник'!$T:$T,0),MATCH(J$1,'Исходник'!$1:$1,0)))</f>
        <v/>
      </c>
      <c r="K1209" s="7" t="str">
        <f t="shared" si="3"/>
        <v/>
      </c>
      <c r="L1209" s="1" t="str">
        <f>IF(I1209&gt;0,IF(TODAY()-K1209&lt;'Анализ'!$D$4+1,1,0),"")</f>
        <v/>
      </c>
    </row>
    <row r="1210" ht="15.75" customHeight="1">
      <c r="B1210" s="1" t="str">
        <f t="shared" si="1"/>
        <v/>
      </c>
      <c r="G1210" s="17"/>
      <c r="J1210" s="1" t="str">
        <f t="array" ref="J1210">IFERROR(INDEX('Исходник'!$1:$626,MATCH($I1210,'Исходник'!$T:$T,0),MATCH(J$1,'Исходник'!$1:$1,0)))</f>
        <v/>
      </c>
      <c r="K1210" s="7" t="str">
        <f t="shared" si="3"/>
        <v/>
      </c>
      <c r="L1210" s="1" t="str">
        <f>IF(I1210&gt;0,IF(TODAY()-K1210&lt;'Анализ'!$D$4+1,1,0),"")</f>
        <v/>
      </c>
    </row>
    <row r="1211" ht="15.75" customHeight="1">
      <c r="B1211" s="1" t="str">
        <f t="shared" si="1"/>
        <v/>
      </c>
      <c r="G1211" s="17"/>
      <c r="J1211" s="1" t="str">
        <f t="array" ref="J1211">IFERROR(INDEX('Исходник'!$1:$626,MATCH($I1211,'Исходник'!$T:$T,0),MATCH(J$1,'Исходник'!$1:$1,0)))</f>
        <v/>
      </c>
      <c r="K1211" s="7" t="str">
        <f t="shared" si="3"/>
        <v/>
      </c>
      <c r="L1211" s="1" t="str">
        <f>IF(I1211&gt;0,IF(TODAY()-K1211&lt;'Анализ'!$D$4+1,1,0),"")</f>
        <v/>
      </c>
    </row>
    <row r="1212" ht="15.75" customHeight="1">
      <c r="B1212" s="1" t="str">
        <f t="shared" si="1"/>
        <v/>
      </c>
      <c r="G1212" s="17"/>
      <c r="J1212" s="1" t="str">
        <f t="array" ref="J1212">IFERROR(INDEX('Исходник'!$1:$626,MATCH($I1212,'Исходник'!$T:$T,0),MATCH(J$1,'Исходник'!$1:$1,0)))</f>
        <v/>
      </c>
      <c r="K1212" s="7" t="str">
        <f t="shared" si="3"/>
        <v/>
      </c>
      <c r="L1212" s="1" t="str">
        <f>IF(I1212&gt;0,IF(TODAY()-K1212&lt;'Анализ'!$D$4+1,1,0),"")</f>
        <v/>
      </c>
    </row>
    <row r="1213" ht="15.75" customHeight="1">
      <c r="B1213" s="1" t="str">
        <f t="shared" si="1"/>
        <v/>
      </c>
      <c r="G1213" s="17"/>
      <c r="J1213" s="1" t="str">
        <f t="array" ref="J1213">IFERROR(INDEX('Исходник'!$1:$626,MATCH($I1213,'Исходник'!$T:$T,0),MATCH(J$1,'Исходник'!$1:$1,0)))</f>
        <v/>
      </c>
      <c r="K1213" s="7" t="str">
        <f t="shared" si="3"/>
        <v/>
      </c>
      <c r="L1213" s="1" t="str">
        <f>IF(I1213&gt;0,IF(TODAY()-K1213&lt;'Анализ'!$D$4+1,1,0),"")</f>
        <v/>
      </c>
    </row>
    <row r="1214" ht="15.75" customHeight="1">
      <c r="B1214" s="1" t="str">
        <f t="shared" si="1"/>
        <v/>
      </c>
      <c r="G1214" s="17"/>
      <c r="J1214" s="1" t="str">
        <f t="array" ref="J1214">IFERROR(INDEX('Исходник'!$1:$626,MATCH($I1214,'Исходник'!$T:$T,0),MATCH(J$1,'Исходник'!$1:$1,0)))</f>
        <v/>
      </c>
      <c r="K1214" s="7" t="str">
        <f t="shared" si="3"/>
        <v/>
      </c>
      <c r="L1214" s="1" t="str">
        <f>IF(I1214&gt;0,IF(TODAY()-K1214&lt;'Анализ'!$D$4+1,1,0),"")</f>
        <v/>
      </c>
    </row>
    <row r="1215" ht="15.75" customHeight="1">
      <c r="B1215" s="1" t="str">
        <f t="shared" si="1"/>
        <v/>
      </c>
      <c r="G1215" s="17"/>
      <c r="J1215" s="1" t="str">
        <f t="array" ref="J1215">IFERROR(INDEX('Исходник'!$1:$626,MATCH($I1215,'Исходник'!$T:$T,0),MATCH(J$1,'Исходник'!$1:$1,0)))</f>
        <v/>
      </c>
      <c r="K1215" s="7" t="str">
        <f t="shared" si="3"/>
        <v/>
      </c>
      <c r="L1215" s="1" t="str">
        <f>IF(I1215&gt;0,IF(TODAY()-K1215&lt;'Анализ'!$D$4+1,1,0),"")</f>
        <v/>
      </c>
    </row>
    <row r="1216" ht="15.75" customHeight="1">
      <c r="B1216" s="1" t="str">
        <f t="shared" si="1"/>
        <v/>
      </c>
      <c r="G1216" s="17"/>
      <c r="J1216" s="1" t="str">
        <f t="array" ref="J1216">IFERROR(INDEX('Исходник'!$1:$626,MATCH($I1216,'Исходник'!$T:$T,0),MATCH(J$1,'Исходник'!$1:$1,0)))</f>
        <v/>
      </c>
      <c r="K1216" s="7" t="str">
        <f t="shared" si="3"/>
        <v/>
      </c>
      <c r="L1216" s="1" t="str">
        <f>IF(I1216&gt;0,IF(TODAY()-K1216&lt;'Анализ'!$D$4+1,1,0),"")</f>
        <v/>
      </c>
    </row>
    <row r="1217" ht="15.75" customHeight="1">
      <c r="B1217" s="1" t="str">
        <f t="shared" si="1"/>
        <v/>
      </c>
      <c r="G1217" s="17"/>
      <c r="J1217" s="1" t="str">
        <f t="array" ref="J1217">IFERROR(INDEX('Исходник'!$1:$626,MATCH($I1217,'Исходник'!$T:$T,0),MATCH(J$1,'Исходник'!$1:$1,0)))</f>
        <v/>
      </c>
      <c r="K1217" s="7" t="str">
        <f t="shared" si="3"/>
        <v/>
      </c>
      <c r="L1217" s="1" t="str">
        <f>IF(I1217&gt;0,IF(TODAY()-K1217&lt;'Анализ'!$D$4+1,1,0),"")</f>
        <v/>
      </c>
    </row>
    <row r="1218" ht="15.75" customHeight="1">
      <c r="B1218" s="1" t="str">
        <f t="shared" si="1"/>
        <v/>
      </c>
      <c r="G1218" s="17"/>
      <c r="J1218" s="1" t="str">
        <f t="array" ref="J1218">IFERROR(INDEX('Исходник'!$1:$626,MATCH($I1218,'Исходник'!$T:$T,0),MATCH(J$1,'Исходник'!$1:$1,0)))</f>
        <v/>
      </c>
      <c r="K1218" s="7" t="str">
        <f t="shared" si="3"/>
        <v/>
      </c>
      <c r="L1218" s="1" t="str">
        <f>IF(I1218&gt;0,IF(TODAY()-K1218&lt;'Анализ'!$D$4+1,1,0),"")</f>
        <v/>
      </c>
    </row>
    <row r="1219" ht="15.75" customHeight="1">
      <c r="B1219" s="1" t="str">
        <f t="shared" si="1"/>
        <v/>
      </c>
      <c r="G1219" s="17"/>
      <c r="J1219" s="1" t="str">
        <f t="array" ref="J1219">IFERROR(INDEX('Исходник'!$1:$626,MATCH($I1219,'Исходник'!$T:$T,0),MATCH(J$1,'Исходник'!$1:$1,0)))</f>
        <v/>
      </c>
      <c r="K1219" s="7" t="str">
        <f t="shared" si="3"/>
        <v/>
      </c>
      <c r="L1219" s="1" t="str">
        <f>IF(I1219&gt;0,IF(TODAY()-K1219&lt;'Анализ'!$D$4+1,1,0),"")</f>
        <v/>
      </c>
    </row>
    <row r="1220" ht="15.75" customHeight="1">
      <c r="B1220" s="1" t="str">
        <f t="shared" si="1"/>
        <v/>
      </c>
      <c r="G1220" s="17"/>
      <c r="J1220" s="1" t="str">
        <f t="array" ref="J1220">IFERROR(INDEX('Исходник'!$1:$626,MATCH($I1220,'Исходник'!$T:$T,0),MATCH(J$1,'Исходник'!$1:$1,0)))</f>
        <v/>
      </c>
      <c r="K1220" s="7" t="str">
        <f t="shared" si="3"/>
        <v/>
      </c>
      <c r="L1220" s="1" t="str">
        <f>IF(I1220&gt;0,IF(TODAY()-K1220&lt;'Анализ'!$D$4+1,1,0),"")</f>
        <v/>
      </c>
    </row>
    <row r="1221" ht="15.75" customHeight="1">
      <c r="B1221" s="1" t="str">
        <f t="shared" si="1"/>
        <v/>
      </c>
      <c r="G1221" s="17"/>
      <c r="J1221" s="1" t="str">
        <f t="array" ref="J1221">IFERROR(INDEX('Исходник'!$1:$626,MATCH($I1221,'Исходник'!$T:$T,0),MATCH(J$1,'Исходник'!$1:$1,0)))</f>
        <v/>
      </c>
      <c r="K1221" s="7" t="str">
        <f t="shared" si="3"/>
        <v/>
      </c>
      <c r="L1221" s="1" t="str">
        <f>IF(I1221&gt;0,IF(TODAY()-K1221&lt;'Анализ'!$D$4+1,1,0),"")</f>
        <v/>
      </c>
    </row>
    <row r="1222" ht="15.75" customHeight="1">
      <c r="B1222" s="1" t="str">
        <f t="shared" si="1"/>
        <v/>
      </c>
      <c r="G1222" s="17"/>
      <c r="J1222" s="1" t="str">
        <f t="array" ref="J1222">IFERROR(INDEX('Исходник'!$1:$626,MATCH($I1222,'Исходник'!$T:$T,0),MATCH(J$1,'Исходник'!$1:$1,0)))</f>
        <v/>
      </c>
      <c r="K1222" s="7" t="str">
        <f t="shared" si="3"/>
        <v/>
      </c>
      <c r="L1222" s="1" t="str">
        <f>IF(I1222&gt;0,IF(TODAY()-K1222&lt;'Анализ'!$D$4+1,1,0),"")</f>
        <v/>
      </c>
    </row>
    <row r="1223" ht="15.75" customHeight="1">
      <c r="B1223" s="1" t="str">
        <f t="shared" si="1"/>
        <v/>
      </c>
      <c r="G1223" s="17"/>
      <c r="J1223" s="1" t="str">
        <f t="array" ref="J1223">IFERROR(INDEX('Исходник'!$1:$626,MATCH($I1223,'Исходник'!$T:$T,0),MATCH(J$1,'Исходник'!$1:$1,0)))</f>
        <v/>
      </c>
      <c r="K1223" s="7" t="str">
        <f t="shared" si="3"/>
        <v/>
      </c>
      <c r="L1223" s="1" t="str">
        <f>IF(I1223&gt;0,IF(TODAY()-K1223&lt;'Анализ'!$D$4+1,1,0),"")</f>
        <v/>
      </c>
    </row>
    <row r="1224" ht="15.75" customHeight="1">
      <c r="B1224" s="1" t="str">
        <f t="shared" si="1"/>
        <v/>
      </c>
      <c r="G1224" s="17"/>
      <c r="J1224" s="1" t="str">
        <f t="array" ref="J1224">IFERROR(INDEX('Исходник'!$1:$626,MATCH($I1224,'Исходник'!$T:$T,0),MATCH(J$1,'Исходник'!$1:$1,0)))</f>
        <v/>
      </c>
      <c r="K1224" s="7" t="str">
        <f t="shared" si="3"/>
        <v/>
      </c>
      <c r="L1224" s="1" t="str">
        <f>IF(I1224&gt;0,IF(TODAY()-K1224&lt;'Анализ'!$D$4+1,1,0),"")</f>
        <v/>
      </c>
    </row>
    <row r="1225" ht="15.75" customHeight="1">
      <c r="B1225" s="1" t="str">
        <f t="shared" si="1"/>
        <v/>
      </c>
      <c r="G1225" s="17"/>
      <c r="J1225" s="1" t="str">
        <f t="array" ref="J1225">IFERROR(INDEX('Исходник'!$1:$626,MATCH($I1225,'Исходник'!$T:$T,0),MATCH(J$1,'Исходник'!$1:$1,0)))</f>
        <v/>
      </c>
      <c r="K1225" s="7" t="str">
        <f t="shared" si="3"/>
        <v/>
      </c>
      <c r="L1225" s="1" t="str">
        <f>IF(I1225&gt;0,IF(TODAY()-K1225&lt;'Анализ'!$D$4+1,1,0),"")</f>
        <v/>
      </c>
    </row>
    <row r="1226" ht="15.75" customHeight="1">
      <c r="B1226" s="1" t="str">
        <f t="shared" si="1"/>
        <v/>
      </c>
      <c r="G1226" s="17"/>
      <c r="J1226" s="1" t="str">
        <f t="array" ref="J1226">IFERROR(INDEX('Исходник'!$1:$626,MATCH($I1226,'Исходник'!$T:$T,0),MATCH(J$1,'Исходник'!$1:$1,0)))</f>
        <v/>
      </c>
      <c r="K1226" s="7" t="str">
        <f t="shared" si="3"/>
        <v/>
      </c>
      <c r="L1226" s="1" t="str">
        <f>IF(I1226&gt;0,IF(TODAY()-K1226&lt;'Анализ'!$D$4+1,1,0),"")</f>
        <v/>
      </c>
    </row>
    <row r="1227" ht="15.75" customHeight="1">
      <c r="B1227" s="1" t="str">
        <f t="shared" si="1"/>
        <v/>
      </c>
      <c r="G1227" s="17"/>
      <c r="J1227" s="1" t="str">
        <f t="array" ref="J1227">IFERROR(INDEX('Исходник'!$1:$626,MATCH($I1227,'Исходник'!$T:$T,0),MATCH(J$1,'Исходник'!$1:$1,0)))</f>
        <v/>
      </c>
      <c r="K1227" s="7" t="str">
        <f t="shared" si="3"/>
        <v/>
      </c>
      <c r="L1227" s="1" t="str">
        <f>IF(I1227&gt;0,IF(TODAY()-K1227&lt;'Анализ'!$D$4+1,1,0),"")</f>
        <v/>
      </c>
    </row>
    <row r="1228" ht="15.75" customHeight="1">
      <c r="B1228" s="1" t="str">
        <f t="shared" si="1"/>
        <v/>
      </c>
      <c r="G1228" s="17"/>
      <c r="J1228" s="1" t="str">
        <f t="array" ref="J1228">IFERROR(INDEX('Исходник'!$1:$626,MATCH($I1228,'Исходник'!$T:$T,0),MATCH(J$1,'Исходник'!$1:$1,0)))</f>
        <v/>
      </c>
      <c r="K1228" s="7" t="str">
        <f t="shared" si="3"/>
        <v/>
      </c>
      <c r="L1228" s="1" t="str">
        <f>IF(I1228&gt;0,IF(TODAY()-K1228&lt;'Анализ'!$D$4+1,1,0),"")</f>
        <v/>
      </c>
    </row>
    <row r="1229" ht="15.75" customHeight="1">
      <c r="B1229" s="1" t="str">
        <f t="shared" si="1"/>
        <v/>
      </c>
      <c r="G1229" s="17"/>
      <c r="J1229" s="1" t="str">
        <f t="array" ref="J1229">IFERROR(INDEX('Исходник'!$1:$626,MATCH($I1229,'Исходник'!$T:$T,0),MATCH(J$1,'Исходник'!$1:$1,0)))</f>
        <v/>
      </c>
      <c r="K1229" s="7" t="str">
        <f t="shared" si="3"/>
        <v/>
      </c>
      <c r="L1229" s="1" t="str">
        <f>IF(I1229&gt;0,IF(TODAY()-K1229&lt;'Анализ'!$D$4+1,1,0),"")</f>
        <v/>
      </c>
    </row>
    <row r="1230" ht="15.75" customHeight="1">
      <c r="B1230" s="1" t="str">
        <f t="shared" si="1"/>
        <v/>
      </c>
      <c r="G1230" s="17"/>
      <c r="J1230" s="1" t="str">
        <f t="array" ref="J1230">IFERROR(INDEX('Исходник'!$1:$626,MATCH($I1230,'Исходник'!$T:$T,0),MATCH(J$1,'Исходник'!$1:$1,0)))</f>
        <v/>
      </c>
      <c r="K1230" s="7" t="str">
        <f t="shared" si="3"/>
        <v/>
      </c>
      <c r="L1230" s="1" t="str">
        <f>IF(I1230&gt;0,IF(TODAY()-K1230&lt;'Анализ'!$D$4+1,1,0),"")</f>
        <v/>
      </c>
    </row>
    <row r="1231" ht="15.75" customHeight="1">
      <c r="B1231" s="1" t="str">
        <f t="shared" si="1"/>
        <v/>
      </c>
      <c r="G1231" s="17"/>
      <c r="J1231" s="1" t="str">
        <f t="array" ref="J1231">IFERROR(INDEX('Исходник'!$1:$626,MATCH($I1231,'Исходник'!$T:$T,0),MATCH(J$1,'Исходник'!$1:$1,0)))</f>
        <v/>
      </c>
      <c r="K1231" s="7" t="str">
        <f t="shared" si="3"/>
        <v/>
      </c>
      <c r="L1231" s="1" t="str">
        <f>IF(I1231&gt;0,IF(TODAY()-K1231&lt;'Анализ'!$D$4+1,1,0),"")</f>
        <v/>
      </c>
    </row>
    <row r="1232" ht="15.75" customHeight="1">
      <c r="B1232" s="1" t="str">
        <f t="shared" si="1"/>
        <v/>
      </c>
      <c r="G1232" s="17"/>
      <c r="J1232" s="1" t="str">
        <f t="array" ref="J1232">IFERROR(INDEX('Исходник'!$1:$626,MATCH($I1232,'Исходник'!$T:$T,0),MATCH(J$1,'Исходник'!$1:$1,0)))</f>
        <v/>
      </c>
      <c r="K1232" s="7" t="str">
        <f t="shared" si="3"/>
        <v/>
      </c>
      <c r="L1232" s="1" t="str">
        <f>IF(I1232&gt;0,IF(TODAY()-K1232&lt;'Анализ'!$D$4+1,1,0),"")</f>
        <v/>
      </c>
    </row>
    <row r="1233" ht="15.75" customHeight="1">
      <c r="B1233" s="1" t="str">
        <f t="shared" si="1"/>
        <v/>
      </c>
      <c r="G1233" s="17"/>
      <c r="J1233" s="1" t="str">
        <f t="array" ref="J1233">IFERROR(INDEX('Исходник'!$1:$626,MATCH($I1233,'Исходник'!$T:$T,0),MATCH(J$1,'Исходник'!$1:$1,0)))</f>
        <v/>
      </c>
      <c r="K1233" s="7" t="str">
        <f t="shared" si="3"/>
        <v/>
      </c>
      <c r="L1233" s="1" t="str">
        <f>IF(I1233&gt;0,IF(TODAY()-K1233&lt;'Анализ'!$D$4+1,1,0),"")</f>
        <v/>
      </c>
    </row>
    <row r="1234" ht="15.75" customHeight="1">
      <c r="B1234" s="1" t="str">
        <f t="shared" si="1"/>
        <v/>
      </c>
      <c r="G1234" s="17"/>
      <c r="J1234" s="1" t="str">
        <f t="array" ref="J1234">IFERROR(INDEX('Исходник'!$1:$626,MATCH($I1234,'Исходник'!$T:$T,0),MATCH(J$1,'Исходник'!$1:$1,0)))</f>
        <v/>
      </c>
      <c r="K1234" s="7" t="str">
        <f t="shared" si="3"/>
        <v/>
      </c>
      <c r="L1234" s="1" t="str">
        <f>IF(I1234&gt;0,IF(TODAY()-K1234&lt;'Анализ'!$D$4+1,1,0),"")</f>
        <v/>
      </c>
    </row>
    <row r="1235" ht="15.75" customHeight="1">
      <c r="B1235" s="1" t="str">
        <f t="shared" si="1"/>
        <v/>
      </c>
      <c r="G1235" s="17"/>
      <c r="J1235" s="1" t="str">
        <f t="array" ref="J1235">IFERROR(INDEX('Исходник'!$1:$626,MATCH($I1235,'Исходник'!$T:$T,0),MATCH(J$1,'Исходник'!$1:$1,0)))</f>
        <v/>
      </c>
      <c r="K1235" s="7" t="str">
        <f t="shared" si="3"/>
        <v/>
      </c>
      <c r="L1235" s="1" t="str">
        <f>IF(I1235&gt;0,IF(TODAY()-K1235&lt;'Анализ'!$D$4+1,1,0),"")</f>
        <v/>
      </c>
    </row>
    <row r="1236" ht="15.75" customHeight="1">
      <c r="B1236" s="1" t="str">
        <f t="shared" si="1"/>
        <v/>
      </c>
      <c r="G1236" s="17"/>
      <c r="J1236" s="1" t="str">
        <f t="array" ref="J1236">IFERROR(INDEX('Исходник'!$1:$626,MATCH($I1236,'Исходник'!$T:$T,0),MATCH(J$1,'Исходник'!$1:$1,0)))</f>
        <v/>
      </c>
      <c r="K1236" s="7" t="str">
        <f t="shared" si="3"/>
        <v/>
      </c>
      <c r="L1236" s="1" t="str">
        <f>IF(I1236&gt;0,IF(TODAY()-K1236&lt;'Анализ'!$D$4+1,1,0),"")</f>
        <v/>
      </c>
    </row>
    <row r="1237" ht="15.75" customHeight="1">
      <c r="B1237" s="1" t="str">
        <f t="shared" si="1"/>
        <v/>
      </c>
      <c r="G1237" s="17"/>
      <c r="J1237" s="1" t="str">
        <f t="array" ref="J1237">IFERROR(INDEX('Исходник'!$1:$626,MATCH($I1237,'Исходник'!$T:$T,0),MATCH(J$1,'Исходник'!$1:$1,0)))</f>
        <v/>
      </c>
      <c r="K1237" s="7" t="str">
        <f t="shared" si="3"/>
        <v/>
      </c>
      <c r="L1237" s="1" t="str">
        <f>IF(I1237&gt;0,IF(TODAY()-K1237&lt;'Анализ'!$D$4+1,1,0),"")</f>
        <v/>
      </c>
    </row>
    <row r="1238" ht="15.75" customHeight="1">
      <c r="B1238" s="1" t="str">
        <f t="shared" si="1"/>
        <v/>
      </c>
      <c r="G1238" s="17"/>
      <c r="J1238" s="1" t="str">
        <f t="array" ref="J1238">IFERROR(INDEX('Исходник'!$1:$626,MATCH($I1238,'Исходник'!$T:$T,0),MATCH(J$1,'Исходник'!$1:$1,0)))</f>
        <v/>
      </c>
      <c r="K1238" s="7" t="str">
        <f t="shared" si="3"/>
        <v/>
      </c>
      <c r="L1238" s="1" t="str">
        <f>IF(I1238&gt;0,IF(TODAY()-K1238&lt;'Анализ'!$D$4+1,1,0),"")</f>
        <v/>
      </c>
    </row>
    <row r="1239" ht="15.75" customHeight="1">
      <c r="B1239" s="1" t="str">
        <f t="shared" si="1"/>
        <v/>
      </c>
      <c r="G1239" s="17"/>
      <c r="J1239" s="1" t="str">
        <f t="array" ref="J1239">IFERROR(INDEX('Исходник'!$1:$626,MATCH($I1239,'Исходник'!$T:$T,0),MATCH(J$1,'Исходник'!$1:$1,0)))</f>
        <v/>
      </c>
      <c r="K1239" s="7" t="str">
        <f t="shared" si="3"/>
        <v/>
      </c>
      <c r="L1239" s="1" t="str">
        <f>IF(I1239&gt;0,IF(TODAY()-K1239&lt;'Анализ'!$D$4+1,1,0),"")</f>
        <v/>
      </c>
    </row>
    <row r="1240" ht="15.75" customHeight="1">
      <c r="B1240" s="1" t="str">
        <f t="shared" si="1"/>
        <v/>
      </c>
      <c r="G1240" s="17"/>
      <c r="J1240" s="1" t="str">
        <f t="array" ref="J1240">IFERROR(INDEX('Исходник'!$1:$626,MATCH($I1240,'Исходник'!$T:$T,0),MATCH(J$1,'Исходник'!$1:$1,0)))</f>
        <v/>
      </c>
      <c r="K1240" s="7" t="str">
        <f t="shared" si="3"/>
        <v/>
      </c>
      <c r="L1240" s="1" t="str">
        <f>IF(I1240&gt;0,IF(TODAY()-K1240&lt;'Анализ'!$D$4+1,1,0),"")</f>
        <v/>
      </c>
    </row>
    <row r="1241" ht="15.75" customHeight="1">
      <c r="B1241" s="1" t="str">
        <f t="shared" si="1"/>
        <v/>
      </c>
      <c r="G1241" s="17"/>
      <c r="J1241" s="1" t="str">
        <f t="array" ref="J1241">IFERROR(INDEX('Исходник'!$1:$626,MATCH($I1241,'Исходник'!$T:$T,0),MATCH(J$1,'Исходник'!$1:$1,0)))</f>
        <v/>
      </c>
      <c r="K1241" s="7" t="str">
        <f t="shared" si="3"/>
        <v/>
      </c>
      <c r="L1241" s="1" t="str">
        <f>IF(I1241&gt;0,IF(TODAY()-K1241&lt;'Анализ'!$D$4+1,1,0),"")</f>
        <v/>
      </c>
    </row>
    <row r="1242" ht="15.75" customHeight="1">
      <c r="B1242" s="1" t="str">
        <f t="shared" si="1"/>
        <v/>
      </c>
      <c r="G1242" s="17"/>
      <c r="J1242" s="1" t="str">
        <f t="array" ref="J1242">IFERROR(INDEX('Исходник'!$1:$626,MATCH($I1242,'Исходник'!$T:$T,0),MATCH(J$1,'Исходник'!$1:$1,0)))</f>
        <v/>
      </c>
      <c r="K1242" s="7" t="str">
        <f t="shared" si="3"/>
        <v/>
      </c>
      <c r="L1242" s="1" t="str">
        <f>IF(I1242&gt;0,IF(TODAY()-K1242&lt;'Анализ'!$D$4+1,1,0),"")</f>
        <v/>
      </c>
    </row>
    <row r="1243" ht="15.75" customHeight="1">
      <c r="B1243" s="1" t="str">
        <f t="shared" si="1"/>
        <v/>
      </c>
      <c r="G1243" s="17"/>
      <c r="J1243" s="1" t="str">
        <f t="array" ref="J1243">IFERROR(INDEX('Исходник'!$1:$626,MATCH($I1243,'Исходник'!$T:$T,0),MATCH(J$1,'Исходник'!$1:$1,0)))</f>
        <v/>
      </c>
      <c r="K1243" s="7" t="str">
        <f t="shared" si="3"/>
        <v/>
      </c>
      <c r="L1243" s="1" t="str">
        <f>IF(I1243&gt;0,IF(TODAY()-K1243&lt;'Анализ'!$D$4+1,1,0),"")</f>
        <v/>
      </c>
    </row>
    <row r="1244" ht="15.75" customHeight="1">
      <c r="B1244" s="1" t="str">
        <f t="shared" si="1"/>
        <v/>
      </c>
      <c r="G1244" s="17"/>
      <c r="J1244" s="1" t="str">
        <f t="array" ref="J1244">IFERROR(INDEX('Исходник'!$1:$626,MATCH($I1244,'Исходник'!$T:$T,0),MATCH(J$1,'Исходник'!$1:$1,0)))</f>
        <v/>
      </c>
      <c r="K1244" s="7" t="str">
        <f t="shared" si="3"/>
        <v/>
      </c>
      <c r="L1244" s="1" t="str">
        <f>IF(I1244&gt;0,IF(TODAY()-K1244&lt;'Анализ'!$D$4+1,1,0),"")</f>
        <v/>
      </c>
    </row>
    <row r="1245" ht="15.75" customHeight="1">
      <c r="B1245" s="1" t="str">
        <f t="shared" si="1"/>
        <v/>
      </c>
      <c r="G1245" s="17"/>
      <c r="J1245" s="1" t="str">
        <f t="array" ref="J1245">IFERROR(INDEX('Исходник'!$1:$626,MATCH($I1245,'Исходник'!$T:$T,0),MATCH(J$1,'Исходник'!$1:$1,0)))</f>
        <v/>
      </c>
      <c r="K1245" s="7" t="str">
        <f t="shared" si="3"/>
        <v/>
      </c>
      <c r="L1245" s="1" t="str">
        <f>IF(I1245&gt;0,IF(TODAY()-K1245&lt;'Анализ'!$D$4+1,1,0),"")</f>
        <v/>
      </c>
    </row>
    <row r="1246" ht="15.75" customHeight="1">
      <c r="B1246" s="1" t="str">
        <f t="shared" si="1"/>
        <v/>
      </c>
      <c r="G1246" s="17"/>
      <c r="J1246" s="1" t="str">
        <f t="array" ref="J1246">IFERROR(INDEX('Исходник'!$1:$626,MATCH($I1246,'Исходник'!$T:$T,0),MATCH(J$1,'Исходник'!$1:$1,0)))</f>
        <v/>
      </c>
      <c r="K1246" s="7" t="str">
        <f t="shared" si="3"/>
        <v/>
      </c>
      <c r="L1246" s="1" t="str">
        <f>IF(I1246&gt;0,IF(TODAY()-K1246&lt;'Анализ'!$D$4+1,1,0),"")</f>
        <v/>
      </c>
    </row>
    <row r="1247" ht="15.75" customHeight="1">
      <c r="B1247" s="1" t="str">
        <f t="shared" si="1"/>
        <v/>
      </c>
      <c r="G1247" s="17"/>
      <c r="J1247" s="1" t="str">
        <f t="array" ref="J1247">IFERROR(INDEX('Исходник'!$1:$626,MATCH($I1247,'Исходник'!$T:$T,0),MATCH(J$1,'Исходник'!$1:$1,0)))</f>
        <v/>
      </c>
      <c r="K1247" s="7" t="str">
        <f t="shared" si="3"/>
        <v/>
      </c>
      <c r="L1247" s="1" t="str">
        <f>IF(I1247&gt;0,IF(TODAY()-K1247&lt;'Анализ'!$D$4+1,1,0),"")</f>
        <v/>
      </c>
    </row>
    <row r="1248" ht="15.75" customHeight="1">
      <c r="B1248" s="1" t="str">
        <f t="shared" si="1"/>
        <v/>
      </c>
      <c r="G1248" s="17"/>
      <c r="J1248" s="1" t="str">
        <f t="array" ref="J1248">IFERROR(INDEX('Исходник'!$1:$626,MATCH($I1248,'Исходник'!$T:$T,0),MATCH(J$1,'Исходник'!$1:$1,0)))</f>
        <v/>
      </c>
      <c r="K1248" s="7" t="str">
        <f t="shared" si="3"/>
        <v/>
      </c>
      <c r="L1248" s="1" t="str">
        <f>IF(I1248&gt;0,IF(TODAY()-K1248&lt;'Анализ'!$D$4+1,1,0),"")</f>
        <v/>
      </c>
    </row>
    <row r="1249" ht="15.75" customHeight="1">
      <c r="B1249" s="1" t="str">
        <f t="shared" si="1"/>
        <v/>
      </c>
      <c r="G1249" s="17"/>
      <c r="J1249" s="1" t="str">
        <f t="array" ref="J1249">IFERROR(INDEX('Исходник'!$1:$626,MATCH($I1249,'Исходник'!$T:$T,0),MATCH(J$1,'Исходник'!$1:$1,0)))</f>
        <v/>
      </c>
      <c r="K1249" s="7" t="str">
        <f t="shared" si="3"/>
        <v/>
      </c>
      <c r="L1249" s="1" t="str">
        <f>IF(I1249&gt;0,IF(TODAY()-K1249&lt;'Анализ'!$D$4+1,1,0),"")</f>
        <v/>
      </c>
    </row>
    <row r="1250" ht="15.75" customHeight="1">
      <c r="B1250" s="1" t="str">
        <f t="shared" si="1"/>
        <v/>
      </c>
      <c r="G1250" s="17"/>
      <c r="J1250" s="1" t="str">
        <f t="array" ref="J1250">IFERROR(INDEX('Исходник'!$1:$626,MATCH($I1250,'Исходник'!$T:$T,0),MATCH(J$1,'Исходник'!$1:$1,0)))</f>
        <v/>
      </c>
      <c r="K1250" s="7" t="str">
        <f t="shared" si="3"/>
        <v/>
      </c>
      <c r="L1250" s="1" t="str">
        <f>IF(I1250&gt;0,IF(TODAY()-K1250&lt;'Анализ'!$D$4+1,1,0),"")</f>
        <v/>
      </c>
    </row>
    <row r="1251" ht="15.75" customHeight="1">
      <c r="B1251" s="1" t="str">
        <f t="shared" si="1"/>
        <v/>
      </c>
      <c r="G1251" s="17"/>
      <c r="J1251" s="1" t="str">
        <f t="array" ref="J1251">IFERROR(INDEX('Исходник'!$1:$626,MATCH($I1251,'Исходник'!$T:$T,0),MATCH(J$1,'Исходник'!$1:$1,0)))</f>
        <v/>
      </c>
      <c r="K1251" s="7" t="str">
        <f t="shared" si="3"/>
        <v/>
      </c>
      <c r="L1251" s="1" t="str">
        <f>IF(I1251&gt;0,IF(TODAY()-K1251&lt;'Анализ'!$D$4+1,1,0),"")</f>
        <v/>
      </c>
    </row>
    <row r="1252" ht="15.75" customHeight="1">
      <c r="B1252" s="1" t="str">
        <f t="shared" si="1"/>
        <v/>
      </c>
      <c r="G1252" s="17"/>
      <c r="J1252" s="1" t="str">
        <f t="array" ref="J1252">IFERROR(INDEX('Исходник'!$1:$626,MATCH($I1252,'Исходник'!$T:$T,0),MATCH(J$1,'Исходник'!$1:$1,0)))</f>
        <v/>
      </c>
      <c r="K1252" s="7" t="str">
        <f t="shared" si="3"/>
        <v/>
      </c>
      <c r="L1252" s="1" t="str">
        <f>IF(I1252&gt;0,IF(TODAY()-K1252&lt;'Анализ'!$D$4+1,1,0),"")</f>
        <v/>
      </c>
    </row>
    <row r="1253" ht="15.75" customHeight="1">
      <c r="B1253" s="1" t="str">
        <f t="shared" si="1"/>
        <v/>
      </c>
      <c r="G1253" s="17"/>
      <c r="J1253" s="1" t="str">
        <f t="array" ref="J1253">IFERROR(INDEX('Исходник'!$1:$626,MATCH($I1253,'Исходник'!$T:$T,0),MATCH(J$1,'Исходник'!$1:$1,0)))</f>
        <v/>
      </c>
      <c r="K1253" s="7" t="str">
        <f t="shared" si="3"/>
        <v/>
      </c>
      <c r="L1253" s="1" t="str">
        <f>IF(I1253&gt;0,IF(TODAY()-K1253&lt;'Анализ'!$D$4+1,1,0),"")</f>
        <v/>
      </c>
    </row>
    <row r="1254" ht="15.75" customHeight="1">
      <c r="B1254" s="1" t="str">
        <f t="shared" si="1"/>
        <v/>
      </c>
      <c r="G1254" s="17"/>
      <c r="J1254" s="1" t="str">
        <f t="array" ref="J1254">IFERROR(INDEX('Исходник'!$1:$626,MATCH($I1254,'Исходник'!$T:$T,0),MATCH(J$1,'Исходник'!$1:$1,0)))</f>
        <v/>
      </c>
      <c r="K1254" s="7" t="str">
        <f t="shared" si="3"/>
        <v/>
      </c>
      <c r="L1254" s="1" t="str">
        <f>IF(I1254&gt;0,IF(TODAY()-K1254&lt;'Анализ'!$D$4+1,1,0),"")</f>
        <v/>
      </c>
    </row>
    <row r="1255" ht="15.75" customHeight="1">
      <c r="B1255" s="1" t="str">
        <f t="shared" si="1"/>
        <v/>
      </c>
      <c r="G1255" s="17"/>
      <c r="J1255" s="1" t="str">
        <f t="array" ref="J1255">IFERROR(INDEX('Исходник'!$1:$626,MATCH($I1255,'Исходник'!$T:$T,0),MATCH(J$1,'Исходник'!$1:$1,0)))</f>
        <v/>
      </c>
      <c r="K1255" s="7" t="str">
        <f t="shared" si="3"/>
        <v/>
      </c>
      <c r="L1255" s="1" t="str">
        <f>IF(I1255&gt;0,IF(TODAY()-K1255&lt;'Анализ'!$D$4+1,1,0),"")</f>
        <v/>
      </c>
    </row>
    <row r="1256" ht="15.75" customHeight="1">
      <c r="B1256" s="1" t="str">
        <f t="shared" si="1"/>
        <v/>
      </c>
      <c r="G1256" s="17"/>
      <c r="J1256" s="1" t="str">
        <f t="array" ref="J1256">IFERROR(INDEX('Исходник'!$1:$626,MATCH($I1256,'Исходник'!$T:$T,0),MATCH(J$1,'Исходник'!$1:$1,0)))</f>
        <v/>
      </c>
      <c r="K1256" s="7" t="str">
        <f t="shared" si="3"/>
        <v/>
      </c>
      <c r="L1256" s="1" t="str">
        <f>IF(I1256&gt;0,IF(TODAY()-K1256&lt;'Анализ'!$D$4+1,1,0),"")</f>
        <v/>
      </c>
    </row>
    <row r="1257" ht="15.75" customHeight="1">
      <c r="B1257" s="1" t="str">
        <f t="shared" si="1"/>
        <v/>
      </c>
      <c r="G1257" s="17"/>
      <c r="J1257" s="1" t="str">
        <f t="array" ref="J1257">IFERROR(INDEX('Исходник'!$1:$626,MATCH($I1257,'Исходник'!$T:$T,0),MATCH(J$1,'Исходник'!$1:$1,0)))</f>
        <v/>
      </c>
      <c r="K1257" s="7" t="str">
        <f t="shared" si="3"/>
        <v/>
      </c>
      <c r="L1257" s="1" t="str">
        <f>IF(I1257&gt;0,IF(TODAY()-K1257&lt;'Анализ'!$D$4+1,1,0),"")</f>
        <v/>
      </c>
    </row>
    <row r="1258" ht="15.75" customHeight="1">
      <c r="B1258" s="1" t="str">
        <f t="shared" si="1"/>
        <v/>
      </c>
      <c r="G1258" s="17"/>
      <c r="J1258" s="1" t="str">
        <f t="array" ref="J1258">IFERROR(INDEX('Исходник'!$1:$626,MATCH($I1258,'Исходник'!$T:$T,0),MATCH(J$1,'Исходник'!$1:$1,0)))</f>
        <v/>
      </c>
      <c r="K1258" s="7" t="str">
        <f t="shared" si="3"/>
        <v/>
      </c>
      <c r="L1258" s="1" t="str">
        <f>IF(I1258&gt;0,IF(TODAY()-K1258&lt;'Анализ'!$D$4+1,1,0),"")</f>
        <v/>
      </c>
    </row>
    <row r="1259" ht="15.75" customHeight="1">
      <c r="B1259" s="1" t="str">
        <f t="shared" si="1"/>
        <v/>
      </c>
      <c r="G1259" s="17"/>
      <c r="J1259" s="1" t="str">
        <f t="array" ref="J1259">IFERROR(INDEX('Исходник'!$1:$626,MATCH($I1259,'Исходник'!$T:$T,0),MATCH(J$1,'Исходник'!$1:$1,0)))</f>
        <v/>
      </c>
      <c r="K1259" s="7" t="str">
        <f t="shared" si="3"/>
        <v/>
      </c>
      <c r="L1259" s="1" t="str">
        <f>IF(I1259&gt;0,IF(TODAY()-K1259&lt;'Анализ'!$D$4+1,1,0),"")</f>
        <v/>
      </c>
    </row>
    <row r="1260" ht="15.75" customHeight="1">
      <c r="B1260" s="1" t="str">
        <f t="shared" si="1"/>
        <v/>
      </c>
      <c r="G1260" s="17"/>
      <c r="J1260" s="1" t="str">
        <f t="array" ref="J1260">IFERROR(INDEX('Исходник'!$1:$626,MATCH($I1260,'Исходник'!$T:$T,0),MATCH(J$1,'Исходник'!$1:$1,0)))</f>
        <v/>
      </c>
      <c r="K1260" s="7" t="str">
        <f t="shared" si="3"/>
        <v/>
      </c>
      <c r="L1260" s="1" t="str">
        <f>IF(I1260&gt;0,IF(TODAY()-K1260&lt;'Анализ'!$D$4+1,1,0),"")</f>
        <v/>
      </c>
    </row>
    <row r="1261" ht="15.75" customHeight="1">
      <c r="B1261" s="1" t="str">
        <f t="shared" si="1"/>
        <v/>
      </c>
      <c r="G1261" s="17"/>
      <c r="J1261" s="1" t="str">
        <f t="array" ref="J1261">IFERROR(INDEX('Исходник'!$1:$626,MATCH($I1261,'Исходник'!$T:$T,0),MATCH(J$1,'Исходник'!$1:$1,0)))</f>
        <v/>
      </c>
      <c r="K1261" s="7" t="str">
        <f t="shared" si="3"/>
        <v/>
      </c>
      <c r="L1261" s="1" t="str">
        <f>IF(I1261&gt;0,IF(TODAY()-K1261&lt;'Анализ'!$D$4+1,1,0),"")</f>
        <v/>
      </c>
    </row>
    <row r="1262" ht="15.75" customHeight="1">
      <c r="B1262" s="1" t="str">
        <f t="shared" si="1"/>
        <v/>
      </c>
      <c r="G1262" s="17"/>
      <c r="J1262" s="1" t="str">
        <f t="array" ref="J1262">IFERROR(INDEX('Исходник'!$1:$626,MATCH($I1262,'Исходник'!$T:$T,0),MATCH(J$1,'Исходник'!$1:$1,0)))</f>
        <v/>
      </c>
      <c r="K1262" s="7" t="str">
        <f t="shared" si="3"/>
        <v/>
      </c>
      <c r="L1262" s="1" t="str">
        <f>IF(I1262&gt;0,IF(TODAY()-K1262&lt;'Анализ'!$D$4+1,1,0),"")</f>
        <v/>
      </c>
    </row>
    <row r="1263" ht="15.75" customHeight="1">
      <c r="B1263" s="1" t="str">
        <f t="shared" si="1"/>
        <v/>
      </c>
      <c r="G1263" s="17"/>
      <c r="J1263" s="1" t="str">
        <f t="array" ref="J1263">IFERROR(INDEX('Исходник'!$1:$626,MATCH($I1263,'Исходник'!$T:$T,0),MATCH(J$1,'Исходник'!$1:$1,0)))</f>
        <v/>
      </c>
      <c r="K1263" s="7" t="str">
        <f t="shared" si="3"/>
        <v/>
      </c>
      <c r="L1263" s="1" t="str">
        <f>IF(I1263&gt;0,IF(TODAY()-K1263&lt;'Анализ'!$D$4+1,1,0),"")</f>
        <v/>
      </c>
    </row>
    <row r="1264" ht="15.75" customHeight="1">
      <c r="B1264" s="1" t="str">
        <f t="shared" si="1"/>
        <v/>
      </c>
      <c r="G1264" s="17"/>
      <c r="J1264" s="1" t="str">
        <f t="array" ref="J1264">IFERROR(INDEX('Исходник'!$1:$626,MATCH($I1264,'Исходник'!$T:$T,0),MATCH(J$1,'Исходник'!$1:$1,0)))</f>
        <v/>
      </c>
      <c r="K1264" s="7" t="str">
        <f t="shared" si="3"/>
        <v/>
      </c>
      <c r="L1264" s="1" t="str">
        <f>IF(I1264&gt;0,IF(TODAY()-K1264&lt;'Анализ'!$D$4+1,1,0),"")</f>
        <v/>
      </c>
    </row>
    <row r="1265" ht="15.75" customHeight="1">
      <c r="B1265" s="1" t="str">
        <f t="shared" si="1"/>
        <v/>
      </c>
      <c r="G1265" s="17"/>
      <c r="J1265" s="1" t="str">
        <f t="array" ref="J1265">IFERROR(INDEX('Исходник'!$1:$626,MATCH($I1265,'Исходник'!$T:$T,0),MATCH(J$1,'Исходник'!$1:$1,0)))</f>
        <v/>
      </c>
      <c r="K1265" s="7" t="str">
        <f t="shared" si="3"/>
        <v/>
      </c>
      <c r="L1265" s="1" t="str">
        <f>IF(I1265&gt;0,IF(TODAY()-K1265&lt;'Анализ'!$D$4+1,1,0),"")</f>
        <v/>
      </c>
    </row>
    <row r="1266" ht="15.75" customHeight="1">
      <c r="B1266" s="1" t="str">
        <f t="shared" si="1"/>
        <v/>
      </c>
      <c r="G1266" s="17"/>
      <c r="J1266" s="1" t="str">
        <f t="array" ref="J1266">IFERROR(INDEX('Исходник'!$1:$626,MATCH($I1266,'Исходник'!$T:$T,0),MATCH(J$1,'Исходник'!$1:$1,0)))</f>
        <v/>
      </c>
      <c r="K1266" s="7" t="str">
        <f t="shared" si="3"/>
        <v/>
      </c>
      <c r="L1266" s="1" t="str">
        <f>IF(I1266&gt;0,IF(TODAY()-K1266&lt;'Анализ'!$D$4+1,1,0),"")</f>
        <v/>
      </c>
    </row>
    <row r="1267" ht="15.75" customHeight="1">
      <c r="B1267" s="1" t="str">
        <f t="shared" si="1"/>
        <v/>
      </c>
      <c r="G1267" s="17"/>
      <c r="J1267" s="1" t="str">
        <f t="array" ref="J1267">IFERROR(INDEX('Исходник'!$1:$626,MATCH($I1267,'Исходник'!$T:$T,0),MATCH(J$1,'Исходник'!$1:$1,0)))</f>
        <v/>
      </c>
      <c r="K1267" s="7" t="str">
        <f t="shared" si="3"/>
        <v/>
      </c>
      <c r="L1267" s="1" t="str">
        <f>IF(I1267&gt;0,IF(TODAY()-K1267&lt;'Анализ'!$D$4+1,1,0),"")</f>
        <v/>
      </c>
    </row>
    <row r="1268" ht="15.75" customHeight="1">
      <c r="B1268" s="1" t="str">
        <f t="shared" si="1"/>
        <v/>
      </c>
      <c r="G1268" s="17"/>
      <c r="J1268" s="1" t="str">
        <f t="array" ref="J1268">IFERROR(INDEX('Исходник'!$1:$626,MATCH($I1268,'Исходник'!$T:$T,0),MATCH(J$1,'Исходник'!$1:$1,0)))</f>
        <v/>
      </c>
      <c r="K1268" s="7" t="str">
        <f t="shared" si="3"/>
        <v/>
      </c>
      <c r="L1268" s="1" t="str">
        <f>IF(I1268&gt;0,IF(TODAY()-K1268&lt;'Анализ'!$D$4+1,1,0),"")</f>
        <v/>
      </c>
    </row>
    <row r="1269" ht="15.75" customHeight="1">
      <c r="B1269" s="1" t="str">
        <f t="shared" si="1"/>
        <v/>
      </c>
      <c r="G1269" s="17"/>
      <c r="J1269" s="1" t="str">
        <f t="array" ref="J1269">IFERROR(INDEX('Исходник'!$1:$626,MATCH($I1269,'Исходник'!$T:$T,0),MATCH(J$1,'Исходник'!$1:$1,0)))</f>
        <v/>
      </c>
      <c r="K1269" s="7" t="str">
        <f t="shared" si="3"/>
        <v/>
      </c>
      <c r="L1269" s="1" t="str">
        <f>IF(I1269&gt;0,IF(TODAY()-K1269&lt;'Анализ'!$D$4+1,1,0),"")</f>
        <v/>
      </c>
    </row>
    <row r="1270" ht="15.75" customHeight="1">
      <c r="B1270" s="1" t="str">
        <f t="shared" si="1"/>
        <v/>
      </c>
      <c r="G1270" s="17"/>
      <c r="J1270" s="1" t="str">
        <f t="array" ref="J1270">IFERROR(INDEX('Исходник'!$1:$626,MATCH($I1270,'Исходник'!$T:$T,0),MATCH(J$1,'Исходник'!$1:$1,0)))</f>
        <v/>
      </c>
      <c r="K1270" s="7" t="str">
        <f t="shared" si="3"/>
        <v/>
      </c>
      <c r="L1270" s="1" t="str">
        <f>IF(I1270&gt;0,IF(TODAY()-K1270&lt;'Анализ'!$D$4+1,1,0),"")</f>
        <v/>
      </c>
    </row>
    <row r="1271" ht="15.75" customHeight="1">
      <c r="B1271" s="1" t="str">
        <f t="shared" si="1"/>
        <v/>
      </c>
      <c r="G1271" s="17"/>
      <c r="J1271" s="1" t="str">
        <f t="array" ref="J1271">IFERROR(INDEX('Исходник'!$1:$626,MATCH($I1271,'Исходник'!$T:$T,0),MATCH(J$1,'Исходник'!$1:$1,0)))</f>
        <v/>
      </c>
      <c r="K1271" s="7" t="str">
        <f t="shared" si="3"/>
        <v/>
      </c>
      <c r="L1271" s="1" t="str">
        <f>IF(I1271&gt;0,IF(TODAY()-K1271&lt;'Анализ'!$D$4+1,1,0),"")</f>
        <v/>
      </c>
    </row>
    <row r="1272" ht="15.75" customHeight="1">
      <c r="B1272" s="1" t="str">
        <f t="shared" si="1"/>
        <v/>
      </c>
      <c r="G1272" s="17"/>
      <c r="J1272" s="1" t="str">
        <f t="array" ref="J1272">IFERROR(INDEX('Исходник'!$1:$626,MATCH($I1272,'Исходник'!$T:$T,0),MATCH(J$1,'Исходник'!$1:$1,0)))</f>
        <v/>
      </c>
      <c r="K1272" s="7" t="str">
        <f t="shared" si="3"/>
        <v/>
      </c>
      <c r="L1272" s="1" t="str">
        <f>IF(I1272&gt;0,IF(TODAY()-K1272&lt;'Анализ'!$D$4+1,1,0),"")</f>
        <v/>
      </c>
    </row>
    <row r="1273" ht="15.75" customHeight="1">
      <c r="B1273" s="1" t="str">
        <f t="shared" si="1"/>
        <v/>
      </c>
      <c r="G1273" s="17"/>
      <c r="J1273" s="1" t="str">
        <f t="array" ref="J1273">IFERROR(INDEX('Исходник'!$1:$626,MATCH($I1273,'Исходник'!$T:$T,0),MATCH(J$1,'Исходник'!$1:$1,0)))</f>
        <v/>
      </c>
      <c r="K1273" s="7" t="str">
        <f t="shared" si="3"/>
        <v/>
      </c>
      <c r="L1273" s="1" t="str">
        <f>IF(I1273&gt;0,IF(TODAY()-K1273&lt;'Анализ'!$D$4+1,1,0),"")</f>
        <v/>
      </c>
    </row>
    <row r="1274" ht="15.75" customHeight="1">
      <c r="B1274" s="1" t="str">
        <f t="shared" si="1"/>
        <v/>
      </c>
      <c r="G1274" s="17"/>
      <c r="J1274" s="1" t="str">
        <f t="array" ref="J1274">IFERROR(INDEX('Исходник'!$1:$626,MATCH($I1274,'Исходник'!$T:$T,0),MATCH(J$1,'Исходник'!$1:$1,0)))</f>
        <v/>
      </c>
      <c r="K1274" s="7" t="str">
        <f t="shared" si="3"/>
        <v/>
      </c>
      <c r="L1274" s="1" t="str">
        <f>IF(I1274&gt;0,IF(TODAY()-K1274&lt;'Анализ'!$D$4+1,1,0),"")</f>
        <v/>
      </c>
    </row>
    <row r="1275" ht="15.75" customHeight="1">
      <c r="B1275" s="1" t="str">
        <f t="shared" si="1"/>
        <v/>
      </c>
      <c r="G1275" s="17"/>
      <c r="J1275" s="1" t="str">
        <f t="array" ref="J1275">IFERROR(INDEX('Исходник'!$1:$626,MATCH($I1275,'Исходник'!$T:$T,0),MATCH(J$1,'Исходник'!$1:$1,0)))</f>
        <v/>
      </c>
      <c r="K1275" s="7" t="str">
        <f t="shared" si="3"/>
        <v/>
      </c>
      <c r="L1275" s="1" t="str">
        <f>IF(I1275&gt;0,IF(TODAY()-K1275&lt;'Анализ'!$D$4+1,1,0),"")</f>
        <v/>
      </c>
    </row>
    <row r="1276" ht="15.75" customHeight="1">
      <c r="B1276" s="1" t="str">
        <f t="shared" si="1"/>
        <v/>
      </c>
      <c r="G1276" s="17"/>
      <c r="J1276" s="1" t="str">
        <f t="array" ref="J1276">IFERROR(INDEX('Исходник'!$1:$626,MATCH($I1276,'Исходник'!$T:$T,0),MATCH(J$1,'Исходник'!$1:$1,0)))</f>
        <v/>
      </c>
      <c r="K1276" s="7" t="str">
        <f t="shared" si="3"/>
        <v/>
      </c>
      <c r="L1276" s="1" t="str">
        <f>IF(I1276&gt;0,IF(TODAY()-K1276&lt;'Анализ'!$D$4+1,1,0),"")</f>
        <v/>
      </c>
    </row>
    <row r="1277" ht="15.75" customHeight="1">
      <c r="B1277" s="1" t="str">
        <f t="shared" si="1"/>
        <v/>
      </c>
      <c r="G1277" s="17"/>
      <c r="J1277" s="1" t="str">
        <f t="array" ref="J1277">IFERROR(INDEX('Исходник'!$1:$626,MATCH($I1277,'Исходник'!$T:$T,0),MATCH(J$1,'Исходник'!$1:$1,0)))</f>
        <v/>
      </c>
      <c r="K1277" s="7" t="str">
        <f t="shared" si="3"/>
        <v/>
      </c>
      <c r="L1277" s="1" t="str">
        <f>IF(I1277&gt;0,IF(TODAY()-K1277&lt;'Анализ'!$D$4+1,1,0),"")</f>
        <v/>
      </c>
    </row>
    <row r="1278" ht="15.75" customHeight="1">
      <c r="B1278" s="1" t="str">
        <f t="shared" si="1"/>
        <v/>
      </c>
      <c r="G1278" s="17"/>
      <c r="J1278" s="1" t="str">
        <f t="array" ref="J1278">IFERROR(INDEX('Исходник'!$1:$626,MATCH($I1278,'Исходник'!$T:$T,0),MATCH(J$1,'Исходник'!$1:$1,0)))</f>
        <v/>
      </c>
      <c r="K1278" s="7" t="str">
        <f t="shared" si="3"/>
        <v/>
      </c>
      <c r="L1278" s="1" t="str">
        <f>IF(I1278&gt;0,IF(TODAY()-K1278&lt;'Анализ'!$D$4+1,1,0),"")</f>
        <v/>
      </c>
    </row>
    <row r="1279" ht="15.75" customHeight="1">
      <c r="B1279" s="1" t="str">
        <f t="shared" si="1"/>
        <v/>
      </c>
      <c r="G1279" s="17"/>
      <c r="J1279" s="1" t="str">
        <f t="array" ref="J1279">IFERROR(INDEX('Исходник'!$1:$626,MATCH($I1279,'Исходник'!$T:$T,0),MATCH(J$1,'Исходник'!$1:$1,0)))</f>
        <v/>
      </c>
      <c r="K1279" s="7" t="str">
        <f t="shared" si="3"/>
        <v/>
      </c>
      <c r="L1279" s="1" t="str">
        <f>IF(I1279&gt;0,IF(TODAY()-K1279&lt;'Анализ'!$D$4+1,1,0),"")</f>
        <v/>
      </c>
    </row>
    <row r="1280" ht="15.75" customHeight="1">
      <c r="B1280" s="1" t="str">
        <f t="shared" si="1"/>
        <v/>
      </c>
      <c r="G1280" s="17"/>
      <c r="J1280" s="1" t="str">
        <f t="array" ref="J1280">IFERROR(INDEX('Исходник'!$1:$626,MATCH($I1280,'Исходник'!$T:$T,0),MATCH(J$1,'Исходник'!$1:$1,0)))</f>
        <v/>
      </c>
      <c r="K1280" s="7" t="str">
        <f t="shared" si="3"/>
        <v/>
      </c>
      <c r="L1280" s="1" t="str">
        <f>IF(I1280&gt;0,IF(TODAY()-K1280&lt;'Анализ'!$D$4+1,1,0),"")</f>
        <v/>
      </c>
    </row>
    <row r="1281" ht="15.75" customHeight="1">
      <c r="B1281" s="1" t="str">
        <f t="shared" si="1"/>
        <v/>
      </c>
      <c r="G1281" s="17"/>
      <c r="J1281" s="1" t="str">
        <f t="array" ref="J1281">IFERROR(INDEX('Исходник'!$1:$626,MATCH($I1281,'Исходник'!$T:$T,0),MATCH(J$1,'Исходник'!$1:$1,0)))</f>
        <v/>
      </c>
      <c r="K1281" s="7" t="str">
        <f t="shared" si="3"/>
        <v/>
      </c>
      <c r="L1281" s="1" t="str">
        <f>IF(I1281&gt;0,IF(TODAY()-K1281&lt;'Анализ'!$D$4+1,1,0),"")</f>
        <v/>
      </c>
    </row>
    <row r="1282" ht="15.75" customHeight="1">
      <c r="B1282" s="1" t="str">
        <f t="shared" si="1"/>
        <v/>
      </c>
      <c r="G1282" s="17"/>
      <c r="J1282" s="1" t="str">
        <f t="array" ref="J1282">IFERROR(INDEX('Исходник'!$1:$626,MATCH($I1282,'Исходник'!$T:$T,0),MATCH(J$1,'Исходник'!$1:$1,0)))</f>
        <v/>
      </c>
      <c r="K1282" s="7" t="str">
        <f t="shared" si="3"/>
        <v/>
      </c>
      <c r="L1282" s="1" t="str">
        <f>IF(I1282&gt;0,IF(TODAY()-K1282&lt;'Анализ'!$D$4+1,1,0),"")</f>
        <v/>
      </c>
    </row>
    <row r="1283" ht="15.75" customHeight="1">
      <c r="B1283" s="1" t="str">
        <f t="shared" si="1"/>
        <v/>
      </c>
      <c r="G1283" s="17"/>
      <c r="J1283" s="1" t="str">
        <f t="array" ref="J1283">IFERROR(INDEX('Исходник'!$1:$626,MATCH($I1283,'Исходник'!$T:$T,0),MATCH(J$1,'Исходник'!$1:$1,0)))</f>
        <v/>
      </c>
      <c r="K1283" s="7" t="str">
        <f t="shared" si="3"/>
        <v/>
      </c>
      <c r="L1283" s="1" t="str">
        <f>IF(I1283&gt;0,IF(TODAY()-K1283&lt;'Анализ'!$D$4+1,1,0),"")</f>
        <v/>
      </c>
    </row>
    <row r="1284" ht="15.75" customHeight="1">
      <c r="B1284" s="1" t="str">
        <f t="shared" si="1"/>
        <v/>
      </c>
      <c r="G1284" s="17"/>
      <c r="J1284" s="1" t="str">
        <f t="array" ref="J1284">IFERROR(INDEX('Исходник'!$1:$626,MATCH($I1284,'Исходник'!$T:$T,0),MATCH(J$1,'Исходник'!$1:$1,0)))</f>
        <v/>
      </c>
      <c r="K1284" s="7" t="str">
        <f t="shared" si="3"/>
        <v/>
      </c>
      <c r="L1284" s="1" t="str">
        <f>IF(I1284&gt;0,IF(TODAY()-K1284&lt;'Анализ'!$D$4+1,1,0),"")</f>
        <v/>
      </c>
    </row>
    <row r="1285" ht="15.75" customHeight="1">
      <c r="B1285" s="1" t="str">
        <f t="shared" si="1"/>
        <v/>
      </c>
      <c r="G1285" s="17"/>
      <c r="J1285" s="1" t="str">
        <f t="array" ref="J1285">IFERROR(INDEX('Исходник'!$1:$626,MATCH($I1285,'Исходник'!$T:$T,0),MATCH(J$1,'Исходник'!$1:$1,0)))</f>
        <v/>
      </c>
      <c r="K1285" s="7" t="str">
        <f t="shared" si="3"/>
        <v/>
      </c>
      <c r="L1285" s="1" t="str">
        <f>IF(I1285&gt;0,IF(TODAY()-K1285&lt;'Анализ'!$D$4+1,1,0),"")</f>
        <v/>
      </c>
    </row>
    <row r="1286" ht="15.75" customHeight="1">
      <c r="B1286" s="1" t="str">
        <f t="shared" si="1"/>
        <v/>
      </c>
      <c r="G1286" s="17"/>
      <c r="J1286" s="1" t="str">
        <f t="array" ref="J1286">IFERROR(INDEX('Исходник'!$1:$626,MATCH($I1286,'Исходник'!$T:$T,0),MATCH(J$1,'Исходник'!$1:$1,0)))</f>
        <v/>
      </c>
      <c r="K1286" s="7" t="str">
        <f t="shared" si="3"/>
        <v/>
      </c>
      <c r="L1286" s="1" t="str">
        <f>IF(I1286&gt;0,IF(TODAY()-K1286&lt;'Анализ'!$D$4+1,1,0),"")</f>
        <v/>
      </c>
    </row>
    <row r="1287" ht="15.75" customHeight="1">
      <c r="B1287" s="1" t="str">
        <f t="shared" si="1"/>
        <v/>
      </c>
      <c r="G1287" s="17"/>
      <c r="J1287" s="1" t="str">
        <f t="array" ref="J1287">IFERROR(INDEX('Исходник'!$1:$626,MATCH($I1287,'Исходник'!$T:$T,0),MATCH(J$1,'Исходник'!$1:$1,0)))</f>
        <v/>
      </c>
      <c r="K1287" s="7" t="str">
        <f t="shared" si="3"/>
        <v/>
      </c>
      <c r="L1287" s="1" t="str">
        <f>IF(I1287&gt;0,IF(TODAY()-K1287&lt;'Анализ'!$D$4+1,1,0),"")</f>
        <v/>
      </c>
    </row>
    <row r="1288" ht="15.75" customHeight="1">
      <c r="B1288" s="1" t="str">
        <f t="shared" si="1"/>
        <v/>
      </c>
      <c r="G1288" s="17"/>
      <c r="J1288" s="1" t="str">
        <f t="array" ref="J1288">IFERROR(INDEX('Исходник'!$1:$626,MATCH($I1288,'Исходник'!$T:$T,0),MATCH(J$1,'Исходник'!$1:$1,0)))</f>
        <v/>
      </c>
      <c r="K1288" s="7" t="str">
        <f t="shared" si="3"/>
        <v/>
      </c>
      <c r="L1288" s="1" t="str">
        <f>IF(I1288&gt;0,IF(TODAY()-K1288&lt;'Анализ'!$D$4+1,1,0),"")</f>
        <v/>
      </c>
    </row>
    <row r="1289" ht="15.75" customHeight="1">
      <c r="B1289" s="1" t="str">
        <f t="shared" si="1"/>
        <v/>
      </c>
      <c r="G1289" s="17"/>
      <c r="J1289" s="1" t="str">
        <f t="array" ref="J1289">IFERROR(INDEX('Исходник'!$1:$626,MATCH($I1289,'Исходник'!$T:$T,0),MATCH(J$1,'Исходник'!$1:$1,0)))</f>
        <v/>
      </c>
      <c r="K1289" s="7" t="str">
        <f t="shared" si="3"/>
        <v/>
      </c>
      <c r="L1289" s="1" t="str">
        <f>IF(I1289&gt;0,IF(TODAY()-K1289&lt;'Анализ'!$D$4+1,1,0),"")</f>
        <v/>
      </c>
    </row>
    <row r="1290" ht="15.75" customHeight="1">
      <c r="B1290" s="1" t="str">
        <f t="shared" si="1"/>
        <v/>
      </c>
      <c r="G1290" s="17"/>
      <c r="J1290" s="1" t="str">
        <f t="array" ref="J1290">IFERROR(INDEX('Исходник'!$1:$626,MATCH($I1290,'Исходник'!$T:$T,0),MATCH(J$1,'Исходник'!$1:$1,0)))</f>
        <v/>
      </c>
      <c r="K1290" s="7" t="str">
        <f t="shared" si="3"/>
        <v/>
      </c>
      <c r="L1290" s="1" t="str">
        <f>IF(I1290&gt;0,IF(TODAY()-K1290&lt;'Анализ'!$D$4+1,1,0),"")</f>
        <v/>
      </c>
    </row>
    <row r="1291" ht="15.75" customHeight="1">
      <c r="B1291" s="1" t="str">
        <f t="shared" si="1"/>
        <v/>
      </c>
      <c r="G1291" s="17"/>
      <c r="J1291" s="1" t="str">
        <f t="array" ref="J1291">IFERROR(INDEX('Исходник'!$1:$626,MATCH($I1291,'Исходник'!$T:$T,0),MATCH(J$1,'Исходник'!$1:$1,0)))</f>
        <v/>
      </c>
      <c r="K1291" s="7" t="str">
        <f t="shared" si="3"/>
        <v/>
      </c>
      <c r="L1291" s="1" t="str">
        <f>IF(I1291&gt;0,IF(TODAY()-K1291&lt;'Анализ'!$D$4+1,1,0),"")</f>
        <v/>
      </c>
    </row>
    <row r="1292" ht="15.75" customHeight="1">
      <c r="B1292" s="1" t="str">
        <f t="shared" si="1"/>
        <v/>
      </c>
      <c r="G1292" s="17"/>
      <c r="J1292" s="1" t="str">
        <f t="array" ref="J1292">IFERROR(INDEX('Исходник'!$1:$626,MATCH($I1292,'Исходник'!$T:$T,0),MATCH(J$1,'Исходник'!$1:$1,0)))</f>
        <v/>
      </c>
      <c r="K1292" s="7" t="str">
        <f t="shared" si="3"/>
        <v/>
      </c>
      <c r="L1292" s="1" t="str">
        <f>IF(I1292&gt;0,IF(TODAY()-K1292&lt;'Анализ'!$D$4+1,1,0),"")</f>
        <v/>
      </c>
    </row>
    <row r="1293" ht="15.75" customHeight="1">
      <c r="B1293" s="1" t="str">
        <f t="shared" si="1"/>
        <v/>
      </c>
      <c r="G1293" s="17"/>
      <c r="J1293" s="1" t="str">
        <f t="array" ref="J1293">IFERROR(INDEX('Исходник'!$1:$626,MATCH($I1293,'Исходник'!$T:$T,0),MATCH(J$1,'Исходник'!$1:$1,0)))</f>
        <v/>
      </c>
      <c r="K1293" s="7" t="str">
        <f t="shared" si="3"/>
        <v/>
      </c>
      <c r="L1293" s="1" t="str">
        <f>IF(I1293&gt;0,IF(TODAY()-K1293&lt;'Анализ'!$D$4+1,1,0),"")</f>
        <v/>
      </c>
    </row>
    <row r="1294" ht="15.75" customHeight="1">
      <c r="B1294" s="1" t="str">
        <f t="shared" si="1"/>
        <v/>
      </c>
      <c r="G1294" s="17"/>
      <c r="J1294" s="1" t="str">
        <f t="array" ref="J1294">IFERROR(INDEX('Исходник'!$1:$626,MATCH($I1294,'Исходник'!$T:$T,0),MATCH(J$1,'Исходник'!$1:$1,0)))</f>
        <v/>
      </c>
      <c r="K1294" s="7" t="str">
        <f t="shared" si="3"/>
        <v/>
      </c>
      <c r="L1294" s="1" t="str">
        <f>IF(I1294&gt;0,IF(TODAY()-K1294&lt;'Анализ'!$D$4+1,1,0),"")</f>
        <v/>
      </c>
    </row>
    <row r="1295" ht="15.75" customHeight="1">
      <c r="B1295" s="1" t="str">
        <f t="shared" si="1"/>
        <v/>
      </c>
      <c r="G1295" s="17"/>
      <c r="J1295" s="1" t="str">
        <f t="array" ref="J1295">IFERROR(INDEX('Исходник'!$1:$626,MATCH($I1295,'Исходник'!$T:$T,0),MATCH(J$1,'Исходник'!$1:$1,0)))</f>
        <v/>
      </c>
      <c r="K1295" s="7" t="str">
        <f t="shared" si="3"/>
        <v/>
      </c>
      <c r="L1295" s="1" t="str">
        <f>IF(I1295&gt;0,IF(TODAY()-K1295&lt;'Анализ'!$D$4+1,1,0),"")</f>
        <v/>
      </c>
    </row>
    <row r="1296" ht="15.75" customHeight="1">
      <c r="B1296" s="1" t="str">
        <f t="shared" si="1"/>
        <v/>
      </c>
      <c r="G1296" s="17"/>
      <c r="J1296" s="1" t="str">
        <f t="array" ref="J1296">IFERROR(INDEX('Исходник'!$1:$626,MATCH($I1296,'Исходник'!$T:$T,0),MATCH(J$1,'Исходник'!$1:$1,0)))</f>
        <v/>
      </c>
      <c r="K1296" s="7" t="str">
        <f t="shared" si="3"/>
        <v/>
      </c>
      <c r="L1296" s="1" t="str">
        <f>IF(I1296&gt;0,IF(TODAY()-K1296&lt;'Анализ'!$D$4+1,1,0),"")</f>
        <v/>
      </c>
    </row>
    <row r="1297" ht="15.75" customHeight="1">
      <c r="B1297" s="1" t="str">
        <f t="shared" si="1"/>
        <v/>
      </c>
      <c r="G1297" s="17"/>
      <c r="J1297" s="1" t="str">
        <f t="array" ref="J1297">IFERROR(INDEX('Исходник'!$1:$626,MATCH($I1297,'Исходник'!$T:$T,0),MATCH(J$1,'Исходник'!$1:$1,0)))</f>
        <v/>
      </c>
      <c r="K1297" s="7" t="str">
        <f t="shared" si="3"/>
        <v/>
      </c>
      <c r="L1297" s="1" t="str">
        <f>IF(I1297&gt;0,IF(TODAY()-K1297&lt;'Анализ'!$D$4+1,1,0),"")</f>
        <v/>
      </c>
    </row>
    <row r="1298" ht="15.75" customHeight="1">
      <c r="B1298" s="1" t="str">
        <f t="shared" si="1"/>
        <v/>
      </c>
      <c r="G1298" s="17"/>
      <c r="J1298" s="1" t="str">
        <f t="array" ref="J1298">IFERROR(INDEX('Исходник'!$1:$626,MATCH($I1298,'Исходник'!$T:$T,0),MATCH(J$1,'Исходник'!$1:$1,0)))</f>
        <v/>
      </c>
      <c r="K1298" s="7" t="str">
        <f t="shared" si="3"/>
        <v/>
      </c>
      <c r="L1298" s="1" t="str">
        <f>IF(I1298&gt;0,IF(TODAY()-K1298&lt;'Анализ'!$D$4+1,1,0),"")</f>
        <v/>
      </c>
    </row>
    <row r="1299" ht="15.75" customHeight="1">
      <c r="B1299" s="1" t="str">
        <f t="shared" si="1"/>
        <v/>
      </c>
      <c r="G1299" s="17"/>
      <c r="J1299" s="1" t="str">
        <f t="array" ref="J1299">IFERROR(INDEX('Исходник'!$1:$626,MATCH($I1299,'Исходник'!$T:$T,0),MATCH(J$1,'Исходник'!$1:$1,0)))</f>
        <v/>
      </c>
      <c r="K1299" s="7" t="str">
        <f t="shared" si="3"/>
        <v/>
      </c>
      <c r="L1299" s="1" t="str">
        <f>IF(I1299&gt;0,IF(TODAY()-K1299&lt;'Анализ'!$D$4+1,1,0),"")</f>
        <v/>
      </c>
    </row>
    <row r="1300" ht="15.75" customHeight="1">
      <c r="B1300" s="1" t="str">
        <f t="shared" si="1"/>
        <v/>
      </c>
      <c r="G1300" s="17"/>
      <c r="J1300" s="1" t="str">
        <f t="array" ref="J1300">IFERROR(INDEX('Исходник'!$1:$626,MATCH($I1300,'Исходник'!$T:$T,0),MATCH(J$1,'Исходник'!$1:$1,0)))</f>
        <v/>
      </c>
      <c r="K1300" s="7" t="str">
        <f t="shared" si="3"/>
        <v/>
      </c>
      <c r="L1300" s="1" t="str">
        <f>IF(I1300&gt;0,IF(TODAY()-K1300&lt;'Анализ'!$D$4+1,1,0),"")</f>
        <v/>
      </c>
    </row>
    <row r="1301" ht="15.75" customHeight="1">
      <c r="B1301" s="1" t="str">
        <f t="shared" si="1"/>
        <v/>
      </c>
      <c r="G1301" s="17"/>
      <c r="J1301" s="1" t="str">
        <f t="array" ref="J1301">IFERROR(INDEX('Исходник'!$1:$626,MATCH($I1301,'Исходник'!$T:$T,0),MATCH(J$1,'Исходник'!$1:$1,0)))</f>
        <v/>
      </c>
      <c r="K1301" s="7" t="str">
        <f t="shared" si="3"/>
        <v/>
      </c>
      <c r="L1301" s="1" t="str">
        <f>IF(I1301&gt;0,IF(TODAY()-K1301&lt;'Анализ'!$D$4+1,1,0),"")</f>
        <v/>
      </c>
    </row>
    <row r="1302" ht="15.75" customHeight="1">
      <c r="B1302" s="1" t="str">
        <f t="shared" si="1"/>
        <v/>
      </c>
      <c r="G1302" s="17"/>
      <c r="J1302" s="1" t="str">
        <f t="array" ref="J1302">IFERROR(INDEX('Исходник'!$1:$626,MATCH($I1302,'Исходник'!$T:$T,0),MATCH(J$1,'Исходник'!$1:$1,0)))</f>
        <v/>
      </c>
      <c r="K1302" s="7" t="str">
        <f t="shared" si="3"/>
        <v/>
      </c>
      <c r="L1302" s="1" t="str">
        <f>IF(I1302&gt;0,IF(TODAY()-K1302&lt;'Анализ'!$D$4+1,1,0),"")</f>
        <v/>
      </c>
    </row>
    <row r="1303" ht="15.75" customHeight="1">
      <c r="B1303" s="1" t="str">
        <f t="shared" si="1"/>
        <v/>
      </c>
      <c r="G1303" s="17"/>
      <c r="J1303" s="1" t="str">
        <f t="array" ref="J1303">IFERROR(INDEX('Исходник'!$1:$626,MATCH($I1303,'Исходник'!$T:$T,0),MATCH(J$1,'Исходник'!$1:$1,0)))</f>
        <v/>
      </c>
      <c r="K1303" s="7" t="str">
        <f t="shared" si="3"/>
        <v/>
      </c>
      <c r="L1303" s="1" t="str">
        <f>IF(I1303&gt;0,IF(TODAY()-K1303&lt;'Анализ'!$D$4+1,1,0),"")</f>
        <v/>
      </c>
    </row>
    <row r="1304" ht="15.75" customHeight="1">
      <c r="B1304" s="1" t="str">
        <f t="shared" si="1"/>
        <v/>
      </c>
      <c r="G1304" s="17"/>
      <c r="J1304" s="1" t="str">
        <f t="array" ref="J1304">IFERROR(INDEX('Исходник'!$1:$626,MATCH($I1304,'Исходник'!$T:$T,0),MATCH(J$1,'Исходник'!$1:$1,0)))</f>
        <v/>
      </c>
      <c r="K1304" s="7" t="str">
        <f t="shared" si="3"/>
        <v/>
      </c>
      <c r="L1304" s="1" t="str">
        <f>IF(I1304&gt;0,IF(TODAY()-K1304&lt;'Анализ'!$D$4+1,1,0),"")</f>
        <v/>
      </c>
    </row>
    <row r="1305" ht="15.75" customHeight="1">
      <c r="B1305" s="1" t="str">
        <f t="shared" si="1"/>
        <v/>
      </c>
      <c r="G1305" s="17"/>
      <c r="J1305" s="1" t="str">
        <f t="array" ref="J1305">IFERROR(INDEX('Исходник'!$1:$626,MATCH($I1305,'Исходник'!$T:$T,0),MATCH(J$1,'Исходник'!$1:$1,0)))</f>
        <v/>
      </c>
      <c r="K1305" s="7" t="str">
        <f t="shared" si="3"/>
        <v/>
      </c>
      <c r="L1305" s="1" t="str">
        <f>IF(I1305&gt;0,IF(TODAY()-K1305&lt;'Анализ'!$D$4+1,1,0),"")</f>
        <v/>
      </c>
    </row>
    <row r="1306" ht="15.75" customHeight="1">
      <c r="B1306" s="1" t="str">
        <f t="shared" si="1"/>
        <v/>
      </c>
      <c r="G1306" s="17"/>
      <c r="J1306" s="1" t="str">
        <f t="array" ref="J1306">IFERROR(INDEX('Исходник'!$1:$626,MATCH($I1306,'Исходник'!$T:$T,0),MATCH(J$1,'Исходник'!$1:$1,0)))</f>
        <v/>
      </c>
      <c r="K1306" s="7" t="str">
        <f t="shared" si="3"/>
        <v/>
      </c>
      <c r="L1306" s="1" t="str">
        <f>IF(I1306&gt;0,IF(TODAY()-K1306&lt;'Анализ'!$D$4+1,1,0),"")</f>
        <v/>
      </c>
    </row>
    <row r="1307" ht="15.75" customHeight="1">
      <c r="B1307" s="1" t="str">
        <f t="shared" si="1"/>
        <v/>
      </c>
      <c r="G1307" s="17"/>
      <c r="J1307" s="1" t="str">
        <f t="array" ref="J1307">IFERROR(INDEX('Исходник'!$1:$626,MATCH($I1307,'Исходник'!$T:$T,0),MATCH(J$1,'Исходник'!$1:$1,0)))</f>
        <v/>
      </c>
      <c r="K1307" s="7" t="str">
        <f t="shared" si="3"/>
        <v/>
      </c>
      <c r="L1307" s="1" t="str">
        <f>IF(I1307&gt;0,IF(TODAY()-K1307&lt;'Анализ'!$D$4+1,1,0),"")</f>
        <v/>
      </c>
    </row>
    <row r="1308" ht="15.75" customHeight="1">
      <c r="B1308" s="1" t="str">
        <f t="shared" si="1"/>
        <v/>
      </c>
      <c r="G1308" s="17"/>
      <c r="J1308" s="1" t="str">
        <f t="array" ref="J1308">IFERROR(INDEX('Исходник'!$1:$626,MATCH($I1308,'Исходник'!$T:$T,0),MATCH(J$1,'Исходник'!$1:$1,0)))</f>
        <v/>
      </c>
      <c r="K1308" s="7" t="str">
        <f t="shared" si="3"/>
        <v/>
      </c>
      <c r="L1308" s="1" t="str">
        <f>IF(I1308&gt;0,IF(TODAY()-K1308&lt;'Анализ'!$D$4+1,1,0),"")</f>
        <v/>
      </c>
    </row>
    <row r="1309" ht="15.75" customHeight="1">
      <c r="B1309" s="1" t="str">
        <f t="shared" si="1"/>
        <v/>
      </c>
      <c r="G1309" s="17"/>
      <c r="J1309" s="1" t="str">
        <f t="array" ref="J1309">IFERROR(INDEX('Исходник'!$1:$626,MATCH($I1309,'Исходник'!$T:$T,0),MATCH(J$1,'Исходник'!$1:$1,0)))</f>
        <v/>
      </c>
      <c r="K1309" s="7" t="str">
        <f t="shared" si="3"/>
        <v/>
      </c>
      <c r="L1309" s="1" t="str">
        <f>IF(I1309&gt;0,IF(TODAY()-K1309&lt;'Анализ'!$D$4+1,1,0),"")</f>
        <v/>
      </c>
    </row>
    <row r="1310" ht="15.75" customHeight="1">
      <c r="B1310" s="1" t="str">
        <f t="shared" si="1"/>
        <v/>
      </c>
      <c r="G1310" s="17"/>
      <c r="J1310" s="1" t="str">
        <f t="array" ref="J1310">IFERROR(INDEX('Исходник'!$1:$626,MATCH($I1310,'Исходник'!$T:$T,0),MATCH(J$1,'Исходник'!$1:$1,0)))</f>
        <v/>
      </c>
      <c r="K1310" s="7" t="str">
        <f t="shared" si="3"/>
        <v/>
      </c>
      <c r="L1310" s="1" t="str">
        <f>IF(I1310&gt;0,IF(TODAY()-K1310&lt;'Анализ'!$D$4+1,1,0),"")</f>
        <v/>
      </c>
    </row>
    <row r="1311" ht="15.75" customHeight="1">
      <c r="B1311" s="1" t="str">
        <f t="shared" si="1"/>
        <v/>
      </c>
      <c r="G1311" s="17"/>
      <c r="J1311" s="1" t="str">
        <f t="array" ref="J1311">IFERROR(INDEX('Исходник'!$1:$626,MATCH($I1311,'Исходник'!$T:$T,0),MATCH(J$1,'Исходник'!$1:$1,0)))</f>
        <v/>
      </c>
      <c r="K1311" s="7" t="str">
        <f t="shared" si="3"/>
        <v/>
      </c>
      <c r="L1311" s="1" t="str">
        <f>IF(I1311&gt;0,IF(TODAY()-K1311&lt;'Анализ'!$D$4+1,1,0),"")</f>
        <v/>
      </c>
    </row>
    <row r="1312" ht="15.75" customHeight="1">
      <c r="B1312" s="1" t="str">
        <f t="shared" si="1"/>
        <v/>
      </c>
      <c r="G1312" s="17"/>
      <c r="J1312" s="1" t="str">
        <f t="array" ref="J1312">IFERROR(INDEX('Исходник'!$1:$626,MATCH($I1312,'Исходник'!$T:$T,0),MATCH(J$1,'Исходник'!$1:$1,0)))</f>
        <v/>
      </c>
      <c r="K1312" s="7" t="str">
        <f t="shared" si="3"/>
        <v/>
      </c>
      <c r="L1312" s="1" t="str">
        <f>IF(I1312&gt;0,IF(TODAY()-K1312&lt;'Анализ'!$D$4+1,1,0),"")</f>
        <v/>
      </c>
    </row>
    <row r="1313" ht="15.75" customHeight="1">
      <c r="B1313" s="1" t="str">
        <f t="shared" si="1"/>
        <v/>
      </c>
      <c r="G1313" s="17"/>
      <c r="J1313" s="1" t="str">
        <f t="array" ref="J1313">IFERROR(INDEX('Исходник'!$1:$626,MATCH($I1313,'Исходник'!$T:$T,0),MATCH(J$1,'Исходник'!$1:$1,0)))</f>
        <v/>
      </c>
      <c r="K1313" s="7" t="str">
        <f t="shared" si="3"/>
        <v/>
      </c>
      <c r="L1313" s="1" t="str">
        <f>IF(I1313&gt;0,IF(TODAY()-K1313&lt;'Анализ'!$D$4+1,1,0),"")</f>
        <v/>
      </c>
    </row>
    <row r="1314" ht="15.75" customHeight="1">
      <c r="B1314" s="1" t="str">
        <f t="shared" si="1"/>
        <v/>
      </c>
      <c r="G1314" s="17"/>
      <c r="J1314" s="1" t="str">
        <f t="array" ref="J1314">IFERROR(INDEX('Исходник'!$1:$626,MATCH($I1314,'Исходник'!$T:$T,0),MATCH(J$1,'Исходник'!$1:$1,0)))</f>
        <v/>
      </c>
      <c r="K1314" s="7" t="str">
        <f t="shared" si="3"/>
        <v/>
      </c>
      <c r="L1314" s="1" t="str">
        <f>IF(I1314&gt;0,IF(TODAY()-K1314&lt;'Анализ'!$D$4+1,1,0),"")</f>
        <v/>
      </c>
    </row>
    <row r="1315" ht="15.75" customHeight="1">
      <c r="B1315" s="1" t="str">
        <f t="shared" si="1"/>
        <v/>
      </c>
      <c r="G1315" s="17"/>
      <c r="J1315" s="1" t="str">
        <f t="array" ref="J1315">IFERROR(INDEX('Исходник'!$1:$626,MATCH($I1315,'Исходник'!$T:$T,0),MATCH(J$1,'Исходник'!$1:$1,0)))</f>
        <v/>
      </c>
      <c r="K1315" s="7" t="str">
        <f t="shared" si="3"/>
        <v/>
      </c>
      <c r="L1315" s="1" t="str">
        <f>IF(I1315&gt;0,IF(TODAY()-K1315&lt;'Анализ'!$D$4+1,1,0),"")</f>
        <v/>
      </c>
    </row>
    <row r="1316" ht="15.75" customHeight="1">
      <c r="B1316" s="1" t="str">
        <f t="shared" si="1"/>
        <v/>
      </c>
      <c r="G1316" s="17"/>
      <c r="J1316" s="1" t="str">
        <f t="array" ref="J1316">IFERROR(INDEX('Исходник'!$1:$626,MATCH($I1316,'Исходник'!$T:$T,0),MATCH(J$1,'Исходник'!$1:$1,0)))</f>
        <v/>
      </c>
      <c r="K1316" s="7" t="str">
        <f t="shared" si="3"/>
        <v/>
      </c>
      <c r="L1316" s="1" t="str">
        <f>IF(I1316&gt;0,IF(TODAY()-K1316&lt;'Анализ'!$D$4+1,1,0),"")</f>
        <v/>
      </c>
    </row>
    <row r="1317" ht="15.75" customHeight="1">
      <c r="B1317" s="1" t="str">
        <f t="shared" si="1"/>
        <v/>
      </c>
      <c r="G1317" s="17"/>
      <c r="J1317" s="1" t="str">
        <f t="array" ref="J1317">IFERROR(INDEX('Исходник'!$1:$626,MATCH($I1317,'Исходник'!$T:$T,0),MATCH(J$1,'Исходник'!$1:$1,0)))</f>
        <v/>
      </c>
      <c r="K1317" s="7" t="str">
        <f t="shared" si="3"/>
        <v/>
      </c>
      <c r="L1317" s="1" t="str">
        <f>IF(I1317&gt;0,IF(TODAY()-K1317&lt;'Анализ'!$D$4+1,1,0),"")</f>
        <v/>
      </c>
    </row>
    <row r="1318" ht="15.75" customHeight="1">
      <c r="B1318" s="1" t="str">
        <f t="shared" si="1"/>
        <v/>
      </c>
      <c r="G1318" s="17"/>
      <c r="J1318" s="1" t="str">
        <f t="array" ref="J1318">IFERROR(INDEX('Исходник'!$1:$626,MATCH($I1318,'Исходник'!$T:$T,0),MATCH(J$1,'Исходник'!$1:$1,0)))</f>
        <v/>
      </c>
      <c r="K1318" s="7" t="str">
        <f t="shared" si="3"/>
        <v/>
      </c>
      <c r="L1318" s="1" t="str">
        <f>IF(I1318&gt;0,IF(TODAY()-K1318&lt;'Анализ'!$D$4+1,1,0),"")</f>
        <v/>
      </c>
    </row>
    <row r="1319" ht="15.75" customHeight="1">
      <c r="B1319" s="1" t="str">
        <f t="shared" si="1"/>
        <v/>
      </c>
      <c r="G1319" s="17"/>
      <c r="J1319" s="1" t="str">
        <f t="array" ref="J1319">IFERROR(INDEX('Исходник'!$1:$626,MATCH($I1319,'Исходник'!$T:$T,0),MATCH(J$1,'Исходник'!$1:$1,0)))</f>
        <v/>
      </c>
      <c r="K1319" s="7" t="str">
        <f t="shared" si="3"/>
        <v/>
      </c>
      <c r="L1319" s="1" t="str">
        <f>IF(I1319&gt;0,IF(TODAY()-K1319&lt;'Анализ'!$D$4+1,1,0),"")</f>
        <v/>
      </c>
    </row>
    <row r="1320" ht="15.75" customHeight="1">
      <c r="B1320" s="1" t="str">
        <f t="shared" si="1"/>
        <v/>
      </c>
      <c r="G1320" s="17"/>
      <c r="J1320" s="1" t="str">
        <f t="array" ref="J1320">IFERROR(INDEX('Исходник'!$1:$626,MATCH($I1320,'Исходник'!$T:$T,0),MATCH(J$1,'Исходник'!$1:$1,0)))</f>
        <v/>
      </c>
      <c r="K1320" s="7" t="str">
        <f t="shared" si="3"/>
        <v/>
      </c>
      <c r="L1320" s="1" t="str">
        <f>IF(I1320&gt;0,IF(TODAY()-K1320&lt;'Анализ'!$D$4+1,1,0),"")</f>
        <v/>
      </c>
    </row>
    <row r="1321" ht="15.75" customHeight="1">
      <c r="B1321" s="1" t="str">
        <f t="shared" si="1"/>
        <v/>
      </c>
      <c r="G1321" s="17"/>
      <c r="J1321" s="1" t="str">
        <f t="array" ref="J1321">IFERROR(INDEX('Исходник'!$1:$626,MATCH($I1321,'Исходник'!$T:$T,0),MATCH(J$1,'Исходник'!$1:$1,0)))</f>
        <v/>
      </c>
      <c r="K1321" s="7" t="str">
        <f t="shared" si="3"/>
        <v/>
      </c>
      <c r="L1321" s="1" t="str">
        <f>IF(I1321&gt;0,IF(TODAY()-K1321&lt;'Анализ'!$D$4+1,1,0),"")</f>
        <v/>
      </c>
    </row>
    <row r="1322" ht="15.75" customHeight="1">
      <c r="B1322" s="1" t="str">
        <f t="shared" si="1"/>
        <v/>
      </c>
      <c r="G1322" s="17"/>
      <c r="J1322" s="1" t="str">
        <f t="array" ref="J1322">IFERROR(INDEX('Исходник'!$1:$626,MATCH($I1322,'Исходник'!$T:$T,0),MATCH(J$1,'Исходник'!$1:$1,0)))</f>
        <v/>
      </c>
      <c r="K1322" s="7" t="str">
        <f t="shared" si="3"/>
        <v/>
      </c>
      <c r="L1322" s="1" t="str">
        <f>IF(I1322&gt;0,IF(TODAY()-K1322&lt;'Анализ'!$D$4+1,1,0),"")</f>
        <v/>
      </c>
    </row>
    <row r="1323" ht="15.75" customHeight="1">
      <c r="B1323" s="1" t="str">
        <f t="shared" si="1"/>
        <v/>
      </c>
      <c r="G1323" s="17"/>
      <c r="J1323" s="1" t="str">
        <f t="array" ref="J1323">IFERROR(INDEX('Исходник'!$1:$626,MATCH($I1323,'Исходник'!$T:$T,0),MATCH(J$1,'Исходник'!$1:$1,0)))</f>
        <v/>
      </c>
      <c r="K1323" s="7" t="str">
        <f t="shared" si="3"/>
        <v/>
      </c>
      <c r="L1323" s="1" t="str">
        <f>IF(I1323&gt;0,IF(TODAY()-K1323&lt;'Анализ'!$D$4+1,1,0),"")</f>
        <v/>
      </c>
    </row>
    <row r="1324" ht="15.75" customHeight="1">
      <c r="B1324" s="1" t="str">
        <f t="shared" si="1"/>
        <v/>
      </c>
      <c r="G1324" s="17"/>
      <c r="J1324" s="1" t="str">
        <f t="array" ref="J1324">IFERROR(INDEX('Исходник'!$1:$626,MATCH($I1324,'Исходник'!$T:$T,0),MATCH(J$1,'Исходник'!$1:$1,0)))</f>
        <v/>
      </c>
      <c r="K1324" s="7" t="str">
        <f t="shared" si="3"/>
        <v/>
      </c>
      <c r="L1324" s="1" t="str">
        <f>IF(I1324&gt;0,IF(TODAY()-K1324&lt;'Анализ'!$D$4+1,1,0),"")</f>
        <v/>
      </c>
    </row>
    <row r="1325" ht="15.75" customHeight="1">
      <c r="B1325" s="1" t="str">
        <f t="shared" si="1"/>
        <v/>
      </c>
      <c r="G1325" s="17"/>
      <c r="J1325" s="1" t="str">
        <f t="array" ref="J1325">IFERROR(INDEX('Исходник'!$1:$626,MATCH($I1325,'Исходник'!$T:$T,0),MATCH(J$1,'Исходник'!$1:$1,0)))</f>
        <v/>
      </c>
      <c r="K1325" s="7" t="str">
        <f t="shared" si="3"/>
        <v/>
      </c>
      <c r="L1325" s="1" t="str">
        <f>IF(I1325&gt;0,IF(TODAY()-K1325&lt;'Анализ'!$D$4+1,1,0),"")</f>
        <v/>
      </c>
    </row>
    <row r="1326" ht="15.75" customHeight="1">
      <c r="B1326" s="1" t="str">
        <f t="shared" si="1"/>
        <v/>
      </c>
      <c r="G1326" s="17"/>
      <c r="J1326" s="1" t="str">
        <f t="array" ref="J1326">IFERROR(INDEX('Исходник'!$1:$626,MATCH($I1326,'Исходник'!$T:$T,0),MATCH(J$1,'Исходник'!$1:$1,0)))</f>
        <v/>
      </c>
      <c r="K1326" s="7" t="str">
        <f t="shared" si="3"/>
        <v/>
      </c>
      <c r="L1326" s="1" t="str">
        <f>IF(I1326&gt;0,IF(TODAY()-K1326&lt;'Анализ'!$D$4+1,1,0),"")</f>
        <v/>
      </c>
    </row>
    <row r="1327" ht="15.75" customHeight="1">
      <c r="B1327" s="1" t="str">
        <f t="shared" si="1"/>
        <v/>
      </c>
      <c r="G1327" s="17"/>
      <c r="J1327" s="1" t="str">
        <f t="array" ref="J1327">IFERROR(INDEX('Исходник'!$1:$626,MATCH($I1327,'Исходник'!$T:$T,0),MATCH(J$1,'Исходник'!$1:$1,0)))</f>
        <v/>
      </c>
      <c r="K1327" s="7" t="str">
        <f t="shared" si="3"/>
        <v/>
      </c>
      <c r="L1327" s="1" t="str">
        <f>IF(I1327&gt;0,IF(TODAY()-K1327&lt;'Анализ'!$D$4+1,1,0),"")</f>
        <v/>
      </c>
    </row>
    <row r="1328" ht="15.75" customHeight="1">
      <c r="B1328" s="1" t="str">
        <f t="shared" si="1"/>
        <v/>
      </c>
      <c r="G1328" s="17"/>
      <c r="J1328" s="1" t="str">
        <f t="array" ref="J1328">IFERROR(INDEX('Исходник'!$1:$626,MATCH($I1328,'Исходник'!$T:$T,0),MATCH(J$1,'Исходник'!$1:$1,0)))</f>
        <v/>
      </c>
      <c r="K1328" s="7" t="str">
        <f t="shared" si="3"/>
        <v/>
      </c>
      <c r="L1328" s="1" t="str">
        <f>IF(I1328&gt;0,IF(TODAY()-K1328&lt;'Анализ'!$D$4+1,1,0),"")</f>
        <v/>
      </c>
    </row>
    <row r="1329" ht="15.75" customHeight="1">
      <c r="B1329" s="1" t="str">
        <f t="shared" si="1"/>
        <v/>
      </c>
      <c r="G1329" s="17"/>
      <c r="J1329" s="1" t="str">
        <f t="array" ref="J1329">IFERROR(INDEX('Исходник'!$1:$626,MATCH($I1329,'Исходник'!$T:$T,0),MATCH(J$1,'Исходник'!$1:$1,0)))</f>
        <v/>
      </c>
      <c r="K1329" s="7" t="str">
        <f t="shared" si="3"/>
        <v/>
      </c>
      <c r="L1329" s="1" t="str">
        <f>IF(I1329&gt;0,IF(TODAY()-K1329&lt;'Анализ'!$D$4+1,1,0),"")</f>
        <v/>
      </c>
    </row>
    <row r="1330" ht="15.75" customHeight="1">
      <c r="B1330" s="1" t="str">
        <f t="shared" si="1"/>
        <v/>
      </c>
      <c r="G1330" s="17"/>
      <c r="J1330" s="1" t="str">
        <f t="array" ref="J1330">IFERROR(INDEX('Исходник'!$1:$626,MATCH($I1330,'Исходник'!$T:$T,0),MATCH(J$1,'Исходник'!$1:$1,0)))</f>
        <v/>
      </c>
      <c r="K1330" s="7" t="str">
        <f t="shared" si="3"/>
        <v/>
      </c>
      <c r="L1330" s="1" t="str">
        <f>IF(I1330&gt;0,IF(TODAY()-K1330&lt;'Анализ'!$D$4+1,1,0),"")</f>
        <v/>
      </c>
    </row>
    <row r="1331" ht="15.75" customHeight="1">
      <c r="B1331" s="1" t="str">
        <f t="shared" si="1"/>
        <v/>
      </c>
      <c r="G1331" s="17"/>
      <c r="J1331" s="1" t="str">
        <f t="array" ref="J1331">IFERROR(INDEX('Исходник'!$1:$626,MATCH($I1331,'Исходник'!$T:$T,0),MATCH(J$1,'Исходник'!$1:$1,0)))</f>
        <v/>
      </c>
      <c r="K1331" s="7" t="str">
        <f t="shared" si="3"/>
        <v/>
      </c>
      <c r="L1331" s="1" t="str">
        <f>IF(I1331&gt;0,IF(TODAY()-K1331&lt;'Анализ'!$D$4+1,1,0),"")</f>
        <v/>
      </c>
    </row>
    <row r="1332" ht="15.75" customHeight="1">
      <c r="B1332" s="1" t="str">
        <f t="shared" si="1"/>
        <v/>
      </c>
      <c r="G1332" s="17"/>
      <c r="J1332" s="1" t="str">
        <f t="array" ref="J1332">IFERROR(INDEX('Исходник'!$1:$626,MATCH($I1332,'Исходник'!$T:$T,0),MATCH(J$1,'Исходник'!$1:$1,0)))</f>
        <v/>
      </c>
      <c r="K1332" s="7" t="str">
        <f t="shared" si="3"/>
        <v/>
      </c>
      <c r="L1332" s="1" t="str">
        <f>IF(I1332&gt;0,IF(TODAY()-K1332&lt;'Анализ'!$D$4+1,1,0),"")</f>
        <v/>
      </c>
    </row>
    <row r="1333" ht="15.75" customHeight="1">
      <c r="B1333" s="1" t="str">
        <f t="shared" si="1"/>
        <v/>
      </c>
      <c r="G1333" s="17"/>
      <c r="J1333" s="1" t="str">
        <f t="array" ref="J1333">IFERROR(INDEX('Исходник'!$1:$626,MATCH($I1333,'Исходник'!$T:$T,0),MATCH(J$1,'Исходник'!$1:$1,0)))</f>
        <v/>
      </c>
      <c r="K1333" s="7" t="str">
        <f t="shared" si="3"/>
        <v/>
      </c>
      <c r="L1333" s="1" t="str">
        <f>IF(I1333&gt;0,IF(TODAY()-K1333&lt;'Анализ'!$D$4+1,1,0),"")</f>
        <v/>
      </c>
    </row>
    <row r="1334" ht="15.75" customHeight="1">
      <c r="B1334" s="1" t="str">
        <f t="shared" si="1"/>
        <v/>
      </c>
      <c r="G1334" s="17"/>
      <c r="J1334" s="1" t="str">
        <f t="array" ref="J1334">IFERROR(INDEX('Исходник'!$1:$626,MATCH($I1334,'Исходник'!$T:$T,0),MATCH(J$1,'Исходник'!$1:$1,0)))</f>
        <v/>
      </c>
      <c r="K1334" s="7" t="str">
        <f t="shared" si="3"/>
        <v/>
      </c>
      <c r="L1334" s="1" t="str">
        <f>IF(I1334&gt;0,IF(TODAY()-K1334&lt;'Анализ'!$D$4+1,1,0),"")</f>
        <v/>
      </c>
    </row>
    <row r="1335" ht="15.75" customHeight="1">
      <c r="B1335" s="1" t="str">
        <f t="shared" si="1"/>
        <v/>
      </c>
      <c r="G1335" s="17"/>
      <c r="J1335" s="1" t="str">
        <f t="array" ref="J1335">IFERROR(INDEX('Исходник'!$1:$626,MATCH($I1335,'Исходник'!$T:$T,0),MATCH(J$1,'Исходник'!$1:$1,0)))</f>
        <v/>
      </c>
      <c r="K1335" s="7" t="str">
        <f t="shared" si="3"/>
        <v/>
      </c>
      <c r="L1335" s="1" t="str">
        <f>IF(I1335&gt;0,IF(TODAY()-K1335&lt;'Анализ'!$D$4+1,1,0),"")</f>
        <v/>
      </c>
    </row>
    <row r="1336" ht="15.75" customHeight="1">
      <c r="B1336" s="1" t="str">
        <f t="shared" si="1"/>
        <v/>
      </c>
      <c r="G1336" s="17"/>
      <c r="J1336" s="1" t="str">
        <f t="array" ref="J1336">IFERROR(INDEX('Исходник'!$1:$626,MATCH($I1336,'Исходник'!$T:$T,0),MATCH(J$1,'Исходник'!$1:$1,0)))</f>
        <v/>
      </c>
      <c r="K1336" s="7" t="str">
        <f t="shared" si="3"/>
        <v/>
      </c>
      <c r="L1336" s="1" t="str">
        <f>IF(I1336&gt;0,IF(TODAY()-K1336&lt;'Анализ'!$D$4+1,1,0),"")</f>
        <v/>
      </c>
    </row>
    <row r="1337" ht="15.75" customHeight="1">
      <c r="B1337" s="1" t="str">
        <f t="shared" si="1"/>
        <v/>
      </c>
      <c r="G1337" s="17"/>
      <c r="J1337" s="1" t="str">
        <f t="array" ref="J1337">IFERROR(INDEX('Исходник'!$1:$626,MATCH($I1337,'Исходник'!$T:$T,0),MATCH(J$1,'Исходник'!$1:$1,0)))</f>
        <v/>
      </c>
      <c r="K1337" s="7" t="str">
        <f t="shared" si="3"/>
        <v/>
      </c>
      <c r="L1337" s="1" t="str">
        <f>IF(I1337&gt;0,IF(TODAY()-K1337&lt;'Анализ'!$D$4+1,1,0),"")</f>
        <v/>
      </c>
    </row>
    <row r="1338" ht="15.75" customHeight="1">
      <c r="B1338" s="1" t="str">
        <f t="shared" si="1"/>
        <v/>
      </c>
      <c r="G1338" s="17"/>
      <c r="J1338" s="1" t="str">
        <f t="array" ref="J1338">IFERROR(INDEX('Исходник'!$1:$626,MATCH($I1338,'Исходник'!$T:$T,0),MATCH(J$1,'Исходник'!$1:$1,0)))</f>
        <v/>
      </c>
      <c r="K1338" s="7" t="str">
        <f t="shared" si="3"/>
        <v/>
      </c>
      <c r="L1338" s="1" t="str">
        <f>IF(I1338&gt;0,IF(TODAY()-K1338&lt;'Анализ'!$D$4+1,1,0),"")</f>
        <v/>
      </c>
    </row>
    <row r="1339" ht="15.75" customHeight="1">
      <c r="B1339" s="1" t="str">
        <f t="shared" si="1"/>
        <v/>
      </c>
      <c r="G1339" s="17"/>
      <c r="J1339" s="1" t="str">
        <f t="array" ref="J1339">IFERROR(INDEX('Исходник'!$1:$626,MATCH($I1339,'Исходник'!$T:$T,0),MATCH(J$1,'Исходник'!$1:$1,0)))</f>
        <v/>
      </c>
      <c r="K1339" s="7" t="str">
        <f t="shared" si="3"/>
        <v/>
      </c>
      <c r="L1339" s="1" t="str">
        <f>IF(I1339&gt;0,IF(TODAY()-K1339&lt;'Анализ'!$D$4+1,1,0),"")</f>
        <v/>
      </c>
    </row>
    <row r="1340" ht="15.75" customHeight="1">
      <c r="B1340" s="1" t="str">
        <f t="shared" si="1"/>
        <v/>
      </c>
      <c r="G1340" s="17"/>
      <c r="J1340" s="1" t="str">
        <f t="array" ref="J1340">IFERROR(INDEX('Исходник'!$1:$626,MATCH($I1340,'Исходник'!$T:$T,0),MATCH(J$1,'Исходник'!$1:$1,0)))</f>
        <v/>
      </c>
      <c r="K1340" s="7" t="str">
        <f t="shared" si="3"/>
        <v/>
      </c>
      <c r="L1340" s="1" t="str">
        <f>IF(I1340&gt;0,IF(TODAY()-K1340&lt;'Анализ'!$D$4+1,1,0),"")</f>
        <v/>
      </c>
    </row>
    <row r="1341" ht="15.75" customHeight="1">
      <c r="B1341" s="1" t="str">
        <f t="shared" si="1"/>
        <v/>
      </c>
      <c r="G1341" s="17"/>
      <c r="J1341" s="1" t="str">
        <f t="array" ref="J1341">IFERROR(INDEX('Исходник'!$1:$626,MATCH($I1341,'Исходник'!$T:$T,0),MATCH(J$1,'Исходник'!$1:$1,0)))</f>
        <v/>
      </c>
      <c r="K1341" s="7" t="str">
        <f t="shared" si="3"/>
        <v/>
      </c>
      <c r="L1341" s="1" t="str">
        <f>IF(I1341&gt;0,IF(TODAY()-K1341&lt;'Анализ'!$D$4+1,1,0),"")</f>
        <v/>
      </c>
    </row>
    <row r="1342" ht="15.75" customHeight="1">
      <c r="B1342" s="1" t="str">
        <f t="shared" si="1"/>
        <v/>
      </c>
      <c r="G1342" s="17"/>
      <c r="J1342" s="1" t="str">
        <f t="array" ref="J1342">IFERROR(INDEX('Исходник'!$1:$626,MATCH($I1342,'Исходник'!$T:$T,0),MATCH(J$1,'Исходник'!$1:$1,0)))</f>
        <v/>
      </c>
      <c r="K1342" s="7" t="str">
        <f t="shared" si="3"/>
        <v/>
      </c>
      <c r="L1342" s="1" t="str">
        <f>IF(I1342&gt;0,IF(TODAY()-K1342&lt;'Анализ'!$D$4+1,1,0),"")</f>
        <v/>
      </c>
    </row>
    <row r="1343" ht="15.75" customHeight="1">
      <c r="B1343" s="1" t="str">
        <f t="shared" si="1"/>
        <v/>
      </c>
      <c r="G1343" s="17"/>
      <c r="J1343" s="1" t="str">
        <f t="array" ref="J1343">IFERROR(INDEX('Исходник'!$1:$626,MATCH($I1343,'Исходник'!$T:$T,0),MATCH(J$1,'Исходник'!$1:$1,0)))</f>
        <v/>
      </c>
      <c r="K1343" s="7" t="str">
        <f t="shared" si="3"/>
        <v/>
      </c>
      <c r="L1343" s="1" t="str">
        <f>IF(I1343&gt;0,IF(TODAY()-K1343&lt;'Анализ'!$D$4+1,1,0),"")</f>
        <v/>
      </c>
    </row>
    <row r="1344" ht="15.75" customHeight="1">
      <c r="B1344" s="1" t="str">
        <f t="shared" si="1"/>
        <v/>
      </c>
      <c r="G1344" s="17"/>
      <c r="J1344" s="1" t="str">
        <f t="array" ref="J1344">IFERROR(INDEX('Исходник'!$1:$626,MATCH($I1344,'Исходник'!$T:$T,0),MATCH(J$1,'Исходник'!$1:$1,0)))</f>
        <v/>
      </c>
      <c r="K1344" s="7" t="str">
        <f t="shared" si="3"/>
        <v/>
      </c>
      <c r="L1344" s="1" t="str">
        <f>IF(I1344&gt;0,IF(TODAY()-K1344&lt;'Анализ'!$D$4+1,1,0),"")</f>
        <v/>
      </c>
    </row>
    <row r="1345" ht="15.75" customHeight="1">
      <c r="B1345" s="1" t="str">
        <f t="shared" si="1"/>
        <v/>
      </c>
      <c r="G1345" s="17"/>
      <c r="J1345" s="1" t="str">
        <f t="array" ref="J1345">IFERROR(INDEX('Исходник'!$1:$626,MATCH($I1345,'Исходник'!$T:$T,0),MATCH(J$1,'Исходник'!$1:$1,0)))</f>
        <v/>
      </c>
      <c r="K1345" s="7" t="str">
        <f t="shared" si="3"/>
        <v/>
      </c>
      <c r="L1345" s="1" t="str">
        <f>IF(I1345&gt;0,IF(TODAY()-K1345&lt;'Анализ'!$D$4+1,1,0),"")</f>
        <v/>
      </c>
    </row>
    <row r="1346" ht="15.75" customHeight="1">
      <c r="B1346" s="1" t="str">
        <f t="shared" si="1"/>
        <v/>
      </c>
      <c r="G1346" s="17"/>
      <c r="J1346" s="1" t="str">
        <f t="array" ref="J1346">IFERROR(INDEX('Исходник'!$1:$626,MATCH($I1346,'Исходник'!$T:$T,0),MATCH(J$1,'Исходник'!$1:$1,0)))</f>
        <v/>
      </c>
      <c r="K1346" s="7" t="str">
        <f t="shared" si="3"/>
        <v/>
      </c>
      <c r="L1346" s="1" t="str">
        <f>IF(I1346&gt;0,IF(TODAY()-K1346&lt;'Анализ'!$D$4+1,1,0),"")</f>
        <v/>
      </c>
    </row>
    <row r="1347" ht="15.75" customHeight="1">
      <c r="B1347" s="1" t="str">
        <f t="shared" si="1"/>
        <v/>
      </c>
      <c r="G1347" s="17"/>
      <c r="J1347" s="1" t="str">
        <f t="array" ref="J1347">IFERROR(INDEX('Исходник'!$1:$626,MATCH($I1347,'Исходник'!$T:$T,0),MATCH(J$1,'Исходник'!$1:$1,0)))</f>
        <v/>
      </c>
      <c r="K1347" s="7" t="str">
        <f t="shared" si="3"/>
        <v/>
      </c>
      <c r="L1347" s="1" t="str">
        <f>IF(I1347&gt;0,IF(TODAY()-K1347&lt;'Анализ'!$D$4+1,1,0),"")</f>
        <v/>
      </c>
    </row>
    <row r="1348" ht="15.75" customHeight="1">
      <c r="B1348" s="1" t="str">
        <f t="shared" si="1"/>
        <v/>
      </c>
      <c r="G1348" s="17"/>
      <c r="J1348" s="1" t="str">
        <f t="array" ref="J1348">IFERROR(INDEX('Исходник'!$1:$626,MATCH($I1348,'Исходник'!$T:$T,0),MATCH(J$1,'Исходник'!$1:$1,0)))</f>
        <v/>
      </c>
      <c r="K1348" s="7" t="str">
        <f t="shared" si="3"/>
        <v/>
      </c>
      <c r="L1348" s="1" t="str">
        <f>IF(I1348&gt;0,IF(TODAY()-K1348&lt;'Анализ'!$D$4+1,1,0),"")</f>
        <v/>
      </c>
    </row>
    <row r="1349" ht="15.75" customHeight="1">
      <c r="B1349" s="1" t="str">
        <f t="shared" si="1"/>
        <v/>
      </c>
      <c r="G1349" s="17"/>
      <c r="J1349" s="1" t="str">
        <f t="array" ref="J1349">IFERROR(INDEX('Исходник'!$1:$626,MATCH($I1349,'Исходник'!$T:$T,0),MATCH(J$1,'Исходник'!$1:$1,0)))</f>
        <v/>
      </c>
      <c r="K1349" s="7" t="str">
        <f t="shared" si="3"/>
        <v/>
      </c>
      <c r="L1349" s="1" t="str">
        <f>IF(I1349&gt;0,IF(TODAY()-K1349&lt;'Анализ'!$D$4+1,1,0),"")</f>
        <v/>
      </c>
    </row>
    <row r="1350" ht="15.75" customHeight="1">
      <c r="B1350" s="1" t="str">
        <f t="shared" si="1"/>
        <v/>
      </c>
      <c r="G1350" s="17"/>
      <c r="J1350" s="1" t="str">
        <f t="array" ref="J1350">IFERROR(INDEX('Исходник'!$1:$626,MATCH($I1350,'Исходник'!$T:$T,0),MATCH(J$1,'Исходник'!$1:$1,0)))</f>
        <v/>
      </c>
      <c r="K1350" s="7" t="str">
        <f t="shared" si="3"/>
        <v/>
      </c>
      <c r="L1350" s="1" t="str">
        <f>IF(I1350&gt;0,IF(TODAY()-K1350&lt;'Анализ'!$D$4+1,1,0),"")</f>
        <v/>
      </c>
    </row>
    <row r="1351" ht="15.75" customHeight="1">
      <c r="B1351" s="1" t="str">
        <f t="shared" si="1"/>
        <v/>
      </c>
      <c r="G1351" s="17"/>
      <c r="J1351" s="1" t="str">
        <f t="array" ref="J1351">IFERROR(INDEX('Исходник'!$1:$626,MATCH($I1351,'Исходник'!$T:$T,0),MATCH(J$1,'Исходник'!$1:$1,0)))</f>
        <v/>
      </c>
      <c r="K1351" s="7" t="str">
        <f t="shared" si="3"/>
        <v/>
      </c>
      <c r="L1351" s="1" t="str">
        <f>IF(I1351&gt;0,IF(TODAY()-K1351&lt;'Анализ'!$D$4+1,1,0),"")</f>
        <v/>
      </c>
    </row>
    <row r="1352" ht="15.75" customHeight="1">
      <c r="B1352" s="1" t="str">
        <f t="shared" si="1"/>
        <v/>
      </c>
      <c r="G1352" s="17"/>
      <c r="J1352" s="1" t="str">
        <f t="array" ref="J1352">IFERROR(INDEX('Исходник'!$1:$626,MATCH($I1352,'Исходник'!$T:$T,0),MATCH(J$1,'Исходник'!$1:$1,0)))</f>
        <v/>
      </c>
      <c r="K1352" s="7" t="str">
        <f t="shared" si="3"/>
        <v/>
      </c>
      <c r="L1352" s="1" t="str">
        <f>IF(I1352&gt;0,IF(TODAY()-K1352&lt;'Анализ'!$D$4+1,1,0),"")</f>
        <v/>
      </c>
    </row>
    <row r="1353" ht="15.75" customHeight="1">
      <c r="B1353" s="1" t="str">
        <f t="shared" si="1"/>
        <v/>
      </c>
      <c r="G1353" s="17"/>
      <c r="J1353" s="1" t="str">
        <f t="array" ref="J1353">IFERROR(INDEX('Исходник'!$1:$626,MATCH($I1353,'Исходник'!$T:$T,0),MATCH(J$1,'Исходник'!$1:$1,0)))</f>
        <v/>
      </c>
      <c r="K1353" s="7" t="str">
        <f t="shared" si="3"/>
        <v/>
      </c>
      <c r="L1353" s="1" t="str">
        <f>IF(I1353&gt;0,IF(TODAY()-K1353&lt;'Анализ'!$D$4+1,1,0),"")</f>
        <v/>
      </c>
    </row>
    <row r="1354" ht="15.75" customHeight="1">
      <c r="B1354" s="1" t="str">
        <f t="shared" si="1"/>
        <v/>
      </c>
      <c r="G1354" s="17"/>
      <c r="J1354" s="1" t="str">
        <f t="array" ref="J1354">IFERROR(INDEX('Исходник'!$1:$626,MATCH($I1354,'Исходник'!$T:$T,0),MATCH(J$1,'Исходник'!$1:$1,0)))</f>
        <v/>
      </c>
      <c r="K1354" s="7" t="str">
        <f t="shared" si="3"/>
        <v/>
      </c>
      <c r="L1354" s="1" t="str">
        <f>IF(I1354&gt;0,IF(TODAY()-K1354&lt;'Анализ'!$D$4+1,1,0),"")</f>
        <v/>
      </c>
    </row>
    <row r="1355" ht="15.75" customHeight="1">
      <c r="B1355" s="1" t="str">
        <f t="shared" si="1"/>
        <v/>
      </c>
      <c r="G1355" s="17"/>
      <c r="J1355" s="1" t="str">
        <f t="array" ref="J1355">IFERROR(INDEX('Исходник'!$1:$626,MATCH($I1355,'Исходник'!$T:$T,0),MATCH(J$1,'Исходник'!$1:$1,0)))</f>
        <v/>
      </c>
      <c r="K1355" s="7" t="str">
        <f t="shared" si="3"/>
        <v/>
      </c>
      <c r="L1355" s="1" t="str">
        <f>IF(I1355&gt;0,IF(TODAY()-K1355&lt;'Анализ'!$D$4+1,1,0),"")</f>
        <v/>
      </c>
    </row>
    <row r="1356" ht="15.75" customHeight="1">
      <c r="B1356" s="1" t="str">
        <f t="shared" si="1"/>
        <v/>
      </c>
      <c r="G1356" s="17"/>
      <c r="J1356" s="1" t="str">
        <f t="array" ref="J1356">IFERROR(INDEX('Исходник'!$1:$626,MATCH($I1356,'Исходник'!$T:$T,0),MATCH(J$1,'Исходник'!$1:$1,0)))</f>
        <v/>
      </c>
      <c r="K1356" s="7" t="str">
        <f t="shared" si="3"/>
        <v/>
      </c>
      <c r="L1356" s="1" t="str">
        <f>IF(I1356&gt;0,IF(TODAY()-K1356&lt;'Анализ'!$D$4+1,1,0),"")</f>
        <v/>
      </c>
    </row>
    <row r="1357" ht="15.75" customHeight="1">
      <c r="B1357" s="1" t="str">
        <f t="shared" si="1"/>
        <v/>
      </c>
      <c r="G1357" s="17"/>
      <c r="J1357" s="1" t="str">
        <f t="array" ref="J1357">IFERROR(INDEX('Исходник'!$1:$626,MATCH($I1357,'Исходник'!$T:$T,0),MATCH(J$1,'Исходник'!$1:$1,0)))</f>
        <v/>
      </c>
      <c r="K1357" s="7" t="str">
        <f t="shared" si="3"/>
        <v/>
      </c>
      <c r="L1357" s="1" t="str">
        <f>IF(I1357&gt;0,IF(TODAY()-K1357&lt;'Анализ'!$D$4+1,1,0),"")</f>
        <v/>
      </c>
    </row>
    <row r="1358" ht="15.75" customHeight="1">
      <c r="B1358" s="1" t="str">
        <f t="shared" si="1"/>
        <v/>
      </c>
      <c r="G1358" s="17"/>
      <c r="J1358" s="1" t="str">
        <f t="array" ref="J1358">IFERROR(INDEX('Исходник'!$1:$626,MATCH($I1358,'Исходник'!$T:$T,0),MATCH(J$1,'Исходник'!$1:$1,0)))</f>
        <v/>
      </c>
      <c r="K1358" s="7" t="str">
        <f t="shared" si="3"/>
        <v/>
      </c>
      <c r="L1358" s="1" t="str">
        <f>IF(I1358&gt;0,IF(TODAY()-K1358&lt;'Анализ'!$D$4+1,1,0),"")</f>
        <v/>
      </c>
    </row>
    <row r="1359" ht="15.75" customHeight="1">
      <c r="B1359" s="1" t="str">
        <f t="shared" si="1"/>
        <v/>
      </c>
      <c r="G1359" s="17"/>
      <c r="J1359" s="1" t="str">
        <f t="array" ref="J1359">IFERROR(INDEX('Исходник'!$1:$626,MATCH($I1359,'Исходник'!$T:$T,0),MATCH(J$1,'Исходник'!$1:$1,0)))</f>
        <v/>
      </c>
      <c r="K1359" s="7" t="str">
        <f t="shared" si="3"/>
        <v/>
      </c>
      <c r="L1359" s="1" t="str">
        <f>IF(I1359&gt;0,IF(TODAY()-K1359&lt;'Анализ'!$D$4+1,1,0),"")</f>
        <v/>
      </c>
    </row>
    <row r="1360" ht="15.75" customHeight="1">
      <c r="B1360" s="1" t="str">
        <f t="shared" si="1"/>
        <v/>
      </c>
      <c r="G1360" s="17"/>
      <c r="J1360" s="1" t="str">
        <f t="array" ref="J1360">IFERROR(INDEX('Исходник'!$1:$626,MATCH($I1360,'Исходник'!$T:$T,0),MATCH(J$1,'Исходник'!$1:$1,0)))</f>
        <v/>
      </c>
      <c r="K1360" s="7" t="str">
        <f t="shared" si="3"/>
        <v/>
      </c>
      <c r="L1360" s="1" t="str">
        <f>IF(I1360&gt;0,IF(TODAY()-K1360&lt;'Анализ'!$D$4+1,1,0),"")</f>
        <v/>
      </c>
    </row>
    <row r="1361" ht="15.75" customHeight="1">
      <c r="B1361" s="1" t="str">
        <f t="shared" si="1"/>
        <v/>
      </c>
      <c r="G1361" s="17"/>
      <c r="J1361" s="1" t="str">
        <f t="array" ref="J1361">IFERROR(INDEX('Исходник'!$1:$626,MATCH($I1361,'Исходник'!$T:$T,0),MATCH(J$1,'Исходник'!$1:$1,0)))</f>
        <v/>
      </c>
      <c r="K1361" s="7" t="str">
        <f t="shared" si="3"/>
        <v/>
      </c>
      <c r="L1361" s="1" t="str">
        <f>IF(I1361&gt;0,IF(TODAY()-K1361&lt;'Анализ'!$D$4+1,1,0),"")</f>
        <v/>
      </c>
    </row>
    <row r="1362" ht="15.75" customHeight="1">
      <c r="B1362" s="1" t="str">
        <f t="shared" si="1"/>
        <v/>
      </c>
      <c r="G1362" s="17"/>
      <c r="J1362" s="1" t="str">
        <f t="array" ref="J1362">IFERROR(INDEX('Исходник'!$1:$626,MATCH($I1362,'Исходник'!$T:$T,0),MATCH(J$1,'Исходник'!$1:$1,0)))</f>
        <v/>
      </c>
      <c r="K1362" s="7" t="str">
        <f t="shared" si="3"/>
        <v/>
      </c>
      <c r="L1362" s="1" t="str">
        <f>IF(I1362&gt;0,IF(TODAY()-K1362&lt;'Анализ'!$D$4+1,1,0),"")</f>
        <v/>
      </c>
    </row>
    <row r="1363" ht="15.75" customHeight="1">
      <c r="B1363" s="1" t="str">
        <f t="shared" si="1"/>
        <v/>
      </c>
      <c r="G1363" s="17"/>
      <c r="J1363" s="1" t="str">
        <f t="array" ref="J1363">IFERROR(INDEX('Исходник'!$1:$626,MATCH($I1363,'Исходник'!$T:$T,0),MATCH(J$1,'Исходник'!$1:$1,0)))</f>
        <v/>
      </c>
      <c r="K1363" s="7" t="str">
        <f t="shared" si="3"/>
        <v/>
      </c>
      <c r="L1363" s="1" t="str">
        <f>IF(I1363&gt;0,IF(TODAY()-K1363&lt;'Анализ'!$D$4+1,1,0),"")</f>
        <v/>
      </c>
    </row>
    <row r="1364" ht="15.75" customHeight="1">
      <c r="B1364" s="1" t="str">
        <f t="shared" si="1"/>
        <v/>
      </c>
      <c r="G1364" s="17"/>
      <c r="J1364" s="1" t="str">
        <f t="array" ref="J1364">IFERROR(INDEX('Исходник'!$1:$626,MATCH($I1364,'Исходник'!$T:$T,0),MATCH(J$1,'Исходник'!$1:$1,0)))</f>
        <v/>
      </c>
      <c r="K1364" s="7" t="str">
        <f t="shared" si="3"/>
        <v/>
      </c>
      <c r="L1364" s="1" t="str">
        <f>IF(I1364&gt;0,IF(TODAY()-K1364&lt;'Анализ'!$D$4+1,1,0),"")</f>
        <v/>
      </c>
    </row>
    <row r="1365" ht="15.75" customHeight="1">
      <c r="B1365" s="1" t="str">
        <f t="shared" si="1"/>
        <v/>
      </c>
      <c r="G1365" s="17"/>
      <c r="J1365" s="1" t="str">
        <f t="array" ref="J1365">IFERROR(INDEX('Исходник'!$1:$626,MATCH($I1365,'Исходник'!$T:$T,0),MATCH(J$1,'Исходник'!$1:$1,0)))</f>
        <v/>
      </c>
      <c r="K1365" s="7" t="str">
        <f t="shared" si="3"/>
        <v/>
      </c>
      <c r="L1365" s="1" t="str">
        <f>IF(I1365&gt;0,IF(TODAY()-K1365&lt;'Анализ'!$D$4+1,1,0),"")</f>
        <v/>
      </c>
    </row>
    <row r="1366" ht="15.75" customHeight="1">
      <c r="B1366" s="1" t="str">
        <f t="shared" si="1"/>
        <v/>
      </c>
      <c r="G1366" s="17"/>
      <c r="J1366" s="1" t="str">
        <f t="array" ref="J1366">IFERROR(INDEX('Исходник'!$1:$626,MATCH($I1366,'Исходник'!$T:$T,0),MATCH(J$1,'Исходник'!$1:$1,0)))</f>
        <v/>
      </c>
      <c r="K1366" s="7" t="str">
        <f t="shared" si="3"/>
        <v/>
      </c>
      <c r="L1366" s="1" t="str">
        <f>IF(I1366&gt;0,IF(TODAY()-K1366&lt;'Анализ'!$D$4+1,1,0),"")</f>
        <v/>
      </c>
    </row>
    <row r="1367" ht="15.75" customHeight="1">
      <c r="B1367" s="1" t="str">
        <f t="shared" si="1"/>
        <v/>
      </c>
      <c r="G1367" s="17"/>
      <c r="J1367" s="1" t="str">
        <f t="array" ref="J1367">IFERROR(INDEX('Исходник'!$1:$626,MATCH($I1367,'Исходник'!$T:$T,0),MATCH(J$1,'Исходник'!$1:$1,0)))</f>
        <v/>
      </c>
      <c r="K1367" s="7" t="str">
        <f t="shared" si="3"/>
        <v/>
      </c>
      <c r="L1367" s="1" t="str">
        <f>IF(I1367&gt;0,IF(TODAY()-K1367&lt;'Анализ'!$D$4+1,1,0),"")</f>
        <v/>
      </c>
    </row>
    <row r="1368" ht="15.75" customHeight="1">
      <c r="B1368" s="1" t="str">
        <f t="shared" si="1"/>
        <v/>
      </c>
      <c r="G1368" s="17"/>
      <c r="J1368" s="1" t="str">
        <f t="array" ref="J1368">IFERROR(INDEX('Исходник'!$1:$626,MATCH($I1368,'Исходник'!$T:$T,0),MATCH(J$1,'Исходник'!$1:$1,0)))</f>
        <v/>
      </c>
      <c r="K1368" s="7" t="str">
        <f t="shared" si="3"/>
        <v/>
      </c>
      <c r="L1368" s="1" t="str">
        <f>IF(I1368&gt;0,IF(TODAY()-K1368&lt;'Анализ'!$D$4+1,1,0),"")</f>
        <v/>
      </c>
    </row>
    <row r="1369" ht="15.75" customHeight="1">
      <c r="B1369" s="1" t="str">
        <f t="shared" si="1"/>
        <v/>
      </c>
      <c r="G1369" s="17"/>
      <c r="J1369" s="1" t="str">
        <f t="array" ref="J1369">IFERROR(INDEX('Исходник'!$1:$626,MATCH($I1369,'Исходник'!$T:$T,0),MATCH(J$1,'Исходник'!$1:$1,0)))</f>
        <v/>
      </c>
      <c r="K1369" s="7" t="str">
        <f t="shared" si="3"/>
        <v/>
      </c>
      <c r="L1369" s="1" t="str">
        <f>IF(I1369&gt;0,IF(TODAY()-K1369&lt;'Анализ'!$D$4+1,1,0),"")</f>
        <v/>
      </c>
    </row>
    <row r="1370" ht="15.75" customHeight="1">
      <c r="B1370" s="1" t="str">
        <f t="shared" si="1"/>
        <v/>
      </c>
      <c r="G1370" s="17"/>
      <c r="J1370" s="1" t="str">
        <f t="array" ref="J1370">IFERROR(INDEX('Исходник'!$1:$626,MATCH($I1370,'Исходник'!$T:$T,0),MATCH(J$1,'Исходник'!$1:$1,0)))</f>
        <v/>
      </c>
      <c r="K1370" s="7" t="str">
        <f t="shared" si="3"/>
        <v/>
      </c>
      <c r="L1370" s="1" t="str">
        <f>IF(I1370&gt;0,IF(TODAY()-K1370&lt;'Анализ'!$D$4+1,1,0),"")</f>
        <v/>
      </c>
    </row>
    <row r="1371" ht="15.75" customHeight="1">
      <c r="B1371" s="1" t="str">
        <f t="shared" si="1"/>
        <v/>
      </c>
      <c r="G1371" s="17"/>
      <c r="J1371" s="1" t="str">
        <f t="array" ref="J1371">IFERROR(INDEX('Исходник'!$1:$626,MATCH($I1371,'Исходник'!$T:$T,0),MATCH(J$1,'Исходник'!$1:$1,0)))</f>
        <v/>
      </c>
      <c r="K1371" s="7" t="str">
        <f t="shared" si="3"/>
        <v/>
      </c>
      <c r="L1371" s="1" t="str">
        <f>IF(I1371&gt;0,IF(TODAY()-K1371&lt;'Анализ'!$D$4+1,1,0),"")</f>
        <v/>
      </c>
    </row>
    <row r="1372" ht="15.75" customHeight="1">
      <c r="B1372" s="1" t="str">
        <f t="shared" si="1"/>
        <v/>
      </c>
      <c r="G1372" s="17"/>
      <c r="J1372" s="1" t="str">
        <f t="array" ref="J1372">IFERROR(INDEX('Исходник'!$1:$626,MATCH($I1372,'Исходник'!$T:$T,0),MATCH(J$1,'Исходник'!$1:$1,0)))</f>
        <v/>
      </c>
      <c r="K1372" s="7" t="str">
        <f t="shared" si="3"/>
        <v/>
      </c>
      <c r="L1372" s="1" t="str">
        <f>IF(I1372&gt;0,IF(TODAY()-K1372&lt;'Анализ'!$D$4+1,1,0),"")</f>
        <v/>
      </c>
    </row>
    <row r="1373" ht="15.75" customHeight="1">
      <c r="B1373" s="1" t="str">
        <f t="shared" si="1"/>
        <v/>
      </c>
      <c r="G1373" s="17"/>
      <c r="J1373" s="1" t="str">
        <f t="array" ref="J1373">IFERROR(INDEX('Исходник'!$1:$626,MATCH($I1373,'Исходник'!$T:$T,0),MATCH(J$1,'Исходник'!$1:$1,0)))</f>
        <v/>
      </c>
      <c r="K1373" s="7" t="str">
        <f t="shared" si="3"/>
        <v/>
      </c>
      <c r="L1373" s="1" t="str">
        <f>IF(I1373&gt;0,IF(TODAY()-K1373&lt;'Анализ'!$D$4+1,1,0),"")</f>
        <v/>
      </c>
    </row>
    <row r="1374" ht="15.75" customHeight="1">
      <c r="B1374" s="1" t="str">
        <f t="shared" si="1"/>
        <v/>
      </c>
      <c r="G1374" s="17"/>
      <c r="J1374" s="1" t="str">
        <f t="array" ref="J1374">IFERROR(INDEX('Исходник'!$1:$626,MATCH($I1374,'Исходник'!$T:$T,0),MATCH(J$1,'Исходник'!$1:$1,0)))</f>
        <v/>
      </c>
      <c r="K1374" s="7" t="str">
        <f t="shared" si="3"/>
        <v/>
      </c>
      <c r="L1374" s="1" t="str">
        <f>IF(I1374&gt;0,IF(TODAY()-K1374&lt;'Анализ'!$D$4+1,1,0),"")</f>
        <v/>
      </c>
    </row>
    <row r="1375" ht="15.75" customHeight="1">
      <c r="B1375" s="1" t="str">
        <f t="shared" si="1"/>
        <v/>
      </c>
      <c r="G1375" s="17"/>
      <c r="J1375" s="1" t="str">
        <f t="array" ref="J1375">IFERROR(INDEX('Исходник'!$1:$626,MATCH($I1375,'Исходник'!$T:$T,0),MATCH(J$1,'Исходник'!$1:$1,0)))</f>
        <v/>
      </c>
      <c r="K1375" s="7" t="str">
        <f t="shared" si="3"/>
        <v/>
      </c>
      <c r="L1375" s="1" t="str">
        <f>IF(I1375&gt;0,IF(TODAY()-K1375&lt;'Анализ'!$D$4+1,1,0),"")</f>
        <v/>
      </c>
    </row>
    <row r="1376" ht="15.75" customHeight="1">
      <c r="B1376" s="1" t="str">
        <f t="shared" si="1"/>
        <v/>
      </c>
      <c r="G1376" s="17"/>
      <c r="J1376" s="1" t="str">
        <f t="array" ref="J1376">IFERROR(INDEX('Исходник'!$1:$626,MATCH($I1376,'Исходник'!$T:$T,0),MATCH(J$1,'Исходник'!$1:$1,0)))</f>
        <v/>
      </c>
      <c r="K1376" s="7" t="str">
        <f t="shared" si="3"/>
        <v/>
      </c>
      <c r="L1376" s="1" t="str">
        <f>IF(I1376&gt;0,IF(TODAY()-K1376&lt;'Анализ'!$D$4+1,1,0),"")</f>
        <v/>
      </c>
    </row>
    <row r="1377" ht="15.75" customHeight="1">
      <c r="B1377" s="1" t="str">
        <f t="shared" si="1"/>
        <v/>
      </c>
      <c r="G1377" s="17"/>
      <c r="J1377" s="1" t="str">
        <f t="array" ref="J1377">IFERROR(INDEX('Исходник'!$1:$626,MATCH($I1377,'Исходник'!$T:$T,0),MATCH(J$1,'Исходник'!$1:$1,0)))</f>
        <v/>
      </c>
      <c r="K1377" s="7" t="str">
        <f t="shared" si="3"/>
        <v/>
      </c>
      <c r="L1377" s="1" t="str">
        <f>IF(I1377&gt;0,IF(TODAY()-K1377&lt;'Анализ'!$D$4+1,1,0),"")</f>
        <v/>
      </c>
    </row>
    <row r="1378" ht="15.75" customHeight="1">
      <c r="B1378" s="1" t="str">
        <f t="shared" si="1"/>
        <v/>
      </c>
      <c r="G1378" s="17"/>
      <c r="J1378" s="1" t="str">
        <f t="array" ref="J1378">IFERROR(INDEX('Исходник'!$1:$626,MATCH($I1378,'Исходник'!$T:$T,0),MATCH(J$1,'Исходник'!$1:$1,0)))</f>
        <v/>
      </c>
      <c r="K1378" s="7" t="str">
        <f t="shared" si="3"/>
        <v/>
      </c>
      <c r="L1378" s="1" t="str">
        <f>IF(I1378&gt;0,IF(TODAY()-K1378&lt;'Анализ'!$D$4+1,1,0),"")</f>
        <v/>
      </c>
    </row>
    <row r="1379" ht="15.75" customHeight="1">
      <c r="B1379" s="1" t="str">
        <f t="shared" si="1"/>
        <v/>
      </c>
      <c r="G1379" s="17"/>
      <c r="J1379" s="1" t="str">
        <f t="array" ref="J1379">IFERROR(INDEX('Исходник'!$1:$626,MATCH($I1379,'Исходник'!$T:$T,0),MATCH(J$1,'Исходник'!$1:$1,0)))</f>
        <v/>
      </c>
      <c r="K1379" s="7" t="str">
        <f t="shared" si="3"/>
        <v/>
      </c>
      <c r="L1379" s="1" t="str">
        <f>IF(I1379&gt;0,IF(TODAY()-K1379&lt;'Анализ'!$D$4+1,1,0),"")</f>
        <v/>
      </c>
    </row>
    <row r="1380" ht="15.75" customHeight="1">
      <c r="B1380" s="1" t="str">
        <f t="shared" si="1"/>
        <v/>
      </c>
      <c r="G1380" s="17"/>
      <c r="J1380" s="1" t="str">
        <f t="array" ref="J1380">IFERROR(INDEX('Исходник'!$1:$626,MATCH($I1380,'Исходник'!$T:$T,0),MATCH(J$1,'Исходник'!$1:$1,0)))</f>
        <v/>
      </c>
      <c r="K1380" s="7" t="str">
        <f t="shared" si="3"/>
        <v/>
      </c>
      <c r="L1380" s="1" t="str">
        <f>IF(I1380&gt;0,IF(TODAY()-K1380&lt;'Анализ'!$D$4+1,1,0),"")</f>
        <v/>
      </c>
    </row>
    <row r="1381" ht="15.75" customHeight="1">
      <c r="B1381" s="1" t="str">
        <f t="shared" si="1"/>
        <v/>
      </c>
      <c r="G1381" s="17"/>
      <c r="J1381" s="1" t="str">
        <f t="array" ref="J1381">IFERROR(INDEX('Исходник'!$1:$626,MATCH($I1381,'Исходник'!$T:$T,0),MATCH(J$1,'Исходник'!$1:$1,0)))</f>
        <v/>
      </c>
      <c r="K1381" s="7" t="str">
        <f t="shared" si="3"/>
        <v/>
      </c>
      <c r="L1381" s="1" t="str">
        <f>IF(I1381&gt;0,IF(TODAY()-K1381&lt;'Анализ'!$D$4+1,1,0),"")</f>
        <v/>
      </c>
    </row>
    <row r="1382" ht="15.75" customHeight="1">
      <c r="B1382" s="1" t="str">
        <f t="shared" si="1"/>
        <v/>
      </c>
      <c r="G1382" s="17"/>
      <c r="J1382" s="1" t="str">
        <f t="array" ref="J1382">IFERROR(INDEX('Исходник'!$1:$626,MATCH($I1382,'Исходник'!$T:$T,0),MATCH(J$1,'Исходник'!$1:$1,0)))</f>
        <v/>
      </c>
      <c r="K1382" s="7" t="str">
        <f t="shared" si="3"/>
        <v/>
      </c>
      <c r="L1382" s="1" t="str">
        <f>IF(I1382&gt;0,IF(TODAY()-K1382&lt;'Анализ'!$D$4+1,1,0),"")</f>
        <v/>
      </c>
    </row>
    <row r="1383" ht="15.75" customHeight="1">
      <c r="B1383" s="1" t="str">
        <f t="shared" si="1"/>
        <v/>
      </c>
      <c r="G1383" s="17"/>
      <c r="J1383" s="1" t="str">
        <f t="array" ref="J1383">IFERROR(INDEX('Исходник'!$1:$626,MATCH($I1383,'Исходник'!$T:$T,0),MATCH(J$1,'Исходник'!$1:$1,0)))</f>
        <v/>
      </c>
      <c r="K1383" s="7" t="str">
        <f t="shared" si="3"/>
        <v/>
      </c>
      <c r="L1383" s="1" t="str">
        <f>IF(I1383&gt;0,IF(TODAY()-K1383&lt;'Анализ'!$D$4+1,1,0),"")</f>
        <v/>
      </c>
    </row>
    <row r="1384" ht="15.75" customHeight="1">
      <c r="B1384" s="1" t="str">
        <f t="shared" si="1"/>
        <v/>
      </c>
      <c r="G1384" s="17"/>
      <c r="J1384" s="1" t="str">
        <f t="array" ref="J1384">IFERROR(INDEX('Исходник'!$1:$626,MATCH($I1384,'Исходник'!$T:$T,0),MATCH(J$1,'Исходник'!$1:$1,0)))</f>
        <v/>
      </c>
      <c r="K1384" s="7" t="str">
        <f t="shared" si="3"/>
        <v/>
      </c>
      <c r="L1384" s="1" t="str">
        <f>IF(I1384&gt;0,IF(TODAY()-K1384&lt;'Анализ'!$D$4+1,1,0),"")</f>
        <v/>
      </c>
    </row>
    <row r="1385" ht="15.75" customHeight="1">
      <c r="B1385" s="1" t="str">
        <f t="shared" si="1"/>
        <v/>
      </c>
      <c r="G1385" s="17"/>
      <c r="J1385" s="1" t="str">
        <f t="array" ref="J1385">IFERROR(INDEX('Исходник'!$1:$626,MATCH($I1385,'Исходник'!$T:$T,0),MATCH(J$1,'Исходник'!$1:$1,0)))</f>
        <v/>
      </c>
      <c r="K1385" s="7" t="str">
        <f t="shared" si="3"/>
        <v/>
      </c>
      <c r="L1385" s="1" t="str">
        <f>IF(I1385&gt;0,IF(TODAY()-K1385&lt;'Анализ'!$D$4+1,1,0),"")</f>
        <v/>
      </c>
    </row>
    <row r="1386" ht="15.75" customHeight="1">
      <c r="B1386" s="1" t="str">
        <f t="shared" si="1"/>
        <v/>
      </c>
      <c r="G1386" s="17"/>
      <c r="J1386" s="1" t="str">
        <f t="array" ref="J1386">IFERROR(INDEX('Исходник'!$1:$626,MATCH($I1386,'Исходник'!$T:$T,0),MATCH(J$1,'Исходник'!$1:$1,0)))</f>
        <v/>
      </c>
      <c r="K1386" s="7" t="str">
        <f t="shared" si="3"/>
        <v/>
      </c>
      <c r="L1386" s="1" t="str">
        <f>IF(I1386&gt;0,IF(TODAY()-K1386&lt;'Анализ'!$D$4+1,1,0),"")</f>
        <v/>
      </c>
    </row>
    <row r="1387" ht="15.75" customHeight="1">
      <c r="B1387" s="1" t="str">
        <f t="shared" si="1"/>
        <v/>
      </c>
      <c r="G1387" s="17"/>
      <c r="J1387" s="1" t="str">
        <f t="array" ref="J1387">IFERROR(INDEX('Исходник'!$1:$626,MATCH($I1387,'Исходник'!$T:$T,0),MATCH(J$1,'Исходник'!$1:$1,0)))</f>
        <v/>
      </c>
      <c r="K1387" s="7" t="str">
        <f t="shared" si="3"/>
        <v/>
      </c>
      <c r="L1387" s="1" t="str">
        <f>IF(I1387&gt;0,IF(TODAY()-K1387&lt;'Анализ'!$D$4+1,1,0),"")</f>
        <v/>
      </c>
    </row>
    <row r="1388" ht="15.75" customHeight="1">
      <c r="B1388" s="1" t="str">
        <f t="shared" si="1"/>
        <v/>
      </c>
      <c r="G1388" s="17"/>
      <c r="J1388" s="1" t="str">
        <f t="array" ref="J1388">IFERROR(INDEX('Исходник'!$1:$626,MATCH($I1388,'Исходник'!$T:$T,0),MATCH(J$1,'Исходник'!$1:$1,0)))</f>
        <v/>
      </c>
      <c r="K1388" s="7" t="str">
        <f t="shared" si="3"/>
        <v/>
      </c>
      <c r="L1388" s="1" t="str">
        <f>IF(I1388&gt;0,IF(TODAY()-K1388&lt;'Анализ'!$D$4+1,1,0),"")</f>
        <v/>
      </c>
    </row>
    <row r="1389" ht="15.75" customHeight="1">
      <c r="B1389" s="1" t="str">
        <f t="shared" si="1"/>
        <v/>
      </c>
      <c r="G1389" s="17"/>
      <c r="J1389" s="1" t="str">
        <f t="array" ref="J1389">IFERROR(INDEX('Исходник'!$1:$626,MATCH($I1389,'Исходник'!$T:$T,0),MATCH(J$1,'Исходник'!$1:$1,0)))</f>
        <v/>
      </c>
      <c r="K1389" s="7" t="str">
        <f t="shared" si="3"/>
        <v/>
      </c>
      <c r="L1389" s="1" t="str">
        <f>IF(I1389&gt;0,IF(TODAY()-K1389&lt;'Анализ'!$D$4+1,1,0),"")</f>
        <v/>
      </c>
    </row>
    <row r="1390" ht="15.75" customHeight="1">
      <c r="B1390" s="1" t="str">
        <f t="shared" si="1"/>
        <v/>
      </c>
      <c r="G1390" s="17"/>
      <c r="J1390" s="1" t="str">
        <f t="array" ref="J1390">IFERROR(INDEX('Исходник'!$1:$626,MATCH($I1390,'Исходник'!$T:$T,0),MATCH(J$1,'Исходник'!$1:$1,0)))</f>
        <v/>
      </c>
      <c r="K1390" s="7" t="str">
        <f t="shared" si="3"/>
        <v/>
      </c>
      <c r="L1390" s="1" t="str">
        <f>IF(I1390&gt;0,IF(TODAY()-K1390&lt;'Анализ'!$D$4+1,1,0),"")</f>
        <v/>
      </c>
    </row>
    <row r="1391" ht="15.75" customHeight="1">
      <c r="B1391" s="1" t="str">
        <f t="shared" si="1"/>
        <v/>
      </c>
      <c r="G1391" s="17"/>
      <c r="J1391" s="1" t="str">
        <f t="array" ref="J1391">IFERROR(INDEX('Исходник'!$1:$626,MATCH($I1391,'Исходник'!$T:$T,0),MATCH(J$1,'Исходник'!$1:$1,0)))</f>
        <v/>
      </c>
      <c r="K1391" s="7" t="str">
        <f t="shared" si="3"/>
        <v/>
      </c>
      <c r="L1391" s="1" t="str">
        <f>IF(I1391&gt;0,IF(TODAY()-K1391&lt;'Анализ'!$D$4+1,1,0),"")</f>
        <v/>
      </c>
    </row>
    <row r="1392" ht="15.75" customHeight="1">
      <c r="B1392" s="1" t="str">
        <f t="shared" si="1"/>
        <v/>
      </c>
      <c r="G1392" s="17"/>
      <c r="J1392" s="1" t="str">
        <f t="array" ref="J1392">IFERROR(INDEX('Исходник'!$1:$626,MATCH($I1392,'Исходник'!$T:$T,0),MATCH(J$1,'Исходник'!$1:$1,0)))</f>
        <v/>
      </c>
      <c r="K1392" s="7" t="str">
        <f t="shared" si="3"/>
        <v/>
      </c>
      <c r="L1392" s="1" t="str">
        <f>IF(I1392&gt;0,IF(TODAY()-K1392&lt;'Анализ'!$D$4+1,1,0),"")</f>
        <v/>
      </c>
    </row>
    <row r="1393" ht="15.75" customHeight="1">
      <c r="B1393" s="1" t="str">
        <f t="shared" si="1"/>
        <v/>
      </c>
      <c r="G1393" s="17"/>
      <c r="J1393" s="1" t="str">
        <f t="array" ref="J1393">IFERROR(INDEX('Исходник'!$1:$626,MATCH($I1393,'Исходник'!$T:$T,0),MATCH(J$1,'Исходник'!$1:$1,0)))</f>
        <v/>
      </c>
      <c r="K1393" s="7" t="str">
        <f t="shared" si="3"/>
        <v/>
      </c>
      <c r="L1393" s="1" t="str">
        <f>IF(I1393&gt;0,IF(TODAY()-K1393&lt;'Анализ'!$D$4+1,1,0),"")</f>
        <v/>
      </c>
    </row>
    <row r="1394" ht="15.75" customHeight="1">
      <c r="B1394" s="1" t="str">
        <f t="shared" si="1"/>
        <v/>
      </c>
      <c r="G1394" s="17"/>
      <c r="J1394" s="1" t="str">
        <f t="array" ref="J1394">IFERROR(INDEX('Исходник'!$1:$626,MATCH($I1394,'Исходник'!$T:$T,0),MATCH(J$1,'Исходник'!$1:$1,0)))</f>
        <v/>
      </c>
      <c r="K1394" s="7" t="str">
        <f t="shared" si="3"/>
        <v/>
      </c>
      <c r="L1394" s="1" t="str">
        <f>IF(I1394&gt;0,IF(TODAY()-K1394&lt;'Анализ'!$D$4+1,1,0),"")</f>
        <v/>
      </c>
    </row>
    <row r="1395" ht="15.75" customHeight="1">
      <c r="B1395" s="1" t="str">
        <f t="shared" si="1"/>
        <v/>
      </c>
      <c r="G1395" s="17"/>
      <c r="J1395" s="1" t="str">
        <f t="array" ref="J1395">IFERROR(INDEX('Исходник'!$1:$626,MATCH($I1395,'Исходник'!$T:$T,0),MATCH(J$1,'Исходник'!$1:$1,0)))</f>
        <v/>
      </c>
      <c r="K1395" s="7" t="str">
        <f t="shared" si="3"/>
        <v/>
      </c>
      <c r="L1395" s="1" t="str">
        <f>IF(I1395&gt;0,IF(TODAY()-K1395&lt;'Анализ'!$D$4+1,1,0),"")</f>
        <v/>
      </c>
    </row>
    <row r="1396" ht="15.75" customHeight="1">
      <c r="B1396" s="1" t="str">
        <f t="shared" si="1"/>
        <v/>
      </c>
      <c r="G1396" s="17"/>
      <c r="J1396" s="1" t="str">
        <f t="array" ref="J1396">IFERROR(INDEX('Исходник'!$1:$626,MATCH($I1396,'Исходник'!$T:$T,0),MATCH(J$1,'Исходник'!$1:$1,0)))</f>
        <v/>
      </c>
      <c r="K1396" s="7" t="str">
        <f t="shared" si="3"/>
        <v/>
      </c>
      <c r="L1396" s="1" t="str">
        <f>IF(I1396&gt;0,IF(TODAY()-K1396&lt;'Анализ'!$D$4+1,1,0),"")</f>
        <v/>
      </c>
    </row>
    <row r="1397" ht="15.75" customHeight="1">
      <c r="B1397" s="1" t="str">
        <f t="shared" si="1"/>
        <v/>
      </c>
      <c r="G1397" s="17"/>
      <c r="J1397" s="1" t="str">
        <f t="array" ref="J1397">IFERROR(INDEX('Исходник'!$1:$626,MATCH($I1397,'Исходник'!$T:$T,0),MATCH(J$1,'Исходник'!$1:$1,0)))</f>
        <v/>
      </c>
      <c r="K1397" s="7" t="str">
        <f t="shared" si="3"/>
        <v/>
      </c>
      <c r="L1397" s="1" t="str">
        <f>IF(I1397&gt;0,IF(TODAY()-K1397&lt;'Анализ'!$D$4+1,1,0),"")</f>
        <v/>
      </c>
    </row>
    <row r="1398" ht="15.75" customHeight="1">
      <c r="B1398" s="1" t="str">
        <f t="shared" si="1"/>
        <v/>
      </c>
      <c r="G1398" s="17"/>
      <c r="J1398" s="1" t="str">
        <f t="array" ref="J1398">IFERROR(INDEX('Исходник'!$1:$626,MATCH($I1398,'Исходник'!$T:$T,0),MATCH(J$1,'Исходник'!$1:$1,0)))</f>
        <v/>
      </c>
      <c r="K1398" s="7" t="str">
        <f t="shared" si="3"/>
        <v/>
      </c>
      <c r="L1398" s="1" t="str">
        <f>IF(I1398&gt;0,IF(TODAY()-K1398&lt;'Анализ'!$D$4+1,1,0),"")</f>
        <v/>
      </c>
    </row>
    <row r="1399" ht="15.75" customHeight="1">
      <c r="B1399" s="1" t="str">
        <f t="shared" si="1"/>
        <v/>
      </c>
      <c r="G1399" s="17"/>
      <c r="J1399" s="1" t="str">
        <f t="array" ref="J1399">IFERROR(INDEX('Исходник'!$1:$626,MATCH($I1399,'Исходник'!$T:$T,0),MATCH(J$1,'Исходник'!$1:$1,0)))</f>
        <v/>
      </c>
      <c r="K1399" s="7" t="str">
        <f t="shared" si="3"/>
        <v/>
      </c>
      <c r="L1399" s="1" t="str">
        <f>IF(I1399&gt;0,IF(TODAY()-K1399&lt;'Анализ'!$D$4+1,1,0),"")</f>
        <v/>
      </c>
    </row>
    <row r="1400" ht="15.75" customHeight="1">
      <c r="B1400" s="1" t="str">
        <f t="shared" si="1"/>
        <v/>
      </c>
      <c r="G1400" s="17"/>
      <c r="J1400" s="1" t="str">
        <f t="array" ref="J1400">IFERROR(INDEX('Исходник'!$1:$626,MATCH($I1400,'Исходник'!$T:$T,0),MATCH(J$1,'Исходник'!$1:$1,0)))</f>
        <v/>
      </c>
      <c r="K1400" s="7" t="str">
        <f t="shared" si="3"/>
        <v/>
      </c>
      <c r="L1400" s="1" t="str">
        <f>IF(I1400&gt;0,IF(TODAY()-K1400&lt;'Анализ'!$D$4+1,1,0),"")</f>
        <v/>
      </c>
    </row>
    <row r="1401" ht="15.75" customHeight="1">
      <c r="B1401" s="1" t="str">
        <f t="shared" si="1"/>
        <v/>
      </c>
      <c r="G1401" s="17"/>
      <c r="J1401" s="1" t="str">
        <f t="array" ref="J1401">IFERROR(INDEX('Исходник'!$1:$626,MATCH($I1401,'Исходник'!$T:$T,0),MATCH(J$1,'Исходник'!$1:$1,0)))</f>
        <v/>
      </c>
      <c r="K1401" s="7" t="str">
        <f t="shared" si="3"/>
        <v/>
      </c>
      <c r="L1401" s="1" t="str">
        <f>IF(I1401&gt;0,IF(TODAY()-K1401&lt;'Анализ'!$D$4+1,1,0),"")</f>
        <v/>
      </c>
    </row>
    <row r="1402" ht="15.75" customHeight="1">
      <c r="B1402" s="1" t="str">
        <f t="shared" si="1"/>
        <v/>
      </c>
      <c r="G1402" s="17"/>
      <c r="J1402" s="1" t="str">
        <f t="array" ref="J1402">IFERROR(INDEX('Исходник'!$1:$626,MATCH($I1402,'Исходник'!$T:$T,0),MATCH(J$1,'Исходник'!$1:$1,0)))</f>
        <v/>
      </c>
      <c r="K1402" s="7" t="str">
        <f t="shared" si="3"/>
        <v/>
      </c>
      <c r="L1402" s="1" t="str">
        <f>IF(I1402&gt;0,IF(TODAY()-K1402&lt;'Анализ'!$D$4+1,1,0),"")</f>
        <v/>
      </c>
    </row>
    <row r="1403" ht="15.75" customHeight="1">
      <c r="B1403" s="1" t="str">
        <f t="shared" si="1"/>
        <v/>
      </c>
      <c r="G1403" s="17"/>
      <c r="J1403" s="1" t="str">
        <f t="array" ref="J1403">IFERROR(INDEX('Исходник'!$1:$626,MATCH($I1403,'Исходник'!$T:$T,0),MATCH(J$1,'Исходник'!$1:$1,0)))</f>
        <v/>
      </c>
      <c r="K1403" s="7" t="str">
        <f t="shared" si="3"/>
        <v/>
      </c>
      <c r="L1403" s="1" t="str">
        <f>IF(I1403&gt;0,IF(TODAY()-K1403&lt;'Анализ'!$D$4+1,1,0),"")</f>
        <v/>
      </c>
    </row>
    <row r="1404" ht="15.75" customHeight="1">
      <c r="B1404" s="1" t="str">
        <f t="shared" si="1"/>
        <v/>
      </c>
      <c r="G1404" s="17"/>
      <c r="J1404" s="1" t="str">
        <f t="array" ref="J1404">IFERROR(INDEX('Исходник'!$1:$626,MATCH($I1404,'Исходник'!$T:$T,0),MATCH(J$1,'Исходник'!$1:$1,0)))</f>
        <v/>
      </c>
      <c r="K1404" s="7" t="str">
        <f t="shared" si="3"/>
        <v/>
      </c>
      <c r="L1404" s="1" t="str">
        <f>IF(I1404&gt;0,IF(TODAY()-K1404&lt;'Анализ'!$D$4+1,1,0),"")</f>
        <v/>
      </c>
    </row>
    <row r="1405" ht="15.75" customHeight="1">
      <c r="B1405" s="1" t="str">
        <f t="shared" si="1"/>
        <v/>
      </c>
      <c r="G1405" s="17"/>
      <c r="J1405" s="1" t="str">
        <f t="array" ref="J1405">IFERROR(INDEX('Исходник'!$1:$626,MATCH($I1405,'Исходник'!$T:$T,0),MATCH(J$1,'Исходник'!$1:$1,0)))</f>
        <v/>
      </c>
      <c r="K1405" s="7" t="str">
        <f t="shared" si="3"/>
        <v/>
      </c>
      <c r="L1405" s="1" t="str">
        <f>IF(I1405&gt;0,IF(TODAY()-K1405&lt;'Анализ'!$D$4+1,1,0),"")</f>
        <v/>
      </c>
    </row>
    <row r="1406" ht="15.75" customHeight="1">
      <c r="B1406" s="1" t="str">
        <f t="shared" si="1"/>
        <v/>
      </c>
      <c r="G1406" s="17"/>
      <c r="J1406" s="1" t="str">
        <f t="array" ref="J1406">IFERROR(INDEX('Исходник'!$1:$626,MATCH($I1406,'Исходник'!$T:$T,0),MATCH(J$1,'Исходник'!$1:$1,0)))</f>
        <v/>
      </c>
      <c r="K1406" s="7" t="str">
        <f t="shared" si="3"/>
        <v/>
      </c>
      <c r="L1406" s="1" t="str">
        <f>IF(I1406&gt;0,IF(TODAY()-K1406&lt;'Анализ'!$D$4+1,1,0),"")</f>
        <v/>
      </c>
    </row>
    <row r="1407" ht="15.75" customHeight="1">
      <c r="B1407" s="1" t="str">
        <f t="shared" si="1"/>
        <v/>
      </c>
      <c r="G1407" s="17"/>
      <c r="J1407" s="1" t="str">
        <f t="array" ref="J1407">IFERROR(INDEX('Исходник'!$1:$626,MATCH($I1407,'Исходник'!$T:$T,0),MATCH(J$1,'Исходник'!$1:$1,0)))</f>
        <v/>
      </c>
      <c r="K1407" s="7" t="str">
        <f t="shared" si="3"/>
        <v/>
      </c>
      <c r="L1407" s="1" t="str">
        <f>IF(I1407&gt;0,IF(TODAY()-K1407&lt;'Анализ'!$D$4+1,1,0),"")</f>
        <v/>
      </c>
    </row>
    <row r="1408" ht="15.75" customHeight="1">
      <c r="B1408" s="1" t="str">
        <f t="shared" si="1"/>
        <v/>
      </c>
      <c r="G1408" s="17"/>
      <c r="J1408" s="1" t="str">
        <f t="array" ref="J1408">IFERROR(INDEX('Исходник'!$1:$626,MATCH($I1408,'Исходник'!$T:$T,0),MATCH(J$1,'Исходник'!$1:$1,0)))</f>
        <v/>
      </c>
      <c r="K1408" s="7" t="str">
        <f t="shared" si="3"/>
        <v/>
      </c>
      <c r="L1408" s="1" t="str">
        <f>IF(I1408&gt;0,IF(TODAY()-K1408&lt;'Анализ'!$D$4+1,1,0),"")</f>
        <v/>
      </c>
    </row>
    <row r="1409" ht="15.75" customHeight="1">
      <c r="B1409" s="1" t="str">
        <f t="shared" si="1"/>
        <v/>
      </c>
      <c r="G1409" s="17"/>
      <c r="J1409" s="1" t="str">
        <f t="array" ref="J1409">IFERROR(INDEX('Исходник'!$1:$626,MATCH($I1409,'Исходник'!$T:$T,0),MATCH(J$1,'Исходник'!$1:$1,0)))</f>
        <v/>
      </c>
      <c r="K1409" s="7" t="str">
        <f t="shared" si="3"/>
        <v/>
      </c>
      <c r="L1409" s="1" t="str">
        <f>IF(I1409&gt;0,IF(TODAY()-K1409&lt;'Анализ'!$D$4+1,1,0),"")</f>
        <v/>
      </c>
    </row>
    <row r="1410" ht="15.75" customHeight="1">
      <c r="B1410" s="1" t="str">
        <f t="shared" si="1"/>
        <v/>
      </c>
      <c r="G1410" s="17"/>
      <c r="J1410" s="1" t="str">
        <f t="array" ref="J1410">IFERROR(INDEX('Исходник'!$1:$626,MATCH($I1410,'Исходник'!$T:$T,0),MATCH(J$1,'Исходник'!$1:$1,0)))</f>
        <v/>
      </c>
      <c r="K1410" s="7" t="str">
        <f t="shared" si="3"/>
        <v/>
      </c>
      <c r="L1410" s="1" t="str">
        <f>IF(I1410&gt;0,IF(TODAY()-K1410&lt;'Анализ'!$D$4+1,1,0),"")</f>
        <v/>
      </c>
    </row>
    <row r="1411" ht="15.75" customHeight="1">
      <c r="B1411" s="1" t="str">
        <f t="shared" si="1"/>
        <v/>
      </c>
      <c r="G1411" s="17"/>
      <c r="J1411" s="1" t="str">
        <f t="array" ref="J1411">IFERROR(INDEX('Исходник'!$1:$626,MATCH($I1411,'Исходник'!$T:$T,0),MATCH(J$1,'Исходник'!$1:$1,0)))</f>
        <v/>
      </c>
      <c r="K1411" s="7" t="str">
        <f t="shared" si="3"/>
        <v/>
      </c>
      <c r="L1411" s="1" t="str">
        <f>IF(I1411&gt;0,IF(TODAY()-K1411&lt;'Анализ'!$D$4+1,1,0),"")</f>
        <v/>
      </c>
    </row>
    <row r="1412" ht="15.75" customHeight="1">
      <c r="B1412" s="1" t="str">
        <f t="shared" si="1"/>
        <v/>
      </c>
      <c r="G1412" s="17"/>
      <c r="J1412" s="1" t="str">
        <f t="array" ref="J1412">IFERROR(INDEX('Исходник'!$1:$626,MATCH($I1412,'Исходник'!$T:$T,0),MATCH(J$1,'Исходник'!$1:$1,0)))</f>
        <v/>
      </c>
      <c r="K1412" s="7" t="str">
        <f t="shared" si="3"/>
        <v/>
      </c>
      <c r="L1412" s="1" t="str">
        <f>IF(I1412&gt;0,IF(TODAY()-K1412&lt;'Анализ'!$D$4+1,1,0),"")</f>
        <v/>
      </c>
    </row>
    <row r="1413" ht="15.75" customHeight="1">
      <c r="B1413" s="1" t="str">
        <f t="shared" si="1"/>
        <v/>
      </c>
      <c r="G1413" s="17"/>
      <c r="J1413" s="1" t="str">
        <f t="array" ref="J1413">IFERROR(INDEX('Исходник'!$1:$626,MATCH($I1413,'Исходник'!$T:$T,0),MATCH(J$1,'Исходник'!$1:$1,0)))</f>
        <v/>
      </c>
      <c r="K1413" s="7" t="str">
        <f t="shared" si="3"/>
        <v/>
      </c>
      <c r="L1413" s="1" t="str">
        <f>IF(I1413&gt;0,IF(TODAY()-K1413&lt;'Анализ'!$D$4+1,1,0),"")</f>
        <v/>
      </c>
    </row>
    <row r="1414" ht="15.75" customHeight="1">
      <c r="B1414" s="1" t="str">
        <f t="shared" si="1"/>
        <v/>
      </c>
      <c r="G1414" s="17"/>
      <c r="J1414" s="1" t="str">
        <f t="array" ref="J1414">IFERROR(INDEX('Исходник'!$1:$626,MATCH($I1414,'Исходник'!$T:$T,0),MATCH(J$1,'Исходник'!$1:$1,0)))</f>
        <v/>
      </c>
      <c r="K1414" s="7" t="str">
        <f t="shared" si="3"/>
        <v/>
      </c>
      <c r="L1414" s="1" t="str">
        <f>IF(I1414&gt;0,IF(TODAY()-K1414&lt;'Анализ'!$D$4+1,1,0),"")</f>
        <v/>
      </c>
    </row>
    <row r="1415" ht="15.75" customHeight="1">
      <c r="B1415" s="1" t="str">
        <f t="shared" si="1"/>
        <v/>
      </c>
      <c r="G1415" s="17"/>
      <c r="J1415" s="1" t="str">
        <f t="array" ref="J1415">IFERROR(INDEX('Исходник'!$1:$626,MATCH($I1415,'Исходник'!$T:$T,0),MATCH(J$1,'Исходник'!$1:$1,0)))</f>
        <v/>
      </c>
      <c r="K1415" s="7" t="str">
        <f t="shared" si="3"/>
        <v/>
      </c>
      <c r="L1415" s="1" t="str">
        <f>IF(I1415&gt;0,IF(TODAY()-K1415&lt;'Анализ'!$D$4+1,1,0),"")</f>
        <v/>
      </c>
    </row>
    <row r="1416" ht="15.75" customHeight="1">
      <c r="B1416" s="1" t="str">
        <f t="shared" si="1"/>
        <v/>
      </c>
      <c r="G1416" s="17"/>
      <c r="J1416" s="1" t="str">
        <f t="array" ref="J1416">IFERROR(INDEX('Исходник'!$1:$626,MATCH($I1416,'Исходник'!$T:$T,0),MATCH(J$1,'Исходник'!$1:$1,0)))</f>
        <v/>
      </c>
      <c r="K1416" s="7" t="str">
        <f t="shared" si="3"/>
        <v/>
      </c>
      <c r="L1416" s="1" t="str">
        <f>IF(I1416&gt;0,IF(TODAY()-K1416&lt;'Анализ'!$D$4+1,1,0),"")</f>
        <v/>
      </c>
    </row>
    <row r="1417" ht="15.75" customHeight="1">
      <c r="B1417" s="1" t="str">
        <f t="shared" si="1"/>
        <v/>
      </c>
      <c r="G1417" s="17"/>
      <c r="J1417" s="1" t="str">
        <f t="array" ref="J1417">IFERROR(INDEX('Исходник'!$1:$626,MATCH($I1417,'Исходник'!$T:$T,0),MATCH(J$1,'Исходник'!$1:$1,0)))</f>
        <v/>
      </c>
      <c r="K1417" s="7" t="str">
        <f t="shared" si="3"/>
        <v/>
      </c>
      <c r="L1417" s="1" t="str">
        <f>IF(I1417&gt;0,IF(TODAY()-K1417&lt;'Анализ'!$D$4+1,1,0),"")</f>
        <v/>
      </c>
    </row>
    <row r="1418" ht="15.75" customHeight="1">
      <c r="B1418" s="1" t="str">
        <f t="shared" si="1"/>
        <v/>
      </c>
      <c r="G1418" s="17"/>
      <c r="J1418" s="1" t="str">
        <f t="array" ref="J1418">IFERROR(INDEX('Исходник'!$1:$626,MATCH($I1418,'Исходник'!$T:$T,0),MATCH(J$1,'Исходник'!$1:$1,0)))</f>
        <v/>
      </c>
      <c r="K1418" s="7" t="str">
        <f t="shared" si="3"/>
        <v/>
      </c>
      <c r="L1418" s="1" t="str">
        <f>IF(I1418&gt;0,IF(TODAY()-K1418&lt;'Анализ'!$D$4+1,1,0),"")</f>
        <v/>
      </c>
    </row>
    <row r="1419" ht="15.75" customHeight="1">
      <c r="B1419" s="1" t="str">
        <f t="shared" si="1"/>
        <v/>
      </c>
      <c r="G1419" s="17"/>
      <c r="J1419" s="1" t="str">
        <f t="array" ref="J1419">IFERROR(INDEX('Исходник'!$1:$626,MATCH($I1419,'Исходник'!$T:$T,0),MATCH(J$1,'Исходник'!$1:$1,0)))</f>
        <v/>
      </c>
      <c r="K1419" s="7" t="str">
        <f t="shared" si="3"/>
        <v/>
      </c>
      <c r="L1419" s="1" t="str">
        <f>IF(I1419&gt;0,IF(TODAY()-K1419&lt;'Анализ'!$D$4+1,1,0),"")</f>
        <v/>
      </c>
    </row>
    <row r="1420" ht="15.75" customHeight="1">
      <c r="B1420" s="1" t="str">
        <f t="shared" si="1"/>
        <v/>
      </c>
      <c r="G1420" s="17"/>
      <c r="J1420" s="1" t="str">
        <f t="array" ref="J1420">IFERROR(INDEX('Исходник'!$1:$626,MATCH($I1420,'Исходник'!$T:$T,0),MATCH(J$1,'Исходник'!$1:$1,0)))</f>
        <v/>
      </c>
      <c r="K1420" s="7" t="str">
        <f t="shared" si="3"/>
        <v/>
      </c>
      <c r="L1420" s="1" t="str">
        <f>IF(I1420&gt;0,IF(TODAY()-K1420&lt;'Анализ'!$D$4+1,1,0),"")</f>
        <v/>
      </c>
    </row>
    <row r="1421" ht="15.75" customHeight="1">
      <c r="B1421" s="1" t="str">
        <f t="shared" si="1"/>
        <v/>
      </c>
      <c r="G1421" s="17"/>
      <c r="J1421" s="1" t="str">
        <f t="array" ref="J1421">IFERROR(INDEX('Исходник'!$1:$626,MATCH($I1421,'Исходник'!$T:$T,0),MATCH(J$1,'Исходник'!$1:$1,0)))</f>
        <v/>
      </c>
      <c r="K1421" s="7" t="str">
        <f t="shared" si="3"/>
        <v/>
      </c>
      <c r="L1421" s="1" t="str">
        <f>IF(I1421&gt;0,IF(TODAY()-K1421&lt;'Анализ'!$D$4+1,1,0),"")</f>
        <v/>
      </c>
    </row>
    <row r="1422" ht="15.75" customHeight="1">
      <c r="B1422" s="1" t="str">
        <f t="shared" si="1"/>
        <v/>
      </c>
      <c r="G1422" s="17"/>
      <c r="J1422" s="1" t="str">
        <f t="array" ref="J1422">IFERROR(INDEX('Исходник'!$1:$626,MATCH($I1422,'Исходник'!$T:$T,0),MATCH(J$1,'Исходник'!$1:$1,0)))</f>
        <v/>
      </c>
      <c r="K1422" s="7" t="str">
        <f t="shared" si="3"/>
        <v/>
      </c>
      <c r="L1422" s="1" t="str">
        <f>IF(I1422&gt;0,IF(TODAY()-K1422&lt;'Анализ'!$D$4+1,1,0),"")</f>
        <v/>
      </c>
    </row>
    <row r="1423" ht="15.75" customHeight="1">
      <c r="B1423" s="1" t="str">
        <f t="shared" si="1"/>
        <v/>
      </c>
      <c r="G1423" s="17"/>
      <c r="J1423" s="1" t="str">
        <f t="array" ref="J1423">IFERROR(INDEX('Исходник'!$1:$626,MATCH($I1423,'Исходник'!$T:$T,0),MATCH(J$1,'Исходник'!$1:$1,0)))</f>
        <v/>
      </c>
      <c r="K1423" s="7" t="str">
        <f t="shared" si="3"/>
        <v/>
      </c>
      <c r="L1423" s="1" t="str">
        <f>IF(I1423&gt;0,IF(TODAY()-K1423&lt;'Анализ'!$D$4+1,1,0),"")</f>
        <v/>
      </c>
    </row>
    <row r="1424" ht="15.75" customHeight="1">
      <c r="B1424" s="1" t="str">
        <f t="shared" si="1"/>
        <v/>
      </c>
      <c r="G1424" s="17"/>
      <c r="J1424" s="1" t="str">
        <f t="array" ref="J1424">IFERROR(INDEX('Исходник'!$1:$626,MATCH($I1424,'Исходник'!$T:$T,0),MATCH(J$1,'Исходник'!$1:$1,0)))</f>
        <v/>
      </c>
      <c r="K1424" s="7" t="str">
        <f t="shared" si="3"/>
        <v/>
      </c>
      <c r="L1424" s="1" t="str">
        <f>IF(I1424&gt;0,IF(TODAY()-K1424&lt;'Анализ'!$D$4+1,1,0),"")</f>
        <v/>
      </c>
    </row>
    <row r="1425" ht="15.75" customHeight="1">
      <c r="B1425" s="1" t="str">
        <f t="shared" si="1"/>
        <v/>
      </c>
      <c r="G1425" s="17"/>
      <c r="J1425" s="1" t="str">
        <f t="array" ref="J1425">IFERROR(INDEX('Исходник'!$1:$626,MATCH($I1425,'Исходник'!$T:$T,0),MATCH(J$1,'Исходник'!$1:$1,0)))</f>
        <v/>
      </c>
      <c r="K1425" s="7" t="str">
        <f t="shared" si="3"/>
        <v/>
      </c>
      <c r="L1425" s="1" t="str">
        <f>IF(I1425&gt;0,IF(TODAY()-K1425&lt;'Анализ'!$D$4+1,1,0),"")</f>
        <v/>
      </c>
    </row>
    <row r="1426" ht="15.75" customHeight="1">
      <c r="B1426" s="1" t="str">
        <f t="shared" si="1"/>
        <v/>
      </c>
      <c r="G1426" s="17"/>
      <c r="J1426" s="1" t="str">
        <f t="array" ref="J1426">IFERROR(INDEX('Исходник'!$1:$626,MATCH($I1426,'Исходник'!$T:$T,0),MATCH(J$1,'Исходник'!$1:$1,0)))</f>
        <v/>
      </c>
      <c r="K1426" s="7" t="str">
        <f t="shared" si="3"/>
        <v/>
      </c>
      <c r="L1426" s="1" t="str">
        <f>IF(I1426&gt;0,IF(TODAY()-K1426&lt;'Анализ'!$D$4+1,1,0),"")</f>
        <v/>
      </c>
    </row>
    <row r="1427" ht="15.75" customHeight="1">
      <c r="B1427" s="1" t="str">
        <f t="shared" si="1"/>
        <v/>
      </c>
      <c r="G1427" s="17"/>
      <c r="J1427" s="1" t="str">
        <f t="array" ref="J1427">IFERROR(INDEX('Исходник'!$1:$626,MATCH($I1427,'Исходник'!$T:$T,0),MATCH(J$1,'Исходник'!$1:$1,0)))</f>
        <v/>
      </c>
      <c r="K1427" s="7" t="str">
        <f t="shared" si="3"/>
        <v/>
      </c>
      <c r="L1427" s="1" t="str">
        <f>IF(I1427&gt;0,IF(TODAY()-K1427&lt;'Анализ'!$D$4+1,1,0),"")</f>
        <v/>
      </c>
    </row>
    <row r="1428" ht="15.75" customHeight="1">
      <c r="B1428" s="1" t="str">
        <f t="shared" si="1"/>
        <v/>
      </c>
      <c r="G1428" s="17"/>
      <c r="J1428" s="1" t="str">
        <f t="array" ref="J1428">IFERROR(INDEX('Исходник'!$1:$626,MATCH($I1428,'Исходник'!$T:$T,0),MATCH(J$1,'Исходник'!$1:$1,0)))</f>
        <v/>
      </c>
      <c r="K1428" s="7" t="str">
        <f t="shared" si="3"/>
        <v/>
      </c>
      <c r="L1428" s="1" t="str">
        <f>IF(I1428&gt;0,IF(TODAY()-K1428&lt;'Анализ'!$D$4+1,1,0),"")</f>
        <v/>
      </c>
    </row>
    <row r="1429" ht="15.75" customHeight="1">
      <c r="B1429" s="1" t="str">
        <f t="shared" si="1"/>
        <v/>
      </c>
      <c r="G1429" s="17"/>
      <c r="J1429" s="1" t="str">
        <f t="array" ref="J1429">IFERROR(INDEX('Исходник'!$1:$626,MATCH($I1429,'Исходник'!$T:$T,0),MATCH(J$1,'Исходник'!$1:$1,0)))</f>
        <v/>
      </c>
      <c r="K1429" s="7" t="str">
        <f t="shared" si="3"/>
        <v/>
      </c>
      <c r="L1429" s="1" t="str">
        <f>IF(I1429&gt;0,IF(TODAY()-K1429&lt;'Анализ'!$D$4+1,1,0),"")</f>
        <v/>
      </c>
    </row>
    <row r="1430" ht="15.75" customHeight="1">
      <c r="B1430" s="1" t="str">
        <f t="shared" si="1"/>
        <v/>
      </c>
      <c r="G1430" s="17"/>
      <c r="J1430" s="1" t="str">
        <f t="array" ref="J1430">IFERROR(INDEX('Исходник'!$1:$626,MATCH($I1430,'Исходник'!$T:$T,0),MATCH(J$1,'Исходник'!$1:$1,0)))</f>
        <v/>
      </c>
      <c r="K1430" s="7" t="str">
        <f t="shared" si="3"/>
        <v/>
      </c>
      <c r="L1430" s="1" t="str">
        <f>IF(I1430&gt;0,IF(TODAY()-K1430&lt;'Анализ'!$D$4+1,1,0),"")</f>
        <v/>
      </c>
    </row>
    <row r="1431" ht="15.75" customHeight="1">
      <c r="B1431" s="1" t="str">
        <f t="shared" si="1"/>
        <v/>
      </c>
      <c r="G1431" s="17"/>
      <c r="J1431" s="1" t="str">
        <f t="array" ref="J1431">IFERROR(INDEX('Исходник'!$1:$626,MATCH($I1431,'Исходник'!$T:$T,0),MATCH(J$1,'Исходник'!$1:$1,0)))</f>
        <v/>
      </c>
      <c r="K1431" s="7" t="str">
        <f t="shared" si="3"/>
        <v/>
      </c>
      <c r="L1431" s="1" t="str">
        <f>IF(I1431&gt;0,IF(TODAY()-K1431&lt;'Анализ'!$D$4+1,1,0),"")</f>
        <v/>
      </c>
    </row>
    <row r="1432" ht="15.75" customHeight="1">
      <c r="B1432" s="1" t="str">
        <f t="shared" si="1"/>
        <v/>
      </c>
      <c r="G1432" s="17"/>
      <c r="J1432" s="1" t="str">
        <f t="array" ref="J1432">IFERROR(INDEX('Исходник'!$1:$626,MATCH($I1432,'Исходник'!$T:$T,0),MATCH(J$1,'Исходник'!$1:$1,0)))</f>
        <v/>
      </c>
      <c r="K1432" s="7" t="str">
        <f t="shared" si="3"/>
        <v/>
      </c>
      <c r="L1432" s="1" t="str">
        <f>IF(I1432&gt;0,IF(TODAY()-K1432&lt;'Анализ'!$D$4+1,1,0),"")</f>
        <v/>
      </c>
    </row>
    <row r="1433" ht="15.75" customHeight="1">
      <c r="B1433" s="1" t="str">
        <f t="shared" si="1"/>
        <v/>
      </c>
      <c r="G1433" s="17"/>
      <c r="J1433" s="1" t="str">
        <f t="array" ref="J1433">IFERROR(INDEX('Исходник'!$1:$626,MATCH($I1433,'Исходник'!$T:$T,0),MATCH(J$1,'Исходник'!$1:$1,0)))</f>
        <v/>
      </c>
      <c r="K1433" s="7" t="str">
        <f t="shared" si="3"/>
        <v/>
      </c>
      <c r="L1433" s="1" t="str">
        <f>IF(I1433&gt;0,IF(TODAY()-K1433&lt;'Анализ'!$D$4+1,1,0),"")</f>
        <v/>
      </c>
    </row>
    <row r="1434" ht="15.75" customHeight="1">
      <c r="B1434" s="1" t="str">
        <f t="shared" si="1"/>
        <v/>
      </c>
      <c r="G1434" s="17"/>
      <c r="J1434" s="1" t="str">
        <f t="array" ref="J1434">IFERROR(INDEX('Исходник'!$1:$626,MATCH($I1434,'Исходник'!$T:$T,0),MATCH(J$1,'Исходник'!$1:$1,0)))</f>
        <v/>
      </c>
      <c r="K1434" s="7" t="str">
        <f t="shared" si="3"/>
        <v/>
      </c>
      <c r="L1434" s="1" t="str">
        <f>IF(I1434&gt;0,IF(TODAY()-K1434&lt;'Анализ'!$D$4+1,1,0),"")</f>
        <v/>
      </c>
    </row>
    <row r="1435" ht="15.75" customHeight="1">
      <c r="B1435" s="1" t="str">
        <f t="shared" si="1"/>
        <v/>
      </c>
      <c r="G1435" s="17"/>
      <c r="J1435" s="1" t="str">
        <f t="array" ref="J1435">IFERROR(INDEX('Исходник'!$1:$626,MATCH($I1435,'Исходник'!$T:$T,0),MATCH(J$1,'Исходник'!$1:$1,0)))</f>
        <v/>
      </c>
      <c r="K1435" s="7" t="str">
        <f t="shared" si="3"/>
        <v/>
      </c>
      <c r="L1435" s="1" t="str">
        <f>IF(I1435&gt;0,IF(TODAY()-K1435&lt;'Анализ'!$D$4+1,1,0),"")</f>
        <v/>
      </c>
    </row>
    <row r="1436" ht="15.75" customHeight="1">
      <c r="B1436" s="1" t="str">
        <f t="shared" si="1"/>
        <v/>
      </c>
      <c r="G1436" s="17"/>
      <c r="J1436" s="1" t="str">
        <f t="array" ref="J1436">IFERROR(INDEX('Исходник'!$1:$626,MATCH($I1436,'Исходник'!$T:$T,0),MATCH(J$1,'Исходник'!$1:$1,0)))</f>
        <v/>
      </c>
      <c r="K1436" s="7" t="str">
        <f t="shared" si="3"/>
        <v/>
      </c>
      <c r="L1436" s="1" t="str">
        <f>IF(I1436&gt;0,IF(TODAY()-K1436&lt;'Анализ'!$D$4+1,1,0),"")</f>
        <v/>
      </c>
    </row>
    <row r="1437" ht="15.75" customHeight="1">
      <c r="B1437" s="1" t="str">
        <f t="shared" si="1"/>
        <v/>
      </c>
      <c r="G1437" s="17"/>
      <c r="J1437" s="1" t="str">
        <f t="array" ref="J1437">IFERROR(INDEX('Исходник'!$1:$626,MATCH($I1437,'Исходник'!$T:$T,0),MATCH(J$1,'Исходник'!$1:$1,0)))</f>
        <v/>
      </c>
      <c r="K1437" s="7" t="str">
        <f t="shared" si="3"/>
        <v/>
      </c>
      <c r="L1437" s="1" t="str">
        <f>IF(I1437&gt;0,IF(TODAY()-K1437&lt;'Анализ'!$D$4+1,1,0),"")</f>
        <v/>
      </c>
    </row>
    <row r="1438" ht="15.75" customHeight="1">
      <c r="B1438" s="1" t="str">
        <f t="shared" si="1"/>
        <v/>
      </c>
      <c r="G1438" s="17"/>
      <c r="J1438" s="1" t="str">
        <f t="array" ref="J1438">IFERROR(INDEX('Исходник'!$1:$626,MATCH($I1438,'Исходник'!$T:$T,0),MATCH(J$1,'Исходник'!$1:$1,0)))</f>
        <v/>
      </c>
      <c r="K1438" s="7" t="str">
        <f t="shared" si="3"/>
        <v/>
      </c>
      <c r="L1438" s="1" t="str">
        <f>IF(I1438&gt;0,IF(TODAY()-K1438&lt;'Анализ'!$D$4+1,1,0),"")</f>
        <v/>
      </c>
    </row>
    <row r="1439" ht="15.75" customHeight="1">
      <c r="B1439" s="1" t="str">
        <f t="shared" si="1"/>
        <v/>
      </c>
      <c r="G1439" s="17"/>
      <c r="J1439" s="1" t="str">
        <f t="array" ref="J1439">IFERROR(INDEX('Исходник'!$1:$626,MATCH($I1439,'Исходник'!$T:$T,0),MATCH(J$1,'Исходник'!$1:$1,0)))</f>
        <v/>
      </c>
      <c r="K1439" s="7" t="str">
        <f t="shared" si="3"/>
        <v/>
      </c>
      <c r="L1439" s="1" t="str">
        <f>IF(I1439&gt;0,IF(TODAY()-K1439&lt;'Анализ'!$D$4+1,1,0),"")</f>
        <v/>
      </c>
    </row>
    <row r="1440" ht="15.75" customHeight="1">
      <c r="B1440" s="1" t="str">
        <f t="shared" si="1"/>
        <v/>
      </c>
      <c r="G1440" s="17"/>
      <c r="J1440" s="1" t="str">
        <f t="array" ref="J1440">IFERROR(INDEX('Исходник'!$1:$626,MATCH($I1440,'Исходник'!$T:$T,0),MATCH(J$1,'Исходник'!$1:$1,0)))</f>
        <v/>
      </c>
      <c r="K1440" s="7" t="str">
        <f t="shared" si="3"/>
        <v/>
      </c>
      <c r="L1440" s="1" t="str">
        <f>IF(I1440&gt;0,IF(TODAY()-K1440&lt;'Анализ'!$D$4+1,1,0),"")</f>
        <v/>
      </c>
    </row>
    <row r="1441" ht="15.75" customHeight="1">
      <c r="B1441" s="1" t="str">
        <f t="shared" si="1"/>
        <v/>
      </c>
      <c r="G1441" s="17"/>
      <c r="J1441" s="1" t="str">
        <f t="array" ref="J1441">IFERROR(INDEX('Исходник'!$1:$626,MATCH($I1441,'Исходник'!$T:$T,0),MATCH(J$1,'Исходник'!$1:$1,0)))</f>
        <v/>
      </c>
      <c r="K1441" s="7" t="str">
        <f t="shared" si="3"/>
        <v/>
      </c>
      <c r="L1441" s="1" t="str">
        <f>IF(I1441&gt;0,IF(TODAY()-K1441&lt;'Анализ'!$D$4+1,1,0),"")</f>
        <v/>
      </c>
    </row>
    <row r="1442" ht="15.75" customHeight="1">
      <c r="B1442" s="1" t="str">
        <f t="shared" si="1"/>
        <v/>
      </c>
      <c r="G1442" s="17"/>
      <c r="J1442" s="1" t="str">
        <f t="array" ref="J1442">IFERROR(INDEX('Исходник'!$1:$626,MATCH($I1442,'Исходник'!$T:$T,0),MATCH(J$1,'Исходник'!$1:$1,0)))</f>
        <v/>
      </c>
      <c r="K1442" s="7" t="str">
        <f t="shared" si="3"/>
        <v/>
      </c>
      <c r="L1442" s="1" t="str">
        <f>IF(I1442&gt;0,IF(TODAY()-K1442&lt;'Анализ'!$D$4+1,1,0),"")</f>
        <v/>
      </c>
    </row>
    <row r="1443" ht="15.75" customHeight="1">
      <c r="B1443" s="1" t="str">
        <f t="shared" si="1"/>
        <v/>
      </c>
      <c r="G1443" s="17"/>
      <c r="J1443" s="1" t="str">
        <f t="array" ref="J1443">IFERROR(INDEX('Исходник'!$1:$626,MATCH($I1443,'Исходник'!$T:$T,0),MATCH(J$1,'Исходник'!$1:$1,0)))</f>
        <v/>
      </c>
      <c r="K1443" s="7" t="str">
        <f t="shared" si="3"/>
        <v/>
      </c>
      <c r="L1443" s="1" t="str">
        <f>IF(I1443&gt;0,IF(TODAY()-K1443&lt;'Анализ'!$D$4+1,1,0),"")</f>
        <v/>
      </c>
    </row>
    <row r="1444" ht="15.75" customHeight="1">
      <c r="B1444" s="1" t="str">
        <f t="shared" si="1"/>
        <v/>
      </c>
      <c r="G1444" s="17"/>
      <c r="J1444" s="1" t="str">
        <f t="array" ref="J1444">IFERROR(INDEX('Исходник'!$1:$626,MATCH($I1444,'Исходник'!$T:$T,0),MATCH(J$1,'Исходник'!$1:$1,0)))</f>
        <v/>
      </c>
      <c r="K1444" s="7" t="str">
        <f t="shared" si="3"/>
        <v/>
      </c>
      <c r="L1444" s="1" t="str">
        <f>IF(I1444&gt;0,IF(TODAY()-K1444&lt;'Анализ'!$D$4+1,1,0),"")</f>
        <v/>
      </c>
    </row>
    <row r="1445" ht="15.75" customHeight="1">
      <c r="B1445" s="1" t="str">
        <f t="shared" si="1"/>
        <v/>
      </c>
      <c r="G1445" s="17"/>
      <c r="J1445" s="1" t="str">
        <f t="array" ref="J1445">IFERROR(INDEX('Исходник'!$1:$626,MATCH($I1445,'Исходник'!$T:$T,0),MATCH(J$1,'Исходник'!$1:$1,0)))</f>
        <v/>
      </c>
      <c r="K1445" s="7" t="str">
        <f t="shared" si="3"/>
        <v/>
      </c>
      <c r="L1445" s="1" t="str">
        <f>IF(I1445&gt;0,IF(TODAY()-K1445&lt;'Анализ'!$D$4+1,1,0),"")</f>
        <v/>
      </c>
    </row>
    <row r="1446" ht="15.75" customHeight="1">
      <c r="B1446" s="1" t="str">
        <f t="shared" si="1"/>
        <v/>
      </c>
      <c r="G1446" s="17"/>
      <c r="J1446" s="1" t="str">
        <f t="array" ref="J1446">IFERROR(INDEX('Исходник'!$1:$626,MATCH($I1446,'Исходник'!$T:$T,0),MATCH(J$1,'Исходник'!$1:$1,0)))</f>
        <v/>
      </c>
      <c r="K1446" s="7" t="str">
        <f t="shared" si="3"/>
        <v/>
      </c>
      <c r="L1446" s="1" t="str">
        <f>IF(I1446&gt;0,IF(TODAY()-K1446&lt;'Анализ'!$D$4+1,1,0),"")</f>
        <v/>
      </c>
    </row>
    <row r="1447" ht="15.75" customHeight="1">
      <c r="B1447" s="1" t="str">
        <f t="shared" si="1"/>
        <v/>
      </c>
      <c r="G1447" s="17"/>
      <c r="J1447" s="1" t="str">
        <f t="array" ref="J1447">IFERROR(INDEX('Исходник'!$1:$626,MATCH($I1447,'Исходник'!$T:$T,0),MATCH(J$1,'Исходник'!$1:$1,0)))</f>
        <v/>
      </c>
      <c r="K1447" s="7" t="str">
        <f t="shared" si="3"/>
        <v/>
      </c>
      <c r="L1447" s="1" t="str">
        <f>IF(I1447&gt;0,IF(TODAY()-K1447&lt;'Анализ'!$D$4+1,1,0),"")</f>
        <v/>
      </c>
    </row>
    <row r="1448" ht="15.75" customHeight="1">
      <c r="B1448" s="1" t="str">
        <f t="shared" si="1"/>
        <v/>
      </c>
      <c r="G1448" s="17"/>
      <c r="J1448" s="1" t="str">
        <f t="array" ref="J1448">IFERROR(INDEX('Исходник'!$1:$626,MATCH($I1448,'Исходник'!$T:$T,0),MATCH(J$1,'Исходник'!$1:$1,0)))</f>
        <v/>
      </c>
      <c r="K1448" s="7" t="str">
        <f t="shared" si="3"/>
        <v/>
      </c>
      <c r="L1448" s="1" t="str">
        <f>IF(I1448&gt;0,IF(TODAY()-K1448&lt;'Анализ'!$D$4+1,1,0),"")</f>
        <v/>
      </c>
    </row>
    <row r="1449" ht="15.75" customHeight="1">
      <c r="B1449" s="1" t="str">
        <f t="shared" si="1"/>
        <v/>
      </c>
      <c r="G1449" s="17"/>
      <c r="J1449" s="1" t="str">
        <f t="array" ref="J1449">IFERROR(INDEX('Исходник'!$1:$626,MATCH($I1449,'Исходник'!$T:$T,0),MATCH(J$1,'Исходник'!$1:$1,0)))</f>
        <v/>
      </c>
      <c r="K1449" s="7" t="str">
        <f t="shared" si="3"/>
        <v/>
      </c>
      <c r="L1449" s="1" t="str">
        <f>IF(I1449&gt;0,IF(TODAY()-K1449&lt;'Анализ'!$D$4+1,1,0),"")</f>
        <v/>
      </c>
    </row>
    <row r="1450" ht="15.75" customHeight="1">
      <c r="B1450" s="1" t="str">
        <f t="shared" si="1"/>
        <v/>
      </c>
      <c r="G1450" s="17"/>
      <c r="J1450" s="1" t="str">
        <f t="array" ref="J1450">IFERROR(INDEX('Исходник'!$1:$626,MATCH($I1450,'Исходник'!$T:$T,0),MATCH(J$1,'Исходник'!$1:$1,0)))</f>
        <v/>
      </c>
      <c r="K1450" s="7" t="str">
        <f t="shared" si="3"/>
        <v/>
      </c>
      <c r="L1450" s="1" t="str">
        <f>IF(I1450&gt;0,IF(TODAY()-K1450&lt;'Анализ'!$D$4+1,1,0),"")</f>
        <v/>
      </c>
    </row>
    <row r="1451" ht="15.75" customHeight="1">
      <c r="B1451" s="1" t="str">
        <f t="shared" si="1"/>
        <v/>
      </c>
      <c r="G1451" s="17"/>
      <c r="J1451" s="1" t="str">
        <f t="array" ref="J1451">IFERROR(INDEX('Исходник'!$1:$626,MATCH($I1451,'Исходник'!$T:$T,0),MATCH(J$1,'Исходник'!$1:$1,0)))</f>
        <v/>
      </c>
      <c r="K1451" s="7" t="str">
        <f t="shared" si="3"/>
        <v/>
      </c>
      <c r="L1451" s="1" t="str">
        <f>IF(I1451&gt;0,IF(TODAY()-K1451&lt;'Анализ'!$D$4+1,1,0),"")</f>
        <v/>
      </c>
    </row>
    <row r="1452" ht="15.75" customHeight="1">
      <c r="B1452" s="1" t="str">
        <f t="shared" si="1"/>
        <v/>
      </c>
      <c r="G1452" s="17"/>
      <c r="J1452" s="1" t="str">
        <f t="array" ref="J1452">IFERROR(INDEX('Исходник'!$1:$626,MATCH($I1452,'Исходник'!$T:$T,0),MATCH(J$1,'Исходник'!$1:$1,0)))</f>
        <v/>
      </c>
      <c r="K1452" s="7" t="str">
        <f t="shared" si="3"/>
        <v/>
      </c>
      <c r="L1452" s="1" t="str">
        <f>IF(I1452&gt;0,IF(TODAY()-K1452&lt;'Анализ'!$D$4+1,1,0),"")</f>
        <v/>
      </c>
    </row>
    <row r="1453" ht="15.75" customHeight="1">
      <c r="B1453" s="1" t="str">
        <f t="shared" si="1"/>
        <v/>
      </c>
      <c r="G1453" s="17"/>
      <c r="J1453" s="1" t="str">
        <f t="array" ref="J1453">IFERROR(INDEX('Исходник'!$1:$626,MATCH($I1453,'Исходник'!$T:$T,0),MATCH(J$1,'Исходник'!$1:$1,0)))</f>
        <v/>
      </c>
      <c r="K1453" s="7" t="str">
        <f t="shared" si="3"/>
        <v/>
      </c>
      <c r="L1453" s="1" t="str">
        <f>IF(I1453&gt;0,IF(TODAY()-K1453&lt;'Анализ'!$D$4+1,1,0),"")</f>
        <v/>
      </c>
    </row>
    <row r="1454" ht="15.75" customHeight="1">
      <c r="B1454" s="1" t="str">
        <f t="shared" si="1"/>
        <v/>
      </c>
      <c r="G1454" s="17"/>
      <c r="J1454" s="1" t="str">
        <f t="array" ref="J1454">IFERROR(INDEX('Исходник'!$1:$626,MATCH($I1454,'Исходник'!$T:$T,0),MATCH(J$1,'Исходник'!$1:$1,0)))</f>
        <v/>
      </c>
      <c r="K1454" s="7" t="str">
        <f t="shared" si="3"/>
        <v/>
      </c>
      <c r="L1454" s="1" t="str">
        <f>IF(I1454&gt;0,IF(TODAY()-K1454&lt;'Анализ'!$D$4+1,1,0),"")</f>
        <v/>
      </c>
    </row>
    <row r="1455" ht="15.75" customHeight="1">
      <c r="B1455" s="1" t="str">
        <f t="shared" si="1"/>
        <v/>
      </c>
      <c r="G1455" s="17"/>
      <c r="J1455" s="1" t="str">
        <f t="array" ref="J1455">IFERROR(INDEX('Исходник'!$1:$626,MATCH($I1455,'Исходник'!$T:$T,0),MATCH(J$1,'Исходник'!$1:$1,0)))</f>
        <v/>
      </c>
      <c r="K1455" s="7" t="str">
        <f t="shared" si="3"/>
        <v/>
      </c>
      <c r="L1455" s="1" t="str">
        <f>IF(I1455&gt;0,IF(TODAY()-K1455&lt;'Анализ'!$D$4+1,1,0),"")</f>
        <v/>
      </c>
    </row>
    <row r="1456" ht="15.75" customHeight="1">
      <c r="B1456" s="1" t="str">
        <f t="shared" si="1"/>
        <v/>
      </c>
      <c r="G1456" s="17"/>
      <c r="J1456" s="1" t="str">
        <f t="array" ref="J1456">IFERROR(INDEX('Исходник'!$1:$626,MATCH($I1456,'Исходник'!$T:$T,0),MATCH(J$1,'Исходник'!$1:$1,0)))</f>
        <v/>
      </c>
      <c r="K1456" s="7" t="str">
        <f t="shared" si="3"/>
        <v/>
      </c>
      <c r="L1456" s="1" t="str">
        <f>IF(I1456&gt;0,IF(TODAY()-K1456&lt;'Анализ'!$D$4+1,1,0),"")</f>
        <v/>
      </c>
    </row>
    <row r="1457" ht="15.75" customHeight="1">
      <c r="B1457" s="1" t="str">
        <f t="shared" si="1"/>
        <v/>
      </c>
      <c r="G1457" s="17"/>
      <c r="J1457" s="1" t="str">
        <f t="array" ref="J1457">IFERROR(INDEX('Исходник'!$1:$626,MATCH($I1457,'Исходник'!$T:$T,0),MATCH(J$1,'Исходник'!$1:$1,0)))</f>
        <v/>
      </c>
      <c r="K1457" s="7" t="str">
        <f t="shared" si="3"/>
        <v/>
      </c>
      <c r="L1457" s="1" t="str">
        <f>IF(I1457&gt;0,IF(TODAY()-K1457&lt;'Анализ'!$D$4+1,1,0),"")</f>
        <v/>
      </c>
    </row>
    <row r="1458" ht="15.75" customHeight="1">
      <c r="B1458" s="1" t="str">
        <f t="shared" si="1"/>
        <v/>
      </c>
      <c r="G1458" s="17"/>
      <c r="J1458" s="1" t="str">
        <f t="array" ref="J1458">IFERROR(INDEX('Исходник'!$1:$626,MATCH($I1458,'Исходник'!$T:$T,0),MATCH(J$1,'Исходник'!$1:$1,0)))</f>
        <v/>
      </c>
      <c r="K1458" s="7" t="str">
        <f t="shared" si="3"/>
        <v/>
      </c>
      <c r="L1458" s="1" t="str">
        <f>IF(I1458&gt;0,IF(TODAY()-K1458&lt;'Анализ'!$D$4+1,1,0),"")</f>
        <v/>
      </c>
    </row>
    <row r="1459" ht="15.75" customHeight="1">
      <c r="B1459" s="1" t="str">
        <f t="shared" si="1"/>
        <v/>
      </c>
      <c r="G1459" s="17"/>
      <c r="J1459" s="1" t="str">
        <f t="array" ref="J1459">IFERROR(INDEX('Исходник'!$1:$626,MATCH($I1459,'Исходник'!$T:$T,0),MATCH(J$1,'Исходник'!$1:$1,0)))</f>
        <v/>
      </c>
      <c r="K1459" s="7" t="str">
        <f t="shared" si="3"/>
        <v/>
      </c>
      <c r="L1459" s="1" t="str">
        <f>IF(I1459&gt;0,IF(TODAY()-K1459&lt;'Анализ'!$D$4+1,1,0),"")</f>
        <v/>
      </c>
    </row>
    <row r="1460" ht="15.75" customHeight="1">
      <c r="B1460" s="1" t="str">
        <f t="shared" si="1"/>
        <v/>
      </c>
      <c r="G1460" s="17"/>
      <c r="J1460" s="1" t="str">
        <f t="array" ref="J1460">IFERROR(INDEX('Исходник'!$1:$626,MATCH($I1460,'Исходник'!$T:$T,0),MATCH(J$1,'Исходник'!$1:$1,0)))</f>
        <v/>
      </c>
      <c r="K1460" s="7" t="str">
        <f t="shared" si="3"/>
        <v/>
      </c>
      <c r="L1460" s="1" t="str">
        <f>IF(I1460&gt;0,IF(TODAY()-K1460&lt;'Анализ'!$D$4+1,1,0),"")</f>
        <v/>
      </c>
    </row>
    <row r="1461" ht="15.75" customHeight="1">
      <c r="B1461" s="1" t="str">
        <f t="shared" si="1"/>
        <v/>
      </c>
      <c r="G1461" s="17"/>
      <c r="J1461" s="1" t="str">
        <f t="array" ref="J1461">IFERROR(INDEX('Исходник'!$1:$626,MATCH($I1461,'Исходник'!$T:$T,0),MATCH(J$1,'Исходник'!$1:$1,0)))</f>
        <v/>
      </c>
      <c r="K1461" s="7" t="str">
        <f t="shared" si="3"/>
        <v/>
      </c>
      <c r="L1461" s="1" t="str">
        <f>IF(I1461&gt;0,IF(TODAY()-K1461&lt;'Анализ'!$D$4+1,1,0),"")</f>
        <v/>
      </c>
    </row>
    <row r="1462" ht="15.75" customHeight="1">
      <c r="B1462" s="1" t="str">
        <f t="shared" si="1"/>
        <v/>
      </c>
      <c r="G1462" s="17"/>
      <c r="J1462" s="1" t="str">
        <f t="array" ref="J1462">IFERROR(INDEX('Исходник'!$1:$626,MATCH($I1462,'Исходник'!$T:$T,0),MATCH(J$1,'Исходник'!$1:$1,0)))</f>
        <v/>
      </c>
      <c r="K1462" s="7" t="str">
        <f t="shared" si="3"/>
        <v/>
      </c>
      <c r="L1462" s="1" t="str">
        <f>IF(I1462&gt;0,IF(TODAY()-K1462&lt;'Анализ'!$D$4+1,1,0),"")</f>
        <v/>
      </c>
    </row>
    <row r="1463" ht="15.75" customHeight="1">
      <c r="B1463" s="1" t="str">
        <f t="shared" si="1"/>
        <v/>
      </c>
      <c r="G1463" s="17"/>
      <c r="J1463" s="1" t="str">
        <f t="array" ref="J1463">IFERROR(INDEX('Исходник'!$1:$626,MATCH($I1463,'Исходник'!$T:$T,0),MATCH(J$1,'Исходник'!$1:$1,0)))</f>
        <v/>
      </c>
      <c r="K1463" s="7" t="str">
        <f t="shared" si="3"/>
        <v/>
      </c>
      <c r="L1463" s="1" t="str">
        <f>IF(I1463&gt;0,IF(TODAY()-K1463&lt;'Анализ'!$D$4+1,1,0),"")</f>
        <v/>
      </c>
    </row>
    <row r="1464" ht="15.75" customHeight="1">
      <c r="B1464" s="1" t="str">
        <f t="shared" si="1"/>
        <v/>
      </c>
      <c r="G1464" s="17"/>
      <c r="J1464" s="1" t="str">
        <f t="array" ref="J1464">IFERROR(INDEX('Исходник'!$1:$626,MATCH($I1464,'Исходник'!$T:$T,0),MATCH(J$1,'Исходник'!$1:$1,0)))</f>
        <v/>
      </c>
      <c r="K1464" s="7" t="str">
        <f t="shared" si="3"/>
        <v/>
      </c>
      <c r="L1464" s="1" t="str">
        <f>IF(I1464&gt;0,IF(TODAY()-K1464&lt;'Анализ'!$D$4+1,1,0),"")</f>
        <v/>
      </c>
    </row>
    <row r="1465" ht="15.75" customHeight="1">
      <c r="B1465" s="1" t="str">
        <f t="shared" si="1"/>
        <v/>
      </c>
      <c r="G1465" s="17"/>
      <c r="J1465" s="1" t="str">
        <f t="array" ref="J1465">IFERROR(INDEX('Исходник'!$1:$626,MATCH($I1465,'Исходник'!$T:$T,0),MATCH(J$1,'Исходник'!$1:$1,0)))</f>
        <v/>
      </c>
      <c r="K1465" s="7" t="str">
        <f t="shared" si="3"/>
        <v/>
      </c>
      <c r="L1465" s="1" t="str">
        <f>IF(I1465&gt;0,IF(TODAY()-K1465&lt;'Анализ'!$D$4+1,1,0),"")</f>
        <v/>
      </c>
    </row>
    <row r="1466" ht="15.75" customHeight="1">
      <c r="B1466" s="1" t="str">
        <f t="shared" si="1"/>
        <v/>
      </c>
      <c r="G1466" s="17"/>
      <c r="J1466" s="1" t="str">
        <f t="array" ref="J1466">IFERROR(INDEX('Исходник'!$1:$626,MATCH($I1466,'Исходник'!$T:$T,0),MATCH(J$1,'Исходник'!$1:$1,0)))</f>
        <v/>
      </c>
      <c r="K1466" s="7" t="str">
        <f t="shared" si="3"/>
        <v/>
      </c>
      <c r="L1466" s="1" t="str">
        <f>IF(I1466&gt;0,IF(TODAY()-K1466&lt;'Анализ'!$D$4+1,1,0),"")</f>
        <v/>
      </c>
    </row>
    <row r="1467" ht="15.75" customHeight="1">
      <c r="B1467" s="1" t="str">
        <f t="shared" si="1"/>
        <v/>
      </c>
      <c r="G1467" s="17"/>
      <c r="J1467" s="1" t="str">
        <f t="array" ref="J1467">IFERROR(INDEX('Исходник'!$1:$626,MATCH($I1467,'Исходник'!$T:$T,0),MATCH(J$1,'Исходник'!$1:$1,0)))</f>
        <v/>
      </c>
      <c r="K1467" s="7" t="str">
        <f t="shared" si="3"/>
        <v/>
      </c>
      <c r="L1467" s="1" t="str">
        <f>IF(I1467&gt;0,IF(TODAY()-K1467&lt;'Анализ'!$D$4+1,1,0),"")</f>
        <v/>
      </c>
    </row>
    <row r="1468" ht="15.75" customHeight="1">
      <c r="B1468" s="1" t="str">
        <f t="shared" si="1"/>
        <v/>
      </c>
      <c r="G1468" s="17"/>
      <c r="J1468" s="1" t="str">
        <f t="array" ref="J1468">IFERROR(INDEX('Исходник'!$1:$626,MATCH($I1468,'Исходник'!$T:$T,0),MATCH(J$1,'Исходник'!$1:$1,0)))</f>
        <v/>
      </c>
      <c r="K1468" s="7" t="str">
        <f t="shared" si="3"/>
        <v/>
      </c>
      <c r="L1468" s="1" t="str">
        <f>IF(I1468&gt;0,IF(TODAY()-K1468&lt;'Анализ'!$D$4+1,1,0),"")</f>
        <v/>
      </c>
    </row>
    <row r="1469" ht="15.75" customHeight="1">
      <c r="B1469" s="1" t="str">
        <f t="shared" si="1"/>
        <v/>
      </c>
      <c r="G1469" s="17"/>
      <c r="J1469" s="1" t="str">
        <f t="array" ref="J1469">IFERROR(INDEX('Исходник'!$1:$626,MATCH($I1469,'Исходник'!$T:$T,0),MATCH(J$1,'Исходник'!$1:$1,0)))</f>
        <v/>
      </c>
      <c r="K1469" s="7" t="str">
        <f t="shared" si="3"/>
        <v/>
      </c>
      <c r="L1469" s="1" t="str">
        <f>IF(I1469&gt;0,IF(TODAY()-K1469&lt;'Анализ'!$D$4+1,1,0),"")</f>
        <v/>
      </c>
    </row>
    <row r="1470" ht="15.75" customHeight="1">
      <c r="B1470" s="1" t="str">
        <f t="shared" si="1"/>
        <v/>
      </c>
      <c r="G1470" s="17"/>
      <c r="J1470" s="1" t="str">
        <f t="array" ref="J1470">IFERROR(INDEX('Исходник'!$1:$626,MATCH($I1470,'Исходник'!$T:$T,0),MATCH(J$1,'Исходник'!$1:$1,0)))</f>
        <v/>
      </c>
      <c r="K1470" s="7" t="str">
        <f t="shared" si="3"/>
        <v/>
      </c>
      <c r="L1470" s="1" t="str">
        <f>IF(I1470&gt;0,IF(TODAY()-K1470&lt;'Анализ'!$D$4+1,1,0),"")</f>
        <v/>
      </c>
    </row>
    <row r="1471" ht="15.75" customHeight="1">
      <c r="B1471" s="1" t="str">
        <f t="shared" si="1"/>
        <v/>
      </c>
      <c r="G1471" s="17"/>
      <c r="J1471" s="1" t="str">
        <f t="array" ref="J1471">IFERROR(INDEX('Исходник'!$1:$626,MATCH($I1471,'Исходник'!$T:$T,0),MATCH(J$1,'Исходник'!$1:$1,0)))</f>
        <v/>
      </c>
      <c r="K1471" s="7" t="str">
        <f t="shared" si="3"/>
        <v/>
      </c>
      <c r="L1471" s="1" t="str">
        <f>IF(I1471&gt;0,IF(TODAY()-K1471&lt;'Анализ'!$D$4+1,1,0),"")</f>
        <v/>
      </c>
    </row>
    <row r="1472" ht="15.75" customHeight="1">
      <c r="B1472" s="1" t="str">
        <f t="shared" si="1"/>
        <v/>
      </c>
      <c r="G1472" s="17"/>
      <c r="J1472" s="1" t="str">
        <f t="array" ref="J1472">IFERROR(INDEX('Исходник'!$1:$626,MATCH($I1472,'Исходник'!$T:$T,0),MATCH(J$1,'Исходник'!$1:$1,0)))</f>
        <v/>
      </c>
      <c r="K1472" s="7" t="str">
        <f t="shared" si="3"/>
        <v/>
      </c>
      <c r="L1472" s="1" t="str">
        <f>IF(I1472&gt;0,IF(TODAY()-K1472&lt;'Анализ'!$D$4+1,1,0),"")</f>
        <v/>
      </c>
    </row>
    <row r="1473" ht="15.75" customHeight="1">
      <c r="B1473" s="1" t="str">
        <f t="shared" si="1"/>
        <v/>
      </c>
      <c r="G1473" s="17"/>
      <c r="J1473" s="1" t="str">
        <f t="array" ref="J1473">IFERROR(INDEX('Исходник'!$1:$626,MATCH($I1473,'Исходник'!$T:$T,0),MATCH(J$1,'Исходник'!$1:$1,0)))</f>
        <v/>
      </c>
      <c r="K1473" s="7" t="str">
        <f t="shared" si="3"/>
        <v/>
      </c>
      <c r="L1473" s="1" t="str">
        <f>IF(I1473&gt;0,IF(TODAY()-K1473&lt;'Анализ'!$D$4+1,1,0),"")</f>
        <v/>
      </c>
    </row>
    <row r="1474" ht="15.75" customHeight="1">
      <c r="B1474" s="1" t="str">
        <f t="shared" si="1"/>
        <v/>
      </c>
      <c r="G1474" s="17"/>
      <c r="J1474" s="1" t="str">
        <f t="array" ref="J1474">IFERROR(INDEX('Исходник'!$1:$626,MATCH($I1474,'Исходник'!$T:$T,0),MATCH(J$1,'Исходник'!$1:$1,0)))</f>
        <v/>
      </c>
      <c r="K1474" s="7" t="str">
        <f t="shared" si="3"/>
        <v/>
      </c>
      <c r="L1474" s="1" t="str">
        <f>IF(I1474&gt;0,IF(TODAY()-K1474&lt;'Анализ'!$D$4+1,1,0),"")</f>
        <v/>
      </c>
    </row>
    <row r="1475" ht="15.75" customHeight="1">
      <c r="B1475" s="1" t="str">
        <f t="shared" si="1"/>
        <v/>
      </c>
      <c r="G1475" s="17"/>
      <c r="J1475" s="1" t="str">
        <f t="array" ref="J1475">IFERROR(INDEX('Исходник'!$1:$626,MATCH($I1475,'Исходник'!$T:$T,0),MATCH(J$1,'Исходник'!$1:$1,0)))</f>
        <v/>
      </c>
      <c r="K1475" s="7" t="str">
        <f t="shared" si="3"/>
        <v/>
      </c>
      <c r="L1475" s="1" t="str">
        <f>IF(I1475&gt;0,IF(TODAY()-K1475&lt;'Анализ'!$D$4+1,1,0),"")</f>
        <v/>
      </c>
    </row>
    <row r="1476" ht="15.75" customHeight="1">
      <c r="B1476" s="1" t="str">
        <f t="shared" si="1"/>
        <v/>
      </c>
      <c r="G1476" s="17"/>
      <c r="J1476" s="1" t="str">
        <f t="array" ref="J1476">IFERROR(INDEX('Исходник'!$1:$626,MATCH($I1476,'Исходник'!$T:$T,0),MATCH(J$1,'Исходник'!$1:$1,0)))</f>
        <v/>
      </c>
      <c r="K1476" s="7" t="str">
        <f t="shared" si="3"/>
        <v/>
      </c>
      <c r="L1476" s="1" t="str">
        <f>IF(I1476&gt;0,IF(TODAY()-K1476&lt;'Анализ'!$D$4+1,1,0),"")</f>
        <v/>
      </c>
    </row>
    <row r="1477" ht="15.75" customHeight="1">
      <c r="B1477" s="1" t="str">
        <f t="shared" si="1"/>
        <v/>
      </c>
      <c r="G1477" s="17"/>
      <c r="J1477" s="1" t="str">
        <f t="array" ref="J1477">IFERROR(INDEX('Исходник'!$1:$626,MATCH($I1477,'Исходник'!$T:$T,0),MATCH(J$1,'Исходник'!$1:$1,0)))</f>
        <v/>
      </c>
      <c r="K1477" s="7" t="str">
        <f t="shared" si="3"/>
        <v/>
      </c>
      <c r="L1477" s="1" t="str">
        <f>IF(I1477&gt;0,IF(TODAY()-K1477&lt;'Анализ'!$D$4+1,1,0),"")</f>
        <v/>
      </c>
    </row>
    <row r="1478" ht="15.75" customHeight="1">
      <c r="B1478" s="1" t="str">
        <f t="shared" si="1"/>
        <v/>
      </c>
      <c r="G1478" s="17"/>
      <c r="J1478" s="1" t="str">
        <f t="array" ref="J1478">IFERROR(INDEX('Исходник'!$1:$626,MATCH($I1478,'Исходник'!$T:$T,0),MATCH(J$1,'Исходник'!$1:$1,0)))</f>
        <v/>
      </c>
      <c r="K1478" s="7" t="str">
        <f t="shared" si="3"/>
        <v/>
      </c>
      <c r="L1478" s="1" t="str">
        <f>IF(I1478&gt;0,IF(TODAY()-K1478&lt;'Анализ'!$D$4+1,1,0),"")</f>
        <v/>
      </c>
    </row>
    <row r="1479" ht="15.75" customHeight="1">
      <c r="B1479" s="1" t="str">
        <f t="shared" si="1"/>
        <v/>
      </c>
      <c r="G1479" s="17"/>
      <c r="J1479" s="1" t="str">
        <f t="array" ref="J1479">IFERROR(INDEX('Исходник'!$1:$626,MATCH($I1479,'Исходник'!$T:$T,0),MATCH(J$1,'Исходник'!$1:$1,0)))</f>
        <v/>
      </c>
      <c r="K1479" s="7" t="str">
        <f t="shared" si="3"/>
        <v/>
      </c>
      <c r="L1479" s="1" t="str">
        <f>IF(I1479&gt;0,IF(TODAY()-K1479&lt;'Анализ'!$D$4+1,1,0),"")</f>
        <v/>
      </c>
    </row>
    <row r="1480" ht="15.75" customHeight="1">
      <c r="B1480" s="1" t="str">
        <f t="shared" si="1"/>
        <v/>
      </c>
      <c r="G1480" s="17"/>
      <c r="J1480" s="1" t="str">
        <f t="array" ref="J1480">IFERROR(INDEX('Исходник'!$1:$626,MATCH($I1480,'Исходник'!$T:$T,0),MATCH(J$1,'Исходник'!$1:$1,0)))</f>
        <v/>
      </c>
      <c r="K1480" s="7" t="str">
        <f t="shared" si="3"/>
        <v/>
      </c>
      <c r="L1480" s="1" t="str">
        <f>IF(I1480&gt;0,IF(TODAY()-K1480&lt;'Анализ'!$D$4+1,1,0),"")</f>
        <v/>
      </c>
    </row>
    <row r="1481" ht="15.75" customHeight="1">
      <c r="B1481" s="1" t="str">
        <f t="shared" si="1"/>
        <v/>
      </c>
      <c r="G1481" s="17"/>
      <c r="J1481" s="1" t="str">
        <f t="array" ref="J1481">IFERROR(INDEX('Исходник'!$1:$626,MATCH($I1481,'Исходник'!$T:$T,0),MATCH(J$1,'Исходник'!$1:$1,0)))</f>
        <v/>
      </c>
      <c r="K1481" s="7" t="str">
        <f t="shared" si="3"/>
        <v/>
      </c>
      <c r="L1481" s="1" t="str">
        <f>IF(I1481&gt;0,IF(TODAY()-K1481&lt;'Анализ'!$D$4+1,1,0),"")</f>
        <v/>
      </c>
    </row>
    <row r="1482" ht="15.75" customHeight="1">
      <c r="B1482" s="1" t="str">
        <f t="shared" si="1"/>
        <v/>
      </c>
      <c r="G1482" s="17"/>
      <c r="J1482" s="1" t="str">
        <f t="array" ref="J1482">IFERROR(INDEX('Исходник'!$1:$626,MATCH($I1482,'Исходник'!$T:$T,0),MATCH(J$1,'Исходник'!$1:$1,0)))</f>
        <v/>
      </c>
      <c r="K1482" s="7" t="str">
        <f t="shared" si="3"/>
        <v/>
      </c>
      <c r="L1482" s="1" t="str">
        <f>IF(I1482&gt;0,IF(TODAY()-K1482&lt;'Анализ'!$D$4+1,1,0),"")</f>
        <v/>
      </c>
    </row>
    <row r="1483" ht="15.75" customHeight="1">
      <c r="B1483" s="1" t="str">
        <f t="shared" si="1"/>
        <v/>
      </c>
      <c r="G1483" s="17"/>
      <c r="J1483" s="1" t="str">
        <f t="array" ref="J1483">IFERROR(INDEX('Исходник'!$1:$626,MATCH($I1483,'Исходник'!$T:$T,0),MATCH(J$1,'Исходник'!$1:$1,0)))</f>
        <v/>
      </c>
      <c r="K1483" s="7" t="str">
        <f t="shared" si="3"/>
        <v/>
      </c>
      <c r="L1483" s="1" t="str">
        <f>IF(I1483&gt;0,IF(TODAY()-K1483&lt;'Анализ'!$D$4+1,1,0),"")</f>
        <v/>
      </c>
    </row>
    <row r="1484" ht="15.75" customHeight="1">
      <c r="B1484" s="1" t="str">
        <f t="shared" si="1"/>
        <v/>
      </c>
      <c r="G1484" s="17"/>
      <c r="J1484" s="1" t="str">
        <f t="array" ref="J1484">IFERROR(INDEX('Исходник'!$1:$626,MATCH($I1484,'Исходник'!$T:$T,0),MATCH(J$1,'Исходник'!$1:$1,0)))</f>
        <v/>
      </c>
      <c r="K1484" s="7" t="str">
        <f t="shared" si="3"/>
        <v/>
      </c>
      <c r="L1484" s="1" t="str">
        <f>IF(I1484&gt;0,IF(TODAY()-K1484&lt;'Анализ'!$D$4+1,1,0),"")</f>
        <v/>
      </c>
    </row>
    <row r="1485" ht="15.75" customHeight="1">
      <c r="B1485" s="1" t="str">
        <f t="shared" si="1"/>
        <v/>
      </c>
      <c r="G1485" s="17"/>
      <c r="J1485" s="1" t="str">
        <f t="array" ref="J1485">IFERROR(INDEX('Исходник'!$1:$626,MATCH($I1485,'Исходник'!$T:$T,0),MATCH(J$1,'Исходник'!$1:$1,0)))</f>
        <v/>
      </c>
      <c r="K1485" s="7" t="str">
        <f t="shared" si="3"/>
        <v/>
      </c>
      <c r="L1485" s="1" t="str">
        <f>IF(I1485&gt;0,IF(TODAY()-K1485&lt;'Анализ'!$D$4+1,1,0),"")</f>
        <v/>
      </c>
    </row>
    <row r="1486" ht="15.75" customHeight="1">
      <c r="B1486" s="1" t="str">
        <f t="shared" si="1"/>
        <v/>
      </c>
      <c r="G1486" s="17"/>
      <c r="J1486" s="1" t="str">
        <f t="array" ref="J1486">IFERROR(INDEX('Исходник'!$1:$626,MATCH($I1486,'Исходник'!$T:$T,0),MATCH(J$1,'Исходник'!$1:$1,0)))</f>
        <v/>
      </c>
      <c r="K1486" s="7" t="str">
        <f t="shared" si="3"/>
        <v/>
      </c>
      <c r="L1486" s="1" t="str">
        <f>IF(I1486&gt;0,IF(TODAY()-K1486&lt;'Анализ'!$D$4+1,1,0),"")</f>
        <v/>
      </c>
    </row>
    <row r="1487" ht="15.75" customHeight="1">
      <c r="B1487" s="1" t="str">
        <f t="shared" si="1"/>
        <v/>
      </c>
      <c r="G1487" s="17"/>
      <c r="J1487" s="1" t="str">
        <f t="array" ref="J1487">IFERROR(INDEX('Исходник'!$1:$626,MATCH($I1487,'Исходник'!$T:$T,0),MATCH(J$1,'Исходник'!$1:$1,0)))</f>
        <v/>
      </c>
      <c r="K1487" s="7" t="str">
        <f t="shared" si="3"/>
        <v/>
      </c>
      <c r="L1487" s="1" t="str">
        <f>IF(I1487&gt;0,IF(TODAY()-K1487&lt;'Анализ'!$D$4+1,1,0),"")</f>
        <v/>
      </c>
    </row>
    <row r="1488" ht="15.75" customHeight="1">
      <c r="B1488" s="1" t="str">
        <f t="shared" si="1"/>
        <v/>
      </c>
      <c r="G1488" s="17"/>
      <c r="J1488" s="1" t="str">
        <f t="array" ref="J1488">IFERROR(INDEX('Исходник'!$1:$626,MATCH($I1488,'Исходник'!$T:$T,0),MATCH(J$1,'Исходник'!$1:$1,0)))</f>
        <v/>
      </c>
      <c r="K1488" s="7" t="str">
        <f t="shared" si="3"/>
        <v/>
      </c>
      <c r="L1488" s="1" t="str">
        <f>IF(I1488&gt;0,IF(TODAY()-K1488&lt;'Анализ'!$D$4+1,1,0),"")</f>
        <v/>
      </c>
    </row>
    <row r="1489" ht="15.75" customHeight="1">
      <c r="B1489" s="1" t="str">
        <f t="shared" si="1"/>
        <v/>
      </c>
      <c r="G1489" s="17"/>
      <c r="J1489" s="1" t="str">
        <f t="array" ref="J1489">IFERROR(INDEX('Исходник'!$1:$626,MATCH($I1489,'Исходник'!$T:$T,0),MATCH(J$1,'Исходник'!$1:$1,0)))</f>
        <v/>
      </c>
      <c r="K1489" s="7" t="str">
        <f t="shared" si="3"/>
        <v/>
      </c>
      <c r="L1489" s="1" t="str">
        <f>IF(I1489&gt;0,IF(TODAY()-K1489&lt;'Анализ'!$D$4+1,1,0),"")</f>
        <v/>
      </c>
    </row>
    <row r="1490" ht="15.75" customHeight="1">
      <c r="B1490" s="1" t="str">
        <f t="shared" si="1"/>
        <v/>
      </c>
      <c r="G1490" s="17"/>
      <c r="J1490" s="1" t="str">
        <f t="array" ref="J1490">IFERROR(INDEX('Исходник'!$1:$626,MATCH($I1490,'Исходник'!$T:$T,0),MATCH(J$1,'Исходник'!$1:$1,0)))</f>
        <v/>
      </c>
      <c r="K1490" s="7" t="str">
        <f t="shared" si="3"/>
        <v/>
      </c>
      <c r="L1490" s="1" t="str">
        <f>IF(I1490&gt;0,IF(TODAY()-K1490&lt;'Анализ'!$D$4+1,1,0),"")</f>
        <v/>
      </c>
    </row>
    <row r="1491" ht="15.75" customHeight="1">
      <c r="B1491" s="1" t="str">
        <f t="shared" si="1"/>
        <v/>
      </c>
      <c r="G1491" s="17"/>
      <c r="J1491" s="1" t="str">
        <f t="array" ref="J1491">IFERROR(INDEX('Исходник'!$1:$626,MATCH($I1491,'Исходник'!$T:$T,0),MATCH(J$1,'Исходник'!$1:$1,0)))</f>
        <v/>
      </c>
      <c r="K1491" s="7" t="str">
        <f t="shared" si="3"/>
        <v/>
      </c>
      <c r="L1491" s="1" t="str">
        <f>IF(I1491&gt;0,IF(TODAY()-K1491&lt;'Анализ'!$D$4+1,1,0),"")</f>
        <v/>
      </c>
    </row>
    <row r="1492" ht="15.75" customHeight="1">
      <c r="B1492" s="1" t="str">
        <f t="shared" si="1"/>
        <v/>
      </c>
      <c r="G1492" s="17"/>
      <c r="J1492" s="1" t="str">
        <f t="array" ref="J1492">IFERROR(INDEX('Исходник'!$1:$626,MATCH($I1492,'Исходник'!$T:$T,0),MATCH(J$1,'Исходник'!$1:$1,0)))</f>
        <v/>
      </c>
      <c r="K1492" s="7" t="str">
        <f t="shared" si="3"/>
        <v/>
      </c>
      <c r="L1492" s="1" t="str">
        <f>IF(I1492&gt;0,IF(TODAY()-K1492&lt;'Анализ'!$D$4+1,1,0),"")</f>
        <v/>
      </c>
    </row>
    <row r="1493" ht="15.75" customHeight="1">
      <c r="B1493" s="1" t="str">
        <f t="shared" si="1"/>
        <v/>
      </c>
      <c r="G1493" s="17"/>
      <c r="J1493" s="1" t="str">
        <f t="array" ref="J1493">IFERROR(INDEX('Исходник'!$1:$626,MATCH($I1493,'Исходник'!$T:$T,0),MATCH(J$1,'Исходник'!$1:$1,0)))</f>
        <v/>
      </c>
      <c r="K1493" s="7" t="str">
        <f t="shared" si="3"/>
        <v/>
      </c>
      <c r="L1493" s="1" t="str">
        <f>IF(I1493&gt;0,IF(TODAY()-K1493&lt;'Анализ'!$D$4+1,1,0),"")</f>
        <v/>
      </c>
    </row>
    <row r="1494" ht="15.75" customHeight="1">
      <c r="B1494" s="1" t="str">
        <f t="shared" si="1"/>
        <v/>
      </c>
      <c r="G1494" s="17"/>
      <c r="J1494" s="1" t="str">
        <f t="array" ref="J1494">IFERROR(INDEX('Исходник'!$1:$626,MATCH($I1494,'Исходник'!$T:$T,0),MATCH(J$1,'Исходник'!$1:$1,0)))</f>
        <v/>
      </c>
      <c r="K1494" s="7" t="str">
        <f t="shared" si="3"/>
        <v/>
      </c>
      <c r="L1494" s="1" t="str">
        <f>IF(I1494&gt;0,IF(TODAY()-K1494&lt;'Анализ'!$D$4+1,1,0),"")</f>
        <v/>
      </c>
    </row>
    <row r="1495" ht="15.75" customHeight="1">
      <c r="B1495" s="1" t="str">
        <f t="shared" si="1"/>
        <v/>
      </c>
      <c r="G1495" s="17"/>
      <c r="J1495" s="1" t="str">
        <f t="array" ref="J1495">IFERROR(INDEX('Исходник'!$1:$626,MATCH($I1495,'Исходник'!$T:$T,0),MATCH(J$1,'Исходник'!$1:$1,0)))</f>
        <v/>
      </c>
      <c r="K1495" s="7" t="str">
        <f t="shared" si="3"/>
        <v/>
      </c>
      <c r="L1495" s="1" t="str">
        <f>IF(I1495&gt;0,IF(TODAY()-K1495&lt;'Анализ'!$D$4+1,1,0),"")</f>
        <v/>
      </c>
    </row>
    <row r="1496" ht="15.75" customHeight="1">
      <c r="B1496" s="1" t="str">
        <f t="shared" si="1"/>
        <v/>
      </c>
      <c r="G1496" s="17"/>
      <c r="J1496" s="1" t="str">
        <f t="array" ref="J1496">IFERROR(INDEX('Исходник'!$1:$626,MATCH($I1496,'Исходник'!$T:$T,0),MATCH(J$1,'Исходник'!$1:$1,0)))</f>
        <v/>
      </c>
      <c r="K1496" s="7" t="str">
        <f t="shared" si="3"/>
        <v/>
      </c>
      <c r="L1496" s="1" t="str">
        <f>IF(I1496&gt;0,IF(TODAY()-K1496&lt;'Анализ'!$D$4+1,1,0),"")</f>
        <v/>
      </c>
    </row>
    <row r="1497" ht="15.75" customHeight="1">
      <c r="B1497" s="1" t="str">
        <f t="shared" si="1"/>
        <v/>
      </c>
      <c r="G1497" s="17"/>
      <c r="J1497" s="1" t="str">
        <f t="array" ref="J1497">IFERROR(INDEX('Исходник'!$1:$626,MATCH($I1497,'Исходник'!$T:$T,0),MATCH(J$1,'Исходник'!$1:$1,0)))</f>
        <v/>
      </c>
      <c r="K1497" s="7" t="str">
        <f t="shared" si="3"/>
        <v/>
      </c>
      <c r="L1497" s="1" t="str">
        <f>IF(I1497&gt;0,IF(TODAY()-K1497&lt;'Анализ'!$D$4+1,1,0),"")</f>
        <v/>
      </c>
    </row>
    <row r="1498" ht="15.75" customHeight="1">
      <c r="B1498" s="1" t="str">
        <f t="shared" si="1"/>
        <v/>
      </c>
      <c r="G1498" s="17"/>
      <c r="J1498" s="1" t="str">
        <f t="array" ref="J1498">IFERROR(INDEX('Исходник'!$1:$626,MATCH($I1498,'Исходник'!$T:$T,0),MATCH(J$1,'Исходник'!$1:$1,0)))</f>
        <v/>
      </c>
      <c r="K1498" s="7" t="str">
        <f t="shared" si="3"/>
        <v/>
      </c>
      <c r="L1498" s="1" t="str">
        <f>IF(I1498&gt;0,IF(TODAY()-K1498&lt;'Анализ'!$D$4+1,1,0),"")</f>
        <v/>
      </c>
    </row>
    <row r="1499" ht="15.75" customHeight="1">
      <c r="B1499" s="1" t="str">
        <f t="shared" si="1"/>
        <v/>
      </c>
      <c r="G1499" s="17"/>
      <c r="J1499" s="1" t="str">
        <f t="array" ref="J1499">IFERROR(INDEX('Исходник'!$1:$626,MATCH($I1499,'Исходник'!$T:$T,0),MATCH(J$1,'Исходник'!$1:$1,0)))</f>
        <v/>
      </c>
      <c r="K1499" s="7" t="str">
        <f t="shared" si="3"/>
        <v/>
      </c>
      <c r="L1499" s="1" t="str">
        <f>IF(I1499&gt;0,IF(TODAY()-K1499&lt;'Анализ'!$D$4+1,1,0),"")</f>
        <v/>
      </c>
    </row>
    <row r="1500" ht="15.75" customHeight="1">
      <c r="B1500" s="1" t="str">
        <f t="shared" si="1"/>
        <v/>
      </c>
      <c r="G1500" s="17"/>
      <c r="J1500" s="1" t="str">
        <f t="array" ref="J1500">IFERROR(INDEX('Исходник'!$1:$626,MATCH($I1500,'Исходник'!$T:$T,0),MATCH(J$1,'Исходник'!$1:$1,0)))</f>
        <v/>
      </c>
      <c r="K1500" s="7" t="str">
        <f t="shared" si="3"/>
        <v/>
      </c>
      <c r="L1500" s="1" t="str">
        <f>IF(I1500&gt;0,IF(TODAY()-K1500&lt;'Анализ'!$D$4+1,1,0),"")</f>
        <v/>
      </c>
    </row>
    <row r="1501" ht="15.75" customHeight="1">
      <c r="B1501" s="1" t="str">
        <f t="shared" si="1"/>
        <v/>
      </c>
      <c r="G1501" s="17"/>
      <c r="J1501" s="1" t="str">
        <f t="array" ref="J1501">IFERROR(INDEX('Исходник'!$1:$626,MATCH($I1501,'Исходник'!$T:$T,0),MATCH(J$1,'Исходник'!$1:$1,0)))</f>
        <v/>
      </c>
      <c r="K1501" s="7" t="str">
        <f t="shared" si="3"/>
        <v/>
      </c>
      <c r="L1501" s="1" t="str">
        <f>IF(I1501&gt;0,IF(TODAY()-K1501&lt;'Анализ'!$D$4+1,1,0),"")</f>
        <v/>
      </c>
    </row>
    <row r="1502" ht="15.75" customHeight="1">
      <c r="B1502" s="1" t="str">
        <f t="shared" si="1"/>
        <v/>
      </c>
      <c r="G1502" s="17"/>
      <c r="J1502" s="1" t="str">
        <f t="array" ref="J1502">IFERROR(INDEX('Исходник'!$1:$626,MATCH($I1502,'Исходник'!$T:$T,0),MATCH(J$1,'Исходник'!$1:$1,0)))</f>
        <v/>
      </c>
      <c r="K1502" s="7" t="str">
        <f t="shared" si="3"/>
        <v/>
      </c>
      <c r="L1502" s="1" t="str">
        <f>IF(I1502&gt;0,IF(TODAY()-K1502&lt;'Анализ'!$D$4+1,1,0),"")</f>
        <v/>
      </c>
    </row>
    <row r="1503" ht="15.75" customHeight="1">
      <c r="B1503" s="1" t="str">
        <f t="shared" si="1"/>
        <v/>
      </c>
      <c r="G1503" s="17"/>
      <c r="J1503" s="1" t="str">
        <f t="array" ref="J1503">IFERROR(INDEX('Исходник'!$1:$626,MATCH($I1503,'Исходник'!$T:$T,0),MATCH(J$1,'Исходник'!$1:$1,0)))</f>
        <v/>
      </c>
      <c r="K1503" s="7" t="str">
        <f t="shared" si="3"/>
        <v/>
      </c>
      <c r="L1503" s="1" t="str">
        <f>IF(I1503&gt;0,IF(TODAY()-K1503&lt;'Анализ'!$D$4+1,1,0),"")</f>
        <v/>
      </c>
    </row>
    <row r="1504" ht="15.75" customHeight="1">
      <c r="B1504" s="1" t="str">
        <f t="shared" si="1"/>
        <v/>
      </c>
      <c r="G1504" s="17"/>
      <c r="J1504" s="1" t="str">
        <f t="array" ref="J1504">IFERROR(INDEX('Исходник'!$1:$626,MATCH($I1504,'Исходник'!$T:$T,0),MATCH(J$1,'Исходник'!$1:$1,0)))</f>
        <v/>
      </c>
      <c r="K1504" s="7" t="str">
        <f t="shared" si="3"/>
        <v/>
      </c>
      <c r="L1504" s="1" t="str">
        <f>IF(I1504&gt;0,IF(TODAY()-K1504&lt;'Анализ'!$D$4+1,1,0),"")</f>
        <v/>
      </c>
    </row>
    <row r="1505" ht="15.75" customHeight="1">
      <c r="B1505" s="1" t="str">
        <f t="shared" si="1"/>
        <v/>
      </c>
      <c r="G1505" s="17"/>
      <c r="J1505" s="1" t="str">
        <f t="array" ref="J1505">IFERROR(INDEX('Исходник'!$1:$626,MATCH($I1505,'Исходник'!$T:$T,0),MATCH(J$1,'Исходник'!$1:$1,0)))</f>
        <v/>
      </c>
      <c r="K1505" s="7" t="str">
        <f t="shared" si="3"/>
        <v/>
      </c>
      <c r="L1505" s="1" t="str">
        <f>IF(I1505&gt;0,IF(TODAY()-K1505&lt;'Анализ'!$D$4+1,1,0),"")</f>
        <v/>
      </c>
    </row>
    <row r="1506" ht="15.75" customHeight="1">
      <c r="B1506" s="1" t="str">
        <f t="shared" si="1"/>
        <v/>
      </c>
      <c r="G1506" s="17"/>
      <c r="J1506" s="1" t="str">
        <f t="array" ref="J1506">IFERROR(INDEX('Исходник'!$1:$626,MATCH($I1506,'Исходник'!$T:$T,0),MATCH(J$1,'Исходник'!$1:$1,0)))</f>
        <v/>
      </c>
      <c r="K1506" s="7" t="str">
        <f t="shared" si="3"/>
        <v/>
      </c>
      <c r="L1506" s="1" t="str">
        <f>IF(I1506&gt;0,IF(TODAY()-K1506&lt;'Анализ'!$D$4+1,1,0),"")</f>
        <v/>
      </c>
    </row>
    <row r="1507" ht="15.75" customHeight="1">
      <c r="B1507" s="1" t="str">
        <f t="shared" si="1"/>
        <v/>
      </c>
      <c r="G1507" s="17"/>
      <c r="J1507" s="1" t="str">
        <f t="array" ref="J1507">IFERROR(INDEX('Исходник'!$1:$626,MATCH($I1507,'Исходник'!$T:$T,0),MATCH(J$1,'Исходник'!$1:$1,0)))</f>
        <v/>
      </c>
      <c r="K1507" s="7" t="str">
        <f t="shared" si="3"/>
        <v/>
      </c>
      <c r="L1507" s="1" t="str">
        <f>IF(I1507&gt;0,IF(TODAY()-K1507&lt;'Анализ'!$D$4+1,1,0),"")</f>
        <v/>
      </c>
    </row>
    <row r="1508" ht="15.75" customHeight="1">
      <c r="B1508" s="1" t="str">
        <f t="shared" si="1"/>
        <v/>
      </c>
      <c r="G1508" s="17"/>
      <c r="J1508" s="1" t="str">
        <f t="array" ref="J1508">IFERROR(INDEX('Исходник'!$1:$626,MATCH($I1508,'Исходник'!$T:$T,0),MATCH(J$1,'Исходник'!$1:$1,0)))</f>
        <v/>
      </c>
      <c r="K1508" s="7" t="str">
        <f t="shared" si="3"/>
        <v/>
      </c>
      <c r="L1508" s="1" t="str">
        <f>IF(I1508&gt;0,IF(TODAY()-K1508&lt;'Анализ'!$D$4+1,1,0),"")</f>
        <v/>
      </c>
    </row>
    <row r="1509" ht="15.75" customHeight="1">
      <c r="B1509" s="1" t="str">
        <f t="shared" si="1"/>
        <v/>
      </c>
      <c r="G1509" s="17"/>
      <c r="J1509" s="1" t="str">
        <f t="array" ref="J1509">IFERROR(INDEX('Исходник'!$1:$626,MATCH($I1509,'Исходник'!$T:$T,0),MATCH(J$1,'Исходник'!$1:$1,0)))</f>
        <v/>
      </c>
      <c r="K1509" s="7" t="str">
        <f t="shared" si="3"/>
        <v/>
      </c>
      <c r="L1509" s="1" t="str">
        <f>IF(I1509&gt;0,IF(TODAY()-K1509&lt;'Анализ'!$D$4+1,1,0),"")</f>
        <v/>
      </c>
    </row>
    <row r="1510" ht="15.75" customHeight="1">
      <c r="B1510" s="1" t="str">
        <f t="shared" si="1"/>
        <v/>
      </c>
      <c r="G1510" s="17"/>
      <c r="J1510" s="1" t="str">
        <f t="array" ref="J1510">IFERROR(INDEX('Исходник'!$1:$626,MATCH($I1510,'Исходник'!$T:$T,0),MATCH(J$1,'Исходник'!$1:$1,0)))</f>
        <v/>
      </c>
      <c r="K1510" s="7" t="str">
        <f t="shared" si="3"/>
        <v/>
      </c>
      <c r="L1510" s="1" t="str">
        <f>IF(I1510&gt;0,IF(TODAY()-K1510&lt;'Анализ'!$D$4+1,1,0),"")</f>
        <v/>
      </c>
    </row>
    <row r="1511" ht="15.75" customHeight="1">
      <c r="B1511" s="1" t="str">
        <f t="shared" si="1"/>
        <v/>
      </c>
      <c r="G1511" s="17"/>
      <c r="J1511" s="1" t="str">
        <f t="array" ref="J1511">IFERROR(INDEX('Исходник'!$1:$626,MATCH($I1511,'Исходник'!$T:$T,0),MATCH(J$1,'Исходник'!$1:$1,0)))</f>
        <v/>
      </c>
      <c r="K1511" s="7" t="str">
        <f t="shared" si="3"/>
        <v/>
      </c>
      <c r="L1511" s="1" t="str">
        <f>IF(I1511&gt;0,IF(TODAY()-K1511&lt;'Анализ'!$D$4+1,1,0),"")</f>
        <v/>
      </c>
    </row>
    <row r="1512" ht="15.75" customHeight="1">
      <c r="B1512" s="1" t="str">
        <f t="shared" si="1"/>
        <v/>
      </c>
      <c r="G1512" s="17"/>
      <c r="J1512" s="1" t="str">
        <f t="array" ref="J1512">IFERROR(INDEX('Исходник'!$1:$626,MATCH($I1512,'Исходник'!$T:$T,0),MATCH(J$1,'Исходник'!$1:$1,0)))</f>
        <v/>
      </c>
      <c r="K1512" s="7" t="str">
        <f t="shared" si="3"/>
        <v/>
      </c>
      <c r="L1512" s="1" t="str">
        <f>IF(I1512&gt;0,IF(TODAY()-K1512&lt;'Анализ'!$D$4+1,1,0),"")</f>
        <v/>
      </c>
    </row>
    <row r="1513" ht="15.75" customHeight="1">
      <c r="B1513" s="1" t="str">
        <f t="shared" si="1"/>
        <v/>
      </c>
      <c r="G1513" s="17"/>
      <c r="J1513" s="1" t="str">
        <f t="array" ref="J1513">IFERROR(INDEX('Исходник'!$1:$626,MATCH($I1513,'Исходник'!$T:$T,0),MATCH(J$1,'Исходник'!$1:$1,0)))</f>
        <v/>
      </c>
      <c r="K1513" s="7" t="str">
        <f t="shared" si="3"/>
        <v/>
      </c>
      <c r="L1513" s="1" t="str">
        <f>IF(I1513&gt;0,IF(TODAY()-K1513&lt;'Анализ'!$D$4+1,1,0),"")</f>
        <v/>
      </c>
    </row>
    <row r="1514" ht="15.75" customHeight="1">
      <c r="B1514" s="1" t="str">
        <f t="shared" si="1"/>
        <v/>
      </c>
      <c r="G1514" s="17"/>
      <c r="J1514" s="1" t="str">
        <f t="array" ref="J1514">IFERROR(INDEX('Исходник'!$1:$626,MATCH($I1514,'Исходник'!$T:$T,0),MATCH(J$1,'Исходник'!$1:$1,0)))</f>
        <v/>
      </c>
      <c r="K1514" s="7" t="str">
        <f t="shared" si="3"/>
        <v/>
      </c>
      <c r="L1514" s="1" t="str">
        <f>IF(I1514&gt;0,IF(TODAY()-K1514&lt;'Анализ'!$D$4+1,1,0),"")</f>
        <v/>
      </c>
    </row>
    <row r="1515" ht="15.75" customHeight="1">
      <c r="B1515" s="1" t="str">
        <f t="shared" si="1"/>
        <v/>
      </c>
      <c r="G1515" s="17"/>
      <c r="J1515" s="1" t="str">
        <f t="array" ref="J1515">IFERROR(INDEX('Исходник'!$1:$626,MATCH($I1515,'Исходник'!$T:$T,0),MATCH(J$1,'Исходник'!$1:$1,0)))</f>
        <v/>
      </c>
      <c r="K1515" s="7" t="str">
        <f t="shared" si="3"/>
        <v/>
      </c>
      <c r="L1515" s="1" t="str">
        <f>IF(I1515&gt;0,IF(TODAY()-K1515&lt;'Анализ'!$D$4+1,1,0),"")</f>
        <v/>
      </c>
    </row>
    <row r="1516" ht="15.75" customHeight="1">
      <c r="B1516" s="1" t="str">
        <f t="shared" si="1"/>
        <v/>
      </c>
      <c r="G1516" s="17"/>
      <c r="J1516" s="1" t="str">
        <f t="array" ref="J1516">IFERROR(INDEX('Исходник'!$1:$626,MATCH($I1516,'Исходник'!$T:$T,0),MATCH(J$1,'Исходник'!$1:$1,0)))</f>
        <v/>
      </c>
      <c r="K1516" s="7" t="str">
        <f t="shared" si="3"/>
        <v/>
      </c>
      <c r="L1516" s="1" t="str">
        <f>IF(I1516&gt;0,IF(TODAY()-K1516&lt;'Анализ'!$D$4+1,1,0),"")</f>
        <v/>
      </c>
    </row>
    <row r="1517" ht="15.75" customHeight="1">
      <c r="B1517" s="1" t="str">
        <f t="shared" si="1"/>
        <v/>
      </c>
      <c r="G1517" s="17"/>
      <c r="J1517" s="1" t="str">
        <f t="array" ref="J1517">IFERROR(INDEX('Исходник'!$1:$626,MATCH($I1517,'Исходник'!$T:$T,0),MATCH(J$1,'Исходник'!$1:$1,0)))</f>
        <v/>
      </c>
      <c r="K1517" s="7" t="str">
        <f t="shared" si="3"/>
        <v/>
      </c>
      <c r="L1517" s="1" t="str">
        <f>IF(I1517&gt;0,IF(TODAY()-K1517&lt;'Анализ'!$D$4+1,1,0),"")</f>
        <v/>
      </c>
    </row>
    <row r="1518" ht="15.75" customHeight="1">
      <c r="B1518" s="1" t="str">
        <f t="shared" si="1"/>
        <v/>
      </c>
      <c r="G1518" s="17"/>
      <c r="J1518" s="1" t="str">
        <f t="array" ref="J1518">IFERROR(INDEX('Исходник'!$1:$626,MATCH($I1518,'Исходник'!$T:$T,0),MATCH(J$1,'Исходник'!$1:$1,0)))</f>
        <v/>
      </c>
      <c r="K1518" s="7" t="str">
        <f t="shared" si="3"/>
        <v/>
      </c>
      <c r="L1518" s="1" t="str">
        <f>IF(I1518&gt;0,IF(TODAY()-K1518&lt;'Анализ'!$D$4+1,1,0),"")</f>
        <v/>
      </c>
    </row>
    <row r="1519" ht="15.75" customHeight="1">
      <c r="B1519" s="1" t="str">
        <f t="shared" si="1"/>
        <v/>
      </c>
      <c r="G1519" s="17"/>
      <c r="J1519" s="1" t="str">
        <f t="array" ref="J1519">IFERROR(INDEX('Исходник'!$1:$626,MATCH($I1519,'Исходник'!$T:$T,0),MATCH(J$1,'Исходник'!$1:$1,0)))</f>
        <v/>
      </c>
      <c r="K1519" s="7" t="str">
        <f t="shared" si="3"/>
        <v/>
      </c>
      <c r="L1519" s="1" t="str">
        <f>IF(I1519&gt;0,IF(TODAY()-K1519&lt;'Анализ'!$D$4+1,1,0),"")</f>
        <v/>
      </c>
    </row>
    <row r="1520" ht="15.75" customHeight="1">
      <c r="B1520" s="1" t="str">
        <f t="shared" si="1"/>
        <v/>
      </c>
      <c r="G1520" s="17"/>
      <c r="J1520" s="1" t="str">
        <f t="array" ref="J1520">IFERROR(INDEX('Исходник'!$1:$626,MATCH($I1520,'Исходник'!$T:$T,0),MATCH(J$1,'Исходник'!$1:$1,0)))</f>
        <v/>
      </c>
      <c r="K1520" s="7" t="str">
        <f t="shared" si="3"/>
        <v/>
      </c>
      <c r="L1520" s="1" t="str">
        <f>IF(I1520&gt;0,IF(TODAY()-K1520&lt;'Анализ'!$D$4+1,1,0),"")</f>
        <v/>
      </c>
    </row>
    <row r="1521" ht="15.75" customHeight="1">
      <c r="B1521" s="1" t="str">
        <f t="shared" si="1"/>
        <v/>
      </c>
      <c r="G1521" s="17"/>
      <c r="J1521" s="1" t="str">
        <f t="array" ref="J1521">IFERROR(INDEX('Исходник'!$1:$626,MATCH($I1521,'Исходник'!$T:$T,0),MATCH(J$1,'Исходник'!$1:$1,0)))</f>
        <v/>
      </c>
      <c r="K1521" s="7" t="str">
        <f t="shared" si="3"/>
        <v/>
      </c>
      <c r="L1521" s="1" t="str">
        <f>IF(I1521&gt;0,IF(TODAY()-K1521&lt;'Анализ'!$D$4+1,1,0),"")</f>
        <v/>
      </c>
    </row>
    <row r="1522" ht="15.75" customHeight="1">
      <c r="B1522" s="1" t="str">
        <f t="shared" si="1"/>
        <v/>
      </c>
      <c r="G1522" s="17"/>
      <c r="J1522" s="1" t="str">
        <f t="array" ref="J1522">IFERROR(INDEX('Исходник'!$1:$626,MATCH($I1522,'Исходник'!$T:$T,0),MATCH(J$1,'Исходник'!$1:$1,0)))</f>
        <v/>
      </c>
      <c r="K1522" s="7" t="str">
        <f t="shared" si="3"/>
        <v/>
      </c>
      <c r="L1522" s="1" t="str">
        <f>IF(I1522&gt;0,IF(TODAY()-K1522&lt;'Анализ'!$D$4+1,1,0),"")</f>
        <v/>
      </c>
    </row>
    <row r="1523" ht="15.75" customHeight="1">
      <c r="B1523" s="1" t="str">
        <f t="shared" si="1"/>
        <v/>
      </c>
      <c r="G1523" s="17"/>
      <c r="J1523" s="1" t="str">
        <f t="array" ref="J1523">IFERROR(INDEX('Исходник'!$1:$626,MATCH($I1523,'Исходник'!$T:$T,0),MATCH(J$1,'Исходник'!$1:$1,0)))</f>
        <v/>
      </c>
      <c r="K1523" s="7" t="str">
        <f t="shared" si="3"/>
        <v/>
      </c>
      <c r="L1523" s="1" t="str">
        <f>IF(I1523&gt;0,IF(TODAY()-K1523&lt;'Анализ'!$D$4+1,1,0),"")</f>
        <v/>
      </c>
    </row>
    <row r="1524" ht="15.75" customHeight="1">
      <c r="B1524" s="1" t="str">
        <f t="shared" si="1"/>
        <v/>
      </c>
      <c r="G1524" s="17"/>
      <c r="J1524" s="1" t="str">
        <f t="array" ref="J1524">IFERROR(INDEX('Исходник'!$1:$626,MATCH($I1524,'Исходник'!$T:$T,0),MATCH(J$1,'Исходник'!$1:$1,0)))</f>
        <v/>
      </c>
      <c r="K1524" s="7" t="str">
        <f t="shared" si="3"/>
        <v/>
      </c>
      <c r="L1524" s="1" t="str">
        <f>IF(I1524&gt;0,IF(TODAY()-K1524&lt;'Анализ'!$D$4+1,1,0),"")</f>
        <v/>
      </c>
    </row>
    <row r="1525" ht="15.75" customHeight="1">
      <c r="B1525" s="1" t="str">
        <f t="shared" si="1"/>
        <v/>
      </c>
      <c r="G1525" s="17"/>
      <c r="J1525" s="1" t="str">
        <f t="array" ref="J1525">IFERROR(INDEX('Исходник'!$1:$626,MATCH($I1525,'Исходник'!$T:$T,0),MATCH(J$1,'Исходник'!$1:$1,0)))</f>
        <v/>
      </c>
      <c r="K1525" s="7" t="str">
        <f t="shared" si="3"/>
        <v/>
      </c>
      <c r="L1525" s="1" t="str">
        <f>IF(I1525&gt;0,IF(TODAY()-K1525&lt;'Анализ'!$D$4+1,1,0),"")</f>
        <v/>
      </c>
    </row>
    <row r="1526" ht="15.75" customHeight="1">
      <c r="B1526" s="1" t="str">
        <f t="shared" si="1"/>
        <v/>
      </c>
      <c r="G1526" s="17"/>
      <c r="J1526" s="1" t="str">
        <f t="array" ref="J1526">IFERROR(INDEX('Исходник'!$1:$626,MATCH($I1526,'Исходник'!$T:$T,0),MATCH(J$1,'Исходник'!$1:$1,0)))</f>
        <v/>
      </c>
      <c r="K1526" s="7" t="str">
        <f t="shared" si="3"/>
        <v/>
      </c>
      <c r="L1526" s="1" t="str">
        <f>IF(I1526&gt;0,IF(TODAY()-K1526&lt;'Анализ'!$D$4+1,1,0),"")</f>
        <v/>
      </c>
    </row>
    <row r="1527" ht="15.75" customHeight="1">
      <c r="B1527" s="1" t="str">
        <f t="shared" si="1"/>
        <v/>
      </c>
      <c r="G1527" s="17"/>
      <c r="J1527" s="1" t="str">
        <f t="array" ref="J1527">IFERROR(INDEX('Исходник'!$1:$626,MATCH($I1527,'Исходник'!$T:$T,0),MATCH(J$1,'Исходник'!$1:$1,0)))</f>
        <v/>
      </c>
      <c r="K1527" s="7" t="str">
        <f t="shared" si="3"/>
        <v/>
      </c>
      <c r="L1527" s="1" t="str">
        <f>IF(I1527&gt;0,IF(TODAY()-K1527&lt;'Анализ'!$D$4+1,1,0),"")</f>
        <v/>
      </c>
    </row>
    <row r="1528" ht="15.75" customHeight="1">
      <c r="B1528" s="1" t="str">
        <f t="shared" si="1"/>
        <v/>
      </c>
      <c r="G1528" s="17"/>
      <c r="J1528" s="1" t="str">
        <f t="array" ref="J1528">IFERROR(INDEX('Исходник'!$1:$626,MATCH($I1528,'Исходник'!$T:$T,0),MATCH(J$1,'Исходник'!$1:$1,0)))</f>
        <v/>
      </c>
      <c r="K1528" s="7" t="str">
        <f t="shared" si="3"/>
        <v/>
      </c>
      <c r="L1528" s="1" t="str">
        <f>IF(I1528&gt;0,IF(TODAY()-K1528&lt;'Анализ'!$D$4+1,1,0),"")</f>
        <v/>
      </c>
    </row>
    <row r="1529" ht="15.75" customHeight="1">
      <c r="B1529" s="1" t="str">
        <f t="shared" si="1"/>
        <v/>
      </c>
      <c r="G1529" s="17"/>
      <c r="J1529" s="1" t="str">
        <f t="array" ref="J1529">IFERROR(INDEX('Исходник'!$1:$626,MATCH($I1529,'Исходник'!$T:$T,0),MATCH(J$1,'Исходник'!$1:$1,0)))</f>
        <v/>
      </c>
      <c r="K1529" s="7" t="str">
        <f t="shared" si="3"/>
        <v/>
      </c>
      <c r="L1529" s="1" t="str">
        <f>IF(I1529&gt;0,IF(TODAY()-K1529&lt;'Анализ'!$D$4+1,1,0),"")</f>
        <v/>
      </c>
    </row>
    <row r="1530" ht="15.75" customHeight="1">
      <c r="B1530" s="1" t="str">
        <f t="shared" si="1"/>
        <v/>
      </c>
      <c r="G1530" s="17"/>
      <c r="J1530" s="1" t="str">
        <f t="array" ref="J1530">IFERROR(INDEX('Исходник'!$1:$626,MATCH($I1530,'Исходник'!$T:$T,0),MATCH(J$1,'Исходник'!$1:$1,0)))</f>
        <v/>
      </c>
      <c r="K1530" s="7" t="str">
        <f t="shared" si="3"/>
        <v/>
      </c>
      <c r="L1530" s="1" t="str">
        <f>IF(I1530&gt;0,IF(TODAY()-K1530&lt;'Анализ'!$D$4+1,1,0),"")</f>
        <v/>
      </c>
    </row>
    <row r="1531" ht="15.75" customHeight="1">
      <c r="B1531" s="1" t="str">
        <f t="shared" si="1"/>
        <v/>
      </c>
      <c r="G1531" s="17"/>
      <c r="J1531" s="1" t="str">
        <f t="array" ref="J1531">IFERROR(INDEX('Исходник'!$1:$626,MATCH($I1531,'Исходник'!$T:$T,0),MATCH(J$1,'Исходник'!$1:$1,0)))</f>
        <v/>
      </c>
      <c r="K1531" s="7" t="str">
        <f t="shared" si="3"/>
        <v/>
      </c>
      <c r="L1531" s="1" t="str">
        <f>IF(I1531&gt;0,IF(TODAY()-K1531&lt;'Анализ'!$D$4+1,1,0),"")</f>
        <v/>
      </c>
    </row>
    <row r="1532" ht="15.75" customHeight="1">
      <c r="B1532" s="1" t="str">
        <f t="shared" si="1"/>
        <v/>
      </c>
      <c r="G1532" s="17"/>
      <c r="J1532" s="1" t="str">
        <f t="array" ref="J1532">IFERROR(INDEX('Исходник'!$1:$626,MATCH($I1532,'Исходник'!$T:$T,0),MATCH(J$1,'Исходник'!$1:$1,0)))</f>
        <v/>
      </c>
      <c r="K1532" s="7" t="str">
        <f t="shared" si="3"/>
        <v/>
      </c>
      <c r="L1532" s="1" t="str">
        <f>IF(I1532&gt;0,IF(TODAY()-K1532&lt;'Анализ'!$D$4+1,1,0),"")</f>
        <v/>
      </c>
    </row>
    <row r="1533" ht="15.75" customHeight="1">
      <c r="B1533" s="1" t="str">
        <f t="shared" si="1"/>
        <v/>
      </c>
      <c r="G1533" s="17"/>
      <c r="J1533" s="1" t="str">
        <f t="array" ref="J1533">IFERROR(INDEX('Исходник'!$1:$626,MATCH($I1533,'Исходник'!$T:$T,0),MATCH(J$1,'Исходник'!$1:$1,0)))</f>
        <v/>
      </c>
      <c r="K1533" s="7" t="str">
        <f t="shared" si="3"/>
        <v/>
      </c>
      <c r="L1533" s="1" t="str">
        <f>IF(I1533&gt;0,IF(TODAY()-K1533&lt;'Анализ'!$D$4+1,1,0),"")</f>
        <v/>
      </c>
    </row>
    <row r="1534" ht="15.75" customHeight="1">
      <c r="B1534" s="1" t="str">
        <f t="shared" si="1"/>
        <v/>
      </c>
      <c r="G1534" s="17"/>
      <c r="J1534" s="1" t="str">
        <f t="array" ref="J1534">IFERROR(INDEX('Исходник'!$1:$626,MATCH($I1534,'Исходник'!$T:$T,0),MATCH(J$1,'Исходник'!$1:$1,0)))</f>
        <v/>
      </c>
      <c r="K1534" s="7" t="str">
        <f t="shared" si="3"/>
        <v/>
      </c>
      <c r="L1534" s="1" t="str">
        <f>IF(I1534&gt;0,IF(TODAY()-K1534&lt;'Анализ'!$D$4+1,1,0),"")</f>
        <v/>
      </c>
    </row>
    <row r="1535" ht="15.75" customHeight="1">
      <c r="B1535" s="1" t="str">
        <f t="shared" si="1"/>
        <v/>
      </c>
      <c r="G1535" s="17"/>
      <c r="J1535" s="1" t="str">
        <f t="array" ref="J1535">IFERROR(INDEX('Исходник'!$1:$626,MATCH($I1535,'Исходник'!$T:$T,0),MATCH(J$1,'Исходник'!$1:$1,0)))</f>
        <v/>
      </c>
      <c r="K1535" s="7" t="str">
        <f t="shared" si="3"/>
        <v/>
      </c>
      <c r="L1535" s="1" t="str">
        <f>IF(I1535&gt;0,IF(TODAY()-K1535&lt;'Анализ'!$D$4+1,1,0),"")</f>
        <v/>
      </c>
    </row>
    <row r="1536" ht="15.75" customHeight="1">
      <c r="B1536" s="1" t="str">
        <f t="shared" si="1"/>
        <v/>
      </c>
      <c r="G1536" s="17"/>
      <c r="J1536" s="1" t="str">
        <f t="array" ref="J1536">IFERROR(INDEX('Исходник'!$1:$626,MATCH($I1536,'Исходник'!$T:$T,0),MATCH(J$1,'Исходник'!$1:$1,0)))</f>
        <v/>
      </c>
      <c r="K1536" s="7" t="str">
        <f t="shared" si="3"/>
        <v/>
      </c>
      <c r="L1536" s="1" t="str">
        <f>IF(I1536&gt;0,IF(TODAY()-K1536&lt;'Анализ'!$D$4+1,1,0),"")</f>
        <v/>
      </c>
    </row>
    <row r="1537" ht="15.75" customHeight="1">
      <c r="B1537" s="1" t="str">
        <f t="shared" si="1"/>
        <v/>
      </c>
      <c r="G1537" s="17"/>
      <c r="J1537" s="1" t="str">
        <f t="array" ref="J1537">IFERROR(INDEX('Исходник'!$1:$626,MATCH($I1537,'Исходник'!$T:$T,0),MATCH(J$1,'Исходник'!$1:$1,0)))</f>
        <v/>
      </c>
      <c r="K1537" s="7" t="str">
        <f t="shared" si="3"/>
        <v/>
      </c>
      <c r="L1537" s="1" t="str">
        <f>IF(I1537&gt;0,IF(TODAY()-K1537&lt;'Анализ'!$D$4+1,1,0),"")</f>
        <v/>
      </c>
    </row>
    <row r="1538" ht="15.75" customHeight="1">
      <c r="B1538" s="1" t="str">
        <f t="shared" si="1"/>
        <v/>
      </c>
      <c r="G1538" s="17"/>
      <c r="J1538" s="1" t="str">
        <f t="array" ref="J1538">IFERROR(INDEX('Исходник'!$1:$626,MATCH($I1538,'Исходник'!$T:$T,0),MATCH(J$1,'Исходник'!$1:$1,0)))</f>
        <v/>
      </c>
      <c r="K1538" s="7" t="str">
        <f t="shared" si="3"/>
        <v/>
      </c>
      <c r="L1538" s="1" t="str">
        <f>IF(I1538&gt;0,IF(TODAY()-K1538&lt;'Анализ'!$D$4+1,1,0),"")</f>
        <v/>
      </c>
    </row>
    <row r="1539" ht="15.75" customHeight="1">
      <c r="B1539" s="1" t="str">
        <f t="shared" si="1"/>
        <v/>
      </c>
      <c r="G1539" s="17"/>
      <c r="J1539" s="1" t="str">
        <f t="array" ref="J1539">IFERROR(INDEX('Исходник'!$1:$626,MATCH($I1539,'Исходник'!$T:$T,0),MATCH(J$1,'Исходник'!$1:$1,0)))</f>
        <v/>
      </c>
      <c r="K1539" s="7" t="str">
        <f t="shared" si="3"/>
        <v/>
      </c>
      <c r="L1539" s="1" t="str">
        <f>IF(I1539&gt;0,IF(TODAY()-K1539&lt;'Анализ'!$D$4+1,1,0),"")</f>
        <v/>
      </c>
    </row>
    <row r="1540" ht="15.75" customHeight="1">
      <c r="B1540" s="1" t="str">
        <f t="shared" si="1"/>
        <v/>
      </c>
      <c r="G1540" s="17"/>
      <c r="J1540" s="1" t="str">
        <f t="array" ref="J1540">IFERROR(INDEX('Исходник'!$1:$626,MATCH($I1540,'Исходник'!$T:$T,0),MATCH(J$1,'Исходник'!$1:$1,0)))</f>
        <v/>
      </c>
      <c r="K1540" s="7" t="str">
        <f t="shared" si="3"/>
        <v/>
      </c>
      <c r="L1540" s="1" t="str">
        <f>IF(I1540&gt;0,IF(TODAY()-K1540&lt;'Анализ'!$D$4+1,1,0),"")</f>
        <v/>
      </c>
    </row>
    <row r="1541" ht="15.75" customHeight="1">
      <c r="B1541" s="1" t="str">
        <f t="shared" si="1"/>
        <v/>
      </c>
      <c r="G1541" s="17"/>
      <c r="J1541" s="1" t="str">
        <f t="array" ref="J1541">IFERROR(INDEX('Исходник'!$1:$626,MATCH($I1541,'Исходник'!$T:$T,0),MATCH(J$1,'Исходник'!$1:$1,0)))</f>
        <v/>
      </c>
      <c r="K1541" s="7" t="str">
        <f t="shared" si="3"/>
        <v/>
      </c>
      <c r="L1541" s="1" t="str">
        <f>IF(I1541&gt;0,IF(TODAY()-K1541&lt;'Анализ'!$D$4+1,1,0),"")</f>
        <v/>
      </c>
    </row>
    <row r="1542" ht="15.75" customHeight="1">
      <c r="B1542" s="1" t="str">
        <f t="shared" si="1"/>
        <v/>
      </c>
      <c r="G1542" s="17"/>
      <c r="J1542" s="1" t="str">
        <f t="array" ref="J1542">IFERROR(INDEX('Исходник'!$1:$626,MATCH($I1542,'Исходник'!$T:$T,0),MATCH(J$1,'Исходник'!$1:$1,0)))</f>
        <v/>
      </c>
      <c r="K1542" s="7" t="str">
        <f t="shared" si="3"/>
        <v/>
      </c>
      <c r="L1542" s="1" t="str">
        <f>IF(I1542&gt;0,IF(TODAY()-K1542&lt;'Анализ'!$D$4+1,1,0),"")</f>
        <v/>
      </c>
    </row>
    <row r="1543" ht="15.75" customHeight="1">
      <c r="B1543" s="1" t="str">
        <f t="shared" si="1"/>
        <v/>
      </c>
      <c r="G1543" s="17"/>
      <c r="J1543" s="1" t="str">
        <f t="array" ref="J1543">IFERROR(INDEX('Исходник'!$1:$626,MATCH($I1543,'Исходник'!$T:$T,0),MATCH(J$1,'Исходник'!$1:$1,0)))</f>
        <v/>
      </c>
      <c r="K1543" s="7" t="str">
        <f t="shared" si="3"/>
        <v/>
      </c>
      <c r="L1543" s="1" t="str">
        <f>IF(I1543&gt;0,IF(TODAY()-K1543&lt;'Анализ'!$D$4+1,1,0),"")</f>
        <v/>
      </c>
    </row>
    <row r="1544" ht="15.75" customHeight="1">
      <c r="B1544" s="1" t="str">
        <f t="shared" si="1"/>
        <v/>
      </c>
      <c r="G1544" s="17"/>
      <c r="J1544" s="1" t="str">
        <f t="array" ref="J1544">IFERROR(INDEX('Исходник'!$1:$626,MATCH($I1544,'Исходник'!$T:$T,0),MATCH(J$1,'Исходник'!$1:$1,0)))</f>
        <v/>
      </c>
      <c r="K1544" s="7" t="str">
        <f t="shared" si="3"/>
        <v/>
      </c>
      <c r="L1544" s="1" t="str">
        <f>IF(I1544&gt;0,IF(TODAY()-K1544&lt;'Анализ'!$D$4+1,1,0),"")</f>
        <v/>
      </c>
    </row>
    <row r="1545" ht="15.75" customHeight="1">
      <c r="B1545" s="1" t="str">
        <f t="shared" si="1"/>
        <v/>
      </c>
      <c r="G1545" s="17"/>
      <c r="J1545" s="1" t="str">
        <f t="array" ref="J1545">IFERROR(INDEX('Исходник'!$1:$626,MATCH($I1545,'Исходник'!$T:$T,0),MATCH(J$1,'Исходник'!$1:$1,0)))</f>
        <v/>
      </c>
      <c r="K1545" s="7" t="str">
        <f t="shared" si="3"/>
        <v/>
      </c>
      <c r="L1545" s="1" t="str">
        <f>IF(I1545&gt;0,IF(TODAY()-K1545&lt;'Анализ'!$D$4+1,1,0),"")</f>
        <v/>
      </c>
    </row>
    <row r="1546" ht="15.75" customHeight="1">
      <c r="B1546" s="1" t="str">
        <f t="shared" si="1"/>
        <v/>
      </c>
      <c r="G1546" s="17"/>
      <c r="J1546" s="1" t="str">
        <f t="array" ref="J1546">IFERROR(INDEX('Исходник'!$1:$626,MATCH($I1546,'Исходник'!$T:$T,0),MATCH(J$1,'Исходник'!$1:$1,0)))</f>
        <v/>
      </c>
      <c r="K1546" s="7" t="str">
        <f t="shared" si="3"/>
        <v/>
      </c>
      <c r="L1546" s="1" t="str">
        <f>IF(I1546&gt;0,IF(TODAY()-K1546&lt;'Анализ'!$D$4+1,1,0),"")</f>
        <v/>
      </c>
    </row>
    <row r="1547" ht="15.75" customHeight="1">
      <c r="B1547" s="1" t="str">
        <f t="shared" si="1"/>
        <v/>
      </c>
      <c r="G1547" s="17"/>
      <c r="J1547" s="1" t="str">
        <f t="array" ref="J1547">IFERROR(INDEX('Исходник'!$1:$626,MATCH($I1547,'Исходник'!$T:$T,0),MATCH(J$1,'Исходник'!$1:$1,0)))</f>
        <v/>
      </c>
      <c r="K1547" s="7" t="str">
        <f t="shared" si="3"/>
        <v/>
      </c>
      <c r="L1547" s="1" t="str">
        <f>IF(I1547&gt;0,IF(TODAY()-K1547&lt;'Анализ'!$D$4+1,1,0),"")</f>
        <v/>
      </c>
    </row>
    <row r="1548" ht="15.75" customHeight="1">
      <c r="B1548" s="1" t="str">
        <f t="shared" si="1"/>
        <v/>
      </c>
      <c r="G1548" s="17"/>
      <c r="J1548" s="1" t="str">
        <f t="array" ref="J1548">IFERROR(INDEX('Исходник'!$1:$626,MATCH($I1548,'Исходник'!$T:$T,0),MATCH(J$1,'Исходник'!$1:$1,0)))</f>
        <v/>
      </c>
      <c r="K1548" s="7" t="str">
        <f t="shared" si="3"/>
        <v/>
      </c>
      <c r="L1548" s="1" t="str">
        <f>IF(I1548&gt;0,IF(TODAY()-K1548&lt;'Анализ'!$D$4+1,1,0),"")</f>
        <v/>
      </c>
    </row>
    <row r="1549" ht="15.75" customHeight="1">
      <c r="B1549" s="1" t="str">
        <f t="shared" si="1"/>
        <v/>
      </c>
      <c r="G1549" s="17"/>
      <c r="J1549" s="1" t="str">
        <f t="array" ref="J1549">IFERROR(INDEX('Исходник'!$1:$626,MATCH($I1549,'Исходник'!$T:$T,0),MATCH(J$1,'Исходник'!$1:$1,0)))</f>
        <v/>
      </c>
      <c r="K1549" s="7" t="str">
        <f t="shared" si="3"/>
        <v/>
      </c>
      <c r="L1549" s="1" t="str">
        <f>IF(I1549&gt;0,IF(TODAY()-K1549&lt;'Анализ'!$D$4+1,1,0),"")</f>
        <v/>
      </c>
    </row>
    <row r="1550" ht="15.75" customHeight="1">
      <c r="B1550" s="1" t="str">
        <f t="shared" si="1"/>
        <v/>
      </c>
      <c r="G1550" s="17"/>
      <c r="J1550" s="1" t="str">
        <f t="array" ref="J1550">IFERROR(INDEX('Исходник'!$1:$626,MATCH($I1550,'Исходник'!$T:$T,0),MATCH(J$1,'Исходник'!$1:$1,0)))</f>
        <v/>
      </c>
      <c r="K1550" s="7" t="str">
        <f t="shared" si="3"/>
        <v/>
      </c>
      <c r="L1550" s="1" t="str">
        <f>IF(I1550&gt;0,IF(TODAY()-K1550&lt;'Анализ'!$D$4+1,1,0),"")</f>
        <v/>
      </c>
    </row>
    <row r="1551" ht="15.75" customHeight="1">
      <c r="B1551" s="1" t="str">
        <f t="shared" si="1"/>
        <v/>
      </c>
      <c r="G1551" s="17"/>
      <c r="J1551" s="1" t="str">
        <f t="array" ref="J1551">IFERROR(INDEX('Исходник'!$1:$626,MATCH($I1551,'Исходник'!$T:$T,0),MATCH(J$1,'Исходник'!$1:$1,0)))</f>
        <v/>
      </c>
      <c r="K1551" s="7" t="str">
        <f t="shared" si="3"/>
        <v/>
      </c>
      <c r="L1551" s="1" t="str">
        <f>IF(I1551&gt;0,IF(TODAY()-K1551&lt;'Анализ'!$D$4+1,1,0),"")</f>
        <v/>
      </c>
    </row>
    <row r="1552" ht="15.75" customHeight="1">
      <c r="B1552" s="1" t="str">
        <f t="shared" si="1"/>
        <v/>
      </c>
      <c r="G1552" s="17"/>
      <c r="J1552" s="1" t="str">
        <f t="array" ref="J1552">IFERROR(INDEX('Исходник'!$1:$626,MATCH($I1552,'Исходник'!$T:$T,0),MATCH(J$1,'Исходник'!$1:$1,0)))</f>
        <v/>
      </c>
      <c r="K1552" s="7" t="str">
        <f t="shared" si="3"/>
        <v/>
      </c>
      <c r="L1552" s="1" t="str">
        <f>IF(I1552&gt;0,IF(TODAY()-K1552&lt;'Анализ'!$D$4+1,1,0),"")</f>
        <v/>
      </c>
    </row>
    <row r="1553" ht="15.75" customHeight="1">
      <c r="B1553" s="1" t="str">
        <f t="shared" si="1"/>
        <v/>
      </c>
      <c r="G1553" s="17"/>
      <c r="J1553" s="1" t="str">
        <f t="array" ref="J1553">IFERROR(INDEX('Исходник'!$1:$626,MATCH($I1553,'Исходник'!$T:$T,0),MATCH(J$1,'Исходник'!$1:$1,0)))</f>
        <v/>
      </c>
      <c r="K1553" s="7" t="str">
        <f t="shared" si="3"/>
        <v/>
      </c>
      <c r="L1553" s="1" t="str">
        <f>IF(I1553&gt;0,IF(TODAY()-K1553&lt;'Анализ'!$D$4+1,1,0),"")</f>
        <v/>
      </c>
    </row>
    <row r="1554" ht="15.75" customHeight="1">
      <c r="B1554" s="1" t="str">
        <f t="shared" si="1"/>
        <v/>
      </c>
      <c r="G1554" s="17"/>
      <c r="J1554" s="1" t="str">
        <f t="array" ref="J1554">IFERROR(INDEX('Исходник'!$1:$626,MATCH($I1554,'Исходник'!$T:$T,0),MATCH(J$1,'Исходник'!$1:$1,0)))</f>
        <v/>
      </c>
      <c r="K1554" s="7" t="str">
        <f t="shared" si="3"/>
        <v/>
      </c>
      <c r="L1554" s="1" t="str">
        <f>IF(I1554&gt;0,IF(TODAY()-K1554&lt;'Анализ'!$D$4+1,1,0),"")</f>
        <v/>
      </c>
    </row>
    <row r="1555" ht="15.75" customHeight="1">
      <c r="B1555" s="1" t="str">
        <f t="shared" si="1"/>
        <v/>
      </c>
      <c r="G1555" s="17"/>
      <c r="J1555" s="1" t="str">
        <f t="array" ref="J1555">IFERROR(INDEX('Исходник'!$1:$626,MATCH($I1555,'Исходник'!$T:$T,0),MATCH(J$1,'Исходник'!$1:$1,0)))</f>
        <v/>
      </c>
      <c r="K1555" s="7" t="str">
        <f t="shared" si="3"/>
        <v/>
      </c>
      <c r="L1555" s="1" t="str">
        <f>IF(I1555&gt;0,IF(TODAY()-K1555&lt;'Анализ'!$D$4+1,1,0),"")</f>
        <v/>
      </c>
    </row>
    <row r="1556" ht="15.75" customHeight="1">
      <c r="B1556" s="1" t="str">
        <f t="shared" si="1"/>
        <v/>
      </c>
      <c r="G1556" s="17"/>
      <c r="J1556" s="1" t="str">
        <f t="array" ref="J1556">IFERROR(INDEX('Исходник'!$1:$626,MATCH($I1556,'Исходник'!$T:$T,0),MATCH(J$1,'Исходник'!$1:$1,0)))</f>
        <v/>
      </c>
      <c r="K1556" s="7" t="str">
        <f t="shared" si="3"/>
        <v/>
      </c>
      <c r="L1556" s="1" t="str">
        <f>IF(I1556&gt;0,IF(TODAY()-K1556&lt;'Анализ'!$D$4+1,1,0),"")</f>
        <v/>
      </c>
    </row>
    <row r="1557" ht="15.75" customHeight="1">
      <c r="B1557" s="1" t="str">
        <f t="shared" si="1"/>
        <v/>
      </c>
      <c r="G1557" s="17"/>
      <c r="J1557" s="1" t="str">
        <f t="array" ref="J1557">IFERROR(INDEX('Исходник'!$1:$626,MATCH($I1557,'Исходник'!$T:$T,0),MATCH(J$1,'Исходник'!$1:$1,0)))</f>
        <v/>
      </c>
      <c r="K1557" s="7" t="str">
        <f t="shared" si="3"/>
        <v/>
      </c>
      <c r="L1557" s="1" t="str">
        <f>IF(I1557&gt;0,IF(TODAY()-K1557&lt;'Анализ'!$D$4+1,1,0),"")</f>
        <v/>
      </c>
    </row>
    <row r="1558" ht="15.75" customHeight="1">
      <c r="B1558" s="1" t="str">
        <f t="shared" si="1"/>
        <v/>
      </c>
      <c r="G1558" s="17"/>
      <c r="J1558" s="1" t="str">
        <f t="array" ref="J1558">IFERROR(INDEX('Исходник'!$1:$626,MATCH($I1558,'Исходник'!$T:$T,0),MATCH(J$1,'Исходник'!$1:$1,0)))</f>
        <v/>
      </c>
      <c r="K1558" s="7" t="str">
        <f t="shared" si="3"/>
        <v/>
      </c>
      <c r="L1558" s="1" t="str">
        <f>IF(I1558&gt;0,IF(TODAY()-K1558&lt;'Анализ'!$D$4+1,1,0),"")</f>
        <v/>
      </c>
    </row>
    <row r="1559" ht="15.75" customHeight="1">
      <c r="B1559" s="1" t="str">
        <f t="shared" si="1"/>
        <v/>
      </c>
      <c r="G1559" s="17"/>
      <c r="J1559" s="1" t="str">
        <f t="array" ref="J1559">IFERROR(INDEX('Исходник'!$1:$626,MATCH($I1559,'Исходник'!$T:$T,0),MATCH(J$1,'Исходник'!$1:$1,0)))</f>
        <v/>
      </c>
      <c r="K1559" s="7" t="str">
        <f t="shared" si="3"/>
        <v/>
      </c>
      <c r="L1559" s="1" t="str">
        <f>IF(I1559&gt;0,IF(TODAY()-K1559&lt;'Анализ'!$D$4+1,1,0),"")</f>
        <v/>
      </c>
    </row>
    <row r="1560" ht="15.75" customHeight="1">
      <c r="B1560" s="1" t="str">
        <f t="shared" si="1"/>
        <v/>
      </c>
      <c r="G1560" s="17"/>
      <c r="J1560" s="1" t="str">
        <f t="array" ref="J1560">IFERROR(INDEX('Исходник'!$1:$626,MATCH($I1560,'Исходник'!$T:$T,0),MATCH(J$1,'Исходник'!$1:$1,0)))</f>
        <v/>
      </c>
      <c r="K1560" s="7" t="str">
        <f t="shared" si="3"/>
        <v/>
      </c>
      <c r="L1560" s="1" t="str">
        <f>IF(I1560&gt;0,IF(TODAY()-K1560&lt;'Анализ'!$D$4+1,1,0),"")</f>
        <v/>
      </c>
    </row>
    <row r="1561" ht="15.75" customHeight="1">
      <c r="B1561" s="1" t="str">
        <f t="shared" si="1"/>
        <v/>
      </c>
      <c r="G1561" s="17"/>
      <c r="J1561" s="1" t="str">
        <f t="array" ref="J1561">IFERROR(INDEX('Исходник'!$1:$626,MATCH($I1561,'Исходник'!$T:$T,0),MATCH(J$1,'Исходник'!$1:$1,0)))</f>
        <v/>
      </c>
      <c r="K1561" s="7" t="str">
        <f t="shared" si="3"/>
        <v/>
      </c>
      <c r="L1561" s="1" t="str">
        <f>IF(I1561&gt;0,IF(TODAY()-K1561&lt;'Анализ'!$D$4+1,1,0),"")</f>
        <v/>
      </c>
    </row>
    <row r="1562" ht="15.75" customHeight="1">
      <c r="B1562" s="1" t="str">
        <f t="shared" si="1"/>
        <v/>
      </c>
      <c r="G1562" s="17"/>
      <c r="J1562" s="1" t="str">
        <f t="array" ref="J1562">IFERROR(INDEX('Исходник'!$1:$626,MATCH($I1562,'Исходник'!$T:$T,0),MATCH(J$1,'Исходник'!$1:$1,0)))</f>
        <v/>
      </c>
      <c r="K1562" s="7" t="str">
        <f t="shared" si="3"/>
        <v/>
      </c>
      <c r="L1562" s="1" t="str">
        <f>IF(I1562&gt;0,IF(TODAY()-K1562&lt;'Анализ'!$D$4+1,1,0),"")</f>
        <v/>
      </c>
    </row>
    <row r="1563" ht="15.75" customHeight="1">
      <c r="B1563" s="1" t="str">
        <f t="shared" si="1"/>
        <v/>
      </c>
      <c r="G1563" s="17"/>
      <c r="J1563" s="1" t="str">
        <f t="array" ref="J1563">IFERROR(INDEX('Исходник'!$1:$626,MATCH($I1563,'Исходник'!$T:$T,0),MATCH(J$1,'Исходник'!$1:$1,0)))</f>
        <v/>
      </c>
      <c r="K1563" s="7" t="str">
        <f t="shared" si="3"/>
        <v/>
      </c>
      <c r="L1563" s="1" t="str">
        <f>IF(I1563&gt;0,IF(TODAY()-K1563&lt;'Анализ'!$D$4+1,1,0),"")</f>
        <v/>
      </c>
    </row>
    <row r="1564" ht="15.75" customHeight="1">
      <c r="B1564" s="1" t="str">
        <f t="shared" si="1"/>
        <v/>
      </c>
      <c r="G1564" s="17"/>
      <c r="J1564" s="1" t="str">
        <f t="array" ref="J1564">IFERROR(INDEX('Исходник'!$1:$626,MATCH($I1564,'Исходник'!$T:$T,0),MATCH(J$1,'Исходник'!$1:$1,0)))</f>
        <v/>
      </c>
      <c r="K1564" s="7" t="str">
        <f t="shared" si="3"/>
        <v/>
      </c>
      <c r="L1564" s="1" t="str">
        <f>IF(I1564&gt;0,IF(TODAY()-K1564&lt;'Анализ'!$D$4+1,1,0),"")</f>
        <v/>
      </c>
    </row>
    <row r="1565" ht="15.75" customHeight="1">
      <c r="B1565" s="1" t="str">
        <f t="shared" si="1"/>
        <v/>
      </c>
      <c r="G1565" s="17"/>
      <c r="J1565" s="1" t="str">
        <f t="array" ref="J1565">IFERROR(INDEX('Исходник'!$1:$626,MATCH($I1565,'Исходник'!$T:$T,0),MATCH(J$1,'Исходник'!$1:$1,0)))</f>
        <v/>
      </c>
      <c r="K1565" s="7" t="str">
        <f t="shared" si="3"/>
        <v/>
      </c>
      <c r="L1565" s="1" t="str">
        <f>IF(I1565&gt;0,IF(TODAY()-K1565&lt;'Анализ'!$D$4+1,1,0),"")</f>
        <v/>
      </c>
    </row>
    <row r="1566" ht="15.75" customHeight="1">
      <c r="B1566" s="1" t="str">
        <f t="shared" si="1"/>
        <v/>
      </c>
      <c r="G1566" s="17"/>
      <c r="J1566" s="1" t="str">
        <f t="array" ref="J1566">IFERROR(INDEX('Исходник'!$1:$626,MATCH($I1566,'Исходник'!$T:$T,0),MATCH(J$1,'Исходник'!$1:$1,0)))</f>
        <v/>
      </c>
      <c r="K1566" s="7" t="str">
        <f t="shared" si="3"/>
        <v/>
      </c>
      <c r="L1566" s="1" t="str">
        <f>IF(I1566&gt;0,IF(TODAY()-K1566&lt;'Анализ'!$D$4+1,1,0),"")</f>
        <v/>
      </c>
    </row>
    <row r="1567" ht="15.75" customHeight="1">
      <c r="B1567" s="1" t="str">
        <f t="shared" si="1"/>
        <v/>
      </c>
      <c r="G1567" s="17"/>
      <c r="J1567" s="1" t="str">
        <f t="array" ref="J1567">IFERROR(INDEX('Исходник'!$1:$626,MATCH($I1567,'Исходник'!$T:$T,0),MATCH(J$1,'Исходник'!$1:$1,0)))</f>
        <v/>
      </c>
      <c r="K1567" s="7" t="str">
        <f t="shared" si="3"/>
        <v/>
      </c>
      <c r="L1567" s="1" t="str">
        <f>IF(I1567&gt;0,IF(TODAY()-K1567&lt;'Анализ'!$D$4+1,1,0),"")</f>
        <v/>
      </c>
    </row>
    <row r="1568" ht="15.75" customHeight="1">
      <c r="B1568" s="1" t="str">
        <f t="shared" si="1"/>
        <v/>
      </c>
      <c r="G1568" s="17"/>
      <c r="J1568" s="1" t="str">
        <f t="array" ref="J1568">IFERROR(INDEX('Исходник'!$1:$626,MATCH($I1568,'Исходник'!$T:$T,0),MATCH(J$1,'Исходник'!$1:$1,0)))</f>
        <v/>
      </c>
      <c r="K1568" s="7" t="str">
        <f t="shared" si="3"/>
        <v/>
      </c>
      <c r="L1568" s="1" t="str">
        <f>IF(I1568&gt;0,IF(TODAY()-K1568&lt;'Анализ'!$D$4+1,1,0),"")</f>
        <v/>
      </c>
    </row>
    <row r="1569" ht="15.75" customHeight="1">
      <c r="B1569" s="1" t="str">
        <f t="shared" si="1"/>
        <v/>
      </c>
      <c r="G1569" s="17"/>
      <c r="J1569" s="1" t="str">
        <f t="array" ref="J1569">IFERROR(INDEX('Исходник'!$1:$626,MATCH($I1569,'Исходник'!$T:$T,0),MATCH(J$1,'Исходник'!$1:$1,0)))</f>
        <v/>
      </c>
      <c r="K1569" s="7" t="str">
        <f t="shared" si="3"/>
        <v/>
      </c>
      <c r="L1569" s="1" t="str">
        <f>IF(I1569&gt;0,IF(TODAY()-K1569&lt;'Анализ'!$D$4+1,1,0),"")</f>
        <v/>
      </c>
    </row>
    <row r="1570" ht="15.75" customHeight="1">
      <c r="B1570" s="1" t="str">
        <f t="shared" si="1"/>
        <v/>
      </c>
      <c r="G1570" s="17"/>
      <c r="J1570" s="1" t="str">
        <f t="array" ref="J1570">IFERROR(INDEX('Исходник'!$1:$626,MATCH($I1570,'Исходник'!$T:$T,0),MATCH(J$1,'Исходник'!$1:$1,0)))</f>
        <v/>
      </c>
      <c r="K1570" s="7" t="str">
        <f t="shared" si="3"/>
        <v/>
      </c>
      <c r="L1570" s="1" t="str">
        <f>IF(I1570&gt;0,IF(TODAY()-K1570&lt;'Анализ'!$D$4+1,1,0),"")</f>
        <v/>
      </c>
    </row>
    <row r="1571" ht="15.75" customHeight="1">
      <c r="B1571" s="1" t="str">
        <f t="shared" si="1"/>
        <v/>
      </c>
      <c r="G1571" s="17"/>
      <c r="J1571" s="1" t="str">
        <f t="array" ref="J1571">IFERROR(INDEX('Исходник'!$1:$626,MATCH($I1571,'Исходник'!$T:$T,0),MATCH(J$1,'Исходник'!$1:$1,0)))</f>
        <v/>
      </c>
      <c r="K1571" s="7" t="str">
        <f t="shared" si="3"/>
        <v/>
      </c>
      <c r="L1571" s="1" t="str">
        <f>IF(I1571&gt;0,IF(TODAY()-K1571&lt;'Анализ'!$D$4+1,1,0),"")</f>
        <v/>
      </c>
    </row>
    <row r="1572" ht="15.75" customHeight="1">
      <c r="B1572" s="1" t="str">
        <f t="shared" si="1"/>
        <v/>
      </c>
      <c r="G1572" s="17"/>
      <c r="J1572" s="1" t="str">
        <f t="array" ref="J1572">IFERROR(INDEX('Исходник'!$1:$626,MATCH($I1572,'Исходник'!$T:$T,0),MATCH(J$1,'Исходник'!$1:$1,0)))</f>
        <v/>
      </c>
      <c r="K1572" s="7" t="str">
        <f t="shared" si="3"/>
        <v/>
      </c>
      <c r="L1572" s="1" t="str">
        <f>IF(I1572&gt;0,IF(TODAY()-K1572&lt;'Анализ'!$D$4+1,1,0),"")</f>
        <v/>
      </c>
    </row>
    <row r="1573" ht="15.75" customHeight="1">
      <c r="B1573" s="1" t="str">
        <f t="shared" si="1"/>
        <v/>
      </c>
      <c r="G1573" s="17"/>
      <c r="J1573" s="1" t="str">
        <f t="array" ref="J1573">IFERROR(INDEX('Исходник'!$1:$626,MATCH($I1573,'Исходник'!$T:$T,0),MATCH(J$1,'Исходник'!$1:$1,0)))</f>
        <v/>
      </c>
      <c r="K1573" s="7" t="str">
        <f t="shared" si="3"/>
        <v/>
      </c>
      <c r="L1573" s="1" t="str">
        <f>IF(I1573&gt;0,IF(TODAY()-K1573&lt;'Анализ'!$D$4+1,1,0),"")</f>
        <v/>
      </c>
    </row>
    <row r="1574" ht="15.75" customHeight="1">
      <c r="B1574" s="1" t="str">
        <f t="shared" si="1"/>
        <v/>
      </c>
      <c r="G1574" s="17"/>
      <c r="J1574" s="1" t="str">
        <f t="array" ref="J1574">IFERROR(INDEX('Исходник'!$1:$626,MATCH($I1574,'Исходник'!$T:$T,0),MATCH(J$1,'Исходник'!$1:$1,0)))</f>
        <v/>
      </c>
      <c r="K1574" s="7" t="str">
        <f t="shared" si="3"/>
        <v/>
      </c>
      <c r="L1574" s="1" t="str">
        <f>IF(I1574&gt;0,IF(TODAY()-K1574&lt;'Анализ'!$D$4+1,1,0),"")</f>
        <v/>
      </c>
    </row>
    <row r="1575" ht="15.75" customHeight="1">
      <c r="B1575" s="1" t="str">
        <f t="shared" si="1"/>
        <v/>
      </c>
      <c r="G1575" s="17"/>
      <c r="J1575" s="1" t="str">
        <f t="array" ref="J1575">IFERROR(INDEX('Исходник'!$1:$626,MATCH($I1575,'Исходник'!$T:$T,0),MATCH(J$1,'Исходник'!$1:$1,0)))</f>
        <v/>
      </c>
      <c r="K1575" s="7" t="str">
        <f t="shared" si="3"/>
        <v/>
      </c>
      <c r="L1575" s="1" t="str">
        <f>IF(I1575&gt;0,IF(TODAY()-K1575&lt;'Анализ'!$D$4+1,1,0),"")</f>
        <v/>
      </c>
    </row>
  </sheetData>
  <mergeCells count="2">
    <mergeCell ref="O1:P1"/>
    <mergeCell ref="O2:P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7" t="str">
        <f>'Исходник'!T1</f>
        <v>Tx Hash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27" t="s">
        <v>61</v>
      </c>
      <c r="I1" s="27" t="s">
        <v>62</v>
      </c>
      <c r="J1" s="1" t="s">
        <v>63</v>
      </c>
      <c r="K1" s="27" t="s">
        <v>64</v>
      </c>
      <c r="L1" s="1" t="s">
        <v>65</v>
      </c>
      <c r="M1" s="28" t="s">
        <v>66</v>
      </c>
      <c r="N1" s="1" t="s">
        <v>67</v>
      </c>
      <c r="O1" s="27" t="s">
        <v>68</v>
      </c>
      <c r="P1" s="27" t="s">
        <v>69</v>
      </c>
      <c r="Q1" s="1" t="s">
        <v>70</v>
      </c>
      <c r="R1" s="1" t="s">
        <v>71</v>
      </c>
      <c r="S1" s="27" t="s">
        <v>72</v>
      </c>
      <c r="T1" s="27" t="s">
        <v>73</v>
      </c>
      <c r="U1" s="1" t="s">
        <v>74</v>
      </c>
      <c r="V1" s="27" t="s">
        <v>75</v>
      </c>
      <c r="W1" s="1" t="s">
        <v>76</v>
      </c>
      <c r="X1" s="28" t="s">
        <v>77</v>
      </c>
      <c r="Y1" s="1" t="s">
        <v>78</v>
      </c>
      <c r="Z1" s="27" t="s">
        <v>79</v>
      </c>
      <c r="AA1" s="27" t="s">
        <v>80</v>
      </c>
      <c r="AB1" s="1" t="s">
        <v>81</v>
      </c>
      <c r="AC1" s="1" t="s">
        <v>82</v>
      </c>
      <c r="AD1" s="27" t="s">
        <v>83</v>
      </c>
      <c r="AE1" s="1" t="s">
        <v>84</v>
      </c>
      <c r="AF1" s="1" t="s">
        <v>85</v>
      </c>
      <c r="AG1" s="27" t="s">
        <v>86</v>
      </c>
      <c r="AH1" s="1" t="s">
        <v>87</v>
      </c>
      <c r="AI1" s="1" t="s">
        <v>34</v>
      </c>
      <c r="AJ1" s="18" t="s">
        <v>35</v>
      </c>
      <c r="AL1" s="1"/>
    </row>
    <row r="2" ht="15.75" customHeight="1">
      <c r="A2" s="27" t="str">
        <f>IFERROR(__xludf.DUMMYFUNCTION("FILTER('Справочник'!I2:I1000,'Справочник'!L2:L1000=1)"),"#N/A")</f>
        <v>#N/A</v>
      </c>
      <c r="B2" s="1" t="str">
        <f t="array" ref="B2">IFERROR(INDEX('Исходник'!$1:$626,MATCH($A2,'Исходник'!$T:$T,0),MATCH(B$1,'Исходник'!$1:$1,0)))</f>
        <v/>
      </c>
      <c r="C2" s="1" t="str">
        <f t="array" ref="C2">IFERROR(INDEX('Исходник'!$1:$626,MATCH($A2,'Исходник'!$T:$T,0),MATCH(C$1,'Исходник'!$1:$1,0)))</f>
        <v/>
      </c>
      <c r="D2" s="1" t="str">
        <f t="array" ref="D2">IFERROR(INDEX('Исходник'!$1:$626,MATCH($A2,'Исходник'!$T:$T,0),MATCH(D$1,'Исходник'!$1:$1,0)))</f>
        <v/>
      </c>
      <c r="E2" s="1" t="str">
        <f t="array" ref="E2">IFERROR(INDEX('Исходник'!$1:$626,MATCH($A2,'Исходник'!$T:$T,0),MATCH(E$1,'Исходник'!$1:$1,0)))</f>
        <v/>
      </c>
      <c r="F2" s="1" t="str">
        <f t="array" ref="F2">IFERROR(INDEX('Исходник'!$1:$626,MATCH($A2,'Исходник'!$T:$T,0),MATCH(F$1,'Исходник'!$1:$1,0)))</f>
        <v/>
      </c>
      <c r="G2" s="1" t="str">
        <f t="array" ref="G2">IFERROR(INDEX('Исходник'!$1:$626,MATCH($A2,'Исходник'!$T:$T,0),MATCH(G$1,'Исходник'!$1:$1,0)))</f>
        <v/>
      </c>
      <c r="H2" s="27">
        <f t="shared" ref="H2:H1000" si="1">IF(IFERROR(SEARCH("
",G2))&gt;0,SUM(IFERROR(VALUE(REPLACE(LEFT(G2,SEARCH("
",G2)-1),SEARCH(".",LEFT(G2,SEARCH("
",G2)-1),1),1,",")),LEFT(G2,SEARCH("
",G2)-1)),IFERROR(VALUE(REPLACE(MID(G2,SEARCH("
",G2)+1,LEN(G2)-SEARCH("
",G2)),SEARCH(".",MID(G2,SEARCH("
",G2)+1,LEN(G2)-SEARCH("
",G2)),1),1,",")),MID(G2,SEARCH("
",G2)+1,LEN(G2)-SEARCH("
",G2)))),0)</f>
        <v>0</v>
      </c>
      <c r="I2" s="27" t="str">
        <f t="shared" ref="I2:I1000" si="2">IF(H2&gt;0,H2,IFERROR(VALUE(REPLACE(G2,SEARCH(".",G2,1),1,",")),G2))</f>
        <v/>
      </c>
      <c r="J2" s="1" t="str">
        <f t="array" ref="J2">IFERROR(INDEX('Исходник'!$1:$626,MATCH($A2,'Исходник'!$T:$T,0),MATCH(J$1,'Исходник'!$1:$1,0)))</f>
        <v/>
      </c>
      <c r="K2" s="27" t="str">
        <f t="shared" ref="K2:K1000" si="3">IFERROR(MID(J2,1,SEARCH("
",J2,1)-1),J2)</f>
        <v/>
      </c>
      <c r="L2" s="1" t="str">
        <f t="array" ref="L2">IFERROR(INDEX('Исходник'!$1:$626,MATCH($A2,'Исходник'!$T:$T,0),MATCH(L$1,'Исходник'!$1:$1,0)))</f>
        <v/>
      </c>
      <c r="M2" s="28">
        <f t="shared" ref="M2:M1000" si="4">IF(LEN(L2)&gt;90,1,0)</f>
        <v>0</v>
      </c>
      <c r="N2" s="1" t="str">
        <f t="array" ref="N2">IFERROR(INDEX('Исходник'!$1:$626,MATCH($A2,'Исходник'!$T:$T,0),MATCH(N$1,'Исходник'!$1:$1,0)))</f>
        <v/>
      </c>
      <c r="O2" s="27">
        <f t="shared" ref="O2:O1000" si="5">IF(IFERROR(SEARCH("
",N2))&gt;0,SUM(IFERROR(VALUE(REPLACE(LEFT(N2,SEARCH("
",N2)-1),SEARCH(".",LEFT(N2,SEARCH("
",N2)-1),1),1,",")),LEFT(N2,SEARCH("
",N2)-1)),IFERROR(VALUE(REPLACE(MID(N2,SEARCH("
",N2)+1,LEN(N2)-SEARCH("
",N2)),SEARCH(".",MID(N2,SEARCH("
",N2)+1,LEN(N2)-SEARCH("
",N2)),1),1,",")),MID(N2,SEARCH("
",N2)+1,LEN(N2)-SEARCH("
",N2)))),0)</f>
        <v>0</v>
      </c>
      <c r="P2" s="27" t="str">
        <f t="shared" ref="P2:P1000" si="6">IF(O2&gt;0,O2,IFERROR(VALUE(REPLACE(N2,SEARCH(".",N2,1),1,",")),N2))</f>
        <v/>
      </c>
      <c r="Q2" s="1" t="str">
        <f t="array" ref="Q2">IFERROR(INDEX('Исходник'!$1:$626,MATCH($A2,'Исходник'!$T:$T,0),MATCH(Q$1,'Исходник'!$1:$1,0)))</f>
        <v/>
      </c>
      <c r="R2" s="1" t="str">
        <f t="array" ref="R2">IFERROR(INDEX('Исходник'!$1:$626,MATCH($A2,'Исходник'!$T:$T,0),MATCH(R$1,'Исходник'!$1:$1,0)))</f>
        <v/>
      </c>
      <c r="S2" s="27">
        <f t="shared" ref="S2:S1000" si="7">IF(IFERROR(SEARCH("
",R2))&gt;0,SUM(IFERROR(VALUE(REPLACE(LEFT(R2,SEARCH("
",R2)-1),SEARCH(".",LEFT(R2,SEARCH("
",R2)-1),1),1,",")),LEFT(R2,SEARCH("
",R2)-1)),IFERROR(VALUE(REPLACE(MID(R2,SEARCH("
",R2)+1,LEN(R2)-SEARCH("
",R2)),SEARCH(".",MID(R2,SEARCH("
",R2)+1,LEN(R2)-SEARCH("
",R2)),1),1,",")),MID(R2,SEARCH("
",R2)+1,LEN(R2)-SEARCH("
",R2)))),0)</f>
        <v>0</v>
      </c>
      <c r="T2" s="27" t="str">
        <f t="shared" ref="T2:T1000" si="8">IF(S2&gt;0,S2,IFERROR(VALUE(REPLACE(R2,SEARCH(".",R2,1),1,",")),R2))</f>
        <v/>
      </c>
      <c r="U2" s="1" t="str">
        <f t="array" ref="U2">IFERROR(INDEX('Исходник'!$1:$626,MATCH($A2,'Исходник'!$T:$T,0),MATCH(U$1,'Исходник'!$1:$1,0)))</f>
        <v/>
      </c>
      <c r="V2" s="27" t="str">
        <f t="shared" ref="V2:V1000" si="9">IFERROR(MID(U2,1,SEARCH("
",U2,1)-1),U2)</f>
        <v/>
      </c>
      <c r="W2" s="1" t="str">
        <f t="array" ref="W2">IFERROR(INDEX('Исходник'!$1:$626,MATCH($A2,'Исходник'!$T:$T,0),MATCH(W$1,'Исходник'!$1:$1,0)))</f>
        <v/>
      </c>
      <c r="X2" s="28">
        <f t="shared" ref="X2:X1000" si="10">IF(LEN(W2)&gt;90,1,0)</f>
        <v>0</v>
      </c>
      <c r="Y2" s="1" t="str">
        <f t="array" ref="Y2">IFERROR(INDEX('Исходник'!$1:$626,MATCH($A2,'Исходник'!$T:$T,0),MATCH(Y$1,'Исходник'!$1:$1,0)))</f>
        <v/>
      </c>
      <c r="Z2" s="27">
        <f t="shared" ref="Z2:Z1000" si="11">IF(IFERROR(SEARCH("
",Y2))&gt;0,SUM(IFERROR(VALUE(REPLACE(LEFT(Y2,SEARCH("
",Y2)-1),SEARCH(".",LEFT(Y2,SEARCH("
",Y2)-1),1),1,",")),LEFT(Y2,SEARCH("
",Y2)-1)),IFERROR(VALUE(REPLACE(MID(Y2,SEARCH("
",Y2)+1,LEN(Y2)-SEARCH("
",Y2)),SEARCH(".",MID(Y2,SEARCH("
",Y2)+1,LEN(Y2)-SEARCH("
",Y2)),1),1,",")),MID(Y2,SEARCH("
",Y2)+1,LEN(Y2)-SEARCH("
",Y2)))),0)</f>
        <v>0</v>
      </c>
      <c r="AA2" s="27" t="str">
        <f t="shared" ref="AA2:AA1000" si="12">IF(Z2&gt;0,Z2,IFERROR(VALUE(REPLACE(Y2,SEARCH(".",Y2,1),1,",")),Y2))</f>
        <v/>
      </c>
      <c r="AB2" s="1" t="str">
        <f t="array" ref="AB2">IFERROR(INDEX('Исходник'!$1:$626,MATCH($A2,'Исходник'!$T:$T,0),MATCH(AB$1,'Исходник'!$1:$1,0)))</f>
        <v/>
      </c>
      <c r="AC2" s="1" t="str">
        <f t="array" ref="AC2">IFERROR(INDEX('Исходник'!$1:$626,MATCH($A2,'Исходник'!$T:$T,0),MATCH(AC$1,'Исходник'!$1:$1,0)))</f>
        <v/>
      </c>
      <c r="AD2" s="27" t="str">
        <f t="shared" ref="AD2:AD1000" si="13">IFERROR(VALUE(REPLACE(AC2,SEARCH(".",AC2,1),1,",")),AC2)</f>
        <v/>
      </c>
      <c r="AE2" s="1" t="str">
        <f t="array" ref="AE2">IFERROR(INDEX('Исходник'!$1:$626,MATCH($A2,'Исходник'!$T:$T,0),MATCH(AE$1,'Исходник'!$1:$1,0)))</f>
        <v/>
      </c>
      <c r="AF2" s="1" t="str">
        <f t="array" ref="AF2">IFERROR(INDEX('Исходник'!$1:$626,MATCH($A2,'Исходник'!$T:$T,0),MATCH(AF$1,'Исходник'!$1:$1,0)))</f>
        <v/>
      </c>
      <c r="AG2" s="27" t="str">
        <f t="shared" ref="AG2:AG1000" si="14">IFERROR(VALUE(REPLACE(AF2,SEARCH(".",AF2,1),1,",")),AF2)</f>
        <v/>
      </c>
      <c r="AH2" s="1" t="str">
        <f t="array" ref="AH2">IFERROR(INDEX('Исходник'!$1:$626,MATCH($A2,'Исходник'!$T:$T,0),MATCH(AH$1,'Исходник'!$1:$1,0)))</f>
        <v/>
      </c>
      <c r="AI2" s="1" t="str">
        <f t="array" ref="AI2">IFERROR(INDEX('Исходник'!$1:$626,MATCH($A2,'Исходник'!$T:$T,0),MATCH(AI$1,'Исходник'!$1:$1,0)))</f>
        <v/>
      </c>
      <c r="AJ2" s="18">
        <f t="shared" ref="AJ2:AJ1000" si="15">VALUE(LEFT(AI2,10))</f>
        <v>0</v>
      </c>
      <c r="AL2" s="7"/>
    </row>
    <row r="3" ht="15.75" customHeight="1">
      <c r="A3" s="27"/>
      <c r="B3" s="1" t="str">
        <f t="array" ref="B3">IFERROR(INDEX('Исходник'!$1:$626,MATCH($A3,'Исходник'!$T:$T,0),MATCH(B$1,'Исходник'!$1:$1,0)))</f>
        <v/>
      </c>
      <c r="C3" s="1" t="str">
        <f t="array" ref="C3">IFERROR(INDEX('Исходник'!$1:$626,MATCH($A3,'Исходник'!$T:$T,0),MATCH(C$1,'Исходник'!$1:$1,0)))</f>
        <v/>
      </c>
      <c r="D3" s="1" t="str">
        <f t="array" ref="D3">IFERROR(INDEX('Исходник'!$1:$626,MATCH($A3,'Исходник'!$T:$T,0),MATCH(D$1,'Исходник'!$1:$1,0)))</f>
        <v/>
      </c>
      <c r="E3" s="1" t="str">
        <f t="array" ref="E3">IFERROR(INDEX('Исходник'!$1:$626,MATCH($A3,'Исходник'!$T:$T,0),MATCH(E$1,'Исходник'!$1:$1,0)))</f>
        <v/>
      </c>
      <c r="F3" s="1" t="str">
        <f t="array" ref="F3">IFERROR(INDEX('Исходник'!$1:$626,MATCH($A3,'Исходник'!$T:$T,0),MATCH(F$1,'Исходник'!$1:$1,0)))</f>
        <v/>
      </c>
      <c r="G3" s="1" t="str">
        <f t="array" ref="G3">IFERROR(INDEX('Исходник'!$1:$626,MATCH($A3,'Исходник'!$T:$T,0),MATCH(G$1,'Исходник'!$1:$1,0)))</f>
        <v/>
      </c>
      <c r="H3" s="27">
        <f t="shared" si="1"/>
        <v>0</v>
      </c>
      <c r="I3" s="27" t="str">
        <f t="shared" si="2"/>
        <v/>
      </c>
      <c r="J3" s="1" t="str">
        <f t="array" ref="J3">IFERROR(INDEX('Исходник'!$1:$626,MATCH($A3,'Исходник'!$T:$T,0),MATCH(J$1,'Исходник'!$1:$1,0)))</f>
        <v/>
      </c>
      <c r="K3" s="27" t="str">
        <f t="shared" si="3"/>
        <v/>
      </c>
      <c r="L3" s="1" t="str">
        <f t="array" ref="L3">IFERROR(INDEX('Исходник'!$1:$626,MATCH($A3,'Исходник'!$T:$T,0),MATCH(L$1,'Исходник'!$1:$1,0)))</f>
        <v/>
      </c>
      <c r="M3" s="28">
        <f t="shared" si="4"/>
        <v>0</v>
      </c>
      <c r="N3" s="1" t="str">
        <f t="array" ref="N3">IFERROR(INDEX('Исходник'!$1:$626,MATCH($A3,'Исходник'!$T:$T,0),MATCH(N$1,'Исходник'!$1:$1,0)))</f>
        <v/>
      </c>
      <c r="O3" s="27">
        <f t="shared" si="5"/>
        <v>0</v>
      </c>
      <c r="P3" s="27" t="str">
        <f t="shared" si="6"/>
        <v/>
      </c>
      <c r="Q3" s="1" t="str">
        <f t="array" ref="Q3">IFERROR(INDEX('Исходник'!$1:$626,MATCH($A3,'Исходник'!$T:$T,0),MATCH(Q$1,'Исходник'!$1:$1,0)))</f>
        <v/>
      </c>
      <c r="R3" s="1" t="str">
        <f t="array" ref="R3">IFERROR(INDEX('Исходник'!$1:$626,MATCH($A3,'Исходник'!$T:$T,0),MATCH(R$1,'Исходник'!$1:$1,0)))</f>
        <v/>
      </c>
      <c r="S3" s="27">
        <f t="shared" si="7"/>
        <v>0</v>
      </c>
      <c r="T3" s="27" t="str">
        <f t="shared" si="8"/>
        <v/>
      </c>
      <c r="U3" s="1" t="str">
        <f t="array" ref="U3">IFERROR(INDEX('Исходник'!$1:$626,MATCH($A3,'Исходник'!$T:$T,0),MATCH(U$1,'Исходник'!$1:$1,0)))</f>
        <v/>
      </c>
      <c r="V3" s="27" t="str">
        <f t="shared" si="9"/>
        <v/>
      </c>
      <c r="W3" s="1" t="str">
        <f t="array" ref="W3">IFERROR(INDEX('Исходник'!$1:$626,MATCH($A3,'Исходник'!$T:$T,0),MATCH(W$1,'Исходник'!$1:$1,0)))</f>
        <v/>
      </c>
      <c r="X3" s="28">
        <f t="shared" si="10"/>
        <v>0</v>
      </c>
      <c r="Y3" s="1" t="str">
        <f t="array" ref="Y3">IFERROR(INDEX('Исходник'!$1:$626,MATCH($A3,'Исходник'!$T:$T,0),MATCH(Y$1,'Исходник'!$1:$1,0)))</f>
        <v/>
      </c>
      <c r="Z3" s="27">
        <f t="shared" si="11"/>
        <v>0</v>
      </c>
      <c r="AA3" s="27" t="str">
        <f t="shared" si="12"/>
        <v/>
      </c>
      <c r="AB3" s="1" t="str">
        <f t="array" ref="AB3">IFERROR(INDEX('Исходник'!$1:$626,MATCH($A3,'Исходник'!$T:$T,0),MATCH(AB$1,'Исходник'!$1:$1,0)))</f>
        <v/>
      </c>
      <c r="AC3" s="1" t="str">
        <f t="array" ref="AC3">IFERROR(INDEX('Исходник'!$1:$626,MATCH($A3,'Исходник'!$T:$T,0),MATCH(AC$1,'Исходник'!$1:$1,0)))</f>
        <v/>
      </c>
      <c r="AD3" s="27" t="str">
        <f t="shared" si="13"/>
        <v/>
      </c>
      <c r="AE3" s="1" t="str">
        <f t="array" ref="AE3">IFERROR(INDEX('Исходник'!$1:$626,MATCH($A3,'Исходник'!$T:$T,0),MATCH(AE$1,'Исходник'!$1:$1,0)))</f>
        <v/>
      </c>
      <c r="AF3" s="1" t="str">
        <f t="array" ref="AF3">IFERROR(INDEX('Исходник'!$1:$626,MATCH($A3,'Исходник'!$T:$T,0),MATCH(AF$1,'Исходник'!$1:$1,0)))</f>
        <v/>
      </c>
      <c r="AG3" s="27" t="str">
        <f t="shared" si="14"/>
        <v/>
      </c>
      <c r="AH3" s="1" t="str">
        <f t="array" ref="AH3">IFERROR(INDEX('Исходник'!$1:$626,MATCH($A3,'Исходник'!$T:$T,0),MATCH(AH$1,'Исходник'!$1:$1,0)))</f>
        <v/>
      </c>
      <c r="AI3" s="1" t="str">
        <f t="array" ref="AI3">IFERROR(INDEX('Исходник'!$1:$626,MATCH($A3,'Исходник'!$T:$T,0),MATCH(AI$1,'Исходник'!$1:$1,0)))</f>
        <v/>
      </c>
      <c r="AJ3" s="18">
        <f t="shared" si="15"/>
        <v>0</v>
      </c>
    </row>
    <row r="4" ht="15.75" customHeight="1">
      <c r="A4" s="27"/>
      <c r="B4" s="1" t="str">
        <f t="array" ref="B4">IFERROR(INDEX('Исходник'!$1:$626,MATCH($A4,'Исходник'!$T:$T,0),MATCH(B$1,'Исходник'!$1:$1,0)))</f>
        <v/>
      </c>
      <c r="C4" s="1" t="str">
        <f t="array" ref="C4">IFERROR(INDEX('Исходник'!$1:$626,MATCH($A4,'Исходник'!$T:$T,0),MATCH(C$1,'Исходник'!$1:$1,0)))</f>
        <v/>
      </c>
      <c r="D4" s="1" t="str">
        <f t="array" ref="D4">IFERROR(INDEX('Исходник'!$1:$626,MATCH($A4,'Исходник'!$T:$T,0),MATCH(D$1,'Исходник'!$1:$1,0)))</f>
        <v/>
      </c>
      <c r="E4" s="1" t="str">
        <f t="array" ref="E4">IFERROR(INDEX('Исходник'!$1:$626,MATCH($A4,'Исходник'!$T:$T,0),MATCH(E$1,'Исходник'!$1:$1,0)))</f>
        <v/>
      </c>
      <c r="F4" s="1" t="str">
        <f t="array" ref="F4">IFERROR(INDEX('Исходник'!$1:$626,MATCH($A4,'Исходник'!$T:$T,0),MATCH(F$1,'Исходник'!$1:$1,0)))</f>
        <v/>
      </c>
      <c r="G4" s="1" t="str">
        <f t="array" ref="G4">IFERROR(INDEX('Исходник'!$1:$626,MATCH($A4,'Исходник'!$T:$T,0),MATCH(G$1,'Исходник'!$1:$1,0)))</f>
        <v/>
      </c>
      <c r="H4" s="27">
        <f t="shared" si="1"/>
        <v>0</v>
      </c>
      <c r="I4" s="27" t="str">
        <f t="shared" si="2"/>
        <v/>
      </c>
      <c r="J4" s="1" t="str">
        <f t="array" ref="J4">IFERROR(INDEX('Исходник'!$1:$626,MATCH($A4,'Исходник'!$T:$T,0),MATCH(J$1,'Исходник'!$1:$1,0)))</f>
        <v/>
      </c>
      <c r="K4" s="27" t="str">
        <f t="shared" si="3"/>
        <v/>
      </c>
      <c r="L4" s="1" t="str">
        <f t="array" ref="L4">IFERROR(INDEX('Исходник'!$1:$626,MATCH($A4,'Исходник'!$T:$T,0),MATCH(L$1,'Исходник'!$1:$1,0)))</f>
        <v/>
      </c>
      <c r="M4" s="28">
        <f t="shared" si="4"/>
        <v>0</v>
      </c>
      <c r="N4" s="1" t="str">
        <f t="array" ref="N4">IFERROR(INDEX('Исходник'!$1:$626,MATCH($A4,'Исходник'!$T:$T,0),MATCH(N$1,'Исходник'!$1:$1,0)))</f>
        <v/>
      </c>
      <c r="O4" s="27">
        <f t="shared" si="5"/>
        <v>0</v>
      </c>
      <c r="P4" s="27" t="str">
        <f t="shared" si="6"/>
        <v/>
      </c>
      <c r="Q4" s="1" t="str">
        <f t="array" ref="Q4">IFERROR(INDEX('Исходник'!$1:$626,MATCH($A4,'Исходник'!$T:$T,0),MATCH(Q$1,'Исходник'!$1:$1,0)))</f>
        <v/>
      </c>
      <c r="R4" s="1" t="str">
        <f t="array" ref="R4">IFERROR(INDEX('Исходник'!$1:$626,MATCH($A4,'Исходник'!$T:$T,0),MATCH(R$1,'Исходник'!$1:$1,0)))</f>
        <v/>
      </c>
      <c r="S4" s="27">
        <f t="shared" si="7"/>
        <v>0</v>
      </c>
      <c r="T4" s="27" t="str">
        <f t="shared" si="8"/>
        <v/>
      </c>
      <c r="U4" s="1" t="str">
        <f t="array" ref="U4">IFERROR(INDEX('Исходник'!$1:$626,MATCH($A4,'Исходник'!$T:$T,0),MATCH(U$1,'Исходник'!$1:$1,0)))</f>
        <v/>
      </c>
      <c r="V4" s="27" t="str">
        <f t="shared" si="9"/>
        <v/>
      </c>
      <c r="W4" s="1" t="str">
        <f t="array" ref="W4">IFERROR(INDEX('Исходник'!$1:$626,MATCH($A4,'Исходник'!$T:$T,0),MATCH(W$1,'Исходник'!$1:$1,0)))</f>
        <v/>
      </c>
      <c r="X4" s="28">
        <f t="shared" si="10"/>
        <v>0</v>
      </c>
      <c r="Y4" s="1" t="str">
        <f t="array" ref="Y4">IFERROR(INDEX('Исходник'!$1:$626,MATCH($A4,'Исходник'!$T:$T,0),MATCH(Y$1,'Исходник'!$1:$1,0)))</f>
        <v/>
      </c>
      <c r="Z4" s="27">
        <f t="shared" si="11"/>
        <v>0</v>
      </c>
      <c r="AA4" s="27" t="str">
        <f t="shared" si="12"/>
        <v/>
      </c>
      <c r="AB4" s="1" t="str">
        <f t="array" ref="AB4">IFERROR(INDEX('Исходник'!$1:$626,MATCH($A4,'Исходник'!$T:$T,0),MATCH(AB$1,'Исходник'!$1:$1,0)))</f>
        <v/>
      </c>
      <c r="AC4" s="1" t="str">
        <f t="array" ref="AC4">IFERROR(INDEX('Исходник'!$1:$626,MATCH($A4,'Исходник'!$T:$T,0),MATCH(AC$1,'Исходник'!$1:$1,0)))</f>
        <v/>
      </c>
      <c r="AD4" s="27" t="str">
        <f t="shared" si="13"/>
        <v/>
      </c>
      <c r="AE4" s="1" t="str">
        <f t="array" ref="AE4">IFERROR(INDEX('Исходник'!$1:$626,MATCH($A4,'Исходник'!$T:$T,0),MATCH(AE$1,'Исходник'!$1:$1,0)))</f>
        <v/>
      </c>
      <c r="AF4" s="1" t="str">
        <f t="array" ref="AF4">IFERROR(INDEX('Исходник'!$1:$626,MATCH($A4,'Исходник'!$T:$T,0),MATCH(AF$1,'Исходник'!$1:$1,0)))</f>
        <v/>
      </c>
      <c r="AG4" s="27" t="str">
        <f t="shared" si="14"/>
        <v/>
      </c>
      <c r="AH4" s="1" t="str">
        <f t="array" ref="AH4">IFERROR(INDEX('Исходник'!$1:$626,MATCH($A4,'Исходник'!$T:$T,0),MATCH(AH$1,'Исходник'!$1:$1,0)))</f>
        <v/>
      </c>
      <c r="AI4" s="1" t="str">
        <f t="array" ref="AI4">IFERROR(INDEX('Исходник'!$1:$626,MATCH($A4,'Исходник'!$T:$T,0),MATCH(AI$1,'Исходник'!$1:$1,0)))</f>
        <v/>
      </c>
      <c r="AJ4" s="18">
        <f t="shared" si="15"/>
        <v>0</v>
      </c>
    </row>
    <row r="5" ht="15.75" customHeight="1">
      <c r="A5" s="27"/>
      <c r="B5" s="1" t="str">
        <f t="array" ref="B5">IFERROR(INDEX('Исходник'!$1:$626,MATCH($A5,'Исходник'!$T:$T,0),MATCH(B$1,'Исходник'!$1:$1,0)))</f>
        <v/>
      </c>
      <c r="C5" s="1" t="str">
        <f t="array" ref="C5">IFERROR(INDEX('Исходник'!$1:$626,MATCH($A5,'Исходник'!$T:$T,0),MATCH(C$1,'Исходник'!$1:$1,0)))</f>
        <v/>
      </c>
      <c r="D5" s="1" t="str">
        <f t="array" ref="D5">IFERROR(INDEX('Исходник'!$1:$626,MATCH($A5,'Исходник'!$T:$T,0),MATCH(D$1,'Исходник'!$1:$1,0)))</f>
        <v/>
      </c>
      <c r="E5" s="1" t="str">
        <f t="array" ref="E5">IFERROR(INDEX('Исходник'!$1:$626,MATCH($A5,'Исходник'!$T:$T,0),MATCH(E$1,'Исходник'!$1:$1,0)))</f>
        <v/>
      </c>
      <c r="F5" s="1" t="str">
        <f t="array" ref="F5">IFERROR(INDEX('Исходник'!$1:$626,MATCH($A5,'Исходник'!$T:$T,0),MATCH(F$1,'Исходник'!$1:$1,0)))</f>
        <v/>
      </c>
      <c r="G5" s="1" t="str">
        <f t="array" ref="G5">IFERROR(INDEX('Исходник'!$1:$626,MATCH($A5,'Исходник'!$T:$T,0),MATCH(G$1,'Исходник'!$1:$1,0)))</f>
        <v/>
      </c>
      <c r="H5" s="27">
        <f t="shared" si="1"/>
        <v>0</v>
      </c>
      <c r="I5" s="27" t="str">
        <f t="shared" si="2"/>
        <v/>
      </c>
      <c r="J5" s="1" t="str">
        <f t="array" ref="J5">IFERROR(INDEX('Исходник'!$1:$626,MATCH($A5,'Исходник'!$T:$T,0),MATCH(J$1,'Исходник'!$1:$1,0)))</f>
        <v/>
      </c>
      <c r="K5" s="27" t="str">
        <f t="shared" si="3"/>
        <v/>
      </c>
      <c r="L5" s="1" t="str">
        <f t="array" ref="L5">IFERROR(INDEX('Исходник'!$1:$626,MATCH($A5,'Исходник'!$T:$T,0),MATCH(L$1,'Исходник'!$1:$1,0)))</f>
        <v/>
      </c>
      <c r="M5" s="28">
        <f t="shared" si="4"/>
        <v>0</v>
      </c>
      <c r="N5" s="1" t="str">
        <f t="array" ref="N5">IFERROR(INDEX('Исходник'!$1:$626,MATCH($A5,'Исходник'!$T:$T,0),MATCH(N$1,'Исходник'!$1:$1,0)))</f>
        <v/>
      </c>
      <c r="O5" s="27">
        <f t="shared" si="5"/>
        <v>0</v>
      </c>
      <c r="P5" s="27" t="str">
        <f t="shared" si="6"/>
        <v/>
      </c>
      <c r="Q5" s="1" t="str">
        <f t="array" ref="Q5">IFERROR(INDEX('Исходник'!$1:$626,MATCH($A5,'Исходник'!$T:$T,0),MATCH(Q$1,'Исходник'!$1:$1,0)))</f>
        <v/>
      </c>
      <c r="R5" s="1" t="str">
        <f t="array" ref="R5">IFERROR(INDEX('Исходник'!$1:$626,MATCH($A5,'Исходник'!$T:$T,0),MATCH(R$1,'Исходник'!$1:$1,0)))</f>
        <v/>
      </c>
      <c r="S5" s="27">
        <f t="shared" si="7"/>
        <v>0</v>
      </c>
      <c r="T5" s="27" t="str">
        <f t="shared" si="8"/>
        <v/>
      </c>
      <c r="U5" s="1" t="str">
        <f t="array" ref="U5">IFERROR(INDEX('Исходник'!$1:$626,MATCH($A5,'Исходник'!$T:$T,0),MATCH(U$1,'Исходник'!$1:$1,0)))</f>
        <v/>
      </c>
      <c r="V5" s="27" t="str">
        <f t="shared" si="9"/>
        <v/>
      </c>
      <c r="W5" s="1" t="str">
        <f t="array" ref="W5">IFERROR(INDEX('Исходник'!$1:$626,MATCH($A5,'Исходник'!$T:$T,0),MATCH(W$1,'Исходник'!$1:$1,0)))</f>
        <v/>
      </c>
      <c r="X5" s="28">
        <f t="shared" si="10"/>
        <v>0</v>
      </c>
      <c r="Y5" s="1" t="str">
        <f t="array" ref="Y5">IFERROR(INDEX('Исходник'!$1:$626,MATCH($A5,'Исходник'!$T:$T,0),MATCH(Y$1,'Исходник'!$1:$1,0)))</f>
        <v/>
      </c>
      <c r="Z5" s="27">
        <f t="shared" si="11"/>
        <v>0</v>
      </c>
      <c r="AA5" s="27" t="str">
        <f t="shared" si="12"/>
        <v/>
      </c>
      <c r="AB5" s="1" t="str">
        <f t="array" ref="AB5">IFERROR(INDEX('Исходник'!$1:$626,MATCH($A5,'Исходник'!$T:$T,0),MATCH(AB$1,'Исходник'!$1:$1,0)))</f>
        <v/>
      </c>
      <c r="AC5" s="1" t="str">
        <f t="array" ref="AC5">IFERROR(INDEX('Исходник'!$1:$626,MATCH($A5,'Исходник'!$T:$T,0),MATCH(AC$1,'Исходник'!$1:$1,0)))</f>
        <v/>
      </c>
      <c r="AD5" s="27" t="str">
        <f t="shared" si="13"/>
        <v/>
      </c>
      <c r="AE5" s="1" t="str">
        <f t="array" ref="AE5">IFERROR(INDEX('Исходник'!$1:$626,MATCH($A5,'Исходник'!$T:$T,0),MATCH(AE$1,'Исходник'!$1:$1,0)))</f>
        <v/>
      </c>
      <c r="AF5" s="1" t="str">
        <f t="array" ref="AF5">IFERROR(INDEX('Исходник'!$1:$626,MATCH($A5,'Исходник'!$T:$T,0),MATCH(AF$1,'Исходник'!$1:$1,0)))</f>
        <v/>
      </c>
      <c r="AG5" s="27" t="str">
        <f t="shared" si="14"/>
        <v/>
      </c>
      <c r="AH5" s="1" t="str">
        <f t="array" ref="AH5">IFERROR(INDEX('Исходник'!$1:$626,MATCH($A5,'Исходник'!$T:$T,0),MATCH(AH$1,'Исходник'!$1:$1,0)))</f>
        <v/>
      </c>
      <c r="AI5" s="1" t="str">
        <f t="array" ref="AI5">IFERROR(INDEX('Исходник'!$1:$626,MATCH($A5,'Исходник'!$T:$T,0),MATCH(AI$1,'Исходник'!$1:$1,0)))</f>
        <v/>
      </c>
      <c r="AJ5" s="18">
        <f t="shared" si="15"/>
        <v>0</v>
      </c>
    </row>
    <row r="6" ht="15.75" customHeight="1">
      <c r="A6" s="27"/>
      <c r="B6" s="1" t="str">
        <f t="array" ref="B6">IFERROR(INDEX('Исходник'!$1:$626,MATCH($A6,'Исходник'!$T:$T,0),MATCH(B$1,'Исходник'!$1:$1,0)))</f>
        <v/>
      </c>
      <c r="C6" s="1" t="str">
        <f t="array" ref="C6">IFERROR(INDEX('Исходник'!$1:$626,MATCH($A6,'Исходник'!$T:$T,0),MATCH(C$1,'Исходник'!$1:$1,0)))</f>
        <v/>
      </c>
      <c r="D6" s="1" t="str">
        <f t="array" ref="D6">IFERROR(INDEX('Исходник'!$1:$626,MATCH($A6,'Исходник'!$T:$T,0),MATCH(D$1,'Исходник'!$1:$1,0)))</f>
        <v/>
      </c>
      <c r="E6" s="1" t="str">
        <f t="array" ref="E6">IFERROR(INDEX('Исходник'!$1:$626,MATCH($A6,'Исходник'!$T:$T,0),MATCH(E$1,'Исходник'!$1:$1,0)))</f>
        <v/>
      </c>
      <c r="F6" s="1" t="str">
        <f t="array" ref="F6">IFERROR(INDEX('Исходник'!$1:$626,MATCH($A6,'Исходник'!$T:$T,0),MATCH(F$1,'Исходник'!$1:$1,0)))</f>
        <v/>
      </c>
      <c r="G6" s="1" t="str">
        <f t="array" ref="G6">IFERROR(INDEX('Исходник'!$1:$626,MATCH($A6,'Исходник'!$T:$T,0),MATCH(G$1,'Исходник'!$1:$1,0)))</f>
        <v/>
      </c>
      <c r="H6" s="27">
        <f t="shared" si="1"/>
        <v>0</v>
      </c>
      <c r="I6" s="27" t="str">
        <f t="shared" si="2"/>
        <v/>
      </c>
      <c r="J6" s="1" t="str">
        <f t="array" ref="J6">IFERROR(INDEX('Исходник'!$1:$626,MATCH($A6,'Исходник'!$T:$T,0),MATCH(J$1,'Исходник'!$1:$1,0)))</f>
        <v/>
      </c>
      <c r="K6" s="27" t="str">
        <f t="shared" si="3"/>
        <v/>
      </c>
      <c r="L6" s="1" t="str">
        <f t="array" ref="L6">IFERROR(INDEX('Исходник'!$1:$626,MATCH($A6,'Исходник'!$T:$T,0),MATCH(L$1,'Исходник'!$1:$1,0)))</f>
        <v/>
      </c>
      <c r="M6" s="28">
        <f t="shared" si="4"/>
        <v>0</v>
      </c>
      <c r="N6" s="1" t="str">
        <f t="array" ref="N6">IFERROR(INDEX('Исходник'!$1:$626,MATCH($A6,'Исходник'!$T:$T,0),MATCH(N$1,'Исходник'!$1:$1,0)))</f>
        <v/>
      </c>
      <c r="O6" s="27">
        <f t="shared" si="5"/>
        <v>0</v>
      </c>
      <c r="P6" s="27" t="str">
        <f t="shared" si="6"/>
        <v/>
      </c>
      <c r="Q6" s="1" t="str">
        <f t="array" ref="Q6">IFERROR(INDEX('Исходник'!$1:$626,MATCH($A6,'Исходник'!$T:$T,0),MATCH(Q$1,'Исходник'!$1:$1,0)))</f>
        <v/>
      </c>
      <c r="R6" s="1" t="str">
        <f t="array" ref="R6">IFERROR(INDEX('Исходник'!$1:$626,MATCH($A6,'Исходник'!$T:$T,0),MATCH(R$1,'Исходник'!$1:$1,0)))</f>
        <v/>
      </c>
      <c r="S6" s="27">
        <f t="shared" si="7"/>
        <v>0</v>
      </c>
      <c r="T6" s="27" t="str">
        <f t="shared" si="8"/>
        <v/>
      </c>
      <c r="U6" s="1" t="str">
        <f t="array" ref="U6">IFERROR(INDEX('Исходник'!$1:$626,MATCH($A6,'Исходник'!$T:$T,0),MATCH(U$1,'Исходник'!$1:$1,0)))</f>
        <v/>
      </c>
      <c r="V6" s="27" t="str">
        <f t="shared" si="9"/>
        <v/>
      </c>
      <c r="W6" s="1" t="str">
        <f t="array" ref="W6">IFERROR(INDEX('Исходник'!$1:$626,MATCH($A6,'Исходник'!$T:$T,0),MATCH(W$1,'Исходник'!$1:$1,0)))</f>
        <v/>
      </c>
      <c r="X6" s="28">
        <f t="shared" si="10"/>
        <v>0</v>
      </c>
      <c r="Y6" s="1" t="str">
        <f t="array" ref="Y6">IFERROR(INDEX('Исходник'!$1:$626,MATCH($A6,'Исходник'!$T:$T,0),MATCH(Y$1,'Исходник'!$1:$1,0)))</f>
        <v/>
      </c>
      <c r="Z6" s="27">
        <f t="shared" si="11"/>
        <v>0</v>
      </c>
      <c r="AA6" s="27" t="str">
        <f t="shared" si="12"/>
        <v/>
      </c>
      <c r="AB6" s="1" t="str">
        <f t="array" ref="AB6">IFERROR(INDEX('Исходник'!$1:$626,MATCH($A6,'Исходник'!$T:$T,0),MATCH(AB$1,'Исходник'!$1:$1,0)))</f>
        <v/>
      </c>
      <c r="AC6" s="1" t="str">
        <f t="array" ref="AC6">IFERROR(INDEX('Исходник'!$1:$626,MATCH($A6,'Исходник'!$T:$T,0),MATCH(AC$1,'Исходник'!$1:$1,0)))</f>
        <v/>
      </c>
      <c r="AD6" s="27" t="str">
        <f t="shared" si="13"/>
        <v/>
      </c>
      <c r="AE6" s="1" t="str">
        <f t="array" ref="AE6">IFERROR(INDEX('Исходник'!$1:$626,MATCH($A6,'Исходник'!$T:$T,0),MATCH(AE$1,'Исходник'!$1:$1,0)))</f>
        <v/>
      </c>
      <c r="AF6" s="1" t="str">
        <f t="array" ref="AF6">IFERROR(INDEX('Исходник'!$1:$626,MATCH($A6,'Исходник'!$T:$T,0),MATCH(AF$1,'Исходник'!$1:$1,0)))</f>
        <v/>
      </c>
      <c r="AG6" s="27" t="str">
        <f t="shared" si="14"/>
        <v/>
      </c>
      <c r="AH6" s="1" t="str">
        <f t="array" ref="AH6">IFERROR(INDEX('Исходник'!$1:$626,MATCH($A6,'Исходник'!$T:$T,0),MATCH(AH$1,'Исходник'!$1:$1,0)))</f>
        <v/>
      </c>
      <c r="AI6" s="1" t="str">
        <f t="array" ref="AI6">IFERROR(INDEX('Исходник'!$1:$626,MATCH($A6,'Исходник'!$T:$T,0),MATCH(AI$1,'Исходник'!$1:$1,0)))</f>
        <v/>
      </c>
      <c r="AJ6" s="18">
        <f t="shared" si="15"/>
        <v>0</v>
      </c>
    </row>
    <row r="7" ht="15.75" customHeight="1">
      <c r="A7" s="27"/>
      <c r="B7" s="1" t="str">
        <f t="array" ref="B7">IFERROR(INDEX('Исходник'!$1:$626,MATCH($A7,'Исходник'!$T:$T,0),MATCH(B$1,'Исходник'!$1:$1,0)))</f>
        <v/>
      </c>
      <c r="C7" s="1" t="str">
        <f t="array" ref="C7">IFERROR(INDEX('Исходник'!$1:$626,MATCH($A7,'Исходник'!$T:$T,0),MATCH(C$1,'Исходник'!$1:$1,0)))</f>
        <v/>
      </c>
      <c r="D7" s="1" t="str">
        <f t="array" ref="D7">IFERROR(INDEX('Исходник'!$1:$626,MATCH($A7,'Исходник'!$T:$T,0),MATCH(D$1,'Исходник'!$1:$1,0)))</f>
        <v/>
      </c>
      <c r="E7" s="1" t="str">
        <f t="array" ref="E7">IFERROR(INDEX('Исходник'!$1:$626,MATCH($A7,'Исходник'!$T:$T,0),MATCH(E$1,'Исходник'!$1:$1,0)))</f>
        <v/>
      </c>
      <c r="F7" s="1" t="str">
        <f t="array" ref="F7">IFERROR(INDEX('Исходник'!$1:$626,MATCH($A7,'Исходник'!$T:$T,0),MATCH(F$1,'Исходник'!$1:$1,0)))</f>
        <v/>
      </c>
      <c r="G7" s="1" t="str">
        <f t="array" ref="G7">IFERROR(INDEX('Исходник'!$1:$626,MATCH($A7,'Исходник'!$T:$T,0),MATCH(G$1,'Исходник'!$1:$1,0)))</f>
        <v/>
      </c>
      <c r="H7" s="27">
        <f t="shared" si="1"/>
        <v>0</v>
      </c>
      <c r="I7" s="27" t="str">
        <f t="shared" si="2"/>
        <v/>
      </c>
      <c r="J7" s="1" t="str">
        <f t="array" ref="J7">IFERROR(INDEX('Исходник'!$1:$626,MATCH($A7,'Исходник'!$T:$T,0),MATCH(J$1,'Исходник'!$1:$1,0)))</f>
        <v/>
      </c>
      <c r="K7" s="27" t="str">
        <f t="shared" si="3"/>
        <v/>
      </c>
      <c r="L7" s="1" t="str">
        <f t="array" ref="L7">IFERROR(INDEX('Исходник'!$1:$626,MATCH($A7,'Исходник'!$T:$T,0),MATCH(L$1,'Исходник'!$1:$1,0)))</f>
        <v/>
      </c>
      <c r="M7" s="28">
        <f t="shared" si="4"/>
        <v>0</v>
      </c>
      <c r="N7" s="1" t="str">
        <f t="array" ref="N7">IFERROR(INDEX('Исходник'!$1:$626,MATCH($A7,'Исходник'!$T:$T,0),MATCH(N$1,'Исходник'!$1:$1,0)))</f>
        <v/>
      </c>
      <c r="O7" s="27">
        <f t="shared" si="5"/>
        <v>0</v>
      </c>
      <c r="P7" s="27" t="str">
        <f t="shared" si="6"/>
        <v/>
      </c>
      <c r="Q7" s="1" t="str">
        <f t="array" ref="Q7">IFERROR(INDEX('Исходник'!$1:$626,MATCH($A7,'Исходник'!$T:$T,0),MATCH(Q$1,'Исходник'!$1:$1,0)))</f>
        <v/>
      </c>
      <c r="R7" s="1" t="str">
        <f t="array" ref="R7">IFERROR(INDEX('Исходник'!$1:$626,MATCH($A7,'Исходник'!$T:$T,0),MATCH(R$1,'Исходник'!$1:$1,0)))</f>
        <v/>
      </c>
      <c r="S7" s="27">
        <f t="shared" si="7"/>
        <v>0</v>
      </c>
      <c r="T7" s="27" t="str">
        <f t="shared" si="8"/>
        <v/>
      </c>
      <c r="U7" s="1" t="str">
        <f t="array" ref="U7">IFERROR(INDEX('Исходник'!$1:$626,MATCH($A7,'Исходник'!$T:$T,0),MATCH(U$1,'Исходник'!$1:$1,0)))</f>
        <v/>
      </c>
      <c r="V7" s="27" t="str">
        <f t="shared" si="9"/>
        <v/>
      </c>
      <c r="W7" s="1" t="str">
        <f t="array" ref="W7">IFERROR(INDEX('Исходник'!$1:$626,MATCH($A7,'Исходник'!$T:$T,0),MATCH(W$1,'Исходник'!$1:$1,0)))</f>
        <v/>
      </c>
      <c r="X7" s="28">
        <f t="shared" si="10"/>
        <v>0</v>
      </c>
      <c r="Y7" s="1" t="str">
        <f t="array" ref="Y7">IFERROR(INDEX('Исходник'!$1:$626,MATCH($A7,'Исходник'!$T:$T,0),MATCH(Y$1,'Исходник'!$1:$1,0)))</f>
        <v/>
      </c>
      <c r="Z7" s="27">
        <f t="shared" si="11"/>
        <v>0</v>
      </c>
      <c r="AA7" s="27" t="str">
        <f t="shared" si="12"/>
        <v/>
      </c>
      <c r="AB7" s="1" t="str">
        <f t="array" ref="AB7">IFERROR(INDEX('Исходник'!$1:$626,MATCH($A7,'Исходник'!$T:$T,0),MATCH(AB$1,'Исходник'!$1:$1,0)))</f>
        <v/>
      </c>
      <c r="AC7" s="1" t="str">
        <f t="array" ref="AC7">IFERROR(INDEX('Исходник'!$1:$626,MATCH($A7,'Исходник'!$T:$T,0),MATCH(AC$1,'Исходник'!$1:$1,0)))</f>
        <v/>
      </c>
      <c r="AD7" s="27" t="str">
        <f t="shared" si="13"/>
        <v/>
      </c>
      <c r="AE7" s="1" t="str">
        <f t="array" ref="AE7">IFERROR(INDEX('Исходник'!$1:$626,MATCH($A7,'Исходник'!$T:$T,0),MATCH(AE$1,'Исходник'!$1:$1,0)))</f>
        <v/>
      </c>
      <c r="AF7" s="1" t="str">
        <f t="array" ref="AF7">IFERROR(INDEX('Исходник'!$1:$626,MATCH($A7,'Исходник'!$T:$T,0),MATCH(AF$1,'Исходник'!$1:$1,0)))</f>
        <v/>
      </c>
      <c r="AG7" s="27" t="str">
        <f t="shared" si="14"/>
        <v/>
      </c>
      <c r="AH7" s="1" t="str">
        <f t="array" ref="AH7">IFERROR(INDEX('Исходник'!$1:$626,MATCH($A7,'Исходник'!$T:$T,0),MATCH(AH$1,'Исходник'!$1:$1,0)))</f>
        <v/>
      </c>
      <c r="AI7" s="1" t="str">
        <f t="array" ref="AI7">IFERROR(INDEX('Исходник'!$1:$626,MATCH($A7,'Исходник'!$T:$T,0),MATCH(AI$1,'Исходник'!$1:$1,0)))</f>
        <v/>
      </c>
      <c r="AJ7" s="18">
        <f t="shared" si="15"/>
        <v>0</v>
      </c>
    </row>
    <row r="8" ht="15.75" customHeight="1">
      <c r="A8" s="27"/>
      <c r="B8" s="1" t="str">
        <f t="array" ref="B8">IFERROR(INDEX('Исходник'!$1:$626,MATCH($A8,'Исходник'!$T:$T,0),MATCH(B$1,'Исходник'!$1:$1,0)))</f>
        <v/>
      </c>
      <c r="C8" s="1" t="str">
        <f t="array" ref="C8">IFERROR(INDEX('Исходник'!$1:$626,MATCH($A8,'Исходник'!$T:$T,0),MATCH(C$1,'Исходник'!$1:$1,0)))</f>
        <v/>
      </c>
      <c r="D8" s="1" t="str">
        <f t="array" ref="D8">IFERROR(INDEX('Исходник'!$1:$626,MATCH($A8,'Исходник'!$T:$T,0),MATCH(D$1,'Исходник'!$1:$1,0)))</f>
        <v/>
      </c>
      <c r="E8" s="1" t="str">
        <f t="array" ref="E8">IFERROR(INDEX('Исходник'!$1:$626,MATCH($A8,'Исходник'!$T:$T,0),MATCH(E$1,'Исходник'!$1:$1,0)))</f>
        <v/>
      </c>
      <c r="F8" s="1" t="str">
        <f t="array" ref="F8">IFERROR(INDEX('Исходник'!$1:$626,MATCH($A8,'Исходник'!$T:$T,0),MATCH(F$1,'Исходник'!$1:$1,0)))</f>
        <v/>
      </c>
      <c r="G8" s="1" t="str">
        <f t="array" ref="G8">IFERROR(INDEX('Исходник'!$1:$626,MATCH($A8,'Исходник'!$T:$T,0),MATCH(G$1,'Исходник'!$1:$1,0)))</f>
        <v/>
      </c>
      <c r="H8" s="27">
        <f t="shared" si="1"/>
        <v>0</v>
      </c>
      <c r="I8" s="27" t="str">
        <f t="shared" si="2"/>
        <v/>
      </c>
      <c r="J8" s="1" t="str">
        <f t="array" ref="J8">IFERROR(INDEX('Исходник'!$1:$626,MATCH($A8,'Исходник'!$T:$T,0),MATCH(J$1,'Исходник'!$1:$1,0)))</f>
        <v/>
      </c>
      <c r="K8" s="27" t="str">
        <f t="shared" si="3"/>
        <v/>
      </c>
      <c r="L8" s="1" t="str">
        <f t="array" ref="L8">IFERROR(INDEX('Исходник'!$1:$626,MATCH($A8,'Исходник'!$T:$T,0),MATCH(L$1,'Исходник'!$1:$1,0)))</f>
        <v/>
      </c>
      <c r="M8" s="28">
        <f t="shared" si="4"/>
        <v>0</v>
      </c>
      <c r="N8" s="1" t="str">
        <f t="array" ref="N8">IFERROR(INDEX('Исходник'!$1:$626,MATCH($A8,'Исходник'!$T:$T,0),MATCH(N$1,'Исходник'!$1:$1,0)))</f>
        <v/>
      </c>
      <c r="O8" s="27">
        <f t="shared" si="5"/>
        <v>0</v>
      </c>
      <c r="P8" s="27" t="str">
        <f t="shared" si="6"/>
        <v/>
      </c>
      <c r="Q8" s="1" t="str">
        <f t="array" ref="Q8">IFERROR(INDEX('Исходник'!$1:$626,MATCH($A8,'Исходник'!$T:$T,0),MATCH(Q$1,'Исходник'!$1:$1,0)))</f>
        <v/>
      </c>
      <c r="R8" s="1" t="str">
        <f t="array" ref="R8">IFERROR(INDEX('Исходник'!$1:$626,MATCH($A8,'Исходник'!$T:$T,0),MATCH(R$1,'Исходник'!$1:$1,0)))</f>
        <v/>
      </c>
      <c r="S8" s="27">
        <f t="shared" si="7"/>
        <v>0</v>
      </c>
      <c r="T8" s="27" t="str">
        <f t="shared" si="8"/>
        <v/>
      </c>
      <c r="U8" s="1" t="str">
        <f t="array" ref="U8">IFERROR(INDEX('Исходник'!$1:$626,MATCH($A8,'Исходник'!$T:$T,0),MATCH(U$1,'Исходник'!$1:$1,0)))</f>
        <v/>
      </c>
      <c r="V8" s="27" t="str">
        <f t="shared" si="9"/>
        <v/>
      </c>
      <c r="W8" s="1" t="str">
        <f t="array" ref="W8">IFERROR(INDEX('Исходник'!$1:$626,MATCH($A8,'Исходник'!$T:$T,0),MATCH(W$1,'Исходник'!$1:$1,0)))</f>
        <v/>
      </c>
      <c r="X8" s="28">
        <f t="shared" si="10"/>
        <v>0</v>
      </c>
      <c r="Y8" s="1" t="str">
        <f t="array" ref="Y8">IFERROR(INDEX('Исходник'!$1:$626,MATCH($A8,'Исходник'!$T:$T,0),MATCH(Y$1,'Исходник'!$1:$1,0)))</f>
        <v/>
      </c>
      <c r="Z8" s="27">
        <f t="shared" si="11"/>
        <v>0</v>
      </c>
      <c r="AA8" s="27" t="str">
        <f t="shared" si="12"/>
        <v/>
      </c>
      <c r="AB8" s="1" t="str">
        <f t="array" ref="AB8">IFERROR(INDEX('Исходник'!$1:$626,MATCH($A8,'Исходник'!$T:$T,0),MATCH(AB$1,'Исходник'!$1:$1,0)))</f>
        <v/>
      </c>
      <c r="AC8" s="1" t="str">
        <f t="array" ref="AC8">IFERROR(INDEX('Исходник'!$1:$626,MATCH($A8,'Исходник'!$T:$T,0),MATCH(AC$1,'Исходник'!$1:$1,0)))</f>
        <v/>
      </c>
      <c r="AD8" s="27" t="str">
        <f t="shared" si="13"/>
        <v/>
      </c>
      <c r="AE8" s="1" t="str">
        <f t="array" ref="AE8">IFERROR(INDEX('Исходник'!$1:$626,MATCH($A8,'Исходник'!$T:$T,0),MATCH(AE$1,'Исходник'!$1:$1,0)))</f>
        <v/>
      </c>
      <c r="AF8" s="1" t="str">
        <f t="array" ref="AF8">IFERROR(INDEX('Исходник'!$1:$626,MATCH($A8,'Исходник'!$T:$T,0),MATCH(AF$1,'Исходник'!$1:$1,0)))</f>
        <v/>
      </c>
      <c r="AG8" s="27" t="str">
        <f t="shared" si="14"/>
        <v/>
      </c>
      <c r="AH8" s="1" t="str">
        <f t="array" ref="AH8">IFERROR(INDEX('Исходник'!$1:$626,MATCH($A8,'Исходник'!$T:$T,0),MATCH(AH$1,'Исходник'!$1:$1,0)))</f>
        <v/>
      </c>
      <c r="AI8" s="1" t="str">
        <f t="array" ref="AI8">IFERROR(INDEX('Исходник'!$1:$626,MATCH($A8,'Исходник'!$T:$T,0),MATCH(AI$1,'Исходник'!$1:$1,0)))</f>
        <v/>
      </c>
      <c r="AJ8" s="18">
        <f t="shared" si="15"/>
        <v>0</v>
      </c>
    </row>
    <row r="9" ht="15.75" customHeight="1">
      <c r="A9" s="27"/>
      <c r="B9" s="1" t="str">
        <f t="array" ref="B9">IFERROR(INDEX('Исходник'!$1:$626,MATCH($A9,'Исходник'!$T:$T,0),MATCH(B$1,'Исходник'!$1:$1,0)))</f>
        <v/>
      </c>
      <c r="C9" s="1" t="str">
        <f t="array" ref="C9">IFERROR(INDEX('Исходник'!$1:$626,MATCH($A9,'Исходник'!$T:$T,0),MATCH(C$1,'Исходник'!$1:$1,0)))</f>
        <v/>
      </c>
      <c r="D9" s="1" t="str">
        <f t="array" ref="D9">IFERROR(INDEX('Исходник'!$1:$626,MATCH($A9,'Исходник'!$T:$T,0),MATCH(D$1,'Исходник'!$1:$1,0)))</f>
        <v/>
      </c>
      <c r="E9" s="1" t="str">
        <f t="array" ref="E9">IFERROR(INDEX('Исходник'!$1:$626,MATCH($A9,'Исходник'!$T:$T,0),MATCH(E$1,'Исходник'!$1:$1,0)))</f>
        <v/>
      </c>
      <c r="F9" s="1" t="str">
        <f t="array" ref="F9">IFERROR(INDEX('Исходник'!$1:$626,MATCH($A9,'Исходник'!$T:$T,0),MATCH(F$1,'Исходник'!$1:$1,0)))</f>
        <v/>
      </c>
      <c r="G9" s="1" t="str">
        <f t="array" ref="G9">IFERROR(INDEX('Исходник'!$1:$626,MATCH($A9,'Исходник'!$T:$T,0),MATCH(G$1,'Исходник'!$1:$1,0)))</f>
        <v/>
      </c>
      <c r="H9" s="27">
        <f t="shared" si="1"/>
        <v>0</v>
      </c>
      <c r="I9" s="27" t="str">
        <f t="shared" si="2"/>
        <v/>
      </c>
      <c r="J9" s="1" t="str">
        <f t="array" ref="J9">IFERROR(INDEX('Исходник'!$1:$626,MATCH($A9,'Исходник'!$T:$T,0),MATCH(J$1,'Исходник'!$1:$1,0)))</f>
        <v/>
      </c>
      <c r="K9" s="27" t="str">
        <f t="shared" si="3"/>
        <v/>
      </c>
      <c r="L9" s="1" t="str">
        <f t="array" ref="L9">IFERROR(INDEX('Исходник'!$1:$626,MATCH($A9,'Исходник'!$T:$T,0),MATCH(L$1,'Исходник'!$1:$1,0)))</f>
        <v/>
      </c>
      <c r="M9" s="28">
        <f t="shared" si="4"/>
        <v>0</v>
      </c>
      <c r="N9" s="1" t="str">
        <f t="array" ref="N9">IFERROR(INDEX('Исходник'!$1:$626,MATCH($A9,'Исходник'!$T:$T,0),MATCH(N$1,'Исходник'!$1:$1,0)))</f>
        <v/>
      </c>
      <c r="O9" s="27">
        <f t="shared" si="5"/>
        <v>0</v>
      </c>
      <c r="P9" s="27" t="str">
        <f t="shared" si="6"/>
        <v/>
      </c>
      <c r="Q9" s="1" t="str">
        <f t="array" ref="Q9">IFERROR(INDEX('Исходник'!$1:$626,MATCH($A9,'Исходник'!$T:$T,0),MATCH(Q$1,'Исходник'!$1:$1,0)))</f>
        <v/>
      </c>
      <c r="R9" s="1" t="str">
        <f t="array" ref="R9">IFERROR(INDEX('Исходник'!$1:$626,MATCH($A9,'Исходник'!$T:$T,0),MATCH(R$1,'Исходник'!$1:$1,0)))</f>
        <v/>
      </c>
      <c r="S9" s="27">
        <f t="shared" si="7"/>
        <v>0</v>
      </c>
      <c r="T9" s="27" t="str">
        <f t="shared" si="8"/>
        <v/>
      </c>
      <c r="U9" s="1" t="str">
        <f t="array" ref="U9">IFERROR(INDEX('Исходник'!$1:$626,MATCH($A9,'Исходник'!$T:$T,0),MATCH(U$1,'Исходник'!$1:$1,0)))</f>
        <v/>
      </c>
      <c r="V9" s="27" t="str">
        <f t="shared" si="9"/>
        <v/>
      </c>
      <c r="W9" s="1" t="str">
        <f t="array" ref="W9">IFERROR(INDEX('Исходник'!$1:$626,MATCH($A9,'Исходник'!$T:$T,0),MATCH(W$1,'Исходник'!$1:$1,0)))</f>
        <v/>
      </c>
      <c r="X9" s="28">
        <f t="shared" si="10"/>
        <v>0</v>
      </c>
      <c r="Y9" s="1" t="str">
        <f t="array" ref="Y9">IFERROR(INDEX('Исходник'!$1:$626,MATCH($A9,'Исходник'!$T:$T,0),MATCH(Y$1,'Исходник'!$1:$1,0)))</f>
        <v/>
      </c>
      <c r="Z9" s="27">
        <f t="shared" si="11"/>
        <v>0</v>
      </c>
      <c r="AA9" s="27" t="str">
        <f t="shared" si="12"/>
        <v/>
      </c>
      <c r="AB9" s="1" t="str">
        <f t="array" ref="AB9">IFERROR(INDEX('Исходник'!$1:$626,MATCH($A9,'Исходник'!$T:$T,0),MATCH(AB$1,'Исходник'!$1:$1,0)))</f>
        <v/>
      </c>
      <c r="AC9" s="1" t="str">
        <f t="array" ref="AC9">IFERROR(INDEX('Исходник'!$1:$626,MATCH($A9,'Исходник'!$T:$T,0),MATCH(AC$1,'Исходник'!$1:$1,0)))</f>
        <v/>
      </c>
      <c r="AD9" s="27" t="str">
        <f t="shared" si="13"/>
        <v/>
      </c>
      <c r="AE9" s="1" t="str">
        <f t="array" ref="AE9">IFERROR(INDEX('Исходник'!$1:$626,MATCH($A9,'Исходник'!$T:$T,0),MATCH(AE$1,'Исходник'!$1:$1,0)))</f>
        <v/>
      </c>
      <c r="AF9" s="1" t="str">
        <f t="array" ref="AF9">IFERROR(INDEX('Исходник'!$1:$626,MATCH($A9,'Исходник'!$T:$T,0),MATCH(AF$1,'Исходник'!$1:$1,0)))</f>
        <v/>
      </c>
      <c r="AG9" s="27" t="str">
        <f t="shared" si="14"/>
        <v/>
      </c>
      <c r="AH9" s="1" t="str">
        <f t="array" ref="AH9">IFERROR(INDEX('Исходник'!$1:$626,MATCH($A9,'Исходник'!$T:$T,0),MATCH(AH$1,'Исходник'!$1:$1,0)))</f>
        <v/>
      </c>
      <c r="AI9" s="1" t="str">
        <f t="array" ref="AI9">IFERROR(INDEX('Исходник'!$1:$626,MATCH($A9,'Исходник'!$T:$T,0),MATCH(AI$1,'Исходник'!$1:$1,0)))</f>
        <v/>
      </c>
      <c r="AJ9" s="18">
        <f t="shared" si="15"/>
        <v>0</v>
      </c>
    </row>
    <row r="10" ht="15.75" customHeight="1">
      <c r="A10" s="27"/>
      <c r="B10" s="1" t="str">
        <f t="array" ref="B10">IFERROR(INDEX('Исходник'!$1:$626,MATCH($A10,'Исходник'!$T:$T,0),MATCH(B$1,'Исходник'!$1:$1,0)))</f>
        <v/>
      </c>
      <c r="C10" s="1" t="str">
        <f t="array" ref="C10">IFERROR(INDEX('Исходник'!$1:$626,MATCH($A10,'Исходник'!$T:$T,0),MATCH(C$1,'Исходник'!$1:$1,0)))</f>
        <v/>
      </c>
      <c r="D10" s="1" t="str">
        <f t="array" ref="D10">IFERROR(INDEX('Исходник'!$1:$626,MATCH($A10,'Исходник'!$T:$T,0),MATCH(D$1,'Исходник'!$1:$1,0)))</f>
        <v/>
      </c>
      <c r="E10" s="1" t="str">
        <f t="array" ref="E10">IFERROR(INDEX('Исходник'!$1:$626,MATCH($A10,'Исходник'!$T:$T,0),MATCH(E$1,'Исходник'!$1:$1,0)))</f>
        <v/>
      </c>
      <c r="F10" s="1" t="str">
        <f t="array" ref="F10">IFERROR(INDEX('Исходник'!$1:$626,MATCH($A10,'Исходник'!$T:$T,0),MATCH(F$1,'Исходник'!$1:$1,0)))</f>
        <v/>
      </c>
      <c r="G10" s="1" t="str">
        <f t="array" ref="G10">IFERROR(INDEX('Исходник'!$1:$626,MATCH($A10,'Исходник'!$T:$T,0),MATCH(G$1,'Исходник'!$1:$1,0)))</f>
        <v/>
      </c>
      <c r="H10" s="27">
        <f t="shared" si="1"/>
        <v>0</v>
      </c>
      <c r="I10" s="27" t="str">
        <f t="shared" si="2"/>
        <v/>
      </c>
      <c r="J10" s="1" t="str">
        <f t="array" ref="J10">IFERROR(INDEX('Исходник'!$1:$626,MATCH($A10,'Исходник'!$T:$T,0),MATCH(J$1,'Исходник'!$1:$1,0)))</f>
        <v/>
      </c>
      <c r="K10" s="27" t="str">
        <f t="shared" si="3"/>
        <v/>
      </c>
      <c r="L10" s="1" t="str">
        <f t="array" ref="L10">IFERROR(INDEX('Исходник'!$1:$626,MATCH($A10,'Исходник'!$T:$T,0),MATCH(L$1,'Исходник'!$1:$1,0)))</f>
        <v/>
      </c>
      <c r="M10" s="28">
        <f t="shared" si="4"/>
        <v>0</v>
      </c>
      <c r="N10" s="1" t="str">
        <f t="array" ref="N10">IFERROR(INDEX('Исходник'!$1:$626,MATCH($A10,'Исходник'!$T:$T,0),MATCH(N$1,'Исходник'!$1:$1,0)))</f>
        <v/>
      </c>
      <c r="O10" s="27">
        <f t="shared" si="5"/>
        <v>0</v>
      </c>
      <c r="P10" s="27" t="str">
        <f t="shared" si="6"/>
        <v/>
      </c>
      <c r="Q10" s="1" t="str">
        <f t="array" ref="Q10">IFERROR(INDEX('Исходник'!$1:$626,MATCH($A10,'Исходник'!$T:$T,0),MATCH(Q$1,'Исходник'!$1:$1,0)))</f>
        <v/>
      </c>
      <c r="R10" s="1" t="str">
        <f t="array" ref="R10">IFERROR(INDEX('Исходник'!$1:$626,MATCH($A10,'Исходник'!$T:$T,0),MATCH(R$1,'Исходник'!$1:$1,0)))</f>
        <v/>
      </c>
      <c r="S10" s="27">
        <f t="shared" si="7"/>
        <v>0</v>
      </c>
      <c r="T10" s="27" t="str">
        <f t="shared" si="8"/>
        <v/>
      </c>
      <c r="U10" s="1" t="str">
        <f t="array" ref="U10">IFERROR(INDEX('Исходник'!$1:$626,MATCH($A10,'Исходник'!$T:$T,0),MATCH(U$1,'Исходник'!$1:$1,0)))</f>
        <v/>
      </c>
      <c r="V10" s="27" t="str">
        <f t="shared" si="9"/>
        <v/>
      </c>
      <c r="W10" s="1" t="str">
        <f t="array" ref="W10">IFERROR(INDEX('Исходник'!$1:$626,MATCH($A10,'Исходник'!$T:$T,0),MATCH(W$1,'Исходник'!$1:$1,0)))</f>
        <v/>
      </c>
      <c r="X10" s="28">
        <f t="shared" si="10"/>
        <v>0</v>
      </c>
      <c r="Y10" s="1" t="str">
        <f t="array" ref="Y10">IFERROR(INDEX('Исходник'!$1:$626,MATCH($A10,'Исходник'!$T:$T,0),MATCH(Y$1,'Исходник'!$1:$1,0)))</f>
        <v/>
      </c>
      <c r="Z10" s="27">
        <f t="shared" si="11"/>
        <v>0</v>
      </c>
      <c r="AA10" s="27" t="str">
        <f t="shared" si="12"/>
        <v/>
      </c>
      <c r="AB10" s="1" t="str">
        <f t="array" ref="AB10">IFERROR(INDEX('Исходник'!$1:$626,MATCH($A10,'Исходник'!$T:$T,0),MATCH(AB$1,'Исходник'!$1:$1,0)))</f>
        <v/>
      </c>
      <c r="AC10" s="1" t="str">
        <f t="array" ref="AC10">IFERROR(INDEX('Исходник'!$1:$626,MATCH($A10,'Исходник'!$T:$T,0),MATCH(AC$1,'Исходник'!$1:$1,0)))</f>
        <v/>
      </c>
      <c r="AD10" s="27" t="str">
        <f t="shared" si="13"/>
        <v/>
      </c>
      <c r="AE10" s="1" t="str">
        <f t="array" ref="AE10">IFERROR(INDEX('Исходник'!$1:$626,MATCH($A10,'Исходник'!$T:$T,0),MATCH(AE$1,'Исходник'!$1:$1,0)))</f>
        <v/>
      </c>
      <c r="AF10" s="1" t="str">
        <f t="array" ref="AF10">IFERROR(INDEX('Исходник'!$1:$626,MATCH($A10,'Исходник'!$T:$T,0),MATCH(AF$1,'Исходник'!$1:$1,0)))</f>
        <v/>
      </c>
      <c r="AG10" s="27" t="str">
        <f t="shared" si="14"/>
        <v/>
      </c>
      <c r="AH10" s="1" t="str">
        <f t="array" ref="AH10">IFERROR(INDEX('Исходник'!$1:$626,MATCH($A10,'Исходник'!$T:$T,0),MATCH(AH$1,'Исходник'!$1:$1,0)))</f>
        <v/>
      </c>
      <c r="AI10" s="1" t="str">
        <f t="array" ref="AI10">IFERROR(INDEX('Исходник'!$1:$626,MATCH($A10,'Исходник'!$T:$T,0),MATCH(AI$1,'Исходник'!$1:$1,0)))</f>
        <v/>
      </c>
      <c r="AJ10" s="18">
        <f t="shared" si="15"/>
        <v>0</v>
      </c>
    </row>
    <row r="11" ht="15.75" customHeight="1">
      <c r="A11" s="27"/>
      <c r="B11" s="1" t="str">
        <f t="array" ref="B11">IFERROR(INDEX('Исходник'!$1:$626,MATCH($A11,'Исходник'!$T:$T,0),MATCH(B$1,'Исходник'!$1:$1,0)))</f>
        <v/>
      </c>
      <c r="C11" s="1" t="str">
        <f t="array" ref="C11">IFERROR(INDEX('Исходник'!$1:$626,MATCH($A11,'Исходник'!$T:$T,0),MATCH(C$1,'Исходник'!$1:$1,0)))</f>
        <v/>
      </c>
      <c r="D11" s="1" t="str">
        <f t="array" ref="D11">IFERROR(INDEX('Исходник'!$1:$626,MATCH($A11,'Исходник'!$T:$T,0),MATCH(D$1,'Исходник'!$1:$1,0)))</f>
        <v/>
      </c>
      <c r="E11" s="1" t="str">
        <f t="array" ref="E11">IFERROR(INDEX('Исходник'!$1:$626,MATCH($A11,'Исходник'!$T:$T,0),MATCH(E$1,'Исходник'!$1:$1,0)))</f>
        <v/>
      </c>
      <c r="F11" s="1" t="str">
        <f t="array" ref="F11">IFERROR(INDEX('Исходник'!$1:$626,MATCH($A11,'Исходник'!$T:$T,0),MATCH(F$1,'Исходник'!$1:$1,0)))</f>
        <v/>
      </c>
      <c r="G11" s="1" t="str">
        <f t="array" ref="G11">IFERROR(INDEX('Исходник'!$1:$626,MATCH($A11,'Исходник'!$T:$T,0),MATCH(G$1,'Исходник'!$1:$1,0)))</f>
        <v/>
      </c>
      <c r="H11" s="27">
        <f t="shared" si="1"/>
        <v>0</v>
      </c>
      <c r="I11" s="27" t="str">
        <f t="shared" si="2"/>
        <v/>
      </c>
      <c r="J11" s="1" t="str">
        <f t="array" ref="J11">IFERROR(INDEX('Исходник'!$1:$626,MATCH($A11,'Исходник'!$T:$T,0),MATCH(J$1,'Исходник'!$1:$1,0)))</f>
        <v/>
      </c>
      <c r="K11" s="27" t="str">
        <f t="shared" si="3"/>
        <v/>
      </c>
      <c r="L11" s="1" t="str">
        <f t="array" ref="L11">IFERROR(INDEX('Исходник'!$1:$626,MATCH($A11,'Исходник'!$T:$T,0),MATCH(L$1,'Исходник'!$1:$1,0)))</f>
        <v/>
      </c>
      <c r="M11" s="28">
        <f t="shared" si="4"/>
        <v>0</v>
      </c>
      <c r="N11" s="1" t="str">
        <f t="array" ref="N11">IFERROR(INDEX('Исходник'!$1:$626,MATCH($A11,'Исходник'!$T:$T,0),MATCH(N$1,'Исходник'!$1:$1,0)))</f>
        <v/>
      </c>
      <c r="O11" s="27">
        <f t="shared" si="5"/>
        <v>0</v>
      </c>
      <c r="P11" s="27" t="str">
        <f t="shared" si="6"/>
        <v/>
      </c>
      <c r="Q11" s="1" t="str">
        <f t="array" ref="Q11">IFERROR(INDEX('Исходник'!$1:$626,MATCH($A11,'Исходник'!$T:$T,0),MATCH(Q$1,'Исходник'!$1:$1,0)))</f>
        <v/>
      </c>
      <c r="R11" s="1" t="str">
        <f t="array" ref="R11">IFERROR(INDEX('Исходник'!$1:$626,MATCH($A11,'Исходник'!$T:$T,0),MATCH(R$1,'Исходник'!$1:$1,0)))</f>
        <v/>
      </c>
      <c r="S11" s="27">
        <f t="shared" si="7"/>
        <v>0</v>
      </c>
      <c r="T11" s="27" t="str">
        <f t="shared" si="8"/>
        <v/>
      </c>
      <c r="U11" s="1" t="str">
        <f t="array" ref="U11">IFERROR(INDEX('Исходник'!$1:$626,MATCH($A11,'Исходник'!$T:$T,0),MATCH(U$1,'Исходник'!$1:$1,0)))</f>
        <v/>
      </c>
      <c r="V11" s="27" t="str">
        <f t="shared" si="9"/>
        <v/>
      </c>
      <c r="W11" s="1" t="str">
        <f t="array" ref="W11">IFERROR(INDEX('Исходник'!$1:$626,MATCH($A11,'Исходник'!$T:$T,0),MATCH(W$1,'Исходник'!$1:$1,0)))</f>
        <v/>
      </c>
      <c r="X11" s="28">
        <f t="shared" si="10"/>
        <v>0</v>
      </c>
      <c r="Y11" s="1" t="str">
        <f t="array" ref="Y11">IFERROR(INDEX('Исходник'!$1:$626,MATCH($A11,'Исходник'!$T:$T,0),MATCH(Y$1,'Исходник'!$1:$1,0)))</f>
        <v/>
      </c>
      <c r="Z11" s="27">
        <f t="shared" si="11"/>
        <v>0</v>
      </c>
      <c r="AA11" s="27" t="str">
        <f t="shared" si="12"/>
        <v/>
      </c>
      <c r="AB11" s="1" t="str">
        <f t="array" ref="AB11">IFERROR(INDEX('Исходник'!$1:$626,MATCH($A11,'Исходник'!$T:$T,0),MATCH(AB$1,'Исходник'!$1:$1,0)))</f>
        <v/>
      </c>
      <c r="AC11" s="1" t="str">
        <f t="array" ref="AC11">IFERROR(INDEX('Исходник'!$1:$626,MATCH($A11,'Исходник'!$T:$T,0),MATCH(AC$1,'Исходник'!$1:$1,0)))</f>
        <v/>
      </c>
      <c r="AD11" s="27" t="str">
        <f t="shared" si="13"/>
        <v/>
      </c>
      <c r="AE11" s="1" t="str">
        <f t="array" ref="AE11">IFERROR(INDEX('Исходник'!$1:$626,MATCH($A11,'Исходник'!$T:$T,0),MATCH(AE$1,'Исходник'!$1:$1,0)))</f>
        <v/>
      </c>
      <c r="AF11" s="1" t="str">
        <f t="array" ref="AF11">IFERROR(INDEX('Исходник'!$1:$626,MATCH($A11,'Исходник'!$T:$T,0),MATCH(AF$1,'Исходник'!$1:$1,0)))</f>
        <v/>
      </c>
      <c r="AG11" s="27" t="str">
        <f t="shared" si="14"/>
        <v/>
      </c>
      <c r="AH11" s="1" t="str">
        <f t="array" ref="AH11">IFERROR(INDEX('Исходник'!$1:$626,MATCH($A11,'Исходник'!$T:$T,0),MATCH(AH$1,'Исходник'!$1:$1,0)))</f>
        <v/>
      </c>
      <c r="AI11" s="1" t="str">
        <f t="array" ref="AI11">IFERROR(INDEX('Исходник'!$1:$626,MATCH($A11,'Исходник'!$T:$T,0),MATCH(AI$1,'Исходник'!$1:$1,0)))</f>
        <v/>
      </c>
      <c r="AJ11" s="18">
        <f t="shared" si="15"/>
        <v>0</v>
      </c>
    </row>
    <row r="12" ht="15.75" customHeight="1">
      <c r="A12" s="27"/>
      <c r="B12" s="1" t="str">
        <f t="array" ref="B12">IFERROR(INDEX('Исходник'!$1:$626,MATCH($A12,'Исходник'!$T:$T,0),MATCH(B$1,'Исходник'!$1:$1,0)))</f>
        <v/>
      </c>
      <c r="C12" s="1" t="str">
        <f t="array" ref="C12">IFERROR(INDEX('Исходник'!$1:$626,MATCH($A12,'Исходник'!$T:$T,0),MATCH(C$1,'Исходник'!$1:$1,0)))</f>
        <v/>
      </c>
      <c r="D12" s="1" t="str">
        <f t="array" ref="D12">IFERROR(INDEX('Исходник'!$1:$626,MATCH($A12,'Исходник'!$T:$T,0),MATCH(D$1,'Исходник'!$1:$1,0)))</f>
        <v/>
      </c>
      <c r="E12" s="1" t="str">
        <f t="array" ref="E12">IFERROR(INDEX('Исходник'!$1:$626,MATCH($A12,'Исходник'!$T:$T,0),MATCH(E$1,'Исходник'!$1:$1,0)))</f>
        <v/>
      </c>
      <c r="F12" s="1" t="str">
        <f t="array" ref="F12">IFERROR(INDEX('Исходник'!$1:$626,MATCH($A12,'Исходник'!$T:$T,0),MATCH(F$1,'Исходник'!$1:$1,0)))</f>
        <v/>
      </c>
      <c r="G12" s="1" t="str">
        <f t="array" ref="G12">IFERROR(INDEX('Исходник'!$1:$626,MATCH($A12,'Исходник'!$T:$T,0),MATCH(G$1,'Исходник'!$1:$1,0)))</f>
        <v/>
      </c>
      <c r="H12" s="27">
        <f t="shared" si="1"/>
        <v>0</v>
      </c>
      <c r="I12" s="27" t="str">
        <f t="shared" si="2"/>
        <v/>
      </c>
      <c r="J12" s="1" t="str">
        <f t="array" ref="J12">IFERROR(INDEX('Исходник'!$1:$626,MATCH($A12,'Исходник'!$T:$T,0),MATCH(J$1,'Исходник'!$1:$1,0)))</f>
        <v/>
      </c>
      <c r="K12" s="27" t="str">
        <f t="shared" si="3"/>
        <v/>
      </c>
      <c r="L12" s="1" t="str">
        <f t="array" ref="L12">IFERROR(INDEX('Исходник'!$1:$626,MATCH($A12,'Исходник'!$T:$T,0),MATCH(L$1,'Исходник'!$1:$1,0)))</f>
        <v/>
      </c>
      <c r="M12" s="28">
        <f t="shared" si="4"/>
        <v>0</v>
      </c>
      <c r="N12" s="1" t="str">
        <f t="array" ref="N12">IFERROR(INDEX('Исходник'!$1:$626,MATCH($A12,'Исходник'!$T:$T,0),MATCH(N$1,'Исходник'!$1:$1,0)))</f>
        <v/>
      </c>
      <c r="O12" s="27">
        <f t="shared" si="5"/>
        <v>0</v>
      </c>
      <c r="P12" s="27" t="str">
        <f t="shared" si="6"/>
        <v/>
      </c>
      <c r="Q12" s="1" t="str">
        <f t="array" ref="Q12">IFERROR(INDEX('Исходник'!$1:$626,MATCH($A12,'Исходник'!$T:$T,0),MATCH(Q$1,'Исходник'!$1:$1,0)))</f>
        <v/>
      </c>
      <c r="R12" s="1" t="str">
        <f t="array" ref="R12">IFERROR(INDEX('Исходник'!$1:$626,MATCH($A12,'Исходник'!$T:$T,0),MATCH(R$1,'Исходник'!$1:$1,0)))</f>
        <v/>
      </c>
      <c r="S12" s="27">
        <f t="shared" si="7"/>
        <v>0</v>
      </c>
      <c r="T12" s="27" t="str">
        <f t="shared" si="8"/>
        <v/>
      </c>
      <c r="U12" s="1" t="str">
        <f t="array" ref="U12">IFERROR(INDEX('Исходник'!$1:$626,MATCH($A12,'Исходник'!$T:$T,0),MATCH(U$1,'Исходник'!$1:$1,0)))</f>
        <v/>
      </c>
      <c r="V12" s="27" t="str">
        <f t="shared" si="9"/>
        <v/>
      </c>
      <c r="W12" s="1" t="str">
        <f t="array" ref="W12">IFERROR(INDEX('Исходник'!$1:$626,MATCH($A12,'Исходник'!$T:$T,0),MATCH(W$1,'Исходник'!$1:$1,0)))</f>
        <v/>
      </c>
      <c r="X12" s="28">
        <f t="shared" si="10"/>
        <v>0</v>
      </c>
      <c r="Y12" s="1" t="str">
        <f t="array" ref="Y12">IFERROR(INDEX('Исходник'!$1:$626,MATCH($A12,'Исходник'!$T:$T,0),MATCH(Y$1,'Исходник'!$1:$1,0)))</f>
        <v/>
      </c>
      <c r="Z12" s="27">
        <f t="shared" si="11"/>
        <v>0</v>
      </c>
      <c r="AA12" s="27" t="str">
        <f t="shared" si="12"/>
        <v/>
      </c>
      <c r="AB12" s="1" t="str">
        <f t="array" ref="AB12">IFERROR(INDEX('Исходник'!$1:$626,MATCH($A12,'Исходник'!$T:$T,0),MATCH(AB$1,'Исходник'!$1:$1,0)))</f>
        <v/>
      </c>
      <c r="AC12" s="1" t="str">
        <f t="array" ref="AC12">IFERROR(INDEX('Исходник'!$1:$626,MATCH($A12,'Исходник'!$T:$T,0),MATCH(AC$1,'Исходник'!$1:$1,0)))</f>
        <v/>
      </c>
      <c r="AD12" s="27" t="str">
        <f t="shared" si="13"/>
        <v/>
      </c>
      <c r="AE12" s="1" t="str">
        <f t="array" ref="AE12">IFERROR(INDEX('Исходник'!$1:$626,MATCH($A12,'Исходник'!$T:$T,0),MATCH(AE$1,'Исходник'!$1:$1,0)))</f>
        <v/>
      </c>
      <c r="AF12" s="1" t="str">
        <f t="array" ref="AF12">IFERROR(INDEX('Исходник'!$1:$626,MATCH($A12,'Исходник'!$T:$T,0),MATCH(AF$1,'Исходник'!$1:$1,0)))</f>
        <v/>
      </c>
      <c r="AG12" s="27" t="str">
        <f t="shared" si="14"/>
        <v/>
      </c>
      <c r="AH12" s="1" t="str">
        <f t="array" ref="AH12">IFERROR(INDEX('Исходник'!$1:$626,MATCH($A12,'Исходник'!$T:$T,0),MATCH(AH$1,'Исходник'!$1:$1,0)))</f>
        <v/>
      </c>
      <c r="AI12" s="1" t="str">
        <f t="array" ref="AI12">IFERROR(INDEX('Исходник'!$1:$626,MATCH($A12,'Исходник'!$T:$T,0),MATCH(AI$1,'Исходник'!$1:$1,0)))</f>
        <v/>
      </c>
      <c r="AJ12" s="18">
        <f t="shared" si="15"/>
        <v>0</v>
      </c>
    </row>
    <row r="13" ht="15.75" customHeight="1">
      <c r="A13" s="27"/>
      <c r="B13" s="1" t="str">
        <f t="array" ref="B13">IFERROR(INDEX('Исходник'!$1:$626,MATCH($A13,'Исходник'!$T:$T,0),MATCH(B$1,'Исходник'!$1:$1,0)))</f>
        <v/>
      </c>
      <c r="C13" s="1" t="str">
        <f t="array" ref="C13">IFERROR(INDEX('Исходник'!$1:$626,MATCH($A13,'Исходник'!$T:$T,0),MATCH(C$1,'Исходник'!$1:$1,0)))</f>
        <v/>
      </c>
      <c r="D13" s="1" t="str">
        <f t="array" ref="D13">IFERROR(INDEX('Исходник'!$1:$626,MATCH($A13,'Исходник'!$T:$T,0),MATCH(D$1,'Исходник'!$1:$1,0)))</f>
        <v/>
      </c>
      <c r="E13" s="1" t="str">
        <f t="array" ref="E13">IFERROR(INDEX('Исходник'!$1:$626,MATCH($A13,'Исходник'!$T:$T,0),MATCH(E$1,'Исходник'!$1:$1,0)))</f>
        <v/>
      </c>
      <c r="F13" s="1" t="str">
        <f t="array" ref="F13">IFERROR(INDEX('Исходник'!$1:$626,MATCH($A13,'Исходник'!$T:$T,0),MATCH(F$1,'Исходник'!$1:$1,0)))</f>
        <v/>
      </c>
      <c r="G13" s="1" t="str">
        <f t="array" ref="G13">IFERROR(INDEX('Исходник'!$1:$626,MATCH($A13,'Исходник'!$T:$T,0),MATCH(G$1,'Исходник'!$1:$1,0)))</f>
        <v/>
      </c>
      <c r="H13" s="27">
        <f t="shared" si="1"/>
        <v>0</v>
      </c>
      <c r="I13" s="27" t="str">
        <f t="shared" si="2"/>
        <v/>
      </c>
      <c r="J13" s="1" t="str">
        <f t="array" ref="J13">IFERROR(INDEX('Исходник'!$1:$626,MATCH($A13,'Исходник'!$T:$T,0),MATCH(J$1,'Исходник'!$1:$1,0)))</f>
        <v/>
      </c>
      <c r="K13" s="27" t="str">
        <f t="shared" si="3"/>
        <v/>
      </c>
      <c r="L13" s="1" t="str">
        <f t="array" ref="L13">IFERROR(INDEX('Исходник'!$1:$626,MATCH($A13,'Исходник'!$T:$T,0),MATCH(L$1,'Исходник'!$1:$1,0)))</f>
        <v/>
      </c>
      <c r="M13" s="28">
        <f t="shared" si="4"/>
        <v>0</v>
      </c>
      <c r="N13" s="1" t="str">
        <f t="array" ref="N13">IFERROR(INDEX('Исходник'!$1:$626,MATCH($A13,'Исходник'!$T:$T,0),MATCH(N$1,'Исходник'!$1:$1,0)))</f>
        <v/>
      </c>
      <c r="O13" s="27">
        <f t="shared" si="5"/>
        <v>0</v>
      </c>
      <c r="P13" s="27" t="str">
        <f t="shared" si="6"/>
        <v/>
      </c>
      <c r="Q13" s="1" t="str">
        <f t="array" ref="Q13">IFERROR(INDEX('Исходник'!$1:$626,MATCH($A13,'Исходник'!$T:$T,0),MATCH(Q$1,'Исходник'!$1:$1,0)))</f>
        <v/>
      </c>
      <c r="R13" s="1" t="str">
        <f t="array" ref="R13">IFERROR(INDEX('Исходник'!$1:$626,MATCH($A13,'Исходник'!$T:$T,0),MATCH(R$1,'Исходник'!$1:$1,0)))</f>
        <v/>
      </c>
      <c r="S13" s="27">
        <f t="shared" si="7"/>
        <v>0</v>
      </c>
      <c r="T13" s="27" t="str">
        <f t="shared" si="8"/>
        <v/>
      </c>
      <c r="U13" s="1" t="str">
        <f t="array" ref="U13">IFERROR(INDEX('Исходник'!$1:$626,MATCH($A13,'Исходник'!$T:$T,0),MATCH(U$1,'Исходник'!$1:$1,0)))</f>
        <v/>
      </c>
      <c r="V13" s="27" t="str">
        <f t="shared" si="9"/>
        <v/>
      </c>
      <c r="W13" s="1" t="str">
        <f t="array" ref="W13">IFERROR(INDEX('Исходник'!$1:$626,MATCH($A13,'Исходник'!$T:$T,0),MATCH(W$1,'Исходник'!$1:$1,0)))</f>
        <v/>
      </c>
      <c r="X13" s="28">
        <f t="shared" si="10"/>
        <v>0</v>
      </c>
      <c r="Y13" s="1" t="str">
        <f t="array" ref="Y13">IFERROR(INDEX('Исходник'!$1:$626,MATCH($A13,'Исходник'!$T:$T,0),MATCH(Y$1,'Исходник'!$1:$1,0)))</f>
        <v/>
      </c>
      <c r="Z13" s="27">
        <f t="shared" si="11"/>
        <v>0</v>
      </c>
      <c r="AA13" s="27" t="str">
        <f t="shared" si="12"/>
        <v/>
      </c>
      <c r="AB13" s="1" t="str">
        <f t="array" ref="AB13">IFERROR(INDEX('Исходник'!$1:$626,MATCH($A13,'Исходник'!$T:$T,0),MATCH(AB$1,'Исходник'!$1:$1,0)))</f>
        <v/>
      </c>
      <c r="AC13" s="1" t="str">
        <f t="array" ref="AC13">IFERROR(INDEX('Исходник'!$1:$626,MATCH($A13,'Исходник'!$T:$T,0),MATCH(AC$1,'Исходник'!$1:$1,0)))</f>
        <v/>
      </c>
      <c r="AD13" s="27" t="str">
        <f t="shared" si="13"/>
        <v/>
      </c>
      <c r="AE13" s="1" t="str">
        <f t="array" ref="AE13">IFERROR(INDEX('Исходник'!$1:$626,MATCH($A13,'Исходник'!$T:$T,0),MATCH(AE$1,'Исходник'!$1:$1,0)))</f>
        <v/>
      </c>
      <c r="AF13" s="1" t="str">
        <f t="array" ref="AF13">IFERROR(INDEX('Исходник'!$1:$626,MATCH($A13,'Исходник'!$T:$T,0),MATCH(AF$1,'Исходник'!$1:$1,0)))</f>
        <v/>
      </c>
      <c r="AG13" s="27" t="str">
        <f t="shared" si="14"/>
        <v/>
      </c>
      <c r="AH13" s="1" t="str">
        <f t="array" ref="AH13">IFERROR(INDEX('Исходник'!$1:$626,MATCH($A13,'Исходник'!$T:$T,0),MATCH(AH$1,'Исходник'!$1:$1,0)))</f>
        <v/>
      </c>
      <c r="AI13" s="1" t="str">
        <f t="array" ref="AI13">IFERROR(INDEX('Исходник'!$1:$626,MATCH($A13,'Исходник'!$T:$T,0),MATCH(AI$1,'Исходник'!$1:$1,0)))</f>
        <v/>
      </c>
      <c r="AJ13" s="18">
        <f t="shared" si="15"/>
        <v>0</v>
      </c>
    </row>
    <row r="14" ht="15.75" customHeight="1">
      <c r="A14" s="27"/>
      <c r="B14" s="1" t="str">
        <f t="array" ref="B14">IFERROR(INDEX('Исходник'!$1:$626,MATCH($A14,'Исходник'!$T:$T,0),MATCH(B$1,'Исходник'!$1:$1,0)))</f>
        <v/>
      </c>
      <c r="C14" s="1" t="str">
        <f t="array" ref="C14">IFERROR(INDEX('Исходник'!$1:$626,MATCH($A14,'Исходник'!$T:$T,0),MATCH(C$1,'Исходник'!$1:$1,0)))</f>
        <v/>
      </c>
      <c r="D14" s="1" t="str">
        <f t="array" ref="D14">IFERROR(INDEX('Исходник'!$1:$626,MATCH($A14,'Исходник'!$T:$T,0),MATCH(D$1,'Исходник'!$1:$1,0)))</f>
        <v/>
      </c>
      <c r="E14" s="1" t="str">
        <f t="array" ref="E14">IFERROR(INDEX('Исходник'!$1:$626,MATCH($A14,'Исходник'!$T:$T,0),MATCH(E$1,'Исходник'!$1:$1,0)))</f>
        <v/>
      </c>
      <c r="F14" s="1" t="str">
        <f t="array" ref="F14">IFERROR(INDEX('Исходник'!$1:$626,MATCH($A14,'Исходник'!$T:$T,0),MATCH(F$1,'Исходник'!$1:$1,0)))</f>
        <v/>
      </c>
      <c r="G14" s="1" t="str">
        <f t="array" ref="G14">IFERROR(INDEX('Исходник'!$1:$626,MATCH($A14,'Исходник'!$T:$T,0),MATCH(G$1,'Исходник'!$1:$1,0)))</f>
        <v/>
      </c>
      <c r="H14" s="27">
        <f t="shared" si="1"/>
        <v>0</v>
      </c>
      <c r="I14" s="27" t="str">
        <f t="shared" si="2"/>
        <v/>
      </c>
      <c r="J14" s="1" t="str">
        <f t="array" ref="J14">IFERROR(INDEX('Исходник'!$1:$626,MATCH($A14,'Исходник'!$T:$T,0),MATCH(J$1,'Исходник'!$1:$1,0)))</f>
        <v/>
      </c>
      <c r="K14" s="27" t="str">
        <f t="shared" si="3"/>
        <v/>
      </c>
      <c r="L14" s="1" t="str">
        <f t="array" ref="L14">IFERROR(INDEX('Исходник'!$1:$626,MATCH($A14,'Исходник'!$T:$T,0),MATCH(L$1,'Исходник'!$1:$1,0)))</f>
        <v/>
      </c>
      <c r="M14" s="28">
        <f t="shared" si="4"/>
        <v>0</v>
      </c>
      <c r="N14" s="1" t="str">
        <f t="array" ref="N14">IFERROR(INDEX('Исходник'!$1:$626,MATCH($A14,'Исходник'!$T:$T,0),MATCH(N$1,'Исходник'!$1:$1,0)))</f>
        <v/>
      </c>
      <c r="O14" s="27">
        <f t="shared" si="5"/>
        <v>0</v>
      </c>
      <c r="P14" s="27" t="str">
        <f t="shared" si="6"/>
        <v/>
      </c>
      <c r="Q14" s="1" t="str">
        <f t="array" ref="Q14">IFERROR(INDEX('Исходник'!$1:$626,MATCH($A14,'Исходник'!$T:$T,0),MATCH(Q$1,'Исходник'!$1:$1,0)))</f>
        <v/>
      </c>
      <c r="R14" s="1" t="str">
        <f t="array" ref="R14">IFERROR(INDEX('Исходник'!$1:$626,MATCH($A14,'Исходник'!$T:$T,0),MATCH(R$1,'Исходник'!$1:$1,0)))</f>
        <v/>
      </c>
      <c r="S14" s="27">
        <f t="shared" si="7"/>
        <v>0</v>
      </c>
      <c r="T14" s="27" t="str">
        <f t="shared" si="8"/>
        <v/>
      </c>
      <c r="U14" s="1" t="str">
        <f t="array" ref="U14">IFERROR(INDEX('Исходник'!$1:$626,MATCH($A14,'Исходник'!$T:$T,0),MATCH(U$1,'Исходник'!$1:$1,0)))</f>
        <v/>
      </c>
      <c r="V14" s="27" t="str">
        <f t="shared" si="9"/>
        <v/>
      </c>
      <c r="W14" s="1" t="str">
        <f t="array" ref="W14">IFERROR(INDEX('Исходник'!$1:$626,MATCH($A14,'Исходник'!$T:$T,0),MATCH(W$1,'Исходник'!$1:$1,0)))</f>
        <v/>
      </c>
      <c r="X14" s="28">
        <f t="shared" si="10"/>
        <v>0</v>
      </c>
      <c r="Y14" s="1" t="str">
        <f t="array" ref="Y14">IFERROR(INDEX('Исходник'!$1:$626,MATCH($A14,'Исходник'!$T:$T,0),MATCH(Y$1,'Исходник'!$1:$1,0)))</f>
        <v/>
      </c>
      <c r="Z14" s="27">
        <f t="shared" si="11"/>
        <v>0</v>
      </c>
      <c r="AA14" s="27" t="str">
        <f t="shared" si="12"/>
        <v/>
      </c>
      <c r="AB14" s="1" t="str">
        <f t="array" ref="AB14">IFERROR(INDEX('Исходник'!$1:$626,MATCH($A14,'Исходник'!$T:$T,0),MATCH(AB$1,'Исходник'!$1:$1,0)))</f>
        <v/>
      </c>
      <c r="AC14" s="1" t="str">
        <f t="array" ref="AC14">IFERROR(INDEX('Исходник'!$1:$626,MATCH($A14,'Исходник'!$T:$T,0),MATCH(AC$1,'Исходник'!$1:$1,0)))</f>
        <v/>
      </c>
      <c r="AD14" s="27" t="str">
        <f t="shared" si="13"/>
        <v/>
      </c>
      <c r="AE14" s="1" t="str">
        <f t="array" ref="AE14">IFERROR(INDEX('Исходник'!$1:$626,MATCH($A14,'Исходник'!$T:$T,0),MATCH(AE$1,'Исходник'!$1:$1,0)))</f>
        <v/>
      </c>
      <c r="AF14" s="1" t="str">
        <f t="array" ref="AF14">IFERROR(INDEX('Исходник'!$1:$626,MATCH($A14,'Исходник'!$T:$T,0),MATCH(AF$1,'Исходник'!$1:$1,0)))</f>
        <v/>
      </c>
      <c r="AG14" s="27" t="str">
        <f t="shared" si="14"/>
        <v/>
      </c>
      <c r="AH14" s="1" t="str">
        <f t="array" ref="AH14">IFERROR(INDEX('Исходник'!$1:$626,MATCH($A14,'Исходник'!$T:$T,0),MATCH(AH$1,'Исходник'!$1:$1,0)))</f>
        <v/>
      </c>
      <c r="AI14" s="1" t="str">
        <f t="array" ref="AI14">IFERROR(INDEX('Исходник'!$1:$626,MATCH($A14,'Исходник'!$T:$T,0),MATCH(AI$1,'Исходник'!$1:$1,0)))</f>
        <v/>
      </c>
      <c r="AJ14" s="18">
        <f t="shared" si="15"/>
        <v>0</v>
      </c>
    </row>
    <row r="15" ht="15.75" customHeight="1">
      <c r="A15" s="27"/>
      <c r="B15" s="1" t="str">
        <f t="array" ref="B15">IFERROR(INDEX('Исходник'!$1:$626,MATCH($A15,'Исходник'!$T:$T,0),MATCH(B$1,'Исходник'!$1:$1,0)))</f>
        <v/>
      </c>
      <c r="C15" s="1" t="str">
        <f t="array" ref="C15">IFERROR(INDEX('Исходник'!$1:$626,MATCH($A15,'Исходник'!$T:$T,0),MATCH(C$1,'Исходник'!$1:$1,0)))</f>
        <v/>
      </c>
      <c r="D15" s="1" t="str">
        <f t="array" ref="D15">IFERROR(INDEX('Исходник'!$1:$626,MATCH($A15,'Исходник'!$T:$T,0),MATCH(D$1,'Исходник'!$1:$1,0)))</f>
        <v/>
      </c>
      <c r="E15" s="1" t="str">
        <f t="array" ref="E15">IFERROR(INDEX('Исходник'!$1:$626,MATCH($A15,'Исходник'!$T:$T,0),MATCH(E$1,'Исходник'!$1:$1,0)))</f>
        <v/>
      </c>
      <c r="F15" s="1" t="str">
        <f t="array" ref="F15">IFERROR(INDEX('Исходник'!$1:$626,MATCH($A15,'Исходник'!$T:$T,0),MATCH(F$1,'Исходник'!$1:$1,0)))</f>
        <v/>
      </c>
      <c r="G15" s="1" t="str">
        <f t="array" ref="G15">IFERROR(INDEX('Исходник'!$1:$626,MATCH($A15,'Исходник'!$T:$T,0),MATCH(G$1,'Исходник'!$1:$1,0)))</f>
        <v/>
      </c>
      <c r="H15" s="27">
        <f t="shared" si="1"/>
        <v>0</v>
      </c>
      <c r="I15" s="27" t="str">
        <f t="shared" si="2"/>
        <v/>
      </c>
      <c r="J15" s="1" t="str">
        <f t="array" ref="J15">IFERROR(INDEX('Исходник'!$1:$626,MATCH($A15,'Исходник'!$T:$T,0),MATCH(J$1,'Исходник'!$1:$1,0)))</f>
        <v/>
      </c>
      <c r="K15" s="27" t="str">
        <f t="shared" si="3"/>
        <v/>
      </c>
      <c r="L15" s="1" t="str">
        <f t="array" ref="L15">IFERROR(INDEX('Исходник'!$1:$626,MATCH($A15,'Исходник'!$T:$T,0),MATCH(L$1,'Исходник'!$1:$1,0)))</f>
        <v/>
      </c>
      <c r="M15" s="28">
        <f t="shared" si="4"/>
        <v>0</v>
      </c>
      <c r="N15" s="1" t="str">
        <f t="array" ref="N15">IFERROR(INDEX('Исходник'!$1:$626,MATCH($A15,'Исходник'!$T:$T,0),MATCH(N$1,'Исходник'!$1:$1,0)))</f>
        <v/>
      </c>
      <c r="O15" s="27">
        <f t="shared" si="5"/>
        <v>0</v>
      </c>
      <c r="P15" s="27" t="str">
        <f t="shared" si="6"/>
        <v/>
      </c>
      <c r="Q15" s="1" t="str">
        <f t="array" ref="Q15">IFERROR(INDEX('Исходник'!$1:$626,MATCH($A15,'Исходник'!$T:$T,0),MATCH(Q$1,'Исходник'!$1:$1,0)))</f>
        <v/>
      </c>
      <c r="R15" s="1" t="str">
        <f t="array" ref="R15">IFERROR(INDEX('Исходник'!$1:$626,MATCH($A15,'Исходник'!$T:$T,0),MATCH(R$1,'Исходник'!$1:$1,0)))</f>
        <v/>
      </c>
      <c r="S15" s="27">
        <f t="shared" si="7"/>
        <v>0</v>
      </c>
      <c r="T15" s="27" t="str">
        <f t="shared" si="8"/>
        <v/>
      </c>
      <c r="U15" s="1" t="str">
        <f t="array" ref="U15">IFERROR(INDEX('Исходник'!$1:$626,MATCH($A15,'Исходник'!$T:$T,0),MATCH(U$1,'Исходник'!$1:$1,0)))</f>
        <v/>
      </c>
      <c r="V15" s="27" t="str">
        <f t="shared" si="9"/>
        <v/>
      </c>
      <c r="W15" s="1" t="str">
        <f t="array" ref="W15">IFERROR(INDEX('Исходник'!$1:$626,MATCH($A15,'Исходник'!$T:$T,0),MATCH(W$1,'Исходник'!$1:$1,0)))</f>
        <v/>
      </c>
      <c r="X15" s="28">
        <f t="shared" si="10"/>
        <v>0</v>
      </c>
      <c r="Y15" s="1" t="str">
        <f t="array" ref="Y15">IFERROR(INDEX('Исходник'!$1:$626,MATCH($A15,'Исходник'!$T:$T,0),MATCH(Y$1,'Исходник'!$1:$1,0)))</f>
        <v/>
      </c>
      <c r="Z15" s="27">
        <f t="shared" si="11"/>
        <v>0</v>
      </c>
      <c r="AA15" s="27" t="str">
        <f t="shared" si="12"/>
        <v/>
      </c>
      <c r="AB15" s="1" t="str">
        <f t="array" ref="AB15">IFERROR(INDEX('Исходник'!$1:$626,MATCH($A15,'Исходник'!$T:$T,0),MATCH(AB$1,'Исходник'!$1:$1,0)))</f>
        <v/>
      </c>
      <c r="AC15" s="1" t="str">
        <f t="array" ref="AC15">IFERROR(INDEX('Исходник'!$1:$626,MATCH($A15,'Исходник'!$T:$T,0),MATCH(AC$1,'Исходник'!$1:$1,0)))</f>
        <v/>
      </c>
      <c r="AD15" s="27" t="str">
        <f t="shared" si="13"/>
        <v/>
      </c>
      <c r="AE15" s="1" t="str">
        <f t="array" ref="AE15">IFERROR(INDEX('Исходник'!$1:$626,MATCH($A15,'Исходник'!$T:$T,0),MATCH(AE$1,'Исходник'!$1:$1,0)))</f>
        <v/>
      </c>
      <c r="AF15" s="1" t="str">
        <f t="array" ref="AF15">IFERROR(INDEX('Исходник'!$1:$626,MATCH($A15,'Исходник'!$T:$T,0),MATCH(AF$1,'Исходник'!$1:$1,0)))</f>
        <v/>
      </c>
      <c r="AG15" s="27" t="str">
        <f t="shared" si="14"/>
        <v/>
      </c>
      <c r="AH15" s="1" t="str">
        <f t="array" ref="AH15">IFERROR(INDEX('Исходник'!$1:$626,MATCH($A15,'Исходник'!$T:$T,0),MATCH(AH$1,'Исходник'!$1:$1,0)))</f>
        <v/>
      </c>
      <c r="AI15" s="1" t="str">
        <f t="array" ref="AI15">IFERROR(INDEX('Исходник'!$1:$626,MATCH($A15,'Исходник'!$T:$T,0),MATCH(AI$1,'Исходник'!$1:$1,0)))</f>
        <v/>
      </c>
      <c r="AJ15" s="18">
        <f t="shared" si="15"/>
        <v>0</v>
      </c>
    </row>
    <row r="16" ht="15.75" customHeight="1">
      <c r="A16" s="27"/>
      <c r="B16" s="1" t="str">
        <f t="array" ref="B16">IFERROR(INDEX('Исходник'!$1:$626,MATCH($A16,'Исходник'!$T:$T,0),MATCH(B$1,'Исходник'!$1:$1,0)))</f>
        <v/>
      </c>
      <c r="C16" s="1" t="str">
        <f t="array" ref="C16">IFERROR(INDEX('Исходник'!$1:$626,MATCH($A16,'Исходник'!$T:$T,0),MATCH(C$1,'Исходник'!$1:$1,0)))</f>
        <v/>
      </c>
      <c r="D16" s="1" t="str">
        <f t="array" ref="D16">IFERROR(INDEX('Исходник'!$1:$626,MATCH($A16,'Исходник'!$T:$T,0),MATCH(D$1,'Исходник'!$1:$1,0)))</f>
        <v/>
      </c>
      <c r="E16" s="1" t="str">
        <f t="array" ref="E16">IFERROR(INDEX('Исходник'!$1:$626,MATCH($A16,'Исходник'!$T:$T,0),MATCH(E$1,'Исходник'!$1:$1,0)))</f>
        <v/>
      </c>
      <c r="F16" s="1" t="str">
        <f t="array" ref="F16">IFERROR(INDEX('Исходник'!$1:$626,MATCH($A16,'Исходник'!$T:$T,0),MATCH(F$1,'Исходник'!$1:$1,0)))</f>
        <v/>
      </c>
      <c r="G16" s="1" t="str">
        <f t="array" ref="G16">IFERROR(INDEX('Исходник'!$1:$626,MATCH($A16,'Исходник'!$T:$T,0),MATCH(G$1,'Исходник'!$1:$1,0)))</f>
        <v/>
      </c>
      <c r="H16" s="27">
        <f t="shared" si="1"/>
        <v>0</v>
      </c>
      <c r="I16" s="27" t="str">
        <f t="shared" si="2"/>
        <v/>
      </c>
      <c r="J16" s="1" t="str">
        <f t="array" ref="J16">IFERROR(INDEX('Исходник'!$1:$626,MATCH($A16,'Исходник'!$T:$T,0),MATCH(J$1,'Исходник'!$1:$1,0)))</f>
        <v/>
      </c>
      <c r="K16" s="27" t="str">
        <f t="shared" si="3"/>
        <v/>
      </c>
      <c r="L16" s="1" t="str">
        <f t="array" ref="L16">IFERROR(INDEX('Исходник'!$1:$626,MATCH($A16,'Исходник'!$T:$T,0),MATCH(L$1,'Исходник'!$1:$1,0)))</f>
        <v/>
      </c>
      <c r="M16" s="28">
        <f t="shared" si="4"/>
        <v>0</v>
      </c>
      <c r="N16" s="1" t="str">
        <f t="array" ref="N16">IFERROR(INDEX('Исходник'!$1:$626,MATCH($A16,'Исходник'!$T:$T,0),MATCH(N$1,'Исходник'!$1:$1,0)))</f>
        <v/>
      </c>
      <c r="O16" s="27">
        <f t="shared" si="5"/>
        <v>0</v>
      </c>
      <c r="P16" s="27" t="str">
        <f t="shared" si="6"/>
        <v/>
      </c>
      <c r="Q16" s="1" t="str">
        <f t="array" ref="Q16">IFERROR(INDEX('Исходник'!$1:$626,MATCH($A16,'Исходник'!$T:$T,0),MATCH(Q$1,'Исходник'!$1:$1,0)))</f>
        <v/>
      </c>
      <c r="R16" s="1" t="str">
        <f t="array" ref="R16">IFERROR(INDEX('Исходник'!$1:$626,MATCH($A16,'Исходник'!$T:$T,0),MATCH(R$1,'Исходник'!$1:$1,0)))</f>
        <v/>
      </c>
      <c r="S16" s="27">
        <f t="shared" si="7"/>
        <v>0</v>
      </c>
      <c r="T16" s="27" t="str">
        <f t="shared" si="8"/>
        <v/>
      </c>
      <c r="U16" s="1" t="str">
        <f t="array" ref="U16">IFERROR(INDEX('Исходник'!$1:$626,MATCH($A16,'Исходник'!$T:$T,0),MATCH(U$1,'Исходник'!$1:$1,0)))</f>
        <v/>
      </c>
      <c r="V16" s="27" t="str">
        <f t="shared" si="9"/>
        <v/>
      </c>
      <c r="W16" s="1" t="str">
        <f t="array" ref="W16">IFERROR(INDEX('Исходник'!$1:$626,MATCH($A16,'Исходник'!$T:$T,0),MATCH(W$1,'Исходник'!$1:$1,0)))</f>
        <v/>
      </c>
      <c r="X16" s="28">
        <f t="shared" si="10"/>
        <v>0</v>
      </c>
      <c r="Y16" s="1" t="str">
        <f t="array" ref="Y16">IFERROR(INDEX('Исходник'!$1:$626,MATCH($A16,'Исходник'!$T:$T,0),MATCH(Y$1,'Исходник'!$1:$1,0)))</f>
        <v/>
      </c>
      <c r="Z16" s="27">
        <f t="shared" si="11"/>
        <v>0</v>
      </c>
      <c r="AA16" s="27" t="str">
        <f t="shared" si="12"/>
        <v/>
      </c>
      <c r="AB16" s="1" t="str">
        <f t="array" ref="AB16">IFERROR(INDEX('Исходник'!$1:$626,MATCH($A16,'Исходник'!$T:$T,0),MATCH(AB$1,'Исходник'!$1:$1,0)))</f>
        <v/>
      </c>
      <c r="AC16" s="1" t="str">
        <f t="array" ref="AC16">IFERROR(INDEX('Исходник'!$1:$626,MATCH($A16,'Исходник'!$T:$T,0),MATCH(AC$1,'Исходник'!$1:$1,0)))</f>
        <v/>
      </c>
      <c r="AD16" s="27" t="str">
        <f t="shared" si="13"/>
        <v/>
      </c>
      <c r="AE16" s="1" t="str">
        <f t="array" ref="AE16">IFERROR(INDEX('Исходник'!$1:$626,MATCH($A16,'Исходник'!$T:$T,0),MATCH(AE$1,'Исходник'!$1:$1,0)))</f>
        <v/>
      </c>
      <c r="AF16" s="1" t="str">
        <f t="array" ref="AF16">IFERROR(INDEX('Исходник'!$1:$626,MATCH($A16,'Исходник'!$T:$T,0),MATCH(AF$1,'Исходник'!$1:$1,0)))</f>
        <v/>
      </c>
      <c r="AG16" s="27" t="str">
        <f t="shared" si="14"/>
        <v/>
      </c>
      <c r="AH16" s="1" t="str">
        <f t="array" ref="AH16">IFERROR(INDEX('Исходник'!$1:$626,MATCH($A16,'Исходник'!$T:$T,0),MATCH(AH$1,'Исходник'!$1:$1,0)))</f>
        <v/>
      </c>
      <c r="AI16" s="1" t="str">
        <f t="array" ref="AI16">IFERROR(INDEX('Исходник'!$1:$626,MATCH($A16,'Исходник'!$T:$T,0),MATCH(AI$1,'Исходник'!$1:$1,0)))</f>
        <v/>
      </c>
      <c r="AJ16" s="18">
        <f t="shared" si="15"/>
        <v>0</v>
      </c>
    </row>
    <row r="17" ht="15.75" customHeight="1">
      <c r="A17" s="27"/>
      <c r="B17" s="1" t="str">
        <f t="array" ref="B17">IFERROR(INDEX('Исходник'!$1:$626,MATCH($A17,'Исходник'!$T:$T,0),MATCH(B$1,'Исходник'!$1:$1,0)))</f>
        <v/>
      </c>
      <c r="C17" s="1" t="str">
        <f t="array" ref="C17">IFERROR(INDEX('Исходник'!$1:$626,MATCH($A17,'Исходник'!$T:$T,0),MATCH(C$1,'Исходник'!$1:$1,0)))</f>
        <v/>
      </c>
      <c r="D17" s="1" t="str">
        <f t="array" ref="D17">IFERROR(INDEX('Исходник'!$1:$626,MATCH($A17,'Исходник'!$T:$T,0),MATCH(D$1,'Исходник'!$1:$1,0)))</f>
        <v/>
      </c>
      <c r="E17" s="1" t="str">
        <f t="array" ref="E17">IFERROR(INDEX('Исходник'!$1:$626,MATCH($A17,'Исходник'!$T:$T,0),MATCH(E$1,'Исходник'!$1:$1,0)))</f>
        <v/>
      </c>
      <c r="F17" s="1" t="str">
        <f t="array" ref="F17">IFERROR(INDEX('Исходник'!$1:$626,MATCH($A17,'Исходник'!$T:$T,0),MATCH(F$1,'Исходник'!$1:$1,0)))</f>
        <v/>
      </c>
      <c r="G17" s="1" t="str">
        <f t="array" ref="G17">IFERROR(INDEX('Исходник'!$1:$626,MATCH($A17,'Исходник'!$T:$T,0),MATCH(G$1,'Исходник'!$1:$1,0)))</f>
        <v/>
      </c>
      <c r="H17" s="27">
        <f t="shared" si="1"/>
        <v>0</v>
      </c>
      <c r="I17" s="27" t="str">
        <f t="shared" si="2"/>
        <v/>
      </c>
      <c r="J17" s="1" t="str">
        <f t="array" ref="J17">IFERROR(INDEX('Исходник'!$1:$626,MATCH($A17,'Исходник'!$T:$T,0),MATCH(J$1,'Исходник'!$1:$1,0)))</f>
        <v/>
      </c>
      <c r="K17" s="27" t="str">
        <f t="shared" si="3"/>
        <v/>
      </c>
      <c r="L17" s="1" t="str">
        <f t="array" ref="L17">IFERROR(INDEX('Исходник'!$1:$626,MATCH($A17,'Исходник'!$T:$T,0),MATCH(L$1,'Исходник'!$1:$1,0)))</f>
        <v/>
      </c>
      <c r="M17" s="28">
        <f t="shared" si="4"/>
        <v>0</v>
      </c>
      <c r="N17" s="1" t="str">
        <f t="array" ref="N17">IFERROR(INDEX('Исходник'!$1:$626,MATCH($A17,'Исходник'!$T:$T,0),MATCH(N$1,'Исходник'!$1:$1,0)))</f>
        <v/>
      </c>
      <c r="O17" s="27">
        <f t="shared" si="5"/>
        <v>0</v>
      </c>
      <c r="P17" s="27" t="str">
        <f t="shared" si="6"/>
        <v/>
      </c>
      <c r="Q17" s="1" t="str">
        <f t="array" ref="Q17">IFERROR(INDEX('Исходник'!$1:$626,MATCH($A17,'Исходник'!$T:$T,0),MATCH(Q$1,'Исходник'!$1:$1,0)))</f>
        <v/>
      </c>
      <c r="R17" s="1" t="str">
        <f t="array" ref="R17">IFERROR(INDEX('Исходник'!$1:$626,MATCH($A17,'Исходник'!$T:$T,0),MATCH(R$1,'Исходник'!$1:$1,0)))</f>
        <v/>
      </c>
      <c r="S17" s="27">
        <f t="shared" si="7"/>
        <v>0</v>
      </c>
      <c r="T17" s="27" t="str">
        <f t="shared" si="8"/>
        <v/>
      </c>
      <c r="U17" s="1" t="str">
        <f t="array" ref="U17">IFERROR(INDEX('Исходник'!$1:$626,MATCH($A17,'Исходник'!$T:$T,0),MATCH(U$1,'Исходник'!$1:$1,0)))</f>
        <v/>
      </c>
      <c r="V17" s="27" t="str">
        <f t="shared" si="9"/>
        <v/>
      </c>
      <c r="W17" s="1" t="str">
        <f t="array" ref="W17">IFERROR(INDEX('Исходник'!$1:$626,MATCH($A17,'Исходник'!$T:$T,0),MATCH(W$1,'Исходник'!$1:$1,0)))</f>
        <v/>
      </c>
      <c r="X17" s="28">
        <f t="shared" si="10"/>
        <v>0</v>
      </c>
      <c r="Y17" s="1" t="str">
        <f t="array" ref="Y17">IFERROR(INDEX('Исходник'!$1:$626,MATCH($A17,'Исходник'!$T:$T,0),MATCH(Y$1,'Исходник'!$1:$1,0)))</f>
        <v/>
      </c>
      <c r="Z17" s="27">
        <f t="shared" si="11"/>
        <v>0</v>
      </c>
      <c r="AA17" s="27" t="str">
        <f t="shared" si="12"/>
        <v/>
      </c>
      <c r="AB17" s="1" t="str">
        <f t="array" ref="AB17">IFERROR(INDEX('Исходник'!$1:$626,MATCH($A17,'Исходник'!$T:$T,0),MATCH(AB$1,'Исходник'!$1:$1,0)))</f>
        <v/>
      </c>
      <c r="AC17" s="1" t="str">
        <f t="array" ref="AC17">IFERROR(INDEX('Исходник'!$1:$626,MATCH($A17,'Исходник'!$T:$T,0),MATCH(AC$1,'Исходник'!$1:$1,0)))</f>
        <v/>
      </c>
      <c r="AD17" s="27" t="str">
        <f t="shared" si="13"/>
        <v/>
      </c>
      <c r="AE17" s="1" t="str">
        <f t="array" ref="AE17">IFERROR(INDEX('Исходник'!$1:$626,MATCH($A17,'Исходник'!$T:$T,0),MATCH(AE$1,'Исходник'!$1:$1,0)))</f>
        <v/>
      </c>
      <c r="AF17" s="1" t="str">
        <f t="array" ref="AF17">IFERROR(INDEX('Исходник'!$1:$626,MATCH($A17,'Исходник'!$T:$T,0),MATCH(AF$1,'Исходник'!$1:$1,0)))</f>
        <v/>
      </c>
      <c r="AG17" s="27" t="str">
        <f t="shared" si="14"/>
        <v/>
      </c>
      <c r="AH17" s="1" t="str">
        <f t="array" ref="AH17">IFERROR(INDEX('Исходник'!$1:$626,MATCH($A17,'Исходник'!$T:$T,0),MATCH(AH$1,'Исходник'!$1:$1,0)))</f>
        <v/>
      </c>
      <c r="AI17" s="1" t="str">
        <f t="array" ref="AI17">IFERROR(INDEX('Исходник'!$1:$626,MATCH($A17,'Исходник'!$T:$T,0),MATCH(AI$1,'Исходник'!$1:$1,0)))</f>
        <v/>
      </c>
      <c r="AJ17" s="18">
        <f t="shared" si="15"/>
        <v>0</v>
      </c>
    </row>
    <row r="18" ht="15.75" customHeight="1">
      <c r="A18" s="27"/>
      <c r="B18" s="1" t="str">
        <f t="array" ref="B18">IFERROR(INDEX('Исходник'!$1:$626,MATCH($A18,'Исходник'!$T:$T,0),MATCH(B$1,'Исходник'!$1:$1,0)))</f>
        <v/>
      </c>
      <c r="C18" s="1" t="str">
        <f t="array" ref="C18">IFERROR(INDEX('Исходник'!$1:$626,MATCH($A18,'Исходник'!$T:$T,0),MATCH(C$1,'Исходник'!$1:$1,0)))</f>
        <v/>
      </c>
      <c r="D18" s="1" t="str">
        <f t="array" ref="D18">IFERROR(INDEX('Исходник'!$1:$626,MATCH($A18,'Исходник'!$T:$T,0),MATCH(D$1,'Исходник'!$1:$1,0)))</f>
        <v/>
      </c>
      <c r="E18" s="1" t="str">
        <f t="array" ref="E18">IFERROR(INDEX('Исходник'!$1:$626,MATCH($A18,'Исходник'!$T:$T,0),MATCH(E$1,'Исходник'!$1:$1,0)))</f>
        <v/>
      </c>
      <c r="F18" s="1" t="str">
        <f t="array" ref="F18">IFERROR(INDEX('Исходник'!$1:$626,MATCH($A18,'Исходник'!$T:$T,0),MATCH(F$1,'Исходник'!$1:$1,0)))</f>
        <v/>
      </c>
      <c r="G18" s="1" t="str">
        <f t="array" ref="G18">IFERROR(INDEX('Исходник'!$1:$626,MATCH($A18,'Исходник'!$T:$T,0),MATCH(G$1,'Исходник'!$1:$1,0)))</f>
        <v/>
      </c>
      <c r="H18" s="27">
        <f t="shared" si="1"/>
        <v>0</v>
      </c>
      <c r="I18" s="27" t="str">
        <f t="shared" si="2"/>
        <v/>
      </c>
      <c r="J18" s="1" t="str">
        <f t="array" ref="J18">IFERROR(INDEX('Исходник'!$1:$626,MATCH($A18,'Исходник'!$T:$T,0),MATCH(J$1,'Исходник'!$1:$1,0)))</f>
        <v/>
      </c>
      <c r="K18" s="27" t="str">
        <f t="shared" si="3"/>
        <v/>
      </c>
      <c r="L18" s="1" t="str">
        <f t="array" ref="L18">IFERROR(INDEX('Исходник'!$1:$626,MATCH($A18,'Исходник'!$T:$T,0),MATCH(L$1,'Исходник'!$1:$1,0)))</f>
        <v/>
      </c>
      <c r="M18" s="28">
        <f t="shared" si="4"/>
        <v>0</v>
      </c>
      <c r="N18" s="1" t="str">
        <f t="array" ref="N18">IFERROR(INDEX('Исходник'!$1:$626,MATCH($A18,'Исходник'!$T:$T,0),MATCH(N$1,'Исходник'!$1:$1,0)))</f>
        <v/>
      </c>
      <c r="O18" s="27">
        <f t="shared" si="5"/>
        <v>0</v>
      </c>
      <c r="P18" s="27" t="str">
        <f t="shared" si="6"/>
        <v/>
      </c>
      <c r="Q18" s="1" t="str">
        <f t="array" ref="Q18">IFERROR(INDEX('Исходник'!$1:$626,MATCH($A18,'Исходник'!$T:$T,0),MATCH(Q$1,'Исходник'!$1:$1,0)))</f>
        <v/>
      </c>
      <c r="R18" s="1" t="str">
        <f t="array" ref="R18">IFERROR(INDEX('Исходник'!$1:$626,MATCH($A18,'Исходник'!$T:$T,0),MATCH(R$1,'Исходник'!$1:$1,0)))</f>
        <v/>
      </c>
      <c r="S18" s="27">
        <f t="shared" si="7"/>
        <v>0</v>
      </c>
      <c r="T18" s="27" t="str">
        <f t="shared" si="8"/>
        <v/>
      </c>
      <c r="U18" s="1" t="str">
        <f t="array" ref="U18">IFERROR(INDEX('Исходник'!$1:$626,MATCH($A18,'Исходник'!$T:$T,0),MATCH(U$1,'Исходник'!$1:$1,0)))</f>
        <v/>
      </c>
      <c r="V18" s="27" t="str">
        <f t="shared" si="9"/>
        <v/>
      </c>
      <c r="W18" s="1" t="str">
        <f t="array" ref="W18">IFERROR(INDEX('Исходник'!$1:$626,MATCH($A18,'Исходник'!$T:$T,0),MATCH(W$1,'Исходник'!$1:$1,0)))</f>
        <v/>
      </c>
      <c r="X18" s="28">
        <f t="shared" si="10"/>
        <v>0</v>
      </c>
      <c r="Y18" s="1" t="str">
        <f t="array" ref="Y18">IFERROR(INDEX('Исходник'!$1:$626,MATCH($A18,'Исходник'!$T:$T,0),MATCH(Y$1,'Исходник'!$1:$1,0)))</f>
        <v/>
      </c>
      <c r="Z18" s="27">
        <f t="shared" si="11"/>
        <v>0</v>
      </c>
      <c r="AA18" s="27" t="str">
        <f t="shared" si="12"/>
        <v/>
      </c>
      <c r="AB18" s="1" t="str">
        <f t="array" ref="AB18">IFERROR(INDEX('Исходник'!$1:$626,MATCH($A18,'Исходник'!$T:$T,0),MATCH(AB$1,'Исходник'!$1:$1,0)))</f>
        <v/>
      </c>
      <c r="AC18" s="1" t="str">
        <f t="array" ref="AC18">IFERROR(INDEX('Исходник'!$1:$626,MATCH($A18,'Исходник'!$T:$T,0),MATCH(AC$1,'Исходник'!$1:$1,0)))</f>
        <v/>
      </c>
      <c r="AD18" s="27" t="str">
        <f t="shared" si="13"/>
        <v/>
      </c>
      <c r="AE18" s="1" t="str">
        <f t="array" ref="AE18">IFERROR(INDEX('Исходник'!$1:$626,MATCH($A18,'Исходник'!$T:$T,0),MATCH(AE$1,'Исходник'!$1:$1,0)))</f>
        <v/>
      </c>
      <c r="AF18" s="1" t="str">
        <f t="array" ref="AF18">IFERROR(INDEX('Исходник'!$1:$626,MATCH($A18,'Исходник'!$T:$T,0),MATCH(AF$1,'Исходник'!$1:$1,0)))</f>
        <v/>
      </c>
      <c r="AG18" s="27" t="str">
        <f t="shared" si="14"/>
        <v/>
      </c>
      <c r="AH18" s="1" t="str">
        <f t="array" ref="AH18">IFERROR(INDEX('Исходник'!$1:$626,MATCH($A18,'Исходник'!$T:$T,0),MATCH(AH$1,'Исходник'!$1:$1,0)))</f>
        <v/>
      </c>
      <c r="AI18" s="1" t="str">
        <f t="array" ref="AI18">IFERROR(INDEX('Исходник'!$1:$626,MATCH($A18,'Исходник'!$T:$T,0),MATCH(AI$1,'Исходник'!$1:$1,0)))</f>
        <v/>
      </c>
      <c r="AJ18" s="18">
        <f t="shared" si="15"/>
        <v>0</v>
      </c>
    </row>
    <row r="19" ht="15.75" customHeight="1">
      <c r="A19" s="27"/>
      <c r="B19" s="1" t="str">
        <f t="array" ref="B19">IFERROR(INDEX('Исходник'!$1:$626,MATCH($A19,'Исходник'!$T:$T,0),MATCH(B$1,'Исходник'!$1:$1,0)))</f>
        <v/>
      </c>
      <c r="C19" s="1" t="str">
        <f t="array" ref="C19">IFERROR(INDEX('Исходник'!$1:$626,MATCH($A19,'Исходник'!$T:$T,0),MATCH(C$1,'Исходник'!$1:$1,0)))</f>
        <v/>
      </c>
      <c r="D19" s="1" t="str">
        <f t="array" ref="D19">IFERROR(INDEX('Исходник'!$1:$626,MATCH($A19,'Исходник'!$T:$T,0),MATCH(D$1,'Исходник'!$1:$1,0)))</f>
        <v/>
      </c>
      <c r="E19" s="1" t="str">
        <f t="array" ref="E19">IFERROR(INDEX('Исходник'!$1:$626,MATCH($A19,'Исходник'!$T:$T,0),MATCH(E$1,'Исходник'!$1:$1,0)))</f>
        <v/>
      </c>
      <c r="F19" s="1" t="str">
        <f t="array" ref="F19">IFERROR(INDEX('Исходник'!$1:$626,MATCH($A19,'Исходник'!$T:$T,0),MATCH(F$1,'Исходник'!$1:$1,0)))</f>
        <v/>
      </c>
      <c r="G19" s="1" t="str">
        <f t="array" ref="G19">IFERROR(INDEX('Исходник'!$1:$626,MATCH($A19,'Исходник'!$T:$T,0),MATCH(G$1,'Исходник'!$1:$1,0)))</f>
        <v/>
      </c>
      <c r="H19" s="27">
        <f t="shared" si="1"/>
        <v>0</v>
      </c>
      <c r="I19" s="27" t="str">
        <f t="shared" si="2"/>
        <v/>
      </c>
      <c r="J19" s="1" t="str">
        <f t="array" ref="J19">IFERROR(INDEX('Исходник'!$1:$626,MATCH($A19,'Исходник'!$T:$T,0),MATCH(J$1,'Исходник'!$1:$1,0)))</f>
        <v/>
      </c>
      <c r="K19" s="27" t="str">
        <f t="shared" si="3"/>
        <v/>
      </c>
      <c r="L19" s="1" t="str">
        <f t="array" ref="L19">IFERROR(INDEX('Исходник'!$1:$626,MATCH($A19,'Исходник'!$T:$T,0),MATCH(L$1,'Исходник'!$1:$1,0)))</f>
        <v/>
      </c>
      <c r="M19" s="28">
        <f t="shared" si="4"/>
        <v>0</v>
      </c>
      <c r="N19" s="1" t="str">
        <f t="array" ref="N19">IFERROR(INDEX('Исходник'!$1:$626,MATCH($A19,'Исходник'!$T:$T,0),MATCH(N$1,'Исходник'!$1:$1,0)))</f>
        <v/>
      </c>
      <c r="O19" s="27">
        <f t="shared" si="5"/>
        <v>0</v>
      </c>
      <c r="P19" s="27" t="str">
        <f t="shared" si="6"/>
        <v/>
      </c>
      <c r="Q19" s="1" t="str">
        <f t="array" ref="Q19">IFERROR(INDEX('Исходник'!$1:$626,MATCH($A19,'Исходник'!$T:$T,0),MATCH(Q$1,'Исходник'!$1:$1,0)))</f>
        <v/>
      </c>
      <c r="R19" s="1" t="str">
        <f t="array" ref="R19">IFERROR(INDEX('Исходник'!$1:$626,MATCH($A19,'Исходник'!$T:$T,0),MATCH(R$1,'Исходник'!$1:$1,0)))</f>
        <v/>
      </c>
      <c r="S19" s="27">
        <f t="shared" si="7"/>
        <v>0</v>
      </c>
      <c r="T19" s="27" t="str">
        <f t="shared" si="8"/>
        <v/>
      </c>
      <c r="U19" s="1" t="str">
        <f t="array" ref="U19">IFERROR(INDEX('Исходник'!$1:$626,MATCH($A19,'Исходник'!$T:$T,0),MATCH(U$1,'Исходник'!$1:$1,0)))</f>
        <v/>
      </c>
      <c r="V19" s="27" t="str">
        <f t="shared" si="9"/>
        <v/>
      </c>
      <c r="W19" s="1" t="str">
        <f t="array" ref="W19">IFERROR(INDEX('Исходник'!$1:$626,MATCH($A19,'Исходник'!$T:$T,0),MATCH(W$1,'Исходник'!$1:$1,0)))</f>
        <v/>
      </c>
      <c r="X19" s="28">
        <f t="shared" si="10"/>
        <v>0</v>
      </c>
      <c r="Y19" s="1" t="str">
        <f t="array" ref="Y19">IFERROR(INDEX('Исходник'!$1:$626,MATCH($A19,'Исходник'!$T:$T,0),MATCH(Y$1,'Исходник'!$1:$1,0)))</f>
        <v/>
      </c>
      <c r="Z19" s="27">
        <f t="shared" si="11"/>
        <v>0</v>
      </c>
      <c r="AA19" s="27" t="str">
        <f t="shared" si="12"/>
        <v/>
      </c>
      <c r="AB19" s="1" t="str">
        <f t="array" ref="AB19">IFERROR(INDEX('Исходник'!$1:$626,MATCH($A19,'Исходник'!$T:$T,0),MATCH(AB$1,'Исходник'!$1:$1,0)))</f>
        <v/>
      </c>
      <c r="AC19" s="1" t="str">
        <f t="array" ref="AC19">IFERROR(INDEX('Исходник'!$1:$626,MATCH($A19,'Исходник'!$T:$T,0),MATCH(AC$1,'Исходник'!$1:$1,0)))</f>
        <v/>
      </c>
      <c r="AD19" s="27" t="str">
        <f t="shared" si="13"/>
        <v/>
      </c>
      <c r="AE19" s="1" t="str">
        <f t="array" ref="AE19">IFERROR(INDEX('Исходник'!$1:$626,MATCH($A19,'Исходник'!$T:$T,0),MATCH(AE$1,'Исходник'!$1:$1,0)))</f>
        <v/>
      </c>
      <c r="AF19" s="1" t="str">
        <f t="array" ref="AF19">IFERROR(INDEX('Исходник'!$1:$626,MATCH($A19,'Исходник'!$T:$T,0),MATCH(AF$1,'Исходник'!$1:$1,0)))</f>
        <v/>
      </c>
      <c r="AG19" s="27" t="str">
        <f t="shared" si="14"/>
        <v/>
      </c>
      <c r="AH19" s="1" t="str">
        <f t="array" ref="AH19">IFERROR(INDEX('Исходник'!$1:$626,MATCH($A19,'Исходник'!$T:$T,0),MATCH(AH$1,'Исходник'!$1:$1,0)))</f>
        <v/>
      </c>
      <c r="AI19" s="1" t="str">
        <f t="array" ref="AI19">IFERROR(INDEX('Исходник'!$1:$626,MATCH($A19,'Исходник'!$T:$T,0),MATCH(AI$1,'Исходник'!$1:$1,0)))</f>
        <v/>
      </c>
      <c r="AJ19" s="18">
        <f t="shared" si="15"/>
        <v>0</v>
      </c>
    </row>
    <row r="20" ht="15.75" customHeight="1">
      <c r="A20" s="27"/>
      <c r="B20" s="1" t="str">
        <f t="array" ref="B20">IFERROR(INDEX('Исходник'!$1:$626,MATCH($A20,'Исходник'!$T:$T,0),MATCH(B$1,'Исходник'!$1:$1,0)))</f>
        <v/>
      </c>
      <c r="C20" s="1" t="str">
        <f t="array" ref="C20">IFERROR(INDEX('Исходник'!$1:$626,MATCH($A20,'Исходник'!$T:$T,0),MATCH(C$1,'Исходник'!$1:$1,0)))</f>
        <v/>
      </c>
      <c r="D20" s="1" t="str">
        <f t="array" ref="D20">IFERROR(INDEX('Исходник'!$1:$626,MATCH($A20,'Исходник'!$T:$T,0),MATCH(D$1,'Исходник'!$1:$1,0)))</f>
        <v/>
      </c>
      <c r="E20" s="1" t="str">
        <f t="array" ref="E20">IFERROR(INDEX('Исходник'!$1:$626,MATCH($A20,'Исходник'!$T:$T,0),MATCH(E$1,'Исходник'!$1:$1,0)))</f>
        <v/>
      </c>
      <c r="F20" s="1" t="str">
        <f t="array" ref="F20">IFERROR(INDEX('Исходник'!$1:$626,MATCH($A20,'Исходник'!$T:$T,0),MATCH(F$1,'Исходник'!$1:$1,0)))</f>
        <v/>
      </c>
      <c r="G20" s="1" t="str">
        <f t="array" ref="G20">IFERROR(INDEX('Исходник'!$1:$626,MATCH($A20,'Исходник'!$T:$T,0),MATCH(G$1,'Исходник'!$1:$1,0)))</f>
        <v/>
      </c>
      <c r="H20" s="27">
        <f t="shared" si="1"/>
        <v>0</v>
      </c>
      <c r="I20" s="27" t="str">
        <f t="shared" si="2"/>
        <v/>
      </c>
      <c r="J20" s="1" t="str">
        <f t="array" ref="J20">IFERROR(INDEX('Исходник'!$1:$626,MATCH($A20,'Исходник'!$T:$T,0),MATCH(J$1,'Исходник'!$1:$1,0)))</f>
        <v/>
      </c>
      <c r="K20" s="27" t="str">
        <f t="shared" si="3"/>
        <v/>
      </c>
      <c r="L20" s="1" t="str">
        <f t="array" ref="L20">IFERROR(INDEX('Исходник'!$1:$626,MATCH($A20,'Исходник'!$T:$T,0),MATCH(L$1,'Исходник'!$1:$1,0)))</f>
        <v/>
      </c>
      <c r="M20" s="28">
        <f t="shared" si="4"/>
        <v>0</v>
      </c>
      <c r="N20" s="1" t="str">
        <f t="array" ref="N20">IFERROR(INDEX('Исходник'!$1:$626,MATCH($A20,'Исходник'!$T:$T,0),MATCH(N$1,'Исходник'!$1:$1,0)))</f>
        <v/>
      </c>
      <c r="O20" s="27">
        <f t="shared" si="5"/>
        <v>0</v>
      </c>
      <c r="P20" s="27" t="str">
        <f t="shared" si="6"/>
        <v/>
      </c>
      <c r="Q20" s="1" t="str">
        <f t="array" ref="Q20">IFERROR(INDEX('Исходник'!$1:$626,MATCH($A20,'Исходник'!$T:$T,0),MATCH(Q$1,'Исходник'!$1:$1,0)))</f>
        <v/>
      </c>
      <c r="R20" s="1" t="str">
        <f t="array" ref="R20">IFERROR(INDEX('Исходник'!$1:$626,MATCH($A20,'Исходник'!$T:$T,0),MATCH(R$1,'Исходник'!$1:$1,0)))</f>
        <v/>
      </c>
      <c r="S20" s="27">
        <f t="shared" si="7"/>
        <v>0</v>
      </c>
      <c r="T20" s="27" t="str">
        <f t="shared" si="8"/>
        <v/>
      </c>
      <c r="U20" s="1" t="str">
        <f t="array" ref="U20">IFERROR(INDEX('Исходник'!$1:$626,MATCH($A20,'Исходник'!$T:$T,0),MATCH(U$1,'Исходник'!$1:$1,0)))</f>
        <v/>
      </c>
      <c r="V20" s="27" t="str">
        <f t="shared" si="9"/>
        <v/>
      </c>
      <c r="W20" s="1" t="str">
        <f t="array" ref="W20">IFERROR(INDEX('Исходник'!$1:$626,MATCH($A20,'Исходник'!$T:$T,0),MATCH(W$1,'Исходник'!$1:$1,0)))</f>
        <v/>
      </c>
      <c r="X20" s="28">
        <f t="shared" si="10"/>
        <v>0</v>
      </c>
      <c r="Y20" s="1" t="str">
        <f t="array" ref="Y20">IFERROR(INDEX('Исходник'!$1:$626,MATCH($A20,'Исходник'!$T:$T,0),MATCH(Y$1,'Исходник'!$1:$1,0)))</f>
        <v/>
      </c>
      <c r="Z20" s="27">
        <f t="shared" si="11"/>
        <v>0</v>
      </c>
      <c r="AA20" s="27" t="str">
        <f t="shared" si="12"/>
        <v/>
      </c>
      <c r="AB20" s="1" t="str">
        <f t="array" ref="AB20">IFERROR(INDEX('Исходник'!$1:$626,MATCH($A20,'Исходник'!$T:$T,0),MATCH(AB$1,'Исходник'!$1:$1,0)))</f>
        <v/>
      </c>
      <c r="AC20" s="1" t="str">
        <f t="array" ref="AC20">IFERROR(INDEX('Исходник'!$1:$626,MATCH($A20,'Исходник'!$T:$T,0),MATCH(AC$1,'Исходник'!$1:$1,0)))</f>
        <v/>
      </c>
      <c r="AD20" s="27" t="str">
        <f t="shared" si="13"/>
        <v/>
      </c>
      <c r="AE20" s="1" t="str">
        <f t="array" ref="AE20">IFERROR(INDEX('Исходник'!$1:$626,MATCH($A20,'Исходник'!$T:$T,0),MATCH(AE$1,'Исходник'!$1:$1,0)))</f>
        <v/>
      </c>
      <c r="AF20" s="1" t="str">
        <f t="array" ref="AF20">IFERROR(INDEX('Исходник'!$1:$626,MATCH($A20,'Исходник'!$T:$T,0),MATCH(AF$1,'Исходник'!$1:$1,0)))</f>
        <v/>
      </c>
      <c r="AG20" s="27" t="str">
        <f t="shared" si="14"/>
        <v/>
      </c>
      <c r="AH20" s="1" t="str">
        <f t="array" ref="AH20">IFERROR(INDEX('Исходник'!$1:$626,MATCH($A20,'Исходник'!$T:$T,0),MATCH(AH$1,'Исходник'!$1:$1,0)))</f>
        <v/>
      </c>
      <c r="AI20" s="1" t="str">
        <f t="array" ref="AI20">IFERROR(INDEX('Исходник'!$1:$626,MATCH($A20,'Исходник'!$T:$T,0),MATCH(AI$1,'Исходник'!$1:$1,0)))</f>
        <v/>
      </c>
      <c r="AJ20" s="18">
        <f t="shared" si="15"/>
        <v>0</v>
      </c>
    </row>
    <row r="21" ht="15.75" customHeight="1">
      <c r="A21" s="27"/>
      <c r="B21" s="1" t="str">
        <f t="array" ref="B21">IFERROR(INDEX('Исходник'!$1:$626,MATCH($A21,'Исходник'!$T:$T,0),MATCH(B$1,'Исходник'!$1:$1,0)))</f>
        <v/>
      </c>
      <c r="C21" s="1" t="str">
        <f t="array" ref="C21">IFERROR(INDEX('Исходник'!$1:$626,MATCH($A21,'Исходник'!$T:$T,0),MATCH(C$1,'Исходник'!$1:$1,0)))</f>
        <v/>
      </c>
      <c r="D21" s="1" t="str">
        <f t="array" ref="D21">IFERROR(INDEX('Исходник'!$1:$626,MATCH($A21,'Исходник'!$T:$T,0),MATCH(D$1,'Исходник'!$1:$1,0)))</f>
        <v/>
      </c>
      <c r="E21" s="1" t="str">
        <f t="array" ref="E21">IFERROR(INDEX('Исходник'!$1:$626,MATCH($A21,'Исходник'!$T:$T,0),MATCH(E$1,'Исходник'!$1:$1,0)))</f>
        <v/>
      </c>
      <c r="F21" s="1" t="str">
        <f t="array" ref="F21">IFERROR(INDEX('Исходник'!$1:$626,MATCH($A21,'Исходник'!$T:$T,0),MATCH(F$1,'Исходник'!$1:$1,0)))</f>
        <v/>
      </c>
      <c r="G21" s="1" t="str">
        <f t="array" ref="G21">IFERROR(INDEX('Исходник'!$1:$626,MATCH($A21,'Исходник'!$T:$T,0),MATCH(G$1,'Исходник'!$1:$1,0)))</f>
        <v/>
      </c>
      <c r="H21" s="27">
        <f t="shared" si="1"/>
        <v>0</v>
      </c>
      <c r="I21" s="27" t="str">
        <f t="shared" si="2"/>
        <v/>
      </c>
      <c r="J21" s="1" t="str">
        <f t="array" ref="J21">IFERROR(INDEX('Исходник'!$1:$626,MATCH($A21,'Исходник'!$T:$T,0),MATCH(J$1,'Исходник'!$1:$1,0)))</f>
        <v/>
      </c>
      <c r="K21" s="27" t="str">
        <f t="shared" si="3"/>
        <v/>
      </c>
      <c r="L21" s="1" t="str">
        <f t="array" ref="L21">IFERROR(INDEX('Исходник'!$1:$626,MATCH($A21,'Исходник'!$T:$T,0),MATCH(L$1,'Исходник'!$1:$1,0)))</f>
        <v/>
      </c>
      <c r="M21" s="28">
        <f t="shared" si="4"/>
        <v>0</v>
      </c>
      <c r="N21" s="1" t="str">
        <f t="array" ref="N21">IFERROR(INDEX('Исходник'!$1:$626,MATCH($A21,'Исходник'!$T:$T,0),MATCH(N$1,'Исходник'!$1:$1,0)))</f>
        <v/>
      </c>
      <c r="O21" s="27">
        <f t="shared" si="5"/>
        <v>0</v>
      </c>
      <c r="P21" s="27" t="str">
        <f t="shared" si="6"/>
        <v/>
      </c>
      <c r="Q21" s="1" t="str">
        <f t="array" ref="Q21">IFERROR(INDEX('Исходник'!$1:$626,MATCH($A21,'Исходник'!$T:$T,0),MATCH(Q$1,'Исходник'!$1:$1,0)))</f>
        <v/>
      </c>
      <c r="R21" s="1" t="str">
        <f t="array" ref="R21">IFERROR(INDEX('Исходник'!$1:$626,MATCH($A21,'Исходник'!$T:$T,0),MATCH(R$1,'Исходник'!$1:$1,0)))</f>
        <v/>
      </c>
      <c r="S21" s="27">
        <f t="shared" si="7"/>
        <v>0</v>
      </c>
      <c r="T21" s="27" t="str">
        <f t="shared" si="8"/>
        <v/>
      </c>
      <c r="U21" s="1" t="str">
        <f t="array" ref="U21">IFERROR(INDEX('Исходник'!$1:$626,MATCH($A21,'Исходник'!$T:$T,0),MATCH(U$1,'Исходник'!$1:$1,0)))</f>
        <v/>
      </c>
      <c r="V21" s="27" t="str">
        <f t="shared" si="9"/>
        <v/>
      </c>
      <c r="W21" s="1" t="str">
        <f t="array" ref="W21">IFERROR(INDEX('Исходник'!$1:$626,MATCH($A21,'Исходник'!$T:$T,0),MATCH(W$1,'Исходник'!$1:$1,0)))</f>
        <v/>
      </c>
      <c r="X21" s="28">
        <f t="shared" si="10"/>
        <v>0</v>
      </c>
      <c r="Y21" s="1" t="str">
        <f t="array" ref="Y21">IFERROR(INDEX('Исходник'!$1:$626,MATCH($A21,'Исходник'!$T:$T,0),MATCH(Y$1,'Исходник'!$1:$1,0)))</f>
        <v/>
      </c>
      <c r="Z21" s="27">
        <f t="shared" si="11"/>
        <v>0</v>
      </c>
      <c r="AA21" s="27" t="str">
        <f t="shared" si="12"/>
        <v/>
      </c>
      <c r="AB21" s="1" t="str">
        <f t="array" ref="AB21">IFERROR(INDEX('Исходник'!$1:$626,MATCH($A21,'Исходник'!$T:$T,0),MATCH(AB$1,'Исходник'!$1:$1,0)))</f>
        <v/>
      </c>
      <c r="AC21" s="1" t="str">
        <f t="array" ref="AC21">IFERROR(INDEX('Исходник'!$1:$626,MATCH($A21,'Исходник'!$T:$T,0),MATCH(AC$1,'Исходник'!$1:$1,0)))</f>
        <v/>
      </c>
      <c r="AD21" s="27" t="str">
        <f t="shared" si="13"/>
        <v/>
      </c>
      <c r="AE21" s="1" t="str">
        <f t="array" ref="AE21">IFERROR(INDEX('Исходник'!$1:$626,MATCH($A21,'Исходник'!$T:$T,0),MATCH(AE$1,'Исходник'!$1:$1,0)))</f>
        <v/>
      </c>
      <c r="AF21" s="1" t="str">
        <f t="array" ref="AF21">IFERROR(INDEX('Исходник'!$1:$626,MATCH($A21,'Исходник'!$T:$T,0),MATCH(AF$1,'Исходник'!$1:$1,0)))</f>
        <v/>
      </c>
      <c r="AG21" s="27" t="str">
        <f t="shared" si="14"/>
        <v/>
      </c>
      <c r="AH21" s="1" t="str">
        <f t="array" ref="AH21">IFERROR(INDEX('Исходник'!$1:$626,MATCH($A21,'Исходник'!$T:$T,0),MATCH(AH$1,'Исходник'!$1:$1,0)))</f>
        <v/>
      </c>
      <c r="AI21" s="1" t="str">
        <f t="array" ref="AI21">IFERROR(INDEX('Исходник'!$1:$626,MATCH($A21,'Исходник'!$T:$T,0),MATCH(AI$1,'Исходник'!$1:$1,0)))</f>
        <v/>
      </c>
      <c r="AJ21" s="18">
        <f t="shared" si="15"/>
        <v>0</v>
      </c>
    </row>
    <row r="22" ht="15.75" customHeight="1">
      <c r="A22" s="27"/>
      <c r="B22" s="1" t="str">
        <f t="array" ref="B22">IFERROR(INDEX('Исходник'!$1:$626,MATCH($A22,'Исходник'!$T:$T,0),MATCH(B$1,'Исходник'!$1:$1,0)))</f>
        <v/>
      </c>
      <c r="C22" s="1" t="str">
        <f t="array" ref="C22">IFERROR(INDEX('Исходник'!$1:$626,MATCH($A22,'Исходник'!$T:$T,0),MATCH(C$1,'Исходник'!$1:$1,0)))</f>
        <v/>
      </c>
      <c r="D22" s="1" t="str">
        <f t="array" ref="D22">IFERROR(INDEX('Исходник'!$1:$626,MATCH($A22,'Исходник'!$T:$T,0),MATCH(D$1,'Исходник'!$1:$1,0)))</f>
        <v/>
      </c>
      <c r="E22" s="1" t="str">
        <f t="array" ref="E22">IFERROR(INDEX('Исходник'!$1:$626,MATCH($A22,'Исходник'!$T:$T,0),MATCH(E$1,'Исходник'!$1:$1,0)))</f>
        <v/>
      </c>
      <c r="F22" s="1" t="str">
        <f t="array" ref="F22">IFERROR(INDEX('Исходник'!$1:$626,MATCH($A22,'Исходник'!$T:$T,0),MATCH(F$1,'Исходник'!$1:$1,0)))</f>
        <v/>
      </c>
      <c r="G22" s="1" t="str">
        <f t="array" ref="G22">IFERROR(INDEX('Исходник'!$1:$626,MATCH($A22,'Исходник'!$T:$T,0),MATCH(G$1,'Исходник'!$1:$1,0)))</f>
        <v/>
      </c>
      <c r="H22" s="27">
        <f t="shared" si="1"/>
        <v>0</v>
      </c>
      <c r="I22" s="27" t="str">
        <f t="shared" si="2"/>
        <v/>
      </c>
      <c r="J22" s="1" t="str">
        <f t="array" ref="J22">IFERROR(INDEX('Исходник'!$1:$626,MATCH($A22,'Исходник'!$T:$T,0),MATCH(J$1,'Исходник'!$1:$1,0)))</f>
        <v/>
      </c>
      <c r="K22" s="27" t="str">
        <f t="shared" si="3"/>
        <v/>
      </c>
      <c r="L22" s="1" t="str">
        <f t="array" ref="L22">IFERROR(INDEX('Исходник'!$1:$626,MATCH($A22,'Исходник'!$T:$T,0),MATCH(L$1,'Исходник'!$1:$1,0)))</f>
        <v/>
      </c>
      <c r="M22" s="28">
        <f t="shared" si="4"/>
        <v>0</v>
      </c>
      <c r="N22" s="1" t="str">
        <f t="array" ref="N22">IFERROR(INDEX('Исходник'!$1:$626,MATCH($A22,'Исходник'!$T:$T,0),MATCH(N$1,'Исходник'!$1:$1,0)))</f>
        <v/>
      </c>
      <c r="O22" s="27">
        <f t="shared" si="5"/>
        <v>0</v>
      </c>
      <c r="P22" s="27" t="str">
        <f t="shared" si="6"/>
        <v/>
      </c>
      <c r="Q22" s="1" t="str">
        <f t="array" ref="Q22">IFERROR(INDEX('Исходник'!$1:$626,MATCH($A22,'Исходник'!$T:$T,0),MATCH(Q$1,'Исходник'!$1:$1,0)))</f>
        <v/>
      </c>
      <c r="R22" s="1" t="str">
        <f t="array" ref="R22">IFERROR(INDEX('Исходник'!$1:$626,MATCH($A22,'Исходник'!$T:$T,0),MATCH(R$1,'Исходник'!$1:$1,0)))</f>
        <v/>
      </c>
      <c r="S22" s="27">
        <f t="shared" si="7"/>
        <v>0</v>
      </c>
      <c r="T22" s="27" t="str">
        <f t="shared" si="8"/>
        <v/>
      </c>
      <c r="U22" s="1" t="str">
        <f t="array" ref="U22">IFERROR(INDEX('Исходник'!$1:$626,MATCH($A22,'Исходник'!$T:$T,0),MATCH(U$1,'Исходник'!$1:$1,0)))</f>
        <v/>
      </c>
      <c r="V22" s="27" t="str">
        <f t="shared" si="9"/>
        <v/>
      </c>
      <c r="W22" s="1" t="str">
        <f t="array" ref="W22">IFERROR(INDEX('Исходник'!$1:$626,MATCH($A22,'Исходник'!$T:$T,0),MATCH(W$1,'Исходник'!$1:$1,0)))</f>
        <v/>
      </c>
      <c r="X22" s="28">
        <f t="shared" si="10"/>
        <v>0</v>
      </c>
      <c r="Y22" s="1" t="str">
        <f t="array" ref="Y22">IFERROR(INDEX('Исходник'!$1:$626,MATCH($A22,'Исходник'!$T:$T,0),MATCH(Y$1,'Исходник'!$1:$1,0)))</f>
        <v/>
      </c>
      <c r="Z22" s="27">
        <f t="shared" si="11"/>
        <v>0</v>
      </c>
      <c r="AA22" s="27" t="str">
        <f t="shared" si="12"/>
        <v/>
      </c>
      <c r="AB22" s="1" t="str">
        <f t="array" ref="AB22">IFERROR(INDEX('Исходник'!$1:$626,MATCH($A22,'Исходник'!$T:$T,0),MATCH(AB$1,'Исходник'!$1:$1,0)))</f>
        <v/>
      </c>
      <c r="AC22" s="1" t="str">
        <f t="array" ref="AC22">IFERROR(INDEX('Исходник'!$1:$626,MATCH($A22,'Исходник'!$T:$T,0),MATCH(AC$1,'Исходник'!$1:$1,0)))</f>
        <v/>
      </c>
      <c r="AD22" s="27" t="str">
        <f t="shared" si="13"/>
        <v/>
      </c>
      <c r="AE22" s="1" t="str">
        <f t="array" ref="AE22">IFERROR(INDEX('Исходник'!$1:$626,MATCH($A22,'Исходник'!$T:$T,0),MATCH(AE$1,'Исходник'!$1:$1,0)))</f>
        <v/>
      </c>
      <c r="AF22" s="1" t="str">
        <f t="array" ref="AF22">IFERROR(INDEX('Исходник'!$1:$626,MATCH($A22,'Исходник'!$T:$T,0),MATCH(AF$1,'Исходник'!$1:$1,0)))</f>
        <v/>
      </c>
      <c r="AG22" s="27" t="str">
        <f t="shared" si="14"/>
        <v/>
      </c>
      <c r="AH22" s="1" t="str">
        <f t="array" ref="AH22">IFERROR(INDEX('Исходник'!$1:$626,MATCH($A22,'Исходник'!$T:$T,0),MATCH(AH$1,'Исходник'!$1:$1,0)))</f>
        <v/>
      </c>
      <c r="AI22" s="1" t="str">
        <f t="array" ref="AI22">IFERROR(INDEX('Исходник'!$1:$626,MATCH($A22,'Исходник'!$T:$T,0),MATCH(AI$1,'Исходник'!$1:$1,0)))</f>
        <v/>
      </c>
      <c r="AJ22" s="18">
        <f t="shared" si="15"/>
        <v>0</v>
      </c>
      <c r="AL22" s="29"/>
    </row>
    <row r="23" ht="15.75" customHeight="1">
      <c r="A23" s="27"/>
      <c r="B23" s="1" t="str">
        <f t="array" ref="B23">IFERROR(INDEX('Исходник'!$1:$626,MATCH($A23,'Исходник'!$T:$T,0),MATCH(B$1,'Исходник'!$1:$1,0)))</f>
        <v/>
      </c>
      <c r="C23" s="1" t="str">
        <f t="array" ref="C23">IFERROR(INDEX('Исходник'!$1:$626,MATCH($A23,'Исходник'!$T:$T,0),MATCH(C$1,'Исходник'!$1:$1,0)))</f>
        <v/>
      </c>
      <c r="D23" s="1" t="str">
        <f t="array" ref="D23">IFERROR(INDEX('Исходник'!$1:$626,MATCH($A23,'Исходник'!$T:$T,0),MATCH(D$1,'Исходник'!$1:$1,0)))</f>
        <v/>
      </c>
      <c r="E23" s="1" t="str">
        <f t="array" ref="E23">IFERROR(INDEX('Исходник'!$1:$626,MATCH($A23,'Исходник'!$T:$T,0),MATCH(E$1,'Исходник'!$1:$1,0)))</f>
        <v/>
      </c>
      <c r="F23" s="1" t="str">
        <f t="array" ref="F23">IFERROR(INDEX('Исходник'!$1:$626,MATCH($A23,'Исходник'!$T:$T,0),MATCH(F$1,'Исходник'!$1:$1,0)))</f>
        <v/>
      </c>
      <c r="G23" s="1" t="str">
        <f t="array" ref="G23">IFERROR(INDEX('Исходник'!$1:$626,MATCH($A23,'Исходник'!$T:$T,0),MATCH(G$1,'Исходник'!$1:$1,0)))</f>
        <v/>
      </c>
      <c r="H23" s="27">
        <f t="shared" si="1"/>
        <v>0</v>
      </c>
      <c r="I23" s="27" t="str">
        <f t="shared" si="2"/>
        <v/>
      </c>
      <c r="J23" s="1" t="str">
        <f t="array" ref="J23">IFERROR(INDEX('Исходник'!$1:$626,MATCH($A23,'Исходник'!$T:$T,0),MATCH(J$1,'Исходник'!$1:$1,0)))</f>
        <v/>
      </c>
      <c r="K23" s="27" t="str">
        <f t="shared" si="3"/>
        <v/>
      </c>
      <c r="L23" s="1" t="str">
        <f t="array" ref="L23">IFERROR(INDEX('Исходник'!$1:$626,MATCH($A23,'Исходник'!$T:$T,0),MATCH(L$1,'Исходник'!$1:$1,0)))</f>
        <v/>
      </c>
      <c r="M23" s="28">
        <f t="shared" si="4"/>
        <v>0</v>
      </c>
      <c r="N23" s="1" t="str">
        <f t="array" ref="N23">IFERROR(INDEX('Исходник'!$1:$626,MATCH($A23,'Исходник'!$T:$T,0),MATCH(N$1,'Исходник'!$1:$1,0)))</f>
        <v/>
      </c>
      <c r="O23" s="27">
        <f t="shared" si="5"/>
        <v>0</v>
      </c>
      <c r="P23" s="27" t="str">
        <f t="shared" si="6"/>
        <v/>
      </c>
      <c r="Q23" s="1" t="str">
        <f t="array" ref="Q23">IFERROR(INDEX('Исходник'!$1:$626,MATCH($A23,'Исходник'!$T:$T,0),MATCH(Q$1,'Исходник'!$1:$1,0)))</f>
        <v/>
      </c>
      <c r="R23" s="1" t="str">
        <f t="array" ref="R23">IFERROR(INDEX('Исходник'!$1:$626,MATCH($A23,'Исходник'!$T:$T,0),MATCH(R$1,'Исходник'!$1:$1,0)))</f>
        <v/>
      </c>
      <c r="S23" s="27">
        <f t="shared" si="7"/>
        <v>0</v>
      </c>
      <c r="T23" s="27" t="str">
        <f t="shared" si="8"/>
        <v/>
      </c>
      <c r="U23" s="1" t="str">
        <f t="array" ref="U23">IFERROR(INDEX('Исходник'!$1:$626,MATCH($A23,'Исходник'!$T:$T,0),MATCH(U$1,'Исходник'!$1:$1,0)))</f>
        <v/>
      </c>
      <c r="V23" s="27" t="str">
        <f t="shared" si="9"/>
        <v/>
      </c>
      <c r="W23" s="1" t="str">
        <f t="array" ref="W23">IFERROR(INDEX('Исходник'!$1:$626,MATCH($A23,'Исходник'!$T:$T,0),MATCH(W$1,'Исходник'!$1:$1,0)))</f>
        <v/>
      </c>
      <c r="X23" s="28">
        <f t="shared" si="10"/>
        <v>0</v>
      </c>
      <c r="Y23" s="1" t="str">
        <f t="array" ref="Y23">IFERROR(INDEX('Исходник'!$1:$626,MATCH($A23,'Исходник'!$T:$T,0),MATCH(Y$1,'Исходник'!$1:$1,0)))</f>
        <v/>
      </c>
      <c r="Z23" s="27">
        <f t="shared" si="11"/>
        <v>0</v>
      </c>
      <c r="AA23" s="27" t="str">
        <f t="shared" si="12"/>
        <v/>
      </c>
      <c r="AB23" s="1" t="str">
        <f t="array" ref="AB23">IFERROR(INDEX('Исходник'!$1:$626,MATCH($A23,'Исходник'!$T:$T,0),MATCH(AB$1,'Исходник'!$1:$1,0)))</f>
        <v/>
      </c>
      <c r="AC23" s="1" t="str">
        <f t="array" ref="AC23">IFERROR(INDEX('Исходник'!$1:$626,MATCH($A23,'Исходник'!$T:$T,0),MATCH(AC$1,'Исходник'!$1:$1,0)))</f>
        <v/>
      </c>
      <c r="AD23" s="27" t="str">
        <f t="shared" si="13"/>
        <v/>
      </c>
      <c r="AE23" s="1" t="str">
        <f t="array" ref="AE23">IFERROR(INDEX('Исходник'!$1:$626,MATCH($A23,'Исходник'!$T:$T,0),MATCH(AE$1,'Исходник'!$1:$1,0)))</f>
        <v/>
      </c>
      <c r="AF23" s="1" t="str">
        <f t="array" ref="AF23">IFERROR(INDEX('Исходник'!$1:$626,MATCH($A23,'Исходник'!$T:$T,0),MATCH(AF$1,'Исходник'!$1:$1,0)))</f>
        <v/>
      </c>
      <c r="AG23" s="27" t="str">
        <f t="shared" si="14"/>
        <v/>
      </c>
      <c r="AH23" s="1" t="str">
        <f t="array" ref="AH23">IFERROR(INDEX('Исходник'!$1:$626,MATCH($A23,'Исходник'!$T:$T,0),MATCH(AH$1,'Исходник'!$1:$1,0)))</f>
        <v/>
      </c>
      <c r="AI23" s="1" t="str">
        <f t="array" ref="AI23">IFERROR(INDEX('Исходник'!$1:$626,MATCH($A23,'Исходник'!$T:$T,0),MATCH(AI$1,'Исходник'!$1:$1,0)))</f>
        <v/>
      </c>
      <c r="AJ23" s="18">
        <f t="shared" si="15"/>
        <v>0</v>
      </c>
      <c r="AL23" s="29"/>
    </row>
    <row r="24" ht="15.75" customHeight="1">
      <c r="A24" s="27"/>
      <c r="B24" s="1" t="str">
        <f t="array" ref="B24">IFERROR(INDEX('Исходник'!$1:$626,MATCH($A24,'Исходник'!$T:$T,0),MATCH(B$1,'Исходник'!$1:$1,0)))</f>
        <v/>
      </c>
      <c r="C24" s="1" t="str">
        <f t="array" ref="C24">IFERROR(INDEX('Исходник'!$1:$626,MATCH($A24,'Исходник'!$T:$T,0),MATCH(C$1,'Исходник'!$1:$1,0)))</f>
        <v/>
      </c>
      <c r="D24" s="1" t="str">
        <f t="array" ref="D24">IFERROR(INDEX('Исходник'!$1:$626,MATCH($A24,'Исходник'!$T:$T,0),MATCH(D$1,'Исходник'!$1:$1,0)))</f>
        <v/>
      </c>
      <c r="E24" s="1" t="str">
        <f t="array" ref="E24">IFERROR(INDEX('Исходник'!$1:$626,MATCH($A24,'Исходник'!$T:$T,0),MATCH(E$1,'Исходник'!$1:$1,0)))</f>
        <v/>
      </c>
      <c r="F24" s="1" t="str">
        <f t="array" ref="F24">IFERROR(INDEX('Исходник'!$1:$626,MATCH($A24,'Исходник'!$T:$T,0),MATCH(F$1,'Исходник'!$1:$1,0)))</f>
        <v/>
      </c>
      <c r="G24" s="1" t="str">
        <f t="array" ref="G24">IFERROR(INDEX('Исходник'!$1:$626,MATCH($A24,'Исходник'!$T:$T,0),MATCH(G$1,'Исходник'!$1:$1,0)))</f>
        <v/>
      </c>
      <c r="H24" s="27">
        <f t="shared" si="1"/>
        <v>0</v>
      </c>
      <c r="I24" s="27" t="str">
        <f t="shared" si="2"/>
        <v/>
      </c>
      <c r="J24" s="1" t="str">
        <f t="array" ref="J24">IFERROR(INDEX('Исходник'!$1:$626,MATCH($A24,'Исходник'!$T:$T,0),MATCH(J$1,'Исходник'!$1:$1,0)))</f>
        <v/>
      </c>
      <c r="K24" s="27" t="str">
        <f t="shared" si="3"/>
        <v/>
      </c>
      <c r="L24" s="1" t="str">
        <f t="array" ref="L24">IFERROR(INDEX('Исходник'!$1:$626,MATCH($A24,'Исходник'!$T:$T,0),MATCH(L$1,'Исходник'!$1:$1,0)))</f>
        <v/>
      </c>
      <c r="M24" s="28">
        <f t="shared" si="4"/>
        <v>0</v>
      </c>
      <c r="N24" s="1" t="str">
        <f t="array" ref="N24">IFERROR(INDEX('Исходник'!$1:$626,MATCH($A24,'Исходник'!$T:$T,0),MATCH(N$1,'Исходник'!$1:$1,0)))</f>
        <v/>
      </c>
      <c r="O24" s="27">
        <f t="shared" si="5"/>
        <v>0</v>
      </c>
      <c r="P24" s="27" t="str">
        <f t="shared" si="6"/>
        <v/>
      </c>
      <c r="Q24" s="1" t="str">
        <f t="array" ref="Q24">IFERROR(INDEX('Исходник'!$1:$626,MATCH($A24,'Исходник'!$T:$T,0),MATCH(Q$1,'Исходник'!$1:$1,0)))</f>
        <v/>
      </c>
      <c r="R24" s="1" t="str">
        <f t="array" ref="R24">IFERROR(INDEX('Исходник'!$1:$626,MATCH($A24,'Исходник'!$T:$T,0),MATCH(R$1,'Исходник'!$1:$1,0)))</f>
        <v/>
      </c>
      <c r="S24" s="27">
        <f t="shared" si="7"/>
        <v>0</v>
      </c>
      <c r="T24" s="27" t="str">
        <f t="shared" si="8"/>
        <v/>
      </c>
      <c r="U24" s="1" t="str">
        <f t="array" ref="U24">IFERROR(INDEX('Исходник'!$1:$626,MATCH($A24,'Исходник'!$T:$T,0),MATCH(U$1,'Исходник'!$1:$1,0)))</f>
        <v/>
      </c>
      <c r="V24" s="27" t="str">
        <f t="shared" si="9"/>
        <v/>
      </c>
      <c r="W24" s="1" t="str">
        <f t="array" ref="W24">IFERROR(INDEX('Исходник'!$1:$626,MATCH($A24,'Исходник'!$T:$T,0),MATCH(W$1,'Исходник'!$1:$1,0)))</f>
        <v/>
      </c>
      <c r="X24" s="28">
        <f t="shared" si="10"/>
        <v>0</v>
      </c>
      <c r="Y24" s="1" t="str">
        <f t="array" ref="Y24">IFERROR(INDEX('Исходник'!$1:$626,MATCH($A24,'Исходник'!$T:$T,0),MATCH(Y$1,'Исходник'!$1:$1,0)))</f>
        <v/>
      </c>
      <c r="Z24" s="27">
        <f t="shared" si="11"/>
        <v>0</v>
      </c>
      <c r="AA24" s="27" t="str">
        <f t="shared" si="12"/>
        <v/>
      </c>
      <c r="AB24" s="1" t="str">
        <f t="array" ref="AB24">IFERROR(INDEX('Исходник'!$1:$626,MATCH($A24,'Исходник'!$T:$T,0),MATCH(AB$1,'Исходник'!$1:$1,0)))</f>
        <v/>
      </c>
      <c r="AC24" s="1" t="str">
        <f t="array" ref="AC24">IFERROR(INDEX('Исходник'!$1:$626,MATCH($A24,'Исходник'!$T:$T,0),MATCH(AC$1,'Исходник'!$1:$1,0)))</f>
        <v/>
      </c>
      <c r="AD24" s="27" t="str">
        <f t="shared" si="13"/>
        <v/>
      </c>
      <c r="AE24" s="1" t="str">
        <f t="array" ref="AE24">IFERROR(INDEX('Исходник'!$1:$626,MATCH($A24,'Исходник'!$T:$T,0),MATCH(AE$1,'Исходник'!$1:$1,0)))</f>
        <v/>
      </c>
      <c r="AF24" s="1" t="str">
        <f t="array" ref="AF24">IFERROR(INDEX('Исходник'!$1:$626,MATCH($A24,'Исходник'!$T:$T,0),MATCH(AF$1,'Исходник'!$1:$1,0)))</f>
        <v/>
      </c>
      <c r="AG24" s="27" t="str">
        <f t="shared" si="14"/>
        <v/>
      </c>
      <c r="AH24" s="1" t="str">
        <f t="array" ref="AH24">IFERROR(INDEX('Исходник'!$1:$626,MATCH($A24,'Исходник'!$T:$T,0),MATCH(AH$1,'Исходник'!$1:$1,0)))</f>
        <v/>
      </c>
      <c r="AI24" s="1" t="str">
        <f t="array" ref="AI24">IFERROR(INDEX('Исходник'!$1:$626,MATCH($A24,'Исходник'!$T:$T,0),MATCH(AI$1,'Исходник'!$1:$1,0)))</f>
        <v/>
      </c>
      <c r="AJ24" s="18">
        <f t="shared" si="15"/>
        <v>0</v>
      </c>
      <c r="AL24" s="29"/>
    </row>
    <row r="25" ht="15.75" customHeight="1">
      <c r="A25" s="27"/>
      <c r="B25" s="1" t="str">
        <f t="array" ref="B25">IFERROR(INDEX('Исходник'!$1:$626,MATCH($A25,'Исходник'!$T:$T,0),MATCH(B$1,'Исходник'!$1:$1,0)))</f>
        <v/>
      </c>
      <c r="C25" s="1" t="str">
        <f t="array" ref="C25">IFERROR(INDEX('Исходник'!$1:$626,MATCH($A25,'Исходник'!$T:$T,0),MATCH(C$1,'Исходник'!$1:$1,0)))</f>
        <v/>
      </c>
      <c r="D25" s="1" t="str">
        <f t="array" ref="D25">IFERROR(INDEX('Исходник'!$1:$626,MATCH($A25,'Исходник'!$T:$T,0),MATCH(D$1,'Исходник'!$1:$1,0)))</f>
        <v/>
      </c>
      <c r="E25" s="1" t="str">
        <f t="array" ref="E25">IFERROR(INDEX('Исходник'!$1:$626,MATCH($A25,'Исходник'!$T:$T,0),MATCH(E$1,'Исходник'!$1:$1,0)))</f>
        <v/>
      </c>
      <c r="F25" s="1" t="str">
        <f t="array" ref="F25">IFERROR(INDEX('Исходник'!$1:$626,MATCH($A25,'Исходник'!$T:$T,0),MATCH(F$1,'Исходник'!$1:$1,0)))</f>
        <v/>
      </c>
      <c r="G25" s="1" t="str">
        <f t="array" ref="G25">IFERROR(INDEX('Исходник'!$1:$626,MATCH($A25,'Исходник'!$T:$T,0),MATCH(G$1,'Исходник'!$1:$1,0)))</f>
        <v/>
      </c>
      <c r="H25" s="27">
        <f t="shared" si="1"/>
        <v>0</v>
      </c>
      <c r="I25" s="27" t="str">
        <f t="shared" si="2"/>
        <v/>
      </c>
      <c r="J25" s="1" t="str">
        <f t="array" ref="J25">IFERROR(INDEX('Исходник'!$1:$626,MATCH($A25,'Исходник'!$T:$T,0),MATCH(J$1,'Исходник'!$1:$1,0)))</f>
        <v/>
      </c>
      <c r="K25" s="27" t="str">
        <f t="shared" si="3"/>
        <v/>
      </c>
      <c r="L25" s="1" t="str">
        <f t="array" ref="L25">IFERROR(INDEX('Исходник'!$1:$626,MATCH($A25,'Исходник'!$T:$T,0),MATCH(L$1,'Исходник'!$1:$1,0)))</f>
        <v/>
      </c>
      <c r="M25" s="28">
        <f t="shared" si="4"/>
        <v>0</v>
      </c>
      <c r="N25" s="1" t="str">
        <f t="array" ref="N25">IFERROR(INDEX('Исходник'!$1:$626,MATCH($A25,'Исходник'!$T:$T,0),MATCH(N$1,'Исходник'!$1:$1,0)))</f>
        <v/>
      </c>
      <c r="O25" s="27">
        <f t="shared" si="5"/>
        <v>0</v>
      </c>
      <c r="P25" s="27" t="str">
        <f t="shared" si="6"/>
        <v/>
      </c>
      <c r="Q25" s="1" t="str">
        <f t="array" ref="Q25">IFERROR(INDEX('Исходник'!$1:$626,MATCH($A25,'Исходник'!$T:$T,0),MATCH(Q$1,'Исходник'!$1:$1,0)))</f>
        <v/>
      </c>
      <c r="R25" s="1" t="str">
        <f t="array" ref="R25">IFERROR(INDEX('Исходник'!$1:$626,MATCH($A25,'Исходник'!$T:$T,0),MATCH(R$1,'Исходник'!$1:$1,0)))</f>
        <v/>
      </c>
      <c r="S25" s="27">
        <f t="shared" si="7"/>
        <v>0</v>
      </c>
      <c r="T25" s="27" t="str">
        <f t="shared" si="8"/>
        <v/>
      </c>
      <c r="U25" s="1" t="str">
        <f t="array" ref="U25">IFERROR(INDEX('Исходник'!$1:$626,MATCH($A25,'Исходник'!$T:$T,0),MATCH(U$1,'Исходник'!$1:$1,0)))</f>
        <v/>
      </c>
      <c r="V25" s="27" t="str">
        <f t="shared" si="9"/>
        <v/>
      </c>
      <c r="W25" s="1" t="str">
        <f t="array" ref="W25">IFERROR(INDEX('Исходник'!$1:$626,MATCH($A25,'Исходник'!$T:$T,0),MATCH(W$1,'Исходник'!$1:$1,0)))</f>
        <v/>
      </c>
      <c r="X25" s="28">
        <f t="shared" si="10"/>
        <v>0</v>
      </c>
      <c r="Y25" s="1" t="str">
        <f t="array" ref="Y25">IFERROR(INDEX('Исходник'!$1:$626,MATCH($A25,'Исходник'!$T:$T,0),MATCH(Y$1,'Исходник'!$1:$1,0)))</f>
        <v/>
      </c>
      <c r="Z25" s="27">
        <f t="shared" si="11"/>
        <v>0</v>
      </c>
      <c r="AA25" s="27" t="str">
        <f t="shared" si="12"/>
        <v/>
      </c>
      <c r="AB25" s="1" t="str">
        <f t="array" ref="AB25">IFERROR(INDEX('Исходник'!$1:$626,MATCH($A25,'Исходник'!$T:$T,0),MATCH(AB$1,'Исходник'!$1:$1,0)))</f>
        <v/>
      </c>
      <c r="AC25" s="1" t="str">
        <f t="array" ref="AC25">IFERROR(INDEX('Исходник'!$1:$626,MATCH($A25,'Исходник'!$T:$T,0),MATCH(AC$1,'Исходник'!$1:$1,0)))</f>
        <v/>
      </c>
      <c r="AD25" s="27" t="str">
        <f t="shared" si="13"/>
        <v/>
      </c>
      <c r="AE25" s="1" t="str">
        <f t="array" ref="AE25">IFERROR(INDEX('Исходник'!$1:$626,MATCH($A25,'Исходник'!$T:$T,0),MATCH(AE$1,'Исходник'!$1:$1,0)))</f>
        <v/>
      </c>
      <c r="AF25" s="1" t="str">
        <f t="array" ref="AF25">IFERROR(INDEX('Исходник'!$1:$626,MATCH($A25,'Исходник'!$T:$T,0),MATCH(AF$1,'Исходник'!$1:$1,0)))</f>
        <v/>
      </c>
      <c r="AG25" s="27" t="str">
        <f t="shared" si="14"/>
        <v/>
      </c>
      <c r="AH25" s="1" t="str">
        <f t="array" ref="AH25">IFERROR(INDEX('Исходник'!$1:$626,MATCH($A25,'Исходник'!$T:$T,0),MATCH(AH$1,'Исходник'!$1:$1,0)))</f>
        <v/>
      </c>
      <c r="AI25" s="1" t="str">
        <f t="array" ref="AI25">IFERROR(INDEX('Исходник'!$1:$626,MATCH($A25,'Исходник'!$T:$T,0),MATCH(AI$1,'Исходник'!$1:$1,0)))</f>
        <v/>
      </c>
      <c r="AJ25" s="18">
        <f t="shared" si="15"/>
        <v>0</v>
      </c>
      <c r="AL25" s="29"/>
    </row>
    <row r="26" ht="15.75" customHeight="1">
      <c r="A26" s="27"/>
      <c r="B26" s="1" t="str">
        <f t="array" ref="B26">IFERROR(INDEX('Исходник'!$1:$626,MATCH($A26,'Исходник'!$T:$T,0),MATCH(B$1,'Исходник'!$1:$1,0)))</f>
        <v/>
      </c>
      <c r="C26" s="1" t="str">
        <f t="array" ref="C26">IFERROR(INDEX('Исходник'!$1:$626,MATCH($A26,'Исходник'!$T:$T,0),MATCH(C$1,'Исходник'!$1:$1,0)))</f>
        <v/>
      </c>
      <c r="D26" s="1" t="str">
        <f t="array" ref="D26">IFERROR(INDEX('Исходник'!$1:$626,MATCH($A26,'Исходник'!$T:$T,0),MATCH(D$1,'Исходник'!$1:$1,0)))</f>
        <v/>
      </c>
      <c r="E26" s="1" t="str">
        <f t="array" ref="E26">IFERROR(INDEX('Исходник'!$1:$626,MATCH($A26,'Исходник'!$T:$T,0),MATCH(E$1,'Исходник'!$1:$1,0)))</f>
        <v/>
      </c>
      <c r="F26" s="1" t="str">
        <f t="array" ref="F26">IFERROR(INDEX('Исходник'!$1:$626,MATCH($A26,'Исходник'!$T:$T,0),MATCH(F$1,'Исходник'!$1:$1,0)))</f>
        <v/>
      </c>
      <c r="G26" s="1" t="str">
        <f t="array" ref="G26">IFERROR(INDEX('Исходник'!$1:$626,MATCH($A26,'Исходник'!$T:$T,0),MATCH(G$1,'Исходник'!$1:$1,0)))</f>
        <v/>
      </c>
      <c r="H26" s="27">
        <f t="shared" si="1"/>
        <v>0</v>
      </c>
      <c r="I26" s="27" t="str">
        <f t="shared" si="2"/>
        <v/>
      </c>
      <c r="J26" s="1" t="str">
        <f t="array" ref="J26">IFERROR(INDEX('Исходник'!$1:$626,MATCH($A26,'Исходник'!$T:$T,0),MATCH(J$1,'Исходник'!$1:$1,0)))</f>
        <v/>
      </c>
      <c r="K26" s="27" t="str">
        <f t="shared" si="3"/>
        <v/>
      </c>
      <c r="L26" s="1" t="str">
        <f t="array" ref="L26">IFERROR(INDEX('Исходник'!$1:$626,MATCH($A26,'Исходник'!$T:$T,0),MATCH(L$1,'Исходник'!$1:$1,0)))</f>
        <v/>
      </c>
      <c r="M26" s="28">
        <f t="shared" si="4"/>
        <v>0</v>
      </c>
      <c r="N26" s="1" t="str">
        <f t="array" ref="N26">IFERROR(INDEX('Исходник'!$1:$626,MATCH($A26,'Исходник'!$T:$T,0),MATCH(N$1,'Исходник'!$1:$1,0)))</f>
        <v/>
      </c>
      <c r="O26" s="27">
        <f t="shared" si="5"/>
        <v>0</v>
      </c>
      <c r="P26" s="27" t="str">
        <f t="shared" si="6"/>
        <v/>
      </c>
      <c r="Q26" s="1" t="str">
        <f t="array" ref="Q26">IFERROR(INDEX('Исходник'!$1:$626,MATCH($A26,'Исходник'!$T:$T,0),MATCH(Q$1,'Исходник'!$1:$1,0)))</f>
        <v/>
      </c>
      <c r="R26" s="1" t="str">
        <f t="array" ref="R26">IFERROR(INDEX('Исходник'!$1:$626,MATCH($A26,'Исходник'!$T:$T,0),MATCH(R$1,'Исходник'!$1:$1,0)))</f>
        <v/>
      </c>
      <c r="S26" s="27">
        <f t="shared" si="7"/>
        <v>0</v>
      </c>
      <c r="T26" s="27" t="str">
        <f t="shared" si="8"/>
        <v/>
      </c>
      <c r="U26" s="1" t="str">
        <f t="array" ref="U26">IFERROR(INDEX('Исходник'!$1:$626,MATCH($A26,'Исходник'!$T:$T,0),MATCH(U$1,'Исходник'!$1:$1,0)))</f>
        <v/>
      </c>
      <c r="V26" s="27" t="str">
        <f t="shared" si="9"/>
        <v/>
      </c>
      <c r="W26" s="1" t="str">
        <f t="array" ref="W26">IFERROR(INDEX('Исходник'!$1:$626,MATCH($A26,'Исходник'!$T:$T,0),MATCH(W$1,'Исходник'!$1:$1,0)))</f>
        <v/>
      </c>
      <c r="X26" s="28">
        <f t="shared" si="10"/>
        <v>0</v>
      </c>
      <c r="Y26" s="1" t="str">
        <f t="array" ref="Y26">IFERROR(INDEX('Исходник'!$1:$626,MATCH($A26,'Исходник'!$T:$T,0),MATCH(Y$1,'Исходник'!$1:$1,0)))</f>
        <v/>
      </c>
      <c r="Z26" s="27">
        <f t="shared" si="11"/>
        <v>0</v>
      </c>
      <c r="AA26" s="27" t="str">
        <f t="shared" si="12"/>
        <v/>
      </c>
      <c r="AB26" s="1" t="str">
        <f t="array" ref="AB26">IFERROR(INDEX('Исходник'!$1:$626,MATCH($A26,'Исходник'!$T:$T,0),MATCH(AB$1,'Исходник'!$1:$1,0)))</f>
        <v/>
      </c>
      <c r="AC26" s="1" t="str">
        <f t="array" ref="AC26">IFERROR(INDEX('Исходник'!$1:$626,MATCH($A26,'Исходник'!$T:$T,0),MATCH(AC$1,'Исходник'!$1:$1,0)))</f>
        <v/>
      </c>
      <c r="AD26" s="27" t="str">
        <f t="shared" si="13"/>
        <v/>
      </c>
      <c r="AE26" s="1" t="str">
        <f t="array" ref="AE26">IFERROR(INDEX('Исходник'!$1:$626,MATCH($A26,'Исходник'!$T:$T,0),MATCH(AE$1,'Исходник'!$1:$1,0)))</f>
        <v/>
      </c>
      <c r="AF26" s="1" t="str">
        <f t="array" ref="AF26">IFERROR(INDEX('Исходник'!$1:$626,MATCH($A26,'Исходник'!$T:$T,0),MATCH(AF$1,'Исходник'!$1:$1,0)))</f>
        <v/>
      </c>
      <c r="AG26" s="27" t="str">
        <f t="shared" si="14"/>
        <v/>
      </c>
      <c r="AH26" s="1" t="str">
        <f t="array" ref="AH26">IFERROR(INDEX('Исходник'!$1:$626,MATCH($A26,'Исходник'!$T:$T,0),MATCH(AH$1,'Исходник'!$1:$1,0)))</f>
        <v/>
      </c>
      <c r="AI26" s="1" t="str">
        <f t="array" ref="AI26">IFERROR(INDEX('Исходник'!$1:$626,MATCH($A26,'Исходник'!$T:$T,0),MATCH(AI$1,'Исходник'!$1:$1,0)))</f>
        <v/>
      </c>
      <c r="AJ26" s="18">
        <f t="shared" si="15"/>
        <v>0</v>
      </c>
      <c r="AL26" s="29"/>
    </row>
    <row r="27" ht="15.75" customHeight="1">
      <c r="A27" s="27"/>
      <c r="B27" s="1" t="str">
        <f t="array" ref="B27">IFERROR(INDEX('Исходник'!$1:$626,MATCH($A27,'Исходник'!$T:$T,0),MATCH(B$1,'Исходник'!$1:$1,0)))</f>
        <v/>
      </c>
      <c r="C27" s="1" t="str">
        <f t="array" ref="C27">IFERROR(INDEX('Исходник'!$1:$626,MATCH($A27,'Исходник'!$T:$T,0),MATCH(C$1,'Исходник'!$1:$1,0)))</f>
        <v/>
      </c>
      <c r="D27" s="1" t="str">
        <f t="array" ref="D27">IFERROR(INDEX('Исходник'!$1:$626,MATCH($A27,'Исходник'!$T:$T,0),MATCH(D$1,'Исходник'!$1:$1,0)))</f>
        <v/>
      </c>
      <c r="E27" s="1" t="str">
        <f t="array" ref="E27">IFERROR(INDEX('Исходник'!$1:$626,MATCH($A27,'Исходник'!$T:$T,0),MATCH(E$1,'Исходник'!$1:$1,0)))</f>
        <v/>
      </c>
      <c r="F27" s="1" t="str">
        <f t="array" ref="F27">IFERROR(INDEX('Исходник'!$1:$626,MATCH($A27,'Исходник'!$T:$T,0),MATCH(F$1,'Исходник'!$1:$1,0)))</f>
        <v/>
      </c>
      <c r="G27" s="1" t="str">
        <f t="array" ref="G27">IFERROR(INDEX('Исходник'!$1:$626,MATCH($A27,'Исходник'!$T:$T,0),MATCH(G$1,'Исходник'!$1:$1,0)))</f>
        <v/>
      </c>
      <c r="H27" s="27">
        <f t="shared" si="1"/>
        <v>0</v>
      </c>
      <c r="I27" s="27" t="str">
        <f t="shared" si="2"/>
        <v/>
      </c>
      <c r="J27" s="1" t="str">
        <f t="array" ref="J27">IFERROR(INDEX('Исходник'!$1:$626,MATCH($A27,'Исходник'!$T:$T,0),MATCH(J$1,'Исходник'!$1:$1,0)))</f>
        <v/>
      </c>
      <c r="K27" s="27" t="str">
        <f t="shared" si="3"/>
        <v/>
      </c>
      <c r="L27" s="1" t="str">
        <f t="array" ref="L27">IFERROR(INDEX('Исходник'!$1:$626,MATCH($A27,'Исходник'!$T:$T,0),MATCH(L$1,'Исходник'!$1:$1,0)))</f>
        <v/>
      </c>
      <c r="M27" s="28">
        <f t="shared" si="4"/>
        <v>0</v>
      </c>
      <c r="N27" s="1" t="str">
        <f t="array" ref="N27">IFERROR(INDEX('Исходник'!$1:$626,MATCH($A27,'Исходник'!$T:$T,0),MATCH(N$1,'Исходник'!$1:$1,0)))</f>
        <v/>
      </c>
      <c r="O27" s="27">
        <f t="shared" si="5"/>
        <v>0</v>
      </c>
      <c r="P27" s="27" t="str">
        <f t="shared" si="6"/>
        <v/>
      </c>
      <c r="Q27" s="1" t="str">
        <f t="array" ref="Q27">IFERROR(INDEX('Исходник'!$1:$626,MATCH($A27,'Исходник'!$T:$T,0),MATCH(Q$1,'Исходник'!$1:$1,0)))</f>
        <v/>
      </c>
      <c r="R27" s="1" t="str">
        <f t="array" ref="R27">IFERROR(INDEX('Исходник'!$1:$626,MATCH($A27,'Исходник'!$T:$T,0),MATCH(R$1,'Исходник'!$1:$1,0)))</f>
        <v/>
      </c>
      <c r="S27" s="27">
        <f t="shared" si="7"/>
        <v>0</v>
      </c>
      <c r="T27" s="27" t="str">
        <f t="shared" si="8"/>
        <v/>
      </c>
      <c r="U27" s="1" t="str">
        <f t="array" ref="U27">IFERROR(INDEX('Исходник'!$1:$626,MATCH($A27,'Исходник'!$T:$T,0),MATCH(U$1,'Исходник'!$1:$1,0)))</f>
        <v/>
      </c>
      <c r="V27" s="27" t="str">
        <f t="shared" si="9"/>
        <v/>
      </c>
      <c r="W27" s="1" t="str">
        <f t="array" ref="W27">IFERROR(INDEX('Исходник'!$1:$626,MATCH($A27,'Исходник'!$T:$T,0),MATCH(W$1,'Исходник'!$1:$1,0)))</f>
        <v/>
      </c>
      <c r="X27" s="28">
        <f t="shared" si="10"/>
        <v>0</v>
      </c>
      <c r="Y27" s="1" t="str">
        <f t="array" ref="Y27">IFERROR(INDEX('Исходник'!$1:$626,MATCH($A27,'Исходник'!$T:$T,0),MATCH(Y$1,'Исходник'!$1:$1,0)))</f>
        <v/>
      </c>
      <c r="Z27" s="27">
        <f t="shared" si="11"/>
        <v>0</v>
      </c>
      <c r="AA27" s="27" t="str">
        <f t="shared" si="12"/>
        <v/>
      </c>
      <c r="AB27" s="1" t="str">
        <f t="array" ref="AB27">IFERROR(INDEX('Исходник'!$1:$626,MATCH($A27,'Исходник'!$T:$T,0),MATCH(AB$1,'Исходник'!$1:$1,0)))</f>
        <v/>
      </c>
      <c r="AC27" s="1" t="str">
        <f t="array" ref="AC27">IFERROR(INDEX('Исходник'!$1:$626,MATCH($A27,'Исходник'!$T:$T,0),MATCH(AC$1,'Исходник'!$1:$1,0)))</f>
        <v/>
      </c>
      <c r="AD27" s="27" t="str">
        <f t="shared" si="13"/>
        <v/>
      </c>
      <c r="AE27" s="1" t="str">
        <f t="array" ref="AE27">IFERROR(INDEX('Исходник'!$1:$626,MATCH($A27,'Исходник'!$T:$T,0),MATCH(AE$1,'Исходник'!$1:$1,0)))</f>
        <v/>
      </c>
      <c r="AF27" s="1" t="str">
        <f t="array" ref="AF27">IFERROR(INDEX('Исходник'!$1:$626,MATCH($A27,'Исходник'!$T:$T,0),MATCH(AF$1,'Исходник'!$1:$1,0)))</f>
        <v/>
      </c>
      <c r="AG27" s="27" t="str">
        <f t="shared" si="14"/>
        <v/>
      </c>
      <c r="AH27" s="1" t="str">
        <f t="array" ref="AH27">IFERROR(INDEX('Исходник'!$1:$626,MATCH($A27,'Исходник'!$T:$T,0),MATCH(AH$1,'Исходник'!$1:$1,0)))</f>
        <v/>
      </c>
      <c r="AI27" s="1" t="str">
        <f t="array" ref="AI27">IFERROR(INDEX('Исходник'!$1:$626,MATCH($A27,'Исходник'!$T:$T,0),MATCH(AI$1,'Исходник'!$1:$1,0)))</f>
        <v/>
      </c>
      <c r="AJ27" s="18">
        <f t="shared" si="15"/>
        <v>0</v>
      </c>
      <c r="AL27" s="29"/>
    </row>
    <row r="28" ht="15.75" customHeight="1">
      <c r="A28" s="27"/>
      <c r="B28" s="1" t="str">
        <f t="array" ref="B28">IFERROR(INDEX('Исходник'!$1:$626,MATCH($A28,'Исходник'!$T:$T,0),MATCH(B$1,'Исходник'!$1:$1,0)))</f>
        <v/>
      </c>
      <c r="C28" s="1" t="str">
        <f t="array" ref="C28">IFERROR(INDEX('Исходник'!$1:$626,MATCH($A28,'Исходник'!$T:$T,0),MATCH(C$1,'Исходник'!$1:$1,0)))</f>
        <v/>
      </c>
      <c r="D28" s="1" t="str">
        <f t="array" ref="D28">IFERROR(INDEX('Исходник'!$1:$626,MATCH($A28,'Исходник'!$T:$T,0),MATCH(D$1,'Исходник'!$1:$1,0)))</f>
        <v/>
      </c>
      <c r="E28" s="1" t="str">
        <f t="array" ref="E28">IFERROR(INDEX('Исходник'!$1:$626,MATCH($A28,'Исходник'!$T:$T,0),MATCH(E$1,'Исходник'!$1:$1,0)))</f>
        <v/>
      </c>
      <c r="F28" s="1" t="str">
        <f t="array" ref="F28">IFERROR(INDEX('Исходник'!$1:$626,MATCH($A28,'Исходник'!$T:$T,0),MATCH(F$1,'Исходник'!$1:$1,0)))</f>
        <v/>
      </c>
      <c r="G28" s="1" t="str">
        <f t="array" ref="G28">IFERROR(INDEX('Исходник'!$1:$626,MATCH($A28,'Исходник'!$T:$T,0),MATCH(G$1,'Исходник'!$1:$1,0)))</f>
        <v/>
      </c>
      <c r="H28" s="27">
        <f t="shared" si="1"/>
        <v>0</v>
      </c>
      <c r="I28" s="27" t="str">
        <f t="shared" si="2"/>
        <v/>
      </c>
      <c r="J28" s="1" t="str">
        <f t="array" ref="J28">IFERROR(INDEX('Исходник'!$1:$626,MATCH($A28,'Исходник'!$T:$T,0),MATCH(J$1,'Исходник'!$1:$1,0)))</f>
        <v/>
      </c>
      <c r="K28" s="27" t="str">
        <f t="shared" si="3"/>
        <v/>
      </c>
      <c r="L28" s="1" t="str">
        <f t="array" ref="L28">IFERROR(INDEX('Исходник'!$1:$626,MATCH($A28,'Исходник'!$T:$T,0),MATCH(L$1,'Исходник'!$1:$1,0)))</f>
        <v/>
      </c>
      <c r="M28" s="28">
        <f t="shared" si="4"/>
        <v>0</v>
      </c>
      <c r="N28" s="1" t="str">
        <f t="array" ref="N28">IFERROR(INDEX('Исходник'!$1:$626,MATCH($A28,'Исходник'!$T:$T,0),MATCH(N$1,'Исходник'!$1:$1,0)))</f>
        <v/>
      </c>
      <c r="O28" s="27">
        <f t="shared" si="5"/>
        <v>0</v>
      </c>
      <c r="P28" s="27" t="str">
        <f t="shared" si="6"/>
        <v/>
      </c>
      <c r="Q28" s="1" t="str">
        <f t="array" ref="Q28">IFERROR(INDEX('Исходник'!$1:$626,MATCH($A28,'Исходник'!$T:$T,0),MATCH(Q$1,'Исходник'!$1:$1,0)))</f>
        <v/>
      </c>
      <c r="R28" s="1" t="str">
        <f t="array" ref="R28">IFERROR(INDEX('Исходник'!$1:$626,MATCH($A28,'Исходник'!$T:$T,0),MATCH(R$1,'Исходник'!$1:$1,0)))</f>
        <v/>
      </c>
      <c r="S28" s="27">
        <f t="shared" si="7"/>
        <v>0</v>
      </c>
      <c r="T28" s="27" t="str">
        <f t="shared" si="8"/>
        <v/>
      </c>
      <c r="U28" s="1" t="str">
        <f t="array" ref="U28">IFERROR(INDEX('Исходник'!$1:$626,MATCH($A28,'Исходник'!$T:$T,0),MATCH(U$1,'Исходник'!$1:$1,0)))</f>
        <v/>
      </c>
      <c r="V28" s="27" t="str">
        <f t="shared" si="9"/>
        <v/>
      </c>
      <c r="W28" s="1" t="str">
        <f t="array" ref="W28">IFERROR(INDEX('Исходник'!$1:$626,MATCH($A28,'Исходник'!$T:$T,0),MATCH(W$1,'Исходник'!$1:$1,0)))</f>
        <v/>
      </c>
      <c r="X28" s="28">
        <f t="shared" si="10"/>
        <v>0</v>
      </c>
      <c r="Y28" s="1" t="str">
        <f t="array" ref="Y28">IFERROR(INDEX('Исходник'!$1:$626,MATCH($A28,'Исходник'!$T:$T,0),MATCH(Y$1,'Исходник'!$1:$1,0)))</f>
        <v/>
      </c>
      <c r="Z28" s="27">
        <f t="shared" si="11"/>
        <v>0</v>
      </c>
      <c r="AA28" s="27" t="str">
        <f t="shared" si="12"/>
        <v/>
      </c>
      <c r="AB28" s="1" t="str">
        <f t="array" ref="AB28">IFERROR(INDEX('Исходник'!$1:$626,MATCH($A28,'Исходник'!$T:$T,0),MATCH(AB$1,'Исходник'!$1:$1,0)))</f>
        <v/>
      </c>
      <c r="AC28" s="1" t="str">
        <f t="array" ref="AC28">IFERROR(INDEX('Исходник'!$1:$626,MATCH($A28,'Исходник'!$T:$T,0),MATCH(AC$1,'Исходник'!$1:$1,0)))</f>
        <v/>
      </c>
      <c r="AD28" s="27" t="str">
        <f t="shared" si="13"/>
        <v/>
      </c>
      <c r="AE28" s="1" t="str">
        <f t="array" ref="AE28">IFERROR(INDEX('Исходник'!$1:$626,MATCH($A28,'Исходник'!$T:$T,0),MATCH(AE$1,'Исходник'!$1:$1,0)))</f>
        <v/>
      </c>
      <c r="AF28" s="1" t="str">
        <f t="array" ref="AF28">IFERROR(INDEX('Исходник'!$1:$626,MATCH($A28,'Исходник'!$T:$T,0),MATCH(AF$1,'Исходник'!$1:$1,0)))</f>
        <v/>
      </c>
      <c r="AG28" s="27" t="str">
        <f t="shared" si="14"/>
        <v/>
      </c>
      <c r="AH28" s="1" t="str">
        <f t="array" ref="AH28">IFERROR(INDEX('Исходник'!$1:$626,MATCH($A28,'Исходник'!$T:$T,0),MATCH(AH$1,'Исходник'!$1:$1,0)))</f>
        <v/>
      </c>
      <c r="AI28" s="1" t="str">
        <f t="array" ref="AI28">IFERROR(INDEX('Исходник'!$1:$626,MATCH($A28,'Исходник'!$T:$T,0),MATCH(AI$1,'Исходник'!$1:$1,0)))</f>
        <v/>
      </c>
      <c r="AJ28" s="18">
        <f t="shared" si="15"/>
        <v>0</v>
      </c>
      <c r="AL28" s="29"/>
    </row>
    <row r="29" ht="15.75" customHeight="1">
      <c r="A29" s="27"/>
      <c r="B29" s="1" t="str">
        <f t="array" ref="B29">IFERROR(INDEX('Исходник'!$1:$626,MATCH($A29,'Исходник'!$T:$T,0),MATCH(B$1,'Исходник'!$1:$1,0)))</f>
        <v/>
      </c>
      <c r="C29" s="1" t="str">
        <f t="array" ref="C29">IFERROR(INDEX('Исходник'!$1:$626,MATCH($A29,'Исходник'!$T:$T,0),MATCH(C$1,'Исходник'!$1:$1,0)))</f>
        <v/>
      </c>
      <c r="D29" s="1" t="str">
        <f t="array" ref="D29">IFERROR(INDEX('Исходник'!$1:$626,MATCH($A29,'Исходник'!$T:$T,0),MATCH(D$1,'Исходник'!$1:$1,0)))</f>
        <v/>
      </c>
      <c r="E29" s="1" t="str">
        <f t="array" ref="E29">IFERROR(INDEX('Исходник'!$1:$626,MATCH($A29,'Исходник'!$T:$T,0),MATCH(E$1,'Исходник'!$1:$1,0)))</f>
        <v/>
      </c>
      <c r="F29" s="1" t="str">
        <f t="array" ref="F29">IFERROR(INDEX('Исходник'!$1:$626,MATCH($A29,'Исходник'!$T:$T,0),MATCH(F$1,'Исходник'!$1:$1,0)))</f>
        <v/>
      </c>
      <c r="G29" s="1" t="str">
        <f t="array" ref="G29">IFERROR(INDEX('Исходник'!$1:$626,MATCH($A29,'Исходник'!$T:$T,0),MATCH(G$1,'Исходник'!$1:$1,0)))</f>
        <v/>
      </c>
      <c r="H29" s="27">
        <f t="shared" si="1"/>
        <v>0</v>
      </c>
      <c r="I29" s="27" t="str">
        <f t="shared" si="2"/>
        <v/>
      </c>
      <c r="J29" s="1" t="str">
        <f t="array" ref="J29">IFERROR(INDEX('Исходник'!$1:$626,MATCH($A29,'Исходник'!$T:$T,0),MATCH(J$1,'Исходник'!$1:$1,0)))</f>
        <v/>
      </c>
      <c r="K29" s="27" t="str">
        <f t="shared" si="3"/>
        <v/>
      </c>
      <c r="L29" s="1" t="str">
        <f t="array" ref="L29">IFERROR(INDEX('Исходник'!$1:$626,MATCH($A29,'Исходник'!$T:$T,0),MATCH(L$1,'Исходник'!$1:$1,0)))</f>
        <v/>
      </c>
      <c r="M29" s="28">
        <f t="shared" si="4"/>
        <v>0</v>
      </c>
      <c r="N29" s="1" t="str">
        <f t="array" ref="N29">IFERROR(INDEX('Исходник'!$1:$626,MATCH($A29,'Исходник'!$T:$T,0),MATCH(N$1,'Исходник'!$1:$1,0)))</f>
        <v/>
      </c>
      <c r="O29" s="27">
        <f t="shared" si="5"/>
        <v>0</v>
      </c>
      <c r="P29" s="27" t="str">
        <f t="shared" si="6"/>
        <v/>
      </c>
      <c r="Q29" s="1" t="str">
        <f t="array" ref="Q29">IFERROR(INDEX('Исходник'!$1:$626,MATCH($A29,'Исходник'!$T:$T,0),MATCH(Q$1,'Исходник'!$1:$1,0)))</f>
        <v/>
      </c>
      <c r="R29" s="1" t="str">
        <f t="array" ref="R29">IFERROR(INDEX('Исходник'!$1:$626,MATCH($A29,'Исходник'!$T:$T,0),MATCH(R$1,'Исходник'!$1:$1,0)))</f>
        <v/>
      </c>
      <c r="S29" s="27">
        <f t="shared" si="7"/>
        <v>0</v>
      </c>
      <c r="T29" s="27" t="str">
        <f t="shared" si="8"/>
        <v/>
      </c>
      <c r="U29" s="1" t="str">
        <f t="array" ref="U29">IFERROR(INDEX('Исходник'!$1:$626,MATCH($A29,'Исходник'!$T:$T,0),MATCH(U$1,'Исходник'!$1:$1,0)))</f>
        <v/>
      </c>
      <c r="V29" s="27" t="str">
        <f t="shared" si="9"/>
        <v/>
      </c>
      <c r="W29" s="1" t="str">
        <f t="array" ref="W29">IFERROR(INDEX('Исходник'!$1:$626,MATCH($A29,'Исходник'!$T:$T,0),MATCH(W$1,'Исходник'!$1:$1,0)))</f>
        <v/>
      </c>
      <c r="X29" s="28">
        <f t="shared" si="10"/>
        <v>0</v>
      </c>
      <c r="Y29" s="1" t="str">
        <f t="array" ref="Y29">IFERROR(INDEX('Исходник'!$1:$626,MATCH($A29,'Исходник'!$T:$T,0),MATCH(Y$1,'Исходник'!$1:$1,0)))</f>
        <v/>
      </c>
      <c r="Z29" s="27">
        <f t="shared" si="11"/>
        <v>0</v>
      </c>
      <c r="AA29" s="27" t="str">
        <f t="shared" si="12"/>
        <v/>
      </c>
      <c r="AB29" s="1" t="str">
        <f t="array" ref="AB29">IFERROR(INDEX('Исходник'!$1:$626,MATCH($A29,'Исходник'!$T:$T,0),MATCH(AB$1,'Исходник'!$1:$1,0)))</f>
        <v/>
      </c>
      <c r="AC29" s="1" t="str">
        <f t="array" ref="AC29">IFERROR(INDEX('Исходник'!$1:$626,MATCH($A29,'Исходник'!$T:$T,0),MATCH(AC$1,'Исходник'!$1:$1,0)))</f>
        <v/>
      </c>
      <c r="AD29" s="27" t="str">
        <f t="shared" si="13"/>
        <v/>
      </c>
      <c r="AE29" s="1" t="str">
        <f t="array" ref="AE29">IFERROR(INDEX('Исходник'!$1:$626,MATCH($A29,'Исходник'!$T:$T,0),MATCH(AE$1,'Исходник'!$1:$1,0)))</f>
        <v/>
      </c>
      <c r="AF29" s="1" t="str">
        <f t="array" ref="AF29">IFERROR(INDEX('Исходник'!$1:$626,MATCH($A29,'Исходник'!$T:$T,0),MATCH(AF$1,'Исходник'!$1:$1,0)))</f>
        <v/>
      </c>
      <c r="AG29" s="27" t="str">
        <f t="shared" si="14"/>
        <v/>
      </c>
      <c r="AH29" s="1" t="str">
        <f t="array" ref="AH29">IFERROR(INDEX('Исходник'!$1:$626,MATCH($A29,'Исходник'!$T:$T,0),MATCH(AH$1,'Исходник'!$1:$1,0)))</f>
        <v/>
      </c>
      <c r="AI29" s="1" t="str">
        <f t="array" ref="AI29">IFERROR(INDEX('Исходник'!$1:$626,MATCH($A29,'Исходник'!$T:$T,0),MATCH(AI$1,'Исходник'!$1:$1,0)))</f>
        <v/>
      </c>
      <c r="AJ29" s="18">
        <f t="shared" si="15"/>
        <v>0</v>
      </c>
      <c r="AL29" s="30"/>
    </row>
    <row r="30" ht="15.75" customHeight="1">
      <c r="A30" s="27"/>
      <c r="B30" s="1" t="str">
        <f t="array" ref="B30">IFERROR(INDEX('Исходник'!$1:$626,MATCH($A30,'Исходник'!$T:$T,0),MATCH(B$1,'Исходник'!$1:$1,0)))</f>
        <v/>
      </c>
      <c r="C30" s="1" t="str">
        <f t="array" ref="C30">IFERROR(INDEX('Исходник'!$1:$626,MATCH($A30,'Исходник'!$T:$T,0),MATCH(C$1,'Исходник'!$1:$1,0)))</f>
        <v/>
      </c>
      <c r="D30" s="1" t="str">
        <f t="array" ref="D30">IFERROR(INDEX('Исходник'!$1:$626,MATCH($A30,'Исходник'!$T:$T,0),MATCH(D$1,'Исходник'!$1:$1,0)))</f>
        <v/>
      </c>
      <c r="E30" s="1" t="str">
        <f t="array" ref="E30">IFERROR(INDEX('Исходник'!$1:$626,MATCH($A30,'Исходник'!$T:$T,0),MATCH(E$1,'Исходник'!$1:$1,0)))</f>
        <v/>
      </c>
      <c r="F30" s="1" t="str">
        <f t="array" ref="F30">IFERROR(INDEX('Исходник'!$1:$626,MATCH($A30,'Исходник'!$T:$T,0),MATCH(F$1,'Исходник'!$1:$1,0)))</f>
        <v/>
      </c>
      <c r="G30" s="1" t="str">
        <f t="array" ref="G30">IFERROR(INDEX('Исходник'!$1:$626,MATCH($A30,'Исходник'!$T:$T,0),MATCH(G$1,'Исходник'!$1:$1,0)))</f>
        <v/>
      </c>
      <c r="H30" s="27">
        <f t="shared" si="1"/>
        <v>0</v>
      </c>
      <c r="I30" s="27" t="str">
        <f t="shared" si="2"/>
        <v/>
      </c>
      <c r="J30" s="1" t="str">
        <f t="array" ref="J30">IFERROR(INDEX('Исходник'!$1:$626,MATCH($A30,'Исходник'!$T:$T,0),MATCH(J$1,'Исходник'!$1:$1,0)))</f>
        <v/>
      </c>
      <c r="K30" s="27" t="str">
        <f t="shared" si="3"/>
        <v/>
      </c>
      <c r="L30" s="1" t="str">
        <f t="array" ref="L30">IFERROR(INDEX('Исходник'!$1:$626,MATCH($A30,'Исходник'!$T:$T,0),MATCH(L$1,'Исходник'!$1:$1,0)))</f>
        <v/>
      </c>
      <c r="M30" s="28">
        <f t="shared" si="4"/>
        <v>0</v>
      </c>
      <c r="N30" s="1" t="str">
        <f t="array" ref="N30">IFERROR(INDEX('Исходник'!$1:$626,MATCH($A30,'Исходник'!$T:$T,0),MATCH(N$1,'Исходник'!$1:$1,0)))</f>
        <v/>
      </c>
      <c r="O30" s="27">
        <f t="shared" si="5"/>
        <v>0</v>
      </c>
      <c r="P30" s="27" t="str">
        <f t="shared" si="6"/>
        <v/>
      </c>
      <c r="Q30" s="1" t="str">
        <f t="array" ref="Q30">IFERROR(INDEX('Исходник'!$1:$626,MATCH($A30,'Исходник'!$T:$T,0),MATCH(Q$1,'Исходник'!$1:$1,0)))</f>
        <v/>
      </c>
      <c r="R30" s="1" t="str">
        <f t="array" ref="R30">IFERROR(INDEX('Исходник'!$1:$626,MATCH($A30,'Исходник'!$T:$T,0),MATCH(R$1,'Исходник'!$1:$1,0)))</f>
        <v/>
      </c>
      <c r="S30" s="27">
        <f t="shared" si="7"/>
        <v>0</v>
      </c>
      <c r="T30" s="27" t="str">
        <f t="shared" si="8"/>
        <v/>
      </c>
      <c r="U30" s="1" t="str">
        <f t="array" ref="U30">IFERROR(INDEX('Исходник'!$1:$626,MATCH($A30,'Исходник'!$T:$T,0),MATCH(U$1,'Исходник'!$1:$1,0)))</f>
        <v/>
      </c>
      <c r="V30" s="27" t="str">
        <f t="shared" si="9"/>
        <v/>
      </c>
      <c r="W30" s="1" t="str">
        <f t="array" ref="W30">IFERROR(INDEX('Исходник'!$1:$626,MATCH($A30,'Исходник'!$T:$T,0),MATCH(W$1,'Исходник'!$1:$1,0)))</f>
        <v/>
      </c>
      <c r="X30" s="28">
        <f t="shared" si="10"/>
        <v>0</v>
      </c>
      <c r="Y30" s="1" t="str">
        <f t="array" ref="Y30">IFERROR(INDEX('Исходник'!$1:$626,MATCH($A30,'Исходник'!$T:$T,0),MATCH(Y$1,'Исходник'!$1:$1,0)))</f>
        <v/>
      </c>
      <c r="Z30" s="27">
        <f t="shared" si="11"/>
        <v>0</v>
      </c>
      <c r="AA30" s="27" t="str">
        <f t="shared" si="12"/>
        <v/>
      </c>
      <c r="AB30" s="1" t="str">
        <f t="array" ref="AB30">IFERROR(INDEX('Исходник'!$1:$626,MATCH($A30,'Исходник'!$T:$T,0),MATCH(AB$1,'Исходник'!$1:$1,0)))</f>
        <v/>
      </c>
      <c r="AC30" s="1" t="str">
        <f t="array" ref="AC30">IFERROR(INDEX('Исходник'!$1:$626,MATCH($A30,'Исходник'!$T:$T,0),MATCH(AC$1,'Исходник'!$1:$1,0)))</f>
        <v/>
      </c>
      <c r="AD30" s="27" t="str">
        <f t="shared" si="13"/>
        <v/>
      </c>
      <c r="AE30" s="1" t="str">
        <f t="array" ref="AE30">IFERROR(INDEX('Исходник'!$1:$626,MATCH($A30,'Исходник'!$T:$T,0),MATCH(AE$1,'Исходник'!$1:$1,0)))</f>
        <v/>
      </c>
      <c r="AF30" s="1" t="str">
        <f t="array" ref="AF30">IFERROR(INDEX('Исходник'!$1:$626,MATCH($A30,'Исходник'!$T:$T,0),MATCH(AF$1,'Исходник'!$1:$1,0)))</f>
        <v/>
      </c>
      <c r="AG30" s="27" t="str">
        <f t="shared" si="14"/>
        <v/>
      </c>
      <c r="AH30" s="1" t="str">
        <f t="array" ref="AH30">IFERROR(INDEX('Исходник'!$1:$626,MATCH($A30,'Исходник'!$T:$T,0),MATCH(AH$1,'Исходник'!$1:$1,0)))</f>
        <v/>
      </c>
      <c r="AI30" s="1" t="str">
        <f t="array" ref="AI30">IFERROR(INDEX('Исходник'!$1:$626,MATCH($A30,'Исходник'!$T:$T,0),MATCH(AI$1,'Исходник'!$1:$1,0)))</f>
        <v/>
      </c>
      <c r="AJ30" s="18">
        <f t="shared" si="15"/>
        <v>0</v>
      </c>
      <c r="AL30" s="30"/>
    </row>
    <row r="31" ht="15.75" customHeight="1">
      <c r="A31" s="27"/>
      <c r="B31" s="1" t="str">
        <f t="array" ref="B31">IFERROR(INDEX('Исходник'!$1:$626,MATCH($A31,'Исходник'!$T:$T,0),MATCH(B$1,'Исходник'!$1:$1,0)))</f>
        <v/>
      </c>
      <c r="C31" s="1" t="str">
        <f t="array" ref="C31">IFERROR(INDEX('Исходник'!$1:$626,MATCH($A31,'Исходник'!$T:$T,0),MATCH(C$1,'Исходник'!$1:$1,0)))</f>
        <v/>
      </c>
      <c r="D31" s="1" t="str">
        <f t="array" ref="D31">IFERROR(INDEX('Исходник'!$1:$626,MATCH($A31,'Исходник'!$T:$T,0),MATCH(D$1,'Исходник'!$1:$1,0)))</f>
        <v/>
      </c>
      <c r="E31" s="1" t="str">
        <f t="array" ref="E31">IFERROR(INDEX('Исходник'!$1:$626,MATCH($A31,'Исходник'!$T:$T,0),MATCH(E$1,'Исходник'!$1:$1,0)))</f>
        <v/>
      </c>
      <c r="F31" s="1" t="str">
        <f t="array" ref="F31">IFERROR(INDEX('Исходник'!$1:$626,MATCH($A31,'Исходник'!$T:$T,0),MATCH(F$1,'Исходник'!$1:$1,0)))</f>
        <v/>
      </c>
      <c r="G31" s="1" t="str">
        <f t="array" ref="G31">IFERROR(INDEX('Исходник'!$1:$626,MATCH($A31,'Исходник'!$T:$T,0),MATCH(G$1,'Исходник'!$1:$1,0)))</f>
        <v/>
      </c>
      <c r="H31" s="27">
        <f t="shared" si="1"/>
        <v>0</v>
      </c>
      <c r="I31" s="27" t="str">
        <f t="shared" si="2"/>
        <v/>
      </c>
      <c r="J31" s="1" t="str">
        <f t="array" ref="J31">IFERROR(INDEX('Исходник'!$1:$626,MATCH($A31,'Исходник'!$T:$T,0),MATCH(J$1,'Исходник'!$1:$1,0)))</f>
        <v/>
      </c>
      <c r="K31" s="27" t="str">
        <f t="shared" si="3"/>
        <v/>
      </c>
      <c r="L31" s="1" t="str">
        <f t="array" ref="L31">IFERROR(INDEX('Исходник'!$1:$626,MATCH($A31,'Исходник'!$T:$T,0),MATCH(L$1,'Исходник'!$1:$1,0)))</f>
        <v/>
      </c>
      <c r="M31" s="28">
        <f t="shared" si="4"/>
        <v>0</v>
      </c>
      <c r="N31" s="1" t="str">
        <f t="array" ref="N31">IFERROR(INDEX('Исходник'!$1:$626,MATCH($A31,'Исходник'!$T:$T,0),MATCH(N$1,'Исходник'!$1:$1,0)))</f>
        <v/>
      </c>
      <c r="O31" s="27">
        <f t="shared" si="5"/>
        <v>0</v>
      </c>
      <c r="P31" s="27" t="str">
        <f t="shared" si="6"/>
        <v/>
      </c>
      <c r="Q31" s="1" t="str">
        <f t="array" ref="Q31">IFERROR(INDEX('Исходник'!$1:$626,MATCH($A31,'Исходник'!$T:$T,0),MATCH(Q$1,'Исходник'!$1:$1,0)))</f>
        <v/>
      </c>
      <c r="R31" s="1" t="str">
        <f t="array" ref="R31">IFERROR(INDEX('Исходник'!$1:$626,MATCH($A31,'Исходник'!$T:$T,0),MATCH(R$1,'Исходник'!$1:$1,0)))</f>
        <v/>
      </c>
      <c r="S31" s="27">
        <f t="shared" si="7"/>
        <v>0</v>
      </c>
      <c r="T31" s="27" t="str">
        <f t="shared" si="8"/>
        <v/>
      </c>
      <c r="U31" s="1" t="str">
        <f t="array" ref="U31">IFERROR(INDEX('Исходник'!$1:$626,MATCH($A31,'Исходник'!$T:$T,0),MATCH(U$1,'Исходник'!$1:$1,0)))</f>
        <v/>
      </c>
      <c r="V31" s="27" t="str">
        <f t="shared" si="9"/>
        <v/>
      </c>
      <c r="W31" s="1" t="str">
        <f t="array" ref="W31">IFERROR(INDEX('Исходник'!$1:$626,MATCH($A31,'Исходник'!$T:$T,0),MATCH(W$1,'Исходник'!$1:$1,0)))</f>
        <v/>
      </c>
      <c r="X31" s="28">
        <f t="shared" si="10"/>
        <v>0</v>
      </c>
      <c r="Y31" s="1" t="str">
        <f t="array" ref="Y31">IFERROR(INDEX('Исходник'!$1:$626,MATCH($A31,'Исходник'!$T:$T,0),MATCH(Y$1,'Исходник'!$1:$1,0)))</f>
        <v/>
      </c>
      <c r="Z31" s="27">
        <f t="shared" si="11"/>
        <v>0</v>
      </c>
      <c r="AA31" s="27" t="str">
        <f t="shared" si="12"/>
        <v/>
      </c>
      <c r="AB31" s="1" t="str">
        <f t="array" ref="AB31">IFERROR(INDEX('Исходник'!$1:$626,MATCH($A31,'Исходник'!$T:$T,0),MATCH(AB$1,'Исходник'!$1:$1,0)))</f>
        <v/>
      </c>
      <c r="AC31" s="1" t="str">
        <f t="array" ref="AC31">IFERROR(INDEX('Исходник'!$1:$626,MATCH($A31,'Исходник'!$T:$T,0),MATCH(AC$1,'Исходник'!$1:$1,0)))</f>
        <v/>
      </c>
      <c r="AD31" s="27" t="str">
        <f t="shared" si="13"/>
        <v/>
      </c>
      <c r="AE31" s="1" t="str">
        <f t="array" ref="AE31">IFERROR(INDEX('Исходник'!$1:$626,MATCH($A31,'Исходник'!$T:$T,0),MATCH(AE$1,'Исходник'!$1:$1,0)))</f>
        <v/>
      </c>
      <c r="AF31" s="1" t="str">
        <f t="array" ref="AF31">IFERROR(INDEX('Исходник'!$1:$626,MATCH($A31,'Исходник'!$T:$T,0),MATCH(AF$1,'Исходник'!$1:$1,0)))</f>
        <v/>
      </c>
      <c r="AG31" s="27" t="str">
        <f t="shared" si="14"/>
        <v/>
      </c>
      <c r="AH31" s="1" t="str">
        <f t="array" ref="AH31">IFERROR(INDEX('Исходник'!$1:$626,MATCH($A31,'Исходник'!$T:$T,0),MATCH(AH$1,'Исходник'!$1:$1,0)))</f>
        <v/>
      </c>
      <c r="AI31" s="1" t="str">
        <f t="array" ref="AI31">IFERROR(INDEX('Исходник'!$1:$626,MATCH($A31,'Исходник'!$T:$T,0),MATCH(AI$1,'Исходник'!$1:$1,0)))</f>
        <v/>
      </c>
      <c r="AJ31" s="18">
        <f t="shared" si="15"/>
        <v>0</v>
      </c>
      <c r="AL31" s="30"/>
    </row>
    <row r="32" ht="15.75" customHeight="1">
      <c r="A32" s="27"/>
      <c r="B32" s="1" t="str">
        <f t="array" ref="B32">IFERROR(INDEX('Исходник'!$1:$626,MATCH($A32,'Исходник'!$T:$T,0),MATCH(B$1,'Исходник'!$1:$1,0)))</f>
        <v/>
      </c>
      <c r="C32" s="1" t="str">
        <f t="array" ref="C32">IFERROR(INDEX('Исходник'!$1:$626,MATCH($A32,'Исходник'!$T:$T,0),MATCH(C$1,'Исходник'!$1:$1,0)))</f>
        <v/>
      </c>
      <c r="D32" s="1" t="str">
        <f t="array" ref="D32">IFERROR(INDEX('Исходник'!$1:$626,MATCH($A32,'Исходник'!$T:$T,0),MATCH(D$1,'Исходник'!$1:$1,0)))</f>
        <v/>
      </c>
      <c r="E32" s="1" t="str">
        <f t="array" ref="E32">IFERROR(INDEX('Исходник'!$1:$626,MATCH($A32,'Исходник'!$T:$T,0),MATCH(E$1,'Исходник'!$1:$1,0)))</f>
        <v/>
      </c>
      <c r="F32" s="1" t="str">
        <f t="array" ref="F32">IFERROR(INDEX('Исходник'!$1:$626,MATCH($A32,'Исходник'!$T:$T,0),MATCH(F$1,'Исходник'!$1:$1,0)))</f>
        <v/>
      </c>
      <c r="G32" s="1" t="str">
        <f t="array" ref="G32">IFERROR(INDEX('Исходник'!$1:$626,MATCH($A32,'Исходник'!$T:$T,0),MATCH(G$1,'Исходник'!$1:$1,0)))</f>
        <v/>
      </c>
      <c r="H32" s="27">
        <f t="shared" si="1"/>
        <v>0</v>
      </c>
      <c r="I32" s="27" t="str">
        <f t="shared" si="2"/>
        <v/>
      </c>
      <c r="J32" s="1" t="str">
        <f t="array" ref="J32">IFERROR(INDEX('Исходник'!$1:$626,MATCH($A32,'Исходник'!$T:$T,0),MATCH(J$1,'Исходник'!$1:$1,0)))</f>
        <v/>
      </c>
      <c r="K32" s="27" t="str">
        <f t="shared" si="3"/>
        <v/>
      </c>
      <c r="L32" s="1" t="str">
        <f t="array" ref="L32">IFERROR(INDEX('Исходник'!$1:$626,MATCH($A32,'Исходник'!$T:$T,0),MATCH(L$1,'Исходник'!$1:$1,0)))</f>
        <v/>
      </c>
      <c r="M32" s="28">
        <f t="shared" si="4"/>
        <v>0</v>
      </c>
      <c r="N32" s="1" t="str">
        <f t="array" ref="N32">IFERROR(INDEX('Исходник'!$1:$626,MATCH($A32,'Исходник'!$T:$T,0),MATCH(N$1,'Исходник'!$1:$1,0)))</f>
        <v/>
      </c>
      <c r="O32" s="27">
        <f t="shared" si="5"/>
        <v>0</v>
      </c>
      <c r="P32" s="27" t="str">
        <f t="shared" si="6"/>
        <v/>
      </c>
      <c r="Q32" s="1" t="str">
        <f t="array" ref="Q32">IFERROR(INDEX('Исходник'!$1:$626,MATCH($A32,'Исходник'!$T:$T,0),MATCH(Q$1,'Исходник'!$1:$1,0)))</f>
        <v/>
      </c>
      <c r="R32" s="1" t="str">
        <f t="array" ref="R32">IFERROR(INDEX('Исходник'!$1:$626,MATCH($A32,'Исходник'!$T:$T,0),MATCH(R$1,'Исходник'!$1:$1,0)))</f>
        <v/>
      </c>
      <c r="S32" s="27">
        <f t="shared" si="7"/>
        <v>0</v>
      </c>
      <c r="T32" s="27" t="str">
        <f t="shared" si="8"/>
        <v/>
      </c>
      <c r="U32" s="1" t="str">
        <f t="array" ref="U32">IFERROR(INDEX('Исходник'!$1:$626,MATCH($A32,'Исходник'!$T:$T,0),MATCH(U$1,'Исходник'!$1:$1,0)))</f>
        <v/>
      </c>
      <c r="V32" s="27" t="str">
        <f t="shared" si="9"/>
        <v/>
      </c>
      <c r="W32" s="1" t="str">
        <f t="array" ref="W32">IFERROR(INDEX('Исходник'!$1:$626,MATCH($A32,'Исходник'!$T:$T,0),MATCH(W$1,'Исходник'!$1:$1,0)))</f>
        <v/>
      </c>
      <c r="X32" s="28">
        <f t="shared" si="10"/>
        <v>0</v>
      </c>
      <c r="Y32" s="1" t="str">
        <f t="array" ref="Y32">IFERROR(INDEX('Исходник'!$1:$626,MATCH($A32,'Исходник'!$T:$T,0),MATCH(Y$1,'Исходник'!$1:$1,0)))</f>
        <v/>
      </c>
      <c r="Z32" s="27">
        <f t="shared" si="11"/>
        <v>0</v>
      </c>
      <c r="AA32" s="27" t="str">
        <f t="shared" si="12"/>
        <v/>
      </c>
      <c r="AB32" s="1" t="str">
        <f t="array" ref="AB32">IFERROR(INDEX('Исходник'!$1:$626,MATCH($A32,'Исходник'!$T:$T,0),MATCH(AB$1,'Исходник'!$1:$1,0)))</f>
        <v/>
      </c>
      <c r="AC32" s="1" t="str">
        <f t="array" ref="AC32">IFERROR(INDEX('Исходник'!$1:$626,MATCH($A32,'Исходник'!$T:$T,0),MATCH(AC$1,'Исходник'!$1:$1,0)))</f>
        <v/>
      </c>
      <c r="AD32" s="27" t="str">
        <f t="shared" si="13"/>
        <v/>
      </c>
      <c r="AE32" s="1" t="str">
        <f t="array" ref="AE32">IFERROR(INDEX('Исходник'!$1:$626,MATCH($A32,'Исходник'!$T:$T,0),MATCH(AE$1,'Исходник'!$1:$1,0)))</f>
        <v/>
      </c>
      <c r="AF32" s="1" t="str">
        <f t="array" ref="AF32">IFERROR(INDEX('Исходник'!$1:$626,MATCH($A32,'Исходник'!$T:$T,0),MATCH(AF$1,'Исходник'!$1:$1,0)))</f>
        <v/>
      </c>
      <c r="AG32" s="27" t="str">
        <f t="shared" si="14"/>
        <v/>
      </c>
      <c r="AH32" s="1" t="str">
        <f t="array" ref="AH32">IFERROR(INDEX('Исходник'!$1:$626,MATCH($A32,'Исходник'!$T:$T,0),MATCH(AH$1,'Исходник'!$1:$1,0)))</f>
        <v/>
      </c>
      <c r="AI32" s="1" t="str">
        <f t="array" ref="AI32">IFERROR(INDEX('Исходник'!$1:$626,MATCH($A32,'Исходник'!$T:$T,0),MATCH(AI$1,'Исходник'!$1:$1,0)))</f>
        <v/>
      </c>
      <c r="AJ32" s="18">
        <f t="shared" si="15"/>
        <v>0</v>
      </c>
      <c r="AL32" s="30"/>
    </row>
    <row r="33" ht="15.75" customHeight="1">
      <c r="A33" s="27"/>
      <c r="B33" s="1" t="str">
        <f t="array" ref="B33">IFERROR(INDEX('Исходник'!$1:$626,MATCH($A33,'Исходник'!$T:$T,0),MATCH(B$1,'Исходник'!$1:$1,0)))</f>
        <v/>
      </c>
      <c r="C33" s="1" t="str">
        <f t="array" ref="C33">IFERROR(INDEX('Исходник'!$1:$626,MATCH($A33,'Исходник'!$T:$T,0),MATCH(C$1,'Исходник'!$1:$1,0)))</f>
        <v/>
      </c>
      <c r="D33" s="1" t="str">
        <f t="array" ref="D33">IFERROR(INDEX('Исходник'!$1:$626,MATCH($A33,'Исходник'!$T:$T,0),MATCH(D$1,'Исходник'!$1:$1,0)))</f>
        <v/>
      </c>
      <c r="E33" s="1" t="str">
        <f t="array" ref="E33">IFERROR(INDEX('Исходник'!$1:$626,MATCH($A33,'Исходник'!$T:$T,0),MATCH(E$1,'Исходник'!$1:$1,0)))</f>
        <v/>
      </c>
      <c r="F33" s="1" t="str">
        <f t="array" ref="F33">IFERROR(INDEX('Исходник'!$1:$626,MATCH($A33,'Исходник'!$T:$T,0),MATCH(F$1,'Исходник'!$1:$1,0)))</f>
        <v/>
      </c>
      <c r="G33" s="1" t="str">
        <f t="array" ref="G33">IFERROR(INDEX('Исходник'!$1:$626,MATCH($A33,'Исходник'!$T:$T,0),MATCH(G$1,'Исходник'!$1:$1,0)))</f>
        <v/>
      </c>
      <c r="H33" s="27">
        <f t="shared" si="1"/>
        <v>0</v>
      </c>
      <c r="I33" s="27" t="str">
        <f t="shared" si="2"/>
        <v/>
      </c>
      <c r="J33" s="1" t="str">
        <f t="array" ref="J33">IFERROR(INDEX('Исходник'!$1:$626,MATCH($A33,'Исходник'!$T:$T,0),MATCH(J$1,'Исходник'!$1:$1,0)))</f>
        <v/>
      </c>
      <c r="K33" s="27" t="str">
        <f t="shared" si="3"/>
        <v/>
      </c>
      <c r="L33" s="1" t="str">
        <f t="array" ref="L33">IFERROR(INDEX('Исходник'!$1:$626,MATCH($A33,'Исходник'!$T:$T,0),MATCH(L$1,'Исходник'!$1:$1,0)))</f>
        <v/>
      </c>
      <c r="M33" s="28">
        <f t="shared" si="4"/>
        <v>0</v>
      </c>
      <c r="N33" s="1" t="str">
        <f t="array" ref="N33">IFERROR(INDEX('Исходник'!$1:$626,MATCH($A33,'Исходник'!$T:$T,0),MATCH(N$1,'Исходник'!$1:$1,0)))</f>
        <v/>
      </c>
      <c r="O33" s="27">
        <f t="shared" si="5"/>
        <v>0</v>
      </c>
      <c r="P33" s="27" t="str">
        <f t="shared" si="6"/>
        <v/>
      </c>
      <c r="Q33" s="1" t="str">
        <f t="array" ref="Q33">IFERROR(INDEX('Исходник'!$1:$626,MATCH($A33,'Исходник'!$T:$T,0),MATCH(Q$1,'Исходник'!$1:$1,0)))</f>
        <v/>
      </c>
      <c r="R33" s="1" t="str">
        <f t="array" ref="R33">IFERROR(INDEX('Исходник'!$1:$626,MATCH($A33,'Исходник'!$T:$T,0),MATCH(R$1,'Исходник'!$1:$1,0)))</f>
        <v/>
      </c>
      <c r="S33" s="27">
        <f t="shared" si="7"/>
        <v>0</v>
      </c>
      <c r="T33" s="27" t="str">
        <f t="shared" si="8"/>
        <v/>
      </c>
      <c r="U33" s="1" t="str">
        <f t="array" ref="U33">IFERROR(INDEX('Исходник'!$1:$626,MATCH($A33,'Исходник'!$T:$T,0),MATCH(U$1,'Исходник'!$1:$1,0)))</f>
        <v/>
      </c>
      <c r="V33" s="27" t="str">
        <f t="shared" si="9"/>
        <v/>
      </c>
      <c r="W33" s="1" t="str">
        <f t="array" ref="W33">IFERROR(INDEX('Исходник'!$1:$626,MATCH($A33,'Исходник'!$T:$T,0),MATCH(W$1,'Исходник'!$1:$1,0)))</f>
        <v/>
      </c>
      <c r="X33" s="28">
        <f t="shared" si="10"/>
        <v>0</v>
      </c>
      <c r="Y33" s="1" t="str">
        <f t="array" ref="Y33">IFERROR(INDEX('Исходник'!$1:$626,MATCH($A33,'Исходник'!$T:$T,0),MATCH(Y$1,'Исходник'!$1:$1,0)))</f>
        <v/>
      </c>
      <c r="Z33" s="27">
        <f t="shared" si="11"/>
        <v>0</v>
      </c>
      <c r="AA33" s="27" t="str">
        <f t="shared" si="12"/>
        <v/>
      </c>
      <c r="AB33" s="1" t="str">
        <f t="array" ref="AB33">IFERROR(INDEX('Исходник'!$1:$626,MATCH($A33,'Исходник'!$T:$T,0),MATCH(AB$1,'Исходник'!$1:$1,0)))</f>
        <v/>
      </c>
      <c r="AC33" s="1" t="str">
        <f t="array" ref="AC33">IFERROR(INDEX('Исходник'!$1:$626,MATCH($A33,'Исходник'!$T:$T,0),MATCH(AC$1,'Исходник'!$1:$1,0)))</f>
        <v/>
      </c>
      <c r="AD33" s="27" t="str">
        <f t="shared" si="13"/>
        <v/>
      </c>
      <c r="AE33" s="1" t="str">
        <f t="array" ref="AE33">IFERROR(INDEX('Исходник'!$1:$626,MATCH($A33,'Исходник'!$T:$T,0),MATCH(AE$1,'Исходник'!$1:$1,0)))</f>
        <v/>
      </c>
      <c r="AF33" s="1" t="str">
        <f t="array" ref="AF33">IFERROR(INDEX('Исходник'!$1:$626,MATCH($A33,'Исходник'!$T:$T,0),MATCH(AF$1,'Исходник'!$1:$1,0)))</f>
        <v/>
      </c>
      <c r="AG33" s="27" t="str">
        <f t="shared" si="14"/>
        <v/>
      </c>
      <c r="AH33" s="1" t="str">
        <f t="array" ref="AH33">IFERROR(INDEX('Исходник'!$1:$626,MATCH($A33,'Исходник'!$T:$T,0),MATCH(AH$1,'Исходник'!$1:$1,0)))</f>
        <v/>
      </c>
      <c r="AI33" s="1" t="str">
        <f t="array" ref="AI33">IFERROR(INDEX('Исходник'!$1:$626,MATCH($A33,'Исходник'!$T:$T,0),MATCH(AI$1,'Исходник'!$1:$1,0)))</f>
        <v/>
      </c>
      <c r="AJ33" s="18">
        <f t="shared" si="15"/>
        <v>0</v>
      </c>
      <c r="AL33" s="30"/>
    </row>
    <row r="34" ht="15.75" customHeight="1">
      <c r="A34" s="27"/>
      <c r="B34" s="1" t="str">
        <f t="array" ref="B34">IFERROR(INDEX('Исходник'!$1:$626,MATCH($A34,'Исходник'!$T:$T,0),MATCH(B$1,'Исходник'!$1:$1,0)))</f>
        <v/>
      </c>
      <c r="C34" s="1" t="str">
        <f t="array" ref="C34">IFERROR(INDEX('Исходник'!$1:$626,MATCH($A34,'Исходник'!$T:$T,0),MATCH(C$1,'Исходник'!$1:$1,0)))</f>
        <v/>
      </c>
      <c r="D34" s="1" t="str">
        <f t="array" ref="D34">IFERROR(INDEX('Исходник'!$1:$626,MATCH($A34,'Исходник'!$T:$T,0),MATCH(D$1,'Исходник'!$1:$1,0)))</f>
        <v/>
      </c>
      <c r="E34" s="1" t="str">
        <f t="array" ref="E34">IFERROR(INDEX('Исходник'!$1:$626,MATCH($A34,'Исходник'!$T:$T,0),MATCH(E$1,'Исходник'!$1:$1,0)))</f>
        <v/>
      </c>
      <c r="F34" s="1" t="str">
        <f t="array" ref="F34">IFERROR(INDEX('Исходник'!$1:$626,MATCH($A34,'Исходник'!$T:$T,0),MATCH(F$1,'Исходник'!$1:$1,0)))</f>
        <v/>
      </c>
      <c r="G34" s="1" t="str">
        <f t="array" ref="G34">IFERROR(INDEX('Исходник'!$1:$626,MATCH($A34,'Исходник'!$T:$T,0),MATCH(G$1,'Исходник'!$1:$1,0)))</f>
        <v/>
      </c>
      <c r="H34" s="27">
        <f t="shared" si="1"/>
        <v>0</v>
      </c>
      <c r="I34" s="27" t="str">
        <f t="shared" si="2"/>
        <v/>
      </c>
      <c r="J34" s="1" t="str">
        <f t="array" ref="J34">IFERROR(INDEX('Исходник'!$1:$626,MATCH($A34,'Исходник'!$T:$T,0),MATCH(J$1,'Исходник'!$1:$1,0)))</f>
        <v/>
      </c>
      <c r="K34" s="27" t="str">
        <f t="shared" si="3"/>
        <v/>
      </c>
      <c r="L34" s="1" t="str">
        <f t="array" ref="L34">IFERROR(INDEX('Исходник'!$1:$626,MATCH($A34,'Исходник'!$T:$T,0),MATCH(L$1,'Исходник'!$1:$1,0)))</f>
        <v/>
      </c>
      <c r="M34" s="28">
        <f t="shared" si="4"/>
        <v>0</v>
      </c>
      <c r="N34" s="1" t="str">
        <f t="array" ref="N34">IFERROR(INDEX('Исходник'!$1:$626,MATCH($A34,'Исходник'!$T:$T,0),MATCH(N$1,'Исходник'!$1:$1,0)))</f>
        <v/>
      </c>
      <c r="O34" s="27">
        <f t="shared" si="5"/>
        <v>0</v>
      </c>
      <c r="P34" s="27" t="str">
        <f t="shared" si="6"/>
        <v/>
      </c>
      <c r="Q34" s="1" t="str">
        <f t="array" ref="Q34">IFERROR(INDEX('Исходник'!$1:$626,MATCH($A34,'Исходник'!$T:$T,0),MATCH(Q$1,'Исходник'!$1:$1,0)))</f>
        <v/>
      </c>
      <c r="R34" s="1" t="str">
        <f t="array" ref="R34">IFERROR(INDEX('Исходник'!$1:$626,MATCH($A34,'Исходник'!$T:$T,0),MATCH(R$1,'Исходник'!$1:$1,0)))</f>
        <v/>
      </c>
      <c r="S34" s="27">
        <f t="shared" si="7"/>
        <v>0</v>
      </c>
      <c r="T34" s="27" t="str">
        <f t="shared" si="8"/>
        <v/>
      </c>
      <c r="U34" s="1" t="str">
        <f t="array" ref="U34">IFERROR(INDEX('Исходник'!$1:$626,MATCH($A34,'Исходник'!$T:$T,0),MATCH(U$1,'Исходник'!$1:$1,0)))</f>
        <v/>
      </c>
      <c r="V34" s="27" t="str">
        <f t="shared" si="9"/>
        <v/>
      </c>
      <c r="W34" s="1" t="str">
        <f t="array" ref="W34">IFERROR(INDEX('Исходник'!$1:$626,MATCH($A34,'Исходник'!$T:$T,0),MATCH(W$1,'Исходник'!$1:$1,0)))</f>
        <v/>
      </c>
      <c r="X34" s="28">
        <f t="shared" si="10"/>
        <v>0</v>
      </c>
      <c r="Y34" s="1" t="str">
        <f t="array" ref="Y34">IFERROR(INDEX('Исходник'!$1:$626,MATCH($A34,'Исходник'!$T:$T,0),MATCH(Y$1,'Исходник'!$1:$1,0)))</f>
        <v/>
      </c>
      <c r="Z34" s="27">
        <f t="shared" si="11"/>
        <v>0</v>
      </c>
      <c r="AA34" s="27" t="str">
        <f t="shared" si="12"/>
        <v/>
      </c>
      <c r="AB34" s="1" t="str">
        <f t="array" ref="AB34">IFERROR(INDEX('Исходник'!$1:$626,MATCH($A34,'Исходник'!$T:$T,0),MATCH(AB$1,'Исходник'!$1:$1,0)))</f>
        <v/>
      </c>
      <c r="AC34" s="1" t="str">
        <f t="array" ref="AC34">IFERROR(INDEX('Исходник'!$1:$626,MATCH($A34,'Исходник'!$T:$T,0),MATCH(AC$1,'Исходник'!$1:$1,0)))</f>
        <v/>
      </c>
      <c r="AD34" s="27" t="str">
        <f t="shared" si="13"/>
        <v/>
      </c>
      <c r="AE34" s="1" t="str">
        <f t="array" ref="AE34">IFERROR(INDEX('Исходник'!$1:$626,MATCH($A34,'Исходник'!$T:$T,0),MATCH(AE$1,'Исходник'!$1:$1,0)))</f>
        <v/>
      </c>
      <c r="AF34" s="1" t="str">
        <f t="array" ref="AF34">IFERROR(INDEX('Исходник'!$1:$626,MATCH($A34,'Исходник'!$T:$T,0),MATCH(AF$1,'Исходник'!$1:$1,0)))</f>
        <v/>
      </c>
      <c r="AG34" s="27" t="str">
        <f t="shared" si="14"/>
        <v/>
      </c>
      <c r="AH34" s="1" t="str">
        <f t="array" ref="AH34">IFERROR(INDEX('Исходник'!$1:$626,MATCH($A34,'Исходник'!$T:$T,0),MATCH(AH$1,'Исходник'!$1:$1,0)))</f>
        <v/>
      </c>
      <c r="AI34" s="1" t="str">
        <f t="array" ref="AI34">IFERROR(INDEX('Исходник'!$1:$626,MATCH($A34,'Исходник'!$T:$T,0),MATCH(AI$1,'Исходник'!$1:$1,0)))</f>
        <v/>
      </c>
      <c r="AJ34" s="18">
        <f t="shared" si="15"/>
        <v>0</v>
      </c>
      <c r="AL34" s="30"/>
    </row>
    <row r="35" ht="15.75" customHeight="1">
      <c r="A35" s="27"/>
      <c r="B35" s="1" t="str">
        <f t="array" ref="B35">IFERROR(INDEX('Исходник'!$1:$626,MATCH($A35,'Исходник'!$T:$T,0),MATCH(B$1,'Исходник'!$1:$1,0)))</f>
        <v/>
      </c>
      <c r="C35" s="1" t="str">
        <f t="array" ref="C35">IFERROR(INDEX('Исходник'!$1:$626,MATCH($A35,'Исходник'!$T:$T,0),MATCH(C$1,'Исходник'!$1:$1,0)))</f>
        <v/>
      </c>
      <c r="D35" s="1" t="str">
        <f t="array" ref="D35">IFERROR(INDEX('Исходник'!$1:$626,MATCH($A35,'Исходник'!$T:$T,0),MATCH(D$1,'Исходник'!$1:$1,0)))</f>
        <v/>
      </c>
      <c r="E35" s="1" t="str">
        <f t="array" ref="E35">IFERROR(INDEX('Исходник'!$1:$626,MATCH($A35,'Исходник'!$T:$T,0),MATCH(E$1,'Исходник'!$1:$1,0)))</f>
        <v/>
      </c>
      <c r="F35" s="1" t="str">
        <f t="array" ref="F35">IFERROR(INDEX('Исходник'!$1:$626,MATCH($A35,'Исходник'!$T:$T,0),MATCH(F$1,'Исходник'!$1:$1,0)))</f>
        <v/>
      </c>
      <c r="G35" s="1" t="str">
        <f t="array" ref="G35">IFERROR(INDEX('Исходник'!$1:$626,MATCH($A35,'Исходник'!$T:$T,0),MATCH(G$1,'Исходник'!$1:$1,0)))</f>
        <v/>
      </c>
      <c r="H35" s="27">
        <f t="shared" si="1"/>
        <v>0</v>
      </c>
      <c r="I35" s="27" t="str">
        <f t="shared" si="2"/>
        <v/>
      </c>
      <c r="J35" s="1" t="str">
        <f t="array" ref="J35">IFERROR(INDEX('Исходник'!$1:$626,MATCH($A35,'Исходник'!$T:$T,0),MATCH(J$1,'Исходник'!$1:$1,0)))</f>
        <v/>
      </c>
      <c r="K35" s="27" t="str">
        <f t="shared" si="3"/>
        <v/>
      </c>
      <c r="L35" s="1" t="str">
        <f t="array" ref="L35">IFERROR(INDEX('Исходник'!$1:$626,MATCH($A35,'Исходник'!$T:$T,0),MATCH(L$1,'Исходник'!$1:$1,0)))</f>
        <v/>
      </c>
      <c r="M35" s="28">
        <f t="shared" si="4"/>
        <v>0</v>
      </c>
      <c r="N35" s="1" t="str">
        <f t="array" ref="N35">IFERROR(INDEX('Исходник'!$1:$626,MATCH($A35,'Исходник'!$T:$T,0),MATCH(N$1,'Исходник'!$1:$1,0)))</f>
        <v/>
      </c>
      <c r="O35" s="27">
        <f t="shared" si="5"/>
        <v>0</v>
      </c>
      <c r="P35" s="27" t="str">
        <f t="shared" si="6"/>
        <v/>
      </c>
      <c r="Q35" s="1" t="str">
        <f t="array" ref="Q35">IFERROR(INDEX('Исходник'!$1:$626,MATCH($A35,'Исходник'!$T:$T,0),MATCH(Q$1,'Исходник'!$1:$1,0)))</f>
        <v/>
      </c>
      <c r="R35" s="1" t="str">
        <f t="array" ref="R35">IFERROR(INDEX('Исходник'!$1:$626,MATCH($A35,'Исходник'!$T:$T,0),MATCH(R$1,'Исходник'!$1:$1,0)))</f>
        <v/>
      </c>
      <c r="S35" s="27">
        <f t="shared" si="7"/>
        <v>0</v>
      </c>
      <c r="T35" s="27" t="str">
        <f t="shared" si="8"/>
        <v/>
      </c>
      <c r="U35" s="1" t="str">
        <f t="array" ref="U35">IFERROR(INDEX('Исходник'!$1:$626,MATCH($A35,'Исходник'!$T:$T,0),MATCH(U$1,'Исходник'!$1:$1,0)))</f>
        <v/>
      </c>
      <c r="V35" s="27" t="str">
        <f t="shared" si="9"/>
        <v/>
      </c>
      <c r="W35" s="1" t="str">
        <f t="array" ref="W35">IFERROR(INDEX('Исходник'!$1:$626,MATCH($A35,'Исходник'!$T:$T,0),MATCH(W$1,'Исходник'!$1:$1,0)))</f>
        <v/>
      </c>
      <c r="X35" s="28">
        <f t="shared" si="10"/>
        <v>0</v>
      </c>
      <c r="Y35" s="1" t="str">
        <f t="array" ref="Y35">IFERROR(INDEX('Исходник'!$1:$626,MATCH($A35,'Исходник'!$T:$T,0),MATCH(Y$1,'Исходник'!$1:$1,0)))</f>
        <v/>
      </c>
      <c r="Z35" s="27">
        <f t="shared" si="11"/>
        <v>0</v>
      </c>
      <c r="AA35" s="27" t="str">
        <f t="shared" si="12"/>
        <v/>
      </c>
      <c r="AB35" s="1" t="str">
        <f t="array" ref="AB35">IFERROR(INDEX('Исходник'!$1:$626,MATCH($A35,'Исходник'!$T:$T,0),MATCH(AB$1,'Исходник'!$1:$1,0)))</f>
        <v/>
      </c>
      <c r="AC35" s="1" t="str">
        <f t="array" ref="AC35">IFERROR(INDEX('Исходник'!$1:$626,MATCH($A35,'Исходник'!$T:$T,0),MATCH(AC$1,'Исходник'!$1:$1,0)))</f>
        <v/>
      </c>
      <c r="AD35" s="27" t="str">
        <f t="shared" si="13"/>
        <v/>
      </c>
      <c r="AE35" s="1" t="str">
        <f t="array" ref="AE35">IFERROR(INDEX('Исходник'!$1:$626,MATCH($A35,'Исходник'!$T:$T,0),MATCH(AE$1,'Исходник'!$1:$1,0)))</f>
        <v/>
      </c>
      <c r="AF35" s="1" t="str">
        <f t="array" ref="AF35">IFERROR(INDEX('Исходник'!$1:$626,MATCH($A35,'Исходник'!$T:$T,0),MATCH(AF$1,'Исходник'!$1:$1,0)))</f>
        <v/>
      </c>
      <c r="AG35" s="27" t="str">
        <f t="shared" si="14"/>
        <v/>
      </c>
      <c r="AH35" s="1" t="str">
        <f t="array" ref="AH35">IFERROR(INDEX('Исходник'!$1:$626,MATCH($A35,'Исходник'!$T:$T,0),MATCH(AH$1,'Исходник'!$1:$1,0)))</f>
        <v/>
      </c>
      <c r="AI35" s="1" t="str">
        <f t="array" ref="AI35">IFERROR(INDEX('Исходник'!$1:$626,MATCH($A35,'Исходник'!$T:$T,0),MATCH(AI$1,'Исходник'!$1:$1,0)))</f>
        <v/>
      </c>
      <c r="AJ35" s="18">
        <f t="shared" si="15"/>
        <v>0</v>
      </c>
      <c r="AL35" s="30"/>
    </row>
    <row r="36" ht="15.75" customHeight="1">
      <c r="A36" s="27"/>
      <c r="B36" s="1" t="str">
        <f t="array" ref="B36">IFERROR(INDEX('Исходник'!$1:$626,MATCH($A36,'Исходник'!$T:$T,0),MATCH(B$1,'Исходник'!$1:$1,0)))</f>
        <v/>
      </c>
      <c r="C36" s="1" t="str">
        <f t="array" ref="C36">IFERROR(INDEX('Исходник'!$1:$626,MATCH($A36,'Исходник'!$T:$T,0),MATCH(C$1,'Исходник'!$1:$1,0)))</f>
        <v/>
      </c>
      <c r="D36" s="1" t="str">
        <f t="array" ref="D36">IFERROR(INDEX('Исходник'!$1:$626,MATCH($A36,'Исходник'!$T:$T,0),MATCH(D$1,'Исходник'!$1:$1,0)))</f>
        <v/>
      </c>
      <c r="E36" s="1" t="str">
        <f t="array" ref="E36">IFERROR(INDEX('Исходник'!$1:$626,MATCH($A36,'Исходник'!$T:$T,0),MATCH(E$1,'Исходник'!$1:$1,0)))</f>
        <v/>
      </c>
      <c r="F36" s="1" t="str">
        <f t="array" ref="F36">IFERROR(INDEX('Исходник'!$1:$626,MATCH($A36,'Исходник'!$T:$T,0),MATCH(F$1,'Исходник'!$1:$1,0)))</f>
        <v/>
      </c>
      <c r="G36" s="1" t="str">
        <f t="array" ref="G36">IFERROR(INDEX('Исходник'!$1:$626,MATCH($A36,'Исходник'!$T:$T,0),MATCH(G$1,'Исходник'!$1:$1,0)))</f>
        <v/>
      </c>
      <c r="H36" s="27">
        <f t="shared" si="1"/>
        <v>0</v>
      </c>
      <c r="I36" s="27" t="str">
        <f t="shared" si="2"/>
        <v/>
      </c>
      <c r="J36" s="1" t="str">
        <f t="array" ref="J36">IFERROR(INDEX('Исходник'!$1:$626,MATCH($A36,'Исходник'!$T:$T,0),MATCH(J$1,'Исходник'!$1:$1,0)))</f>
        <v/>
      </c>
      <c r="K36" s="27" t="str">
        <f t="shared" si="3"/>
        <v/>
      </c>
      <c r="L36" s="1" t="str">
        <f t="array" ref="L36">IFERROR(INDEX('Исходник'!$1:$626,MATCH($A36,'Исходник'!$T:$T,0),MATCH(L$1,'Исходник'!$1:$1,0)))</f>
        <v/>
      </c>
      <c r="M36" s="28">
        <f t="shared" si="4"/>
        <v>0</v>
      </c>
      <c r="N36" s="1" t="str">
        <f t="array" ref="N36">IFERROR(INDEX('Исходник'!$1:$626,MATCH($A36,'Исходник'!$T:$T,0),MATCH(N$1,'Исходник'!$1:$1,0)))</f>
        <v/>
      </c>
      <c r="O36" s="27">
        <f t="shared" si="5"/>
        <v>0</v>
      </c>
      <c r="P36" s="27" t="str">
        <f t="shared" si="6"/>
        <v/>
      </c>
      <c r="Q36" s="1" t="str">
        <f t="array" ref="Q36">IFERROR(INDEX('Исходник'!$1:$626,MATCH($A36,'Исходник'!$T:$T,0),MATCH(Q$1,'Исходник'!$1:$1,0)))</f>
        <v/>
      </c>
      <c r="R36" s="1" t="str">
        <f t="array" ref="R36">IFERROR(INDEX('Исходник'!$1:$626,MATCH($A36,'Исходник'!$T:$T,0),MATCH(R$1,'Исходник'!$1:$1,0)))</f>
        <v/>
      </c>
      <c r="S36" s="27">
        <f t="shared" si="7"/>
        <v>0</v>
      </c>
      <c r="T36" s="27" t="str">
        <f t="shared" si="8"/>
        <v/>
      </c>
      <c r="U36" s="1" t="str">
        <f t="array" ref="U36">IFERROR(INDEX('Исходник'!$1:$626,MATCH($A36,'Исходник'!$T:$T,0),MATCH(U$1,'Исходник'!$1:$1,0)))</f>
        <v/>
      </c>
      <c r="V36" s="27" t="str">
        <f t="shared" si="9"/>
        <v/>
      </c>
      <c r="W36" s="1" t="str">
        <f t="array" ref="W36">IFERROR(INDEX('Исходник'!$1:$626,MATCH($A36,'Исходник'!$T:$T,0),MATCH(W$1,'Исходник'!$1:$1,0)))</f>
        <v/>
      </c>
      <c r="X36" s="28">
        <f t="shared" si="10"/>
        <v>0</v>
      </c>
      <c r="Y36" s="1" t="str">
        <f t="array" ref="Y36">IFERROR(INDEX('Исходник'!$1:$626,MATCH($A36,'Исходник'!$T:$T,0),MATCH(Y$1,'Исходник'!$1:$1,0)))</f>
        <v/>
      </c>
      <c r="Z36" s="27">
        <f t="shared" si="11"/>
        <v>0</v>
      </c>
      <c r="AA36" s="27" t="str">
        <f t="shared" si="12"/>
        <v/>
      </c>
      <c r="AB36" s="1" t="str">
        <f t="array" ref="AB36">IFERROR(INDEX('Исходник'!$1:$626,MATCH($A36,'Исходник'!$T:$T,0),MATCH(AB$1,'Исходник'!$1:$1,0)))</f>
        <v/>
      </c>
      <c r="AC36" s="1" t="str">
        <f t="array" ref="AC36">IFERROR(INDEX('Исходник'!$1:$626,MATCH($A36,'Исходник'!$T:$T,0),MATCH(AC$1,'Исходник'!$1:$1,0)))</f>
        <v/>
      </c>
      <c r="AD36" s="27" t="str">
        <f t="shared" si="13"/>
        <v/>
      </c>
      <c r="AE36" s="1" t="str">
        <f t="array" ref="AE36">IFERROR(INDEX('Исходник'!$1:$626,MATCH($A36,'Исходник'!$T:$T,0),MATCH(AE$1,'Исходник'!$1:$1,0)))</f>
        <v/>
      </c>
      <c r="AF36" s="1" t="str">
        <f t="array" ref="AF36">IFERROR(INDEX('Исходник'!$1:$626,MATCH($A36,'Исходник'!$T:$T,0),MATCH(AF$1,'Исходник'!$1:$1,0)))</f>
        <v/>
      </c>
      <c r="AG36" s="27" t="str">
        <f t="shared" si="14"/>
        <v/>
      </c>
      <c r="AH36" s="1" t="str">
        <f t="array" ref="AH36">IFERROR(INDEX('Исходник'!$1:$626,MATCH($A36,'Исходник'!$T:$T,0),MATCH(AH$1,'Исходник'!$1:$1,0)))</f>
        <v/>
      </c>
      <c r="AI36" s="1" t="str">
        <f t="array" ref="AI36">IFERROR(INDEX('Исходник'!$1:$626,MATCH($A36,'Исходник'!$T:$T,0),MATCH(AI$1,'Исходник'!$1:$1,0)))</f>
        <v/>
      </c>
      <c r="AJ36" s="18">
        <f t="shared" si="15"/>
        <v>0</v>
      </c>
      <c r="AL36" s="30"/>
    </row>
    <row r="37" ht="15.75" customHeight="1">
      <c r="A37" s="27"/>
      <c r="B37" s="1" t="str">
        <f t="array" ref="B37">IFERROR(INDEX('Исходник'!$1:$626,MATCH($A37,'Исходник'!$T:$T,0),MATCH(B$1,'Исходник'!$1:$1,0)))</f>
        <v/>
      </c>
      <c r="C37" s="1" t="str">
        <f t="array" ref="C37">IFERROR(INDEX('Исходник'!$1:$626,MATCH($A37,'Исходник'!$T:$T,0),MATCH(C$1,'Исходник'!$1:$1,0)))</f>
        <v/>
      </c>
      <c r="D37" s="1" t="str">
        <f t="array" ref="D37">IFERROR(INDEX('Исходник'!$1:$626,MATCH($A37,'Исходник'!$T:$T,0),MATCH(D$1,'Исходник'!$1:$1,0)))</f>
        <v/>
      </c>
      <c r="E37" s="1" t="str">
        <f t="array" ref="E37">IFERROR(INDEX('Исходник'!$1:$626,MATCH($A37,'Исходник'!$T:$T,0),MATCH(E$1,'Исходник'!$1:$1,0)))</f>
        <v/>
      </c>
      <c r="F37" s="1" t="str">
        <f t="array" ref="F37">IFERROR(INDEX('Исходник'!$1:$626,MATCH($A37,'Исходник'!$T:$T,0),MATCH(F$1,'Исходник'!$1:$1,0)))</f>
        <v/>
      </c>
      <c r="G37" s="1" t="str">
        <f t="array" ref="G37">IFERROR(INDEX('Исходник'!$1:$626,MATCH($A37,'Исходник'!$T:$T,0),MATCH(G$1,'Исходник'!$1:$1,0)))</f>
        <v/>
      </c>
      <c r="H37" s="27">
        <f t="shared" si="1"/>
        <v>0</v>
      </c>
      <c r="I37" s="27" t="str">
        <f t="shared" si="2"/>
        <v/>
      </c>
      <c r="J37" s="1" t="str">
        <f t="array" ref="J37">IFERROR(INDEX('Исходник'!$1:$626,MATCH($A37,'Исходник'!$T:$T,0),MATCH(J$1,'Исходник'!$1:$1,0)))</f>
        <v/>
      </c>
      <c r="K37" s="27" t="str">
        <f t="shared" si="3"/>
        <v/>
      </c>
      <c r="L37" s="1" t="str">
        <f t="array" ref="L37">IFERROR(INDEX('Исходник'!$1:$626,MATCH($A37,'Исходник'!$T:$T,0),MATCH(L$1,'Исходник'!$1:$1,0)))</f>
        <v/>
      </c>
      <c r="M37" s="28">
        <f t="shared" si="4"/>
        <v>0</v>
      </c>
      <c r="N37" s="1" t="str">
        <f t="array" ref="N37">IFERROR(INDEX('Исходник'!$1:$626,MATCH($A37,'Исходник'!$T:$T,0),MATCH(N$1,'Исходник'!$1:$1,0)))</f>
        <v/>
      </c>
      <c r="O37" s="27">
        <f t="shared" si="5"/>
        <v>0</v>
      </c>
      <c r="P37" s="27" t="str">
        <f t="shared" si="6"/>
        <v/>
      </c>
      <c r="Q37" s="1" t="str">
        <f t="array" ref="Q37">IFERROR(INDEX('Исходник'!$1:$626,MATCH($A37,'Исходник'!$T:$T,0),MATCH(Q$1,'Исходник'!$1:$1,0)))</f>
        <v/>
      </c>
      <c r="R37" s="1" t="str">
        <f t="array" ref="R37">IFERROR(INDEX('Исходник'!$1:$626,MATCH($A37,'Исходник'!$T:$T,0),MATCH(R$1,'Исходник'!$1:$1,0)))</f>
        <v/>
      </c>
      <c r="S37" s="27">
        <f t="shared" si="7"/>
        <v>0</v>
      </c>
      <c r="T37" s="27" t="str">
        <f t="shared" si="8"/>
        <v/>
      </c>
      <c r="U37" s="1" t="str">
        <f t="array" ref="U37">IFERROR(INDEX('Исходник'!$1:$626,MATCH($A37,'Исходник'!$T:$T,0),MATCH(U$1,'Исходник'!$1:$1,0)))</f>
        <v/>
      </c>
      <c r="V37" s="27" t="str">
        <f t="shared" si="9"/>
        <v/>
      </c>
      <c r="W37" s="1" t="str">
        <f t="array" ref="W37">IFERROR(INDEX('Исходник'!$1:$626,MATCH($A37,'Исходник'!$T:$T,0),MATCH(W$1,'Исходник'!$1:$1,0)))</f>
        <v/>
      </c>
      <c r="X37" s="28">
        <f t="shared" si="10"/>
        <v>0</v>
      </c>
      <c r="Y37" s="1" t="str">
        <f t="array" ref="Y37">IFERROR(INDEX('Исходник'!$1:$626,MATCH($A37,'Исходник'!$T:$T,0),MATCH(Y$1,'Исходник'!$1:$1,0)))</f>
        <v/>
      </c>
      <c r="Z37" s="27">
        <f t="shared" si="11"/>
        <v>0</v>
      </c>
      <c r="AA37" s="27" t="str">
        <f t="shared" si="12"/>
        <v/>
      </c>
      <c r="AB37" s="1" t="str">
        <f t="array" ref="AB37">IFERROR(INDEX('Исходник'!$1:$626,MATCH($A37,'Исходник'!$T:$T,0),MATCH(AB$1,'Исходник'!$1:$1,0)))</f>
        <v/>
      </c>
      <c r="AC37" s="1" t="str">
        <f t="array" ref="AC37">IFERROR(INDEX('Исходник'!$1:$626,MATCH($A37,'Исходник'!$T:$T,0),MATCH(AC$1,'Исходник'!$1:$1,0)))</f>
        <v/>
      </c>
      <c r="AD37" s="27" t="str">
        <f t="shared" si="13"/>
        <v/>
      </c>
      <c r="AE37" s="1" t="str">
        <f t="array" ref="AE37">IFERROR(INDEX('Исходник'!$1:$626,MATCH($A37,'Исходник'!$T:$T,0),MATCH(AE$1,'Исходник'!$1:$1,0)))</f>
        <v/>
      </c>
      <c r="AF37" s="1" t="str">
        <f t="array" ref="AF37">IFERROR(INDEX('Исходник'!$1:$626,MATCH($A37,'Исходник'!$T:$T,0),MATCH(AF$1,'Исходник'!$1:$1,0)))</f>
        <v/>
      </c>
      <c r="AG37" s="27" t="str">
        <f t="shared" si="14"/>
        <v/>
      </c>
      <c r="AH37" s="1" t="str">
        <f t="array" ref="AH37">IFERROR(INDEX('Исходник'!$1:$626,MATCH($A37,'Исходник'!$T:$T,0),MATCH(AH$1,'Исходник'!$1:$1,0)))</f>
        <v/>
      </c>
      <c r="AI37" s="1" t="str">
        <f t="array" ref="AI37">IFERROR(INDEX('Исходник'!$1:$626,MATCH($A37,'Исходник'!$T:$T,0),MATCH(AI$1,'Исходник'!$1:$1,0)))</f>
        <v/>
      </c>
      <c r="AJ37" s="18">
        <f t="shared" si="15"/>
        <v>0</v>
      </c>
      <c r="AL37" s="30"/>
    </row>
    <row r="38" ht="15.75" customHeight="1">
      <c r="A38" s="27"/>
      <c r="B38" s="1" t="str">
        <f t="array" ref="B38">IFERROR(INDEX('Исходник'!$1:$626,MATCH($A38,'Исходник'!$T:$T,0),MATCH(B$1,'Исходник'!$1:$1,0)))</f>
        <v/>
      </c>
      <c r="C38" s="1" t="str">
        <f t="array" ref="C38">IFERROR(INDEX('Исходник'!$1:$626,MATCH($A38,'Исходник'!$T:$T,0),MATCH(C$1,'Исходник'!$1:$1,0)))</f>
        <v/>
      </c>
      <c r="D38" s="1" t="str">
        <f t="array" ref="D38">IFERROR(INDEX('Исходник'!$1:$626,MATCH($A38,'Исходник'!$T:$T,0),MATCH(D$1,'Исходник'!$1:$1,0)))</f>
        <v/>
      </c>
      <c r="E38" s="1" t="str">
        <f t="array" ref="E38">IFERROR(INDEX('Исходник'!$1:$626,MATCH($A38,'Исходник'!$T:$T,0),MATCH(E$1,'Исходник'!$1:$1,0)))</f>
        <v/>
      </c>
      <c r="F38" s="1" t="str">
        <f t="array" ref="F38">IFERROR(INDEX('Исходник'!$1:$626,MATCH($A38,'Исходник'!$T:$T,0),MATCH(F$1,'Исходник'!$1:$1,0)))</f>
        <v/>
      </c>
      <c r="G38" s="1" t="str">
        <f t="array" ref="G38">IFERROR(INDEX('Исходник'!$1:$626,MATCH($A38,'Исходник'!$T:$T,0),MATCH(G$1,'Исходник'!$1:$1,0)))</f>
        <v/>
      </c>
      <c r="H38" s="27">
        <f t="shared" si="1"/>
        <v>0</v>
      </c>
      <c r="I38" s="27" t="str">
        <f t="shared" si="2"/>
        <v/>
      </c>
      <c r="J38" s="1" t="str">
        <f t="array" ref="J38">IFERROR(INDEX('Исходник'!$1:$626,MATCH($A38,'Исходник'!$T:$T,0),MATCH(J$1,'Исходник'!$1:$1,0)))</f>
        <v/>
      </c>
      <c r="K38" s="27" t="str">
        <f t="shared" si="3"/>
        <v/>
      </c>
      <c r="L38" s="1" t="str">
        <f t="array" ref="L38">IFERROR(INDEX('Исходник'!$1:$626,MATCH($A38,'Исходник'!$T:$T,0),MATCH(L$1,'Исходник'!$1:$1,0)))</f>
        <v/>
      </c>
      <c r="M38" s="28">
        <f t="shared" si="4"/>
        <v>0</v>
      </c>
      <c r="N38" s="1" t="str">
        <f t="array" ref="N38">IFERROR(INDEX('Исходник'!$1:$626,MATCH($A38,'Исходник'!$T:$T,0),MATCH(N$1,'Исходник'!$1:$1,0)))</f>
        <v/>
      </c>
      <c r="O38" s="27">
        <f t="shared" si="5"/>
        <v>0</v>
      </c>
      <c r="P38" s="27" t="str">
        <f t="shared" si="6"/>
        <v/>
      </c>
      <c r="Q38" s="1" t="str">
        <f t="array" ref="Q38">IFERROR(INDEX('Исходник'!$1:$626,MATCH($A38,'Исходник'!$T:$T,0),MATCH(Q$1,'Исходник'!$1:$1,0)))</f>
        <v/>
      </c>
      <c r="R38" s="1" t="str">
        <f t="array" ref="R38">IFERROR(INDEX('Исходник'!$1:$626,MATCH($A38,'Исходник'!$T:$T,0),MATCH(R$1,'Исходник'!$1:$1,0)))</f>
        <v/>
      </c>
      <c r="S38" s="27">
        <f t="shared" si="7"/>
        <v>0</v>
      </c>
      <c r="T38" s="27" t="str">
        <f t="shared" si="8"/>
        <v/>
      </c>
      <c r="U38" s="1" t="str">
        <f t="array" ref="U38">IFERROR(INDEX('Исходник'!$1:$626,MATCH($A38,'Исходник'!$T:$T,0),MATCH(U$1,'Исходник'!$1:$1,0)))</f>
        <v/>
      </c>
      <c r="V38" s="27" t="str">
        <f t="shared" si="9"/>
        <v/>
      </c>
      <c r="W38" s="1" t="str">
        <f t="array" ref="W38">IFERROR(INDEX('Исходник'!$1:$626,MATCH($A38,'Исходник'!$T:$T,0),MATCH(W$1,'Исходник'!$1:$1,0)))</f>
        <v/>
      </c>
      <c r="X38" s="28">
        <f t="shared" si="10"/>
        <v>0</v>
      </c>
      <c r="Y38" s="1" t="str">
        <f t="array" ref="Y38">IFERROR(INDEX('Исходник'!$1:$626,MATCH($A38,'Исходник'!$T:$T,0),MATCH(Y$1,'Исходник'!$1:$1,0)))</f>
        <v/>
      </c>
      <c r="Z38" s="27">
        <f t="shared" si="11"/>
        <v>0</v>
      </c>
      <c r="AA38" s="27" t="str">
        <f t="shared" si="12"/>
        <v/>
      </c>
      <c r="AB38" s="1" t="str">
        <f t="array" ref="AB38">IFERROR(INDEX('Исходник'!$1:$626,MATCH($A38,'Исходник'!$T:$T,0),MATCH(AB$1,'Исходник'!$1:$1,0)))</f>
        <v/>
      </c>
      <c r="AC38" s="1" t="str">
        <f t="array" ref="AC38">IFERROR(INDEX('Исходник'!$1:$626,MATCH($A38,'Исходник'!$T:$T,0),MATCH(AC$1,'Исходник'!$1:$1,0)))</f>
        <v/>
      </c>
      <c r="AD38" s="27" t="str">
        <f t="shared" si="13"/>
        <v/>
      </c>
      <c r="AE38" s="1" t="str">
        <f t="array" ref="AE38">IFERROR(INDEX('Исходник'!$1:$626,MATCH($A38,'Исходник'!$T:$T,0),MATCH(AE$1,'Исходник'!$1:$1,0)))</f>
        <v/>
      </c>
      <c r="AF38" s="1" t="str">
        <f t="array" ref="AF38">IFERROR(INDEX('Исходник'!$1:$626,MATCH($A38,'Исходник'!$T:$T,0),MATCH(AF$1,'Исходник'!$1:$1,0)))</f>
        <v/>
      </c>
      <c r="AG38" s="27" t="str">
        <f t="shared" si="14"/>
        <v/>
      </c>
      <c r="AH38" s="1" t="str">
        <f t="array" ref="AH38">IFERROR(INDEX('Исходник'!$1:$626,MATCH($A38,'Исходник'!$T:$T,0),MATCH(AH$1,'Исходник'!$1:$1,0)))</f>
        <v/>
      </c>
      <c r="AI38" s="1" t="str">
        <f t="array" ref="AI38">IFERROR(INDEX('Исходник'!$1:$626,MATCH($A38,'Исходник'!$T:$T,0),MATCH(AI$1,'Исходник'!$1:$1,0)))</f>
        <v/>
      </c>
      <c r="AJ38" s="18">
        <f t="shared" si="15"/>
        <v>0</v>
      </c>
      <c r="AL38" s="30"/>
    </row>
    <row r="39" ht="15.75" customHeight="1">
      <c r="A39" s="27"/>
      <c r="B39" s="1" t="str">
        <f t="array" ref="B39">IFERROR(INDEX('Исходник'!$1:$626,MATCH($A39,'Исходник'!$T:$T,0),MATCH(B$1,'Исходник'!$1:$1,0)))</f>
        <v/>
      </c>
      <c r="C39" s="1" t="str">
        <f t="array" ref="C39">IFERROR(INDEX('Исходник'!$1:$626,MATCH($A39,'Исходник'!$T:$T,0),MATCH(C$1,'Исходник'!$1:$1,0)))</f>
        <v/>
      </c>
      <c r="D39" s="1" t="str">
        <f t="array" ref="D39">IFERROR(INDEX('Исходник'!$1:$626,MATCH($A39,'Исходник'!$T:$T,0),MATCH(D$1,'Исходник'!$1:$1,0)))</f>
        <v/>
      </c>
      <c r="E39" s="1" t="str">
        <f t="array" ref="E39">IFERROR(INDEX('Исходник'!$1:$626,MATCH($A39,'Исходник'!$T:$T,0),MATCH(E$1,'Исходник'!$1:$1,0)))</f>
        <v/>
      </c>
      <c r="F39" s="1" t="str">
        <f t="array" ref="F39">IFERROR(INDEX('Исходник'!$1:$626,MATCH($A39,'Исходник'!$T:$T,0),MATCH(F$1,'Исходник'!$1:$1,0)))</f>
        <v/>
      </c>
      <c r="G39" s="1" t="str">
        <f t="array" ref="G39">IFERROR(INDEX('Исходник'!$1:$626,MATCH($A39,'Исходник'!$T:$T,0),MATCH(G$1,'Исходник'!$1:$1,0)))</f>
        <v/>
      </c>
      <c r="H39" s="27">
        <f t="shared" si="1"/>
        <v>0</v>
      </c>
      <c r="I39" s="27" t="str">
        <f t="shared" si="2"/>
        <v/>
      </c>
      <c r="J39" s="1" t="str">
        <f t="array" ref="J39">IFERROR(INDEX('Исходник'!$1:$626,MATCH($A39,'Исходник'!$T:$T,0),MATCH(J$1,'Исходник'!$1:$1,0)))</f>
        <v/>
      </c>
      <c r="K39" s="27" t="str">
        <f t="shared" si="3"/>
        <v/>
      </c>
      <c r="L39" s="1" t="str">
        <f t="array" ref="L39">IFERROR(INDEX('Исходник'!$1:$626,MATCH($A39,'Исходник'!$T:$T,0),MATCH(L$1,'Исходник'!$1:$1,0)))</f>
        <v/>
      </c>
      <c r="M39" s="28">
        <f t="shared" si="4"/>
        <v>0</v>
      </c>
      <c r="N39" s="1" t="str">
        <f t="array" ref="N39">IFERROR(INDEX('Исходник'!$1:$626,MATCH($A39,'Исходник'!$T:$T,0),MATCH(N$1,'Исходник'!$1:$1,0)))</f>
        <v/>
      </c>
      <c r="O39" s="27">
        <f t="shared" si="5"/>
        <v>0</v>
      </c>
      <c r="P39" s="27" t="str">
        <f t="shared" si="6"/>
        <v/>
      </c>
      <c r="Q39" s="1" t="str">
        <f t="array" ref="Q39">IFERROR(INDEX('Исходник'!$1:$626,MATCH($A39,'Исходник'!$T:$T,0),MATCH(Q$1,'Исходник'!$1:$1,0)))</f>
        <v/>
      </c>
      <c r="R39" s="1" t="str">
        <f t="array" ref="R39">IFERROR(INDEX('Исходник'!$1:$626,MATCH($A39,'Исходник'!$T:$T,0),MATCH(R$1,'Исходник'!$1:$1,0)))</f>
        <v/>
      </c>
      <c r="S39" s="27">
        <f t="shared" si="7"/>
        <v>0</v>
      </c>
      <c r="T39" s="27" t="str">
        <f t="shared" si="8"/>
        <v/>
      </c>
      <c r="U39" s="1" t="str">
        <f t="array" ref="U39">IFERROR(INDEX('Исходник'!$1:$626,MATCH($A39,'Исходник'!$T:$T,0),MATCH(U$1,'Исходник'!$1:$1,0)))</f>
        <v/>
      </c>
      <c r="V39" s="27" t="str">
        <f t="shared" si="9"/>
        <v/>
      </c>
      <c r="W39" s="1" t="str">
        <f t="array" ref="W39">IFERROR(INDEX('Исходник'!$1:$626,MATCH($A39,'Исходник'!$T:$T,0),MATCH(W$1,'Исходник'!$1:$1,0)))</f>
        <v/>
      </c>
      <c r="X39" s="28">
        <f t="shared" si="10"/>
        <v>0</v>
      </c>
      <c r="Y39" s="1" t="str">
        <f t="array" ref="Y39">IFERROR(INDEX('Исходник'!$1:$626,MATCH($A39,'Исходник'!$T:$T,0),MATCH(Y$1,'Исходник'!$1:$1,0)))</f>
        <v/>
      </c>
      <c r="Z39" s="27">
        <f t="shared" si="11"/>
        <v>0</v>
      </c>
      <c r="AA39" s="27" t="str">
        <f t="shared" si="12"/>
        <v/>
      </c>
      <c r="AB39" s="1" t="str">
        <f t="array" ref="AB39">IFERROR(INDEX('Исходник'!$1:$626,MATCH($A39,'Исходник'!$T:$T,0),MATCH(AB$1,'Исходник'!$1:$1,0)))</f>
        <v/>
      </c>
      <c r="AC39" s="1" t="str">
        <f t="array" ref="AC39">IFERROR(INDEX('Исходник'!$1:$626,MATCH($A39,'Исходник'!$T:$T,0),MATCH(AC$1,'Исходник'!$1:$1,0)))</f>
        <v/>
      </c>
      <c r="AD39" s="27" t="str">
        <f t="shared" si="13"/>
        <v/>
      </c>
      <c r="AE39" s="1" t="str">
        <f t="array" ref="AE39">IFERROR(INDEX('Исходник'!$1:$626,MATCH($A39,'Исходник'!$T:$T,0),MATCH(AE$1,'Исходник'!$1:$1,0)))</f>
        <v/>
      </c>
      <c r="AF39" s="1" t="str">
        <f t="array" ref="AF39">IFERROR(INDEX('Исходник'!$1:$626,MATCH($A39,'Исходник'!$T:$T,0),MATCH(AF$1,'Исходник'!$1:$1,0)))</f>
        <v/>
      </c>
      <c r="AG39" s="27" t="str">
        <f t="shared" si="14"/>
        <v/>
      </c>
      <c r="AH39" s="1" t="str">
        <f t="array" ref="AH39">IFERROR(INDEX('Исходник'!$1:$626,MATCH($A39,'Исходник'!$T:$T,0),MATCH(AH$1,'Исходник'!$1:$1,0)))</f>
        <v/>
      </c>
      <c r="AI39" s="1" t="str">
        <f t="array" ref="AI39">IFERROR(INDEX('Исходник'!$1:$626,MATCH($A39,'Исходник'!$T:$T,0),MATCH(AI$1,'Исходник'!$1:$1,0)))</f>
        <v/>
      </c>
      <c r="AJ39" s="18">
        <f t="shared" si="15"/>
        <v>0</v>
      </c>
      <c r="AL39" s="30"/>
    </row>
    <row r="40" ht="15.75" customHeight="1">
      <c r="A40" s="27"/>
      <c r="B40" s="1" t="str">
        <f t="array" ref="B40">IFERROR(INDEX('Исходник'!$1:$626,MATCH($A40,'Исходник'!$T:$T,0),MATCH(B$1,'Исходник'!$1:$1,0)))</f>
        <v/>
      </c>
      <c r="C40" s="1" t="str">
        <f t="array" ref="C40">IFERROR(INDEX('Исходник'!$1:$626,MATCH($A40,'Исходник'!$T:$T,0),MATCH(C$1,'Исходник'!$1:$1,0)))</f>
        <v/>
      </c>
      <c r="D40" s="1" t="str">
        <f t="array" ref="D40">IFERROR(INDEX('Исходник'!$1:$626,MATCH($A40,'Исходник'!$T:$T,0),MATCH(D$1,'Исходник'!$1:$1,0)))</f>
        <v/>
      </c>
      <c r="E40" s="1" t="str">
        <f t="array" ref="E40">IFERROR(INDEX('Исходник'!$1:$626,MATCH($A40,'Исходник'!$T:$T,0),MATCH(E$1,'Исходник'!$1:$1,0)))</f>
        <v/>
      </c>
      <c r="F40" s="1" t="str">
        <f t="array" ref="F40">IFERROR(INDEX('Исходник'!$1:$626,MATCH($A40,'Исходник'!$T:$T,0),MATCH(F$1,'Исходник'!$1:$1,0)))</f>
        <v/>
      </c>
      <c r="G40" s="1" t="str">
        <f t="array" ref="G40">IFERROR(INDEX('Исходник'!$1:$626,MATCH($A40,'Исходник'!$T:$T,0),MATCH(G$1,'Исходник'!$1:$1,0)))</f>
        <v/>
      </c>
      <c r="H40" s="27">
        <f t="shared" si="1"/>
        <v>0</v>
      </c>
      <c r="I40" s="27" t="str">
        <f t="shared" si="2"/>
        <v/>
      </c>
      <c r="J40" s="1" t="str">
        <f t="array" ref="J40">IFERROR(INDEX('Исходник'!$1:$626,MATCH($A40,'Исходник'!$T:$T,0),MATCH(J$1,'Исходник'!$1:$1,0)))</f>
        <v/>
      </c>
      <c r="K40" s="27" t="str">
        <f t="shared" si="3"/>
        <v/>
      </c>
      <c r="L40" s="1" t="str">
        <f t="array" ref="L40">IFERROR(INDEX('Исходник'!$1:$626,MATCH($A40,'Исходник'!$T:$T,0),MATCH(L$1,'Исходник'!$1:$1,0)))</f>
        <v/>
      </c>
      <c r="M40" s="28">
        <f t="shared" si="4"/>
        <v>0</v>
      </c>
      <c r="N40" s="1" t="str">
        <f t="array" ref="N40">IFERROR(INDEX('Исходник'!$1:$626,MATCH($A40,'Исходник'!$T:$T,0),MATCH(N$1,'Исходник'!$1:$1,0)))</f>
        <v/>
      </c>
      <c r="O40" s="27">
        <f t="shared" si="5"/>
        <v>0</v>
      </c>
      <c r="P40" s="27" t="str">
        <f t="shared" si="6"/>
        <v/>
      </c>
      <c r="Q40" s="1" t="str">
        <f t="array" ref="Q40">IFERROR(INDEX('Исходник'!$1:$626,MATCH($A40,'Исходник'!$T:$T,0),MATCH(Q$1,'Исходник'!$1:$1,0)))</f>
        <v/>
      </c>
      <c r="R40" s="1" t="str">
        <f t="array" ref="R40">IFERROR(INDEX('Исходник'!$1:$626,MATCH($A40,'Исходник'!$T:$T,0),MATCH(R$1,'Исходник'!$1:$1,0)))</f>
        <v/>
      </c>
      <c r="S40" s="27">
        <f t="shared" si="7"/>
        <v>0</v>
      </c>
      <c r="T40" s="27" t="str">
        <f t="shared" si="8"/>
        <v/>
      </c>
      <c r="U40" s="1" t="str">
        <f t="array" ref="U40">IFERROR(INDEX('Исходник'!$1:$626,MATCH($A40,'Исходник'!$T:$T,0),MATCH(U$1,'Исходник'!$1:$1,0)))</f>
        <v/>
      </c>
      <c r="V40" s="27" t="str">
        <f t="shared" si="9"/>
        <v/>
      </c>
      <c r="W40" s="1" t="str">
        <f t="array" ref="W40">IFERROR(INDEX('Исходник'!$1:$626,MATCH($A40,'Исходник'!$T:$T,0),MATCH(W$1,'Исходник'!$1:$1,0)))</f>
        <v/>
      </c>
      <c r="X40" s="28">
        <f t="shared" si="10"/>
        <v>0</v>
      </c>
      <c r="Y40" s="1" t="str">
        <f t="array" ref="Y40">IFERROR(INDEX('Исходник'!$1:$626,MATCH($A40,'Исходник'!$T:$T,0),MATCH(Y$1,'Исходник'!$1:$1,0)))</f>
        <v/>
      </c>
      <c r="Z40" s="27">
        <f t="shared" si="11"/>
        <v>0</v>
      </c>
      <c r="AA40" s="27" t="str">
        <f t="shared" si="12"/>
        <v/>
      </c>
      <c r="AB40" s="1" t="str">
        <f t="array" ref="AB40">IFERROR(INDEX('Исходник'!$1:$626,MATCH($A40,'Исходник'!$T:$T,0),MATCH(AB$1,'Исходник'!$1:$1,0)))</f>
        <v/>
      </c>
      <c r="AC40" s="1" t="str">
        <f t="array" ref="AC40">IFERROR(INDEX('Исходник'!$1:$626,MATCH($A40,'Исходник'!$T:$T,0),MATCH(AC$1,'Исходник'!$1:$1,0)))</f>
        <v/>
      </c>
      <c r="AD40" s="27" t="str">
        <f t="shared" si="13"/>
        <v/>
      </c>
      <c r="AE40" s="1" t="str">
        <f t="array" ref="AE40">IFERROR(INDEX('Исходник'!$1:$626,MATCH($A40,'Исходник'!$T:$T,0),MATCH(AE$1,'Исходник'!$1:$1,0)))</f>
        <v/>
      </c>
      <c r="AF40" s="1" t="str">
        <f t="array" ref="AF40">IFERROR(INDEX('Исходник'!$1:$626,MATCH($A40,'Исходник'!$T:$T,0),MATCH(AF$1,'Исходник'!$1:$1,0)))</f>
        <v/>
      </c>
      <c r="AG40" s="27" t="str">
        <f t="shared" si="14"/>
        <v/>
      </c>
      <c r="AH40" s="1" t="str">
        <f t="array" ref="AH40">IFERROR(INDEX('Исходник'!$1:$626,MATCH($A40,'Исходник'!$T:$T,0),MATCH(AH$1,'Исходник'!$1:$1,0)))</f>
        <v/>
      </c>
      <c r="AI40" s="1" t="str">
        <f t="array" ref="AI40">IFERROR(INDEX('Исходник'!$1:$626,MATCH($A40,'Исходник'!$T:$T,0),MATCH(AI$1,'Исходник'!$1:$1,0)))</f>
        <v/>
      </c>
      <c r="AJ40" s="18">
        <f t="shared" si="15"/>
        <v>0</v>
      </c>
      <c r="AL40" s="30"/>
    </row>
    <row r="41" ht="15.75" customHeight="1">
      <c r="A41" s="27"/>
      <c r="B41" s="1" t="str">
        <f t="array" ref="B41">IFERROR(INDEX('Исходник'!$1:$626,MATCH($A41,'Исходник'!$T:$T,0),MATCH(B$1,'Исходник'!$1:$1,0)))</f>
        <v/>
      </c>
      <c r="C41" s="1" t="str">
        <f t="array" ref="C41">IFERROR(INDEX('Исходник'!$1:$626,MATCH($A41,'Исходник'!$T:$T,0),MATCH(C$1,'Исходник'!$1:$1,0)))</f>
        <v/>
      </c>
      <c r="D41" s="1" t="str">
        <f t="array" ref="D41">IFERROR(INDEX('Исходник'!$1:$626,MATCH($A41,'Исходник'!$T:$T,0),MATCH(D$1,'Исходник'!$1:$1,0)))</f>
        <v/>
      </c>
      <c r="E41" s="1" t="str">
        <f t="array" ref="E41">IFERROR(INDEX('Исходник'!$1:$626,MATCH($A41,'Исходник'!$T:$T,0),MATCH(E$1,'Исходник'!$1:$1,0)))</f>
        <v/>
      </c>
      <c r="F41" s="1" t="str">
        <f t="array" ref="F41">IFERROR(INDEX('Исходник'!$1:$626,MATCH($A41,'Исходник'!$T:$T,0),MATCH(F$1,'Исходник'!$1:$1,0)))</f>
        <v/>
      </c>
      <c r="G41" s="1" t="str">
        <f t="array" ref="G41">IFERROR(INDEX('Исходник'!$1:$626,MATCH($A41,'Исходник'!$T:$T,0),MATCH(G$1,'Исходник'!$1:$1,0)))</f>
        <v/>
      </c>
      <c r="H41" s="27">
        <f t="shared" si="1"/>
        <v>0</v>
      </c>
      <c r="I41" s="27" t="str">
        <f t="shared" si="2"/>
        <v/>
      </c>
      <c r="J41" s="1" t="str">
        <f t="array" ref="J41">IFERROR(INDEX('Исходник'!$1:$626,MATCH($A41,'Исходник'!$T:$T,0),MATCH(J$1,'Исходник'!$1:$1,0)))</f>
        <v/>
      </c>
      <c r="K41" s="27" t="str">
        <f t="shared" si="3"/>
        <v/>
      </c>
      <c r="L41" s="1" t="str">
        <f t="array" ref="L41">IFERROR(INDEX('Исходник'!$1:$626,MATCH($A41,'Исходник'!$T:$T,0),MATCH(L$1,'Исходник'!$1:$1,0)))</f>
        <v/>
      </c>
      <c r="M41" s="28">
        <f t="shared" si="4"/>
        <v>0</v>
      </c>
      <c r="N41" s="1" t="str">
        <f t="array" ref="N41">IFERROR(INDEX('Исходник'!$1:$626,MATCH($A41,'Исходник'!$T:$T,0),MATCH(N$1,'Исходник'!$1:$1,0)))</f>
        <v/>
      </c>
      <c r="O41" s="27">
        <f t="shared" si="5"/>
        <v>0</v>
      </c>
      <c r="P41" s="27" t="str">
        <f t="shared" si="6"/>
        <v/>
      </c>
      <c r="Q41" s="1" t="str">
        <f t="array" ref="Q41">IFERROR(INDEX('Исходник'!$1:$626,MATCH($A41,'Исходник'!$T:$T,0),MATCH(Q$1,'Исходник'!$1:$1,0)))</f>
        <v/>
      </c>
      <c r="R41" s="1" t="str">
        <f t="array" ref="R41">IFERROR(INDEX('Исходник'!$1:$626,MATCH($A41,'Исходник'!$T:$T,0),MATCH(R$1,'Исходник'!$1:$1,0)))</f>
        <v/>
      </c>
      <c r="S41" s="27">
        <f t="shared" si="7"/>
        <v>0</v>
      </c>
      <c r="T41" s="27" t="str">
        <f t="shared" si="8"/>
        <v/>
      </c>
      <c r="U41" s="1" t="str">
        <f t="array" ref="U41">IFERROR(INDEX('Исходник'!$1:$626,MATCH($A41,'Исходник'!$T:$T,0),MATCH(U$1,'Исходник'!$1:$1,0)))</f>
        <v/>
      </c>
      <c r="V41" s="27" t="str">
        <f t="shared" si="9"/>
        <v/>
      </c>
      <c r="W41" s="1" t="str">
        <f t="array" ref="W41">IFERROR(INDEX('Исходник'!$1:$626,MATCH($A41,'Исходник'!$T:$T,0),MATCH(W$1,'Исходник'!$1:$1,0)))</f>
        <v/>
      </c>
      <c r="X41" s="28">
        <f t="shared" si="10"/>
        <v>0</v>
      </c>
      <c r="Y41" s="1" t="str">
        <f t="array" ref="Y41">IFERROR(INDEX('Исходник'!$1:$626,MATCH($A41,'Исходник'!$T:$T,0),MATCH(Y$1,'Исходник'!$1:$1,0)))</f>
        <v/>
      </c>
      <c r="Z41" s="27">
        <f t="shared" si="11"/>
        <v>0</v>
      </c>
      <c r="AA41" s="27" t="str">
        <f t="shared" si="12"/>
        <v/>
      </c>
      <c r="AB41" s="1" t="str">
        <f t="array" ref="AB41">IFERROR(INDEX('Исходник'!$1:$626,MATCH($A41,'Исходник'!$T:$T,0),MATCH(AB$1,'Исходник'!$1:$1,0)))</f>
        <v/>
      </c>
      <c r="AC41" s="1" t="str">
        <f t="array" ref="AC41">IFERROR(INDEX('Исходник'!$1:$626,MATCH($A41,'Исходник'!$T:$T,0),MATCH(AC$1,'Исходник'!$1:$1,0)))</f>
        <v/>
      </c>
      <c r="AD41" s="27" t="str">
        <f t="shared" si="13"/>
        <v/>
      </c>
      <c r="AE41" s="1" t="str">
        <f t="array" ref="AE41">IFERROR(INDEX('Исходник'!$1:$626,MATCH($A41,'Исходник'!$T:$T,0),MATCH(AE$1,'Исходник'!$1:$1,0)))</f>
        <v/>
      </c>
      <c r="AF41" s="1" t="str">
        <f t="array" ref="AF41">IFERROR(INDEX('Исходник'!$1:$626,MATCH($A41,'Исходник'!$T:$T,0),MATCH(AF$1,'Исходник'!$1:$1,0)))</f>
        <v/>
      </c>
      <c r="AG41" s="27" t="str">
        <f t="shared" si="14"/>
        <v/>
      </c>
      <c r="AH41" s="1" t="str">
        <f t="array" ref="AH41">IFERROR(INDEX('Исходник'!$1:$626,MATCH($A41,'Исходник'!$T:$T,0),MATCH(AH$1,'Исходник'!$1:$1,0)))</f>
        <v/>
      </c>
      <c r="AI41" s="1" t="str">
        <f t="array" ref="AI41">IFERROR(INDEX('Исходник'!$1:$626,MATCH($A41,'Исходник'!$T:$T,0),MATCH(AI$1,'Исходник'!$1:$1,0)))</f>
        <v/>
      </c>
      <c r="AJ41" s="18">
        <f t="shared" si="15"/>
        <v>0</v>
      </c>
      <c r="AL41" s="30"/>
    </row>
    <row r="42" ht="15.75" customHeight="1">
      <c r="A42" s="27"/>
      <c r="B42" s="1" t="str">
        <f t="array" ref="B42">IFERROR(INDEX('Исходник'!$1:$626,MATCH($A42,'Исходник'!$T:$T,0),MATCH(B$1,'Исходник'!$1:$1,0)))</f>
        <v/>
      </c>
      <c r="C42" s="1" t="str">
        <f t="array" ref="C42">IFERROR(INDEX('Исходник'!$1:$626,MATCH($A42,'Исходник'!$T:$T,0),MATCH(C$1,'Исходник'!$1:$1,0)))</f>
        <v/>
      </c>
      <c r="D42" s="1" t="str">
        <f t="array" ref="D42">IFERROR(INDEX('Исходник'!$1:$626,MATCH($A42,'Исходник'!$T:$T,0),MATCH(D$1,'Исходник'!$1:$1,0)))</f>
        <v/>
      </c>
      <c r="E42" s="1" t="str">
        <f t="array" ref="E42">IFERROR(INDEX('Исходник'!$1:$626,MATCH($A42,'Исходник'!$T:$T,0),MATCH(E$1,'Исходник'!$1:$1,0)))</f>
        <v/>
      </c>
      <c r="F42" s="1" t="str">
        <f t="array" ref="F42">IFERROR(INDEX('Исходник'!$1:$626,MATCH($A42,'Исходник'!$T:$T,0),MATCH(F$1,'Исходник'!$1:$1,0)))</f>
        <v/>
      </c>
      <c r="G42" s="1" t="str">
        <f t="array" ref="G42">IFERROR(INDEX('Исходник'!$1:$626,MATCH($A42,'Исходник'!$T:$T,0),MATCH(G$1,'Исходник'!$1:$1,0)))</f>
        <v/>
      </c>
      <c r="H42" s="27">
        <f t="shared" si="1"/>
        <v>0</v>
      </c>
      <c r="I42" s="27" t="str">
        <f t="shared" si="2"/>
        <v/>
      </c>
      <c r="J42" s="1" t="str">
        <f t="array" ref="J42">IFERROR(INDEX('Исходник'!$1:$626,MATCH($A42,'Исходник'!$T:$T,0),MATCH(J$1,'Исходник'!$1:$1,0)))</f>
        <v/>
      </c>
      <c r="K42" s="27" t="str">
        <f t="shared" si="3"/>
        <v/>
      </c>
      <c r="L42" s="1" t="str">
        <f t="array" ref="L42">IFERROR(INDEX('Исходник'!$1:$626,MATCH($A42,'Исходник'!$T:$T,0),MATCH(L$1,'Исходник'!$1:$1,0)))</f>
        <v/>
      </c>
      <c r="M42" s="28">
        <f t="shared" si="4"/>
        <v>0</v>
      </c>
      <c r="N42" s="1" t="str">
        <f t="array" ref="N42">IFERROR(INDEX('Исходник'!$1:$626,MATCH($A42,'Исходник'!$T:$T,0),MATCH(N$1,'Исходник'!$1:$1,0)))</f>
        <v/>
      </c>
      <c r="O42" s="27">
        <f t="shared" si="5"/>
        <v>0</v>
      </c>
      <c r="P42" s="27" t="str">
        <f t="shared" si="6"/>
        <v/>
      </c>
      <c r="Q42" s="1" t="str">
        <f t="array" ref="Q42">IFERROR(INDEX('Исходник'!$1:$626,MATCH($A42,'Исходник'!$T:$T,0),MATCH(Q$1,'Исходник'!$1:$1,0)))</f>
        <v/>
      </c>
      <c r="R42" s="1" t="str">
        <f t="array" ref="R42">IFERROR(INDEX('Исходник'!$1:$626,MATCH($A42,'Исходник'!$T:$T,0),MATCH(R$1,'Исходник'!$1:$1,0)))</f>
        <v/>
      </c>
      <c r="S42" s="27">
        <f t="shared" si="7"/>
        <v>0</v>
      </c>
      <c r="T42" s="27" t="str">
        <f t="shared" si="8"/>
        <v/>
      </c>
      <c r="U42" s="1" t="str">
        <f t="array" ref="U42">IFERROR(INDEX('Исходник'!$1:$626,MATCH($A42,'Исходник'!$T:$T,0),MATCH(U$1,'Исходник'!$1:$1,0)))</f>
        <v/>
      </c>
      <c r="V42" s="27" t="str">
        <f t="shared" si="9"/>
        <v/>
      </c>
      <c r="W42" s="1" t="str">
        <f t="array" ref="W42">IFERROR(INDEX('Исходник'!$1:$626,MATCH($A42,'Исходник'!$T:$T,0),MATCH(W$1,'Исходник'!$1:$1,0)))</f>
        <v/>
      </c>
      <c r="X42" s="28">
        <f t="shared" si="10"/>
        <v>0</v>
      </c>
      <c r="Y42" s="1" t="str">
        <f t="array" ref="Y42">IFERROR(INDEX('Исходник'!$1:$626,MATCH($A42,'Исходник'!$T:$T,0),MATCH(Y$1,'Исходник'!$1:$1,0)))</f>
        <v/>
      </c>
      <c r="Z42" s="27">
        <f t="shared" si="11"/>
        <v>0</v>
      </c>
      <c r="AA42" s="27" t="str">
        <f t="shared" si="12"/>
        <v/>
      </c>
      <c r="AB42" s="1" t="str">
        <f t="array" ref="AB42">IFERROR(INDEX('Исходник'!$1:$626,MATCH($A42,'Исходник'!$T:$T,0),MATCH(AB$1,'Исходник'!$1:$1,0)))</f>
        <v/>
      </c>
      <c r="AC42" s="1" t="str">
        <f t="array" ref="AC42">IFERROR(INDEX('Исходник'!$1:$626,MATCH($A42,'Исходник'!$T:$T,0),MATCH(AC$1,'Исходник'!$1:$1,0)))</f>
        <v/>
      </c>
      <c r="AD42" s="27" t="str">
        <f t="shared" si="13"/>
        <v/>
      </c>
      <c r="AE42" s="1" t="str">
        <f t="array" ref="AE42">IFERROR(INDEX('Исходник'!$1:$626,MATCH($A42,'Исходник'!$T:$T,0),MATCH(AE$1,'Исходник'!$1:$1,0)))</f>
        <v/>
      </c>
      <c r="AF42" s="1" t="str">
        <f t="array" ref="AF42">IFERROR(INDEX('Исходник'!$1:$626,MATCH($A42,'Исходник'!$T:$T,0),MATCH(AF$1,'Исходник'!$1:$1,0)))</f>
        <v/>
      </c>
      <c r="AG42" s="27" t="str">
        <f t="shared" si="14"/>
        <v/>
      </c>
      <c r="AH42" s="1" t="str">
        <f t="array" ref="AH42">IFERROR(INDEX('Исходник'!$1:$626,MATCH($A42,'Исходник'!$T:$T,0),MATCH(AH$1,'Исходник'!$1:$1,0)))</f>
        <v/>
      </c>
      <c r="AI42" s="1" t="str">
        <f t="array" ref="AI42">IFERROR(INDEX('Исходник'!$1:$626,MATCH($A42,'Исходник'!$T:$T,0),MATCH(AI$1,'Исходник'!$1:$1,0)))</f>
        <v/>
      </c>
      <c r="AJ42" s="18">
        <f t="shared" si="15"/>
        <v>0</v>
      </c>
      <c r="AL42" s="30"/>
    </row>
    <row r="43" ht="15.75" customHeight="1">
      <c r="A43" s="27"/>
      <c r="B43" s="1" t="str">
        <f t="array" ref="B43">IFERROR(INDEX('Исходник'!$1:$626,MATCH($A43,'Исходник'!$T:$T,0),MATCH(B$1,'Исходник'!$1:$1,0)))</f>
        <v/>
      </c>
      <c r="C43" s="1" t="str">
        <f t="array" ref="C43">IFERROR(INDEX('Исходник'!$1:$626,MATCH($A43,'Исходник'!$T:$T,0),MATCH(C$1,'Исходник'!$1:$1,0)))</f>
        <v/>
      </c>
      <c r="D43" s="1" t="str">
        <f t="array" ref="D43">IFERROR(INDEX('Исходник'!$1:$626,MATCH($A43,'Исходник'!$T:$T,0),MATCH(D$1,'Исходник'!$1:$1,0)))</f>
        <v/>
      </c>
      <c r="E43" s="1" t="str">
        <f t="array" ref="E43">IFERROR(INDEX('Исходник'!$1:$626,MATCH($A43,'Исходник'!$T:$T,0),MATCH(E$1,'Исходник'!$1:$1,0)))</f>
        <v/>
      </c>
      <c r="F43" s="1" t="str">
        <f t="array" ref="F43">IFERROR(INDEX('Исходник'!$1:$626,MATCH($A43,'Исходник'!$T:$T,0),MATCH(F$1,'Исходник'!$1:$1,0)))</f>
        <v/>
      </c>
      <c r="G43" s="1" t="str">
        <f t="array" ref="G43">IFERROR(INDEX('Исходник'!$1:$626,MATCH($A43,'Исходник'!$T:$T,0),MATCH(G$1,'Исходник'!$1:$1,0)))</f>
        <v/>
      </c>
      <c r="H43" s="27">
        <f t="shared" si="1"/>
        <v>0</v>
      </c>
      <c r="I43" s="27" t="str">
        <f t="shared" si="2"/>
        <v/>
      </c>
      <c r="J43" s="1" t="str">
        <f t="array" ref="J43">IFERROR(INDEX('Исходник'!$1:$626,MATCH($A43,'Исходник'!$T:$T,0),MATCH(J$1,'Исходник'!$1:$1,0)))</f>
        <v/>
      </c>
      <c r="K43" s="27" t="str">
        <f t="shared" si="3"/>
        <v/>
      </c>
      <c r="L43" s="1" t="str">
        <f t="array" ref="L43">IFERROR(INDEX('Исходник'!$1:$626,MATCH($A43,'Исходник'!$T:$T,0),MATCH(L$1,'Исходник'!$1:$1,0)))</f>
        <v/>
      </c>
      <c r="M43" s="28">
        <f t="shared" si="4"/>
        <v>0</v>
      </c>
      <c r="N43" s="1" t="str">
        <f t="array" ref="N43">IFERROR(INDEX('Исходник'!$1:$626,MATCH($A43,'Исходник'!$T:$T,0),MATCH(N$1,'Исходник'!$1:$1,0)))</f>
        <v/>
      </c>
      <c r="O43" s="27">
        <f t="shared" si="5"/>
        <v>0</v>
      </c>
      <c r="P43" s="27" t="str">
        <f t="shared" si="6"/>
        <v/>
      </c>
      <c r="Q43" s="1" t="str">
        <f t="array" ref="Q43">IFERROR(INDEX('Исходник'!$1:$626,MATCH($A43,'Исходник'!$T:$T,0),MATCH(Q$1,'Исходник'!$1:$1,0)))</f>
        <v/>
      </c>
      <c r="R43" s="1" t="str">
        <f t="array" ref="R43">IFERROR(INDEX('Исходник'!$1:$626,MATCH($A43,'Исходник'!$T:$T,0),MATCH(R$1,'Исходник'!$1:$1,0)))</f>
        <v/>
      </c>
      <c r="S43" s="27">
        <f t="shared" si="7"/>
        <v>0</v>
      </c>
      <c r="T43" s="27" t="str">
        <f t="shared" si="8"/>
        <v/>
      </c>
      <c r="U43" s="1" t="str">
        <f t="array" ref="U43">IFERROR(INDEX('Исходник'!$1:$626,MATCH($A43,'Исходник'!$T:$T,0),MATCH(U$1,'Исходник'!$1:$1,0)))</f>
        <v/>
      </c>
      <c r="V43" s="27" t="str">
        <f t="shared" si="9"/>
        <v/>
      </c>
      <c r="W43" s="1" t="str">
        <f t="array" ref="W43">IFERROR(INDEX('Исходник'!$1:$626,MATCH($A43,'Исходник'!$T:$T,0),MATCH(W$1,'Исходник'!$1:$1,0)))</f>
        <v/>
      </c>
      <c r="X43" s="28">
        <f t="shared" si="10"/>
        <v>0</v>
      </c>
      <c r="Y43" s="1" t="str">
        <f t="array" ref="Y43">IFERROR(INDEX('Исходник'!$1:$626,MATCH($A43,'Исходник'!$T:$T,0),MATCH(Y$1,'Исходник'!$1:$1,0)))</f>
        <v/>
      </c>
      <c r="Z43" s="27">
        <f t="shared" si="11"/>
        <v>0</v>
      </c>
      <c r="AA43" s="27" t="str">
        <f t="shared" si="12"/>
        <v/>
      </c>
      <c r="AB43" s="1" t="str">
        <f t="array" ref="AB43">IFERROR(INDEX('Исходник'!$1:$626,MATCH($A43,'Исходник'!$T:$T,0),MATCH(AB$1,'Исходник'!$1:$1,0)))</f>
        <v/>
      </c>
      <c r="AC43" s="1" t="str">
        <f t="array" ref="AC43">IFERROR(INDEX('Исходник'!$1:$626,MATCH($A43,'Исходник'!$T:$T,0),MATCH(AC$1,'Исходник'!$1:$1,0)))</f>
        <v/>
      </c>
      <c r="AD43" s="27" t="str">
        <f t="shared" si="13"/>
        <v/>
      </c>
      <c r="AE43" s="1" t="str">
        <f t="array" ref="AE43">IFERROR(INDEX('Исходник'!$1:$626,MATCH($A43,'Исходник'!$T:$T,0),MATCH(AE$1,'Исходник'!$1:$1,0)))</f>
        <v/>
      </c>
      <c r="AF43" s="1" t="str">
        <f t="array" ref="AF43">IFERROR(INDEX('Исходник'!$1:$626,MATCH($A43,'Исходник'!$T:$T,0),MATCH(AF$1,'Исходник'!$1:$1,0)))</f>
        <v/>
      </c>
      <c r="AG43" s="27" t="str">
        <f t="shared" si="14"/>
        <v/>
      </c>
      <c r="AH43" s="1" t="str">
        <f t="array" ref="AH43">IFERROR(INDEX('Исходник'!$1:$626,MATCH($A43,'Исходник'!$T:$T,0),MATCH(AH$1,'Исходник'!$1:$1,0)))</f>
        <v/>
      </c>
      <c r="AI43" s="1" t="str">
        <f t="array" ref="AI43">IFERROR(INDEX('Исходник'!$1:$626,MATCH($A43,'Исходник'!$T:$T,0),MATCH(AI$1,'Исходник'!$1:$1,0)))</f>
        <v/>
      </c>
      <c r="AJ43" s="18">
        <f t="shared" si="15"/>
        <v>0</v>
      </c>
      <c r="AL43" s="30"/>
    </row>
    <row r="44" ht="15.75" customHeight="1">
      <c r="A44" s="27"/>
      <c r="B44" s="1" t="str">
        <f t="array" ref="B44">IFERROR(INDEX('Исходник'!$1:$626,MATCH($A44,'Исходник'!$T:$T,0),MATCH(B$1,'Исходник'!$1:$1,0)))</f>
        <v/>
      </c>
      <c r="C44" s="1" t="str">
        <f t="array" ref="C44">IFERROR(INDEX('Исходник'!$1:$626,MATCH($A44,'Исходник'!$T:$T,0),MATCH(C$1,'Исходник'!$1:$1,0)))</f>
        <v/>
      </c>
      <c r="D44" s="1" t="str">
        <f t="array" ref="D44">IFERROR(INDEX('Исходник'!$1:$626,MATCH($A44,'Исходник'!$T:$T,0),MATCH(D$1,'Исходник'!$1:$1,0)))</f>
        <v/>
      </c>
      <c r="E44" s="1" t="str">
        <f t="array" ref="E44">IFERROR(INDEX('Исходник'!$1:$626,MATCH($A44,'Исходник'!$T:$T,0),MATCH(E$1,'Исходник'!$1:$1,0)))</f>
        <v/>
      </c>
      <c r="F44" s="1" t="str">
        <f t="array" ref="F44">IFERROR(INDEX('Исходник'!$1:$626,MATCH($A44,'Исходник'!$T:$T,0),MATCH(F$1,'Исходник'!$1:$1,0)))</f>
        <v/>
      </c>
      <c r="G44" s="1" t="str">
        <f t="array" ref="G44">IFERROR(INDEX('Исходник'!$1:$626,MATCH($A44,'Исходник'!$T:$T,0),MATCH(G$1,'Исходник'!$1:$1,0)))</f>
        <v/>
      </c>
      <c r="H44" s="27">
        <f t="shared" si="1"/>
        <v>0</v>
      </c>
      <c r="I44" s="27" t="str">
        <f t="shared" si="2"/>
        <v/>
      </c>
      <c r="J44" s="1" t="str">
        <f t="array" ref="J44">IFERROR(INDEX('Исходник'!$1:$626,MATCH($A44,'Исходник'!$T:$T,0),MATCH(J$1,'Исходник'!$1:$1,0)))</f>
        <v/>
      </c>
      <c r="K44" s="27" t="str">
        <f t="shared" si="3"/>
        <v/>
      </c>
      <c r="L44" s="1" t="str">
        <f t="array" ref="L44">IFERROR(INDEX('Исходник'!$1:$626,MATCH($A44,'Исходник'!$T:$T,0),MATCH(L$1,'Исходник'!$1:$1,0)))</f>
        <v/>
      </c>
      <c r="M44" s="28">
        <f t="shared" si="4"/>
        <v>0</v>
      </c>
      <c r="N44" s="1" t="str">
        <f t="array" ref="N44">IFERROR(INDEX('Исходник'!$1:$626,MATCH($A44,'Исходник'!$T:$T,0),MATCH(N$1,'Исходник'!$1:$1,0)))</f>
        <v/>
      </c>
      <c r="O44" s="27">
        <f t="shared" si="5"/>
        <v>0</v>
      </c>
      <c r="P44" s="27" t="str">
        <f t="shared" si="6"/>
        <v/>
      </c>
      <c r="Q44" s="1" t="str">
        <f t="array" ref="Q44">IFERROR(INDEX('Исходник'!$1:$626,MATCH($A44,'Исходник'!$T:$T,0),MATCH(Q$1,'Исходник'!$1:$1,0)))</f>
        <v/>
      </c>
      <c r="R44" s="1" t="str">
        <f t="array" ref="R44">IFERROR(INDEX('Исходник'!$1:$626,MATCH($A44,'Исходник'!$T:$T,0),MATCH(R$1,'Исходник'!$1:$1,0)))</f>
        <v/>
      </c>
      <c r="S44" s="27">
        <f t="shared" si="7"/>
        <v>0</v>
      </c>
      <c r="T44" s="27" t="str">
        <f t="shared" si="8"/>
        <v/>
      </c>
      <c r="U44" s="1" t="str">
        <f t="array" ref="U44">IFERROR(INDEX('Исходник'!$1:$626,MATCH($A44,'Исходник'!$T:$T,0),MATCH(U$1,'Исходник'!$1:$1,0)))</f>
        <v/>
      </c>
      <c r="V44" s="27" t="str">
        <f t="shared" si="9"/>
        <v/>
      </c>
      <c r="W44" s="1" t="str">
        <f t="array" ref="W44">IFERROR(INDEX('Исходник'!$1:$626,MATCH($A44,'Исходник'!$T:$T,0),MATCH(W$1,'Исходник'!$1:$1,0)))</f>
        <v/>
      </c>
      <c r="X44" s="28">
        <f t="shared" si="10"/>
        <v>0</v>
      </c>
      <c r="Y44" s="1" t="str">
        <f t="array" ref="Y44">IFERROR(INDEX('Исходник'!$1:$626,MATCH($A44,'Исходник'!$T:$T,0),MATCH(Y$1,'Исходник'!$1:$1,0)))</f>
        <v/>
      </c>
      <c r="Z44" s="27">
        <f t="shared" si="11"/>
        <v>0</v>
      </c>
      <c r="AA44" s="27" t="str">
        <f t="shared" si="12"/>
        <v/>
      </c>
      <c r="AB44" s="1" t="str">
        <f t="array" ref="AB44">IFERROR(INDEX('Исходник'!$1:$626,MATCH($A44,'Исходник'!$T:$T,0),MATCH(AB$1,'Исходник'!$1:$1,0)))</f>
        <v/>
      </c>
      <c r="AC44" s="1" t="str">
        <f t="array" ref="AC44">IFERROR(INDEX('Исходник'!$1:$626,MATCH($A44,'Исходник'!$T:$T,0),MATCH(AC$1,'Исходник'!$1:$1,0)))</f>
        <v/>
      </c>
      <c r="AD44" s="27" t="str">
        <f t="shared" si="13"/>
        <v/>
      </c>
      <c r="AE44" s="1" t="str">
        <f t="array" ref="AE44">IFERROR(INDEX('Исходник'!$1:$626,MATCH($A44,'Исходник'!$T:$T,0),MATCH(AE$1,'Исходник'!$1:$1,0)))</f>
        <v/>
      </c>
      <c r="AF44" s="1" t="str">
        <f t="array" ref="AF44">IFERROR(INDEX('Исходник'!$1:$626,MATCH($A44,'Исходник'!$T:$T,0),MATCH(AF$1,'Исходник'!$1:$1,0)))</f>
        <v/>
      </c>
      <c r="AG44" s="27" t="str">
        <f t="shared" si="14"/>
        <v/>
      </c>
      <c r="AH44" s="1" t="str">
        <f t="array" ref="AH44">IFERROR(INDEX('Исходник'!$1:$626,MATCH($A44,'Исходник'!$T:$T,0),MATCH(AH$1,'Исходник'!$1:$1,0)))</f>
        <v/>
      </c>
      <c r="AI44" s="1" t="str">
        <f t="array" ref="AI44">IFERROR(INDEX('Исходник'!$1:$626,MATCH($A44,'Исходник'!$T:$T,0),MATCH(AI$1,'Исходник'!$1:$1,0)))</f>
        <v/>
      </c>
      <c r="AJ44" s="18">
        <f t="shared" si="15"/>
        <v>0</v>
      </c>
      <c r="AL44" s="30"/>
    </row>
    <row r="45" ht="15.75" customHeight="1">
      <c r="A45" s="27"/>
      <c r="B45" s="1" t="str">
        <f t="array" ref="B45">IFERROR(INDEX('Исходник'!$1:$626,MATCH($A45,'Исходник'!$T:$T,0),MATCH(B$1,'Исходник'!$1:$1,0)))</f>
        <v/>
      </c>
      <c r="C45" s="1" t="str">
        <f t="array" ref="C45">IFERROR(INDEX('Исходник'!$1:$626,MATCH($A45,'Исходник'!$T:$T,0),MATCH(C$1,'Исходник'!$1:$1,0)))</f>
        <v/>
      </c>
      <c r="D45" s="1" t="str">
        <f t="array" ref="D45">IFERROR(INDEX('Исходник'!$1:$626,MATCH($A45,'Исходник'!$T:$T,0),MATCH(D$1,'Исходник'!$1:$1,0)))</f>
        <v/>
      </c>
      <c r="E45" s="1" t="str">
        <f t="array" ref="E45">IFERROR(INDEX('Исходник'!$1:$626,MATCH($A45,'Исходник'!$T:$T,0),MATCH(E$1,'Исходник'!$1:$1,0)))</f>
        <v/>
      </c>
      <c r="F45" s="1" t="str">
        <f t="array" ref="F45">IFERROR(INDEX('Исходник'!$1:$626,MATCH($A45,'Исходник'!$T:$T,0),MATCH(F$1,'Исходник'!$1:$1,0)))</f>
        <v/>
      </c>
      <c r="G45" s="1" t="str">
        <f t="array" ref="G45">IFERROR(INDEX('Исходник'!$1:$626,MATCH($A45,'Исходник'!$T:$T,0),MATCH(G$1,'Исходник'!$1:$1,0)))</f>
        <v/>
      </c>
      <c r="H45" s="27">
        <f t="shared" si="1"/>
        <v>0</v>
      </c>
      <c r="I45" s="27" t="str">
        <f t="shared" si="2"/>
        <v/>
      </c>
      <c r="J45" s="1" t="str">
        <f t="array" ref="J45">IFERROR(INDEX('Исходник'!$1:$626,MATCH($A45,'Исходник'!$T:$T,0),MATCH(J$1,'Исходник'!$1:$1,0)))</f>
        <v/>
      </c>
      <c r="K45" s="27" t="str">
        <f t="shared" si="3"/>
        <v/>
      </c>
      <c r="L45" s="1" t="str">
        <f t="array" ref="L45">IFERROR(INDEX('Исходник'!$1:$626,MATCH($A45,'Исходник'!$T:$T,0),MATCH(L$1,'Исходник'!$1:$1,0)))</f>
        <v/>
      </c>
      <c r="M45" s="28">
        <f t="shared" si="4"/>
        <v>0</v>
      </c>
      <c r="N45" s="1" t="str">
        <f t="array" ref="N45">IFERROR(INDEX('Исходник'!$1:$626,MATCH($A45,'Исходник'!$T:$T,0),MATCH(N$1,'Исходник'!$1:$1,0)))</f>
        <v/>
      </c>
      <c r="O45" s="27">
        <f t="shared" si="5"/>
        <v>0</v>
      </c>
      <c r="P45" s="27" t="str">
        <f t="shared" si="6"/>
        <v/>
      </c>
      <c r="Q45" s="1" t="str">
        <f t="array" ref="Q45">IFERROR(INDEX('Исходник'!$1:$626,MATCH($A45,'Исходник'!$T:$T,0),MATCH(Q$1,'Исходник'!$1:$1,0)))</f>
        <v/>
      </c>
      <c r="R45" s="1" t="str">
        <f t="array" ref="R45">IFERROR(INDEX('Исходник'!$1:$626,MATCH($A45,'Исходник'!$T:$T,0),MATCH(R$1,'Исходник'!$1:$1,0)))</f>
        <v/>
      </c>
      <c r="S45" s="27">
        <f t="shared" si="7"/>
        <v>0</v>
      </c>
      <c r="T45" s="27" t="str">
        <f t="shared" si="8"/>
        <v/>
      </c>
      <c r="U45" s="1" t="str">
        <f t="array" ref="U45">IFERROR(INDEX('Исходник'!$1:$626,MATCH($A45,'Исходник'!$T:$T,0),MATCH(U$1,'Исходник'!$1:$1,0)))</f>
        <v/>
      </c>
      <c r="V45" s="27" t="str">
        <f t="shared" si="9"/>
        <v/>
      </c>
      <c r="W45" s="1" t="str">
        <f t="array" ref="W45">IFERROR(INDEX('Исходник'!$1:$626,MATCH($A45,'Исходник'!$T:$T,0),MATCH(W$1,'Исходник'!$1:$1,0)))</f>
        <v/>
      </c>
      <c r="X45" s="28">
        <f t="shared" si="10"/>
        <v>0</v>
      </c>
      <c r="Y45" s="1" t="str">
        <f t="array" ref="Y45">IFERROR(INDEX('Исходник'!$1:$626,MATCH($A45,'Исходник'!$T:$T,0),MATCH(Y$1,'Исходник'!$1:$1,0)))</f>
        <v/>
      </c>
      <c r="Z45" s="27">
        <f t="shared" si="11"/>
        <v>0</v>
      </c>
      <c r="AA45" s="27" t="str">
        <f t="shared" si="12"/>
        <v/>
      </c>
      <c r="AB45" s="1" t="str">
        <f t="array" ref="AB45">IFERROR(INDEX('Исходник'!$1:$626,MATCH($A45,'Исходник'!$T:$T,0),MATCH(AB$1,'Исходник'!$1:$1,0)))</f>
        <v/>
      </c>
      <c r="AC45" s="1" t="str">
        <f t="array" ref="AC45">IFERROR(INDEX('Исходник'!$1:$626,MATCH($A45,'Исходник'!$T:$T,0),MATCH(AC$1,'Исходник'!$1:$1,0)))</f>
        <v/>
      </c>
      <c r="AD45" s="27" t="str">
        <f t="shared" si="13"/>
        <v/>
      </c>
      <c r="AE45" s="1" t="str">
        <f t="array" ref="AE45">IFERROR(INDEX('Исходник'!$1:$626,MATCH($A45,'Исходник'!$T:$T,0),MATCH(AE$1,'Исходник'!$1:$1,0)))</f>
        <v/>
      </c>
      <c r="AF45" s="1" t="str">
        <f t="array" ref="AF45">IFERROR(INDEX('Исходник'!$1:$626,MATCH($A45,'Исходник'!$T:$T,0),MATCH(AF$1,'Исходник'!$1:$1,0)))</f>
        <v/>
      </c>
      <c r="AG45" s="27" t="str">
        <f t="shared" si="14"/>
        <v/>
      </c>
      <c r="AH45" s="1" t="str">
        <f t="array" ref="AH45">IFERROR(INDEX('Исходник'!$1:$626,MATCH($A45,'Исходник'!$T:$T,0),MATCH(AH$1,'Исходник'!$1:$1,0)))</f>
        <v/>
      </c>
      <c r="AI45" s="1" t="str">
        <f t="array" ref="AI45">IFERROR(INDEX('Исходник'!$1:$626,MATCH($A45,'Исходник'!$T:$T,0),MATCH(AI$1,'Исходник'!$1:$1,0)))</f>
        <v/>
      </c>
      <c r="AJ45" s="18">
        <f t="shared" si="15"/>
        <v>0</v>
      </c>
      <c r="AL45" s="30"/>
    </row>
    <row r="46" ht="15.75" customHeight="1">
      <c r="A46" s="27"/>
      <c r="B46" s="1" t="str">
        <f t="array" ref="B46">IFERROR(INDEX('Исходник'!$1:$626,MATCH($A46,'Исходник'!$T:$T,0),MATCH(B$1,'Исходник'!$1:$1,0)))</f>
        <v/>
      </c>
      <c r="C46" s="1" t="str">
        <f t="array" ref="C46">IFERROR(INDEX('Исходник'!$1:$626,MATCH($A46,'Исходник'!$T:$T,0),MATCH(C$1,'Исходник'!$1:$1,0)))</f>
        <v/>
      </c>
      <c r="D46" s="1" t="str">
        <f t="array" ref="D46">IFERROR(INDEX('Исходник'!$1:$626,MATCH($A46,'Исходник'!$T:$T,0),MATCH(D$1,'Исходник'!$1:$1,0)))</f>
        <v/>
      </c>
      <c r="E46" s="1" t="str">
        <f t="array" ref="E46">IFERROR(INDEX('Исходник'!$1:$626,MATCH($A46,'Исходник'!$T:$T,0),MATCH(E$1,'Исходник'!$1:$1,0)))</f>
        <v/>
      </c>
      <c r="F46" s="1" t="str">
        <f t="array" ref="F46">IFERROR(INDEX('Исходник'!$1:$626,MATCH($A46,'Исходник'!$T:$T,0),MATCH(F$1,'Исходник'!$1:$1,0)))</f>
        <v/>
      </c>
      <c r="G46" s="1" t="str">
        <f t="array" ref="G46">IFERROR(INDEX('Исходник'!$1:$626,MATCH($A46,'Исходник'!$T:$T,0),MATCH(G$1,'Исходник'!$1:$1,0)))</f>
        <v/>
      </c>
      <c r="H46" s="27">
        <f t="shared" si="1"/>
        <v>0</v>
      </c>
      <c r="I46" s="27" t="str">
        <f t="shared" si="2"/>
        <v/>
      </c>
      <c r="J46" s="1" t="str">
        <f t="array" ref="J46">IFERROR(INDEX('Исходник'!$1:$626,MATCH($A46,'Исходник'!$T:$T,0),MATCH(J$1,'Исходник'!$1:$1,0)))</f>
        <v/>
      </c>
      <c r="K46" s="27" t="str">
        <f t="shared" si="3"/>
        <v/>
      </c>
      <c r="L46" s="1" t="str">
        <f t="array" ref="L46">IFERROR(INDEX('Исходник'!$1:$626,MATCH($A46,'Исходник'!$T:$T,0),MATCH(L$1,'Исходник'!$1:$1,0)))</f>
        <v/>
      </c>
      <c r="M46" s="28">
        <f t="shared" si="4"/>
        <v>0</v>
      </c>
      <c r="N46" s="1" t="str">
        <f t="array" ref="N46">IFERROR(INDEX('Исходник'!$1:$626,MATCH($A46,'Исходник'!$T:$T,0),MATCH(N$1,'Исходник'!$1:$1,0)))</f>
        <v/>
      </c>
      <c r="O46" s="27">
        <f t="shared" si="5"/>
        <v>0</v>
      </c>
      <c r="P46" s="27" t="str">
        <f t="shared" si="6"/>
        <v/>
      </c>
      <c r="Q46" s="1" t="str">
        <f t="array" ref="Q46">IFERROR(INDEX('Исходник'!$1:$626,MATCH($A46,'Исходник'!$T:$T,0),MATCH(Q$1,'Исходник'!$1:$1,0)))</f>
        <v/>
      </c>
      <c r="R46" s="1" t="str">
        <f t="array" ref="R46">IFERROR(INDEX('Исходник'!$1:$626,MATCH($A46,'Исходник'!$T:$T,0),MATCH(R$1,'Исходник'!$1:$1,0)))</f>
        <v/>
      </c>
      <c r="S46" s="27">
        <f t="shared" si="7"/>
        <v>0</v>
      </c>
      <c r="T46" s="27" t="str">
        <f t="shared" si="8"/>
        <v/>
      </c>
      <c r="U46" s="1" t="str">
        <f t="array" ref="U46">IFERROR(INDEX('Исходник'!$1:$626,MATCH($A46,'Исходник'!$T:$T,0),MATCH(U$1,'Исходник'!$1:$1,0)))</f>
        <v/>
      </c>
      <c r="V46" s="27" t="str">
        <f t="shared" si="9"/>
        <v/>
      </c>
      <c r="W46" s="1" t="str">
        <f t="array" ref="W46">IFERROR(INDEX('Исходник'!$1:$626,MATCH($A46,'Исходник'!$T:$T,0),MATCH(W$1,'Исходник'!$1:$1,0)))</f>
        <v/>
      </c>
      <c r="X46" s="28">
        <f t="shared" si="10"/>
        <v>0</v>
      </c>
      <c r="Y46" s="1" t="str">
        <f t="array" ref="Y46">IFERROR(INDEX('Исходник'!$1:$626,MATCH($A46,'Исходник'!$T:$T,0),MATCH(Y$1,'Исходник'!$1:$1,0)))</f>
        <v/>
      </c>
      <c r="Z46" s="27">
        <f t="shared" si="11"/>
        <v>0</v>
      </c>
      <c r="AA46" s="27" t="str">
        <f t="shared" si="12"/>
        <v/>
      </c>
      <c r="AB46" s="1" t="str">
        <f t="array" ref="AB46">IFERROR(INDEX('Исходник'!$1:$626,MATCH($A46,'Исходник'!$T:$T,0),MATCH(AB$1,'Исходник'!$1:$1,0)))</f>
        <v/>
      </c>
      <c r="AC46" s="1" t="str">
        <f t="array" ref="AC46">IFERROR(INDEX('Исходник'!$1:$626,MATCH($A46,'Исходник'!$T:$T,0),MATCH(AC$1,'Исходник'!$1:$1,0)))</f>
        <v/>
      </c>
      <c r="AD46" s="27" t="str">
        <f t="shared" si="13"/>
        <v/>
      </c>
      <c r="AE46" s="1" t="str">
        <f t="array" ref="AE46">IFERROR(INDEX('Исходник'!$1:$626,MATCH($A46,'Исходник'!$T:$T,0),MATCH(AE$1,'Исходник'!$1:$1,0)))</f>
        <v/>
      </c>
      <c r="AF46" s="1" t="str">
        <f t="array" ref="AF46">IFERROR(INDEX('Исходник'!$1:$626,MATCH($A46,'Исходник'!$T:$T,0),MATCH(AF$1,'Исходник'!$1:$1,0)))</f>
        <v/>
      </c>
      <c r="AG46" s="27" t="str">
        <f t="shared" si="14"/>
        <v/>
      </c>
      <c r="AH46" s="1" t="str">
        <f t="array" ref="AH46">IFERROR(INDEX('Исходник'!$1:$626,MATCH($A46,'Исходник'!$T:$T,0),MATCH(AH$1,'Исходник'!$1:$1,0)))</f>
        <v/>
      </c>
      <c r="AI46" s="1" t="str">
        <f t="array" ref="AI46">IFERROR(INDEX('Исходник'!$1:$626,MATCH($A46,'Исходник'!$T:$T,0),MATCH(AI$1,'Исходник'!$1:$1,0)))</f>
        <v/>
      </c>
      <c r="AJ46" s="18">
        <f t="shared" si="15"/>
        <v>0</v>
      </c>
      <c r="AL46" s="30"/>
    </row>
    <row r="47" ht="15.75" customHeight="1">
      <c r="A47" s="27"/>
      <c r="B47" s="1" t="str">
        <f t="array" ref="B47">IFERROR(INDEX('Исходник'!$1:$626,MATCH($A47,'Исходник'!$T:$T,0),MATCH(B$1,'Исходник'!$1:$1,0)))</f>
        <v/>
      </c>
      <c r="C47" s="1" t="str">
        <f t="array" ref="C47">IFERROR(INDEX('Исходник'!$1:$626,MATCH($A47,'Исходник'!$T:$T,0),MATCH(C$1,'Исходник'!$1:$1,0)))</f>
        <v/>
      </c>
      <c r="D47" s="1" t="str">
        <f t="array" ref="D47">IFERROR(INDEX('Исходник'!$1:$626,MATCH($A47,'Исходник'!$T:$T,0),MATCH(D$1,'Исходник'!$1:$1,0)))</f>
        <v/>
      </c>
      <c r="E47" s="1" t="str">
        <f t="array" ref="E47">IFERROR(INDEX('Исходник'!$1:$626,MATCH($A47,'Исходник'!$T:$T,0),MATCH(E$1,'Исходник'!$1:$1,0)))</f>
        <v/>
      </c>
      <c r="F47" s="1" t="str">
        <f t="array" ref="F47">IFERROR(INDEX('Исходник'!$1:$626,MATCH($A47,'Исходник'!$T:$T,0),MATCH(F$1,'Исходник'!$1:$1,0)))</f>
        <v/>
      </c>
      <c r="G47" s="1" t="str">
        <f t="array" ref="G47">IFERROR(INDEX('Исходник'!$1:$626,MATCH($A47,'Исходник'!$T:$T,0),MATCH(G$1,'Исходник'!$1:$1,0)))</f>
        <v/>
      </c>
      <c r="H47" s="27">
        <f t="shared" si="1"/>
        <v>0</v>
      </c>
      <c r="I47" s="27" t="str">
        <f t="shared" si="2"/>
        <v/>
      </c>
      <c r="J47" s="1" t="str">
        <f t="array" ref="J47">IFERROR(INDEX('Исходник'!$1:$626,MATCH($A47,'Исходник'!$T:$T,0),MATCH(J$1,'Исходник'!$1:$1,0)))</f>
        <v/>
      </c>
      <c r="K47" s="27" t="str">
        <f t="shared" si="3"/>
        <v/>
      </c>
      <c r="L47" s="1" t="str">
        <f t="array" ref="L47">IFERROR(INDEX('Исходник'!$1:$626,MATCH($A47,'Исходник'!$T:$T,0),MATCH(L$1,'Исходник'!$1:$1,0)))</f>
        <v/>
      </c>
      <c r="M47" s="28">
        <f t="shared" si="4"/>
        <v>0</v>
      </c>
      <c r="N47" s="1" t="str">
        <f t="array" ref="N47">IFERROR(INDEX('Исходник'!$1:$626,MATCH($A47,'Исходник'!$T:$T,0),MATCH(N$1,'Исходник'!$1:$1,0)))</f>
        <v/>
      </c>
      <c r="O47" s="27">
        <f t="shared" si="5"/>
        <v>0</v>
      </c>
      <c r="P47" s="27" t="str">
        <f t="shared" si="6"/>
        <v/>
      </c>
      <c r="Q47" s="1" t="str">
        <f t="array" ref="Q47">IFERROR(INDEX('Исходник'!$1:$626,MATCH($A47,'Исходник'!$T:$T,0),MATCH(Q$1,'Исходник'!$1:$1,0)))</f>
        <v/>
      </c>
      <c r="R47" s="1" t="str">
        <f t="array" ref="R47">IFERROR(INDEX('Исходник'!$1:$626,MATCH($A47,'Исходник'!$T:$T,0),MATCH(R$1,'Исходник'!$1:$1,0)))</f>
        <v/>
      </c>
      <c r="S47" s="27">
        <f t="shared" si="7"/>
        <v>0</v>
      </c>
      <c r="T47" s="27" t="str">
        <f t="shared" si="8"/>
        <v/>
      </c>
      <c r="U47" s="1" t="str">
        <f t="array" ref="U47">IFERROR(INDEX('Исходник'!$1:$626,MATCH($A47,'Исходник'!$T:$T,0),MATCH(U$1,'Исходник'!$1:$1,0)))</f>
        <v/>
      </c>
      <c r="V47" s="27" t="str">
        <f t="shared" si="9"/>
        <v/>
      </c>
      <c r="W47" s="1" t="str">
        <f t="array" ref="W47">IFERROR(INDEX('Исходник'!$1:$626,MATCH($A47,'Исходник'!$T:$T,0),MATCH(W$1,'Исходник'!$1:$1,0)))</f>
        <v/>
      </c>
      <c r="X47" s="28">
        <f t="shared" si="10"/>
        <v>0</v>
      </c>
      <c r="Y47" s="1" t="str">
        <f t="array" ref="Y47">IFERROR(INDEX('Исходник'!$1:$626,MATCH($A47,'Исходник'!$T:$T,0),MATCH(Y$1,'Исходник'!$1:$1,0)))</f>
        <v/>
      </c>
      <c r="Z47" s="27">
        <f t="shared" si="11"/>
        <v>0</v>
      </c>
      <c r="AA47" s="27" t="str">
        <f t="shared" si="12"/>
        <v/>
      </c>
      <c r="AB47" s="1" t="str">
        <f t="array" ref="AB47">IFERROR(INDEX('Исходник'!$1:$626,MATCH($A47,'Исходник'!$T:$T,0),MATCH(AB$1,'Исходник'!$1:$1,0)))</f>
        <v/>
      </c>
      <c r="AC47" s="1" t="str">
        <f t="array" ref="AC47">IFERROR(INDEX('Исходник'!$1:$626,MATCH($A47,'Исходник'!$T:$T,0),MATCH(AC$1,'Исходник'!$1:$1,0)))</f>
        <v/>
      </c>
      <c r="AD47" s="27" t="str">
        <f t="shared" si="13"/>
        <v/>
      </c>
      <c r="AE47" s="1" t="str">
        <f t="array" ref="AE47">IFERROR(INDEX('Исходник'!$1:$626,MATCH($A47,'Исходник'!$T:$T,0),MATCH(AE$1,'Исходник'!$1:$1,0)))</f>
        <v/>
      </c>
      <c r="AF47" s="1" t="str">
        <f t="array" ref="AF47">IFERROR(INDEX('Исходник'!$1:$626,MATCH($A47,'Исходник'!$T:$T,0),MATCH(AF$1,'Исходник'!$1:$1,0)))</f>
        <v/>
      </c>
      <c r="AG47" s="27" t="str">
        <f t="shared" si="14"/>
        <v/>
      </c>
      <c r="AH47" s="1" t="str">
        <f t="array" ref="AH47">IFERROR(INDEX('Исходник'!$1:$626,MATCH($A47,'Исходник'!$T:$T,0),MATCH(AH$1,'Исходник'!$1:$1,0)))</f>
        <v/>
      </c>
      <c r="AI47" s="1" t="str">
        <f t="array" ref="AI47">IFERROR(INDEX('Исходник'!$1:$626,MATCH($A47,'Исходник'!$T:$T,0),MATCH(AI$1,'Исходник'!$1:$1,0)))</f>
        <v/>
      </c>
      <c r="AJ47" s="18">
        <f t="shared" si="15"/>
        <v>0</v>
      </c>
    </row>
    <row r="48" ht="15.75" customHeight="1">
      <c r="A48" s="27"/>
      <c r="B48" s="1" t="str">
        <f t="array" ref="B48">IFERROR(INDEX('Исходник'!$1:$626,MATCH($A48,'Исходник'!$T:$T,0),MATCH(B$1,'Исходник'!$1:$1,0)))</f>
        <v/>
      </c>
      <c r="C48" s="1" t="str">
        <f t="array" ref="C48">IFERROR(INDEX('Исходник'!$1:$626,MATCH($A48,'Исходник'!$T:$T,0),MATCH(C$1,'Исходник'!$1:$1,0)))</f>
        <v/>
      </c>
      <c r="D48" s="1" t="str">
        <f t="array" ref="D48">IFERROR(INDEX('Исходник'!$1:$626,MATCH($A48,'Исходник'!$T:$T,0),MATCH(D$1,'Исходник'!$1:$1,0)))</f>
        <v/>
      </c>
      <c r="E48" s="1" t="str">
        <f t="array" ref="E48">IFERROR(INDEX('Исходник'!$1:$626,MATCH($A48,'Исходник'!$T:$T,0),MATCH(E$1,'Исходник'!$1:$1,0)))</f>
        <v/>
      </c>
      <c r="F48" s="1" t="str">
        <f t="array" ref="F48">IFERROR(INDEX('Исходник'!$1:$626,MATCH($A48,'Исходник'!$T:$T,0),MATCH(F$1,'Исходник'!$1:$1,0)))</f>
        <v/>
      </c>
      <c r="G48" s="1" t="str">
        <f t="array" ref="G48">IFERROR(INDEX('Исходник'!$1:$626,MATCH($A48,'Исходник'!$T:$T,0),MATCH(G$1,'Исходник'!$1:$1,0)))</f>
        <v/>
      </c>
      <c r="H48" s="27">
        <f t="shared" si="1"/>
        <v>0</v>
      </c>
      <c r="I48" s="27" t="str">
        <f t="shared" si="2"/>
        <v/>
      </c>
      <c r="J48" s="1" t="str">
        <f t="array" ref="J48">IFERROR(INDEX('Исходник'!$1:$626,MATCH($A48,'Исходник'!$T:$T,0),MATCH(J$1,'Исходник'!$1:$1,0)))</f>
        <v/>
      </c>
      <c r="K48" s="27" t="str">
        <f t="shared" si="3"/>
        <v/>
      </c>
      <c r="L48" s="1" t="str">
        <f t="array" ref="L48">IFERROR(INDEX('Исходник'!$1:$626,MATCH($A48,'Исходник'!$T:$T,0),MATCH(L$1,'Исходник'!$1:$1,0)))</f>
        <v/>
      </c>
      <c r="M48" s="28">
        <f t="shared" si="4"/>
        <v>0</v>
      </c>
      <c r="N48" s="1" t="str">
        <f t="array" ref="N48">IFERROR(INDEX('Исходник'!$1:$626,MATCH($A48,'Исходник'!$T:$T,0),MATCH(N$1,'Исходник'!$1:$1,0)))</f>
        <v/>
      </c>
      <c r="O48" s="27">
        <f t="shared" si="5"/>
        <v>0</v>
      </c>
      <c r="P48" s="27" t="str">
        <f t="shared" si="6"/>
        <v/>
      </c>
      <c r="Q48" s="1" t="str">
        <f t="array" ref="Q48">IFERROR(INDEX('Исходник'!$1:$626,MATCH($A48,'Исходник'!$T:$T,0),MATCH(Q$1,'Исходник'!$1:$1,0)))</f>
        <v/>
      </c>
      <c r="R48" s="1" t="str">
        <f t="array" ref="R48">IFERROR(INDEX('Исходник'!$1:$626,MATCH($A48,'Исходник'!$T:$T,0),MATCH(R$1,'Исходник'!$1:$1,0)))</f>
        <v/>
      </c>
      <c r="S48" s="27">
        <f t="shared" si="7"/>
        <v>0</v>
      </c>
      <c r="T48" s="27" t="str">
        <f t="shared" si="8"/>
        <v/>
      </c>
      <c r="U48" s="1" t="str">
        <f t="array" ref="U48">IFERROR(INDEX('Исходник'!$1:$626,MATCH($A48,'Исходник'!$T:$T,0),MATCH(U$1,'Исходник'!$1:$1,0)))</f>
        <v/>
      </c>
      <c r="V48" s="27" t="str">
        <f t="shared" si="9"/>
        <v/>
      </c>
      <c r="W48" s="1" t="str">
        <f t="array" ref="W48">IFERROR(INDEX('Исходник'!$1:$626,MATCH($A48,'Исходник'!$T:$T,0),MATCH(W$1,'Исходник'!$1:$1,0)))</f>
        <v/>
      </c>
      <c r="X48" s="28">
        <f t="shared" si="10"/>
        <v>0</v>
      </c>
      <c r="Y48" s="1" t="str">
        <f t="array" ref="Y48">IFERROR(INDEX('Исходник'!$1:$626,MATCH($A48,'Исходник'!$T:$T,0),MATCH(Y$1,'Исходник'!$1:$1,0)))</f>
        <v/>
      </c>
      <c r="Z48" s="27">
        <f t="shared" si="11"/>
        <v>0</v>
      </c>
      <c r="AA48" s="27" t="str">
        <f t="shared" si="12"/>
        <v/>
      </c>
      <c r="AB48" s="1" t="str">
        <f t="array" ref="AB48">IFERROR(INDEX('Исходник'!$1:$626,MATCH($A48,'Исходник'!$T:$T,0),MATCH(AB$1,'Исходник'!$1:$1,0)))</f>
        <v/>
      </c>
      <c r="AC48" s="1" t="str">
        <f t="array" ref="AC48">IFERROR(INDEX('Исходник'!$1:$626,MATCH($A48,'Исходник'!$T:$T,0),MATCH(AC$1,'Исходник'!$1:$1,0)))</f>
        <v/>
      </c>
      <c r="AD48" s="27" t="str">
        <f t="shared" si="13"/>
        <v/>
      </c>
      <c r="AE48" s="1" t="str">
        <f t="array" ref="AE48">IFERROR(INDEX('Исходник'!$1:$626,MATCH($A48,'Исходник'!$T:$T,0),MATCH(AE$1,'Исходник'!$1:$1,0)))</f>
        <v/>
      </c>
      <c r="AF48" s="1" t="str">
        <f t="array" ref="AF48">IFERROR(INDEX('Исходник'!$1:$626,MATCH($A48,'Исходник'!$T:$T,0),MATCH(AF$1,'Исходник'!$1:$1,0)))</f>
        <v/>
      </c>
      <c r="AG48" s="27" t="str">
        <f t="shared" si="14"/>
        <v/>
      </c>
      <c r="AH48" s="1" t="str">
        <f t="array" ref="AH48">IFERROR(INDEX('Исходник'!$1:$626,MATCH($A48,'Исходник'!$T:$T,0),MATCH(AH$1,'Исходник'!$1:$1,0)))</f>
        <v/>
      </c>
      <c r="AI48" s="1" t="str">
        <f t="array" ref="AI48">IFERROR(INDEX('Исходник'!$1:$626,MATCH($A48,'Исходник'!$T:$T,0),MATCH(AI$1,'Исходник'!$1:$1,0)))</f>
        <v/>
      </c>
      <c r="AJ48" s="18">
        <f t="shared" si="15"/>
        <v>0</v>
      </c>
    </row>
    <row r="49" ht="15.75" customHeight="1">
      <c r="A49" s="27"/>
      <c r="B49" s="1" t="str">
        <f t="array" ref="B49">IFERROR(INDEX('Исходник'!$1:$626,MATCH($A49,'Исходник'!$T:$T,0),MATCH(B$1,'Исходник'!$1:$1,0)))</f>
        <v/>
      </c>
      <c r="C49" s="1" t="str">
        <f t="array" ref="C49">IFERROR(INDEX('Исходник'!$1:$626,MATCH($A49,'Исходник'!$T:$T,0),MATCH(C$1,'Исходник'!$1:$1,0)))</f>
        <v/>
      </c>
      <c r="D49" s="1" t="str">
        <f t="array" ref="D49">IFERROR(INDEX('Исходник'!$1:$626,MATCH($A49,'Исходник'!$T:$T,0),MATCH(D$1,'Исходник'!$1:$1,0)))</f>
        <v/>
      </c>
      <c r="E49" s="1" t="str">
        <f t="array" ref="E49">IFERROR(INDEX('Исходник'!$1:$626,MATCH($A49,'Исходник'!$T:$T,0),MATCH(E$1,'Исходник'!$1:$1,0)))</f>
        <v/>
      </c>
      <c r="F49" s="1" t="str">
        <f t="array" ref="F49">IFERROR(INDEX('Исходник'!$1:$626,MATCH($A49,'Исходник'!$T:$T,0),MATCH(F$1,'Исходник'!$1:$1,0)))</f>
        <v/>
      </c>
      <c r="G49" s="1" t="str">
        <f t="array" ref="G49">IFERROR(INDEX('Исходник'!$1:$626,MATCH($A49,'Исходник'!$T:$T,0),MATCH(G$1,'Исходник'!$1:$1,0)))</f>
        <v/>
      </c>
      <c r="H49" s="27">
        <f t="shared" si="1"/>
        <v>0</v>
      </c>
      <c r="I49" s="27" t="str">
        <f t="shared" si="2"/>
        <v/>
      </c>
      <c r="J49" s="1" t="str">
        <f t="array" ref="J49">IFERROR(INDEX('Исходник'!$1:$626,MATCH($A49,'Исходник'!$T:$T,0),MATCH(J$1,'Исходник'!$1:$1,0)))</f>
        <v/>
      </c>
      <c r="K49" s="27" t="str">
        <f t="shared" si="3"/>
        <v/>
      </c>
      <c r="L49" s="1" t="str">
        <f t="array" ref="L49">IFERROR(INDEX('Исходник'!$1:$626,MATCH($A49,'Исходник'!$T:$T,0),MATCH(L$1,'Исходник'!$1:$1,0)))</f>
        <v/>
      </c>
      <c r="M49" s="28">
        <f t="shared" si="4"/>
        <v>0</v>
      </c>
      <c r="N49" s="1" t="str">
        <f t="array" ref="N49">IFERROR(INDEX('Исходник'!$1:$626,MATCH($A49,'Исходник'!$T:$T,0),MATCH(N$1,'Исходник'!$1:$1,0)))</f>
        <v/>
      </c>
      <c r="O49" s="27">
        <f t="shared" si="5"/>
        <v>0</v>
      </c>
      <c r="P49" s="27" t="str">
        <f t="shared" si="6"/>
        <v/>
      </c>
      <c r="Q49" s="1" t="str">
        <f t="array" ref="Q49">IFERROR(INDEX('Исходник'!$1:$626,MATCH($A49,'Исходник'!$T:$T,0),MATCH(Q$1,'Исходник'!$1:$1,0)))</f>
        <v/>
      </c>
      <c r="R49" s="1" t="str">
        <f t="array" ref="R49">IFERROR(INDEX('Исходник'!$1:$626,MATCH($A49,'Исходник'!$T:$T,0),MATCH(R$1,'Исходник'!$1:$1,0)))</f>
        <v/>
      </c>
      <c r="S49" s="27">
        <f t="shared" si="7"/>
        <v>0</v>
      </c>
      <c r="T49" s="27" t="str">
        <f t="shared" si="8"/>
        <v/>
      </c>
      <c r="U49" s="1" t="str">
        <f t="array" ref="U49">IFERROR(INDEX('Исходник'!$1:$626,MATCH($A49,'Исходник'!$T:$T,0),MATCH(U$1,'Исходник'!$1:$1,0)))</f>
        <v/>
      </c>
      <c r="V49" s="27" t="str">
        <f t="shared" si="9"/>
        <v/>
      </c>
      <c r="W49" s="1" t="str">
        <f t="array" ref="W49">IFERROR(INDEX('Исходник'!$1:$626,MATCH($A49,'Исходник'!$T:$T,0),MATCH(W$1,'Исходник'!$1:$1,0)))</f>
        <v/>
      </c>
      <c r="X49" s="28">
        <f t="shared" si="10"/>
        <v>0</v>
      </c>
      <c r="Y49" s="1" t="str">
        <f t="array" ref="Y49">IFERROR(INDEX('Исходник'!$1:$626,MATCH($A49,'Исходник'!$T:$T,0),MATCH(Y$1,'Исходник'!$1:$1,0)))</f>
        <v/>
      </c>
      <c r="Z49" s="27">
        <f t="shared" si="11"/>
        <v>0</v>
      </c>
      <c r="AA49" s="27" t="str">
        <f t="shared" si="12"/>
        <v/>
      </c>
      <c r="AB49" s="1" t="str">
        <f t="array" ref="AB49">IFERROR(INDEX('Исходник'!$1:$626,MATCH($A49,'Исходник'!$T:$T,0),MATCH(AB$1,'Исходник'!$1:$1,0)))</f>
        <v/>
      </c>
      <c r="AC49" s="1" t="str">
        <f t="array" ref="AC49">IFERROR(INDEX('Исходник'!$1:$626,MATCH($A49,'Исходник'!$T:$T,0),MATCH(AC$1,'Исходник'!$1:$1,0)))</f>
        <v/>
      </c>
      <c r="AD49" s="27" t="str">
        <f t="shared" si="13"/>
        <v/>
      </c>
      <c r="AE49" s="1" t="str">
        <f t="array" ref="AE49">IFERROR(INDEX('Исходник'!$1:$626,MATCH($A49,'Исходник'!$T:$T,0),MATCH(AE$1,'Исходник'!$1:$1,0)))</f>
        <v/>
      </c>
      <c r="AF49" s="1" t="str">
        <f t="array" ref="AF49">IFERROR(INDEX('Исходник'!$1:$626,MATCH($A49,'Исходник'!$T:$T,0),MATCH(AF$1,'Исходник'!$1:$1,0)))</f>
        <v/>
      </c>
      <c r="AG49" s="27" t="str">
        <f t="shared" si="14"/>
        <v/>
      </c>
      <c r="AH49" s="1" t="str">
        <f t="array" ref="AH49">IFERROR(INDEX('Исходник'!$1:$626,MATCH($A49,'Исходник'!$T:$T,0),MATCH(AH$1,'Исходник'!$1:$1,0)))</f>
        <v/>
      </c>
      <c r="AI49" s="1" t="str">
        <f t="array" ref="AI49">IFERROR(INDEX('Исходник'!$1:$626,MATCH($A49,'Исходник'!$T:$T,0),MATCH(AI$1,'Исходник'!$1:$1,0)))</f>
        <v/>
      </c>
      <c r="AJ49" s="18">
        <f t="shared" si="15"/>
        <v>0</v>
      </c>
    </row>
    <row r="50" ht="15.75" customHeight="1">
      <c r="A50" s="27"/>
      <c r="B50" s="1" t="str">
        <f t="array" ref="B50">IFERROR(INDEX('Исходник'!$1:$626,MATCH($A50,'Исходник'!$T:$T,0),MATCH(B$1,'Исходник'!$1:$1,0)))</f>
        <v/>
      </c>
      <c r="C50" s="1" t="str">
        <f t="array" ref="C50">IFERROR(INDEX('Исходник'!$1:$626,MATCH($A50,'Исходник'!$T:$T,0),MATCH(C$1,'Исходник'!$1:$1,0)))</f>
        <v/>
      </c>
      <c r="D50" s="1" t="str">
        <f t="array" ref="D50">IFERROR(INDEX('Исходник'!$1:$626,MATCH($A50,'Исходник'!$T:$T,0),MATCH(D$1,'Исходник'!$1:$1,0)))</f>
        <v/>
      </c>
      <c r="E50" s="1" t="str">
        <f t="array" ref="E50">IFERROR(INDEX('Исходник'!$1:$626,MATCH($A50,'Исходник'!$T:$T,0),MATCH(E$1,'Исходник'!$1:$1,0)))</f>
        <v/>
      </c>
      <c r="F50" s="1" t="str">
        <f t="array" ref="F50">IFERROR(INDEX('Исходник'!$1:$626,MATCH($A50,'Исходник'!$T:$T,0),MATCH(F$1,'Исходник'!$1:$1,0)))</f>
        <v/>
      </c>
      <c r="G50" s="1" t="str">
        <f t="array" ref="G50">IFERROR(INDEX('Исходник'!$1:$626,MATCH($A50,'Исходник'!$T:$T,0),MATCH(G$1,'Исходник'!$1:$1,0)))</f>
        <v/>
      </c>
      <c r="H50" s="27">
        <f t="shared" si="1"/>
        <v>0</v>
      </c>
      <c r="I50" s="27" t="str">
        <f t="shared" si="2"/>
        <v/>
      </c>
      <c r="J50" s="1" t="str">
        <f t="array" ref="J50">IFERROR(INDEX('Исходник'!$1:$626,MATCH($A50,'Исходник'!$T:$T,0),MATCH(J$1,'Исходник'!$1:$1,0)))</f>
        <v/>
      </c>
      <c r="K50" s="27" t="str">
        <f t="shared" si="3"/>
        <v/>
      </c>
      <c r="L50" s="1" t="str">
        <f t="array" ref="L50">IFERROR(INDEX('Исходник'!$1:$626,MATCH($A50,'Исходник'!$T:$T,0),MATCH(L$1,'Исходник'!$1:$1,0)))</f>
        <v/>
      </c>
      <c r="M50" s="28">
        <f t="shared" si="4"/>
        <v>0</v>
      </c>
      <c r="N50" s="1" t="str">
        <f t="array" ref="N50">IFERROR(INDEX('Исходник'!$1:$626,MATCH($A50,'Исходник'!$T:$T,0),MATCH(N$1,'Исходник'!$1:$1,0)))</f>
        <v/>
      </c>
      <c r="O50" s="27">
        <f t="shared" si="5"/>
        <v>0</v>
      </c>
      <c r="P50" s="27" t="str">
        <f t="shared" si="6"/>
        <v/>
      </c>
      <c r="Q50" s="1" t="str">
        <f t="array" ref="Q50">IFERROR(INDEX('Исходник'!$1:$626,MATCH($A50,'Исходник'!$T:$T,0),MATCH(Q$1,'Исходник'!$1:$1,0)))</f>
        <v/>
      </c>
      <c r="R50" s="1" t="str">
        <f t="array" ref="R50">IFERROR(INDEX('Исходник'!$1:$626,MATCH($A50,'Исходник'!$T:$T,0),MATCH(R$1,'Исходник'!$1:$1,0)))</f>
        <v/>
      </c>
      <c r="S50" s="27">
        <f t="shared" si="7"/>
        <v>0</v>
      </c>
      <c r="T50" s="27" t="str">
        <f t="shared" si="8"/>
        <v/>
      </c>
      <c r="U50" s="1" t="str">
        <f t="array" ref="U50">IFERROR(INDEX('Исходник'!$1:$626,MATCH($A50,'Исходник'!$T:$T,0),MATCH(U$1,'Исходник'!$1:$1,0)))</f>
        <v/>
      </c>
      <c r="V50" s="27" t="str">
        <f t="shared" si="9"/>
        <v/>
      </c>
      <c r="W50" s="1" t="str">
        <f t="array" ref="W50">IFERROR(INDEX('Исходник'!$1:$626,MATCH($A50,'Исходник'!$T:$T,0),MATCH(W$1,'Исходник'!$1:$1,0)))</f>
        <v/>
      </c>
      <c r="X50" s="28">
        <f t="shared" si="10"/>
        <v>0</v>
      </c>
      <c r="Y50" s="1" t="str">
        <f t="array" ref="Y50">IFERROR(INDEX('Исходник'!$1:$626,MATCH($A50,'Исходник'!$T:$T,0),MATCH(Y$1,'Исходник'!$1:$1,0)))</f>
        <v/>
      </c>
      <c r="Z50" s="27">
        <f t="shared" si="11"/>
        <v>0</v>
      </c>
      <c r="AA50" s="27" t="str">
        <f t="shared" si="12"/>
        <v/>
      </c>
      <c r="AB50" s="1" t="str">
        <f t="array" ref="AB50">IFERROR(INDEX('Исходник'!$1:$626,MATCH($A50,'Исходник'!$T:$T,0),MATCH(AB$1,'Исходник'!$1:$1,0)))</f>
        <v/>
      </c>
      <c r="AC50" s="1" t="str">
        <f t="array" ref="AC50">IFERROR(INDEX('Исходник'!$1:$626,MATCH($A50,'Исходник'!$T:$T,0),MATCH(AC$1,'Исходник'!$1:$1,0)))</f>
        <v/>
      </c>
      <c r="AD50" s="27" t="str">
        <f t="shared" si="13"/>
        <v/>
      </c>
      <c r="AE50" s="1" t="str">
        <f t="array" ref="AE50">IFERROR(INDEX('Исходник'!$1:$626,MATCH($A50,'Исходник'!$T:$T,0),MATCH(AE$1,'Исходник'!$1:$1,0)))</f>
        <v/>
      </c>
      <c r="AF50" s="1" t="str">
        <f t="array" ref="AF50">IFERROR(INDEX('Исходник'!$1:$626,MATCH($A50,'Исходник'!$T:$T,0),MATCH(AF$1,'Исходник'!$1:$1,0)))</f>
        <v/>
      </c>
      <c r="AG50" s="27" t="str">
        <f t="shared" si="14"/>
        <v/>
      </c>
      <c r="AH50" s="1" t="str">
        <f t="array" ref="AH50">IFERROR(INDEX('Исходник'!$1:$626,MATCH($A50,'Исходник'!$T:$T,0),MATCH(AH$1,'Исходник'!$1:$1,0)))</f>
        <v/>
      </c>
      <c r="AI50" s="1" t="str">
        <f t="array" ref="AI50">IFERROR(INDEX('Исходник'!$1:$626,MATCH($A50,'Исходник'!$T:$T,0),MATCH(AI$1,'Исходник'!$1:$1,0)))</f>
        <v/>
      </c>
      <c r="AJ50" s="18">
        <f t="shared" si="15"/>
        <v>0</v>
      </c>
    </row>
    <row r="51" ht="15.75" customHeight="1">
      <c r="A51" s="27"/>
      <c r="B51" s="1" t="str">
        <f t="array" ref="B51">IFERROR(INDEX('Исходник'!$1:$626,MATCH($A51,'Исходник'!$T:$T,0),MATCH(B$1,'Исходник'!$1:$1,0)))</f>
        <v/>
      </c>
      <c r="C51" s="1" t="str">
        <f t="array" ref="C51">IFERROR(INDEX('Исходник'!$1:$626,MATCH($A51,'Исходник'!$T:$T,0),MATCH(C$1,'Исходник'!$1:$1,0)))</f>
        <v/>
      </c>
      <c r="D51" s="1" t="str">
        <f t="array" ref="D51">IFERROR(INDEX('Исходник'!$1:$626,MATCH($A51,'Исходник'!$T:$T,0),MATCH(D$1,'Исходник'!$1:$1,0)))</f>
        <v/>
      </c>
      <c r="E51" s="1" t="str">
        <f t="array" ref="E51">IFERROR(INDEX('Исходник'!$1:$626,MATCH($A51,'Исходник'!$T:$T,0),MATCH(E$1,'Исходник'!$1:$1,0)))</f>
        <v/>
      </c>
      <c r="F51" s="1" t="str">
        <f t="array" ref="F51">IFERROR(INDEX('Исходник'!$1:$626,MATCH($A51,'Исходник'!$T:$T,0),MATCH(F$1,'Исходник'!$1:$1,0)))</f>
        <v/>
      </c>
      <c r="G51" s="1" t="str">
        <f t="array" ref="G51">IFERROR(INDEX('Исходник'!$1:$626,MATCH($A51,'Исходник'!$T:$T,0),MATCH(G$1,'Исходник'!$1:$1,0)))</f>
        <v/>
      </c>
      <c r="H51" s="27">
        <f t="shared" si="1"/>
        <v>0</v>
      </c>
      <c r="I51" s="27" t="str">
        <f t="shared" si="2"/>
        <v/>
      </c>
      <c r="J51" s="1" t="str">
        <f t="array" ref="J51">IFERROR(INDEX('Исходник'!$1:$626,MATCH($A51,'Исходник'!$T:$T,0),MATCH(J$1,'Исходник'!$1:$1,0)))</f>
        <v/>
      </c>
      <c r="K51" s="27" t="str">
        <f t="shared" si="3"/>
        <v/>
      </c>
      <c r="L51" s="1" t="str">
        <f t="array" ref="L51">IFERROR(INDEX('Исходник'!$1:$626,MATCH($A51,'Исходник'!$T:$T,0),MATCH(L$1,'Исходник'!$1:$1,0)))</f>
        <v/>
      </c>
      <c r="M51" s="28">
        <f t="shared" si="4"/>
        <v>0</v>
      </c>
      <c r="N51" s="1" t="str">
        <f t="array" ref="N51">IFERROR(INDEX('Исходник'!$1:$626,MATCH($A51,'Исходник'!$T:$T,0),MATCH(N$1,'Исходник'!$1:$1,0)))</f>
        <v/>
      </c>
      <c r="O51" s="27">
        <f t="shared" si="5"/>
        <v>0</v>
      </c>
      <c r="P51" s="27" t="str">
        <f t="shared" si="6"/>
        <v/>
      </c>
      <c r="Q51" s="1" t="str">
        <f t="array" ref="Q51">IFERROR(INDEX('Исходник'!$1:$626,MATCH($A51,'Исходник'!$T:$T,0),MATCH(Q$1,'Исходник'!$1:$1,0)))</f>
        <v/>
      </c>
      <c r="R51" s="1" t="str">
        <f t="array" ref="R51">IFERROR(INDEX('Исходник'!$1:$626,MATCH($A51,'Исходник'!$T:$T,0),MATCH(R$1,'Исходник'!$1:$1,0)))</f>
        <v/>
      </c>
      <c r="S51" s="27">
        <f t="shared" si="7"/>
        <v>0</v>
      </c>
      <c r="T51" s="27" t="str">
        <f t="shared" si="8"/>
        <v/>
      </c>
      <c r="U51" s="1" t="str">
        <f t="array" ref="U51">IFERROR(INDEX('Исходник'!$1:$626,MATCH($A51,'Исходник'!$T:$T,0),MATCH(U$1,'Исходник'!$1:$1,0)))</f>
        <v/>
      </c>
      <c r="V51" s="27" t="str">
        <f t="shared" si="9"/>
        <v/>
      </c>
      <c r="W51" s="1" t="str">
        <f t="array" ref="W51">IFERROR(INDEX('Исходник'!$1:$626,MATCH($A51,'Исходник'!$T:$T,0),MATCH(W$1,'Исходник'!$1:$1,0)))</f>
        <v/>
      </c>
      <c r="X51" s="28">
        <f t="shared" si="10"/>
        <v>0</v>
      </c>
      <c r="Y51" s="1" t="str">
        <f t="array" ref="Y51">IFERROR(INDEX('Исходник'!$1:$626,MATCH($A51,'Исходник'!$T:$T,0),MATCH(Y$1,'Исходник'!$1:$1,0)))</f>
        <v/>
      </c>
      <c r="Z51" s="27">
        <f t="shared" si="11"/>
        <v>0</v>
      </c>
      <c r="AA51" s="27" t="str">
        <f t="shared" si="12"/>
        <v/>
      </c>
      <c r="AB51" s="1" t="str">
        <f t="array" ref="AB51">IFERROR(INDEX('Исходник'!$1:$626,MATCH($A51,'Исходник'!$T:$T,0),MATCH(AB$1,'Исходник'!$1:$1,0)))</f>
        <v/>
      </c>
      <c r="AC51" s="1" t="str">
        <f t="array" ref="AC51">IFERROR(INDEX('Исходник'!$1:$626,MATCH($A51,'Исходник'!$T:$T,0),MATCH(AC$1,'Исходник'!$1:$1,0)))</f>
        <v/>
      </c>
      <c r="AD51" s="27" t="str">
        <f t="shared" si="13"/>
        <v/>
      </c>
      <c r="AE51" s="1" t="str">
        <f t="array" ref="AE51">IFERROR(INDEX('Исходник'!$1:$626,MATCH($A51,'Исходник'!$T:$T,0),MATCH(AE$1,'Исходник'!$1:$1,0)))</f>
        <v/>
      </c>
      <c r="AF51" s="1" t="str">
        <f t="array" ref="AF51">IFERROR(INDEX('Исходник'!$1:$626,MATCH($A51,'Исходник'!$T:$T,0),MATCH(AF$1,'Исходник'!$1:$1,0)))</f>
        <v/>
      </c>
      <c r="AG51" s="27" t="str">
        <f t="shared" si="14"/>
        <v/>
      </c>
      <c r="AH51" s="1" t="str">
        <f t="array" ref="AH51">IFERROR(INDEX('Исходник'!$1:$626,MATCH($A51,'Исходник'!$T:$T,0),MATCH(AH$1,'Исходник'!$1:$1,0)))</f>
        <v/>
      </c>
      <c r="AI51" s="1" t="str">
        <f t="array" ref="AI51">IFERROR(INDEX('Исходник'!$1:$626,MATCH($A51,'Исходник'!$T:$T,0),MATCH(AI$1,'Исходник'!$1:$1,0)))</f>
        <v/>
      </c>
      <c r="AJ51" s="18">
        <f t="shared" si="15"/>
        <v>0</v>
      </c>
    </row>
    <row r="52" ht="15.75" customHeight="1">
      <c r="A52" s="27"/>
      <c r="B52" s="1" t="str">
        <f t="array" ref="B52">IFERROR(INDEX('Исходник'!$1:$626,MATCH($A52,'Исходник'!$T:$T,0),MATCH(B$1,'Исходник'!$1:$1,0)))</f>
        <v/>
      </c>
      <c r="C52" s="1" t="str">
        <f t="array" ref="C52">IFERROR(INDEX('Исходник'!$1:$626,MATCH($A52,'Исходник'!$T:$T,0),MATCH(C$1,'Исходник'!$1:$1,0)))</f>
        <v/>
      </c>
      <c r="D52" s="1" t="str">
        <f t="array" ref="D52">IFERROR(INDEX('Исходник'!$1:$626,MATCH($A52,'Исходник'!$T:$T,0),MATCH(D$1,'Исходник'!$1:$1,0)))</f>
        <v/>
      </c>
      <c r="E52" s="1" t="str">
        <f t="array" ref="E52">IFERROR(INDEX('Исходник'!$1:$626,MATCH($A52,'Исходник'!$T:$T,0),MATCH(E$1,'Исходник'!$1:$1,0)))</f>
        <v/>
      </c>
      <c r="F52" s="1" t="str">
        <f t="array" ref="F52">IFERROR(INDEX('Исходник'!$1:$626,MATCH($A52,'Исходник'!$T:$T,0),MATCH(F$1,'Исходник'!$1:$1,0)))</f>
        <v/>
      </c>
      <c r="G52" s="1" t="str">
        <f t="array" ref="G52">IFERROR(INDEX('Исходник'!$1:$626,MATCH($A52,'Исходник'!$T:$T,0),MATCH(G$1,'Исходник'!$1:$1,0)))</f>
        <v/>
      </c>
      <c r="H52" s="27">
        <f t="shared" si="1"/>
        <v>0</v>
      </c>
      <c r="I52" s="27" t="str">
        <f t="shared" si="2"/>
        <v/>
      </c>
      <c r="J52" s="1" t="str">
        <f t="array" ref="J52">IFERROR(INDEX('Исходник'!$1:$626,MATCH($A52,'Исходник'!$T:$T,0),MATCH(J$1,'Исходник'!$1:$1,0)))</f>
        <v/>
      </c>
      <c r="K52" s="27" t="str">
        <f t="shared" si="3"/>
        <v/>
      </c>
      <c r="L52" s="1" t="str">
        <f t="array" ref="L52">IFERROR(INDEX('Исходник'!$1:$626,MATCH($A52,'Исходник'!$T:$T,0),MATCH(L$1,'Исходник'!$1:$1,0)))</f>
        <v/>
      </c>
      <c r="M52" s="28">
        <f t="shared" si="4"/>
        <v>0</v>
      </c>
      <c r="N52" s="1" t="str">
        <f t="array" ref="N52">IFERROR(INDEX('Исходник'!$1:$626,MATCH($A52,'Исходник'!$T:$T,0),MATCH(N$1,'Исходник'!$1:$1,0)))</f>
        <v/>
      </c>
      <c r="O52" s="27">
        <f t="shared" si="5"/>
        <v>0</v>
      </c>
      <c r="P52" s="27" t="str">
        <f t="shared" si="6"/>
        <v/>
      </c>
      <c r="Q52" s="1" t="str">
        <f t="array" ref="Q52">IFERROR(INDEX('Исходник'!$1:$626,MATCH($A52,'Исходник'!$T:$T,0),MATCH(Q$1,'Исходник'!$1:$1,0)))</f>
        <v/>
      </c>
      <c r="R52" s="1" t="str">
        <f t="array" ref="R52">IFERROR(INDEX('Исходник'!$1:$626,MATCH($A52,'Исходник'!$T:$T,0),MATCH(R$1,'Исходник'!$1:$1,0)))</f>
        <v/>
      </c>
      <c r="S52" s="27">
        <f t="shared" si="7"/>
        <v>0</v>
      </c>
      <c r="T52" s="27" t="str">
        <f t="shared" si="8"/>
        <v/>
      </c>
      <c r="U52" s="1" t="str">
        <f t="array" ref="U52">IFERROR(INDEX('Исходник'!$1:$626,MATCH($A52,'Исходник'!$T:$T,0),MATCH(U$1,'Исходник'!$1:$1,0)))</f>
        <v/>
      </c>
      <c r="V52" s="27" t="str">
        <f t="shared" si="9"/>
        <v/>
      </c>
      <c r="W52" s="1" t="str">
        <f t="array" ref="W52">IFERROR(INDEX('Исходник'!$1:$626,MATCH($A52,'Исходник'!$T:$T,0),MATCH(W$1,'Исходник'!$1:$1,0)))</f>
        <v/>
      </c>
      <c r="X52" s="28">
        <f t="shared" si="10"/>
        <v>0</v>
      </c>
      <c r="Y52" s="1" t="str">
        <f t="array" ref="Y52">IFERROR(INDEX('Исходник'!$1:$626,MATCH($A52,'Исходник'!$T:$T,0),MATCH(Y$1,'Исходник'!$1:$1,0)))</f>
        <v/>
      </c>
      <c r="Z52" s="27">
        <f t="shared" si="11"/>
        <v>0</v>
      </c>
      <c r="AA52" s="27" t="str">
        <f t="shared" si="12"/>
        <v/>
      </c>
      <c r="AB52" s="1" t="str">
        <f t="array" ref="AB52">IFERROR(INDEX('Исходник'!$1:$626,MATCH($A52,'Исходник'!$T:$T,0),MATCH(AB$1,'Исходник'!$1:$1,0)))</f>
        <v/>
      </c>
      <c r="AC52" s="1" t="str">
        <f t="array" ref="AC52">IFERROR(INDEX('Исходник'!$1:$626,MATCH($A52,'Исходник'!$T:$T,0),MATCH(AC$1,'Исходник'!$1:$1,0)))</f>
        <v/>
      </c>
      <c r="AD52" s="27" t="str">
        <f t="shared" si="13"/>
        <v/>
      </c>
      <c r="AE52" s="1" t="str">
        <f t="array" ref="AE52">IFERROR(INDEX('Исходник'!$1:$626,MATCH($A52,'Исходник'!$T:$T,0),MATCH(AE$1,'Исходник'!$1:$1,0)))</f>
        <v/>
      </c>
      <c r="AF52" s="1" t="str">
        <f t="array" ref="AF52">IFERROR(INDEX('Исходник'!$1:$626,MATCH($A52,'Исходник'!$T:$T,0),MATCH(AF$1,'Исходник'!$1:$1,0)))</f>
        <v/>
      </c>
      <c r="AG52" s="27" t="str">
        <f t="shared" si="14"/>
        <v/>
      </c>
      <c r="AH52" s="1" t="str">
        <f t="array" ref="AH52">IFERROR(INDEX('Исходник'!$1:$626,MATCH($A52,'Исходник'!$T:$T,0),MATCH(AH$1,'Исходник'!$1:$1,0)))</f>
        <v/>
      </c>
      <c r="AI52" s="1" t="str">
        <f t="array" ref="AI52">IFERROR(INDEX('Исходник'!$1:$626,MATCH($A52,'Исходник'!$T:$T,0),MATCH(AI$1,'Исходник'!$1:$1,0)))</f>
        <v/>
      </c>
      <c r="AJ52" s="18">
        <f t="shared" si="15"/>
        <v>0</v>
      </c>
      <c r="AL52" s="30"/>
    </row>
    <row r="53" ht="15.75" customHeight="1">
      <c r="A53" s="27"/>
      <c r="B53" s="1" t="str">
        <f t="array" ref="B53">IFERROR(INDEX('Исходник'!$1:$626,MATCH($A53,'Исходник'!$T:$T,0),MATCH(B$1,'Исходник'!$1:$1,0)))</f>
        <v/>
      </c>
      <c r="C53" s="1" t="str">
        <f t="array" ref="C53">IFERROR(INDEX('Исходник'!$1:$626,MATCH($A53,'Исходник'!$T:$T,0),MATCH(C$1,'Исходник'!$1:$1,0)))</f>
        <v/>
      </c>
      <c r="D53" s="1" t="str">
        <f t="array" ref="D53">IFERROR(INDEX('Исходник'!$1:$626,MATCH($A53,'Исходник'!$T:$T,0),MATCH(D$1,'Исходник'!$1:$1,0)))</f>
        <v/>
      </c>
      <c r="E53" s="1" t="str">
        <f t="array" ref="E53">IFERROR(INDEX('Исходник'!$1:$626,MATCH($A53,'Исходник'!$T:$T,0),MATCH(E$1,'Исходник'!$1:$1,0)))</f>
        <v/>
      </c>
      <c r="F53" s="1" t="str">
        <f t="array" ref="F53">IFERROR(INDEX('Исходник'!$1:$626,MATCH($A53,'Исходник'!$T:$T,0),MATCH(F$1,'Исходник'!$1:$1,0)))</f>
        <v/>
      </c>
      <c r="G53" s="1" t="str">
        <f t="array" ref="G53">IFERROR(INDEX('Исходник'!$1:$626,MATCH($A53,'Исходник'!$T:$T,0),MATCH(G$1,'Исходник'!$1:$1,0)))</f>
        <v/>
      </c>
      <c r="H53" s="27">
        <f t="shared" si="1"/>
        <v>0</v>
      </c>
      <c r="I53" s="27" t="str">
        <f t="shared" si="2"/>
        <v/>
      </c>
      <c r="J53" s="1" t="str">
        <f t="array" ref="J53">IFERROR(INDEX('Исходник'!$1:$626,MATCH($A53,'Исходник'!$T:$T,0),MATCH(J$1,'Исходник'!$1:$1,0)))</f>
        <v/>
      </c>
      <c r="K53" s="27" t="str">
        <f t="shared" si="3"/>
        <v/>
      </c>
      <c r="L53" s="1" t="str">
        <f t="array" ref="L53">IFERROR(INDEX('Исходник'!$1:$626,MATCH($A53,'Исходник'!$T:$T,0),MATCH(L$1,'Исходник'!$1:$1,0)))</f>
        <v/>
      </c>
      <c r="M53" s="28">
        <f t="shared" si="4"/>
        <v>0</v>
      </c>
      <c r="N53" s="1" t="str">
        <f t="array" ref="N53">IFERROR(INDEX('Исходник'!$1:$626,MATCH($A53,'Исходник'!$T:$T,0),MATCH(N$1,'Исходник'!$1:$1,0)))</f>
        <v/>
      </c>
      <c r="O53" s="27">
        <f t="shared" si="5"/>
        <v>0</v>
      </c>
      <c r="P53" s="27" t="str">
        <f t="shared" si="6"/>
        <v/>
      </c>
      <c r="Q53" s="1" t="str">
        <f t="array" ref="Q53">IFERROR(INDEX('Исходник'!$1:$626,MATCH($A53,'Исходник'!$T:$T,0),MATCH(Q$1,'Исходник'!$1:$1,0)))</f>
        <v/>
      </c>
      <c r="R53" s="1" t="str">
        <f t="array" ref="R53">IFERROR(INDEX('Исходник'!$1:$626,MATCH($A53,'Исходник'!$T:$T,0),MATCH(R$1,'Исходник'!$1:$1,0)))</f>
        <v/>
      </c>
      <c r="S53" s="27">
        <f t="shared" si="7"/>
        <v>0</v>
      </c>
      <c r="T53" s="27" t="str">
        <f t="shared" si="8"/>
        <v/>
      </c>
      <c r="U53" s="1" t="str">
        <f t="array" ref="U53">IFERROR(INDEX('Исходник'!$1:$626,MATCH($A53,'Исходник'!$T:$T,0),MATCH(U$1,'Исходник'!$1:$1,0)))</f>
        <v/>
      </c>
      <c r="V53" s="27" t="str">
        <f t="shared" si="9"/>
        <v/>
      </c>
      <c r="W53" s="1" t="str">
        <f t="array" ref="W53">IFERROR(INDEX('Исходник'!$1:$626,MATCH($A53,'Исходник'!$T:$T,0),MATCH(W$1,'Исходник'!$1:$1,0)))</f>
        <v/>
      </c>
      <c r="X53" s="28">
        <f t="shared" si="10"/>
        <v>0</v>
      </c>
      <c r="Y53" s="1" t="str">
        <f t="array" ref="Y53">IFERROR(INDEX('Исходник'!$1:$626,MATCH($A53,'Исходник'!$T:$T,0),MATCH(Y$1,'Исходник'!$1:$1,0)))</f>
        <v/>
      </c>
      <c r="Z53" s="27">
        <f t="shared" si="11"/>
        <v>0</v>
      </c>
      <c r="AA53" s="27" t="str">
        <f t="shared" si="12"/>
        <v/>
      </c>
      <c r="AB53" s="1" t="str">
        <f t="array" ref="AB53">IFERROR(INDEX('Исходник'!$1:$626,MATCH($A53,'Исходник'!$T:$T,0),MATCH(AB$1,'Исходник'!$1:$1,0)))</f>
        <v/>
      </c>
      <c r="AC53" s="1" t="str">
        <f t="array" ref="AC53">IFERROR(INDEX('Исходник'!$1:$626,MATCH($A53,'Исходник'!$T:$T,0),MATCH(AC$1,'Исходник'!$1:$1,0)))</f>
        <v/>
      </c>
      <c r="AD53" s="27" t="str">
        <f t="shared" si="13"/>
        <v/>
      </c>
      <c r="AE53" s="1" t="str">
        <f t="array" ref="AE53">IFERROR(INDEX('Исходник'!$1:$626,MATCH($A53,'Исходник'!$T:$T,0),MATCH(AE$1,'Исходник'!$1:$1,0)))</f>
        <v/>
      </c>
      <c r="AF53" s="1" t="str">
        <f t="array" ref="AF53">IFERROR(INDEX('Исходник'!$1:$626,MATCH($A53,'Исходник'!$T:$T,0),MATCH(AF$1,'Исходник'!$1:$1,0)))</f>
        <v/>
      </c>
      <c r="AG53" s="27" t="str">
        <f t="shared" si="14"/>
        <v/>
      </c>
      <c r="AH53" s="1" t="str">
        <f t="array" ref="AH53">IFERROR(INDEX('Исходник'!$1:$626,MATCH($A53,'Исходник'!$T:$T,0),MATCH(AH$1,'Исходник'!$1:$1,0)))</f>
        <v/>
      </c>
      <c r="AI53" s="1" t="str">
        <f t="array" ref="AI53">IFERROR(INDEX('Исходник'!$1:$626,MATCH($A53,'Исходник'!$T:$T,0),MATCH(AI$1,'Исходник'!$1:$1,0)))</f>
        <v/>
      </c>
      <c r="AJ53" s="18">
        <f t="shared" si="15"/>
        <v>0</v>
      </c>
      <c r="AL53" s="30"/>
    </row>
    <row r="54" ht="15.75" customHeight="1">
      <c r="A54" s="27"/>
      <c r="B54" s="1" t="str">
        <f t="array" ref="B54">IFERROR(INDEX('Исходник'!$1:$626,MATCH($A54,'Исходник'!$T:$T,0),MATCH(B$1,'Исходник'!$1:$1,0)))</f>
        <v/>
      </c>
      <c r="C54" s="1" t="str">
        <f t="array" ref="C54">IFERROR(INDEX('Исходник'!$1:$626,MATCH($A54,'Исходник'!$T:$T,0),MATCH(C$1,'Исходник'!$1:$1,0)))</f>
        <v/>
      </c>
      <c r="D54" s="1" t="str">
        <f t="array" ref="D54">IFERROR(INDEX('Исходник'!$1:$626,MATCH($A54,'Исходник'!$T:$T,0),MATCH(D$1,'Исходник'!$1:$1,0)))</f>
        <v/>
      </c>
      <c r="E54" s="1" t="str">
        <f t="array" ref="E54">IFERROR(INDEX('Исходник'!$1:$626,MATCH($A54,'Исходник'!$T:$T,0),MATCH(E$1,'Исходник'!$1:$1,0)))</f>
        <v/>
      </c>
      <c r="F54" s="1" t="str">
        <f t="array" ref="F54">IFERROR(INDEX('Исходник'!$1:$626,MATCH($A54,'Исходник'!$T:$T,0),MATCH(F$1,'Исходник'!$1:$1,0)))</f>
        <v/>
      </c>
      <c r="G54" s="1" t="str">
        <f t="array" ref="G54">IFERROR(INDEX('Исходник'!$1:$626,MATCH($A54,'Исходник'!$T:$T,0),MATCH(G$1,'Исходник'!$1:$1,0)))</f>
        <v/>
      </c>
      <c r="H54" s="27">
        <f t="shared" si="1"/>
        <v>0</v>
      </c>
      <c r="I54" s="27" t="str">
        <f t="shared" si="2"/>
        <v/>
      </c>
      <c r="J54" s="1" t="str">
        <f t="array" ref="J54">IFERROR(INDEX('Исходник'!$1:$626,MATCH($A54,'Исходник'!$T:$T,0),MATCH(J$1,'Исходник'!$1:$1,0)))</f>
        <v/>
      </c>
      <c r="K54" s="27" t="str">
        <f t="shared" si="3"/>
        <v/>
      </c>
      <c r="L54" s="1" t="str">
        <f t="array" ref="L54">IFERROR(INDEX('Исходник'!$1:$626,MATCH($A54,'Исходник'!$T:$T,0),MATCH(L$1,'Исходник'!$1:$1,0)))</f>
        <v/>
      </c>
      <c r="M54" s="28">
        <f t="shared" si="4"/>
        <v>0</v>
      </c>
      <c r="N54" s="1" t="str">
        <f t="array" ref="N54">IFERROR(INDEX('Исходник'!$1:$626,MATCH($A54,'Исходник'!$T:$T,0),MATCH(N$1,'Исходник'!$1:$1,0)))</f>
        <v/>
      </c>
      <c r="O54" s="27">
        <f t="shared" si="5"/>
        <v>0</v>
      </c>
      <c r="P54" s="27" t="str">
        <f t="shared" si="6"/>
        <v/>
      </c>
      <c r="Q54" s="1" t="str">
        <f t="array" ref="Q54">IFERROR(INDEX('Исходник'!$1:$626,MATCH($A54,'Исходник'!$T:$T,0),MATCH(Q$1,'Исходник'!$1:$1,0)))</f>
        <v/>
      </c>
      <c r="R54" s="1" t="str">
        <f t="array" ref="R54">IFERROR(INDEX('Исходник'!$1:$626,MATCH($A54,'Исходник'!$T:$T,0),MATCH(R$1,'Исходник'!$1:$1,0)))</f>
        <v/>
      </c>
      <c r="S54" s="27">
        <f t="shared" si="7"/>
        <v>0</v>
      </c>
      <c r="T54" s="27" t="str">
        <f t="shared" si="8"/>
        <v/>
      </c>
      <c r="U54" s="1" t="str">
        <f t="array" ref="U54">IFERROR(INDEX('Исходник'!$1:$626,MATCH($A54,'Исходник'!$T:$T,0),MATCH(U$1,'Исходник'!$1:$1,0)))</f>
        <v/>
      </c>
      <c r="V54" s="27" t="str">
        <f t="shared" si="9"/>
        <v/>
      </c>
      <c r="W54" s="1" t="str">
        <f t="array" ref="W54">IFERROR(INDEX('Исходник'!$1:$626,MATCH($A54,'Исходник'!$T:$T,0),MATCH(W$1,'Исходник'!$1:$1,0)))</f>
        <v/>
      </c>
      <c r="X54" s="28">
        <f t="shared" si="10"/>
        <v>0</v>
      </c>
      <c r="Y54" s="1" t="str">
        <f t="array" ref="Y54">IFERROR(INDEX('Исходник'!$1:$626,MATCH($A54,'Исходник'!$T:$T,0),MATCH(Y$1,'Исходник'!$1:$1,0)))</f>
        <v/>
      </c>
      <c r="Z54" s="27">
        <f t="shared" si="11"/>
        <v>0</v>
      </c>
      <c r="AA54" s="27" t="str">
        <f t="shared" si="12"/>
        <v/>
      </c>
      <c r="AB54" s="1" t="str">
        <f t="array" ref="AB54">IFERROR(INDEX('Исходник'!$1:$626,MATCH($A54,'Исходник'!$T:$T,0),MATCH(AB$1,'Исходник'!$1:$1,0)))</f>
        <v/>
      </c>
      <c r="AC54" s="1" t="str">
        <f t="array" ref="AC54">IFERROR(INDEX('Исходник'!$1:$626,MATCH($A54,'Исходник'!$T:$T,0),MATCH(AC$1,'Исходник'!$1:$1,0)))</f>
        <v/>
      </c>
      <c r="AD54" s="27" t="str">
        <f t="shared" si="13"/>
        <v/>
      </c>
      <c r="AE54" s="1" t="str">
        <f t="array" ref="AE54">IFERROR(INDEX('Исходник'!$1:$626,MATCH($A54,'Исходник'!$T:$T,0),MATCH(AE$1,'Исходник'!$1:$1,0)))</f>
        <v/>
      </c>
      <c r="AF54" s="1" t="str">
        <f t="array" ref="AF54">IFERROR(INDEX('Исходник'!$1:$626,MATCH($A54,'Исходник'!$T:$T,0),MATCH(AF$1,'Исходник'!$1:$1,0)))</f>
        <v/>
      </c>
      <c r="AG54" s="27" t="str">
        <f t="shared" si="14"/>
        <v/>
      </c>
      <c r="AH54" s="1" t="str">
        <f t="array" ref="AH54">IFERROR(INDEX('Исходник'!$1:$626,MATCH($A54,'Исходник'!$T:$T,0),MATCH(AH$1,'Исходник'!$1:$1,0)))</f>
        <v/>
      </c>
      <c r="AI54" s="1" t="str">
        <f t="array" ref="AI54">IFERROR(INDEX('Исходник'!$1:$626,MATCH($A54,'Исходник'!$T:$T,0),MATCH(AI$1,'Исходник'!$1:$1,0)))</f>
        <v/>
      </c>
      <c r="AJ54" s="18">
        <f t="shared" si="15"/>
        <v>0</v>
      </c>
      <c r="AL54" s="30"/>
    </row>
    <row r="55" ht="15.75" customHeight="1">
      <c r="A55" s="27"/>
      <c r="B55" s="1" t="str">
        <f t="array" ref="B55">IFERROR(INDEX('Исходник'!$1:$626,MATCH($A55,'Исходник'!$T:$T,0),MATCH(B$1,'Исходник'!$1:$1,0)))</f>
        <v/>
      </c>
      <c r="C55" s="1" t="str">
        <f t="array" ref="C55">IFERROR(INDEX('Исходник'!$1:$626,MATCH($A55,'Исходник'!$T:$T,0),MATCH(C$1,'Исходник'!$1:$1,0)))</f>
        <v/>
      </c>
      <c r="D55" s="1" t="str">
        <f t="array" ref="D55">IFERROR(INDEX('Исходник'!$1:$626,MATCH($A55,'Исходник'!$T:$T,0),MATCH(D$1,'Исходник'!$1:$1,0)))</f>
        <v/>
      </c>
      <c r="E55" s="1" t="str">
        <f t="array" ref="E55">IFERROR(INDEX('Исходник'!$1:$626,MATCH($A55,'Исходник'!$T:$T,0),MATCH(E$1,'Исходник'!$1:$1,0)))</f>
        <v/>
      </c>
      <c r="F55" s="1" t="str">
        <f t="array" ref="F55">IFERROR(INDEX('Исходник'!$1:$626,MATCH($A55,'Исходник'!$T:$T,0),MATCH(F$1,'Исходник'!$1:$1,0)))</f>
        <v/>
      </c>
      <c r="G55" s="1" t="str">
        <f t="array" ref="G55">IFERROR(INDEX('Исходник'!$1:$626,MATCH($A55,'Исходник'!$T:$T,0),MATCH(G$1,'Исходник'!$1:$1,0)))</f>
        <v/>
      </c>
      <c r="H55" s="27">
        <f t="shared" si="1"/>
        <v>0</v>
      </c>
      <c r="I55" s="27" t="str">
        <f t="shared" si="2"/>
        <v/>
      </c>
      <c r="J55" s="1" t="str">
        <f t="array" ref="J55">IFERROR(INDEX('Исходник'!$1:$626,MATCH($A55,'Исходник'!$T:$T,0),MATCH(J$1,'Исходник'!$1:$1,0)))</f>
        <v/>
      </c>
      <c r="K55" s="27" t="str">
        <f t="shared" si="3"/>
        <v/>
      </c>
      <c r="L55" s="1" t="str">
        <f t="array" ref="L55">IFERROR(INDEX('Исходник'!$1:$626,MATCH($A55,'Исходник'!$T:$T,0),MATCH(L$1,'Исходник'!$1:$1,0)))</f>
        <v/>
      </c>
      <c r="M55" s="28">
        <f t="shared" si="4"/>
        <v>0</v>
      </c>
      <c r="N55" s="1" t="str">
        <f t="array" ref="N55">IFERROR(INDEX('Исходник'!$1:$626,MATCH($A55,'Исходник'!$T:$T,0),MATCH(N$1,'Исходник'!$1:$1,0)))</f>
        <v/>
      </c>
      <c r="O55" s="27">
        <f t="shared" si="5"/>
        <v>0</v>
      </c>
      <c r="P55" s="27" t="str">
        <f t="shared" si="6"/>
        <v/>
      </c>
      <c r="Q55" s="1" t="str">
        <f t="array" ref="Q55">IFERROR(INDEX('Исходник'!$1:$626,MATCH($A55,'Исходник'!$T:$T,0),MATCH(Q$1,'Исходник'!$1:$1,0)))</f>
        <v/>
      </c>
      <c r="R55" s="1" t="str">
        <f t="array" ref="R55">IFERROR(INDEX('Исходник'!$1:$626,MATCH($A55,'Исходник'!$T:$T,0),MATCH(R$1,'Исходник'!$1:$1,0)))</f>
        <v/>
      </c>
      <c r="S55" s="27">
        <f t="shared" si="7"/>
        <v>0</v>
      </c>
      <c r="T55" s="27" t="str">
        <f t="shared" si="8"/>
        <v/>
      </c>
      <c r="U55" s="1" t="str">
        <f t="array" ref="U55">IFERROR(INDEX('Исходник'!$1:$626,MATCH($A55,'Исходник'!$T:$T,0),MATCH(U$1,'Исходник'!$1:$1,0)))</f>
        <v/>
      </c>
      <c r="V55" s="27" t="str">
        <f t="shared" si="9"/>
        <v/>
      </c>
      <c r="W55" s="1" t="str">
        <f t="array" ref="W55">IFERROR(INDEX('Исходник'!$1:$626,MATCH($A55,'Исходник'!$T:$T,0),MATCH(W$1,'Исходник'!$1:$1,0)))</f>
        <v/>
      </c>
      <c r="X55" s="28">
        <f t="shared" si="10"/>
        <v>0</v>
      </c>
      <c r="Y55" s="1" t="str">
        <f t="array" ref="Y55">IFERROR(INDEX('Исходник'!$1:$626,MATCH($A55,'Исходник'!$T:$T,0),MATCH(Y$1,'Исходник'!$1:$1,0)))</f>
        <v/>
      </c>
      <c r="Z55" s="27">
        <f t="shared" si="11"/>
        <v>0</v>
      </c>
      <c r="AA55" s="27" t="str">
        <f t="shared" si="12"/>
        <v/>
      </c>
      <c r="AB55" s="1" t="str">
        <f t="array" ref="AB55">IFERROR(INDEX('Исходник'!$1:$626,MATCH($A55,'Исходник'!$T:$T,0),MATCH(AB$1,'Исходник'!$1:$1,0)))</f>
        <v/>
      </c>
      <c r="AC55" s="1" t="str">
        <f t="array" ref="AC55">IFERROR(INDEX('Исходник'!$1:$626,MATCH($A55,'Исходник'!$T:$T,0),MATCH(AC$1,'Исходник'!$1:$1,0)))</f>
        <v/>
      </c>
      <c r="AD55" s="27" t="str">
        <f t="shared" si="13"/>
        <v/>
      </c>
      <c r="AE55" s="1" t="str">
        <f t="array" ref="AE55">IFERROR(INDEX('Исходник'!$1:$626,MATCH($A55,'Исходник'!$T:$T,0),MATCH(AE$1,'Исходник'!$1:$1,0)))</f>
        <v/>
      </c>
      <c r="AF55" s="1" t="str">
        <f t="array" ref="AF55">IFERROR(INDEX('Исходник'!$1:$626,MATCH($A55,'Исходник'!$T:$T,0),MATCH(AF$1,'Исходник'!$1:$1,0)))</f>
        <v/>
      </c>
      <c r="AG55" s="27" t="str">
        <f t="shared" si="14"/>
        <v/>
      </c>
      <c r="AH55" s="1" t="str">
        <f t="array" ref="AH55">IFERROR(INDEX('Исходник'!$1:$626,MATCH($A55,'Исходник'!$T:$T,0),MATCH(AH$1,'Исходник'!$1:$1,0)))</f>
        <v/>
      </c>
      <c r="AI55" s="1" t="str">
        <f t="array" ref="AI55">IFERROR(INDEX('Исходник'!$1:$626,MATCH($A55,'Исходник'!$T:$T,0),MATCH(AI$1,'Исходник'!$1:$1,0)))</f>
        <v/>
      </c>
      <c r="AJ55" s="18">
        <f t="shared" si="15"/>
        <v>0</v>
      </c>
      <c r="AL55" s="30"/>
    </row>
    <row r="56" ht="15.75" customHeight="1">
      <c r="A56" s="27"/>
      <c r="B56" s="1" t="str">
        <f t="array" ref="B56">IFERROR(INDEX('Исходник'!$1:$626,MATCH($A56,'Исходник'!$T:$T,0),MATCH(B$1,'Исходник'!$1:$1,0)))</f>
        <v/>
      </c>
      <c r="C56" s="1" t="str">
        <f t="array" ref="C56">IFERROR(INDEX('Исходник'!$1:$626,MATCH($A56,'Исходник'!$T:$T,0),MATCH(C$1,'Исходник'!$1:$1,0)))</f>
        <v/>
      </c>
      <c r="D56" s="1" t="str">
        <f t="array" ref="D56">IFERROR(INDEX('Исходник'!$1:$626,MATCH($A56,'Исходник'!$T:$T,0),MATCH(D$1,'Исходник'!$1:$1,0)))</f>
        <v/>
      </c>
      <c r="E56" s="1" t="str">
        <f t="array" ref="E56">IFERROR(INDEX('Исходник'!$1:$626,MATCH($A56,'Исходник'!$T:$T,0),MATCH(E$1,'Исходник'!$1:$1,0)))</f>
        <v/>
      </c>
      <c r="F56" s="1" t="str">
        <f t="array" ref="F56">IFERROR(INDEX('Исходник'!$1:$626,MATCH($A56,'Исходник'!$T:$T,0),MATCH(F$1,'Исходник'!$1:$1,0)))</f>
        <v/>
      </c>
      <c r="G56" s="1" t="str">
        <f t="array" ref="G56">IFERROR(INDEX('Исходник'!$1:$626,MATCH($A56,'Исходник'!$T:$T,0),MATCH(G$1,'Исходник'!$1:$1,0)))</f>
        <v/>
      </c>
      <c r="H56" s="27">
        <f t="shared" si="1"/>
        <v>0</v>
      </c>
      <c r="I56" s="27" t="str">
        <f t="shared" si="2"/>
        <v/>
      </c>
      <c r="J56" s="1" t="str">
        <f t="array" ref="J56">IFERROR(INDEX('Исходник'!$1:$626,MATCH($A56,'Исходник'!$T:$T,0),MATCH(J$1,'Исходник'!$1:$1,0)))</f>
        <v/>
      </c>
      <c r="K56" s="27" t="str">
        <f t="shared" si="3"/>
        <v/>
      </c>
      <c r="L56" s="1" t="str">
        <f t="array" ref="L56">IFERROR(INDEX('Исходник'!$1:$626,MATCH($A56,'Исходник'!$T:$T,0),MATCH(L$1,'Исходник'!$1:$1,0)))</f>
        <v/>
      </c>
      <c r="M56" s="28">
        <f t="shared" si="4"/>
        <v>0</v>
      </c>
      <c r="N56" s="1" t="str">
        <f t="array" ref="N56">IFERROR(INDEX('Исходник'!$1:$626,MATCH($A56,'Исходник'!$T:$T,0),MATCH(N$1,'Исходник'!$1:$1,0)))</f>
        <v/>
      </c>
      <c r="O56" s="27">
        <f t="shared" si="5"/>
        <v>0</v>
      </c>
      <c r="P56" s="27" t="str">
        <f t="shared" si="6"/>
        <v/>
      </c>
      <c r="Q56" s="1" t="str">
        <f t="array" ref="Q56">IFERROR(INDEX('Исходник'!$1:$626,MATCH($A56,'Исходник'!$T:$T,0),MATCH(Q$1,'Исходник'!$1:$1,0)))</f>
        <v/>
      </c>
      <c r="R56" s="1" t="str">
        <f t="array" ref="R56">IFERROR(INDEX('Исходник'!$1:$626,MATCH($A56,'Исходник'!$T:$T,0),MATCH(R$1,'Исходник'!$1:$1,0)))</f>
        <v/>
      </c>
      <c r="S56" s="27">
        <f t="shared" si="7"/>
        <v>0</v>
      </c>
      <c r="T56" s="27" t="str">
        <f t="shared" si="8"/>
        <v/>
      </c>
      <c r="U56" s="1" t="str">
        <f t="array" ref="U56">IFERROR(INDEX('Исходник'!$1:$626,MATCH($A56,'Исходник'!$T:$T,0),MATCH(U$1,'Исходник'!$1:$1,0)))</f>
        <v/>
      </c>
      <c r="V56" s="27" t="str">
        <f t="shared" si="9"/>
        <v/>
      </c>
      <c r="W56" s="1" t="str">
        <f t="array" ref="W56">IFERROR(INDEX('Исходник'!$1:$626,MATCH($A56,'Исходник'!$T:$T,0),MATCH(W$1,'Исходник'!$1:$1,0)))</f>
        <v/>
      </c>
      <c r="X56" s="28">
        <f t="shared" si="10"/>
        <v>0</v>
      </c>
      <c r="Y56" s="1" t="str">
        <f t="array" ref="Y56">IFERROR(INDEX('Исходник'!$1:$626,MATCH($A56,'Исходник'!$T:$T,0),MATCH(Y$1,'Исходник'!$1:$1,0)))</f>
        <v/>
      </c>
      <c r="Z56" s="27">
        <f t="shared" si="11"/>
        <v>0</v>
      </c>
      <c r="AA56" s="27" t="str">
        <f t="shared" si="12"/>
        <v/>
      </c>
      <c r="AB56" s="1" t="str">
        <f t="array" ref="AB56">IFERROR(INDEX('Исходник'!$1:$626,MATCH($A56,'Исходник'!$T:$T,0),MATCH(AB$1,'Исходник'!$1:$1,0)))</f>
        <v/>
      </c>
      <c r="AC56" s="1" t="str">
        <f t="array" ref="AC56">IFERROR(INDEX('Исходник'!$1:$626,MATCH($A56,'Исходник'!$T:$T,0),MATCH(AC$1,'Исходник'!$1:$1,0)))</f>
        <v/>
      </c>
      <c r="AD56" s="27" t="str">
        <f t="shared" si="13"/>
        <v/>
      </c>
      <c r="AE56" s="1" t="str">
        <f t="array" ref="AE56">IFERROR(INDEX('Исходник'!$1:$626,MATCH($A56,'Исходник'!$T:$T,0),MATCH(AE$1,'Исходник'!$1:$1,0)))</f>
        <v/>
      </c>
      <c r="AF56" s="1" t="str">
        <f t="array" ref="AF56">IFERROR(INDEX('Исходник'!$1:$626,MATCH($A56,'Исходник'!$T:$T,0),MATCH(AF$1,'Исходник'!$1:$1,0)))</f>
        <v/>
      </c>
      <c r="AG56" s="27" t="str">
        <f t="shared" si="14"/>
        <v/>
      </c>
      <c r="AH56" s="1" t="str">
        <f t="array" ref="AH56">IFERROR(INDEX('Исходник'!$1:$626,MATCH($A56,'Исходник'!$T:$T,0),MATCH(AH$1,'Исходник'!$1:$1,0)))</f>
        <v/>
      </c>
      <c r="AI56" s="1" t="str">
        <f t="array" ref="AI56">IFERROR(INDEX('Исходник'!$1:$626,MATCH($A56,'Исходник'!$T:$T,0),MATCH(AI$1,'Исходник'!$1:$1,0)))</f>
        <v/>
      </c>
      <c r="AJ56" s="18">
        <f t="shared" si="15"/>
        <v>0</v>
      </c>
      <c r="AL56" s="30"/>
    </row>
    <row r="57" ht="15.75" customHeight="1">
      <c r="A57" s="27"/>
      <c r="B57" s="1" t="str">
        <f t="array" ref="B57">IFERROR(INDEX('Исходник'!$1:$626,MATCH($A57,'Исходник'!$T:$T,0),MATCH(B$1,'Исходник'!$1:$1,0)))</f>
        <v/>
      </c>
      <c r="C57" s="1" t="str">
        <f t="array" ref="C57">IFERROR(INDEX('Исходник'!$1:$626,MATCH($A57,'Исходник'!$T:$T,0),MATCH(C$1,'Исходник'!$1:$1,0)))</f>
        <v/>
      </c>
      <c r="D57" s="1" t="str">
        <f t="array" ref="D57">IFERROR(INDEX('Исходник'!$1:$626,MATCH($A57,'Исходник'!$T:$T,0),MATCH(D$1,'Исходник'!$1:$1,0)))</f>
        <v/>
      </c>
      <c r="E57" s="1" t="str">
        <f t="array" ref="E57">IFERROR(INDEX('Исходник'!$1:$626,MATCH($A57,'Исходник'!$T:$T,0),MATCH(E$1,'Исходник'!$1:$1,0)))</f>
        <v/>
      </c>
      <c r="F57" s="1" t="str">
        <f t="array" ref="F57">IFERROR(INDEX('Исходник'!$1:$626,MATCH($A57,'Исходник'!$T:$T,0),MATCH(F$1,'Исходник'!$1:$1,0)))</f>
        <v/>
      </c>
      <c r="G57" s="1" t="str">
        <f t="array" ref="G57">IFERROR(INDEX('Исходник'!$1:$626,MATCH($A57,'Исходник'!$T:$T,0),MATCH(G$1,'Исходник'!$1:$1,0)))</f>
        <v/>
      </c>
      <c r="H57" s="27">
        <f t="shared" si="1"/>
        <v>0</v>
      </c>
      <c r="I57" s="27" t="str">
        <f t="shared" si="2"/>
        <v/>
      </c>
      <c r="J57" s="1" t="str">
        <f t="array" ref="J57">IFERROR(INDEX('Исходник'!$1:$626,MATCH($A57,'Исходник'!$T:$T,0),MATCH(J$1,'Исходник'!$1:$1,0)))</f>
        <v/>
      </c>
      <c r="K57" s="27" t="str">
        <f t="shared" si="3"/>
        <v/>
      </c>
      <c r="L57" s="1" t="str">
        <f t="array" ref="L57">IFERROR(INDEX('Исходник'!$1:$626,MATCH($A57,'Исходник'!$T:$T,0),MATCH(L$1,'Исходник'!$1:$1,0)))</f>
        <v/>
      </c>
      <c r="M57" s="28">
        <f t="shared" si="4"/>
        <v>0</v>
      </c>
      <c r="N57" s="1" t="str">
        <f t="array" ref="N57">IFERROR(INDEX('Исходник'!$1:$626,MATCH($A57,'Исходник'!$T:$T,0),MATCH(N$1,'Исходник'!$1:$1,0)))</f>
        <v/>
      </c>
      <c r="O57" s="27">
        <f t="shared" si="5"/>
        <v>0</v>
      </c>
      <c r="P57" s="27" t="str">
        <f t="shared" si="6"/>
        <v/>
      </c>
      <c r="Q57" s="1" t="str">
        <f t="array" ref="Q57">IFERROR(INDEX('Исходник'!$1:$626,MATCH($A57,'Исходник'!$T:$T,0),MATCH(Q$1,'Исходник'!$1:$1,0)))</f>
        <v/>
      </c>
      <c r="R57" s="1" t="str">
        <f t="array" ref="R57">IFERROR(INDEX('Исходник'!$1:$626,MATCH($A57,'Исходник'!$T:$T,0),MATCH(R$1,'Исходник'!$1:$1,0)))</f>
        <v/>
      </c>
      <c r="S57" s="27">
        <f t="shared" si="7"/>
        <v>0</v>
      </c>
      <c r="T57" s="27" t="str">
        <f t="shared" si="8"/>
        <v/>
      </c>
      <c r="U57" s="1" t="str">
        <f t="array" ref="U57">IFERROR(INDEX('Исходник'!$1:$626,MATCH($A57,'Исходник'!$T:$T,0),MATCH(U$1,'Исходник'!$1:$1,0)))</f>
        <v/>
      </c>
      <c r="V57" s="27" t="str">
        <f t="shared" si="9"/>
        <v/>
      </c>
      <c r="W57" s="1" t="str">
        <f t="array" ref="W57">IFERROR(INDEX('Исходник'!$1:$626,MATCH($A57,'Исходник'!$T:$T,0),MATCH(W$1,'Исходник'!$1:$1,0)))</f>
        <v/>
      </c>
      <c r="X57" s="28">
        <f t="shared" si="10"/>
        <v>0</v>
      </c>
      <c r="Y57" s="1" t="str">
        <f t="array" ref="Y57">IFERROR(INDEX('Исходник'!$1:$626,MATCH($A57,'Исходник'!$T:$T,0),MATCH(Y$1,'Исходник'!$1:$1,0)))</f>
        <v/>
      </c>
      <c r="Z57" s="27">
        <f t="shared" si="11"/>
        <v>0</v>
      </c>
      <c r="AA57" s="27" t="str">
        <f t="shared" si="12"/>
        <v/>
      </c>
      <c r="AB57" s="1" t="str">
        <f t="array" ref="AB57">IFERROR(INDEX('Исходник'!$1:$626,MATCH($A57,'Исходник'!$T:$T,0),MATCH(AB$1,'Исходник'!$1:$1,0)))</f>
        <v/>
      </c>
      <c r="AC57" s="1" t="str">
        <f t="array" ref="AC57">IFERROR(INDEX('Исходник'!$1:$626,MATCH($A57,'Исходник'!$T:$T,0),MATCH(AC$1,'Исходник'!$1:$1,0)))</f>
        <v/>
      </c>
      <c r="AD57" s="27" t="str">
        <f t="shared" si="13"/>
        <v/>
      </c>
      <c r="AE57" s="1" t="str">
        <f t="array" ref="AE57">IFERROR(INDEX('Исходник'!$1:$626,MATCH($A57,'Исходник'!$T:$T,0),MATCH(AE$1,'Исходник'!$1:$1,0)))</f>
        <v/>
      </c>
      <c r="AF57" s="1" t="str">
        <f t="array" ref="AF57">IFERROR(INDEX('Исходник'!$1:$626,MATCH($A57,'Исходник'!$T:$T,0),MATCH(AF$1,'Исходник'!$1:$1,0)))</f>
        <v/>
      </c>
      <c r="AG57" s="27" t="str">
        <f t="shared" si="14"/>
        <v/>
      </c>
      <c r="AH57" s="1" t="str">
        <f t="array" ref="AH57">IFERROR(INDEX('Исходник'!$1:$626,MATCH($A57,'Исходник'!$T:$T,0),MATCH(AH$1,'Исходник'!$1:$1,0)))</f>
        <v/>
      </c>
      <c r="AI57" s="1" t="str">
        <f t="array" ref="AI57">IFERROR(INDEX('Исходник'!$1:$626,MATCH($A57,'Исходник'!$T:$T,0),MATCH(AI$1,'Исходник'!$1:$1,0)))</f>
        <v/>
      </c>
      <c r="AJ57" s="18">
        <f t="shared" si="15"/>
        <v>0</v>
      </c>
    </row>
    <row r="58" ht="15.75" customHeight="1">
      <c r="A58" s="27"/>
      <c r="B58" s="1" t="str">
        <f t="array" ref="B58">IFERROR(INDEX('Исходник'!$1:$626,MATCH($A58,'Исходник'!$T:$T,0),MATCH(B$1,'Исходник'!$1:$1,0)))</f>
        <v/>
      </c>
      <c r="C58" s="1" t="str">
        <f t="array" ref="C58">IFERROR(INDEX('Исходник'!$1:$626,MATCH($A58,'Исходник'!$T:$T,0),MATCH(C$1,'Исходник'!$1:$1,0)))</f>
        <v/>
      </c>
      <c r="D58" s="1" t="str">
        <f t="array" ref="D58">IFERROR(INDEX('Исходник'!$1:$626,MATCH($A58,'Исходник'!$T:$T,0),MATCH(D$1,'Исходник'!$1:$1,0)))</f>
        <v/>
      </c>
      <c r="E58" s="1" t="str">
        <f t="array" ref="E58">IFERROR(INDEX('Исходник'!$1:$626,MATCH($A58,'Исходник'!$T:$T,0),MATCH(E$1,'Исходник'!$1:$1,0)))</f>
        <v/>
      </c>
      <c r="F58" s="1" t="str">
        <f t="array" ref="F58">IFERROR(INDEX('Исходник'!$1:$626,MATCH($A58,'Исходник'!$T:$T,0),MATCH(F$1,'Исходник'!$1:$1,0)))</f>
        <v/>
      </c>
      <c r="G58" s="1" t="str">
        <f t="array" ref="G58">IFERROR(INDEX('Исходник'!$1:$626,MATCH($A58,'Исходник'!$T:$T,0),MATCH(G$1,'Исходник'!$1:$1,0)))</f>
        <v/>
      </c>
      <c r="H58" s="27">
        <f t="shared" si="1"/>
        <v>0</v>
      </c>
      <c r="I58" s="27" t="str">
        <f t="shared" si="2"/>
        <v/>
      </c>
      <c r="J58" s="1" t="str">
        <f t="array" ref="J58">IFERROR(INDEX('Исходник'!$1:$626,MATCH($A58,'Исходник'!$T:$T,0),MATCH(J$1,'Исходник'!$1:$1,0)))</f>
        <v/>
      </c>
      <c r="K58" s="27" t="str">
        <f t="shared" si="3"/>
        <v/>
      </c>
      <c r="L58" s="1" t="str">
        <f t="array" ref="L58">IFERROR(INDEX('Исходник'!$1:$626,MATCH($A58,'Исходник'!$T:$T,0),MATCH(L$1,'Исходник'!$1:$1,0)))</f>
        <v/>
      </c>
      <c r="M58" s="28">
        <f t="shared" si="4"/>
        <v>0</v>
      </c>
      <c r="N58" s="1" t="str">
        <f t="array" ref="N58">IFERROR(INDEX('Исходник'!$1:$626,MATCH($A58,'Исходник'!$T:$T,0),MATCH(N$1,'Исходник'!$1:$1,0)))</f>
        <v/>
      </c>
      <c r="O58" s="27">
        <f t="shared" si="5"/>
        <v>0</v>
      </c>
      <c r="P58" s="27" t="str">
        <f t="shared" si="6"/>
        <v/>
      </c>
      <c r="Q58" s="1" t="str">
        <f t="array" ref="Q58">IFERROR(INDEX('Исходник'!$1:$626,MATCH($A58,'Исходник'!$T:$T,0),MATCH(Q$1,'Исходник'!$1:$1,0)))</f>
        <v/>
      </c>
      <c r="R58" s="1" t="str">
        <f t="array" ref="R58">IFERROR(INDEX('Исходник'!$1:$626,MATCH($A58,'Исходник'!$T:$T,0),MATCH(R$1,'Исходник'!$1:$1,0)))</f>
        <v/>
      </c>
      <c r="S58" s="27">
        <f t="shared" si="7"/>
        <v>0</v>
      </c>
      <c r="T58" s="27" t="str">
        <f t="shared" si="8"/>
        <v/>
      </c>
      <c r="U58" s="1" t="str">
        <f t="array" ref="U58">IFERROR(INDEX('Исходник'!$1:$626,MATCH($A58,'Исходник'!$T:$T,0),MATCH(U$1,'Исходник'!$1:$1,0)))</f>
        <v/>
      </c>
      <c r="V58" s="27" t="str">
        <f t="shared" si="9"/>
        <v/>
      </c>
      <c r="W58" s="1" t="str">
        <f t="array" ref="W58">IFERROR(INDEX('Исходник'!$1:$626,MATCH($A58,'Исходник'!$T:$T,0),MATCH(W$1,'Исходник'!$1:$1,0)))</f>
        <v/>
      </c>
      <c r="X58" s="28">
        <f t="shared" si="10"/>
        <v>0</v>
      </c>
      <c r="Y58" s="1" t="str">
        <f t="array" ref="Y58">IFERROR(INDEX('Исходник'!$1:$626,MATCH($A58,'Исходник'!$T:$T,0),MATCH(Y$1,'Исходник'!$1:$1,0)))</f>
        <v/>
      </c>
      <c r="Z58" s="27">
        <f t="shared" si="11"/>
        <v>0</v>
      </c>
      <c r="AA58" s="27" t="str">
        <f t="shared" si="12"/>
        <v/>
      </c>
      <c r="AB58" s="1" t="str">
        <f t="array" ref="AB58">IFERROR(INDEX('Исходник'!$1:$626,MATCH($A58,'Исходник'!$T:$T,0),MATCH(AB$1,'Исходник'!$1:$1,0)))</f>
        <v/>
      </c>
      <c r="AC58" s="1" t="str">
        <f t="array" ref="AC58">IFERROR(INDEX('Исходник'!$1:$626,MATCH($A58,'Исходник'!$T:$T,0),MATCH(AC$1,'Исходник'!$1:$1,0)))</f>
        <v/>
      </c>
      <c r="AD58" s="27" t="str">
        <f t="shared" si="13"/>
        <v/>
      </c>
      <c r="AE58" s="1" t="str">
        <f t="array" ref="AE58">IFERROR(INDEX('Исходник'!$1:$626,MATCH($A58,'Исходник'!$T:$T,0),MATCH(AE$1,'Исходник'!$1:$1,0)))</f>
        <v/>
      </c>
      <c r="AF58" s="1" t="str">
        <f t="array" ref="AF58">IFERROR(INDEX('Исходник'!$1:$626,MATCH($A58,'Исходник'!$T:$T,0),MATCH(AF$1,'Исходник'!$1:$1,0)))</f>
        <v/>
      </c>
      <c r="AG58" s="27" t="str">
        <f t="shared" si="14"/>
        <v/>
      </c>
      <c r="AH58" s="1" t="str">
        <f t="array" ref="AH58">IFERROR(INDEX('Исходник'!$1:$626,MATCH($A58,'Исходник'!$T:$T,0),MATCH(AH$1,'Исходник'!$1:$1,0)))</f>
        <v/>
      </c>
      <c r="AI58" s="1" t="str">
        <f t="array" ref="AI58">IFERROR(INDEX('Исходник'!$1:$626,MATCH($A58,'Исходник'!$T:$T,0),MATCH(AI$1,'Исходник'!$1:$1,0)))</f>
        <v/>
      </c>
      <c r="AJ58" s="18">
        <f t="shared" si="15"/>
        <v>0</v>
      </c>
    </row>
    <row r="59" ht="15.75" customHeight="1">
      <c r="A59" s="27"/>
      <c r="B59" s="1" t="str">
        <f t="array" ref="B59">IFERROR(INDEX('Исходник'!$1:$626,MATCH($A59,'Исходник'!$T:$T,0),MATCH(B$1,'Исходник'!$1:$1,0)))</f>
        <v/>
      </c>
      <c r="C59" s="1" t="str">
        <f t="array" ref="C59">IFERROR(INDEX('Исходник'!$1:$626,MATCH($A59,'Исходник'!$T:$T,0),MATCH(C$1,'Исходник'!$1:$1,0)))</f>
        <v/>
      </c>
      <c r="D59" s="1" t="str">
        <f t="array" ref="D59">IFERROR(INDEX('Исходник'!$1:$626,MATCH($A59,'Исходник'!$T:$T,0),MATCH(D$1,'Исходник'!$1:$1,0)))</f>
        <v/>
      </c>
      <c r="E59" s="1" t="str">
        <f t="array" ref="E59">IFERROR(INDEX('Исходник'!$1:$626,MATCH($A59,'Исходник'!$T:$T,0),MATCH(E$1,'Исходник'!$1:$1,0)))</f>
        <v/>
      </c>
      <c r="F59" s="1" t="str">
        <f t="array" ref="F59">IFERROR(INDEX('Исходник'!$1:$626,MATCH($A59,'Исходник'!$T:$T,0),MATCH(F$1,'Исходник'!$1:$1,0)))</f>
        <v/>
      </c>
      <c r="G59" s="1" t="str">
        <f t="array" ref="G59">IFERROR(INDEX('Исходник'!$1:$626,MATCH($A59,'Исходник'!$T:$T,0),MATCH(G$1,'Исходник'!$1:$1,0)))</f>
        <v/>
      </c>
      <c r="H59" s="27">
        <f t="shared" si="1"/>
        <v>0</v>
      </c>
      <c r="I59" s="27" t="str">
        <f t="shared" si="2"/>
        <v/>
      </c>
      <c r="J59" s="1" t="str">
        <f t="array" ref="J59">IFERROR(INDEX('Исходник'!$1:$626,MATCH($A59,'Исходник'!$T:$T,0),MATCH(J$1,'Исходник'!$1:$1,0)))</f>
        <v/>
      </c>
      <c r="K59" s="27" t="str">
        <f t="shared" si="3"/>
        <v/>
      </c>
      <c r="L59" s="1" t="str">
        <f t="array" ref="L59">IFERROR(INDEX('Исходник'!$1:$626,MATCH($A59,'Исходник'!$T:$T,0),MATCH(L$1,'Исходник'!$1:$1,0)))</f>
        <v/>
      </c>
      <c r="M59" s="28">
        <f t="shared" si="4"/>
        <v>0</v>
      </c>
      <c r="N59" s="1" t="str">
        <f t="array" ref="N59">IFERROR(INDEX('Исходник'!$1:$626,MATCH($A59,'Исходник'!$T:$T,0),MATCH(N$1,'Исходник'!$1:$1,0)))</f>
        <v/>
      </c>
      <c r="O59" s="27">
        <f t="shared" si="5"/>
        <v>0</v>
      </c>
      <c r="P59" s="27" t="str">
        <f t="shared" si="6"/>
        <v/>
      </c>
      <c r="Q59" s="1" t="str">
        <f t="array" ref="Q59">IFERROR(INDEX('Исходник'!$1:$626,MATCH($A59,'Исходник'!$T:$T,0),MATCH(Q$1,'Исходник'!$1:$1,0)))</f>
        <v/>
      </c>
      <c r="R59" s="1" t="str">
        <f t="array" ref="R59">IFERROR(INDEX('Исходник'!$1:$626,MATCH($A59,'Исходник'!$T:$T,0),MATCH(R$1,'Исходник'!$1:$1,0)))</f>
        <v/>
      </c>
      <c r="S59" s="27">
        <f t="shared" si="7"/>
        <v>0</v>
      </c>
      <c r="T59" s="27" t="str">
        <f t="shared" si="8"/>
        <v/>
      </c>
      <c r="U59" s="1" t="str">
        <f t="array" ref="U59">IFERROR(INDEX('Исходник'!$1:$626,MATCH($A59,'Исходник'!$T:$T,0),MATCH(U$1,'Исходник'!$1:$1,0)))</f>
        <v/>
      </c>
      <c r="V59" s="27" t="str">
        <f t="shared" si="9"/>
        <v/>
      </c>
      <c r="W59" s="1" t="str">
        <f t="array" ref="W59">IFERROR(INDEX('Исходник'!$1:$626,MATCH($A59,'Исходник'!$T:$T,0),MATCH(W$1,'Исходник'!$1:$1,0)))</f>
        <v/>
      </c>
      <c r="X59" s="28">
        <f t="shared" si="10"/>
        <v>0</v>
      </c>
      <c r="Y59" s="1" t="str">
        <f t="array" ref="Y59">IFERROR(INDEX('Исходник'!$1:$626,MATCH($A59,'Исходник'!$T:$T,0),MATCH(Y$1,'Исходник'!$1:$1,0)))</f>
        <v/>
      </c>
      <c r="Z59" s="27">
        <f t="shared" si="11"/>
        <v>0</v>
      </c>
      <c r="AA59" s="27" t="str">
        <f t="shared" si="12"/>
        <v/>
      </c>
      <c r="AB59" s="1" t="str">
        <f t="array" ref="AB59">IFERROR(INDEX('Исходник'!$1:$626,MATCH($A59,'Исходник'!$T:$T,0),MATCH(AB$1,'Исходник'!$1:$1,0)))</f>
        <v/>
      </c>
      <c r="AC59" s="1" t="str">
        <f t="array" ref="AC59">IFERROR(INDEX('Исходник'!$1:$626,MATCH($A59,'Исходник'!$T:$T,0),MATCH(AC$1,'Исходник'!$1:$1,0)))</f>
        <v/>
      </c>
      <c r="AD59" s="27" t="str">
        <f t="shared" si="13"/>
        <v/>
      </c>
      <c r="AE59" s="1" t="str">
        <f t="array" ref="AE59">IFERROR(INDEX('Исходник'!$1:$626,MATCH($A59,'Исходник'!$T:$T,0),MATCH(AE$1,'Исходник'!$1:$1,0)))</f>
        <v/>
      </c>
      <c r="AF59" s="1" t="str">
        <f t="array" ref="AF59">IFERROR(INDEX('Исходник'!$1:$626,MATCH($A59,'Исходник'!$T:$T,0),MATCH(AF$1,'Исходник'!$1:$1,0)))</f>
        <v/>
      </c>
      <c r="AG59" s="27" t="str">
        <f t="shared" si="14"/>
        <v/>
      </c>
      <c r="AH59" s="1" t="str">
        <f t="array" ref="AH59">IFERROR(INDEX('Исходник'!$1:$626,MATCH($A59,'Исходник'!$T:$T,0),MATCH(AH$1,'Исходник'!$1:$1,0)))</f>
        <v/>
      </c>
      <c r="AI59" s="1" t="str">
        <f t="array" ref="AI59">IFERROR(INDEX('Исходник'!$1:$626,MATCH($A59,'Исходник'!$T:$T,0),MATCH(AI$1,'Исходник'!$1:$1,0)))</f>
        <v/>
      </c>
      <c r="AJ59" s="18">
        <f t="shared" si="15"/>
        <v>0</v>
      </c>
    </row>
    <row r="60" ht="15.75" customHeight="1">
      <c r="A60" s="27"/>
      <c r="B60" s="1" t="str">
        <f t="array" ref="B60">IFERROR(INDEX('Исходник'!$1:$626,MATCH($A60,'Исходник'!$T:$T,0),MATCH(B$1,'Исходник'!$1:$1,0)))</f>
        <v/>
      </c>
      <c r="C60" s="1" t="str">
        <f t="array" ref="C60">IFERROR(INDEX('Исходник'!$1:$626,MATCH($A60,'Исходник'!$T:$T,0),MATCH(C$1,'Исходник'!$1:$1,0)))</f>
        <v/>
      </c>
      <c r="D60" s="1" t="str">
        <f t="array" ref="D60">IFERROR(INDEX('Исходник'!$1:$626,MATCH($A60,'Исходник'!$T:$T,0),MATCH(D$1,'Исходник'!$1:$1,0)))</f>
        <v/>
      </c>
      <c r="E60" s="1" t="str">
        <f t="array" ref="E60">IFERROR(INDEX('Исходник'!$1:$626,MATCH($A60,'Исходник'!$T:$T,0),MATCH(E$1,'Исходник'!$1:$1,0)))</f>
        <v/>
      </c>
      <c r="F60" s="1" t="str">
        <f t="array" ref="F60">IFERROR(INDEX('Исходник'!$1:$626,MATCH($A60,'Исходник'!$T:$T,0),MATCH(F$1,'Исходник'!$1:$1,0)))</f>
        <v/>
      </c>
      <c r="G60" s="1" t="str">
        <f t="array" ref="G60">IFERROR(INDEX('Исходник'!$1:$626,MATCH($A60,'Исходник'!$T:$T,0),MATCH(G$1,'Исходник'!$1:$1,0)))</f>
        <v/>
      </c>
      <c r="H60" s="27">
        <f t="shared" si="1"/>
        <v>0</v>
      </c>
      <c r="I60" s="27" t="str">
        <f t="shared" si="2"/>
        <v/>
      </c>
      <c r="J60" s="1" t="str">
        <f t="array" ref="J60">IFERROR(INDEX('Исходник'!$1:$626,MATCH($A60,'Исходник'!$T:$T,0),MATCH(J$1,'Исходник'!$1:$1,0)))</f>
        <v/>
      </c>
      <c r="K60" s="27" t="str">
        <f t="shared" si="3"/>
        <v/>
      </c>
      <c r="L60" s="1" t="str">
        <f t="array" ref="L60">IFERROR(INDEX('Исходник'!$1:$626,MATCH($A60,'Исходник'!$T:$T,0),MATCH(L$1,'Исходник'!$1:$1,0)))</f>
        <v/>
      </c>
      <c r="M60" s="28">
        <f t="shared" si="4"/>
        <v>0</v>
      </c>
      <c r="N60" s="1" t="str">
        <f t="array" ref="N60">IFERROR(INDEX('Исходник'!$1:$626,MATCH($A60,'Исходник'!$T:$T,0),MATCH(N$1,'Исходник'!$1:$1,0)))</f>
        <v/>
      </c>
      <c r="O60" s="27">
        <f t="shared" si="5"/>
        <v>0</v>
      </c>
      <c r="P60" s="27" t="str">
        <f t="shared" si="6"/>
        <v/>
      </c>
      <c r="Q60" s="1" t="str">
        <f t="array" ref="Q60">IFERROR(INDEX('Исходник'!$1:$626,MATCH($A60,'Исходник'!$T:$T,0),MATCH(Q$1,'Исходник'!$1:$1,0)))</f>
        <v/>
      </c>
      <c r="R60" s="1" t="str">
        <f t="array" ref="R60">IFERROR(INDEX('Исходник'!$1:$626,MATCH($A60,'Исходник'!$T:$T,0),MATCH(R$1,'Исходник'!$1:$1,0)))</f>
        <v/>
      </c>
      <c r="S60" s="27">
        <f t="shared" si="7"/>
        <v>0</v>
      </c>
      <c r="T60" s="27" t="str">
        <f t="shared" si="8"/>
        <v/>
      </c>
      <c r="U60" s="1" t="str">
        <f t="array" ref="U60">IFERROR(INDEX('Исходник'!$1:$626,MATCH($A60,'Исходник'!$T:$T,0),MATCH(U$1,'Исходник'!$1:$1,0)))</f>
        <v/>
      </c>
      <c r="V60" s="27" t="str">
        <f t="shared" si="9"/>
        <v/>
      </c>
      <c r="W60" s="1" t="str">
        <f t="array" ref="W60">IFERROR(INDEX('Исходник'!$1:$626,MATCH($A60,'Исходник'!$T:$T,0),MATCH(W$1,'Исходник'!$1:$1,0)))</f>
        <v/>
      </c>
      <c r="X60" s="28">
        <f t="shared" si="10"/>
        <v>0</v>
      </c>
      <c r="Y60" s="1" t="str">
        <f t="array" ref="Y60">IFERROR(INDEX('Исходник'!$1:$626,MATCH($A60,'Исходник'!$T:$T,0),MATCH(Y$1,'Исходник'!$1:$1,0)))</f>
        <v/>
      </c>
      <c r="Z60" s="27">
        <f t="shared" si="11"/>
        <v>0</v>
      </c>
      <c r="AA60" s="27" t="str">
        <f t="shared" si="12"/>
        <v/>
      </c>
      <c r="AB60" s="1" t="str">
        <f t="array" ref="AB60">IFERROR(INDEX('Исходник'!$1:$626,MATCH($A60,'Исходник'!$T:$T,0),MATCH(AB$1,'Исходник'!$1:$1,0)))</f>
        <v/>
      </c>
      <c r="AC60" s="1" t="str">
        <f t="array" ref="AC60">IFERROR(INDEX('Исходник'!$1:$626,MATCH($A60,'Исходник'!$T:$T,0),MATCH(AC$1,'Исходник'!$1:$1,0)))</f>
        <v/>
      </c>
      <c r="AD60" s="27" t="str">
        <f t="shared" si="13"/>
        <v/>
      </c>
      <c r="AE60" s="1" t="str">
        <f t="array" ref="AE60">IFERROR(INDEX('Исходник'!$1:$626,MATCH($A60,'Исходник'!$T:$T,0),MATCH(AE$1,'Исходник'!$1:$1,0)))</f>
        <v/>
      </c>
      <c r="AF60" s="1" t="str">
        <f t="array" ref="AF60">IFERROR(INDEX('Исходник'!$1:$626,MATCH($A60,'Исходник'!$T:$T,0),MATCH(AF$1,'Исходник'!$1:$1,0)))</f>
        <v/>
      </c>
      <c r="AG60" s="27" t="str">
        <f t="shared" si="14"/>
        <v/>
      </c>
      <c r="AH60" s="1" t="str">
        <f t="array" ref="AH60">IFERROR(INDEX('Исходник'!$1:$626,MATCH($A60,'Исходник'!$T:$T,0),MATCH(AH$1,'Исходник'!$1:$1,0)))</f>
        <v/>
      </c>
      <c r="AI60" s="1" t="str">
        <f t="array" ref="AI60">IFERROR(INDEX('Исходник'!$1:$626,MATCH($A60,'Исходник'!$T:$T,0),MATCH(AI$1,'Исходник'!$1:$1,0)))</f>
        <v/>
      </c>
      <c r="AJ60" s="18">
        <f t="shared" si="15"/>
        <v>0</v>
      </c>
    </row>
    <row r="61" ht="15.75" customHeight="1">
      <c r="A61" s="27"/>
      <c r="B61" s="1" t="str">
        <f t="array" ref="B61">IFERROR(INDEX('Исходник'!$1:$626,MATCH($A61,'Исходник'!$T:$T,0),MATCH(B$1,'Исходник'!$1:$1,0)))</f>
        <v/>
      </c>
      <c r="C61" s="1" t="str">
        <f t="array" ref="C61">IFERROR(INDEX('Исходник'!$1:$626,MATCH($A61,'Исходник'!$T:$T,0),MATCH(C$1,'Исходник'!$1:$1,0)))</f>
        <v/>
      </c>
      <c r="D61" s="1" t="str">
        <f t="array" ref="D61">IFERROR(INDEX('Исходник'!$1:$626,MATCH($A61,'Исходник'!$T:$T,0),MATCH(D$1,'Исходник'!$1:$1,0)))</f>
        <v/>
      </c>
      <c r="E61" s="1" t="str">
        <f t="array" ref="E61">IFERROR(INDEX('Исходник'!$1:$626,MATCH($A61,'Исходник'!$T:$T,0),MATCH(E$1,'Исходник'!$1:$1,0)))</f>
        <v/>
      </c>
      <c r="F61" s="1" t="str">
        <f t="array" ref="F61">IFERROR(INDEX('Исходник'!$1:$626,MATCH($A61,'Исходник'!$T:$T,0),MATCH(F$1,'Исходник'!$1:$1,0)))</f>
        <v/>
      </c>
      <c r="G61" s="1" t="str">
        <f t="array" ref="G61">IFERROR(INDEX('Исходник'!$1:$626,MATCH($A61,'Исходник'!$T:$T,0),MATCH(G$1,'Исходник'!$1:$1,0)))</f>
        <v/>
      </c>
      <c r="H61" s="27">
        <f t="shared" si="1"/>
        <v>0</v>
      </c>
      <c r="I61" s="27" t="str">
        <f t="shared" si="2"/>
        <v/>
      </c>
      <c r="J61" s="1" t="str">
        <f t="array" ref="J61">IFERROR(INDEX('Исходник'!$1:$626,MATCH($A61,'Исходник'!$T:$T,0),MATCH(J$1,'Исходник'!$1:$1,0)))</f>
        <v/>
      </c>
      <c r="K61" s="27" t="str">
        <f t="shared" si="3"/>
        <v/>
      </c>
      <c r="L61" s="1" t="str">
        <f t="array" ref="L61">IFERROR(INDEX('Исходник'!$1:$626,MATCH($A61,'Исходник'!$T:$T,0),MATCH(L$1,'Исходник'!$1:$1,0)))</f>
        <v/>
      </c>
      <c r="M61" s="28">
        <f t="shared" si="4"/>
        <v>0</v>
      </c>
      <c r="N61" s="1" t="str">
        <f t="array" ref="N61">IFERROR(INDEX('Исходник'!$1:$626,MATCH($A61,'Исходник'!$T:$T,0),MATCH(N$1,'Исходник'!$1:$1,0)))</f>
        <v/>
      </c>
      <c r="O61" s="27">
        <f t="shared" si="5"/>
        <v>0</v>
      </c>
      <c r="P61" s="27" t="str">
        <f t="shared" si="6"/>
        <v/>
      </c>
      <c r="Q61" s="1" t="str">
        <f t="array" ref="Q61">IFERROR(INDEX('Исходник'!$1:$626,MATCH($A61,'Исходник'!$T:$T,0),MATCH(Q$1,'Исходник'!$1:$1,0)))</f>
        <v/>
      </c>
      <c r="R61" s="1" t="str">
        <f t="array" ref="R61">IFERROR(INDEX('Исходник'!$1:$626,MATCH($A61,'Исходник'!$T:$T,0),MATCH(R$1,'Исходник'!$1:$1,0)))</f>
        <v/>
      </c>
      <c r="S61" s="27">
        <f t="shared" si="7"/>
        <v>0</v>
      </c>
      <c r="T61" s="27" t="str">
        <f t="shared" si="8"/>
        <v/>
      </c>
      <c r="U61" s="1" t="str">
        <f t="array" ref="U61">IFERROR(INDEX('Исходник'!$1:$626,MATCH($A61,'Исходник'!$T:$T,0),MATCH(U$1,'Исходник'!$1:$1,0)))</f>
        <v/>
      </c>
      <c r="V61" s="27" t="str">
        <f t="shared" si="9"/>
        <v/>
      </c>
      <c r="W61" s="1" t="str">
        <f t="array" ref="W61">IFERROR(INDEX('Исходник'!$1:$626,MATCH($A61,'Исходник'!$T:$T,0),MATCH(W$1,'Исходник'!$1:$1,0)))</f>
        <v/>
      </c>
      <c r="X61" s="28">
        <f t="shared" si="10"/>
        <v>0</v>
      </c>
      <c r="Y61" s="1" t="str">
        <f t="array" ref="Y61">IFERROR(INDEX('Исходник'!$1:$626,MATCH($A61,'Исходник'!$T:$T,0),MATCH(Y$1,'Исходник'!$1:$1,0)))</f>
        <v/>
      </c>
      <c r="Z61" s="27">
        <f t="shared" si="11"/>
        <v>0</v>
      </c>
      <c r="AA61" s="27" t="str">
        <f t="shared" si="12"/>
        <v/>
      </c>
      <c r="AB61" s="1" t="str">
        <f t="array" ref="AB61">IFERROR(INDEX('Исходник'!$1:$626,MATCH($A61,'Исходник'!$T:$T,0),MATCH(AB$1,'Исходник'!$1:$1,0)))</f>
        <v/>
      </c>
      <c r="AC61" s="1" t="str">
        <f t="array" ref="AC61">IFERROR(INDEX('Исходник'!$1:$626,MATCH($A61,'Исходник'!$T:$T,0),MATCH(AC$1,'Исходник'!$1:$1,0)))</f>
        <v/>
      </c>
      <c r="AD61" s="27" t="str">
        <f t="shared" si="13"/>
        <v/>
      </c>
      <c r="AE61" s="1" t="str">
        <f t="array" ref="AE61">IFERROR(INDEX('Исходник'!$1:$626,MATCH($A61,'Исходник'!$T:$T,0),MATCH(AE$1,'Исходник'!$1:$1,0)))</f>
        <v/>
      </c>
      <c r="AF61" s="1" t="str">
        <f t="array" ref="AF61">IFERROR(INDEX('Исходник'!$1:$626,MATCH($A61,'Исходник'!$T:$T,0),MATCH(AF$1,'Исходник'!$1:$1,0)))</f>
        <v/>
      </c>
      <c r="AG61" s="27" t="str">
        <f t="shared" si="14"/>
        <v/>
      </c>
      <c r="AH61" s="1" t="str">
        <f t="array" ref="AH61">IFERROR(INDEX('Исходник'!$1:$626,MATCH($A61,'Исходник'!$T:$T,0),MATCH(AH$1,'Исходник'!$1:$1,0)))</f>
        <v/>
      </c>
      <c r="AI61" s="1" t="str">
        <f t="array" ref="AI61">IFERROR(INDEX('Исходник'!$1:$626,MATCH($A61,'Исходник'!$T:$T,0),MATCH(AI$1,'Исходник'!$1:$1,0)))</f>
        <v/>
      </c>
      <c r="AJ61" s="18">
        <f t="shared" si="15"/>
        <v>0</v>
      </c>
    </row>
    <row r="62" ht="15.75" customHeight="1">
      <c r="A62" s="27"/>
      <c r="B62" s="1" t="str">
        <f t="array" ref="B62">IFERROR(INDEX('Исходник'!$1:$626,MATCH($A62,'Исходник'!$T:$T,0),MATCH(B$1,'Исходник'!$1:$1,0)))</f>
        <v/>
      </c>
      <c r="C62" s="1" t="str">
        <f t="array" ref="C62">IFERROR(INDEX('Исходник'!$1:$626,MATCH($A62,'Исходник'!$T:$T,0),MATCH(C$1,'Исходник'!$1:$1,0)))</f>
        <v/>
      </c>
      <c r="D62" s="1" t="str">
        <f t="array" ref="D62">IFERROR(INDEX('Исходник'!$1:$626,MATCH($A62,'Исходник'!$T:$T,0),MATCH(D$1,'Исходник'!$1:$1,0)))</f>
        <v/>
      </c>
      <c r="E62" s="1" t="str">
        <f t="array" ref="E62">IFERROR(INDEX('Исходник'!$1:$626,MATCH($A62,'Исходник'!$T:$T,0),MATCH(E$1,'Исходник'!$1:$1,0)))</f>
        <v/>
      </c>
      <c r="F62" s="1" t="str">
        <f t="array" ref="F62">IFERROR(INDEX('Исходник'!$1:$626,MATCH($A62,'Исходник'!$T:$T,0),MATCH(F$1,'Исходник'!$1:$1,0)))</f>
        <v/>
      </c>
      <c r="G62" s="1" t="str">
        <f t="array" ref="G62">IFERROR(INDEX('Исходник'!$1:$626,MATCH($A62,'Исходник'!$T:$T,0),MATCH(G$1,'Исходник'!$1:$1,0)))</f>
        <v/>
      </c>
      <c r="H62" s="27">
        <f t="shared" si="1"/>
        <v>0</v>
      </c>
      <c r="I62" s="27" t="str">
        <f t="shared" si="2"/>
        <v/>
      </c>
      <c r="J62" s="1" t="str">
        <f t="array" ref="J62">IFERROR(INDEX('Исходник'!$1:$626,MATCH($A62,'Исходник'!$T:$T,0),MATCH(J$1,'Исходник'!$1:$1,0)))</f>
        <v/>
      </c>
      <c r="K62" s="27" t="str">
        <f t="shared" si="3"/>
        <v/>
      </c>
      <c r="L62" s="1" t="str">
        <f t="array" ref="L62">IFERROR(INDEX('Исходник'!$1:$626,MATCH($A62,'Исходник'!$T:$T,0),MATCH(L$1,'Исходник'!$1:$1,0)))</f>
        <v/>
      </c>
      <c r="M62" s="28">
        <f t="shared" si="4"/>
        <v>0</v>
      </c>
      <c r="N62" s="1" t="str">
        <f t="array" ref="N62">IFERROR(INDEX('Исходник'!$1:$626,MATCH($A62,'Исходник'!$T:$T,0),MATCH(N$1,'Исходник'!$1:$1,0)))</f>
        <v/>
      </c>
      <c r="O62" s="27">
        <f t="shared" si="5"/>
        <v>0</v>
      </c>
      <c r="P62" s="27" t="str">
        <f t="shared" si="6"/>
        <v/>
      </c>
      <c r="Q62" s="1" t="str">
        <f t="array" ref="Q62">IFERROR(INDEX('Исходник'!$1:$626,MATCH($A62,'Исходник'!$T:$T,0),MATCH(Q$1,'Исходник'!$1:$1,0)))</f>
        <v/>
      </c>
      <c r="R62" s="1" t="str">
        <f t="array" ref="R62">IFERROR(INDEX('Исходник'!$1:$626,MATCH($A62,'Исходник'!$T:$T,0),MATCH(R$1,'Исходник'!$1:$1,0)))</f>
        <v/>
      </c>
      <c r="S62" s="27">
        <f t="shared" si="7"/>
        <v>0</v>
      </c>
      <c r="T62" s="27" t="str">
        <f t="shared" si="8"/>
        <v/>
      </c>
      <c r="U62" s="1" t="str">
        <f t="array" ref="U62">IFERROR(INDEX('Исходник'!$1:$626,MATCH($A62,'Исходник'!$T:$T,0),MATCH(U$1,'Исходник'!$1:$1,0)))</f>
        <v/>
      </c>
      <c r="V62" s="27" t="str">
        <f t="shared" si="9"/>
        <v/>
      </c>
      <c r="W62" s="1" t="str">
        <f t="array" ref="W62">IFERROR(INDEX('Исходник'!$1:$626,MATCH($A62,'Исходник'!$T:$T,0),MATCH(W$1,'Исходник'!$1:$1,0)))</f>
        <v/>
      </c>
      <c r="X62" s="28">
        <f t="shared" si="10"/>
        <v>0</v>
      </c>
      <c r="Y62" s="1" t="str">
        <f t="array" ref="Y62">IFERROR(INDEX('Исходник'!$1:$626,MATCH($A62,'Исходник'!$T:$T,0),MATCH(Y$1,'Исходник'!$1:$1,0)))</f>
        <v/>
      </c>
      <c r="Z62" s="27">
        <f t="shared" si="11"/>
        <v>0</v>
      </c>
      <c r="AA62" s="27" t="str">
        <f t="shared" si="12"/>
        <v/>
      </c>
      <c r="AB62" s="1" t="str">
        <f t="array" ref="AB62">IFERROR(INDEX('Исходник'!$1:$626,MATCH($A62,'Исходник'!$T:$T,0),MATCH(AB$1,'Исходник'!$1:$1,0)))</f>
        <v/>
      </c>
      <c r="AC62" s="1" t="str">
        <f t="array" ref="AC62">IFERROR(INDEX('Исходник'!$1:$626,MATCH($A62,'Исходник'!$T:$T,0),MATCH(AC$1,'Исходник'!$1:$1,0)))</f>
        <v/>
      </c>
      <c r="AD62" s="27" t="str">
        <f t="shared" si="13"/>
        <v/>
      </c>
      <c r="AE62" s="1" t="str">
        <f t="array" ref="AE62">IFERROR(INDEX('Исходник'!$1:$626,MATCH($A62,'Исходник'!$T:$T,0),MATCH(AE$1,'Исходник'!$1:$1,0)))</f>
        <v/>
      </c>
      <c r="AF62" s="1" t="str">
        <f t="array" ref="AF62">IFERROR(INDEX('Исходник'!$1:$626,MATCH($A62,'Исходник'!$T:$T,0),MATCH(AF$1,'Исходник'!$1:$1,0)))</f>
        <v/>
      </c>
      <c r="AG62" s="27" t="str">
        <f t="shared" si="14"/>
        <v/>
      </c>
      <c r="AH62" s="1" t="str">
        <f t="array" ref="AH62">IFERROR(INDEX('Исходник'!$1:$626,MATCH($A62,'Исходник'!$T:$T,0),MATCH(AH$1,'Исходник'!$1:$1,0)))</f>
        <v/>
      </c>
      <c r="AI62" s="1" t="str">
        <f t="array" ref="AI62">IFERROR(INDEX('Исходник'!$1:$626,MATCH($A62,'Исходник'!$T:$T,0),MATCH(AI$1,'Исходник'!$1:$1,0)))</f>
        <v/>
      </c>
      <c r="AJ62" s="18">
        <f t="shared" si="15"/>
        <v>0</v>
      </c>
      <c r="AL62" s="30"/>
    </row>
    <row r="63" ht="15.75" customHeight="1">
      <c r="A63" s="27"/>
      <c r="B63" s="1" t="str">
        <f t="array" ref="B63">IFERROR(INDEX('Исходник'!$1:$626,MATCH($A63,'Исходник'!$T:$T,0),MATCH(B$1,'Исходник'!$1:$1,0)))</f>
        <v/>
      </c>
      <c r="C63" s="1" t="str">
        <f t="array" ref="C63">IFERROR(INDEX('Исходник'!$1:$626,MATCH($A63,'Исходник'!$T:$T,0),MATCH(C$1,'Исходник'!$1:$1,0)))</f>
        <v/>
      </c>
      <c r="D63" s="1" t="str">
        <f t="array" ref="D63">IFERROR(INDEX('Исходник'!$1:$626,MATCH($A63,'Исходник'!$T:$T,0),MATCH(D$1,'Исходник'!$1:$1,0)))</f>
        <v/>
      </c>
      <c r="E63" s="1" t="str">
        <f t="array" ref="E63">IFERROR(INDEX('Исходник'!$1:$626,MATCH($A63,'Исходник'!$T:$T,0),MATCH(E$1,'Исходник'!$1:$1,0)))</f>
        <v/>
      </c>
      <c r="F63" s="1" t="str">
        <f t="array" ref="F63">IFERROR(INDEX('Исходник'!$1:$626,MATCH($A63,'Исходник'!$T:$T,0),MATCH(F$1,'Исходник'!$1:$1,0)))</f>
        <v/>
      </c>
      <c r="G63" s="1" t="str">
        <f t="array" ref="G63">IFERROR(INDEX('Исходник'!$1:$626,MATCH($A63,'Исходник'!$T:$T,0),MATCH(G$1,'Исходник'!$1:$1,0)))</f>
        <v/>
      </c>
      <c r="H63" s="27">
        <f t="shared" si="1"/>
        <v>0</v>
      </c>
      <c r="I63" s="27" t="str">
        <f t="shared" si="2"/>
        <v/>
      </c>
      <c r="J63" s="1" t="str">
        <f t="array" ref="J63">IFERROR(INDEX('Исходник'!$1:$626,MATCH($A63,'Исходник'!$T:$T,0),MATCH(J$1,'Исходник'!$1:$1,0)))</f>
        <v/>
      </c>
      <c r="K63" s="27" t="str">
        <f t="shared" si="3"/>
        <v/>
      </c>
      <c r="L63" s="1" t="str">
        <f t="array" ref="L63">IFERROR(INDEX('Исходник'!$1:$626,MATCH($A63,'Исходник'!$T:$T,0),MATCH(L$1,'Исходник'!$1:$1,0)))</f>
        <v/>
      </c>
      <c r="M63" s="28">
        <f t="shared" si="4"/>
        <v>0</v>
      </c>
      <c r="N63" s="1" t="str">
        <f t="array" ref="N63">IFERROR(INDEX('Исходник'!$1:$626,MATCH($A63,'Исходник'!$T:$T,0),MATCH(N$1,'Исходник'!$1:$1,0)))</f>
        <v/>
      </c>
      <c r="O63" s="27">
        <f t="shared" si="5"/>
        <v>0</v>
      </c>
      <c r="P63" s="27" t="str">
        <f t="shared" si="6"/>
        <v/>
      </c>
      <c r="Q63" s="1" t="str">
        <f t="array" ref="Q63">IFERROR(INDEX('Исходник'!$1:$626,MATCH($A63,'Исходник'!$T:$T,0),MATCH(Q$1,'Исходник'!$1:$1,0)))</f>
        <v/>
      </c>
      <c r="R63" s="1" t="str">
        <f t="array" ref="R63">IFERROR(INDEX('Исходник'!$1:$626,MATCH($A63,'Исходник'!$T:$T,0),MATCH(R$1,'Исходник'!$1:$1,0)))</f>
        <v/>
      </c>
      <c r="S63" s="27">
        <f t="shared" si="7"/>
        <v>0</v>
      </c>
      <c r="T63" s="27" t="str">
        <f t="shared" si="8"/>
        <v/>
      </c>
      <c r="U63" s="1" t="str">
        <f t="array" ref="U63">IFERROR(INDEX('Исходник'!$1:$626,MATCH($A63,'Исходник'!$T:$T,0),MATCH(U$1,'Исходник'!$1:$1,0)))</f>
        <v/>
      </c>
      <c r="V63" s="27" t="str">
        <f t="shared" si="9"/>
        <v/>
      </c>
      <c r="W63" s="1" t="str">
        <f t="array" ref="W63">IFERROR(INDEX('Исходник'!$1:$626,MATCH($A63,'Исходник'!$T:$T,0),MATCH(W$1,'Исходник'!$1:$1,0)))</f>
        <v/>
      </c>
      <c r="X63" s="28">
        <f t="shared" si="10"/>
        <v>0</v>
      </c>
      <c r="Y63" s="1" t="str">
        <f t="array" ref="Y63">IFERROR(INDEX('Исходник'!$1:$626,MATCH($A63,'Исходник'!$T:$T,0),MATCH(Y$1,'Исходник'!$1:$1,0)))</f>
        <v/>
      </c>
      <c r="Z63" s="27">
        <f t="shared" si="11"/>
        <v>0</v>
      </c>
      <c r="AA63" s="27" t="str">
        <f t="shared" si="12"/>
        <v/>
      </c>
      <c r="AB63" s="1" t="str">
        <f t="array" ref="AB63">IFERROR(INDEX('Исходник'!$1:$626,MATCH($A63,'Исходник'!$T:$T,0),MATCH(AB$1,'Исходник'!$1:$1,0)))</f>
        <v/>
      </c>
      <c r="AC63" s="1" t="str">
        <f t="array" ref="AC63">IFERROR(INDEX('Исходник'!$1:$626,MATCH($A63,'Исходник'!$T:$T,0),MATCH(AC$1,'Исходник'!$1:$1,0)))</f>
        <v/>
      </c>
      <c r="AD63" s="27" t="str">
        <f t="shared" si="13"/>
        <v/>
      </c>
      <c r="AE63" s="1" t="str">
        <f t="array" ref="AE63">IFERROR(INDEX('Исходник'!$1:$626,MATCH($A63,'Исходник'!$T:$T,0),MATCH(AE$1,'Исходник'!$1:$1,0)))</f>
        <v/>
      </c>
      <c r="AF63" s="1" t="str">
        <f t="array" ref="AF63">IFERROR(INDEX('Исходник'!$1:$626,MATCH($A63,'Исходник'!$T:$T,0),MATCH(AF$1,'Исходник'!$1:$1,0)))</f>
        <v/>
      </c>
      <c r="AG63" s="27" t="str">
        <f t="shared" si="14"/>
        <v/>
      </c>
      <c r="AH63" s="1" t="str">
        <f t="array" ref="AH63">IFERROR(INDEX('Исходник'!$1:$626,MATCH($A63,'Исходник'!$T:$T,0),MATCH(AH$1,'Исходник'!$1:$1,0)))</f>
        <v/>
      </c>
      <c r="AI63" s="1" t="str">
        <f t="array" ref="AI63">IFERROR(INDEX('Исходник'!$1:$626,MATCH($A63,'Исходник'!$T:$T,0),MATCH(AI$1,'Исходник'!$1:$1,0)))</f>
        <v/>
      </c>
      <c r="AJ63" s="18">
        <f t="shared" si="15"/>
        <v>0</v>
      </c>
      <c r="AL63" s="30"/>
    </row>
    <row r="64" ht="15.75" customHeight="1">
      <c r="A64" s="27"/>
      <c r="B64" s="1" t="str">
        <f t="array" ref="B64">IFERROR(INDEX('Исходник'!$1:$626,MATCH($A64,'Исходник'!$T:$T,0),MATCH(B$1,'Исходник'!$1:$1,0)))</f>
        <v/>
      </c>
      <c r="C64" s="1" t="str">
        <f t="array" ref="C64">IFERROR(INDEX('Исходник'!$1:$626,MATCH($A64,'Исходник'!$T:$T,0),MATCH(C$1,'Исходник'!$1:$1,0)))</f>
        <v/>
      </c>
      <c r="D64" s="1" t="str">
        <f t="array" ref="D64">IFERROR(INDEX('Исходник'!$1:$626,MATCH($A64,'Исходник'!$T:$T,0),MATCH(D$1,'Исходник'!$1:$1,0)))</f>
        <v/>
      </c>
      <c r="E64" s="1" t="str">
        <f t="array" ref="E64">IFERROR(INDEX('Исходник'!$1:$626,MATCH($A64,'Исходник'!$T:$T,0),MATCH(E$1,'Исходник'!$1:$1,0)))</f>
        <v/>
      </c>
      <c r="F64" s="1" t="str">
        <f t="array" ref="F64">IFERROR(INDEX('Исходник'!$1:$626,MATCH($A64,'Исходник'!$T:$T,0),MATCH(F$1,'Исходник'!$1:$1,0)))</f>
        <v/>
      </c>
      <c r="G64" s="1" t="str">
        <f t="array" ref="G64">IFERROR(INDEX('Исходник'!$1:$626,MATCH($A64,'Исходник'!$T:$T,0),MATCH(G$1,'Исходник'!$1:$1,0)))</f>
        <v/>
      </c>
      <c r="H64" s="27">
        <f t="shared" si="1"/>
        <v>0</v>
      </c>
      <c r="I64" s="27" t="str">
        <f t="shared" si="2"/>
        <v/>
      </c>
      <c r="J64" s="1" t="str">
        <f t="array" ref="J64">IFERROR(INDEX('Исходник'!$1:$626,MATCH($A64,'Исходник'!$T:$T,0),MATCH(J$1,'Исходник'!$1:$1,0)))</f>
        <v/>
      </c>
      <c r="K64" s="27" t="str">
        <f t="shared" si="3"/>
        <v/>
      </c>
      <c r="L64" s="1" t="str">
        <f t="array" ref="L64">IFERROR(INDEX('Исходник'!$1:$626,MATCH($A64,'Исходник'!$T:$T,0),MATCH(L$1,'Исходник'!$1:$1,0)))</f>
        <v/>
      </c>
      <c r="M64" s="28">
        <f t="shared" si="4"/>
        <v>0</v>
      </c>
      <c r="N64" s="1" t="str">
        <f t="array" ref="N64">IFERROR(INDEX('Исходник'!$1:$626,MATCH($A64,'Исходник'!$T:$T,0),MATCH(N$1,'Исходник'!$1:$1,0)))</f>
        <v/>
      </c>
      <c r="O64" s="27">
        <f t="shared" si="5"/>
        <v>0</v>
      </c>
      <c r="P64" s="27" t="str">
        <f t="shared" si="6"/>
        <v/>
      </c>
      <c r="Q64" s="1" t="str">
        <f t="array" ref="Q64">IFERROR(INDEX('Исходник'!$1:$626,MATCH($A64,'Исходник'!$T:$T,0),MATCH(Q$1,'Исходник'!$1:$1,0)))</f>
        <v/>
      </c>
      <c r="R64" s="1" t="str">
        <f t="array" ref="R64">IFERROR(INDEX('Исходник'!$1:$626,MATCH($A64,'Исходник'!$T:$T,0),MATCH(R$1,'Исходник'!$1:$1,0)))</f>
        <v/>
      </c>
      <c r="S64" s="27">
        <f t="shared" si="7"/>
        <v>0</v>
      </c>
      <c r="T64" s="27" t="str">
        <f t="shared" si="8"/>
        <v/>
      </c>
      <c r="U64" s="1" t="str">
        <f t="array" ref="U64">IFERROR(INDEX('Исходник'!$1:$626,MATCH($A64,'Исходник'!$T:$T,0),MATCH(U$1,'Исходник'!$1:$1,0)))</f>
        <v/>
      </c>
      <c r="V64" s="27" t="str">
        <f t="shared" si="9"/>
        <v/>
      </c>
      <c r="W64" s="1" t="str">
        <f t="array" ref="W64">IFERROR(INDEX('Исходник'!$1:$626,MATCH($A64,'Исходник'!$T:$T,0),MATCH(W$1,'Исходник'!$1:$1,0)))</f>
        <v/>
      </c>
      <c r="X64" s="28">
        <f t="shared" si="10"/>
        <v>0</v>
      </c>
      <c r="Y64" s="1" t="str">
        <f t="array" ref="Y64">IFERROR(INDEX('Исходник'!$1:$626,MATCH($A64,'Исходник'!$T:$T,0),MATCH(Y$1,'Исходник'!$1:$1,0)))</f>
        <v/>
      </c>
      <c r="Z64" s="27">
        <f t="shared" si="11"/>
        <v>0</v>
      </c>
      <c r="AA64" s="27" t="str">
        <f t="shared" si="12"/>
        <v/>
      </c>
      <c r="AB64" s="1" t="str">
        <f t="array" ref="AB64">IFERROR(INDEX('Исходник'!$1:$626,MATCH($A64,'Исходник'!$T:$T,0),MATCH(AB$1,'Исходник'!$1:$1,0)))</f>
        <v/>
      </c>
      <c r="AC64" s="1" t="str">
        <f t="array" ref="AC64">IFERROR(INDEX('Исходник'!$1:$626,MATCH($A64,'Исходник'!$T:$T,0),MATCH(AC$1,'Исходник'!$1:$1,0)))</f>
        <v/>
      </c>
      <c r="AD64" s="27" t="str">
        <f t="shared" si="13"/>
        <v/>
      </c>
      <c r="AE64" s="1" t="str">
        <f t="array" ref="AE64">IFERROR(INDEX('Исходник'!$1:$626,MATCH($A64,'Исходник'!$T:$T,0),MATCH(AE$1,'Исходник'!$1:$1,0)))</f>
        <v/>
      </c>
      <c r="AF64" s="1" t="str">
        <f t="array" ref="AF64">IFERROR(INDEX('Исходник'!$1:$626,MATCH($A64,'Исходник'!$T:$T,0),MATCH(AF$1,'Исходник'!$1:$1,0)))</f>
        <v/>
      </c>
      <c r="AG64" s="27" t="str">
        <f t="shared" si="14"/>
        <v/>
      </c>
      <c r="AH64" s="1" t="str">
        <f t="array" ref="AH64">IFERROR(INDEX('Исходник'!$1:$626,MATCH($A64,'Исходник'!$T:$T,0),MATCH(AH$1,'Исходник'!$1:$1,0)))</f>
        <v/>
      </c>
      <c r="AI64" s="1" t="str">
        <f t="array" ref="AI64">IFERROR(INDEX('Исходник'!$1:$626,MATCH($A64,'Исходник'!$T:$T,0),MATCH(AI$1,'Исходник'!$1:$1,0)))</f>
        <v/>
      </c>
      <c r="AJ64" s="18">
        <f t="shared" si="15"/>
        <v>0</v>
      </c>
      <c r="AL64" s="30"/>
    </row>
    <row r="65" ht="15.75" customHeight="1">
      <c r="A65" s="27"/>
      <c r="B65" s="1" t="str">
        <f t="array" ref="B65">IFERROR(INDEX('Исходник'!$1:$626,MATCH($A65,'Исходник'!$T:$T,0),MATCH(B$1,'Исходник'!$1:$1,0)))</f>
        <v/>
      </c>
      <c r="C65" s="1" t="str">
        <f t="array" ref="C65">IFERROR(INDEX('Исходник'!$1:$626,MATCH($A65,'Исходник'!$T:$T,0),MATCH(C$1,'Исходник'!$1:$1,0)))</f>
        <v/>
      </c>
      <c r="D65" s="1" t="str">
        <f t="array" ref="D65">IFERROR(INDEX('Исходник'!$1:$626,MATCH($A65,'Исходник'!$T:$T,0),MATCH(D$1,'Исходник'!$1:$1,0)))</f>
        <v/>
      </c>
      <c r="E65" s="1" t="str">
        <f t="array" ref="E65">IFERROR(INDEX('Исходник'!$1:$626,MATCH($A65,'Исходник'!$T:$T,0),MATCH(E$1,'Исходник'!$1:$1,0)))</f>
        <v/>
      </c>
      <c r="F65" s="1" t="str">
        <f t="array" ref="F65">IFERROR(INDEX('Исходник'!$1:$626,MATCH($A65,'Исходник'!$T:$T,0),MATCH(F$1,'Исходник'!$1:$1,0)))</f>
        <v/>
      </c>
      <c r="G65" s="1" t="str">
        <f t="array" ref="G65">IFERROR(INDEX('Исходник'!$1:$626,MATCH($A65,'Исходник'!$T:$T,0),MATCH(G$1,'Исходник'!$1:$1,0)))</f>
        <v/>
      </c>
      <c r="H65" s="27">
        <f t="shared" si="1"/>
        <v>0</v>
      </c>
      <c r="I65" s="27" t="str">
        <f t="shared" si="2"/>
        <v/>
      </c>
      <c r="J65" s="1" t="str">
        <f t="array" ref="J65">IFERROR(INDEX('Исходник'!$1:$626,MATCH($A65,'Исходник'!$T:$T,0),MATCH(J$1,'Исходник'!$1:$1,0)))</f>
        <v/>
      </c>
      <c r="K65" s="27" t="str">
        <f t="shared" si="3"/>
        <v/>
      </c>
      <c r="L65" s="1" t="str">
        <f t="array" ref="L65">IFERROR(INDEX('Исходник'!$1:$626,MATCH($A65,'Исходник'!$T:$T,0),MATCH(L$1,'Исходник'!$1:$1,0)))</f>
        <v/>
      </c>
      <c r="M65" s="28">
        <f t="shared" si="4"/>
        <v>0</v>
      </c>
      <c r="N65" s="1" t="str">
        <f t="array" ref="N65">IFERROR(INDEX('Исходник'!$1:$626,MATCH($A65,'Исходник'!$T:$T,0),MATCH(N$1,'Исходник'!$1:$1,0)))</f>
        <v/>
      </c>
      <c r="O65" s="27">
        <f t="shared" si="5"/>
        <v>0</v>
      </c>
      <c r="P65" s="27" t="str">
        <f t="shared" si="6"/>
        <v/>
      </c>
      <c r="Q65" s="1" t="str">
        <f t="array" ref="Q65">IFERROR(INDEX('Исходник'!$1:$626,MATCH($A65,'Исходник'!$T:$T,0),MATCH(Q$1,'Исходник'!$1:$1,0)))</f>
        <v/>
      </c>
      <c r="R65" s="1" t="str">
        <f t="array" ref="R65">IFERROR(INDEX('Исходник'!$1:$626,MATCH($A65,'Исходник'!$T:$T,0),MATCH(R$1,'Исходник'!$1:$1,0)))</f>
        <v/>
      </c>
      <c r="S65" s="27">
        <f t="shared" si="7"/>
        <v>0</v>
      </c>
      <c r="T65" s="27" t="str">
        <f t="shared" si="8"/>
        <v/>
      </c>
      <c r="U65" s="1" t="str">
        <f t="array" ref="U65">IFERROR(INDEX('Исходник'!$1:$626,MATCH($A65,'Исходник'!$T:$T,0),MATCH(U$1,'Исходник'!$1:$1,0)))</f>
        <v/>
      </c>
      <c r="V65" s="27" t="str">
        <f t="shared" si="9"/>
        <v/>
      </c>
      <c r="W65" s="1" t="str">
        <f t="array" ref="W65">IFERROR(INDEX('Исходник'!$1:$626,MATCH($A65,'Исходник'!$T:$T,0),MATCH(W$1,'Исходник'!$1:$1,0)))</f>
        <v/>
      </c>
      <c r="X65" s="28">
        <f t="shared" si="10"/>
        <v>0</v>
      </c>
      <c r="Y65" s="1" t="str">
        <f t="array" ref="Y65">IFERROR(INDEX('Исходник'!$1:$626,MATCH($A65,'Исходник'!$T:$T,0),MATCH(Y$1,'Исходник'!$1:$1,0)))</f>
        <v/>
      </c>
      <c r="Z65" s="27">
        <f t="shared" si="11"/>
        <v>0</v>
      </c>
      <c r="AA65" s="27" t="str">
        <f t="shared" si="12"/>
        <v/>
      </c>
      <c r="AB65" s="1" t="str">
        <f t="array" ref="AB65">IFERROR(INDEX('Исходник'!$1:$626,MATCH($A65,'Исходник'!$T:$T,0),MATCH(AB$1,'Исходник'!$1:$1,0)))</f>
        <v/>
      </c>
      <c r="AC65" s="1" t="str">
        <f t="array" ref="AC65">IFERROR(INDEX('Исходник'!$1:$626,MATCH($A65,'Исходник'!$T:$T,0),MATCH(AC$1,'Исходник'!$1:$1,0)))</f>
        <v/>
      </c>
      <c r="AD65" s="27" t="str">
        <f t="shared" si="13"/>
        <v/>
      </c>
      <c r="AE65" s="1" t="str">
        <f t="array" ref="AE65">IFERROR(INDEX('Исходник'!$1:$626,MATCH($A65,'Исходник'!$T:$T,0),MATCH(AE$1,'Исходник'!$1:$1,0)))</f>
        <v/>
      </c>
      <c r="AF65" s="1" t="str">
        <f t="array" ref="AF65">IFERROR(INDEX('Исходник'!$1:$626,MATCH($A65,'Исходник'!$T:$T,0),MATCH(AF$1,'Исходник'!$1:$1,0)))</f>
        <v/>
      </c>
      <c r="AG65" s="27" t="str">
        <f t="shared" si="14"/>
        <v/>
      </c>
      <c r="AH65" s="1" t="str">
        <f t="array" ref="AH65">IFERROR(INDEX('Исходник'!$1:$626,MATCH($A65,'Исходник'!$T:$T,0),MATCH(AH$1,'Исходник'!$1:$1,0)))</f>
        <v/>
      </c>
      <c r="AI65" s="1" t="str">
        <f t="array" ref="AI65">IFERROR(INDEX('Исходник'!$1:$626,MATCH($A65,'Исходник'!$T:$T,0),MATCH(AI$1,'Исходник'!$1:$1,0)))</f>
        <v/>
      </c>
      <c r="AJ65" s="18">
        <f t="shared" si="15"/>
        <v>0</v>
      </c>
      <c r="AL65" s="30"/>
    </row>
    <row r="66" ht="15.75" customHeight="1">
      <c r="A66" s="27"/>
      <c r="B66" s="1" t="str">
        <f t="array" ref="B66">IFERROR(INDEX('Исходник'!$1:$626,MATCH($A66,'Исходник'!$T:$T,0),MATCH(B$1,'Исходник'!$1:$1,0)))</f>
        <v/>
      </c>
      <c r="C66" s="1" t="str">
        <f t="array" ref="C66">IFERROR(INDEX('Исходник'!$1:$626,MATCH($A66,'Исходник'!$T:$T,0),MATCH(C$1,'Исходник'!$1:$1,0)))</f>
        <v/>
      </c>
      <c r="D66" s="1" t="str">
        <f t="array" ref="D66">IFERROR(INDEX('Исходник'!$1:$626,MATCH($A66,'Исходник'!$T:$T,0),MATCH(D$1,'Исходник'!$1:$1,0)))</f>
        <v/>
      </c>
      <c r="E66" s="1" t="str">
        <f t="array" ref="E66">IFERROR(INDEX('Исходник'!$1:$626,MATCH($A66,'Исходник'!$T:$T,0),MATCH(E$1,'Исходник'!$1:$1,0)))</f>
        <v/>
      </c>
      <c r="F66" s="1" t="str">
        <f t="array" ref="F66">IFERROR(INDEX('Исходник'!$1:$626,MATCH($A66,'Исходник'!$T:$T,0),MATCH(F$1,'Исходник'!$1:$1,0)))</f>
        <v/>
      </c>
      <c r="G66" s="1" t="str">
        <f t="array" ref="G66">IFERROR(INDEX('Исходник'!$1:$626,MATCH($A66,'Исходник'!$T:$T,0),MATCH(G$1,'Исходник'!$1:$1,0)))</f>
        <v/>
      </c>
      <c r="H66" s="27">
        <f t="shared" si="1"/>
        <v>0</v>
      </c>
      <c r="I66" s="27" t="str">
        <f t="shared" si="2"/>
        <v/>
      </c>
      <c r="J66" s="1" t="str">
        <f t="array" ref="J66">IFERROR(INDEX('Исходник'!$1:$626,MATCH($A66,'Исходник'!$T:$T,0),MATCH(J$1,'Исходник'!$1:$1,0)))</f>
        <v/>
      </c>
      <c r="K66" s="27" t="str">
        <f t="shared" si="3"/>
        <v/>
      </c>
      <c r="L66" s="1" t="str">
        <f t="array" ref="L66">IFERROR(INDEX('Исходник'!$1:$626,MATCH($A66,'Исходник'!$T:$T,0),MATCH(L$1,'Исходник'!$1:$1,0)))</f>
        <v/>
      </c>
      <c r="M66" s="28">
        <f t="shared" si="4"/>
        <v>0</v>
      </c>
      <c r="N66" s="1" t="str">
        <f t="array" ref="N66">IFERROR(INDEX('Исходник'!$1:$626,MATCH($A66,'Исходник'!$T:$T,0),MATCH(N$1,'Исходник'!$1:$1,0)))</f>
        <v/>
      </c>
      <c r="O66" s="27">
        <f t="shared" si="5"/>
        <v>0</v>
      </c>
      <c r="P66" s="27" t="str">
        <f t="shared" si="6"/>
        <v/>
      </c>
      <c r="Q66" s="1" t="str">
        <f t="array" ref="Q66">IFERROR(INDEX('Исходник'!$1:$626,MATCH($A66,'Исходник'!$T:$T,0),MATCH(Q$1,'Исходник'!$1:$1,0)))</f>
        <v/>
      </c>
      <c r="R66" s="1" t="str">
        <f t="array" ref="R66">IFERROR(INDEX('Исходник'!$1:$626,MATCH($A66,'Исходник'!$T:$T,0),MATCH(R$1,'Исходник'!$1:$1,0)))</f>
        <v/>
      </c>
      <c r="S66" s="27">
        <f t="shared" si="7"/>
        <v>0</v>
      </c>
      <c r="T66" s="27" t="str">
        <f t="shared" si="8"/>
        <v/>
      </c>
      <c r="U66" s="1" t="str">
        <f t="array" ref="U66">IFERROR(INDEX('Исходник'!$1:$626,MATCH($A66,'Исходник'!$T:$T,0),MATCH(U$1,'Исходник'!$1:$1,0)))</f>
        <v/>
      </c>
      <c r="V66" s="27" t="str">
        <f t="shared" si="9"/>
        <v/>
      </c>
      <c r="W66" s="1" t="str">
        <f t="array" ref="W66">IFERROR(INDEX('Исходник'!$1:$626,MATCH($A66,'Исходник'!$T:$T,0),MATCH(W$1,'Исходник'!$1:$1,0)))</f>
        <v/>
      </c>
      <c r="X66" s="28">
        <f t="shared" si="10"/>
        <v>0</v>
      </c>
      <c r="Y66" s="1" t="str">
        <f t="array" ref="Y66">IFERROR(INDEX('Исходник'!$1:$626,MATCH($A66,'Исходник'!$T:$T,0),MATCH(Y$1,'Исходник'!$1:$1,0)))</f>
        <v/>
      </c>
      <c r="Z66" s="27">
        <f t="shared" si="11"/>
        <v>0</v>
      </c>
      <c r="AA66" s="27" t="str">
        <f t="shared" si="12"/>
        <v/>
      </c>
      <c r="AB66" s="1" t="str">
        <f t="array" ref="AB66">IFERROR(INDEX('Исходник'!$1:$626,MATCH($A66,'Исходник'!$T:$T,0),MATCH(AB$1,'Исходник'!$1:$1,0)))</f>
        <v/>
      </c>
      <c r="AC66" s="1" t="str">
        <f t="array" ref="AC66">IFERROR(INDEX('Исходник'!$1:$626,MATCH($A66,'Исходник'!$T:$T,0),MATCH(AC$1,'Исходник'!$1:$1,0)))</f>
        <v/>
      </c>
      <c r="AD66" s="27" t="str">
        <f t="shared" si="13"/>
        <v/>
      </c>
      <c r="AE66" s="1" t="str">
        <f t="array" ref="AE66">IFERROR(INDEX('Исходник'!$1:$626,MATCH($A66,'Исходник'!$T:$T,0),MATCH(AE$1,'Исходник'!$1:$1,0)))</f>
        <v/>
      </c>
      <c r="AF66" s="1" t="str">
        <f t="array" ref="AF66">IFERROR(INDEX('Исходник'!$1:$626,MATCH($A66,'Исходник'!$T:$T,0),MATCH(AF$1,'Исходник'!$1:$1,0)))</f>
        <v/>
      </c>
      <c r="AG66" s="27" t="str">
        <f t="shared" si="14"/>
        <v/>
      </c>
      <c r="AH66" s="1" t="str">
        <f t="array" ref="AH66">IFERROR(INDEX('Исходник'!$1:$626,MATCH($A66,'Исходник'!$T:$T,0),MATCH(AH$1,'Исходник'!$1:$1,0)))</f>
        <v/>
      </c>
      <c r="AI66" s="1" t="str">
        <f t="array" ref="AI66">IFERROR(INDEX('Исходник'!$1:$626,MATCH($A66,'Исходник'!$T:$T,0),MATCH(AI$1,'Исходник'!$1:$1,0)))</f>
        <v/>
      </c>
      <c r="AJ66" s="18">
        <f t="shared" si="15"/>
        <v>0</v>
      </c>
      <c r="AL66" s="30"/>
    </row>
    <row r="67" ht="15.75" customHeight="1">
      <c r="A67" s="27"/>
      <c r="B67" s="1" t="str">
        <f t="array" ref="B67">IFERROR(INDEX('Исходник'!$1:$626,MATCH($A67,'Исходник'!$T:$T,0),MATCH(B$1,'Исходник'!$1:$1,0)))</f>
        <v/>
      </c>
      <c r="C67" s="1" t="str">
        <f t="array" ref="C67">IFERROR(INDEX('Исходник'!$1:$626,MATCH($A67,'Исходник'!$T:$T,0),MATCH(C$1,'Исходник'!$1:$1,0)))</f>
        <v/>
      </c>
      <c r="D67" s="1" t="str">
        <f t="array" ref="D67">IFERROR(INDEX('Исходник'!$1:$626,MATCH($A67,'Исходник'!$T:$T,0),MATCH(D$1,'Исходник'!$1:$1,0)))</f>
        <v/>
      </c>
      <c r="E67" s="1" t="str">
        <f t="array" ref="E67">IFERROR(INDEX('Исходник'!$1:$626,MATCH($A67,'Исходник'!$T:$T,0),MATCH(E$1,'Исходник'!$1:$1,0)))</f>
        <v/>
      </c>
      <c r="F67" s="1" t="str">
        <f t="array" ref="F67">IFERROR(INDEX('Исходник'!$1:$626,MATCH($A67,'Исходник'!$T:$T,0),MATCH(F$1,'Исходник'!$1:$1,0)))</f>
        <v/>
      </c>
      <c r="G67" s="1" t="str">
        <f t="array" ref="G67">IFERROR(INDEX('Исходник'!$1:$626,MATCH($A67,'Исходник'!$T:$T,0),MATCH(G$1,'Исходник'!$1:$1,0)))</f>
        <v/>
      </c>
      <c r="H67" s="27">
        <f t="shared" si="1"/>
        <v>0</v>
      </c>
      <c r="I67" s="27" t="str">
        <f t="shared" si="2"/>
        <v/>
      </c>
      <c r="J67" s="1" t="str">
        <f t="array" ref="J67">IFERROR(INDEX('Исходник'!$1:$626,MATCH($A67,'Исходник'!$T:$T,0),MATCH(J$1,'Исходник'!$1:$1,0)))</f>
        <v/>
      </c>
      <c r="K67" s="27" t="str">
        <f t="shared" si="3"/>
        <v/>
      </c>
      <c r="L67" s="1" t="str">
        <f t="array" ref="L67">IFERROR(INDEX('Исходник'!$1:$626,MATCH($A67,'Исходник'!$T:$T,0),MATCH(L$1,'Исходник'!$1:$1,0)))</f>
        <v/>
      </c>
      <c r="M67" s="28">
        <f t="shared" si="4"/>
        <v>0</v>
      </c>
      <c r="N67" s="1" t="str">
        <f t="array" ref="N67">IFERROR(INDEX('Исходник'!$1:$626,MATCH($A67,'Исходник'!$T:$T,0),MATCH(N$1,'Исходник'!$1:$1,0)))</f>
        <v/>
      </c>
      <c r="O67" s="27">
        <f t="shared" si="5"/>
        <v>0</v>
      </c>
      <c r="P67" s="27" t="str">
        <f t="shared" si="6"/>
        <v/>
      </c>
      <c r="Q67" s="1" t="str">
        <f t="array" ref="Q67">IFERROR(INDEX('Исходник'!$1:$626,MATCH($A67,'Исходник'!$T:$T,0),MATCH(Q$1,'Исходник'!$1:$1,0)))</f>
        <v/>
      </c>
      <c r="R67" s="1" t="str">
        <f t="array" ref="R67">IFERROR(INDEX('Исходник'!$1:$626,MATCH($A67,'Исходник'!$T:$T,0),MATCH(R$1,'Исходник'!$1:$1,0)))</f>
        <v/>
      </c>
      <c r="S67" s="27">
        <f t="shared" si="7"/>
        <v>0</v>
      </c>
      <c r="T67" s="27" t="str">
        <f t="shared" si="8"/>
        <v/>
      </c>
      <c r="U67" s="1" t="str">
        <f t="array" ref="U67">IFERROR(INDEX('Исходник'!$1:$626,MATCH($A67,'Исходник'!$T:$T,0),MATCH(U$1,'Исходник'!$1:$1,0)))</f>
        <v/>
      </c>
      <c r="V67" s="27" t="str">
        <f t="shared" si="9"/>
        <v/>
      </c>
      <c r="W67" s="1" t="str">
        <f t="array" ref="W67">IFERROR(INDEX('Исходник'!$1:$626,MATCH($A67,'Исходник'!$T:$T,0),MATCH(W$1,'Исходник'!$1:$1,0)))</f>
        <v/>
      </c>
      <c r="X67" s="28">
        <f t="shared" si="10"/>
        <v>0</v>
      </c>
      <c r="Y67" s="1" t="str">
        <f t="array" ref="Y67">IFERROR(INDEX('Исходник'!$1:$626,MATCH($A67,'Исходник'!$T:$T,0),MATCH(Y$1,'Исходник'!$1:$1,0)))</f>
        <v/>
      </c>
      <c r="Z67" s="27">
        <f t="shared" si="11"/>
        <v>0</v>
      </c>
      <c r="AA67" s="27" t="str">
        <f t="shared" si="12"/>
        <v/>
      </c>
      <c r="AB67" s="1" t="str">
        <f t="array" ref="AB67">IFERROR(INDEX('Исходник'!$1:$626,MATCH($A67,'Исходник'!$T:$T,0),MATCH(AB$1,'Исходник'!$1:$1,0)))</f>
        <v/>
      </c>
      <c r="AC67" s="1" t="str">
        <f t="array" ref="AC67">IFERROR(INDEX('Исходник'!$1:$626,MATCH($A67,'Исходник'!$T:$T,0),MATCH(AC$1,'Исходник'!$1:$1,0)))</f>
        <v/>
      </c>
      <c r="AD67" s="27" t="str">
        <f t="shared" si="13"/>
        <v/>
      </c>
      <c r="AE67" s="1" t="str">
        <f t="array" ref="AE67">IFERROR(INDEX('Исходник'!$1:$626,MATCH($A67,'Исходник'!$T:$T,0),MATCH(AE$1,'Исходник'!$1:$1,0)))</f>
        <v/>
      </c>
      <c r="AF67" s="1" t="str">
        <f t="array" ref="AF67">IFERROR(INDEX('Исходник'!$1:$626,MATCH($A67,'Исходник'!$T:$T,0),MATCH(AF$1,'Исходник'!$1:$1,0)))</f>
        <v/>
      </c>
      <c r="AG67" s="27" t="str">
        <f t="shared" si="14"/>
        <v/>
      </c>
      <c r="AH67" s="1" t="str">
        <f t="array" ref="AH67">IFERROR(INDEX('Исходник'!$1:$626,MATCH($A67,'Исходник'!$T:$T,0),MATCH(AH$1,'Исходник'!$1:$1,0)))</f>
        <v/>
      </c>
      <c r="AI67" s="1" t="str">
        <f t="array" ref="AI67">IFERROR(INDEX('Исходник'!$1:$626,MATCH($A67,'Исходник'!$T:$T,0),MATCH(AI$1,'Исходник'!$1:$1,0)))</f>
        <v/>
      </c>
      <c r="AJ67" s="18">
        <f t="shared" si="15"/>
        <v>0</v>
      </c>
      <c r="AL67" s="30"/>
    </row>
    <row r="68" ht="15.75" customHeight="1">
      <c r="A68" s="27"/>
      <c r="B68" s="1" t="str">
        <f t="array" ref="B68">IFERROR(INDEX('Исходник'!$1:$626,MATCH($A68,'Исходник'!$T:$T,0),MATCH(B$1,'Исходник'!$1:$1,0)))</f>
        <v/>
      </c>
      <c r="C68" s="1" t="str">
        <f t="array" ref="C68">IFERROR(INDEX('Исходник'!$1:$626,MATCH($A68,'Исходник'!$T:$T,0),MATCH(C$1,'Исходник'!$1:$1,0)))</f>
        <v/>
      </c>
      <c r="D68" s="1" t="str">
        <f t="array" ref="D68">IFERROR(INDEX('Исходник'!$1:$626,MATCH($A68,'Исходник'!$T:$T,0),MATCH(D$1,'Исходник'!$1:$1,0)))</f>
        <v/>
      </c>
      <c r="E68" s="1" t="str">
        <f t="array" ref="E68">IFERROR(INDEX('Исходник'!$1:$626,MATCH($A68,'Исходник'!$T:$T,0),MATCH(E$1,'Исходник'!$1:$1,0)))</f>
        <v/>
      </c>
      <c r="F68" s="1" t="str">
        <f t="array" ref="F68">IFERROR(INDEX('Исходник'!$1:$626,MATCH($A68,'Исходник'!$T:$T,0),MATCH(F$1,'Исходник'!$1:$1,0)))</f>
        <v/>
      </c>
      <c r="G68" s="1" t="str">
        <f t="array" ref="G68">IFERROR(INDEX('Исходник'!$1:$626,MATCH($A68,'Исходник'!$T:$T,0),MATCH(G$1,'Исходник'!$1:$1,0)))</f>
        <v/>
      </c>
      <c r="H68" s="27">
        <f t="shared" si="1"/>
        <v>0</v>
      </c>
      <c r="I68" s="27" t="str">
        <f t="shared" si="2"/>
        <v/>
      </c>
      <c r="J68" s="1" t="str">
        <f t="array" ref="J68">IFERROR(INDEX('Исходник'!$1:$626,MATCH($A68,'Исходник'!$T:$T,0),MATCH(J$1,'Исходник'!$1:$1,0)))</f>
        <v/>
      </c>
      <c r="K68" s="27" t="str">
        <f t="shared" si="3"/>
        <v/>
      </c>
      <c r="L68" s="1" t="str">
        <f t="array" ref="L68">IFERROR(INDEX('Исходник'!$1:$626,MATCH($A68,'Исходник'!$T:$T,0),MATCH(L$1,'Исходник'!$1:$1,0)))</f>
        <v/>
      </c>
      <c r="M68" s="28">
        <f t="shared" si="4"/>
        <v>0</v>
      </c>
      <c r="N68" s="1" t="str">
        <f t="array" ref="N68">IFERROR(INDEX('Исходник'!$1:$626,MATCH($A68,'Исходник'!$T:$T,0),MATCH(N$1,'Исходник'!$1:$1,0)))</f>
        <v/>
      </c>
      <c r="O68" s="27">
        <f t="shared" si="5"/>
        <v>0</v>
      </c>
      <c r="P68" s="27" t="str">
        <f t="shared" si="6"/>
        <v/>
      </c>
      <c r="Q68" s="1" t="str">
        <f t="array" ref="Q68">IFERROR(INDEX('Исходник'!$1:$626,MATCH($A68,'Исходник'!$T:$T,0),MATCH(Q$1,'Исходник'!$1:$1,0)))</f>
        <v/>
      </c>
      <c r="R68" s="1" t="str">
        <f t="array" ref="R68">IFERROR(INDEX('Исходник'!$1:$626,MATCH($A68,'Исходник'!$T:$T,0),MATCH(R$1,'Исходник'!$1:$1,0)))</f>
        <v/>
      </c>
      <c r="S68" s="27">
        <f t="shared" si="7"/>
        <v>0</v>
      </c>
      <c r="T68" s="27" t="str">
        <f t="shared" si="8"/>
        <v/>
      </c>
      <c r="U68" s="1" t="str">
        <f t="array" ref="U68">IFERROR(INDEX('Исходник'!$1:$626,MATCH($A68,'Исходник'!$T:$T,0),MATCH(U$1,'Исходник'!$1:$1,0)))</f>
        <v/>
      </c>
      <c r="V68" s="27" t="str">
        <f t="shared" si="9"/>
        <v/>
      </c>
      <c r="W68" s="1" t="str">
        <f t="array" ref="W68">IFERROR(INDEX('Исходник'!$1:$626,MATCH($A68,'Исходник'!$T:$T,0),MATCH(W$1,'Исходник'!$1:$1,0)))</f>
        <v/>
      </c>
      <c r="X68" s="28">
        <f t="shared" si="10"/>
        <v>0</v>
      </c>
      <c r="Y68" s="1" t="str">
        <f t="array" ref="Y68">IFERROR(INDEX('Исходник'!$1:$626,MATCH($A68,'Исходник'!$T:$T,0),MATCH(Y$1,'Исходник'!$1:$1,0)))</f>
        <v/>
      </c>
      <c r="Z68" s="27">
        <f t="shared" si="11"/>
        <v>0</v>
      </c>
      <c r="AA68" s="27" t="str">
        <f t="shared" si="12"/>
        <v/>
      </c>
      <c r="AB68" s="1" t="str">
        <f t="array" ref="AB68">IFERROR(INDEX('Исходник'!$1:$626,MATCH($A68,'Исходник'!$T:$T,0),MATCH(AB$1,'Исходник'!$1:$1,0)))</f>
        <v/>
      </c>
      <c r="AC68" s="1" t="str">
        <f t="array" ref="AC68">IFERROR(INDEX('Исходник'!$1:$626,MATCH($A68,'Исходник'!$T:$T,0),MATCH(AC$1,'Исходник'!$1:$1,0)))</f>
        <v/>
      </c>
      <c r="AD68" s="27" t="str">
        <f t="shared" si="13"/>
        <v/>
      </c>
      <c r="AE68" s="1" t="str">
        <f t="array" ref="AE68">IFERROR(INDEX('Исходник'!$1:$626,MATCH($A68,'Исходник'!$T:$T,0),MATCH(AE$1,'Исходник'!$1:$1,0)))</f>
        <v/>
      </c>
      <c r="AF68" s="1" t="str">
        <f t="array" ref="AF68">IFERROR(INDEX('Исходник'!$1:$626,MATCH($A68,'Исходник'!$T:$T,0),MATCH(AF$1,'Исходник'!$1:$1,0)))</f>
        <v/>
      </c>
      <c r="AG68" s="27" t="str">
        <f t="shared" si="14"/>
        <v/>
      </c>
      <c r="AH68" s="1" t="str">
        <f t="array" ref="AH68">IFERROR(INDEX('Исходник'!$1:$626,MATCH($A68,'Исходник'!$T:$T,0),MATCH(AH$1,'Исходник'!$1:$1,0)))</f>
        <v/>
      </c>
      <c r="AI68" s="1" t="str">
        <f t="array" ref="AI68">IFERROR(INDEX('Исходник'!$1:$626,MATCH($A68,'Исходник'!$T:$T,0),MATCH(AI$1,'Исходник'!$1:$1,0)))</f>
        <v/>
      </c>
      <c r="AJ68" s="18">
        <f t="shared" si="15"/>
        <v>0</v>
      </c>
      <c r="AL68" s="30"/>
    </row>
    <row r="69" ht="15.75" customHeight="1">
      <c r="A69" s="27"/>
      <c r="B69" s="1" t="str">
        <f t="array" ref="B69">IFERROR(INDEX('Исходник'!$1:$626,MATCH($A69,'Исходник'!$T:$T,0),MATCH(B$1,'Исходник'!$1:$1,0)))</f>
        <v/>
      </c>
      <c r="C69" s="1" t="str">
        <f t="array" ref="C69">IFERROR(INDEX('Исходник'!$1:$626,MATCH($A69,'Исходник'!$T:$T,0),MATCH(C$1,'Исходник'!$1:$1,0)))</f>
        <v/>
      </c>
      <c r="D69" s="1" t="str">
        <f t="array" ref="D69">IFERROR(INDEX('Исходник'!$1:$626,MATCH($A69,'Исходник'!$T:$T,0),MATCH(D$1,'Исходник'!$1:$1,0)))</f>
        <v/>
      </c>
      <c r="E69" s="1" t="str">
        <f t="array" ref="E69">IFERROR(INDEX('Исходник'!$1:$626,MATCH($A69,'Исходник'!$T:$T,0),MATCH(E$1,'Исходник'!$1:$1,0)))</f>
        <v/>
      </c>
      <c r="F69" s="1" t="str">
        <f t="array" ref="F69">IFERROR(INDEX('Исходник'!$1:$626,MATCH($A69,'Исходник'!$T:$T,0),MATCH(F$1,'Исходник'!$1:$1,0)))</f>
        <v/>
      </c>
      <c r="G69" s="1" t="str">
        <f t="array" ref="G69">IFERROR(INDEX('Исходник'!$1:$626,MATCH($A69,'Исходник'!$T:$T,0),MATCH(G$1,'Исходник'!$1:$1,0)))</f>
        <v/>
      </c>
      <c r="H69" s="27">
        <f t="shared" si="1"/>
        <v>0</v>
      </c>
      <c r="I69" s="27" t="str">
        <f t="shared" si="2"/>
        <v/>
      </c>
      <c r="J69" s="1" t="str">
        <f t="array" ref="J69">IFERROR(INDEX('Исходник'!$1:$626,MATCH($A69,'Исходник'!$T:$T,0),MATCH(J$1,'Исходник'!$1:$1,0)))</f>
        <v/>
      </c>
      <c r="K69" s="27" t="str">
        <f t="shared" si="3"/>
        <v/>
      </c>
      <c r="L69" s="1" t="str">
        <f t="array" ref="L69">IFERROR(INDEX('Исходник'!$1:$626,MATCH($A69,'Исходник'!$T:$T,0),MATCH(L$1,'Исходник'!$1:$1,0)))</f>
        <v/>
      </c>
      <c r="M69" s="28">
        <f t="shared" si="4"/>
        <v>0</v>
      </c>
      <c r="N69" s="1" t="str">
        <f t="array" ref="N69">IFERROR(INDEX('Исходник'!$1:$626,MATCH($A69,'Исходник'!$T:$T,0),MATCH(N$1,'Исходник'!$1:$1,0)))</f>
        <v/>
      </c>
      <c r="O69" s="27">
        <f t="shared" si="5"/>
        <v>0</v>
      </c>
      <c r="P69" s="27" t="str">
        <f t="shared" si="6"/>
        <v/>
      </c>
      <c r="Q69" s="1" t="str">
        <f t="array" ref="Q69">IFERROR(INDEX('Исходник'!$1:$626,MATCH($A69,'Исходник'!$T:$T,0),MATCH(Q$1,'Исходник'!$1:$1,0)))</f>
        <v/>
      </c>
      <c r="R69" s="1" t="str">
        <f t="array" ref="R69">IFERROR(INDEX('Исходник'!$1:$626,MATCH($A69,'Исходник'!$T:$T,0),MATCH(R$1,'Исходник'!$1:$1,0)))</f>
        <v/>
      </c>
      <c r="S69" s="27">
        <f t="shared" si="7"/>
        <v>0</v>
      </c>
      <c r="T69" s="27" t="str">
        <f t="shared" si="8"/>
        <v/>
      </c>
      <c r="U69" s="1" t="str">
        <f t="array" ref="U69">IFERROR(INDEX('Исходник'!$1:$626,MATCH($A69,'Исходник'!$T:$T,0),MATCH(U$1,'Исходник'!$1:$1,0)))</f>
        <v/>
      </c>
      <c r="V69" s="27" t="str">
        <f t="shared" si="9"/>
        <v/>
      </c>
      <c r="W69" s="1" t="str">
        <f t="array" ref="W69">IFERROR(INDEX('Исходник'!$1:$626,MATCH($A69,'Исходник'!$T:$T,0),MATCH(W$1,'Исходник'!$1:$1,0)))</f>
        <v/>
      </c>
      <c r="X69" s="28">
        <f t="shared" si="10"/>
        <v>0</v>
      </c>
      <c r="Y69" s="1" t="str">
        <f t="array" ref="Y69">IFERROR(INDEX('Исходник'!$1:$626,MATCH($A69,'Исходник'!$T:$T,0),MATCH(Y$1,'Исходник'!$1:$1,0)))</f>
        <v/>
      </c>
      <c r="Z69" s="27">
        <f t="shared" si="11"/>
        <v>0</v>
      </c>
      <c r="AA69" s="27" t="str">
        <f t="shared" si="12"/>
        <v/>
      </c>
      <c r="AB69" s="1" t="str">
        <f t="array" ref="AB69">IFERROR(INDEX('Исходник'!$1:$626,MATCH($A69,'Исходник'!$T:$T,0),MATCH(AB$1,'Исходник'!$1:$1,0)))</f>
        <v/>
      </c>
      <c r="AC69" s="1" t="str">
        <f t="array" ref="AC69">IFERROR(INDEX('Исходник'!$1:$626,MATCH($A69,'Исходник'!$T:$T,0),MATCH(AC$1,'Исходник'!$1:$1,0)))</f>
        <v/>
      </c>
      <c r="AD69" s="27" t="str">
        <f t="shared" si="13"/>
        <v/>
      </c>
      <c r="AE69" s="1" t="str">
        <f t="array" ref="AE69">IFERROR(INDEX('Исходник'!$1:$626,MATCH($A69,'Исходник'!$T:$T,0),MATCH(AE$1,'Исходник'!$1:$1,0)))</f>
        <v/>
      </c>
      <c r="AF69" s="1" t="str">
        <f t="array" ref="AF69">IFERROR(INDEX('Исходник'!$1:$626,MATCH($A69,'Исходник'!$T:$T,0),MATCH(AF$1,'Исходник'!$1:$1,0)))</f>
        <v/>
      </c>
      <c r="AG69" s="27" t="str">
        <f t="shared" si="14"/>
        <v/>
      </c>
      <c r="AH69" s="1" t="str">
        <f t="array" ref="AH69">IFERROR(INDEX('Исходник'!$1:$626,MATCH($A69,'Исходник'!$T:$T,0),MATCH(AH$1,'Исходник'!$1:$1,0)))</f>
        <v/>
      </c>
      <c r="AI69" s="1" t="str">
        <f t="array" ref="AI69">IFERROR(INDEX('Исходник'!$1:$626,MATCH($A69,'Исходник'!$T:$T,0),MATCH(AI$1,'Исходник'!$1:$1,0)))</f>
        <v/>
      </c>
      <c r="AJ69" s="18">
        <f t="shared" si="15"/>
        <v>0</v>
      </c>
      <c r="AL69" s="30"/>
    </row>
    <row r="70" ht="15.75" customHeight="1">
      <c r="A70" s="27"/>
      <c r="B70" s="1" t="str">
        <f t="array" ref="B70">IFERROR(INDEX('Исходник'!$1:$626,MATCH($A70,'Исходник'!$T:$T,0),MATCH(B$1,'Исходник'!$1:$1,0)))</f>
        <v/>
      </c>
      <c r="C70" s="1" t="str">
        <f t="array" ref="C70">IFERROR(INDEX('Исходник'!$1:$626,MATCH($A70,'Исходник'!$T:$T,0),MATCH(C$1,'Исходник'!$1:$1,0)))</f>
        <v/>
      </c>
      <c r="D70" s="1" t="str">
        <f t="array" ref="D70">IFERROR(INDEX('Исходник'!$1:$626,MATCH($A70,'Исходник'!$T:$T,0),MATCH(D$1,'Исходник'!$1:$1,0)))</f>
        <v/>
      </c>
      <c r="E70" s="1" t="str">
        <f t="array" ref="E70">IFERROR(INDEX('Исходник'!$1:$626,MATCH($A70,'Исходник'!$T:$T,0),MATCH(E$1,'Исходник'!$1:$1,0)))</f>
        <v/>
      </c>
      <c r="F70" s="1" t="str">
        <f t="array" ref="F70">IFERROR(INDEX('Исходник'!$1:$626,MATCH($A70,'Исходник'!$T:$T,0),MATCH(F$1,'Исходник'!$1:$1,0)))</f>
        <v/>
      </c>
      <c r="G70" s="1" t="str">
        <f t="array" ref="G70">IFERROR(INDEX('Исходник'!$1:$626,MATCH($A70,'Исходник'!$T:$T,0),MATCH(G$1,'Исходник'!$1:$1,0)))</f>
        <v/>
      </c>
      <c r="H70" s="27">
        <f t="shared" si="1"/>
        <v>0</v>
      </c>
      <c r="I70" s="27" t="str">
        <f t="shared" si="2"/>
        <v/>
      </c>
      <c r="J70" s="1" t="str">
        <f t="array" ref="J70">IFERROR(INDEX('Исходник'!$1:$626,MATCH($A70,'Исходник'!$T:$T,0),MATCH(J$1,'Исходник'!$1:$1,0)))</f>
        <v/>
      </c>
      <c r="K70" s="27" t="str">
        <f t="shared" si="3"/>
        <v/>
      </c>
      <c r="L70" s="1" t="str">
        <f t="array" ref="L70">IFERROR(INDEX('Исходник'!$1:$626,MATCH($A70,'Исходник'!$T:$T,0),MATCH(L$1,'Исходник'!$1:$1,0)))</f>
        <v/>
      </c>
      <c r="M70" s="28">
        <f t="shared" si="4"/>
        <v>0</v>
      </c>
      <c r="N70" s="1" t="str">
        <f t="array" ref="N70">IFERROR(INDEX('Исходник'!$1:$626,MATCH($A70,'Исходник'!$T:$T,0),MATCH(N$1,'Исходник'!$1:$1,0)))</f>
        <v/>
      </c>
      <c r="O70" s="27">
        <f t="shared" si="5"/>
        <v>0</v>
      </c>
      <c r="P70" s="27" t="str">
        <f t="shared" si="6"/>
        <v/>
      </c>
      <c r="Q70" s="1" t="str">
        <f t="array" ref="Q70">IFERROR(INDEX('Исходник'!$1:$626,MATCH($A70,'Исходник'!$T:$T,0),MATCH(Q$1,'Исходник'!$1:$1,0)))</f>
        <v/>
      </c>
      <c r="R70" s="1" t="str">
        <f t="array" ref="R70">IFERROR(INDEX('Исходник'!$1:$626,MATCH($A70,'Исходник'!$T:$T,0),MATCH(R$1,'Исходник'!$1:$1,0)))</f>
        <v/>
      </c>
      <c r="S70" s="27">
        <f t="shared" si="7"/>
        <v>0</v>
      </c>
      <c r="T70" s="27" t="str">
        <f t="shared" si="8"/>
        <v/>
      </c>
      <c r="U70" s="1" t="str">
        <f t="array" ref="U70">IFERROR(INDEX('Исходник'!$1:$626,MATCH($A70,'Исходник'!$T:$T,0),MATCH(U$1,'Исходник'!$1:$1,0)))</f>
        <v/>
      </c>
      <c r="V70" s="27" t="str">
        <f t="shared" si="9"/>
        <v/>
      </c>
      <c r="W70" s="1" t="str">
        <f t="array" ref="W70">IFERROR(INDEX('Исходник'!$1:$626,MATCH($A70,'Исходник'!$T:$T,0),MATCH(W$1,'Исходник'!$1:$1,0)))</f>
        <v/>
      </c>
      <c r="X70" s="28">
        <f t="shared" si="10"/>
        <v>0</v>
      </c>
      <c r="Y70" s="1" t="str">
        <f t="array" ref="Y70">IFERROR(INDEX('Исходник'!$1:$626,MATCH($A70,'Исходник'!$T:$T,0),MATCH(Y$1,'Исходник'!$1:$1,0)))</f>
        <v/>
      </c>
      <c r="Z70" s="27">
        <f t="shared" si="11"/>
        <v>0</v>
      </c>
      <c r="AA70" s="27" t="str">
        <f t="shared" si="12"/>
        <v/>
      </c>
      <c r="AB70" s="1" t="str">
        <f t="array" ref="AB70">IFERROR(INDEX('Исходник'!$1:$626,MATCH($A70,'Исходник'!$T:$T,0),MATCH(AB$1,'Исходник'!$1:$1,0)))</f>
        <v/>
      </c>
      <c r="AC70" s="1" t="str">
        <f t="array" ref="AC70">IFERROR(INDEX('Исходник'!$1:$626,MATCH($A70,'Исходник'!$T:$T,0),MATCH(AC$1,'Исходник'!$1:$1,0)))</f>
        <v/>
      </c>
      <c r="AD70" s="27" t="str">
        <f t="shared" si="13"/>
        <v/>
      </c>
      <c r="AE70" s="1" t="str">
        <f t="array" ref="AE70">IFERROR(INDEX('Исходник'!$1:$626,MATCH($A70,'Исходник'!$T:$T,0),MATCH(AE$1,'Исходник'!$1:$1,0)))</f>
        <v/>
      </c>
      <c r="AF70" s="1" t="str">
        <f t="array" ref="AF70">IFERROR(INDEX('Исходник'!$1:$626,MATCH($A70,'Исходник'!$T:$T,0),MATCH(AF$1,'Исходник'!$1:$1,0)))</f>
        <v/>
      </c>
      <c r="AG70" s="27" t="str">
        <f t="shared" si="14"/>
        <v/>
      </c>
      <c r="AH70" s="1" t="str">
        <f t="array" ref="AH70">IFERROR(INDEX('Исходник'!$1:$626,MATCH($A70,'Исходник'!$T:$T,0),MATCH(AH$1,'Исходник'!$1:$1,0)))</f>
        <v/>
      </c>
      <c r="AI70" s="1" t="str">
        <f t="array" ref="AI70">IFERROR(INDEX('Исходник'!$1:$626,MATCH($A70,'Исходник'!$T:$T,0),MATCH(AI$1,'Исходник'!$1:$1,0)))</f>
        <v/>
      </c>
      <c r="AJ70" s="18">
        <f t="shared" si="15"/>
        <v>0</v>
      </c>
      <c r="AL70" s="30"/>
    </row>
    <row r="71" ht="15.75" customHeight="1">
      <c r="A71" s="27"/>
      <c r="B71" s="1" t="str">
        <f t="array" ref="B71">IFERROR(INDEX('Исходник'!$1:$626,MATCH($A71,'Исходник'!$T:$T,0),MATCH(B$1,'Исходник'!$1:$1,0)))</f>
        <v/>
      </c>
      <c r="C71" s="1" t="str">
        <f t="array" ref="C71">IFERROR(INDEX('Исходник'!$1:$626,MATCH($A71,'Исходник'!$T:$T,0),MATCH(C$1,'Исходник'!$1:$1,0)))</f>
        <v/>
      </c>
      <c r="D71" s="1" t="str">
        <f t="array" ref="D71">IFERROR(INDEX('Исходник'!$1:$626,MATCH($A71,'Исходник'!$T:$T,0),MATCH(D$1,'Исходник'!$1:$1,0)))</f>
        <v/>
      </c>
      <c r="E71" s="1" t="str">
        <f t="array" ref="E71">IFERROR(INDEX('Исходник'!$1:$626,MATCH($A71,'Исходник'!$T:$T,0),MATCH(E$1,'Исходник'!$1:$1,0)))</f>
        <v/>
      </c>
      <c r="F71" s="1" t="str">
        <f t="array" ref="F71">IFERROR(INDEX('Исходник'!$1:$626,MATCH($A71,'Исходник'!$T:$T,0),MATCH(F$1,'Исходник'!$1:$1,0)))</f>
        <v/>
      </c>
      <c r="G71" s="1" t="str">
        <f t="array" ref="G71">IFERROR(INDEX('Исходник'!$1:$626,MATCH($A71,'Исходник'!$T:$T,0),MATCH(G$1,'Исходник'!$1:$1,0)))</f>
        <v/>
      </c>
      <c r="H71" s="27">
        <f t="shared" si="1"/>
        <v>0</v>
      </c>
      <c r="I71" s="27" t="str">
        <f t="shared" si="2"/>
        <v/>
      </c>
      <c r="J71" s="1" t="str">
        <f t="array" ref="J71">IFERROR(INDEX('Исходник'!$1:$626,MATCH($A71,'Исходник'!$T:$T,0),MATCH(J$1,'Исходник'!$1:$1,0)))</f>
        <v/>
      </c>
      <c r="K71" s="27" t="str">
        <f t="shared" si="3"/>
        <v/>
      </c>
      <c r="L71" s="1" t="str">
        <f t="array" ref="L71">IFERROR(INDEX('Исходник'!$1:$626,MATCH($A71,'Исходник'!$T:$T,0),MATCH(L$1,'Исходник'!$1:$1,0)))</f>
        <v/>
      </c>
      <c r="M71" s="28">
        <f t="shared" si="4"/>
        <v>0</v>
      </c>
      <c r="N71" s="1" t="str">
        <f t="array" ref="N71">IFERROR(INDEX('Исходник'!$1:$626,MATCH($A71,'Исходник'!$T:$T,0),MATCH(N$1,'Исходник'!$1:$1,0)))</f>
        <v/>
      </c>
      <c r="O71" s="27">
        <f t="shared" si="5"/>
        <v>0</v>
      </c>
      <c r="P71" s="27" t="str">
        <f t="shared" si="6"/>
        <v/>
      </c>
      <c r="Q71" s="1" t="str">
        <f t="array" ref="Q71">IFERROR(INDEX('Исходник'!$1:$626,MATCH($A71,'Исходник'!$T:$T,0),MATCH(Q$1,'Исходник'!$1:$1,0)))</f>
        <v/>
      </c>
      <c r="R71" s="1" t="str">
        <f t="array" ref="R71">IFERROR(INDEX('Исходник'!$1:$626,MATCH($A71,'Исходник'!$T:$T,0),MATCH(R$1,'Исходник'!$1:$1,0)))</f>
        <v/>
      </c>
      <c r="S71" s="27">
        <f t="shared" si="7"/>
        <v>0</v>
      </c>
      <c r="T71" s="27" t="str">
        <f t="shared" si="8"/>
        <v/>
      </c>
      <c r="U71" s="1" t="str">
        <f t="array" ref="U71">IFERROR(INDEX('Исходник'!$1:$626,MATCH($A71,'Исходник'!$T:$T,0),MATCH(U$1,'Исходник'!$1:$1,0)))</f>
        <v/>
      </c>
      <c r="V71" s="27" t="str">
        <f t="shared" si="9"/>
        <v/>
      </c>
      <c r="W71" s="1" t="str">
        <f t="array" ref="W71">IFERROR(INDEX('Исходник'!$1:$626,MATCH($A71,'Исходник'!$T:$T,0),MATCH(W$1,'Исходник'!$1:$1,0)))</f>
        <v/>
      </c>
      <c r="X71" s="28">
        <f t="shared" si="10"/>
        <v>0</v>
      </c>
      <c r="Y71" s="1" t="str">
        <f t="array" ref="Y71">IFERROR(INDEX('Исходник'!$1:$626,MATCH($A71,'Исходник'!$T:$T,0),MATCH(Y$1,'Исходник'!$1:$1,0)))</f>
        <v/>
      </c>
      <c r="Z71" s="27">
        <f t="shared" si="11"/>
        <v>0</v>
      </c>
      <c r="AA71" s="27" t="str">
        <f t="shared" si="12"/>
        <v/>
      </c>
      <c r="AB71" s="1" t="str">
        <f t="array" ref="AB71">IFERROR(INDEX('Исходник'!$1:$626,MATCH($A71,'Исходник'!$T:$T,0),MATCH(AB$1,'Исходник'!$1:$1,0)))</f>
        <v/>
      </c>
      <c r="AC71" s="1" t="str">
        <f t="array" ref="AC71">IFERROR(INDEX('Исходник'!$1:$626,MATCH($A71,'Исходник'!$T:$T,0),MATCH(AC$1,'Исходник'!$1:$1,0)))</f>
        <v/>
      </c>
      <c r="AD71" s="27" t="str">
        <f t="shared" si="13"/>
        <v/>
      </c>
      <c r="AE71" s="1" t="str">
        <f t="array" ref="AE71">IFERROR(INDEX('Исходник'!$1:$626,MATCH($A71,'Исходник'!$T:$T,0),MATCH(AE$1,'Исходник'!$1:$1,0)))</f>
        <v/>
      </c>
      <c r="AF71" s="1" t="str">
        <f t="array" ref="AF71">IFERROR(INDEX('Исходник'!$1:$626,MATCH($A71,'Исходник'!$T:$T,0),MATCH(AF$1,'Исходник'!$1:$1,0)))</f>
        <v/>
      </c>
      <c r="AG71" s="27" t="str">
        <f t="shared" si="14"/>
        <v/>
      </c>
      <c r="AH71" s="1" t="str">
        <f t="array" ref="AH71">IFERROR(INDEX('Исходник'!$1:$626,MATCH($A71,'Исходник'!$T:$T,0),MATCH(AH$1,'Исходник'!$1:$1,0)))</f>
        <v/>
      </c>
      <c r="AI71" s="1" t="str">
        <f t="array" ref="AI71">IFERROR(INDEX('Исходник'!$1:$626,MATCH($A71,'Исходник'!$T:$T,0),MATCH(AI$1,'Исходник'!$1:$1,0)))</f>
        <v/>
      </c>
      <c r="AJ71" s="18">
        <f t="shared" si="15"/>
        <v>0</v>
      </c>
    </row>
    <row r="72" ht="15.75" customHeight="1">
      <c r="A72" s="27"/>
      <c r="B72" s="1" t="str">
        <f t="array" ref="B72">IFERROR(INDEX('Исходник'!$1:$626,MATCH($A72,'Исходник'!$T:$T,0),MATCH(B$1,'Исходник'!$1:$1,0)))</f>
        <v/>
      </c>
      <c r="C72" s="1" t="str">
        <f t="array" ref="C72">IFERROR(INDEX('Исходник'!$1:$626,MATCH($A72,'Исходник'!$T:$T,0),MATCH(C$1,'Исходник'!$1:$1,0)))</f>
        <v/>
      </c>
      <c r="D72" s="1" t="str">
        <f t="array" ref="D72">IFERROR(INDEX('Исходник'!$1:$626,MATCH($A72,'Исходник'!$T:$T,0),MATCH(D$1,'Исходник'!$1:$1,0)))</f>
        <v/>
      </c>
      <c r="E72" s="1" t="str">
        <f t="array" ref="E72">IFERROR(INDEX('Исходник'!$1:$626,MATCH($A72,'Исходник'!$T:$T,0),MATCH(E$1,'Исходник'!$1:$1,0)))</f>
        <v/>
      </c>
      <c r="F72" s="1" t="str">
        <f t="array" ref="F72">IFERROR(INDEX('Исходник'!$1:$626,MATCH($A72,'Исходник'!$T:$T,0),MATCH(F$1,'Исходник'!$1:$1,0)))</f>
        <v/>
      </c>
      <c r="G72" s="1" t="str">
        <f t="array" ref="G72">IFERROR(INDEX('Исходник'!$1:$626,MATCH($A72,'Исходник'!$T:$T,0),MATCH(G$1,'Исходник'!$1:$1,0)))</f>
        <v/>
      </c>
      <c r="H72" s="27">
        <f t="shared" si="1"/>
        <v>0</v>
      </c>
      <c r="I72" s="27" t="str">
        <f t="shared" si="2"/>
        <v/>
      </c>
      <c r="J72" s="1" t="str">
        <f t="array" ref="J72">IFERROR(INDEX('Исходник'!$1:$626,MATCH($A72,'Исходник'!$T:$T,0),MATCH(J$1,'Исходник'!$1:$1,0)))</f>
        <v/>
      </c>
      <c r="K72" s="27" t="str">
        <f t="shared" si="3"/>
        <v/>
      </c>
      <c r="L72" s="1" t="str">
        <f t="array" ref="L72">IFERROR(INDEX('Исходник'!$1:$626,MATCH($A72,'Исходник'!$T:$T,0),MATCH(L$1,'Исходник'!$1:$1,0)))</f>
        <v/>
      </c>
      <c r="M72" s="28">
        <f t="shared" si="4"/>
        <v>0</v>
      </c>
      <c r="N72" s="1" t="str">
        <f t="array" ref="N72">IFERROR(INDEX('Исходник'!$1:$626,MATCH($A72,'Исходник'!$T:$T,0),MATCH(N$1,'Исходник'!$1:$1,0)))</f>
        <v/>
      </c>
      <c r="O72" s="27">
        <f t="shared" si="5"/>
        <v>0</v>
      </c>
      <c r="P72" s="27" t="str">
        <f t="shared" si="6"/>
        <v/>
      </c>
      <c r="Q72" s="1" t="str">
        <f t="array" ref="Q72">IFERROR(INDEX('Исходник'!$1:$626,MATCH($A72,'Исходник'!$T:$T,0),MATCH(Q$1,'Исходник'!$1:$1,0)))</f>
        <v/>
      </c>
      <c r="R72" s="1" t="str">
        <f t="array" ref="R72">IFERROR(INDEX('Исходник'!$1:$626,MATCH($A72,'Исходник'!$T:$T,0),MATCH(R$1,'Исходник'!$1:$1,0)))</f>
        <v/>
      </c>
      <c r="S72" s="27">
        <f t="shared" si="7"/>
        <v>0</v>
      </c>
      <c r="T72" s="27" t="str">
        <f t="shared" si="8"/>
        <v/>
      </c>
      <c r="U72" s="1" t="str">
        <f t="array" ref="U72">IFERROR(INDEX('Исходник'!$1:$626,MATCH($A72,'Исходник'!$T:$T,0),MATCH(U$1,'Исходник'!$1:$1,0)))</f>
        <v/>
      </c>
      <c r="V72" s="27" t="str">
        <f t="shared" si="9"/>
        <v/>
      </c>
      <c r="W72" s="1" t="str">
        <f t="array" ref="W72">IFERROR(INDEX('Исходник'!$1:$626,MATCH($A72,'Исходник'!$T:$T,0),MATCH(W$1,'Исходник'!$1:$1,0)))</f>
        <v/>
      </c>
      <c r="X72" s="28">
        <f t="shared" si="10"/>
        <v>0</v>
      </c>
      <c r="Y72" s="1" t="str">
        <f t="array" ref="Y72">IFERROR(INDEX('Исходник'!$1:$626,MATCH($A72,'Исходник'!$T:$T,0),MATCH(Y$1,'Исходник'!$1:$1,0)))</f>
        <v/>
      </c>
      <c r="Z72" s="27">
        <f t="shared" si="11"/>
        <v>0</v>
      </c>
      <c r="AA72" s="27" t="str">
        <f t="shared" si="12"/>
        <v/>
      </c>
      <c r="AB72" s="1" t="str">
        <f t="array" ref="AB72">IFERROR(INDEX('Исходник'!$1:$626,MATCH($A72,'Исходник'!$T:$T,0),MATCH(AB$1,'Исходник'!$1:$1,0)))</f>
        <v/>
      </c>
      <c r="AC72" s="1" t="str">
        <f t="array" ref="AC72">IFERROR(INDEX('Исходник'!$1:$626,MATCH($A72,'Исходник'!$T:$T,0),MATCH(AC$1,'Исходник'!$1:$1,0)))</f>
        <v/>
      </c>
      <c r="AD72" s="27" t="str">
        <f t="shared" si="13"/>
        <v/>
      </c>
      <c r="AE72" s="1" t="str">
        <f t="array" ref="AE72">IFERROR(INDEX('Исходник'!$1:$626,MATCH($A72,'Исходник'!$T:$T,0),MATCH(AE$1,'Исходник'!$1:$1,0)))</f>
        <v/>
      </c>
      <c r="AF72" s="1" t="str">
        <f t="array" ref="AF72">IFERROR(INDEX('Исходник'!$1:$626,MATCH($A72,'Исходник'!$T:$T,0),MATCH(AF$1,'Исходник'!$1:$1,0)))</f>
        <v/>
      </c>
      <c r="AG72" s="27" t="str">
        <f t="shared" si="14"/>
        <v/>
      </c>
      <c r="AH72" s="1" t="str">
        <f t="array" ref="AH72">IFERROR(INDEX('Исходник'!$1:$626,MATCH($A72,'Исходник'!$T:$T,0),MATCH(AH$1,'Исходник'!$1:$1,0)))</f>
        <v/>
      </c>
      <c r="AI72" s="1" t="str">
        <f t="array" ref="AI72">IFERROR(INDEX('Исходник'!$1:$626,MATCH($A72,'Исходник'!$T:$T,0),MATCH(AI$1,'Исходник'!$1:$1,0)))</f>
        <v/>
      </c>
      <c r="AJ72" s="18">
        <f t="shared" si="15"/>
        <v>0</v>
      </c>
    </row>
    <row r="73" ht="15.75" customHeight="1">
      <c r="A73" s="27"/>
      <c r="B73" s="1" t="str">
        <f t="array" ref="B73">IFERROR(INDEX('Исходник'!$1:$626,MATCH($A73,'Исходник'!$T:$T,0),MATCH(B$1,'Исходник'!$1:$1,0)))</f>
        <v/>
      </c>
      <c r="C73" s="1" t="str">
        <f t="array" ref="C73">IFERROR(INDEX('Исходник'!$1:$626,MATCH($A73,'Исходник'!$T:$T,0),MATCH(C$1,'Исходник'!$1:$1,0)))</f>
        <v/>
      </c>
      <c r="D73" s="1" t="str">
        <f t="array" ref="D73">IFERROR(INDEX('Исходник'!$1:$626,MATCH($A73,'Исходник'!$T:$T,0),MATCH(D$1,'Исходник'!$1:$1,0)))</f>
        <v/>
      </c>
      <c r="E73" s="1" t="str">
        <f t="array" ref="E73">IFERROR(INDEX('Исходник'!$1:$626,MATCH($A73,'Исходник'!$T:$T,0),MATCH(E$1,'Исходник'!$1:$1,0)))</f>
        <v/>
      </c>
      <c r="F73" s="1" t="str">
        <f t="array" ref="F73">IFERROR(INDEX('Исходник'!$1:$626,MATCH($A73,'Исходник'!$T:$T,0),MATCH(F$1,'Исходник'!$1:$1,0)))</f>
        <v/>
      </c>
      <c r="G73" s="1" t="str">
        <f t="array" ref="G73">IFERROR(INDEX('Исходник'!$1:$626,MATCH($A73,'Исходник'!$T:$T,0),MATCH(G$1,'Исходник'!$1:$1,0)))</f>
        <v/>
      </c>
      <c r="H73" s="27">
        <f t="shared" si="1"/>
        <v>0</v>
      </c>
      <c r="I73" s="27" t="str">
        <f t="shared" si="2"/>
        <v/>
      </c>
      <c r="J73" s="1" t="str">
        <f t="array" ref="J73">IFERROR(INDEX('Исходник'!$1:$626,MATCH($A73,'Исходник'!$T:$T,0),MATCH(J$1,'Исходник'!$1:$1,0)))</f>
        <v/>
      </c>
      <c r="K73" s="27" t="str">
        <f t="shared" si="3"/>
        <v/>
      </c>
      <c r="L73" s="1" t="str">
        <f t="array" ref="L73">IFERROR(INDEX('Исходник'!$1:$626,MATCH($A73,'Исходник'!$T:$T,0),MATCH(L$1,'Исходник'!$1:$1,0)))</f>
        <v/>
      </c>
      <c r="M73" s="28">
        <f t="shared" si="4"/>
        <v>0</v>
      </c>
      <c r="N73" s="1" t="str">
        <f t="array" ref="N73">IFERROR(INDEX('Исходник'!$1:$626,MATCH($A73,'Исходник'!$T:$T,0),MATCH(N$1,'Исходник'!$1:$1,0)))</f>
        <v/>
      </c>
      <c r="O73" s="27">
        <f t="shared" si="5"/>
        <v>0</v>
      </c>
      <c r="P73" s="27" t="str">
        <f t="shared" si="6"/>
        <v/>
      </c>
      <c r="Q73" s="1" t="str">
        <f t="array" ref="Q73">IFERROR(INDEX('Исходник'!$1:$626,MATCH($A73,'Исходник'!$T:$T,0),MATCH(Q$1,'Исходник'!$1:$1,0)))</f>
        <v/>
      </c>
      <c r="R73" s="1" t="str">
        <f t="array" ref="R73">IFERROR(INDEX('Исходник'!$1:$626,MATCH($A73,'Исходник'!$T:$T,0),MATCH(R$1,'Исходник'!$1:$1,0)))</f>
        <v/>
      </c>
      <c r="S73" s="27">
        <f t="shared" si="7"/>
        <v>0</v>
      </c>
      <c r="T73" s="27" t="str">
        <f t="shared" si="8"/>
        <v/>
      </c>
      <c r="U73" s="1" t="str">
        <f t="array" ref="U73">IFERROR(INDEX('Исходник'!$1:$626,MATCH($A73,'Исходник'!$T:$T,0),MATCH(U$1,'Исходник'!$1:$1,0)))</f>
        <v/>
      </c>
      <c r="V73" s="27" t="str">
        <f t="shared" si="9"/>
        <v/>
      </c>
      <c r="W73" s="1" t="str">
        <f t="array" ref="W73">IFERROR(INDEX('Исходник'!$1:$626,MATCH($A73,'Исходник'!$T:$T,0),MATCH(W$1,'Исходник'!$1:$1,0)))</f>
        <v/>
      </c>
      <c r="X73" s="28">
        <f t="shared" si="10"/>
        <v>0</v>
      </c>
      <c r="Y73" s="1" t="str">
        <f t="array" ref="Y73">IFERROR(INDEX('Исходник'!$1:$626,MATCH($A73,'Исходник'!$T:$T,0),MATCH(Y$1,'Исходник'!$1:$1,0)))</f>
        <v/>
      </c>
      <c r="Z73" s="27">
        <f t="shared" si="11"/>
        <v>0</v>
      </c>
      <c r="AA73" s="27" t="str">
        <f t="shared" si="12"/>
        <v/>
      </c>
      <c r="AB73" s="1" t="str">
        <f t="array" ref="AB73">IFERROR(INDEX('Исходник'!$1:$626,MATCH($A73,'Исходник'!$T:$T,0),MATCH(AB$1,'Исходник'!$1:$1,0)))</f>
        <v/>
      </c>
      <c r="AC73" s="1" t="str">
        <f t="array" ref="AC73">IFERROR(INDEX('Исходник'!$1:$626,MATCH($A73,'Исходник'!$T:$T,0),MATCH(AC$1,'Исходник'!$1:$1,0)))</f>
        <v/>
      </c>
      <c r="AD73" s="27" t="str">
        <f t="shared" si="13"/>
        <v/>
      </c>
      <c r="AE73" s="1" t="str">
        <f t="array" ref="AE73">IFERROR(INDEX('Исходник'!$1:$626,MATCH($A73,'Исходник'!$T:$T,0),MATCH(AE$1,'Исходник'!$1:$1,0)))</f>
        <v/>
      </c>
      <c r="AF73" s="1" t="str">
        <f t="array" ref="AF73">IFERROR(INDEX('Исходник'!$1:$626,MATCH($A73,'Исходник'!$T:$T,0),MATCH(AF$1,'Исходник'!$1:$1,0)))</f>
        <v/>
      </c>
      <c r="AG73" s="27" t="str">
        <f t="shared" si="14"/>
        <v/>
      </c>
      <c r="AH73" s="1" t="str">
        <f t="array" ref="AH73">IFERROR(INDEX('Исходник'!$1:$626,MATCH($A73,'Исходник'!$T:$T,0),MATCH(AH$1,'Исходник'!$1:$1,0)))</f>
        <v/>
      </c>
      <c r="AI73" s="1" t="str">
        <f t="array" ref="AI73">IFERROR(INDEX('Исходник'!$1:$626,MATCH($A73,'Исходник'!$T:$T,0),MATCH(AI$1,'Исходник'!$1:$1,0)))</f>
        <v/>
      </c>
      <c r="AJ73" s="18">
        <f t="shared" si="15"/>
        <v>0</v>
      </c>
    </row>
    <row r="74" ht="15.75" customHeight="1">
      <c r="A74" s="27"/>
      <c r="B74" s="1" t="str">
        <f t="array" ref="B74">IFERROR(INDEX('Исходник'!$1:$626,MATCH($A74,'Исходник'!$T:$T,0),MATCH(B$1,'Исходник'!$1:$1,0)))</f>
        <v/>
      </c>
      <c r="C74" s="1" t="str">
        <f t="array" ref="C74">IFERROR(INDEX('Исходник'!$1:$626,MATCH($A74,'Исходник'!$T:$T,0),MATCH(C$1,'Исходник'!$1:$1,0)))</f>
        <v/>
      </c>
      <c r="D74" s="1" t="str">
        <f t="array" ref="D74">IFERROR(INDEX('Исходник'!$1:$626,MATCH($A74,'Исходник'!$T:$T,0),MATCH(D$1,'Исходник'!$1:$1,0)))</f>
        <v/>
      </c>
      <c r="E74" s="1" t="str">
        <f t="array" ref="E74">IFERROR(INDEX('Исходник'!$1:$626,MATCH($A74,'Исходник'!$T:$T,0),MATCH(E$1,'Исходник'!$1:$1,0)))</f>
        <v/>
      </c>
      <c r="F74" s="1" t="str">
        <f t="array" ref="F74">IFERROR(INDEX('Исходник'!$1:$626,MATCH($A74,'Исходник'!$T:$T,0),MATCH(F$1,'Исходник'!$1:$1,0)))</f>
        <v/>
      </c>
      <c r="G74" s="1" t="str">
        <f t="array" ref="G74">IFERROR(INDEX('Исходник'!$1:$626,MATCH($A74,'Исходник'!$T:$T,0),MATCH(G$1,'Исходник'!$1:$1,0)))</f>
        <v/>
      </c>
      <c r="H74" s="27">
        <f t="shared" si="1"/>
        <v>0</v>
      </c>
      <c r="I74" s="27" t="str">
        <f t="shared" si="2"/>
        <v/>
      </c>
      <c r="J74" s="1" t="str">
        <f t="array" ref="J74">IFERROR(INDEX('Исходник'!$1:$626,MATCH($A74,'Исходник'!$T:$T,0),MATCH(J$1,'Исходник'!$1:$1,0)))</f>
        <v/>
      </c>
      <c r="K74" s="27" t="str">
        <f t="shared" si="3"/>
        <v/>
      </c>
      <c r="L74" s="1" t="str">
        <f t="array" ref="L74">IFERROR(INDEX('Исходник'!$1:$626,MATCH($A74,'Исходник'!$T:$T,0),MATCH(L$1,'Исходник'!$1:$1,0)))</f>
        <v/>
      </c>
      <c r="M74" s="28">
        <f t="shared" si="4"/>
        <v>0</v>
      </c>
      <c r="N74" s="1" t="str">
        <f t="array" ref="N74">IFERROR(INDEX('Исходник'!$1:$626,MATCH($A74,'Исходник'!$T:$T,0),MATCH(N$1,'Исходник'!$1:$1,0)))</f>
        <v/>
      </c>
      <c r="O74" s="27">
        <f t="shared" si="5"/>
        <v>0</v>
      </c>
      <c r="P74" s="27" t="str">
        <f t="shared" si="6"/>
        <v/>
      </c>
      <c r="Q74" s="1" t="str">
        <f t="array" ref="Q74">IFERROR(INDEX('Исходник'!$1:$626,MATCH($A74,'Исходник'!$T:$T,0),MATCH(Q$1,'Исходник'!$1:$1,0)))</f>
        <v/>
      </c>
      <c r="R74" s="1" t="str">
        <f t="array" ref="R74">IFERROR(INDEX('Исходник'!$1:$626,MATCH($A74,'Исходник'!$T:$T,0),MATCH(R$1,'Исходник'!$1:$1,0)))</f>
        <v/>
      </c>
      <c r="S74" s="27">
        <f t="shared" si="7"/>
        <v>0</v>
      </c>
      <c r="T74" s="27" t="str">
        <f t="shared" si="8"/>
        <v/>
      </c>
      <c r="U74" s="1" t="str">
        <f t="array" ref="U74">IFERROR(INDEX('Исходник'!$1:$626,MATCH($A74,'Исходник'!$T:$T,0),MATCH(U$1,'Исходник'!$1:$1,0)))</f>
        <v/>
      </c>
      <c r="V74" s="27" t="str">
        <f t="shared" si="9"/>
        <v/>
      </c>
      <c r="W74" s="1" t="str">
        <f t="array" ref="W74">IFERROR(INDEX('Исходник'!$1:$626,MATCH($A74,'Исходник'!$T:$T,0),MATCH(W$1,'Исходник'!$1:$1,0)))</f>
        <v/>
      </c>
      <c r="X74" s="28">
        <f t="shared" si="10"/>
        <v>0</v>
      </c>
      <c r="Y74" s="1" t="str">
        <f t="array" ref="Y74">IFERROR(INDEX('Исходник'!$1:$626,MATCH($A74,'Исходник'!$T:$T,0),MATCH(Y$1,'Исходник'!$1:$1,0)))</f>
        <v/>
      </c>
      <c r="Z74" s="27">
        <f t="shared" si="11"/>
        <v>0</v>
      </c>
      <c r="AA74" s="27" t="str">
        <f t="shared" si="12"/>
        <v/>
      </c>
      <c r="AB74" s="1" t="str">
        <f t="array" ref="AB74">IFERROR(INDEX('Исходник'!$1:$626,MATCH($A74,'Исходник'!$T:$T,0),MATCH(AB$1,'Исходник'!$1:$1,0)))</f>
        <v/>
      </c>
      <c r="AC74" s="1" t="str">
        <f t="array" ref="AC74">IFERROR(INDEX('Исходник'!$1:$626,MATCH($A74,'Исходник'!$T:$T,0),MATCH(AC$1,'Исходник'!$1:$1,0)))</f>
        <v/>
      </c>
      <c r="AD74" s="27" t="str">
        <f t="shared" si="13"/>
        <v/>
      </c>
      <c r="AE74" s="1" t="str">
        <f t="array" ref="AE74">IFERROR(INDEX('Исходник'!$1:$626,MATCH($A74,'Исходник'!$T:$T,0),MATCH(AE$1,'Исходник'!$1:$1,0)))</f>
        <v/>
      </c>
      <c r="AF74" s="1" t="str">
        <f t="array" ref="AF74">IFERROR(INDEX('Исходник'!$1:$626,MATCH($A74,'Исходник'!$T:$T,0),MATCH(AF$1,'Исходник'!$1:$1,0)))</f>
        <v/>
      </c>
      <c r="AG74" s="27" t="str">
        <f t="shared" si="14"/>
        <v/>
      </c>
      <c r="AH74" s="1" t="str">
        <f t="array" ref="AH74">IFERROR(INDEX('Исходник'!$1:$626,MATCH($A74,'Исходник'!$T:$T,0),MATCH(AH$1,'Исходник'!$1:$1,0)))</f>
        <v/>
      </c>
      <c r="AI74" s="1" t="str">
        <f t="array" ref="AI74">IFERROR(INDEX('Исходник'!$1:$626,MATCH($A74,'Исходник'!$T:$T,0),MATCH(AI$1,'Исходник'!$1:$1,0)))</f>
        <v/>
      </c>
      <c r="AJ74" s="18">
        <f t="shared" si="15"/>
        <v>0</v>
      </c>
    </row>
    <row r="75" ht="15.75" customHeight="1">
      <c r="A75" s="27"/>
      <c r="B75" s="1" t="str">
        <f t="array" ref="B75">IFERROR(INDEX('Исходник'!$1:$626,MATCH($A75,'Исходник'!$T:$T,0),MATCH(B$1,'Исходник'!$1:$1,0)))</f>
        <v/>
      </c>
      <c r="C75" s="1" t="str">
        <f t="array" ref="C75">IFERROR(INDEX('Исходник'!$1:$626,MATCH($A75,'Исходник'!$T:$T,0),MATCH(C$1,'Исходник'!$1:$1,0)))</f>
        <v/>
      </c>
      <c r="D75" s="1" t="str">
        <f t="array" ref="D75">IFERROR(INDEX('Исходник'!$1:$626,MATCH($A75,'Исходник'!$T:$T,0),MATCH(D$1,'Исходник'!$1:$1,0)))</f>
        <v/>
      </c>
      <c r="E75" s="1" t="str">
        <f t="array" ref="E75">IFERROR(INDEX('Исходник'!$1:$626,MATCH($A75,'Исходник'!$T:$T,0),MATCH(E$1,'Исходник'!$1:$1,0)))</f>
        <v/>
      </c>
      <c r="F75" s="1" t="str">
        <f t="array" ref="F75">IFERROR(INDEX('Исходник'!$1:$626,MATCH($A75,'Исходник'!$T:$T,0),MATCH(F$1,'Исходник'!$1:$1,0)))</f>
        <v/>
      </c>
      <c r="G75" s="1" t="str">
        <f t="array" ref="G75">IFERROR(INDEX('Исходник'!$1:$626,MATCH($A75,'Исходник'!$T:$T,0),MATCH(G$1,'Исходник'!$1:$1,0)))</f>
        <v/>
      </c>
      <c r="H75" s="27">
        <f t="shared" si="1"/>
        <v>0</v>
      </c>
      <c r="I75" s="27" t="str">
        <f t="shared" si="2"/>
        <v/>
      </c>
      <c r="J75" s="1" t="str">
        <f t="array" ref="J75">IFERROR(INDEX('Исходник'!$1:$626,MATCH($A75,'Исходник'!$T:$T,0),MATCH(J$1,'Исходник'!$1:$1,0)))</f>
        <v/>
      </c>
      <c r="K75" s="27" t="str">
        <f t="shared" si="3"/>
        <v/>
      </c>
      <c r="L75" s="1" t="str">
        <f t="array" ref="L75">IFERROR(INDEX('Исходник'!$1:$626,MATCH($A75,'Исходник'!$T:$T,0),MATCH(L$1,'Исходник'!$1:$1,0)))</f>
        <v/>
      </c>
      <c r="M75" s="28">
        <f t="shared" si="4"/>
        <v>0</v>
      </c>
      <c r="N75" s="1" t="str">
        <f t="array" ref="N75">IFERROR(INDEX('Исходник'!$1:$626,MATCH($A75,'Исходник'!$T:$T,0),MATCH(N$1,'Исходник'!$1:$1,0)))</f>
        <v/>
      </c>
      <c r="O75" s="27">
        <f t="shared" si="5"/>
        <v>0</v>
      </c>
      <c r="P75" s="27" t="str">
        <f t="shared" si="6"/>
        <v/>
      </c>
      <c r="Q75" s="1" t="str">
        <f t="array" ref="Q75">IFERROR(INDEX('Исходник'!$1:$626,MATCH($A75,'Исходник'!$T:$T,0),MATCH(Q$1,'Исходник'!$1:$1,0)))</f>
        <v/>
      </c>
      <c r="R75" s="1" t="str">
        <f t="array" ref="R75">IFERROR(INDEX('Исходник'!$1:$626,MATCH($A75,'Исходник'!$T:$T,0),MATCH(R$1,'Исходник'!$1:$1,0)))</f>
        <v/>
      </c>
      <c r="S75" s="27">
        <f t="shared" si="7"/>
        <v>0</v>
      </c>
      <c r="T75" s="27" t="str">
        <f t="shared" si="8"/>
        <v/>
      </c>
      <c r="U75" s="1" t="str">
        <f t="array" ref="U75">IFERROR(INDEX('Исходник'!$1:$626,MATCH($A75,'Исходник'!$T:$T,0),MATCH(U$1,'Исходник'!$1:$1,0)))</f>
        <v/>
      </c>
      <c r="V75" s="27" t="str">
        <f t="shared" si="9"/>
        <v/>
      </c>
      <c r="W75" s="1" t="str">
        <f t="array" ref="W75">IFERROR(INDEX('Исходник'!$1:$626,MATCH($A75,'Исходник'!$T:$T,0),MATCH(W$1,'Исходник'!$1:$1,0)))</f>
        <v/>
      </c>
      <c r="X75" s="28">
        <f t="shared" si="10"/>
        <v>0</v>
      </c>
      <c r="Y75" s="1" t="str">
        <f t="array" ref="Y75">IFERROR(INDEX('Исходник'!$1:$626,MATCH($A75,'Исходник'!$T:$T,0),MATCH(Y$1,'Исходник'!$1:$1,0)))</f>
        <v/>
      </c>
      <c r="Z75" s="27">
        <f t="shared" si="11"/>
        <v>0</v>
      </c>
      <c r="AA75" s="27" t="str">
        <f t="shared" si="12"/>
        <v/>
      </c>
      <c r="AB75" s="1" t="str">
        <f t="array" ref="AB75">IFERROR(INDEX('Исходник'!$1:$626,MATCH($A75,'Исходник'!$T:$T,0),MATCH(AB$1,'Исходник'!$1:$1,0)))</f>
        <v/>
      </c>
      <c r="AC75" s="1" t="str">
        <f t="array" ref="AC75">IFERROR(INDEX('Исходник'!$1:$626,MATCH($A75,'Исходник'!$T:$T,0),MATCH(AC$1,'Исходник'!$1:$1,0)))</f>
        <v/>
      </c>
      <c r="AD75" s="27" t="str">
        <f t="shared" si="13"/>
        <v/>
      </c>
      <c r="AE75" s="1" t="str">
        <f t="array" ref="AE75">IFERROR(INDEX('Исходник'!$1:$626,MATCH($A75,'Исходник'!$T:$T,0),MATCH(AE$1,'Исходник'!$1:$1,0)))</f>
        <v/>
      </c>
      <c r="AF75" s="1" t="str">
        <f t="array" ref="AF75">IFERROR(INDEX('Исходник'!$1:$626,MATCH($A75,'Исходник'!$T:$T,0),MATCH(AF$1,'Исходник'!$1:$1,0)))</f>
        <v/>
      </c>
      <c r="AG75" s="27" t="str">
        <f t="shared" si="14"/>
        <v/>
      </c>
      <c r="AH75" s="1" t="str">
        <f t="array" ref="AH75">IFERROR(INDEX('Исходник'!$1:$626,MATCH($A75,'Исходник'!$T:$T,0),MATCH(AH$1,'Исходник'!$1:$1,0)))</f>
        <v/>
      </c>
      <c r="AI75" s="1" t="str">
        <f t="array" ref="AI75">IFERROR(INDEX('Исходник'!$1:$626,MATCH($A75,'Исходник'!$T:$T,0),MATCH(AI$1,'Исходник'!$1:$1,0)))</f>
        <v/>
      </c>
      <c r="AJ75" s="18">
        <f t="shared" si="15"/>
        <v>0</v>
      </c>
    </row>
    <row r="76" ht="15.75" customHeight="1">
      <c r="A76" s="27"/>
      <c r="B76" s="1" t="str">
        <f t="array" ref="B76">IFERROR(INDEX('Исходник'!$1:$626,MATCH($A76,'Исходник'!$T:$T,0),MATCH(B$1,'Исходник'!$1:$1,0)))</f>
        <v/>
      </c>
      <c r="C76" s="1" t="str">
        <f t="array" ref="C76">IFERROR(INDEX('Исходник'!$1:$626,MATCH($A76,'Исходник'!$T:$T,0),MATCH(C$1,'Исходник'!$1:$1,0)))</f>
        <v/>
      </c>
      <c r="D76" s="1" t="str">
        <f t="array" ref="D76">IFERROR(INDEX('Исходник'!$1:$626,MATCH($A76,'Исходник'!$T:$T,0),MATCH(D$1,'Исходник'!$1:$1,0)))</f>
        <v/>
      </c>
      <c r="E76" s="1" t="str">
        <f t="array" ref="E76">IFERROR(INDEX('Исходник'!$1:$626,MATCH($A76,'Исходник'!$T:$T,0),MATCH(E$1,'Исходник'!$1:$1,0)))</f>
        <v/>
      </c>
      <c r="F76" s="1" t="str">
        <f t="array" ref="F76">IFERROR(INDEX('Исходник'!$1:$626,MATCH($A76,'Исходник'!$T:$T,0),MATCH(F$1,'Исходник'!$1:$1,0)))</f>
        <v/>
      </c>
      <c r="G76" s="1" t="str">
        <f t="array" ref="G76">IFERROR(INDEX('Исходник'!$1:$626,MATCH($A76,'Исходник'!$T:$T,0),MATCH(G$1,'Исходник'!$1:$1,0)))</f>
        <v/>
      </c>
      <c r="H76" s="27">
        <f t="shared" si="1"/>
        <v>0</v>
      </c>
      <c r="I76" s="27" t="str">
        <f t="shared" si="2"/>
        <v/>
      </c>
      <c r="J76" s="1" t="str">
        <f t="array" ref="J76">IFERROR(INDEX('Исходник'!$1:$626,MATCH($A76,'Исходник'!$T:$T,0),MATCH(J$1,'Исходник'!$1:$1,0)))</f>
        <v/>
      </c>
      <c r="K76" s="27" t="str">
        <f t="shared" si="3"/>
        <v/>
      </c>
      <c r="L76" s="1" t="str">
        <f t="array" ref="L76">IFERROR(INDEX('Исходник'!$1:$626,MATCH($A76,'Исходник'!$T:$T,0),MATCH(L$1,'Исходник'!$1:$1,0)))</f>
        <v/>
      </c>
      <c r="M76" s="28">
        <f t="shared" si="4"/>
        <v>0</v>
      </c>
      <c r="N76" s="1" t="str">
        <f t="array" ref="N76">IFERROR(INDEX('Исходник'!$1:$626,MATCH($A76,'Исходник'!$T:$T,0),MATCH(N$1,'Исходник'!$1:$1,0)))</f>
        <v/>
      </c>
      <c r="O76" s="27">
        <f t="shared" si="5"/>
        <v>0</v>
      </c>
      <c r="P76" s="27" t="str">
        <f t="shared" si="6"/>
        <v/>
      </c>
      <c r="Q76" s="1" t="str">
        <f t="array" ref="Q76">IFERROR(INDEX('Исходник'!$1:$626,MATCH($A76,'Исходник'!$T:$T,0),MATCH(Q$1,'Исходник'!$1:$1,0)))</f>
        <v/>
      </c>
      <c r="R76" s="1" t="str">
        <f t="array" ref="R76">IFERROR(INDEX('Исходник'!$1:$626,MATCH($A76,'Исходник'!$T:$T,0),MATCH(R$1,'Исходник'!$1:$1,0)))</f>
        <v/>
      </c>
      <c r="S76" s="27">
        <f t="shared" si="7"/>
        <v>0</v>
      </c>
      <c r="T76" s="27" t="str">
        <f t="shared" si="8"/>
        <v/>
      </c>
      <c r="U76" s="1" t="str">
        <f t="array" ref="U76">IFERROR(INDEX('Исходник'!$1:$626,MATCH($A76,'Исходник'!$T:$T,0),MATCH(U$1,'Исходник'!$1:$1,0)))</f>
        <v/>
      </c>
      <c r="V76" s="27" t="str">
        <f t="shared" si="9"/>
        <v/>
      </c>
      <c r="W76" s="1" t="str">
        <f t="array" ref="W76">IFERROR(INDEX('Исходник'!$1:$626,MATCH($A76,'Исходник'!$T:$T,0),MATCH(W$1,'Исходник'!$1:$1,0)))</f>
        <v/>
      </c>
      <c r="X76" s="28">
        <f t="shared" si="10"/>
        <v>0</v>
      </c>
      <c r="Y76" s="1" t="str">
        <f t="array" ref="Y76">IFERROR(INDEX('Исходник'!$1:$626,MATCH($A76,'Исходник'!$T:$T,0),MATCH(Y$1,'Исходник'!$1:$1,0)))</f>
        <v/>
      </c>
      <c r="Z76" s="27">
        <f t="shared" si="11"/>
        <v>0</v>
      </c>
      <c r="AA76" s="27" t="str">
        <f t="shared" si="12"/>
        <v/>
      </c>
      <c r="AB76" s="1" t="str">
        <f t="array" ref="AB76">IFERROR(INDEX('Исходник'!$1:$626,MATCH($A76,'Исходник'!$T:$T,0),MATCH(AB$1,'Исходник'!$1:$1,0)))</f>
        <v/>
      </c>
      <c r="AC76" s="1" t="str">
        <f t="array" ref="AC76">IFERROR(INDEX('Исходник'!$1:$626,MATCH($A76,'Исходник'!$T:$T,0),MATCH(AC$1,'Исходник'!$1:$1,0)))</f>
        <v/>
      </c>
      <c r="AD76" s="27" t="str">
        <f t="shared" si="13"/>
        <v/>
      </c>
      <c r="AE76" s="1" t="str">
        <f t="array" ref="AE76">IFERROR(INDEX('Исходник'!$1:$626,MATCH($A76,'Исходник'!$T:$T,0),MATCH(AE$1,'Исходник'!$1:$1,0)))</f>
        <v/>
      </c>
      <c r="AF76" s="1" t="str">
        <f t="array" ref="AF76">IFERROR(INDEX('Исходник'!$1:$626,MATCH($A76,'Исходник'!$T:$T,0),MATCH(AF$1,'Исходник'!$1:$1,0)))</f>
        <v/>
      </c>
      <c r="AG76" s="27" t="str">
        <f t="shared" si="14"/>
        <v/>
      </c>
      <c r="AH76" s="1" t="str">
        <f t="array" ref="AH76">IFERROR(INDEX('Исходник'!$1:$626,MATCH($A76,'Исходник'!$T:$T,0),MATCH(AH$1,'Исходник'!$1:$1,0)))</f>
        <v/>
      </c>
      <c r="AI76" s="1" t="str">
        <f t="array" ref="AI76">IFERROR(INDEX('Исходник'!$1:$626,MATCH($A76,'Исходник'!$T:$T,0),MATCH(AI$1,'Исходник'!$1:$1,0)))</f>
        <v/>
      </c>
      <c r="AJ76" s="18">
        <f t="shared" si="15"/>
        <v>0</v>
      </c>
    </row>
    <row r="77" ht="15.75" customHeight="1">
      <c r="A77" s="27"/>
      <c r="B77" s="1" t="str">
        <f t="array" ref="B77">IFERROR(INDEX('Исходник'!$1:$626,MATCH($A77,'Исходник'!$T:$T,0),MATCH(B$1,'Исходник'!$1:$1,0)))</f>
        <v/>
      </c>
      <c r="C77" s="1" t="str">
        <f t="array" ref="C77">IFERROR(INDEX('Исходник'!$1:$626,MATCH($A77,'Исходник'!$T:$T,0),MATCH(C$1,'Исходник'!$1:$1,0)))</f>
        <v/>
      </c>
      <c r="D77" s="1" t="str">
        <f t="array" ref="D77">IFERROR(INDEX('Исходник'!$1:$626,MATCH($A77,'Исходник'!$T:$T,0),MATCH(D$1,'Исходник'!$1:$1,0)))</f>
        <v/>
      </c>
      <c r="E77" s="1" t="str">
        <f t="array" ref="E77">IFERROR(INDEX('Исходник'!$1:$626,MATCH($A77,'Исходник'!$T:$T,0),MATCH(E$1,'Исходник'!$1:$1,0)))</f>
        <v/>
      </c>
      <c r="F77" s="1" t="str">
        <f t="array" ref="F77">IFERROR(INDEX('Исходник'!$1:$626,MATCH($A77,'Исходник'!$T:$T,0),MATCH(F$1,'Исходник'!$1:$1,0)))</f>
        <v/>
      </c>
      <c r="G77" s="1" t="str">
        <f t="array" ref="G77">IFERROR(INDEX('Исходник'!$1:$626,MATCH($A77,'Исходник'!$T:$T,0),MATCH(G$1,'Исходник'!$1:$1,0)))</f>
        <v/>
      </c>
      <c r="H77" s="27">
        <f t="shared" si="1"/>
        <v>0</v>
      </c>
      <c r="I77" s="27" t="str">
        <f t="shared" si="2"/>
        <v/>
      </c>
      <c r="J77" s="1" t="str">
        <f t="array" ref="J77">IFERROR(INDEX('Исходник'!$1:$626,MATCH($A77,'Исходник'!$T:$T,0),MATCH(J$1,'Исходник'!$1:$1,0)))</f>
        <v/>
      </c>
      <c r="K77" s="27" t="str">
        <f t="shared" si="3"/>
        <v/>
      </c>
      <c r="L77" s="1" t="str">
        <f t="array" ref="L77">IFERROR(INDEX('Исходник'!$1:$626,MATCH($A77,'Исходник'!$T:$T,0),MATCH(L$1,'Исходник'!$1:$1,0)))</f>
        <v/>
      </c>
      <c r="M77" s="28">
        <f t="shared" si="4"/>
        <v>0</v>
      </c>
      <c r="N77" s="1" t="str">
        <f t="array" ref="N77">IFERROR(INDEX('Исходник'!$1:$626,MATCH($A77,'Исходник'!$T:$T,0),MATCH(N$1,'Исходник'!$1:$1,0)))</f>
        <v/>
      </c>
      <c r="O77" s="27">
        <f t="shared" si="5"/>
        <v>0</v>
      </c>
      <c r="P77" s="27" t="str">
        <f t="shared" si="6"/>
        <v/>
      </c>
      <c r="Q77" s="1" t="str">
        <f t="array" ref="Q77">IFERROR(INDEX('Исходник'!$1:$626,MATCH($A77,'Исходник'!$T:$T,0),MATCH(Q$1,'Исходник'!$1:$1,0)))</f>
        <v/>
      </c>
      <c r="R77" s="1" t="str">
        <f t="array" ref="R77">IFERROR(INDEX('Исходник'!$1:$626,MATCH($A77,'Исходник'!$T:$T,0),MATCH(R$1,'Исходник'!$1:$1,0)))</f>
        <v/>
      </c>
      <c r="S77" s="27">
        <f t="shared" si="7"/>
        <v>0</v>
      </c>
      <c r="T77" s="27" t="str">
        <f t="shared" si="8"/>
        <v/>
      </c>
      <c r="U77" s="1" t="str">
        <f t="array" ref="U77">IFERROR(INDEX('Исходник'!$1:$626,MATCH($A77,'Исходник'!$T:$T,0),MATCH(U$1,'Исходник'!$1:$1,0)))</f>
        <v/>
      </c>
      <c r="V77" s="27" t="str">
        <f t="shared" si="9"/>
        <v/>
      </c>
      <c r="W77" s="1" t="str">
        <f t="array" ref="W77">IFERROR(INDEX('Исходник'!$1:$626,MATCH($A77,'Исходник'!$T:$T,0),MATCH(W$1,'Исходник'!$1:$1,0)))</f>
        <v/>
      </c>
      <c r="X77" s="28">
        <f t="shared" si="10"/>
        <v>0</v>
      </c>
      <c r="Y77" s="1" t="str">
        <f t="array" ref="Y77">IFERROR(INDEX('Исходник'!$1:$626,MATCH($A77,'Исходник'!$T:$T,0),MATCH(Y$1,'Исходник'!$1:$1,0)))</f>
        <v/>
      </c>
      <c r="Z77" s="27">
        <f t="shared" si="11"/>
        <v>0</v>
      </c>
      <c r="AA77" s="27" t="str">
        <f t="shared" si="12"/>
        <v/>
      </c>
      <c r="AB77" s="1" t="str">
        <f t="array" ref="AB77">IFERROR(INDEX('Исходник'!$1:$626,MATCH($A77,'Исходник'!$T:$T,0),MATCH(AB$1,'Исходник'!$1:$1,0)))</f>
        <v/>
      </c>
      <c r="AC77" s="1" t="str">
        <f t="array" ref="AC77">IFERROR(INDEX('Исходник'!$1:$626,MATCH($A77,'Исходник'!$T:$T,0),MATCH(AC$1,'Исходник'!$1:$1,0)))</f>
        <v/>
      </c>
      <c r="AD77" s="27" t="str">
        <f t="shared" si="13"/>
        <v/>
      </c>
      <c r="AE77" s="1" t="str">
        <f t="array" ref="AE77">IFERROR(INDEX('Исходник'!$1:$626,MATCH($A77,'Исходник'!$T:$T,0),MATCH(AE$1,'Исходник'!$1:$1,0)))</f>
        <v/>
      </c>
      <c r="AF77" s="1" t="str">
        <f t="array" ref="AF77">IFERROR(INDEX('Исходник'!$1:$626,MATCH($A77,'Исходник'!$T:$T,0),MATCH(AF$1,'Исходник'!$1:$1,0)))</f>
        <v/>
      </c>
      <c r="AG77" s="27" t="str">
        <f t="shared" si="14"/>
        <v/>
      </c>
      <c r="AH77" s="1" t="str">
        <f t="array" ref="AH77">IFERROR(INDEX('Исходник'!$1:$626,MATCH($A77,'Исходник'!$T:$T,0),MATCH(AH$1,'Исходник'!$1:$1,0)))</f>
        <v/>
      </c>
      <c r="AI77" s="1" t="str">
        <f t="array" ref="AI77">IFERROR(INDEX('Исходник'!$1:$626,MATCH($A77,'Исходник'!$T:$T,0),MATCH(AI$1,'Исходник'!$1:$1,0)))</f>
        <v/>
      </c>
      <c r="AJ77" s="18">
        <f t="shared" si="15"/>
        <v>0</v>
      </c>
    </row>
    <row r="78" ht="15.75" customHeight="1">
      <c r="A78" s="27"/>
      <c r="B78" s="1" t="str">
        <f t="array" ref="B78">IFERROR(INDEX('Исходник'!$1:$626,MATCH($A78,'Исходник'!$T:$T,0),MATCH(B$1,'Исходник'!$1:$1,0)))</f>
        <v/>
      </c>
      <c r="C78" s="1" t="str">
        <f t="array" ref="C78">IFERROR(INDEX('Исходник'!$1:$626,MATCH($A78,'Исходник'!$T:$T,0),MATCH(C$1,'Исходник'!$1:$1,0)))</f>
        <v/>
      </c>
      <c r="D78" s="1" t="str">
        <f t="array" ref="D78">IFERROR(INDEX('Исходник'!$1:$626,MATCH($A78,'Исходник'!$T:$T,0),MATCH(D$1,'Исходник'!$1:$1,0)))</f>
        <v/>
      </c>
      <c r="E78" s="1" t="str">
        <f t="array" ref="E78">IFERROR(INDEX('Исходник'!$1:$626,MATCH($A78,'Исходник'!$T:$T,0),MATCH(E$1,'Исходник'!$1:$1,0)))</f>
        <v/>
      </c>
      <c r="F78" s="1" t="str">
        <f t="array" ref="F78">IFERROR(INDEX('Исходник'!$1:$626,MATCH($A78,'Исходник'!$T:$T,0),MATCH(F$1,'Исходник'!$1:$1,0)))</f>
        <v/>
      </c>
      <c r="G78" s="1" t="str">
        <f t="array" ref="G78">IFERROR(INDEX('Исходник'!$1:$626,MATCH($A78,'Исходник'!$T:$T,0),MATCH(G$1,'Исходник'!$1:$1,0)))</f>
        <v/>
      </c>
      <c r="H78" s="27">
        <f t="shared" si="1"/>
        <v>0</v>
      </c>
      <c r="I78" s="27" t="str">
        <f t="shared" si="2"/>
        <v/>
      </c>
      <c r="J78" s="1" t="str">
        <f t="array" ref="J78">IFERROR(INDEX('Исходник'!$1:$626,MATCH($A78,'Исходник'!$T:$T,0),MATCH(J$1,'Исходник'!$1:$1,0)))</f>
        <v/>
      </c>
      <c r="K78" s="27" t="str">
        <f t="shared" si="3"/>
        <v/>
      </c>
      <c r="L78" s="1" t="str">
        <f t="array" ref="L78">IFERROR(INDEX('Исходник'!$1:$626,MATCH($A78,'Исходник'!$T:$T,0),MATCH(L$1,'Исходник'!$1:$1,0)))</f>
        <v/>
      </c>
      <c r="M78" s="28">
        <f t="shared" si="4"/>
        <v>0</v>
      </c>
      <c r="N78" s="1" t="str">
        <f t="array" ref="N78">IFERROR(INDEX('Исходник'!$1:$626,MATCH($A78,'Исходник'!$T:$T,0),MATCH(N$1,'Исходник'!$1:$1,0)))</f>
        <v/>
      </c>
      <c r="O78" s="27">
        <f t="shared" si="5"/>
        <v>0</v>
      </c>
      <c r="P78" s="27" t="str">
        <f t="shared" si="6"/>
        <v/>
      </c>
      <c r="Q78" s="1" t="str">
        <f t="array" ref="Q78">IFERROR(INDEX('Исходник'!$1:$626,MATCH($A78,'Исходник'!$T:$T,0),MATCH(Q$1,'Исходник'!$1:$1,0)))</f>
        <v/>
      </c>
      <c r="R78" s="1" t="str">
        <f t="array" ref="R78">IFERROR(INDEX('Исходник'!$1:$626,MATCH($A78,'Исходник'!$T:$T,0),MATCH(R$1,'Исходник'!$1:$1,0)))</f>
        <v/>
      </c>
      <c r="S78" s="27">
        <f t="shared" si="7"/>
        <v>0</v>
      </c>
      <c r="T78" s="27" t="str">
        <f t="shared" si="8"/>
        <v/>
      </c>
      <c r="U78" s="1" t="str">
        <f t="array" ref="U78">IFERROR(INDEX('Исходник'!$1:$626,MATCH($A78,'Исходник'!$T:$T,0),MATCH(U$1,'Исходник'!$1:$1,0)))</f>
        <v/>
      </c>
      <c r="V78" s="27" t="str">
        <f t="shared" si="9"/>
        <v/>
      </c>
      <c r="W78" s="1" t="str">
        <f t="array" ref="W78">IFERROR(INDEX('Исходник'!$1:$626,MATCH($A78,'Исходник'!$T:$T,0),MATCH(W$1,'Исходник'!$1:$1,0)))</f>
        <v/>
      </c>
      <c r="X78" s="28">
        <f t="shared" si="10"/>
        <v>0</v>
      </c>
      <c r="Y78" s="1" t="str">
        <f t="array" ref="Y78">IFERROR(INDEX('Исходник'!$1:$626,MATCH($A78,'Исходник'!$T:$T,0),MATCH(Y$1,'Исходник'!$1:$1,0)))</f>
        <v/>
      </c>
      <c r="Z78" s="27">
        <f t="shared" si="11"/>
        <v>0</v>
      </c>
      <c r="AA78" s="27" t="str">
        <f t="shared" si="12"/>
        <v/>
      </c>
      <c r="AB78" s="1" t="str">
        <f t="array" ref="AB78">IFERROR(INDEX('Исходник'!$1:$626,MATCH($A78,'Исходник'!$T:$T,0),MATCH(AB$1,'Исходник'!$1:$1,0)))</f>
        <v/>
      </c>
      <c r="AC78" s="1" t="str">
        <f t="array" ref="AC78">IFERROR(INDEX('Исходник'!$1:$626,MATCH($A78,'Исходник'!$T:$T,0),MATCH(AC$1,'Исходник'!$1:$1,0)))</f>
        <v/>
      </c>
      <c r="AD78" s="27" t="str">
        <f t="shared" si="13"/>
        <v/>
      </c>
      <c r="AE78" s="1" t="str">
        <f t="array" ref="AE78">IFERROR(INDEX('Исходник'!$1:$626,MATCH($A78,'Исходник'!$T:$T,0),MATCH(AE$1,'Исходник'!$1:$1,0)))</f>
        <v/>
      </c>
      <c r="AF78" s="1" t="str">
        <f t="array" ref="AF78">IFERROR(INDEX('Исходник'!$1:$626,MATCH($A78,'Исходник'!$T:$T,0),MATCH(AF$1,'Исходник'!$1:$1,0)))</f>
        <v/>
      </c>
      <c r="AG78" s="27" t="str">
        <f t="shared" si="14"/>
        <v/>
      </c>
      <c r="AH78" s="1" t="str">
        <f t="array" ref="AH78">IFERROR(INDEX('Исходник'!$1:$626,MATCH($A78,'Исходник'!$T:$T,0),MATCH(AH$1,'Исходник'!$1:$1,0)))</f>
        <v/>
      </c>
      <c r="AI78" s="1" t="str">
        <f t="array" ref="AI78">IFERROR(INDEX('Исходник'!$1:$626,MATCH($A78,'Исходник'!$T:$T,0),MATCH(AI$1,'Исходник'!$1:$1,0)))</f>
        <v/>
      </c>
      <c r="AJ78" s="18">
        <f t="shared" si="15"/>
        <v>0</v>
      </c>
    </row>
    <row r="79" ht="15.75" customHeight="1">
      <c r="A79" s="27"/>
      <c r="B79" s="1" t="str">
        <f t="array" ref="B79">IFERROR(INDEX('Исходник'!$1:$626,MATCH($A79,'Исходник'!$T:$T,0),MATCH(B$1,'Исходник'!$1:$1,0)))</f>
        <v/>
      </c>
      <c r="C79" s="1" t="str">
        <f t="array" ref="C79">IFERROR(INDEX('Исходник'!$1:$626,MATCH($A79,'Исходник'!$T:$T,0),MATCH(C$1,'Исходник'!$1:$1,0)))</f>
        <v/>
      </c>
      <c r="D79" s="1" t="str">
        <f t="array" ref="D79">IFERROR(INDEX('Исходник'!$1:$626,MATCH($A79,'Исходник'!$T:$T,0),MATCH(D$1,'Исходник'!$1:$1,0)))</f>
        <v/>
      </c>
      <c r="E79" s="1" t="str">
        <f t="array" ref="E79">IFERROR(INDEX('Исходник'!$1:$626,MATCH($A79,'Исходник'!$T:$T,0),MATCH(E$1,'Исходник'!$1:$1,0)))</f>
        <v/>
      </c>
      <c r="F79" s="1" t="str">
        <f t="array" ref="F79">IFERROR(INDEX('Исходник'!$1:$626,MATCH($A79,'Исходник'!$T:$T,0),MATCH(F$1,'Исходник'!$1:$1,0)))</f>
        <v/>
      </c>
      <c r="G79" s="1" t="str">
        <f t="array" ref="G79">IFERROR(INDEX('Исходник'!$1:$626,MATCH($A79,'Исходник'!$T:$T,0),MATCH(G$1,'Исходник'!$1:$1,0)))</f>
        <v/>
      </c>
      <c r="H79" s="27">
        <f t="shared" si="1"/>
        <v>0</v>
      </c>
      <c r="I79" s="27" t="str">
        <f t="shared" si="2"/>
        <v/>
      </c>
      <c r="J79" s="1" t="str">
        <f t="array" ref="J79">IFERROR(INDEX('Исходник'!$1:$626,MATCH($A79,'Исходник'!$T:$T,0),MATCH(J$1,'Исходник'!$1:$1,0)))</f>
        <v/>
      </c>
      <c r="K79" s="27" t="str">
        <f t="shared" si="3"/>
        <v/>
      </c>
      <c r="L79" s="1" t="str">
        <f t="array" ref="L79">IFERROR(INDEX('Исходник'!$1:$626,MATCH($A79,'Исходник'!$T:$T,0),MATCH(L$1,'Исходник'!$1:$1,0)))</f>
        <v/>
      </c>
      <c r="M79" s="28">
        <f t="shared" si="4"/>
        <v>0</v>
      </c>
      <c r="N79" s="1" t="str">
        <f t="array" ref="N79">IFERROR(INDEX('Исходник'!$1:$626,MATCH($A79,'Исходник'!$T:$T,0),MATCH(N$1,'Исходник'!$1:$1,0)))</f>
        <v/>
      </c>
      <c r="O79" s="27">
        <f t="shared" si="5"/>
        <v>0</v>
      </c>
      <c r="P79" s="27" t="str">
        <f t="shared" si="6"/>
        <v/>
      </c>
      <c r="Q79" s="1" t="str">
        <f t="array" ref="Q79">IFERROR(INDEX('Исходник'!$1:$626,MATCH($A79,'Исходник'!$T:$T,0),MATCH(Q$1,'Исходник'!$1:$1,0)))</f>
        <v/>
      </c>
      <c r="R79" s="1" t="str">
        <f t="array" ref="R79">IFERROR(INDEX('Исходник'!$1:$626,MATCH($A79,'Исходник'!$T:$T,0),MATCH(R$1,'Исходник'!$1:$1,0)))</f>
        <v/>
      </c>
      <c r="S79" s="27">
        <f t="shared" si="7"/>
        <v>0</v>
      </c>
      <c r="T79" s="27" t="str">
        <f t="shared" si="8"/>
        <v/>
      </c>
      <c r="U79" s="1" t="str">
        <f t="array" ref="U79">IFERROR(INDEX('Исходник'!$1:$626,MATCH($A79,'Исходник'!$T:$T,0),MATCH(U$1,'Исходник'!$1:$1,0)))</f>
        <v/>
      </c>
      <c r="V79" s="27" t="str">
        <f t="shared" si="9"/>
        <v/>
      </c>
      <c r="W79" s="1" t="str">
        <f t="array" ref="W79">IFERROR(INDEX('Исходник'!$1:$626,MATCH($A79,'Исходник'!$T:$T,0),MATCH(W$1,'Исходник'!$1:$1,0)))</f>
        <v/>
      </c>
      <c r="X79" s="28">
        <f t="shared" si="10"/>
        <v>0</v>
      </c>
      <c r="Y79" s="1" t="str">
        <f t="array" ref="Y79">IFERROR(INDEX('Исходник'!$1:$626,MATCH($A79,'Исходник'!$T:$T,0),MATCH(Y$1,'Исходник'!$1:$1,0)))</f>
        <v/>
      </c>
      <c r="Z79" s="27">
        <f t="shared" si="11"/>
        <v>0</v>
      </c>
      <c r="AA79" s="27" t="str">
        <f t="shared" si="12"/>
        <v/>
      </c>
      <c r="AB79" s="1" t="str">
        <f t="array" ref="AB79">IFERROR(INDEX('Исходник'!$1:$626,MATCH($A79,'Исходник'!$T:$T,0),MATCH(AB$1,'Исходник'!$1:$1,0)))</f>
        <v/>
      </c>
      <c r="AC79" s="1" t="str">
        <f t="array" ref="AC79">IFERROR(INDEX('Исходник'!$1:$626,MATCH($A79,'Исходник'!$T:$T,0),MATCH(AC$1,'Исходник'!$1:$1,0)))</f>
        <v/>
      </c>
      <c r="AD79" s="27" t="str">
        <f t="shared" si="13"/>
        <v/>
      </c>
      <c r="AE79" s="1" t="str">
        <f t="array" ref="AE79">IFERROR(INDEX('Исходник'!$1:$626,MATCH($A79,'Исходник'!$T:$T,0),MATCH(AE$1,'Исходник'!$1:$1,0)))</f>
        <v/>
      </c>
      <c r="AF79" s="1" t="str">
        <f t="array" ref="AF79">IFERROR(INDEX('Исходник'!$1:$626,MATCH($A79,'Исходник'!$T:$T,0),MATCH(AF$1,'Исходник'!$1:$1,0)))</f>
        <v/>
      </c>
      <c r="AG79" s="27" t="str">
        <f t="shared" si="14"/>
        <v/>
      </c>
      <c r="AH79" s="1" t="str">
        <f t="array" ref="AH79">IFERROR(INDEX('Исходник'!$1:$626,MATCH($A79,'Исходник'!$T:$T,0),MATCH(AH$1,'Исходник'!$1:$1,0)))</f>
        <v/>
      </c>
      <c r="AI79" s="1" t="str">
        <f t="array" ref="AI79">IFERROR(INDEX('Исходник'!$1:$626,MATCH($A79,'Исходник'!$T:$T,0),MATCH(AI$1,'Исходник'!$1:$1,0)))</f>
        <v/>
      </c>
      <c r="AJ79" s="18">
        <f t="shared" si="15"/>
        <v>0</v>
      </c>
    </row>
    <row r="80" ht="15.75" customHeight="1">
      <c r="A80" s="27"/>
      <c r="B80" s="1" t="str">
        <f t="array" ref="B80">IFERROR(INDEX('Исходник'!$1:$626,MATCH($A80,'Исходник'!$T:$T,0),MATCH(B$1,'Исходник'!$1:$1,0)))</f>
        <v/>
      </c>
      <c r="C80" s="1" t="str">
        <f t="array" ref="C80">IFERROR(INDEX('Исходник'!$1:$626,MATCH($A80,'Исходник'!$T:$T,0),MATCH(C$1,'Исходник'!$1:$1,0)))</f>
        <v/>
      </c>
      <c r="D80" s="1" t="str">
        <f t="array" ref="D80">IFERROR(INDEX('Исходник'!$1:$626,MATCH($A80,'Исходник'!$T:$T,0),MATCH(D$1,'Исходник'!$1:$1,0)))</f>
        <v/>
      </c>
      <c r="E80" s="1" t="str">
        <f t="array" ref="E80">IFERROR(INDEX('Исходник'!$1:$626,MATCH($A80,'Исходник'!$T:$T,0),MATCH(E$1,'Исходник'!$1:$1,0)))</f>
        <v/>
      </c>
      <c r="F80" s="1" t="str">
        <f t="array" ref="F80">IFERROR(INDEX('Исходник'!$1:$626,MATCH($A80,'Исходник'!$T:$T,0),MATCH(F$1,'Исходник'!$1:$1,0)))</f>
        <v/>
      </c>
      <c r="G80" s="1" t="str">
        <f t="array" ref="G80">IFERROR(INDEX('Исходник'!$1:$626,MATCH($A80,'Исходник'!$T:$T,0),MATCH(G$1,'Исходник'!$1:$1,0)))</f>
        <v/>
      </c>
      <c r="H80" s="27">
        <f t="shared" si="1"/>
        <v>0</v>
      </c>
      <c r="I80" s="27" t="str">
        <f t="shared" si="2"/>
        <v/>
      </c>
      <c r="J80" s="1" t="str">
        <f t="array" ref="J80">IFERROR(INDEX('Исходник'!$1:$626,MATCH($A80,'Исходник'!$T:$T,0),MATCH(J$1,'Исходник'!$1:$1,0)))</f>
        <v/>
      </c>
      <c r="K80" s="27" t="str">
        <f t="shared" si="3"/>
        <v/>
      </c>
      <c r="L80" s="1" t="str">
        <f t="array" ref="L80">IFERROR(INDEX('Исходник'!$1:$626,MATCH($A80,'Исходник'!$T:$T,0),MATCH(L$1,'Исходник'!$1:$1,0)))</f>
        <v/>
      </c>
      <c r="M80" s="28">
        <f t="shared" si="4"/>
        <v>0</v>
      </c>
      <c r="N80" s="1" t="str">
        <f t="array" ref="N80">IFERROR(INDEX('Исходник'!$1:$626,MATCH($A80,'Исходник'!$T:$T,0),MATCH(N$1,'Исходник'!$1:$1,0)))</f>
        <v/>
      </c>
      <c r="O80" s="27">
        <f t="shared" si="5"/>
        <v>0</v>
      </c>
      <c r="P80" s="27" t="str">
        <f t="shared" si="6"/>
        <v/>
      </c>
      <c r="Q80" s="1" t="str">
        <f t="array" ref="Q80">IFERROR(INDEX('Исходник'!$1:$626,MATCH($A80,'Исходник'!$T:$T,0),MATCH(Q$1,'Исходник'!$1:$1,0)))</f>
        <v/>
      </c>
      <c r="R80" s="1" t="str">
        <f t="array" ref="R80">IFERROR(INDEX('Исходник'!$1:$626,MATCH($A80,'Исходник'!$T:$T,0),MATCH(R$1,'Исходник'!$1:$1,0)))</f>
        <v/>
      </c>
      <c r="S80" s="27">
        <f t="shared" si="7"/>
        <v>0</v>
      </c>
      <c r="T80" s="27" t="str">
        <f t="shared" si="8"/>
        <v/>
      </c>
      <c r="U80" s="1" t="str">
        <f t="array" ref="U80">IFERROR(INDEX('Исходник'!$1:$626,MATCH($A80,'Исходник'!$T:$T,0),MATCH(U$1,'Исходник'!$1:$1,0)))</f>
        <v/>
      </c>
      <c r="V80" s="27" t="str">
        <f t="shared" si="9"/>
        <v/>
      </c>
      <c r="W80" s="1" t="str">
        <f t="array" ref="W80">IFERROR(INDEX('Исходник'!$1:$626,MATCH($A80,'Исходник'!$T:$T,0),MATCH(W$1,'Исходник'!$1:$1,0)))</f>
        <v/>
      </c>
      <c r="X80" s="28">
        <f t="shared" si="10"/>
        <v>0</v>
      </c>
      <c r="Y80" s="1" t="str">
        <f t="array" ref="Y80">IFERROR(INDEX('Исходник'!$1:$626,MATCH($A80,'Исходник'!$T:$T,0),MATCH(Y$1,'Исходник'!$1:$1,0)))</f>
        <v/>
      </c>
      <c r="Z80" s="27">
        <f t="shared" si="11"/>
        <v>0</v>
      </c>
      <c r="AA80" s="27" t="str">
        <f t="shared" si="12"/>
        <v/>
      </c>
      <c r="AB80" s="1" t="str">
        <f t="array" ref="AB80">IFERROR(INDEX('Исходник'!$1:$626,MATCH($A80,'Исходник'!$T:$T,0),MATCH(AB$1,'Исходник'!$1:$1,0)))</f>
        <v/>
      </c>
      <c r="AC80" s="1" t="str">
        <f t="array" ref="AC80">IFERROR(INDEX('Исходник'!$1:$626,MATCH($A80,'Исходник'!$T:$T,0),MATCH(AC$1,'Исходник'!$1:$1,0)))</f>
        <v/>
      </c>
      <c r="AD80" s="27" t="str">
        <f t="shared" si="13"/>
        <v/>
      </c>
      <c r="AE80" s="1" t="str">
        <f t="array" ref="AE80">IFERROR(INDEX('Исходник'!$1:$626,MATCH($A80,'Исходник'!$T:$T,0),MATCH(AE$1,'Исходник'!$1:$1,0)))</f>
        <v/>
      </c>
      <c r="AF80" s="1" t="str">
        <f t="array" ref="AF80">IFERROR(INDEX('Исходник'!$1:$626,MATCH($A80,'Исходник'!$T:$T,0),MATCH(AF$1,'Исходник'!$1:$1,0)))</f>
        <v/>
      </c>
      <c r="AG80" s="27" t="str">
        <f t="shared" si="14"/>
        <v/>
      </c>
      <c r="AH80" s="1" t="str">
        <f t="array" ref="AH80">IFERROR(INDEX('Исходник'!$1:$626,MATCH($A80,'Исходник'!$T:$T,0),MATCH(AH$1,'Исходник'!$1:$1,0)))</f>
        <v/>
      </c>
      <c r="AI80" s="1" t="str">
        <f t="array" ref="AI80">IFERROR(INDEX('Исходник'!$1:$626,MATCH($A80,'Исходник'!$T:$T,0),MATCH(AI$1,'Исходник'!$1:$1,0)))</f>
        <v/>
      </c>
      <c r="AJ80" s="18">
        <f t="shared" si="15"/>
        <v>0</v>
      </c>
    </row>
    <row r="81" ht="15.75" customHeight="1">
      <c r="A81" s="27"/>
      <c r="B81" s="1" t="str">
        <f t="array" ref="B81">IFERROR(INDEX('Исходник'!$1:$626,MATCH($A81,'Исходник'!$T:$T,0),MATCH(B$1,'Исходник'!$1:$1,0)))</f>
        <v/>
      </c>
      <c r="C81" s="1" t="str">
        <f t="array" ref="C81">IFERROR(INDEX('Исходник'!$1:$626,MATCH($A81,'Исходник'!$T:$T,0),MATCH(C$1,'Исходник'!$1:$1,0)))</f>
        <v/>
      </c>
      <c r="D81" s="1" t="str">
        <f t="array" ref="D81">IFERROR(INDEX('Исходник'!$1:$626,MATCH($A81,'Исходник'!$T:$T,0),MATCH(D$1,'Исходник'!$1:$1,0)))</f>
        <v/>
      </c>
      <c r="E81" s="1" t="str">
        <f t="array" ref="E81">IFERROR(INDEX('Исходник'!$1:$626,MATCH($A81,'Исходник'!$T:$T,0),MATCH(E$1,'Исходник'!$1:$1,0)))</f>
        <v/>
      </c>
      <c r="F81" s="1" t="str">
        <f t="array" ref="F81">IFERROR(INDEX('Исходник'!$1:$626,MATCH($A81,'Исходник'!$T:$T,0),MATCH(F$1,'Исходник'!$1:$1,0)))</f>
        <v/>
      </c>
      <c r="G81" s="1" t="str">
        <f t="array" ref="G81">IFERROR(INDEX('Исходник'!$1:$626,MATCH($A81,'Исходник'!$T:$T,0),MATCH(G$1,'Исходник'!$1:$1,0)))</f>
        <v/>
      </c>
      <c r="H81" s="27">
        <f t="shared" si="1"/>
        <v>0</v>
      </c>
      <c r="I81" s="27" t="str">
        <f t="shared" si="2"/>
        <v/>
      </c>
      <c r="J81" s="1" t="str">
        <f t="array" ref="J81">IFERROR(INDEX('Исходник'!$1:$626,MATCH($A81,'Исходник'!$T:$T,0),MATCH(J$1,'Исходник'!$1:$1,0)))</f>
        <v/>
      </c>
      <c r="K81" s="27" t="str">
        <f t="shared" si="3"/>
        <v/>
      </c>
      <c r="L81" s="1" t="str">
        <f t="array" ref="L81">IFERROR(INDEX('Исходник'!$1:$626,MATCH($A81,'Исходник'!$T:$T,0),MATCH(L$1,'Исходник'!$1:$1,0)))</f>
        <v/>
      </c>
      <c r="M81" s="28">
        <f t="shared" si="4"/>
        <v>0</v>
      </c>
      <c r="N81" s="1" t="str">
        <f t="array" ref="N81">IFERROR(INDEX('Исходник'!$1:$626,MATCH($A81,'Исходник'!$T:$T,0),MATCH(N$1,'Исходник'!$1:$1,0)))</f>
        <v/>
      </c>
      <c r="O81" s="27">
        <f t="shared" si="5"/>
        <v>0</v>
      </c>
      <c r="P81" s="27" t="str">
        <f t="shared" si="6"/>
        <v/>
      </c>
      <c r="Q81" s="1" t="str">
        <f t="array" ref="Q81">IFERROR(INDEX('Исходник'!$1:$626,MATCH($A81,'Исходник'!$T:$T,0),MATCH(Q$1,'Исходник'!$1:$1,0)))</f>
        <v/>
      </c>
      <c r="R81" s="1" t="str">
        <f t="array" ref="R81">IFERROR(INDEX('Исходник'!$1:$626,MATCH($A81,'Исходник'!$T:$T,0),MATCH(R$1,'Исходник'!$1:$1,0)))</f>
        <v/>
      </c>
      <c r="S81" s="27">
        <f t="shared" si="7"/>
        <v>0</v>
      </c>
      <c r="T81" s="27" t="str">
        <f t="shared" si="8"/>
        <v/>
      </c>
      <c r="U81" s="1" t="str">
        <f t="array" ref="U81">IFERROR(INDEX('Исходник'!$1:$626,MATCH($A81,'Исходник'!$T:$T,0),MATCH(U$1,'Исходник'!$1:$1,0)))</f>
        <v/>
      </c>
      <c r="V81" s="27" t="str">
        <f t="shared" si="9"/>
        <v/>
      </c>
      <c r="W81" s="1" t="str">
        <f t="array" ref="W81">IFERROR(INDEX('Исходник'!$1:$626,MATCH($A81,'Исходник'!$T:$T,0),MATCH(W$1,'Исходник'!$1:$1,0)))</f>
        <v/>
      </c>
      <c r="X81" s="28">
        <f t="shared" si="10"/>
        <v>0</v>
      </c>
      <c r="Y81" s="1" t="str">
        <f t="array" ref="Y81">IFERROR(INDEX('Исходник'!$1:$626,MATCH($A81,'Исходник'!$T:$T,0),MATCH(Y$1,'Исходник'!$1:$1,0)))</f>
        <v/>
      </c>
      <c r="Z81" s="27">
        <f t="shared" si="11"/>
        <v>0</v>
      </c>
      <c r="AA81" s="27" t="str">
        <f t="shared" si="12"/>
        <v/>
      </c>
      <c r="AB81" s="1" t="str">
        <f t="array" ref="AB81">IFERROR(INDEX('Исходник'!$1:$626,MATCH($A81,'Исходник'!$T:$T,0),MATCH(AB$1,'Исходник'!$1:$1,0)))</f>
        <v/>
      </c>
      <c r="AC81" s="1" t="str">
        <f t="array" ref="AC81">IFERROR(INDEX('Исходник'!$1:$626,MATCH($A81,'Исходник'!$T:$T,0),MATCH(AC$1,'Исходник'!$1:$1,0)))</f>
        <v/>
      </c>
      <c r="AD81" s="27" t="str">
        <f t="shared" si="13"/>
        <v/>
      </c>
      <c r="AE81" s="1" t="str">
        <f t="array" ref="AE81">IFERROR(INDEX('Исходник'!$1:$626,MATCH($A81,'Исходник'!$T:$T,0),MATCH(AE$1,'Исходник'!$1:$1,0)))</f>
        <v/>
      </c>
      <c r="AF81" s="1" t="str">
        <f t="array" ref="AF81">IFERROR(INDEX('Исходник'!$1:$626,MATCH($A81,'Исходник'!$T:$T,0),MATCH(AF$1,'Исходник'!$1:$1,0)))</f>
        <v/>
      </c>
      <c r="AG81" s="27" t="str">
        <f t="shared" si="14"/>
        <v/>
      </c>
      <c r="AH81" s="1" t="str">
        <f t="array" ref="AH81">IFERROR(INDEX('Исходник'!$1:$626,MATCH($A81,'Исходник'!$T:$T,0),MATCH(AH$1,'Исходник'!$1:$1,0)))</f>
        <v/>
      </c>
      <c r="AI81" s="1" t="str">
        <f t="array" ref="AI81">IFERROR(INDEX('Исходник'!$1:$626,MATCH($A81,'Исходник'!$T:$T,0),MATCH(AI$1,'Исходник'!$1:$1,0)))</f>
        <v/>
      </c>
      <c r="AJ81" s="18">
        <f t="shared" si="15"/>
        <v>0</v>
      </c>
    </row>
    <row r="82" ht="15.75" customHeight="1">
      <c r="A82" s="27"/>
      <c r="B82" s="1" t="str">
        <f t="array" ref="B82">IFERROR(INDEX('Исходник'!$1:$626,MATCH($A82,'Исходник'!$T:$T,0),MATCH(B$1,'Исходник'!$1:$1,0)))</f>
        <v/>
      </c>
      <c r="C82" s="1" t="str">
        <f t="array" ref="C82">IFERROR(INDEX('Исходник'!$1:$626,MATCH($A82,'Исходник'!$T:$T,0),MATCH(C$1,'Исходник'!$1:$1,0)))</f>
        <v/>
      </c>
      <c r="D82" s="1" t="str">
        <f t="array" ref="D82">IFERROR(INDEX('Исходник'!$1:$626,MATCH($A82,'Исходник'!$T:$T,0),MATCH(D$1,'Исходник'!$1:$1,0)))</f>
        <v/>
      </c>
      <c r="E82" s="1" t="str">
        <f t="array" ref="E82">IFERROR(INDEX('Исходник'!$1:$626,MATCH($A82,'Исходник'!$T:$T,0),MATCH(E$1,'Исходник'!$1:$1,0)))</f>
        <v/>
      </c>
      <c r="F82" s="1" t="str">
        <f t="array" ref="F82">IFERROR(INDEX('Исходник'!$1:$626,MATCH($A82,'Исходник'!$T:$T,0),MATCH(F$1,'Исходник'!$1:$1,0)))</f>
        <v/>
      </c>
      <c r="G82" s="1" t="str">
        <f t="array" ref="G82">IFERROR(INDEX('Исходник'!$1:$626,MATCH($A82,'Исходник'!$T:$T,0),MATCH(G$1,'Исходник'!$1:$1,0)))</f>
        <v/>
      </c>
      <c r="H82" s="27">
        <f t="shared" si="1"/>
        <v>0</v>
      </c>
      <c r="I82" s="27" t="str">
        <f t="shared" si="2"/>
        <v/>
      </c>
      <c r="J82" s="1" t="str">
        <f t="array" ref="J82">IFERROR(INDEX('Исходник'!$1:$626,MATCH($A82,'Исходник'!$T:$T,0),MATCH(J$1,'Исходник'!$1:$1,0)))</f>
        <v/>
      </c>
      <c r="K82" s="27" t="str">
        <f t="shared" si="3"/>
        <v/>
      </c>
      <c r="L82" s="1" t="str">
        <f t="array" ref="L82">IFERROR(INDEX('Исходник'!$1:$626,MATCH($A82,'Исходник'!$T:$T,0),MATCH(L$1,'Исходник'!$1:$1,0)))</f>
        <v/>
      </c>
      <c r="M82" s="28">
        <f t="shared" si="4"/>
        <v>0</v>
      </c>
      <c r="N82" s="1" t="str">
        <f t="array" ref="N82">IFERROR(INDEX('Исходник'!$1:$626,MATCH($A82,'Исходник'!$T:$T,0),MATCH(N$1,'Исходник'!$1:$1,0)))</f>
        <v/>
      </c>
      <c r="O82" s="27">
        <f t="shared" si="5"/>
        <v>0</v>
      </c>
      <c r="P82" s="27" t="str">
        <f t="shared" si="6"/>
        <v/>
      </c>
      <c r="Q82" s="1" t="str">
        <f t="array" ref="Q82">IFERROR(INDEX('Исходник'!$1:$626,MATCH($A82,'Исходник'!$T:$T,0),MATCH(Q$1,'Исходник'!$1:$1,0)))</f>
        <v/>
      </c>
      <c r="R82" s="1" t="str">
        <f t="array" ref="R82">IFERROR(INDEX('Исходник'!$1:$626,MATCH($A82,'Исходник'!$T:$T,0),MATCH(R$1,'Исходник'!$1:$1,0)))</f>
        <v/>
      </c>
      <c r="S82" s="27">
        <f t="shared" si="7"/>
        <v>0</v>
      </c>
      <c r="T82" s="27" t="str">
        <f t="shared" si="8"/>
        <v/>
      </c>
      <c r="U82" s="1" t="str">
        <f t="array" ref="U82">IFERROR(INDEX('Исходник'!$1:$626,MATCH($A82,'Исходник'!$T:$T,0),MATCH(U$1,'Исходник'!$1:$1,0)))</f>
        <v/>
      </c>
      <c r="V82" s="27" t="str">
        <f t="shared" si="9"/>
        <v/>
      </c>
      <c r="W82" s="1" t="str">
        <f t="array" ref="W82">IFERROR(INDEX('Исходник'!$1:$626,MATCH($A82,'Исходник'!$T:$T,0),MATCH(W$1,'Исходник'!$1:$1,0)))</f>
        <v/>
      </c>
      <c r="X82" s="28">
        <f t="shared" si="10"/>
        <v>0</v>
      </c>
      <c r="Y82" s="1" t="str">
        <f t="array" ref="Y82">IFERROR(INDEX('Исходник'!$1:$626,MATCH($A82,'Исходник'!$T:$T,0),MATCH(Y$1,'Исходник'!$1:$1,0)))</f>
        <v/>
      </c>
      <c r="Z82" s="27">
        <f t="shared" si="11"/>
        <v>0</v>
      </c>
      <c r="AA82" s="27" t="str">
        <f t="shared" si="12"/>
        <v/>
      </c>
      <c r="AB82" s="1" t="str">
        <f t="array" ref="AB82">IFERROR(INDEX('Исходник'!$1:$626,MATCH($A82,'Исходник'!$T:$T,0),MATCH(AB$1,'Исходник'!$1:$1,0)))</f>
        <v/>
      </c>
      <c r="AC82" s="1" t="str">
        <f t="array" ref="AC82">IFERROR(INDEX('Исходник'!$1:$626,MATCH($A82,'Исходник'!$T:$T,0),MATCH(AC$1,'Исходник'!$1:$1,0)))</f>
        <v/>
      </c>
      <c r="AD82" s="27" t="str">
        <f t="shared" si="13"/>
        <v/>
      </c>
      <c r="AE82" s="1" t="str">
        <f t="array" ref="AE82">IFERROR(INDEX('Исходник'!$1:$626,MATCH($A82,'Исходник'!$T:$T,0),MATCH(AE$1,'Исходник'!$1:$1,0)))</f>
        <v/>
      </c>
      <c r="AF82" s="1" t="str">
        <f t="array" ref="AF82">IFERROR(INDEX('Исходник'!$1:$626,MATCH($A82,'Исходник'!$T:$T,0),MATCH(AF$1,'Исходник'!$1:$1,0)))</f>
        <v/>
      </c>
      <c r="AG82" s="27" t="str">
        <f t="shared" si="14"/>
        <v/>
      </c>
      <c r="AH82" s="1" t="str">
        <f t="array" ref="AH82">IFERROR(INDEX('Исходник'!$1:$626,MATCH($A82,'Исходник'!$T:$T,0),MATCH(AH$1,'Исходник'!$1:$1,0)))</f>
        <v/>
      </c>
      <c r="AI82" s="1" t="str">
        <f t="array" ref="AI82">IFERROR(INDEX('Исходник'!$1:$626,MATCH($A82,'Исходник'!$T:$T,0),MATCH(AI$1,'Исходник'!$1:$1,0)))</f>
        <v/>
      </c>
      <c r="AJ82" s="18">
        <f t="shared" si="15"/>
        <v>0</v>
      </c>
    </row>
    <row r="83" ht="15.75" customHeight="1">
      <c r="A83" s="27"/>
      <c r="B83" s="1" t="str">
        <f t="array" ref="B83">IFERROR(INDEX('Исходник'!$1:$626,MATCH($A83,'Исходник'!$T:$T,0),MATCH(B$1,'Исходник'!$1:$1,0)))</f>
        <v/>
      </c>
      <c r="C83" s="1" t="str">
        <f t="array" ref="C83">IFERROR(INDEX('Исходник'!$1:$626,MATCH($A83,'Исходник'!$T:$T,0),MATCH(C$1,'Исходник'!$1:$1,0)))</f>
        <v/>
      </c>
      <c r="D83" s="1" t="str">
        <f t="array" ref="D83">IFERROR(INDEX('Исходник'!$1:$626,MATCH($A83,'Исходник'!$T:$T,0),MATCH(D$1,'Исходник'!$1:$1,0)))</f>
        <v/>
      </c>
      <c r="E83" s="1" t="str">
        <f t="array" ref="E83">IFERROR(INDEX('Исходник'!$1:$626,MATCH($A83,'Исходник'!$T:$T,0),MATCH(E$1,'Исходник'!$1:$1,0)))</f>
        <v/>
      </c>
      <c r="F83" s="1" t="str">
        <f t="array" ref="F83">IFERROR(INDEX('Исходник'!$1:$626,MATCH($A83,'Исходник'!$T:$T,0),MATCH(F$1,'Исходник'!$1:$1,0)))</f>
        <v/>
      </c>
      <c r="G83" s="1" t="str">
        <f t="array" ref="G83">IFERROR(INDEX('Исходник'!$1:$626,MATCH($A83,'Исходник'!$T:$T,0),MATCH(G$1,'Исходник'!$1:$1,0)))</f>
        <v/>
      </c>
      <c r="H83" s="27">
        <f t="shared" si="1"/>
        <v>0</v>
      </c>
      <c r="I83" s="27" t="str">
        <f t="shared" si="2"/>
        <v/>
      </c>
      <c r="J83" s="1" t="str">
        <f t="array" ref="J83">IFERROR(INDEX('Исходник'!$1:$626,MATCH($A83,'Исходник'!$T:$T,0),MATCH(J$1,'Исходник'!$1:$1,0)))</f>
        <v/>
      </c>
      <c r="K83" s="27" t="str">
        <f t="shared" si="3"/>
        <v/>
      </c>
      <c r="L83" s="1" t="str">
        <f t="array" ref="L83">IFERROR(INDEX('Исходник'!$1:$626,MATCH($A83,'Исходник'!$T:$T,0),MATCH(L$1,'Исходник'!$1:$1,0)))</f>
        <v/>
      </c>
      <c r="M83" s="28">
        <f t="shared" si="4"/>
        <v>0</v>
      </c>
      <c r="N83" s="1" t="str">
        <f t="array" ref="N83">IFERROR(INDEX('Исходник'!$1:$626,MATCH($A83,'Исходник'!$T:$T,0),MATCH(N$1,'Исходник'!$1:$1,0)))</f>
        <v/>
      </c>
      <c r="O83" s="27">
        <f t="shared" si="5"/>
        <v>0</v>
      </c>
      <c r="P83" s="27" t="str">
        <f t="shared" si="6"/>
        <v/>
      </c>
      <c r="Q83" s="1" t="str">
        <f t="array" ref="Q83">IFERROR(INDEX('Исходник'!$1:$626,MATCH($A83,'Исходник'!$T:$T,0),MATCH(Q$1,'Исходник'!$1:$1,0)))</f>
        <v/>
      </c>
      <c r="R83" s="1" t="str">
        <f t="array" ref="R83">IFERROR(INDEX('Исходник'!$1:$626,MATCH($A83,'Исходник'!$T:$T,0),MATCH(R$1,'Исходник'!$1:$1,0)))</f>
        <v/>
      </c>
      <c r="S83" s="27">
        <f t="shared" si="7"/>
        <v>0</v>
      </c>
      <c r="T83" s="27" t="str">
        <f t="shared" si="8"/>
        <v/>
      </c>
      <c r="U83" s="1" t="str">
        <f t="array" ref="U83">IFERROR(INDEX('Исходник'!$1:$626,MATCH($A83,'Исходник'!$T:$T,0),MATCH(U$1,'Исходник'!$1:$1,0)))</f>
        <v/>
      </c>
      <c r="V83" s="27" t="str">
        <f t="shared" si="9"/>
        <v/>
      </c>
      <c r="W83" s="1" t="str">
        <f t="array" ref="W83">IFERROR(INDEX('Исходник'!$1:$626,MATCH($A83,'Исходник'!$T:$T,0),MATCH(W$1,'Исходник'!$1:$1,0)))</f>
        <v/>
      </c>
      <c r="X83" s="28">
        <f t="shared" si="10"/>
        <v>0</v>
      </c>
      <c r="Y83" s="1" t="str">
        <f t="array" ref="Y83">IFERROR(INDEX('Исходник'!$1:$626,MATCH($A83,'Исходник'!$T:$T,0),MATCH(Y$1,'Исходник'!$1:$1,0)))</f>
        <v/>
      </c>
      <c r="Z83" s="27">
        <f t="shared" si="11"/>
        <v>0</v>
      </c>
      <c r="AA83" s="27" t="str">
        <f t="shared" si="12"/>
        <v/>
      </c>
      <c r="AB83" s="1" t="str">
        <f t="array" ref="AB83">IFERROR(INDEX('Исходник'!$1:$626,MATCH($A83,'Исходник'!$T:$T,0),MATCH(AB$1,'Исходник'!$1:$1,0)))</f>
        <v/>
      </c>
      <c r="AC83" s="1" t="str">
        <f t="array" ref="AC83">IFERROR(INDEX('Исходник'!$1:$626,MATCH($A83,'Исходник'!$T:$T,0),MATCH(AC$1,'Исходник'!$1:$1,0)))</f>
        <v/>
      </c>
      <c r="AD83" s="27" t="str">
        <f t="shared" si="13"/>
        <v/>
      </c>
      <c r="AE83" s="1" t="str">
        <f t="array" ref="AE83">IFERROR(INDEX('Исходник'!$1:$626,MATCH($A83,'Исходник'!$T:$T,0),MATCH(AE$1,'Исходник'!$1:$1,0)))</f>
        <v/>
      </c>
      <c r="AF83" s="1" t="str">
        <f t="array" ref="AF83">IFERROR(INDEX('Исходник'!$1:$626,MATCH($A83,'Исходник'!$T:$T,0),MATCH(AF$1,'Исходник'!$1:$1,0)))</f>
        <v/>
      </c>
      <c r="AG83" s="27" t="str">
        <f t="shared" si="14"/>
        <v/>
      </c>
      <c r="AH83" s="1" t="str">
        <f t="array" ref="AH83">IFERROR(INDEX('Исходник'!$1:$626,MATCH($A83,'Исходник'!$T:$T,0),MATCH(AH$1,'Исходник'!$1:$1,0)))</f>
        <v/>
      </c>
      <c r="AI83" s="1" t="str">
        <f t="array" ref="AI83">IFERROR(INDEX('Исходник'!$1:$626,MATCH($A83,'Исходник'!$T:$T,0),MATCH(AI$1,'Исходник'!$1:$1,0)))</f>
        <v/>
      </c>
      <c r="AJ83" s="18">
        <f t="shared" si="15"/>
        <v>0</v>
      </c>
    </row>
    <row r="84" ht="15.75" customHeight="1">
      <c r="A84" s="27"/>
      <c r="B84" s="1" t="str">
        <f t="array" ref="B84">IFERROR(INDEX('Исходник'!$1:$626,MATCH($A84,'Исходник'!$T:$T,0),MATCH(B$1,'Исходник'!$1:$1,0)))</f>
        <v/>
      </c>
      <c r="C84" s="1" t="str">
        <f t="array" ref="C84">IFERROR(INDEX('Исходник'!$1:$626,MATCH($A84,'Исходник'!$T:$T,0),MATCH(C$1,'Исходник'!$1:$1,0)))</f>
        <v/>
      </c>
      <c r="D84" s="1" t="str">
        <f t="array" ref="D84">IFERROR(INDEX('Исходник'!$1:$626,MATCH($A84,'Исходник'!$T:$T,0),MATCH(D$1,'Исходник'!$1:$1,0)))</f>
        <v/>
      </c>
      <c r="E84" s="1" t="str">
        <f t="array" ref="E84">IFERROR(INDEX('Исходник'!$1:$626,MATCH($A84,'Исходник'!$T:$T,0),MATCH(E$1,'Исходник'!$1:$1,0)))</f>
        <v/>
      </c>
      <c r="F84" s="1" t="str">
        <f t="array" ref="F84">IFERROR(INDEX('Исходник'!$1:$626,MATCH($A84,'Исходник'!$T:$T,0),MATCH(F$1,'Исходник'!$1:$1,0)))</f>
        <v/>
      </c>
      <c r="G84" s="1" t="str">
        <f t="array" ref="G84">IFERROR(INDEX('Исходник'!$1:$626,MATCH($A84,'Исходник'!$T:$T,0),MATCH(G$1,'Исходник'!$1:$1,0)))</f>
        <v/>
      </c>
      <c r="H84" s="27">
        <f t="shared" si="1"/>
        <v>0</v>
      </c>
      <c r="I84" s="27" t="str">
        <f t="shared" si="2"/>
        <v/>
      </c>
      <c r="J84" s="1" t="str">
        <f t="array" ref="J84">IFERROR(INDEX('Исходник'!$1:$626,MATCH($A84,'Исходник'!$T:$T,0),MATCH(J$1,'Исходник'!$1:$1,0)))</f>
        <v/>
      </c>
      <c r="K84" s="27" t="str">
        <f t="shared" si="3"/>
        <v/>
      </c>
      <c r="L84" s="1" t="str">
        <f t="array" ref="L84">IFERROR(INDEX('Исходник'!$1:$626,MATCH($A84,'Исходник'!$T:$T,0),MATCH(L$1,'Исходник'!$1:$1,0)))</f>
        <v/>
      </c>
      <c r="M84" s="28">
        <f t="shared" si="4"/>
        <v>0</v>
      </c>
      <c r="N84" s="1" t="str">
        <f t="array" ref="N84">IFERROR(INDEX('Исходник'!$1:$626,MATCH($A84,'Исходник'!$T:$T,0),MATCH(N$1,'Исходник'!$1:$1,0)))</f>
        <v/>
      </c>
      <c r="O84" s="27">
        <f t="shared" si="5"/>
        <v>0</v>
      </c>
      <c r="P84" s="27" t="str">
        <f t="shared" si="6"/>
        <v/>
      </c>
      <c r="Q84" s="1" t="str">
        <f t="array" ref="Q84">IFERROR(INDEX('Исходник'!$1:$626,MATCH($A84,'Исходник'!$T:$T,0),MATCH(Q$1,'Исходник'!$1:$1,0)))</f>
        <v/>
      </c>
      <c r="R84" s="1" t="str">
        <f t="array" ref="R84">IFERROR(INDEX('Исходник'!$1:$626,MATCH($A84,'Исходник'!$T:$T,0),MATCH(R$1,'Исходник'!$1:$1,0)))</f>
        <v/>
      </c>
      <c r="S84" s="27">
        <f t="shared" si="7"/>
        <v>0</v>
      </c>
      <c r="T84" s="27" t="str">
        <f t="shared" si="8"/>
        <v/>
      </c>
      <c r="U84" s="1" t="str">
        <f t="array" ref="U84">IFERROR(INDEX('Исходник'!$1:$626,MATCH($A84,'Исходник'!$T:$T,0),MATCH(U$1,'Исходник'!$1:$1,0)))</f>
        <v/>
      </c>
      <c r="V84" s="27" t="str">
        <f t="shared" si="9"/>
        <v/>
      </c>
      <c r="W84" s="1" t="str">
        <f t="array" ref="W84">IFERROR(INDEX('Исходник'!$1:$626,MATCH($A84,'Исходник'!$T:$T,0),MATCH(W$1,'Исходник'!$1:$1,0)))</f>
        <v/>
      </c>
      <c r="X84" s="28">
        <f t="shared" si="10"/>
        <v>0</v>
      </c>
      <c r="Y84" s="1" t="str">
        <f t="array" ref="Y84">IFERROR(INDEX('Исходник'!$1:$626,MATCH($A84,'Исходник'!$T:$T,0),MATCH(Y$1,'Исходник'!$1:$1,0)))</f>
        <v/>
      </c>
      <c r="Z84" s="27">
        <f t="shared" si="11"/>
        <v>0</v>
      </c>
      <c r="AA84" s="27" t="str">
        <f t="shared" si="12"/>
        <v/>
      </c>
      <c r="AB84" s="1" t="str">
        <f t="array" ref="AB84">IFERROR(INDEX('Исходник'!$1:$626,MATCH($A84,'Исходник'!$T:$T,0),MATCH(AB$1,'Исходник'!$1:$1,0)))</f>
        <v/>
      </c>
      <c r="AC84" s="1" t="str">
        <f t="array" ref="AC84">IFERROR(INDEX('Исходник'!$1:$626,MATCH($A84,'Исходник'!$T:$T,0),MATCH(AC$1,'Исходник'!$1:$1,0)))</f>
        <v/>
      </c>
      <c r="AD84" s="27" t="str">
        <f t="shared" si="13"/>
        <v/>
      </c>
      <c r="AE84" s="1" t="str">
        <f t="array" ref="AE84">IFERROR(INDEX('Исходник'!$1:$626,MATCH($A84,'Исходник'!$T:$T,0),MATCH(AE$1,'Исходник'!$1:$1,0)))</f>
        <v/>
      </c>
      <c r="AF84" s="1" t="str">
        <f t="array" ref="AF84">IFERROR(INDEX('Исходник'!$1:$626,MATCH($A84,'Исходник'!$T:$T,0),MATCH(AF$1,'Исходник'!$1:$1,0)))</f>
        <v/>
      </c>
      <c r="AG84" s="27" t="str">
        <f t="shared" si="14"/>
        <v/>
      </c>
      <c r="AH84" s="1" t="str">
        <f t="array" ref="AH84">IFERROR(INDEX('Исходник'!$1:$626,MATCH($A84,'Исходник'!$T:$T,0),MATCH(AH$1,'Исходник'!$1:$1,0)))</f>
        <v/>
      </c>
      <c r="AI84" s="1" t="str">
        <f t="array" ref="AI84">IFERROR(INDEX('Исходник'!$1:$626,MATCH($A84,'Исходник'!$T:$T,0),MATCH(AI$1,'Исходник'!$1:$1,0)))</f>
        <v/>
      </c>
      <c r="AJ84" s="18">
        <f t="shared" si="15"/>
        <v>0</v>
      </c>
    </row>
    <row r="85" ht="15.75" customHeight="1">
      <c r="A85" s="27"/>
      <c r="B85" s="1" t="str">
        <f t="array" ref="B85">IFERROR(INDEX('Исходник'!$1:$626,MATCH($A85,'Исходник'!$T:$T,0),MATCH(B$1,'Исходник'!$1:$1,0)))</f>
        <v/>
      </c>
      <c r="C85" s="1" t="str">
        <f t="array" ref="C85">IFERROR(INDEX('Исходник'!$1:$626,MATCH($A85,'Исходник'!$T:$T,0),MATCH(C$1,'Исходник'!$1:$1,0)))</f>
        <v/>
      </c>
      <c r="D85" s="1" t="str">
        <f t="array" ref="D85">IFERROR(INDEX('Исходник'!$1:$626,MATCH($A85,'Исходник'!$T:$T,0),MATCH(D$1,'Исходник'!$1:$1,0)))</f>
        <v/>
      </c>
      <c r="E85" s="1" t="str">
        <f t="array" ref="E85">IFERROR(INDEX('Исходник'!$1:$626,MATCH($A85,'Исходник'!$T:$T,0),MATCH(E$1,'Исходник'!$1:$1,0)))</f>
        <v/>
      </c>
      <c r="F85" s="1" t="str">
        <f t="array" ref="F85">IFERROR(INDEX('Исходник'!$1:$626,MATCH($A85,'Исходник'!$T:$T,0),MATCH(F$1,'Исходник'!$1:$1,0)))</f>
        <v/>
      </c>
      <c r="G85" s="1" t="str">
        <f t="array" ref="G85">IFERROR(INDEX('Исходник'!$1:$626,MATCH($A85,'Исходник'!$T:$T,0),MATCH(G$1,'Исходник'!$1:$1,0)))</f>
        <v/>
      </c>
      <c r="H85" s="27">
        <f t="shared" si="1"/>
        <v>0</v>
      </c>
      <c r="I85" s="27" t="str">
        <f t="shared" si="2"/>
        <v/>
      </c>
      <c r="J85" s="1" t="str">
        <f t="array" ref="J85">IFERROR(INDEX('Исходник'!$1:$626,MATCH($A85,'Исходник'!$T:$T,0),MATCH(J$1,'Исходник'!$1:$1,0)))</f>
        <v/>
      </c>
      <c r="K85" s="27" t="str">
        <f t="shared" si="3"/>
        <v/>
      </c>
      <c r="L85" s="1" t="str">
        <f t="array" ref="L85">IFERROR(INDEX('Исходник'!$1:$626,MATCH($A85,'Исходник'!$T:$T,0),MATCH(L$1,'Исходник'!$1:$1,0)))</f>
        <v/>
      </c>
      <c r="M85" s="28">
        <f t="shared" si="4"/>
        <v>0</v>
      </c>
      <c r="N85" s="1" t="str">
        <f t="array" ref="N85">IFERROR(INDEX('Исходник'!$1:$626,MATCH($A85,'Исходник'!$T:$T,0),MATCH(N$1,'Исходник'!$1:$1,0)))</f>
        <v/>
      </c>
      <c r="O85" s="27">
        <f t="shared" si="5"/>
        <v>0</v>
      </c>
      <c r="P85" s="27" t="str">
        <f t="shared" si="6"/>
        <v/>
      </c>
      <c r="Q85" s="1" t="str">
        <f t="array" ref="Q85">IFERROR(INDEX('Исходник'!$1:$626,MATCH($A85,'Исходник'!$T:$T,0),MATCH(Q$1,'Исходник'!$1:$1,0)))</f>
        <v/>
      </c>
      <c r="R85" s="1" t="str">
        <f t="array" ref="R85">IFERROR(INDEX('Исходник'!$1:$626,MATCH($A85,'Исходник'!$T:$T,0),MATCH(R$1,'Исходник'!$1:$1,0)))</f>
        <v/>
      </c>
      <c r="S85" s="27">
        <f t="shared" si="7"/>
        <v>0</v>
      </c>
      <c r="T85" s="27" t="str">
        <f t="shared" si="8"/>
        <v/>
      </c>
      <c r="U85" s="1" t="str">
        <f t="array" ref="U85">IFERROR(INDEX('Исходник'!$1:$626,MATCH($A85,'Исходник'!$T:$T,0),MATCH(U$1,'Исходник'!$1:$1,0)))</f>
        <v/>
      </c>
      <c r="V85" s="27" t="str">
        <f t="shared" si="9"/>
        <v/>
      </c>
      <c r="W85" s="1" t="str">
        <f t="array" ref="W85">IFERROR(INDEX('Исходник'!$1:$626,MATCH($A85,'Исходник'!$T:$T,0),MATCH(W$1,'Исходник'!$1:$1,0)))</f>
        <v/>
      </c>
      <c r="X85" s="28">
        <f t="shared" si="10"/>
        <v>0</v>
      </c>
      <c r="Y85" s="1" t="str">
        <f t="array" ref="Y85">IFERROR(INDEX('Исходник'!$1:$626,MATCH($A85,'Исходник'!$T:$T,0),MATCH(Y$1,'Исходник'!$1:$1,0)))</f>
        <v/>
      </c>
      <c r="Z85" s="27">
        <f t="shared" si="11"/>
        <v>0</v>
      </c>
      <c r="AA85" s="27" t="str">
        <f t="shared" si="12"/>
        <v/>
      </c>
      <c r="AB85" s="1" t="str">
        <f t="array" ref="AB85">IFERROR(INDEX('Исходник'!$1:$626,MATCH($A85,'Исходник'!$T:$T,0),MATCH(AB$1,'Исходник'!$1:$1,0)))</f>
        <v/>
      </c>
      <c r="AC85" s="1" t="str">
        <f t="array" ref="AC85">IFERROR(INDEX('Исходник'!$1:$626,MATCH($A85,'Исходник'!$T:$T,0),MATCH(AC$1,'Исходник'!$1:$1,0)))</f>
        <v/>
      </c>
      <c r="AD85" s="27" t="str">
        <f t="shared" si="13"/>
        <v/>
      </c>
      <c r="AE85" s="1" t="str">
        <f t="array" ref="AE85">IFERROR(INDEX('Исходник'!$1:$626,MATCH($A85,'Исходник'!$T:$T,0),MATCH(AE$1,'Исходник'!$1:$1,0)))</f>
        <v/>
      </c>
      <c r="AF85" s="1" t="str">
        <f t="array" ref="AF85">IFERROR(INDEX('Исходник'!$1:$626,MATCH($A85,'Исходник'!$T:$T,0),MATCH(AF$1,'Исходник'!$1:$1,0)))</f>
        <v/>
      </c>
      <c r="AG85" s="27" t="str">
        <f t="shared" si="14"/>
        <v/>
      </c>
      <c r="AH85" s="1" t="str">
        <f t="array" ref="AH85">IFERROR(INDEX('Исходник'!$1:$626,MATCH($A85,'Исходник'!$T:$T,0),MATCH(AH$1,'Исходник'!$1:$1,0)))</f>
        <v/>
      </c>
      <c r="AI85" s="1" t="str">
        <f t="array" ref="AI85">IFERROR(INDEX('Исходник'!$1:$626,MATCH($A85,'Исходник'!$T:$T,0),MATCH(AI$1,'Исходник'!$1:$1,0)))</f>
        <v/>
      </c>
      <c r="AJ85" s="18">
        <f t="shared" si="15"/>
        <v>0</v>
      </c>
    </row>
    <row r="86" ht="15.75" customHeight="1">
      <c r="A86" s="27"/>
      <c r="B86" s="1" t="str">
        <f t="array" ref="B86">IFERROR(INDEX('Исходник'!$1:$626,MATCH($A86,'Исходник'!$T:$T,0),MATCH(B$1,'Исходник'!$1:$1,0)))</f>
        <v/>
      </c>
      <c r="C86" s="1" t="str">
        <f t="array" ref="C86">IFERROR(INDEX('Исходник'!$1:$626,MATCH($A86,'Исходник'!$T:$T,0),MATCH(C$1,'Исходник'!$1:$1,0)))</f>
        <v/>
      </c>
      <c r="D86" s="1" t="str">
        <f t="array" ref="D86">IFERROR(INDEX('Исходник'!$1:$626,MATCH($A86,'Исходник'!$T:$T,0),MATCH(D$1,'Исходник'!$1:$1,0)))</f>
        <v/>
      </c>
      <c r="E86" s="1" t="str">
        <f t="array" ref="E86">IFERROR(INDEX('Исходник'!$1:$626,MATCH($A86,'Исходник'!$T:$T,0),MATCH(E$1,'Исходник'!$1:$1,0)))</f>
        <v/>
      </c>
      <c r="F86" s="1" t="str">
        <f t="array" ref="F86">IFERROR(INDEX('Исходник'!$1:$626,MATCH($A86,'Исходник'!$T:$T,0),MATCH(F$1,'Исходник'!$1:$1,0)))</f>
        <v/>
      </c>
      <c r="G86" s="1" t="str">
        <f t="array" ref="G86">IFERROR(INDEX('Исходник'!$1:$626,MATCH($A86,'Исходник'!$T:$T,0),MATCH(G$1,'Исходник'!$1:$1,0)))</f>
        <v/>
      </c>
      <c r="H86" s="27">
        <f t="shared" si="1"/>
        <v>0</v>
      </c>
      <c r="I86" s="27" t="str">
        <f t="shared" si="2"/>
        <v/>
      </c>
      <c r="J86" s="1" t="str">
        <f t="array" ref="J86">IFERROR(INDEX('Исходник'!$1:$626,MATCH($A86,'Исходник'!$T:$T,0),MATCH(J$1,'Исходник'!$1:$1,0)))</f>
        <v/>
      </c>
      <c r="K86" s="27" t="str">
        <f t="shared" si="3"/>
        <v/>
      </c>
      <c r="L86" s="1" t="str">
        <f t="array" ref="L86">IFERROR(INDEX('Исходник'!$1:$626,MATCH($A86,'Исходник'!$T:$T,0),MATCH(L$1,'Исходник'!$1:$1,0)))</f>
        <v/>
      </c>
      <c r="M86" s="28">
        <f t="shared" si="4"/>
        <v>0</v>
      </c>
      <c r="N86" s="1" t="str">
        <f t="array" ref="N86">IFERROR(INDEX('Исходник'!$1:$626,MATCH($A86,'Исходник'!$T:$T,0),MATCH(N$1,'Исходник'!$1:$1,0)))</f>
        <v/>
      </c>
      <c r="O86" s="27">
        <f t="shared" si="5"/>
        <v>0</v>
      </c>
      <c r="P86" s="27" t="str">
        <f t="shared" si="6"/>
        <v/>
      </c>
      <c r="Q86" s="1" t="str">
        <f t="array" ref="Q86">IFERROR(INDEX('Исходник'!$1:$626,MATCH($A86,'Исходник'!$T:$T,0),MATCH(Q$1,'Исходник'!$1:$1,0)))</f>
        <v/>
      </c>
      <c r="R86" s="1" t="str">
        <f t="array" ref="R86">IFERROR(INDEX('Исходник'!$1:$626,MATCH($A86,'Исходник'!$T:$T,0),MATCH(R$1,'Исходник'!$1:$1,0)))</f>
        <v/>
      </c>
      <c r="S86" s="27">
        <f t="shared" si="7"/>
        <v>0</v>
      </c>
      <c r="T86" s="27" t="str">
        <f t="shared" si="8"/>
        <v/>
      </c>
      <c r="U86" s="1" t="str">
        <f t="array" ref="U86">IFERROR(INDEX('Исходник'!$1:$626,MATCH($A86,'Исходник'!$T:$T,0),MATCH(U$1,'Исходник'!$1:$1,0)))</f>
        <v/>
      </c>
      <c r="V86" s="27" t="str">
        <f t="shared" si="9"/>
        <v/>
      </c>
      <c r="W86" s="1" t="str">
        <f t="array" ref="W86">IFERROR(INDEX('Исходник'!$1:$626,MATCH($A86,'Исходник'!$T:$T,0),MATCH(W$1,'Исходник'!$1:$1,0)))</f>
        <v/>
      </c>
      <c r="X86" s="28">
        <f t="shared" si="10"/>
        <v>0</v>
      </c>
      <c r="Y86" s="1" t="str">
        <f t="array" ref="Y86">IFERROR(INDEX('Исходник'!$1:$626,MATCH($A86,'Исходник'!$T:$T,0),MATCH(Y$1,'Исходник'!$1:$1,0)))</f>
        <v/>
      </c>
      <c r="Z86" s="27">
        <f t="shared" si="11"/>
        <v>0</v>
      </c>
      <c r="AA86" s="27" t="str">
        <f t="shared" si="12"/>
        <v/>
      </c>
      <c r="AB86" s="1" t="str">
        <f t="array" ref="AB86">IFERROR(INDEX('Исходник'!$1:$626,MATCH($A86,'Исходник'!$T:$T,0),MATCH(AB$1,'Исходник'!$1:$1,0)))</f>
        <v/>
      </c>
      <c r="AC86" s="1" t="str">
        <f t="array" ref="AC86">IFERROR(INDEX('Исходник'!$1:$626,MATCH($A86,'Исходник'!$T:$T,0),MATCH(AC$1,'Исходник'!$1:$1,0)))</f>
        <v/>
      </c>
      <c r="AD86" s="27" t="str">
        <f t="shared" si="13"/>
        <v/>
      </c>
      <c r="AE86" s="1" t="str">
        <f t="array" ref="AE86">IFERROR(INDEX('Исходник'!$1:$626,MATCH($A86,'Исходник'!$T:$T,0),MATCH(AE$1,'Исходник'!$1:$1,0)))</f>
        <v/>
      </c>
      <c r="AF86" s="1" t="str">
        <f t="array" ref="AF86">IFERROR(INDEX('Исходник'!$1:$626,MATCH($A86,'Исходник'!$T:$T,0),MATCH(AF$1,'Исходник'!$1:$1,0)))</f>
        <v/>
      </c>
      <c r="AG86" s="27" t="str">
        <f t="shared" si="14"/>
        <v/>
      </c>
      <c r="AH86" s="1" t="str">
        <f t="array" ref="AH86">IFERROR(INDEX('Исходник'!$1:$626,MATCH($A86,'Исходник'!$T:$T,0),MATCH(AH$1,'Исходник'!$1:$1,0)))</f>
        <v/>
      </c>
      <c r="AI86" s="1" t="str">
        <f t="array" ref="AI86">IFERROR(INDEX('Исходник'!$1:$626,MATCH($A86,'Исходник'!$T:$T,0),MATCH(AI$1,'Исходник'!$1:$1,0)))</f>
        <v/>
      </c>
      <c r="AJ86" s="18">
        <f t="shared" si="15"/>
        <v>0</v>
      </c>
    </row>
    <row r="87" ht="15.75" customHeight="1">
      <c r="A87" s="27"/>
      <c r="B87" s="1" t="str">
        <f t="array" ref="B87">IFERROR(INDEX('Исходник'!$1:$626,MATCH($A87,'Исходник'!$T:$T,0),MATCH(B$1,'Исходник'!$1:$1,0)))</f>
        <v/>
      </c>
      <c r="C87" s="1" t="str">
        <f t="array" ref="C87">IFERROR(INDEX('Исходник'!$1:$626,MATCH($A87,'Исходник'!$T:$T,0),MATCH(C$1,'Исходник'!$1:$1,0)))</f>
        <v/>
      </c>
      <c r="D87" s="1" t="str">
        <f t="array" ref="D87">IFERROR(INDEX('Исходник'!$1:$626,MATCH($A87,'Исходник'!$T:$T,0),MATCH(D$1,'Исходник'!$1:$1,0)))</f>
        <v/>
      </c>
      <c r="E87" s="1" t="str">
        <f t="array" ref="E87">IFERROR(INDEX('Исходник'!$1:$626,MATCH($A87,'Исходник'!$T:$T,0),MATCH(E$1,'Исходник'!$1:$1,0)))</f>
        <v/>
      </c>
      <c r="F87" s="1" t="str">
        <f t="array" ref="F87">IFERROR(INDEX('Исходник'!$1:$626,MATCH($A87,'Исходник'!$T:$T,0),MATCH(F$1,'Исходник'!$1:$1,0)))</f>
        <v/>
      </c>
      <c r="G87" s="1" t="str">
        <f t="array" ref="G87">IFERROR(INDEX('Исходник'!$1:$626,MATCH($A87,'Исходник'!$T:$T,0),MATCH(G$1,'Исходник'!$1:$1,0)))</f>
        <v/>
      </c>
      <c r="H87" s="27">
        <f t="shared" si="1"/>
        <v>0</v>
      </c>
      <c r="I87" s="27" t="str">
        <f t="shared" si="2"/>
        <v/>
      </c>
      <c r="J87" s="1" t="str">
        <f t="array" ref="J87">IFERROR(INDEX('Исходник'!$1:$626,MATCH($A87,'Исходник'!$T:$T,0),MATCH(J$1,'Исходник'!$1:$1,0)))</f>
        <v/>
      </c>
      <c r="K87" s="27" t="str">
        <f t="shared" si="3"/>
        <v/>
      </c>
      <c r="L87" s="1" t="str">
        <f t="array" ref="L87">IFERROR(INDEX('Исходник'!$1:$626,MATCH($A87,'Исходник'!$T:$T,0),MATCH(L$1,'Исходник'!$1:$1,0)))</f>
        <v/>
      </c>
      <c r="M87" s="28">
        <f t="shared" si="4"/>
        <v>0</v>
      </c>
      <c r="N87" s="1" t="str">
        <f t="array" ref="N87">IFERROR(INDEX('Исходник'!$1:$626,MATCH($A87,'Исходник'!$T:$T,0),MATCH(N$1,'Исходник'!$1:$1,0)))</f>
        <v/>
      </c>
      <c r="O87" s="27">
        <f t="shared" si="5"/>
        <v>0</v>
      </c>
      <c r="P87" s="27" t="str">
        <f t="shared" si="6"/>
        <v/>
      </c>
      <c r="Q87" s="1" t="str">
        <f t="array" ref="Q87">IFERROR(INDEX('Исходник'!$1:$626,MATCH($A87,'Исходник'!$T:$T,0),MATCH(Q$1,'Исходник'!$1:$1,0)))</f>
        <v/>
      </c>
      <c r="R87" s="1" t="str">
        <f t="array" ref="R87">IFERROR(INDEX('Исходник'!$1:$626,MATCH($A87,'Исходник'!$T:$T,0),MATCH(R$1,'Исходник'!$1:$1,0)))</f>
        <v/>
      </c>
      <c r="S87" s="27">
        <f t="shared" si="7"/>
        <v>0</v>
      </c>
      <c r="T87" s="27" t="str">
        <f t="shared" si="8"/>
        <v/>
      </c>
      <c r="U87" s="1" t="str">
        <f t="array" ref="U87">IFERROR(INDEX('Исходник'!$1:$626,MATCH($A87,'Исходник'!$T:$T,0),MATCH(U$1,'Исходник'!$1:$1,0)))</f>
        <v/>
      </c>
      <c r="V87" s="27" t="str">
        <f t="shared" si="9"/>
        <v/>
      </c>
      <c r="W87" s="1" t="str">
        <f t="array" ref="W87">IFERROR(INDEX('Исходник'!$1:$626,MATCH($A87,'Исходник'!$T:$T,0),MATCH(W$1,'Исходник'!$1:$1,0)))</f>
        <v/>
      </c>
      <c r="X87" s="28">
        <f t="shared" si="10"/>
        <v>0</v>
      </c>
      <c r="Y87" s="1" t="str">
        <f t="array" ref="Y87">IFERROR(INDEX('Исходник'!$1:$626,MATCH($A87,'Исходник'!$T:$T,0),MATCH(Y$1,'Исходник'!$1:$1,0)))</f>
        <v/>
      </c>
      <c r="Z87" s="27">
        <f t="shared" si="11"/>
        <v>0</v>
      </c>
      <c r="AA87" s="27" t="str">
        <f t="shared" si="12"/>
        <v/>
      </c>
      <c r="AB87" s="1" t="str">
        <f t="array" ref="AB87">IFERROR(INDEX('Исходник'!$1:$626,MATCH($A87,'Исходник'!$T:$T,0),MATCH(AB$1,'Исходник'!$1:$1,0)))</f>
        <v/>
      </c>
      <c r="AC87" s="1" t="str">
        <f t="array" ref="AC87">IFERROR(INDEX('Исходник'!$1:$626,MATCH($A87,'Исходник'!$T:$T,0),MATCH(AC$1,'Исходник'!$1:$1,0)))</f>
        <v/>
      </c>
      <c r="AD87" s="27" t="str">
        <f t="shared" si="13"/>
        <v/>
      </c>
      <c r="AE87" s="1" t="str">
        <f t="array" ref="AE87">IFERROR(INDEX('Исходник'!$1:$626,MATCH($A87,'Исходник'!$T:$T,0),MATCH(AE$1,'Исходник'!$1:$1,0)))</f>
        <v/>
      </c>
      <c r="AF87" s="1" t="str">
        <f t="array" ref="AF87">IFERROR(INDEX('Исходник'!$1:$626,MATCH($A87,'Исходник'!$T:$T,0),MATCH(AF$1,'Исходник'!$1:$1,0)))</f>
        <v/>
      </c>
      <c r="AG87" s="27" t="str">
        <f t="shared" si="14"/>
        <v/>
      </c>
      <c r="AH87" s="1" t="str">
        <f t="array" ref="AH87">IFERROR(INDEX('Исходник'!$1:$626,MATCH($A87,'Исходник'!$T:$T,0),MATCH(AH$1,'Исходник'!$1:$1,0)))</f>
        <v/>
      </c>
      <c r="AI87" s="1" t="str">
        <f t="array" ref="AI87">IFERROR(INDEX('Исходник'!$1:$626,MATCH($A87,'Исходник'!$T:$T,0),MATCH(AI$1,'Исходник'!$1:$1,0)))</f>
        <v/>
      </c>
      <c r="AJ87" s="18">
        <f t="shared" si="15"/>
        <v>0</v>
      </c>
    </row>
    <row r="88" ht="15.75" customHeight="1">
      <c r="A88" s="27"/>
      <c r="B88" s="1" t="str">
        <f t="array" ref="B88">IFERROR(INDEX('Исходник'!$1:$626,MATCH($A88,'Исходник'!$T:$T,0),MATCH(B$1,'Исходник'!$1:$1,0)))</f>
        <v/>
      </c>
      <c r="C88" s="1" t="str">
        <f t="array" ref="C88">IFERROR(INDEX('Исходник'!$1:$626,MATCH($A88,'Исходник'!$T:$T,0),MATCH(C$1,'Исходник'!$1:$1,0)))</f>
        <v/>
      </c>
      <c r="D88" s="1" t="str">
        <f t="array" ref="D88">IFERROR(INDEX('Исходник'!$1:$626,MATCH($A88,'Исходник'!$T:$T,0),MATCH(D$1,'Исходник'!$1:$1,0)))</f>
        <v/>
      </c>
      <c r="E88" s="1" t="str">
        <f t="array" ref="E88">IFERROR(INDEX('Исходник'!$1:$626,MATCH($A88,'Исходник'!$T:$T,0),MATCH(E$1,'Исходник'!$1:$1,0)))</f>
        <v/>
      </c>
      <c r="F88" s="1" t="str">
        <f t="array" ref="F88">IFERROR(INDEX('Исходник'!$1:$626,MATCH($A88,'Исходник'!$T:$T,0),MATCH(F$1,'Исходник'!$1:$1,0)))</f>
        <v/>
      </c>
      <c r="G88" s="1" t="str">
        <f t="array" ref="G88">IFERROR(INDEX('Исходник'!$1:$626,MATCH($A88,'Исходник'!$T:$T,0),MATCH(G$1,'Исходник'!$1:$1,0)))</f>
        <v/>
      </c>
      <c r="H88" s="27">
        <f t="shared" si="1"/>
        <v>0</v>
      </c>
      <c r="I88" s="27" t="str">
        <f t="shared" si="2"/>
        <v/>
      </c>
      <c r="J88" s="1" t="str">
        <f t="array" ref="J88">IFERROR(INDEX('Исходник'!$1:$626,MATCH($A88,'Исходник'!$T:$T,0),MATCH(J$1,'Исходник'!$1:$1,0)))</f>
        <v/>
      </c>
      <c r="K88" s="27" t="str">
        <f t="shared" si="3"/>
        <v/>
      </c>
      <c r="L88" s="1" t="str">
        <f t="array" ref="L88">IFERROR(INDEX('Исходник'!$1:$626,MATCH($A88,'Исходник'!$T:$T,0),MATCH(L$1,'Исходник'!$1:$1,0)))</f>
        <v/>
      </c>
      <c r="M88" s="28">
        <f t="shared" si="4"/>
        <v>0</v>
      </c>
      <c r="N88" s="1" t="str">
        <f t="array" ref="N88">IFERROR(INDEX('Исходник'!$1:$626,MATCH($A88,'Исходник'!$T:$T,0),MATCH(N$1,'Исходник'!$1:$1,0)))</f>
        <v/>
      </c>
      <c r="O88" s="27">
        <f t="shared" si="5"/>
        <v>0</v>
      </c>
      <c r="P88" s="27" t="str">
        <f t="shared" si="6"/>
        <v/>
      </c>
      <c r="Q88" s="1" t="str">
        <f t="array" ref="Q88">IFERROR(INDEX('Исходник'!$1:$626,MATCH($A88,'Исходник'!$T:$T,0),MATCH(Q$1,'Исходник'!$1:$1,0)))</f>
        <v/>
      </c>
      <c r="R88" s="1" t="str">
        <f t="array" ref="R88">IFERROR(INDEX('Исходник'!$1:$626,MATCH($A88,'Исходник'!$T:$T,0),MATCH(R$1,'Исходник'!$1:$1,0)))</f>
        <v/>
      </c>
      <c r="S88" s="27">
        <f t="shared" si="7"/>
        <v>0</v>
      </c>
      <c r="T88" s="27" t="str">
        <f t="shared" si="8"/>
        <v/>
      </c>
      <c r="U88" s="1" t="str">
        <f t="array" ref="U88">IFERROR(INDEX('Исходник'!$1:$626,MATCH($A88,'Исходник'!$T:$T,0),MATCH(U$1,'Исходник'!$1:$1,0)))</f>
        <v/>
      </c>
      <c r="V88" s="27" t="str">
        <f t="shared" si="9"/>
        <v/>
      </c>
      <c r="W88" s="1" t="str">
        <f t="array" ref="W88">IFERROR(INDEX('Исходник'!$1:$626,MATCH($A88,'Исходник'!$T:$T,0),MATCH(W$1,'Исходник'!$1:$1,0)))</f>
        <v/>
      </c>
      <c r="X88" s="28">
        <f t="shared" si="10"/>
        <v>0</v>
      </c>
      <c r="Y88" s="1" t="str">
        <f t="array" ref="Y88">IFERROR(INDEX('Исходник'!$1:$626,MATCH($A88,'Исходник'!$T:$T,0),MATCH(Y$1,'Исходник'!$1:$1,0)))</f>
        <v/>
      </c>
      <c r="Z88" s="27">
        <f t="shared" si="11"/>
        <v>0</v>
      </c>
      <c r="AA88" s="27" t="str">
        <f t="shared" si="12"/>
        <v/>
      </c>
      <c r="AB88" s="1" t="str">
        <f t="array" ref="AB88">IFERROR(INDEX('Исходник'!$1:$626,MATCH($A88,'Исходник'!$T:$T,0),MATCH(AB$1,'Исходник'!$1:$1,0)))</f>
        <v/>
      </c>
      <c r="AC88" s="1" t="str">
        <f t="array" ref="AC88">IFERROR(INDEX('Исходник'!$1:$626,MATCH($A88,'Исходник'!$T:$T,0),MATCH(AC$1,'Исходник'!$1:$1,0)))</f>
        <v/>
      </c>
      <c r="AD88" s="27" t="str">
        <f t="shared" si="13"/>
        <v/>
      </c>
      <c r="AE88" s="1" t="str">
        <f t="array" ref="AE88">IFERROR(INDEX('Исходник'!$1:$626,MATCH($A88,'Исходник'!$T:$T,0),MATCH(AE$1,'Исходник'!$1:$1,0)))</f>
        <v/>
      </c>
      <c r="AF88" s="1" t="str">
        <f t="array" ref="AF88">IFERROR(INDEX('Исходник'!$1:$626,MATCH($A88,'Исходник'!$T:$T,0),MATCH(AF$1,'Исходник'!$1:$1,0)))</f>
        <v/>
      </c>
      <c r="AG88" s="27" t="str">
        <f t="shared" si="14"/>
        <v/>
      </c>
      <c r="AH88" s="1" t="str">
        <f t="array" ref="AH88">IFERROR(INDEX('Исходник'!$1:$626,MATCH($A88,'Исходник'!$T:$T,0),MATCH(AH$1,'Исходник'!$1:$1,0)))</f>
        <v/>
      </c>
      <c r="AI88" s="1" t="str">
        <f t="array" ref="AI88">IFERROR(INDEX('Исходник'!$1:$626,MATCH($A88,'Исходник'!$T:$T,0),MATCH(AI$1,'Исходник'!$1:$1,0)))</f>
        <v/>
      </c>
      <c r="AJ88" s="18">
        <f t="shared" si="15"/>
        <v>0</v>
      </c>
    </row>
    <row r="89" ht="15.75" customHeight="1">
      <c r="A89" s="27"/>
      <c r="B89" s="1" t="str">
        <f t="array" ref="B89">IFERROR(INDEX('Исходник'!$1:$626,MATCH($A89,'Исходник'!$T:$T,0),MATCH(B$1,'Исходник'!$1:$1,0)))</f>
        <v/>
      </c>
      <c r="C89" s="1" t="str">
        <f t="array" ref="C89">IFERROR(INDEX('Исходник'!$1:$626,MATCH($A89,'Исходник'!$T:$T,0),MATCH(C$1,'Исходник'!$1:$1,0)))</f>
        <v/>
      </c>
      <c r="D89" s="1" t="str">
        <f t="array" ref="D89">IFERROR(INDEX('Исходник'!$1:$626,MATCH($A89,'Исходник'!$T:$T,0),MATCH(D$1,'Исходник'!$1:$1,0)))</f>
        <v/>
      </c>
      <c r="E89" s="1" t="str">
        <f t="array" ref="E89">IFERROR(INDEX('Исходник'!$1:$626,MATCH($A89,'Исходник'!$T:$T,0),MATCH(E$1,'Исходник'!$1:$1,0)))</f>
        <v/>
      </c>
      <c r="F89" s="1" t="str">
        <f t="array" ref="F89">IFERROR(INDEX('Исходник'!$1:$626,MATCH($A89,'Исходник'!$T:$T,0),MATCH(F$1,'Исходник'!$1:$1,0)))</f>
        <v/>
      </c>
      <c r="G89" s="1" t="str">
        <f t="array" ref="G89">IFERROR(INDEX('Исходник'!$1:$626,MATCH($A89,'Исходник'!$T:$T,0),MATCH(G$1,'Исходник'!$1:$1,0)))</f>
        <v/>
      </c>
      <c r="H89" s="27">
        <f t="shared" si="1"/>
        <v>0</v>
      </c>
      <c r="I89" s="27" t="str">
        <f t="shared" si="2"/>
        <v/>
      </c>
      <c r="J89" s="1" t="str">
        <f t="array" ref="J89">IFERROR(INDEX('Исходник'!$1:$626,MATCH($A89,'Исходник'!$T:$T,0),MATCH(J$1,'Исходник'!$1:$1,0)))</f>
        <v/>
      </c>
      <c r="K89" s="27" t="str">
        <f t="shared" si="3"/>
        <v/>
      </c>
      <c r="L89" s="1" t="str">
        <f t="array" ref="L89">IFERROR(INDEX('Исходник'!$1:$626,MATCH($A89,'Исходник'!$T:$T,0),MATCH(L$1,'Исходник'!$1:$1,0)))</f>
        <v/>
      </c>
      <c r="M89" s="28">
        <f t="shared" si="4"/>
        <v>0</v>
      </c>
      <c r="N89" s="1" t="str">
        <f t="array" ref="N89">IFERROR(INDEX('Исходник'!$1:$626,MATCH($A89,'Исходник'!$T:$T,0),MATCH(N$1,'Исходник'!$1:$1,0)))</f>
        <v/>
      </c>
      <c r="O89" s="27">
        <f t="shared" si="5"/>
        <v>0</v>
      </c>
      <c r="P89" s="27" t="str">
        <f t="shared" si="6"/>
        <v/>
      </c>
      <c r="Q89" s="1" t="str">
        <f t="array" ref="Q89">IFERROR(INDEX('Исходник'!$1:$626,MATCH($A89,'Исходник'!$T:$T,0),MATCH(Q$1,'Исходник'!$1:$1,0)))</f>
        <v/>
      </c>
      <c r="R89" s="1" t="str">
        <f t="array" ref="R89">IFERROR(INDEX('Исходник'!$1:$626,MATCH($A89,'Исходник'!$T:$T,0),MATCH(R$1,'Исходник'!$1:$1,0)))</f>
        <v/>
      </c>
      <c r="S89" s="27">
        <f t="shared" si="7"/>
        <v>0</v>
      </c>
      <c r="T89" s="27" t="str">
        <f t="shared" si="8"/>
        <v/>
      </c>
      <c r="U89" s="1" t="str">
        <f t="array" ref="U89">IFERROR(INDEX('Исходник'!$1:$626,MATCH($A89,'Исходник'!$T:$T,0),MATCH(U$1,'Исходник'!$1:$1,0)))</f>
        <v/>
      </c>
      <c r="V89" s="27" t="str">
        <f t="shared" si="9"/>
        <v/>
      </c>
      <c r="W89" s="1" t="str">
        <f t="array" ref="W89">IFERROR(INDEX('Исходник'!$1:$626,MATCH($A89,'Исходник'!$T:$T,0),MATCH(W$1,'Исходник'!$1:$1,0)))</f>
        <v/>
      </c>
      <c r="X89" s="28">
        <f t="shared" si="10"/>
        <v>0</v>
      </c>
      <c r="Y89" s="1" t="str">
        <f t="array" ref="Y89">IFERROR(INDEX('Исходник'!$1:$626,MATCH($A89,'Исходник'!$T:$T,0),MATCH(Y$1,'Исходник'!$1:$1,0)))</f>
        <v/>
      </c>
      <c r="Z89" s="27">
        <f t="shared" si="11"/>
        <v>0</v>
      </c>
      <c r="AA89" s="27" t="str">
        <f t="shared" si="12"/>
        <v/>
      </c>
      <c r="AB89" s="1" t="str">
        <f t="array" ref="AB89">IFERROR(INDEX('Исходник'!$1:$626,MATCH($A89,'Исходник'!$T:$T,0),MATCH(AB$1,'Исходник'!$1:$1,0)))</f>
        <v/>
      </c>
      <c r="AC89" s="1" t="str">
        <f t="array" ref="AC89">IFERROR(INDEX('Исходник'!$1:$626,MATCH($A89,'Исходник'!$T:$T,0),MATCH(AC$1,'Исходник'!$1:$1,0)))</f>
        <v/>
      </c>
      <c r="AD89" s="27" t="str">
        <f t="shared" si="13"/>
        <v/>
      </c>
      <c r="AE89" s="1" t="str">
        <f t="array" ref="AE89">IFERROR(INDEX('Исходник'!$1:$626,MATCH($A89,'Исходник'!$T:$T,0),MATCH(AE$1,'Исходник'!$1:$1,0)))</f>
        <v/>
      </c>
      <c r="AF89" s="1" t="str">
        <f t="array" ref="AF89">IFERROR(INDEX('Исходник'!$1:$626,MATCH($A89,'Исходник'!$T:$T,0),MATCH(AF$1,'Исходник'!$1:$1,0)))</f>
        <v/>
      </c>
      <c r="AG89" s="27" t="str">
        <f t="shared" si="14"/>
        <v/>
      </c>
      <c r="AH89" s="1" t="str">
        <f t="array" ref="AH89">IFERROR(INDEX('Исходник'!$1:$626,MATCH($A89,'Исходник'!$T:$T,0),MATCH(AH$1,'Исходник'!$1:$1,0)))</f>
        <v/>
      </c>
      <c r="AI89" s="1" t="str">
        <f t="array" ref="AI89">IFERROR(INDEX('Исходник'!$1:$626,MATCH($A89,'Исходник'!$T:$T,0),MATCH(AI$1,'Исходник'!$1:$1,0)))</f>
        <v/>
      </c>
      <c r="AJ89" s="18">
        <f t="shared" si="15"/>
        <v>0</v>
      </c>
    </row>
    <row r="90" ht="15.75" customHeight="1">
      <c r="A90" s="27"/>
      <c r="B90" s="1" t="str">
        <f t="array" ref="B90">IFERROR(INDEX('Исходник'!$1:$626,MATCH($A90,'Исходник'!$T:$T,0),MATCH(B$1,'Исходник'!$1:$1,0)))</f>
        <v/>
      </c>
      <c r="C90" s="1" t="str">
        <f t="array" ref="C90">IFERROR(INDEX('Исходник'!$1:$626,MATCH($A90,'Исходник'!$T:$T,0),MATCH(C$1,'Исходник'!$1:$1,0)))</f>
        <v/>
      </c>
      <c r="D90" s="1" t="str">
        <f t="array" ref="D90">IFERROR(INDEX('Исходник'!$1:$626,MATCH($A90,'Исходник'!$T:$T,0),MATCH(D$1,'Исходник'!$1:$1,0)))</f>
        <v/>
      </c>
      <c r="E90" s="1" t="str">
        <f t="array" ref="E90">IFERROR(INDEX('Исходник'!$1:$626,MATCH($A90,'Исходник'!$T:$T,0),MATCH(E$1,'Исходник'!$1:$1,0)))</f>
        <v/>
      </c>
      <c r="F90" s="1" t="str">
        <f t="array" ref="F90">IFERROR(INDEX('Исходник'!$1:$626,MATCH($A90,'Исходник'!$T:$T,0),MATCH(F$1,'Исходник'!$1:$1,0)))</f>
        <v/>
      </c>
      <c r="G90" s="1" t="str">
        <f t="array" ref="G90">IFERROR(INDEX('Исходник'!$1:$626,MATCH($A90,'Исходник'!$T:$T,0),MATCH(G$1,'Исходник'!$1:$1,0)))</f>
        <v/>
      </c>
      <c r="H90" s="27">
        <f t="shared" si="1"/>
        <v>0</v>
      </c>
      <c r="I90" s="27" t="str">
        <f t="shared" si="2"/>
        <v/>
      </c>
      <c r="J90" s="1" t="str">
        <f t="array" ref="J90">IFERROR(INDEX('Исходник'!$1:$626,MATCH($A90,'Исходник'!$T:$T,0),MATCH(J$1,'Исходник'!$1:$1,0)))</f>
        <v/>
      </c>
      <c r="K90" s="27" t="str">
        <f t="shared" si="3"/>
        <v/>
      </c>
      <c r="L90" s="1" t="str">
        <f t="array" ref="L90">IFERROR(INDEX('Исходник'!$1:$626,MATCH($A90,'Исходник'!$T:$T,0),MATCH(L$1,'Исходник'!$1:$1,0)))</f>
        <v/>
      </c>
      <c r="M90" s="28">
        <f t="shared" si="4"/>
        <v>0</v>
      </c>
      <c r="N90" s="1" t="str">
        <f t="array" ref="N90">IFERROR(INDEX('Исходник'!$1:$626,MATCH($A90,'Исходник'!$T:$T,0),MATCH(N$1,'Исходник'!$1:$1,0)))</f>
        <v/>
      </c>
      <c r="O90" s="27">
        <f t="shared" si="5"/>
        <v>0</v>
      </c>
      <c r="P90" s="27" t="str">
        <f t="shared" si="6"/>
        <v/>
      </c>
      <c r="Q90" s="1" t="str">
        <f t="array" ref="Q90">IFERROR(INDEX('Исходник'!$1:$626,MATCH($A90,'Исходник'!$T:$T,0),MATCH(Q$1,'Исходник'!$1:$1,0)))</f>
        <v/>
      </c>
      <c r="R90" s="1" t="str">
        <f t="array" ref="R90">IFERROR(INDEX('Исходник'!$1:$626,MATCH($A90,'Исходник'!$T:$T,0),MATCH(R$1,'Исходник'!$1:$1,0)))</f>
        <v/>
      </c>
      <c r="S90" s="27">
        <f t="shared" si="7"/>
        <v>0</v>
      </c>
      <c r="T90" s="27" t="str">
        <f t="shared" si="8"/>
        <v/>
      </c>
      <c r="U90" s="1" t="str">
        <f t="array" ref="U90">IFERROR(INDEX('Исходник'!$1:$626,MATCH($A90,'Исходник'!$T:$T,0),MATCH(U$1,'Исходник'!$1:$1,0)))</f>
        <v/>
      </c>
      <c r="V90" s="27" t="str">
        <f t="shared" si="9"/>
        <v/>
      </c>
      <c r="W90" s="1" t="str">
        <f t="array" ref="W90">IFERROR(INDEX('Исходник'!$1:$626,MATCH($A90,'Исходник'!$T:$T,0),MATCH(W$1,'Исходник'!$1:$1,0)))</f>
        <v/>
      </c>
      <c r="X90" s="28">
        <f t="shared" si="10"/>
        <v>0</v>
      </c>
      <c r="Y90" s="1" t="str">
        <f t="array" ref="Y90">IFERROR(INDEX('Исходник'!$1:$626,MATCH($A90,'Исходник'!$T:$T,0),MATCH(Y$1,'Исходник'!$1:$1,0)))</f>
        <v/>
      </c>
      <c r="Z90" s="27">
        <f t="shared" si="11"/>
        <v>0</v>
      </c>
      <c r="AA90" s="27" t="str">
        <f t="shared" si="12"/>
        <v/>
      </c>
      <c r="AB90" s="1" t="str">
        <f t="array" ref="AB90">IFERROR(INDEX('Исходник'!$1:$626,MATCH($A90,'Исходник'!$T:$T,0),MATCH(AB$1,'Исходник'!$1:$1,0)))</f>
        <v/>
      </c>
      <c r="AC90" s="1" t="str">
        <f t="array" ref="AC90">IFERROR(INDEX('Исходник'!$1:$626,MATCH($A90,'Исходник'!$T:$T,0),MATCH(AC$1,'Исходник'!$1:$1,0)))</f>
        <v/>
      </c>
      <c r="AD90" s="27" t="str">
        <f t="shared" si="13"/>
        <v/>
      </c>
      <c r="AE90" s="1" t="str">
        <f t="array" ref="AE90">IFERROR(INDEX('Исходник'!$1:$626,MATCH($A90,'Исходник'!$T:$T,0),MATCH(AE$1,'Исходник'!$1:$1,0)))</f>
        <v/>
      </c>
      <c r="AF90" s="1" t="str">
        <f t="array" ref="AF90">IFERROR(INDEX('Исходник'!$1:$626,MATCH($A90,'Исходник'!$T:$T,0),MATCH(AF$1,'Исходник'!$1:$1,0)))</f>
        <v/>
      </c>
      <c r="AG90" s="27" t="str">
        <f t="shared" si="14"/>
        <v/>
      </c>
      <c r="AH90" s="1" t="str">
        <f t="array" ref="AH90">IFERROR(INDEX('Исходник'!$1:$626,MATCH($A90,'Исходник'!$T:$T,0),MATCH(AH$1,'Исходник'!$1:$1,0)))</f>
        <v/>
      </c>
      <c r="AI90" s="1" t="str">
        <f t="array" ref="AI90">IFERROR(INDEX('Исходник'!$1:$626,MATCH($A90,'Исходник'!$T:$T,0),MATCH(AI$1,'Исходник'!$1:$1,0)))</f>
        <v/>
      </c>
      <c r="AJ90" s="18">
        <f t="shared" si="15"/>
        <v>0</v>
      </c>
    </row>
    <row r="91" ht="15.75" customHeight="1">
      <c r="A91" s="27"/>
      <c r="B91" s="1" t="str">
        <f t="array" ref="B91">IFERROR(INDEX('Исходник'!$1:$626,MATCH($A91,'Исходник'!$T:$T,0),MATCH(B$1,'Исходник'!$1:$1,0)))</f>
        <v/>
      </c>
      <c r="C91" s="1" t="str">
        <f t="array" ref="C91">IFERROR(INDEX('Исходник'!$1:$626,MATCH($A91,'Исходник'!$T:$T,0),MATCH(C$1,'Исходник'!$1:$1,0)))</f>
        <v/>
      </c>
      <c r="D91" s="1" t="str">
        <f t="array" ref="D91">IFERROR(INDEX('Исходник'!$1:$626,MATCH($A91,'Исходник'!$T:$T,0),MATCH(D$1,'Исходник'!$1:$1,0)))</f>
        <v/>
      </c>
      <c r="E91" s="1" t="str">
        <f t="array" ref="E91">IFERROR(INDEX('Исходник'!$1:$626,MATCH($A91,'Исходник'!$T:$T,0),MATCH(E$1,'Исходник'!$1:$1,0)))</f>
        <v/>
      </c>
      <c r="F91" s="1" t="str">
        <f t="array" ref="F91">IFERROR(INDEX('Исходник'!$1:$626,MATCH($A91,'Исходник'!$T:$T,0),MATCH(F$1,'Исходник'!$1:$1,0)))</f>
        <v/>
      </c>
      <c r="G91" s="1" t="str">
        <f t="array" ref="G91">IFERROR(INDEX('Исходник'!$1:$626,MATCH($A91,'Исходник'!$T:$T,0),MATCH(G$1,'Исходник'!$1:$1,0)))</f>
        <v/>
      </c>
      <c r="H91" s="27">
        <f t="shared" si="1"/>
        <v>0</v>
      </c>
      <c r="I91" s="27" t="str">
        <f t="shared" si="2"/>
        <v/>
      </c>
      <c r="J91" s="1" t="str">
        <f t="array" ref="J91">IFERROR(INDEX('Исходник'!$1:$626,MATCH($A91,'Исходник'!$T:$T,0),MATCH(J$1,'Исходник'!$1:$1,0)))</f>
        <v/>
      </c>
      <c r="K91" s="27" t="str">
        <f t="shared" si="3"/>
        <v/>
      </c>
      <c r="L91" s="1" t="str">
        <f t="array" ref="L91">IFERROR(INDEX('Исходник'!$1:$626,MATCH($A91,'Исходник'!$T:$T,0),MATCH(L$1,'Исходник'!$1:$1,0)))</f>
        <v/>
      </c>
      <c r="M91" s="28">
        <f t="shared" si="4"/>
        <v>0</v>
      </c>
      <c r="N91" s="1" t="str">
        <f t="array" ref="N91">IFERROR(INDEX('Исходник'!$1:$626,MATCH($A91,'Исходник'!$T:$T,0),MATCH(N$1,'Исходник'!$1:$1,0)))</f>
        <v/>
      </c>
      <c r="O91" s="27">
        <f t="shared" si="5"/>
        <v>0</v>
      </c>
      <c r="P91" s="27" t="str">
        <f t="shared" si="6"/>
        <v/>
      </c>
      <c r="Q91" s="1" t="str">
        <f t="array" ref="Q91">IFERROR(INDEX('Исходник'!$1:$626,MATCH($A91,'Исходник'!$T:$T,0),MATCH(Q$1,'Исходник'!$1:$1,0)))</f>
        <v/>
      </c>
      <c r="R91" s="1" t="str">
        <f t="array" ref="R91">IFERROR(INDEX('Исходник'!$1:$626,MATCH($A91,'Исходник'!$T:$T,0),MATCH(R$1,'Исходник'!$1:$1,0)))</f>
        <v/>
      </c>
      <c r="S91" s="27">
        <f t="shared" si="7"/>
        <v>0</v>
      </c>
      <c r="T91" s="27" t="str">
        <f t="shared" si="8"/>
        <v/>
      </c>
      <c r="U91" s="1" t="str">
        <f t="array" ref="U91">IFERROR(INDEX('Исходник'!$1:$626,MATCH($A91,'Исходник'!$T:$T,0),MATCH(U$1,'Исходник'!$1:$1,0)))</f>
        <v/>
      </c>
      <c r="V91" s="27" t="str">
        <f t="shared" si="9"/>
        <v/>
      </c>
      <c r="W91" s="1" t="str">
        <f t="array" ref="W91">IFERROR(INDEX('Исходник'!$1:$626,MATCH($A91,'Исходник'!$T:$T,0),MATCH(W$1,'Исходник'!$1:$1,0)))</f>
        <v/>
      </c>
      <c r="X91" s="28">
        <f t="shared" si="10"/>
        <v>0</v>
      </c>
      <c r="Y91" s="1" t="str">
        <f t="array" ref="Y91">IFERROR(INDEX('Исходник'!$1:$626,MATCH($A91,'Исходник'!$T:$T,0),MATCH(Y$1,'Исходник'!$1:$1,0)))</f>
        <v/>
      </c>
      <c r="Z91" s="27">
        <f t="shared" si="11"/>
        <v>0</v>
      </c>
      <c r="AA91" s="27" t="str">
        <f t="shared" si="12"/>
        <v/>
      </c>
      <c r="AB91" s="1" t="str">
        <f t="array" ref="AB91">IFERROR(INDEX('Исходник'!$1:$626,MATCH($A91,'Исходник'!$T:$T,0),MATCH(AB$1,'Исходник'!$1:$1,0)))</f>
        <v/>
      </c>
      <c r="AC91" s="1" t="str">
        <f t="array" ref="AC91">IFERROR(INDEX('Исходник'!$1:$626,MATCH($A91,'Исходник'!$T:$T,0),MATCH(AC$1,'Исходник'!$1:$1,0)))</f>
        <v/>
      </c>
      <c r="AD91" s="27" t="str">
        <f t="shared" si="13"/>
        <v/>
      </c>
      <c r="AE91" s="1" t="str">
        <f t="array" ref="AE91">IFERROR(INDEX('Исходник'!$1:$626,MATCH($A91,'Исходник'!$T:$T,0),MATCH(AE$1,'Исходник'!$1:$1,0)))</f>
        <v/>
      </c>
      <c r="AF91" s="1" t="str">
        <f t="array" ref="AF91">IFERROR(INDEX('Исходник'!$1:$626,MATCH($A91,'Исходник'!$T:$T,0),MATCH(AF$1,'Исходник'!$1:$1,0)))</f>
        <v/>
      </c>
      <c r="AG91" s="27" t="str">
        <f t="shared" si="14"/>
        <v/>
      </c>
      <c r="AH91" s="1" t="str">
        <f t="array" ref="AH91">IFERROR(INDEX('Исходник'!$1:$626,MATCH($A91,'Исходник'!$T:$T,0),MATCH(AH$1,'Исходник'!$1:$1,0)))</f>
        <v/>
      </c>
      <c r="AI91" s="1" t="str">
        <f t="array" ref="AI91">IFERROR(INDEX('Исходник'!$1:$626,MATCH($A91,'Исходник'!$T:$T,0),MATCH(AI$1,'Исходник'!$1:$1,0)))</f>
        <v/>
      </c>
      <c r="AJ91" s="18">
        <f t="shared" si="15"/>
        <v>0</v>
      </c>
    </row>
    <row r="92" ht="15.75" customHeight="1">
      <c r="A92" s="27"/>
      <c r="B92" s="1" t="str">
        <f t="array" ref="B92">IFERROR(INDEX('Исходник'!$1:$626,MATCH($A92,'Исходник'!$T:$T,0),MATCH(B$1,'Исходник'!$1:$1,0)))</f>
        <v/>
      </c>
      <c r="C92" s="1" t="str">
        <f t="array" ref="C92">IFERROR(INDEX('Исходник'!$1:$626,MATCH($A92,'Исходник'!$T:$T,0),MATCH(C$1,'Исходник'!$1:$1,0)))</f>
        <v/>
      </c>
      <c r="D92" s="1" t="str">
        <f t="array" ref="D92">IFERROR(INDEX('Исходник'!$1:$626,MATCH($A92,'Исходник'!$T:$T,0),MATCH(D$1,'Исходник'!$1:$1,0)))</f>
        <v/>
      </c>
      <c r="E92" s="1" t="str">
        <f t="array" ref="E92">IFERROR(INDEX('Исходник'!$1:$626,MATCH($A92,'Исходник'!$T:$T,0),MATCH(E$1,'Исходник'!$1:$1,0)))</f>
        <v/>
      </c>
      <c r="F92" s="1" t="str">
        <f t="array" ref="F92">IFERROR(INDEX('Исходник'!$1:$626,MATCH($A92,'Исходник'!$T:$T,0),MATCH(F$1,'Исходник'!$1:$1,0)))</f>
        <v/>
      </c>
      <c r="G92" s="1" t="str">
        <f t="array" ref="G92">IFERROR(INDEX('Исходник'!$1:$626,MATCH($A92,'Исходник'!$T:$T,0),MATCH(G$1,'Исходник'!$1:$1,0)))</f>
        <v/>
      </c>
      <c r="H92" s="27">
        <f t="shared" si="1"/>
        <v>0</v>
      </c>
      <c r="I92" s="27" t="str">
        <f t="shared" si="2"/>
        <v/>
      </c>
      <c r="J92" s="1" t="str">
        <f t="array" ref="J92">IFERROR(INDEX('Исходник'!$1:$626,MATCH($A92,'Исходник'!$T:$T,0),MATCH(J$1,'Исходник'!$1:$1,0)))</f>
        <v/>
      </c>
      <c r="K92" s="27" t="str">
        <f t="shared" si="3"/>
        <v/>
      </c>
      <c r="L92" s="1" t="str">
        <f t="array" ref="L92">IFERROR(INDEX('Исходник'!$1:$626,MATCH($A92,'Исходник'!$T:$T,0),MATCH(L$1,'Исходник'!$1:$1,0)))</f>
        <v/>
      </c>
      <c r="M92" s="28">
        <f t="shared" si="4"/>
        <v>0</v>
      </c>
      <c r="N92" s="1" t="str">
        <f t="array" ref="N92">IFERROR(INDEX('Исходник'!$1:$626,MATCH($A92,'Исходник'!$T:$T,0),MATCH(N$1,'Исходник'!$1:$1,0)))</f>
        <v/>
      </c>
      <c r="O92" s="27">
        <f t="shared" si="5"/>
        <v>0</v>
      </c>
      <c r="P92" s="27" t="str">
        <f t="shared" si="6"/>
        <v/>
      </c>
      <c r="Q92" s="1" t="str">
        <f t="array" ref="Q92">IFERROR(INDEX('Исходник'!$1:$626,MATCH($A92,'Исходник'!$T:$T,0),MATCH(Q$1,'Исходник'!$1:$1,0)))</f>
        <v/>
      </c>
      <c r="R92" s="1" t="str">
        <f t="array" ref="R92">IFERROR(INDEX('Исходник'!$1:$626,MATCH($A92,'Исходник'!$T:$T,0),MATCH(R$1,'Исходник'!$1:$1,0)))</f>
        <v/>
      </c>
      <c r="S92" s="27">
        <f t="shared" si="7"/>
        <v>0</v>
      </c>
      <c r="T92" s="27" t="str">
        <f t="shared" si="8"/>
        <v/>
      </c>
      <c r="U92" s="1" t="str">
        <f t="array" ref="U92">IFERROR(INDEX('Исходник'!$1:$626,MATCH($A92,'Исходник'!$T:$T,0),MATCH(U$1,'Исходник'!$1:$1,0)))</f>
        <v/>
      </c>
      <c r="V92" s="27" t="str">
        <f t="shared" si="9"/>
        <v/>
      </c>
      <c r="W92" s="1" t="str">
        <f t="array" ref="W92">IFERROR(INDEX('Исходник'!$1:$626,MATCH($A92,'Исходник'!$T:$T,0),MATCH(W$1,'Исходник'!$1:$1,0)))</f>
        <v/>
      </c>
      <c r="X92" s="28">
        <f t="shared" si="10"/>
        <v>0</v>
      </c>
      <c r="Y92" s="1" t="str">
        <f t="array" ref="Y92">IFERROR(INDEX('Исходник'!$1:$626,MATCH($A92,'Исходник'!$T:$T,0),MATCH(Y$1,'Исходник'!$1:$1,0)))</f>
        <v/>
      </c>
      <c r="Z92" s="27">
        <f t="shared" si="11"/>
        <v>0</v>
      </c>
      <c r="AA92" s="27" t="str">
        <f t="shared" si="12"/>
        <v/>
      </c>
      <c r="AB92" s="1" t="str">
        <f t="array" ref="AB92">IFERROR(INDEX('Исходник'!$1:$626,MATCH($A92,'Исходник'!$T:$T,0),MATCH(AB$1,'Исходник'!$1:$1,0)))</f>
        <v/>
      </c>
      <c r="AC92" s="1" t="str">
        <f t="array" ref="AC92">IFERROR(INDEX('Исходник'!$1:$626,MATCH($A92,'Исходник'!$T:$T,0),MATCH(AC$1,'Исходник'!$1:$1,0)))</f>
        <v/>
      </c>
      <c r="AD92" s="27" t="str">
        <f t="shared" si="13"/>
        <v/>
      </c>
      <c r="AE92" s="1" t="str">
        <f t="array" ref="AE92">IFERROR(INDEX('Исходник'!$1:$626,MATCH($A92,'Исходник'!$T:$T,0),MATCH(AE$1,'Исходник'!$1:$1,0)))</f>
        <v/>
      </c>
      <c r="AF92" s="1" t="str">
        <f t="array" ref="AF92">IFERROR(INDEX('Исходник'!$1:$626,MATCH($A92,'Исходник'!$T:$T,0),MATCH(AF$1,'Исходник'!$1:$1,0)))</f>
        <v/>
      </c>
      <c r="AG92" s="27" t="str">
        <f t="shared" si="14"/>
        <v/>
      </c>
      <c r="AH92" s="1" t="str">
        <f t="array" ref="AH92">IFERROR(INDEX('Исходник'!$1:$626,MATCH($A92,'Исходник'!$T:$T,0),MATCH(AH$1,'Исходник'!$1:$1,0)))</f>
        <v/>
      </c>
      <c r="AI92" s="1" t="str">
        <f t="array" ref="AI92">IFERROR(INDEX('Исходник'!$1:$626,MATCH($A92,'Исходник'!$T:$T,0),MATCH(AI$1,'Исходник'!$1:$1,0)))</f>
        <v/>
      </c>
      <c r="AJ92" s="18">
        <f t="shared" si="15"/>
        <v>0</v>
      </c>
    </row>
    <row r="93" ht="15.75" customHeight="1">
      <c r="A93" s="27"/>
      <c r="B93" s="1" t="str">
        <f t="array" ref="B93">IFERROR(INDEX('Исходник'!$1:$626,MATCH($A93,'Исходник'!$T:$T,0),MATCH(B$1,'Исходник'!$1:$1,0)))</f>
        <v/>
      </c>
      <c r="C93" s="1" t="str">
        <f t="array" ref="C93">IFERROR(INDEX('Исходник'!$1:$626,MATCH($A93,'Исходник'!$T:$T,0),MATCH(C$1,'Исходник'!$1:$1,0)))</f>
        <v/>
      </c>
      <c r="D93" s="1" t="str">
        <f t="array" ref="D93">IFERROR(INDEX('Исходник'!$1:$626,MATCH($A93,'Исходник'!$T:$T,0),MATCH(D$1,'Исходник'!$1:$1,0)))</f>
        <v/>
      </c>
      <c r="E93" s="1" t="str">
        <f t="array" ref="E93">IFERROR(INDEX('Исходник'!$1:$626,MATCH($A93,'Исходник'!$T:$T,0),MATCH(E$1,'Исходник'!$1:$1,0)))</f>
        <v/>
      </c>
      <c r="F93" s="1" t="str">
        <f t="array" ref="F93">IFERROR(INDEX('Исходник'!$1:$626,MATCH($A93,'Исходник'!$T:$T,0),MATCH(F$1,'Исходник'!$1:$1,0)))</f>
        <v/>
      </c>
      <c r="G93" s="1" t="str">
        <f t="array" ref="G93">IFERROR(INDEX('Исходник'!$1:$626,MATCH($A93,'Исходник'!$T:$T,0),MATCH(G$1,'Исходник'!$1:$1,0)))</f>
        <v/>
      </c>
      <c r="H93" s="27">
        <f t="shared" si="1"/>
        <v>0</v>
      </c>
      <c r="I93" s="27" t="str">
        <f t="shared" si="2"/>
        <v/>
      </c>
      <c r="J93" s="1" t="str">
        <f t="array" ref="J93">IFERROR(INDEX('Исходник'!$1:$626,MATCH($A93,'Исходник'!$T:$T,0),MATCH(J$1,'Исходник'!$1:$1,0)))</f>
        <v/>
      </c>
      <c r="K93" s="27" t="str">
        <f t="shared" si="3"/>
        <v/>
      </c>
      <c r="L93" s="1" t="str">
        <f t="array" ref="L93">IFERROR(INDEX('Исходник'!$1:$626,MATCH($A93,'Исходник'!$T:$T,0),MATCH(L$1,'Исходник'!$1:$1,0)))</f>
        <v/>
      </c>
      <c r="M93" s="28">
        <f t="shared" si="4"/>
        <v>0</v>
      </c>
      <c r="N93" s="1" t="str">
        <f t="array" ref="N93">IFERROR(INDEX('Исходник'!$1:$626,MATCH($A93,'Исходник'!$T:$T,0),MATCH(N$1,'Исходник'!$1:$1,0)))</f>
        <v/>
      </c>
      <c r="O93" s="27">
        <f t="shared" si="5"/>
        <v>0</v>
      </c>
      <c r="P93" s="27" t="str">
        <f t="shared" si="6"/>
        <v/>
      </c>
      <c r="Q93" s="1" t="str">
        <f t="array" ref="Q93">IFERROR(INDEX('Исходник'!$1:$626,MATCH($A93,'Исходник'!$T:$T,0),MATCH(Q$1,'Исходник'!$1:$1,0)))</f>
        <v/>
      </c>
      <c r="R93" s="1" t="str">
        <f t="array" ref="R93">IFERROR(INDEX('Исходник'!$1:$626,MATCH($A93,'Исходник'!$T:$T,0),MATCH(R$1,'Исходник'!$1:$1,0)))</f>
        <v/>
      </c>
      <c r="S93" s="27">
        <f t="shared" si="7"/>
        <v>0</v>
      </c>
      <c r="T93" s="27" t="str">
        <f t="shared" si="8"/>
        <v/>
      </c>
      <c r="U93" s="1" t="str">
        <f t="array" ref="U93">IFERROR(INDEX('Исходник'!$1:$626,MATCH($A93,'Исходник'!$T:$T,0),MATCH(U$1,'Исходник'!$1:$1,0)))</f>
        <v/>
      </c>
      <c r="V93" s="27" t="str">
        <f t="shared" si="9"/>
        <v/>
      </c>
      <c r="W93" s="1" t="str">
        <f t="array" ref="W93">IFERROR(INDEX('Исходник'!$1:$626,MATCH($A93,'Исходник'!$T:$T,0),MATCH(W$1,'Исходник'!$1:$1,0)))</f>
        <v/>
      </c>
      <c r="X93" s="28">
        <f t="shared" si="10"/>
        <v>0</v>
      </c>
      <c r="Y93" s="1" t="str">
        <f t="array" ref="Y93">IFERROR(INDEX('Исходник'!$1:$626,MATCH($A93,'Исходник'!$T:$T,0),MATCH(Y$1,'Исходник'!$1:$1,0)))</f>
        <v/>
      </c>
      <c r="Z93" s="27">
        <f t="shared" si="11"/>
        <v>0</v>
      </c>
      <c r="AA93" s="27" t="str">
        <f t="shared" si="12"/>
        <v/>
      </c>
      <c r="AB93" s="1" t="str">
        <f t="array" ref="AB93">IFERROR(INDEX('Исходник'!$1:$626,MATCH($A93,'Исходник'!$T:$T,0),MATCH(AB$1,'Исходник'!$1:$1,0)))</f>
        <v/>
      </c>
      <c r="AC93" s="1" t="str">
        <f t="array" ref="AC93">IFERROR(INDEX('Исходник'!$1:$626,MATCH($A93,'Исходник'!$T:$T,0),MATCH(AC$1,'Исходник'!$1:$1,0)))</f>
        <v/>
      </c>
      <c r="AD93" s="27" t="str">
        <f t="shared" si="13"/>
        <v/>
      </c>
      <c r="AE93" s="1" t="str">
        <f t="array" ref="AE93">IFERROR(INDEX('Исходник'!$1:$626,MATCH($A93,'Исходник'!$T:$T,0),MATCH(AE$1,'Исходник'!$1:$1,0)))</f>
        <v/>
      </c>
      <c r="AF93" s="1" t="str">
        <f t="array" ref="AF93">IFERROR(INDEX('Исходник'!$1:$626,MATCH($A93,'Исходник'!$T:$T,0),MATCH(AF$1,'Исходник'!$1:$1,0)))</f>
        <v/>
      </c>
      <c r="AG93" s="27" t="str">
        <f t="shared" si="14"/>
        <v/>
      </c>
      <c r="AH93" s="1" t="str">
        <f t="array" ref="AH93">IFERROR(INDEX('Исходник'!$1:$626,MATCH($A93,'Исходник'!$T:$T,0),MATCH(AH$1,'Исходник'!$1:$1,0)))</f>
        <v/>
      </c>
      <c r="AI93" s="1" t="str">
        <f t="array" ref="AI93">IFERROR(INDEX('Исходник'!$1:$626,MATCH($A93,'Исходник'!$T:$T,0),MATCH(AI$1,'Исходник'!$1:$1,0)))</f>
        <v/>
      </c>
      <c r="AJ93" s="18">
        <f t="shared" si="15"/>
        <v>0</v>
      </c>
    </row>
    <row r="94" ht="15.75" customHeight="1">
      <c r="A94" s="27"/>
      <c r="B94" s="1" t="str">
        <f t="array" ref="B94">IFERROR(INDEX('Исходник'!$1:$626,MATCH($A94,'Исходник'!$T:$T,0),MATCH(B$1,'Исходник'!$1:$1,0)))</f>
        <v/>
      </c>
      <c r="C94" s="1" t="str">
        <f t="array" ref="C94">IFERROR(INDEX('Исходник'!$1:$626,MATCH($A94,'Исходник'!$T:$T,0),MATCH(C$1,'Исходник'!$1:$1,0)))</f>
        <v/>
      </c>
      <c r="D94" s="1" t="str">
        <f t="array" ref="D94">IFERROR(INDEX('Исходник'!$1:$626,MATCH($A94,'Исходник'!$T:$T,0),MATCH(D$1,'Исходник'!$1:$1,0)))</f>
        <v/>
      </c>
      <c r="E94" s="1" t="str">
        <f t="array" ref="E94">IFERROR(INDEX('Исходник'!$1:$626,MATCH($A94,'Исходник'!$T:$T,0),MATCH(E$1,'Исходник'!$1:$1,0)))</f>
        <v/>
      </c>
      <c r="F94" s="1" t="str">
        <f t="array" ref="F94">IFERROR(INDEX('Исходник'!$1:$626,MATCH($A94,'Исходник'!$T:$T,0),MATCH(F$1,'Исходник'!$1:$1,0)))</f>
        <v/>
      </c>
      <c r="G94" s="1" t="str">
        <f t="array" ref="G94">IFERROR(INDEX('Исходник'!$1:$626,MATCH($A94,'Исходник'!$T:$T,0),MATCH(G$1,'Исходник'!$1:$1,0)))</f>
        <v/>
      </c>
      <c r="H94" s="27">
        <f t="shared" si="1"/>
        <v>0</v>
      </c>
      <c r="I94" s="27" t="str">
        <f t="shared" si="2"/>
        <v/>
      </c>
      <c r="J94" s="1" t="str">
        <f t="array" ref="J94">IFERROR(INDEX('Исходник'!$1:$626,MATCH($A94,'Исходник'!$T:$T,0),MATCH(J$1,'Исходник'!$1:$1,0)))</f>
        <v/>
      </c>
      <c r="K94" s="27" t="str">
        <f t="shared" si="3"/>
        <v/>
      </c>
      <c r="L94" s="1" t="str">
        <f t="array" ref="L94">IFERROR(INDEX('Исходник'!$1:$626,MATCH($A94,'Исходник'!$T:$T,0),MATCH(L$1,'Исходник'!$1:$1,0)))</f>
        <v/>
      </c>
      <c r="M94" s="28">
        <f t="shared" si="4"/>
        <v>0</v>
      </c>
      <c r="N94" s="1" t="str">
        <f t="array" ref="N94">IFERROR(INDEX('Исходник'!$1:$626,MATCH($A94,'Исходник'!$T:$T,0),MATCH(N$1,'Исходник'!$1:$1,0)))</f>
        <v/>
      </c>
      <c r="O94" s="27">
        <f t="shared" si="5"/>
        <v>0</v>
      </c>
      <c r="P94" s="27" t="str">
        <f t="shared" si="6"/>
        <v/>
      </c>
      <c r="Q94" s="1" t="str">
        <f t="array" ref="Q94">IFERROR(INDEX('Исходник'!$1:$626,MATCH($A94,'Исходник'!$T:$T,0),MATCH(Q$1,'Исходник'!$1:$1,0)))</f>
        <v/>
      </c>
      <c r="R94" s="1" t="str">
        <f t="array" ref="R94">IFERROR(INDEX('Исходник'!$1:$626,MATCH($A94,'Исходник'!$T:$T,0),MATCH(R$1,'Исходник'!$1:$1,0)))</f>
        <v/>
      </c>
      <c r="S94" s="27">
        <f t="shared" si="7"/>
        <v>0</v>
      </c>
      <c r="T94" s="27" t="str">
        <f t="shared" si="8"/>
        <v/>
      </c>
      <c r="U94" s="1" t="str">
        <f t="array" ref="U94">IFERROR(INDEX('Исходник'!$1:$626,MATCH($A94,'Исходник'!$T:$T,0),MATCH(U$1,'Исходник'!$1:$1,0)))</f>
        <v/>
      </c>
      <c r="V94" s="27" t="str">
        <f t="shared" si="9"/>
        <v/>
      </c>
      <c r="W94" s="1" t="str">
        <f t="array" ref="W94">IFERROR(INDEX('Исходник'!$1:$626,MATCH($A94,'Исходник'!$T:$T,0),MATCH(W$1,'Исходник'!$1:$1,0)))</f>
        <v/>
      </c>
      <c r="X94" s="28">
        <f t="shared" si="10"/>
        <v>0</v>
      </c>
      <c r="Y94" s="1" t="str">
        <f t="array" ref="Y94">IFERROR(INDEX('Исходник'!$1:$626,MATCH($A94,'Исходник'!$T:$T,0),MATCH(Y$1,'Исходник'!$1:$1,0)))</f>
        <v/>
      </c>
      <c r="Z94" s="27">
        <f t="shared" si="11"/>
        <v>0</v>
      </c>
      <c r="AA94" s="27" t="str">
        <f t="shared" si="12"/>
        <v/>
      </c>
      <c r="AB94" s="1" t="str">
        <f t="array" ref="AB94">IFERROR(INDEX('Исходник'!$1:$626,MATCH($A94,'Исходник'!$T:$T,0),MATCH(AB$1,'Исходник'!$1:$1,0)))</f>
        <v/>
      </c>
      <c r="AC94" s="1" t="str">
        <f t="array" ref="AC94">IFERROR(INDEX('Исходник'!$1:$626,MATCH($A94,'Исходник'!$T:$T,0),MATCH(AC$1,'Исходник'!$1:$1,0)))</f>
        <v/>
      </c>
      <c r="AD94" s="27" t="str">
        <f t="shared" si="13"/>
        <v/>
      </c>
      <c r="AE94" s="1" t="str">
        <f t="array" ref="AE94">IFERROR(INDEX('Исходник'!$1:$626,MATCH($A94,'Исходник'!$T:$T,0),MATCH(AE$1,'Исходник'!$1:$1,0)))</f>
        <v/>
      </c>
      <c r="AF94" s="1" t="str">
        <f t="array" ref="AF94">IFERROR(INDEX('Исходник'!$1:$626,MATCH($A94,'Исходник'!$T:$T,0),MATCH(AF$1,'Исходник'!$1:$1,0)))</f>
        <v/>
      </c>
      <c r="AG94" s="27" t="str">
        <f t="shared" si="14"/>
        <v/>
      </c>
      <c r="AH94" s="1" t="str">
        <f t="array" ref="AH94">IFERROR(INDEX('Исходник'!$1:$626,MATCH($A94,'Исходник'!$T:$T,0),MATCH(AH$1,'Исходник'!$1:$1,0)))</f>
        <v/>
      </c>
      <c r="AI94" s="1" t="str">
        <f t="array" ref="AI94">IFERROR(INDEX('Исходник'!$1:$626,MATCH($A94,'Исходник'!$T:$T,0),MATCH(AI$1,'Исходник'!$1:$1,0)))</f>
        <v/>
      </c>
      <c r="AJ94" s="18">
        <f t="shared" si="15"/>
        <v>0</v>
      </c>
    </row>
    <row r="95" ht="15.75" customHeight="1">
      <c r="A95" s="27"/>
      <c r="B95" s="1" t="str">
        <f t="array" ref="B95">IFERROR(INDEX('Исходник'!$1:$626,MATCH($A95,'Исходник'!$T:$T,0),MATCH(B$1,'Исходник'!$1:$1,0)))</f>
        <v/>
      </c>
      <c r="C95" s="1" t="str">
        <f t="array" ref="C95">IFERROR(INDEX('Исходник'!$1:$626,MATCH($A95,'Исходник'!$T:$T,0),MATCH(C$1,'Исходник'!$1:$1,0)))</f>
        <v/>
      </c>
      <c r="D95" s="1" t="str">
        <f t="array" ref="D95">IFERROR(INDEX('Исходник'!$1:$626,MATCH($A95,'Исходник'!$T:$T,0),MATCH(D$1,'Исходник'!$1:$1,0)))</f>
        <v/>
      </c>
      <c r="E95" s="1" t="str">
        <f t="array" ref="E95">IFERROR(INDEX('Исходник'!$1:$626,MATCH($A95,'Исходник'!$T:$T,0),MATCH(E$1,'Исходник'!$1:$1,0)))</f>
        <v/>
      </c>
      <c r="F95" s="1" t="str">
        <f t="array" ref="F95">IFERROR(INDEX('Исходник'!$1:$626,MATCH($A95,'Исходник'!$T:$T,0),MATCH(F$1,'Исходник'!$1:$1,0)))</f>
        <v/>
      </c>
      <c r="G95" s="1" t="str">
        <f t="array" ref="G95">IFERROR(INDEX('Исходник'!$1:$626,MATCH($A95,'Исходник'!$T:$T,0),MATCH(G$1,'Исходник'!$1:$1,0)))</f>
        <v/>
      </c>
      <c r="H95" s="27">
        <f t="shared" si="1"/>
        <v>0</v>
      </c>
      <c r="I95" s="27" t="str">
        <f t="shared" si="2"/>
        <v/>
      </c>
      <c r="J95" s="1" t="str">
        <f t="array" ref="J95">IFERROR(INDEX('Исходник'!$1:$626,MATCH($A95,'Исходник'!$T:$T,0),MATCH(J$1,'Исходник'!$1:$1,0)))</f>
        <v/>
      </c>
      <c r="K95" s="27" t="str">
        <f t="shared" si="3"/>
        <v/>
      </c>
      <c r="L95" s="1" t="str">
        <f t="array" ref="L95">IFERROR(INDEX('Исходник'!$1:$626,MATCH($A95,'Исходник'!$T:$T,0),MATCH(L$1,'Исходник'!$1:$1,0)))</f>
        <v/>
      </c>
      <c r="M95" s="28">
        <f t="shared" si="4"/>
        <v>0</v>
      </c>
      <c r="N95" s="1" t="str">
        <f t="array" ref="N95">IFERROR(INDEX('Исходник'!$1:$626,MATCH($A95,'Исходник'!$T:$T,0),MATCH(N$1,'Исходник'!$1:$1,0)))</f>
        <v/>
      </c>
      <c r="O95" s="27">
        <f t="shared" si="5"/>
        <v>0</v>
      </c>
      <c r="P95" s="27" t="str">
        <f t="shared" si="6"/>
        <v/>
      </c>
      <c r="Q95" s="1" t="str">
        <f t="array" ref="Q95">IFERROR(INDEX('Исходник'!$1:$626,MATCH($A95,'Исходник'!$T:$T,0),MATCH(Q$1,'Исходник'!$1:$1,0)))</f>
        <v/>
      </c>
      <c r="R95" s="1" t="str">
        <f t="array" ref="R95">IFERROR(INDEX('Исходник'!$1:$626,MATCH($A95,'Исходник'!$T:$T,0),MATCH(R$1,'Исходник'!$1:$1,0)))</f>
        <v/>
      </c>
      <c r="S95" s="27">
        <f t="shared" si="7"/>
        <v>0</v>
      </c>
      <c r="T95" s="27" t="str">
        <f t="shared" si="8"/>
        <v/>
      </c>
      <c r="U95" s="1" t="str">
        <f t="array" ref="U95">IFERROR(INDEX('Исходник'!$1:$626,MATCH($A95,'Исходник'!$T:$T,0),MATCH(U$1,'Исходник'!$1:$1,0)))</f>
        <v/>
      </c>
      <c r="V95" s="27" t="str">
        <f t="shared" si="9"/>
        <v/>
      </c>
      <c r="W95" s="1" t="str">
        <f t="array" ref="W95">IFERROR(INDEX('Исходник'!$1:$626,MATCH($A95,'Исходник'!$T:$T,0),MATCH(W$1,'Исходник'!$1:$1,0)))</f>
        <v/>
      </c>
      <c r="X95" s="28">
        <f t="shared" si="10"/>
        <v>0</v>
      </c>
      <c r="Y95" s="1" t="str">
        <f t="array" ref="Y95">IFERROR(INDEX('Исходник'!$1:$626,MATCH($A95,'Исходник'!$T:$T,0),MATCH(Y$1,'Исходник'!$1:$1,0)))</f>
        <v/>
      </c>
      <c r="Z95" s="27">
        <f t="shared" si="11"/>
        <v>0</v>
      </c>
      <c r="AA95" s="27" t="str">
        <f t="shared" si="12"/>
        <v/>
      </c>
      <c r="AB95" s="1" t="str">
        <f t="array" ref="AB95">IFERROR(INDEX('Исходник'!$1:$626,MATCH($A95,'Исходник'!$T:$T,0),MATCH(AB$1,'Исходник'!$1:$1,0)))</f>
        <v/>
      </c>
      <c r="AC95" s="1" t="str">
        <f t="array" ref="AC95">IFERROR(INDEX('Исходник'!$1:$626,MATCH($A95,'Исходник'!$T:$T,0),MATCH(AC$1,'Исходник'!$1:$1,0)))</f>
        <v/>
      </c>
      <c r="AD95" s="27" t="str">
        <f t="shared" si="13"/>
        <v/>
      </c>
      <c r="AE95" s="1" t="str">
        <f t="array" ref="AE95">IFERROR(INDEX('Исходник'!$1:$626,MATCH($A95,'Исходник'!$T:$T,0),MATCH(AE$1,'Исходник'!$1:$1,0)))</f>
        <v/>
      </c>
      <c r="AF95" s="1" t="str">
        <f t="array" ref="AF95">IFERROR(INDEX('Исходник'!$1:$626,MATCH($A95,'Исходник'!$T:$T,0),MATCH(AF$1,'Исходник'!$1:$1,0)))</f>
        <v/>
      </c>
      <c r="AG95" s="27" t="str">
        <f t="shared" si="14"/>
        <v/>
      </c>
      <c r="AH95" s="1" t="str">
        <f t="array" ref="AH95">IFERROR(INDEX('Исходник'!$1:$626,MATCH($A95,'Исходник'!$T:$T,0),MATCH(AH$1,'Исходник'!$1:$1,0)))</f>
        <v/>
      </c>
      <c r="AI95" s="1" t="str">
        <f t="array" ref="AI95">IFERROR(INDEX('Исходник'!$1:$626,MATCH($A95,'Исходник'!$T:$T,0),MATCH(AI$1,'Исходник'!$1:$1,0)))</f>
        <v/>
      </c>
      <c r="AJ95" s="18">
        <f t="shared" si="15"/>
        <v>0</v>
      </c>
    </row>
    <row r="96" ht="15.75" customHeight="1">
      <c r="A96" s="27"/>
      <c r="B96" s="1" t="str">
        <f t="array" ref="B96">IFERROR(INDEX('Исходник'!$1:$626,MATCH($A96,'Исходник'!$T:$T,0),MATCH(B$1,'Исходник'!$1:$1,0)))</f>
        <v/>
      </c>
      <c r="C96" s="1" t="str">
        <f t="array" ref="C96">IFERROR(INDEX('Исходник'!$1:$626,MATCH($A96,'Исходник'!$T:$T,0),MATCH(C$1,'Исходник'!$1:$1,0)))</f>
        <v/>
      </c>
      <c r="D96" s="1" t="str">
        <f t="array" ref="D96">IFERROR(INDEX('Исходник'!$1:$626,MATCH($A96,'Исходник'!$T:$T,0),MATCH(D$1,'Исходник'!$1:$1,0)))</f>
        <v/>
      </c>
      <c r="E96" s="1" t="str">
        <f t="array" ref="E96">IFERROR(INDEX('Исходник'!$1:$626,MATCH($A96,'Исходник'!$T:$T,0),MATCH(E$1,'Исходник'!$1:$1,0)))</f>
        <v/>
      </c>
      <c r="F96" s="1" t="str">
        <f t="array" ref="F96">IFERROR(INDEX('Исходник'!$1:$626,MATCH($A96,'Исходник'!$T:$T,0),MATCH(F$1,'Исходник'!$1:$1,0)))</f>
        <v/>
      </c>
      <c r="G96" s="1" t="str">
        <f t="array" ref="G96">IFERROR(INDEX('Исходник'!$1:$626,MATCH($A96,'Исходник'!$T:$T,0),MATCH(G$1,'Исходник'!$1:$1,0)))</f>
        <v/>
      </c>
      <c r="H96" s="27">
        <f t="shared" si="1"/>
        <v>0</v>
      </c>
      <c r="I96" s="27" t="str">
        <f t="shared" si="2"/>
        <v/>
      </c>
      <c r="J96" s="1" t="str">
        <f t="array" ref="J96">IFERROR(INDEX('Исходник'!$1:$626,MATCH($A96,'Исходник'!$T:$T,0),MATCH(J$1,'Исходник'!$1:$1,0)))</f>
        <v/>
      </c>
      <c r="K96" s="27" t="str">
        <f t="shared" si="3"/>
        <v/>
      </c>
      <c r="L96" s="1" t="str">
        <f t="array" ref="L96">IFERROR(INDEX('Исходник'!$1:$626,MATCH($A96,'Исходник'!$T:$T,0),MATCH(L$1,'Исходник'!$1:$1,0)))</f>
        <v/>
      </c>
      <c r="M96" s="28">
        <f t="shared" si="4"/>
        <v>0</v>
      </c>
      <c r="N96" s="1" t="str">
        <f t="array" ref="N96">IFERROR(INDEX('Исходник'!$1:$626,MATCH($A96,'Исходник'!$T:$T,0),MATCH(N$1,'Исходник'!$1:$1,0)))</f>
        <v/>
      </c>
      <c r="O96" s="27">
        <f t="shared" si="5"/>
        <v>0</v>
      </c>
      <c r="P96" s="27" t="str">
        <f t="shared" si="6"/>
        <v/>
      </c>
      <c r="Q96" s="1" t="str">
        <f t="array" ref="Q96">IFERROR(INDEX('Исходник'!$1:$626,MATCH($A96,'Исходник'!$T:$T,0),MATCH(Q$1,'Исходник'!$1:$1,0)))</f>
        <v/>
      </c>
      <c r="R96" s="1" t="str">
        <f t="array" ref="R96">IFERROR(INDEX('Исходник'!$1:$626,MATCH($A96,'Исходник'!$T:$T,0),MATCH(R$1,'Исходник'!$1:$1,0)))</f>
        <v/>
      </c>
      <c r="S96" s="27">
        <f t="shared" si="7"/>
        <v>0</v>
      </c>
      <c r="T96" s="27" t="str">
        <f t="shared" si="8"/>
        <v/>
      </c>
      <c r="U96" s="1" t="str">
        <f t="array" ref="U96">IFERROR(INDEX('Исходник'!$1:$626,MATCH($A96,'Исходник'!$T:$T,0),MATCH(U$1,'Исходник'!$1:$1,0)))</f>
        <v/>
      </c>
      <c r="V96" s="27" t="str">
        <f t="shared" si="9"/>
        <v/>
      </c>
      <c r="W96" s="1" t="str">
        <f t="array" ref="W96">IFERROR(INDEX('Исходник'!$1:$626,MATCH($A96,'Исходник'!$T:$T,0),MATCH(W$1,'Исходник'!$1:$1,0)))</f>
        <v/>
      </c>
      <c r="X96" s="28">
        <f t="shared" si="10"/>
        <v>0</v>
      </c>
      <c r="Y96" s="1" t="str">
        <f t="array" ref="Y96">IFERROR(INDEX('Исходник'!$1:$626,MATCH($A96,'Исходник'!$T:$T,0),MATCH(Y$1,'Исходник'!$1:$1,0)))</f>
        <v/>
      </c>
      <c r="Z96" s="27">
        <f t="shared" si="11"/>
        <v>0</v>
      </c>
      <c r="AA96" s="27" t="str">
        <f t="shared" si="12"/>
        <v/>
      </c>
      <c r="AB96" s="1" t="str">
        <f t="array" ref="AB96">IFERROR(INDEX('Исходник'!$1:$626,MATCH($A96,'Исходник'!$T:$T,0),MATCH(AB$1,'Исходник'!$1:$1,0)))</f>
        <v/>
      </c>
      <c r="AC96" s="1" t="str">
        <f t="array" ref="AC96">IFERROR(INDEX('Исходник'!$1:$626,MATCH($A96,'Исходник'!$T:$T,0),MATCH(AC$1,'Исходник'!$1:$1,0)))</f>
        <v/>
      </c>
      <c r="AD96" s="27" t="str">
        <f t="shared" si="13"/>
        <v/>
      </c>
      <c r="AE96" s="1" t="str">
        <f t="array" ref="AE96">IFERROR(INDEX('Исходник'!$1:$626,MATCH($A96,'Исходник'!$T:$T,0),MATCH(AE$1,'Исходник'!$1:$1,0)))</f>
        <v/>
      </c>
      <c r="AF96" s="1" t="str">
        <f t="array" ref="AF96">IFERROR(INDEX('Исходник'!$1:$626,MATCH($A96,'Исходник'!$T:$T,0),MATCH(AF$1,'Исходник'!$1:$1,0)))</f>
        <v/>
      </c>
      <c r="AG96" s="27" t="str">
        <f t="shared" si="14"/>
        <v/>
      </c>
      <c r="AH96" s="1" t="str">
        <f t="array" ref="AH96">IFERROR(INDEX('Исходник'!$1:$626,MATCH($A96,'Исходник'!$T:$T,0),MATCH(AH$1,'Исходник'!$1:$1,0)))</f>
        <v/>
      </c>
      <c r="AI96" s="1" t="str">
        <f t="array" ref="AI96">IFERROR(INDEX('Исходник'!$1:$626,MATCH($A96,'Исходник'!$T:$T,0),MATCH(AI$1,'Исходник'!$1:$1,0)))</f>
        <v/>
      </c>
      <c r="AJ96" s="18">
        <f t="shared" si="15"/>
        <v>0</v>
      </c>
    </row>
    <row r="97" ht="15.75" customHeight="1">
      <c r="A97" s="27"/>
      <c r="B97" s="1" t="str">
        <f t="array" ref="B97">IFERROR(INDEX('Исходник'!$1:$626,MATCH($A97,'Исходник'!$T:$T,0),MATCH(B$1,'Исходник'!$1:$1,0)))</f>
        <v/>
      </c>
      <c r="C97" s="1" t="str">
        <f t="array" ref="C97">IFERROR(INDEX('Исходник'!$1:$626,MATCH($A97,'Исходник'!$T:$T,0),MATCH(C$1,'Исходник'!$1:$1,0)))</f>
        <v/>
      </c>
      <c r="D97" s="1" t="str">
        <f t="array" ref="D97">IFERROR(INDEX('Исходник'!$1:$626,MATCH($A97,'Исходник'!$T:$T,0),MATCH(D$1,'Исходник'!$1:$1,0)))</f>
        <v/>
      </c>
      <c r="E97" s="1" t="str">
        <f t="array" ref="E97">IFERROR(INDEX('Исходник'!$1:$626,MATCH($A97,'Исходник'!$T:$T,0),MATCH(E$1,'Исходник'!$1:$1,0)))</f>
        <v/>
      </c>
      <c r="F97" s="1" t="str">
        <f t="array" ref="F97">IFERROR(INDEX('Исходник'!$1:$626,MATCH($A97,'Исходник'!$T:$T,0),MATCH(F$1,'Исходник'!$1:$1,0)))</f>
        <v/>
      </c>
      <c r="G97" s="1" t="str">
        <f t="array" ref="G97">IFERROR(INDEX('Исходник'!$1:$626,MATCH($A97,'Исходник'!$T:$T,0),MATCH(G$1,'Исходник'!$1:$1,0)))</f>
        <v/>
      </c>
      <c r="H97" s="27">
        <f t="shared" si="1"/>
        <v>0</v>
      </c>
      <c r="I97" s="27" t="str">
        <f t="shared" si="2"/>
        <v/>
      </c>
      <c r="J97" s="1" t="str">
        <f t="array" ref="J97">IFERROR(INDEX('Исходник'!$1:$626,MATCH($A97,'Исходник'!$T:$T,0),MATCH(J$1,'Исходник'!$1:$1,0)))</f>
        <v/>
      </c>
      <c r="K97" s="27" t="str">
        <f t="shared" si="3"/>
        <v/>
      </c>
      <c r="L97" s="1" t="str">
        <f t="array" ref="L97">IFERROR(INDEX('Исходник'!$1:$626,MATCH($A97,'Исходник'!$T:$T,0),MATCH(L$1,'Исходник'!$1:$1,0)))</f>
        <v/>
      </c>
      <c r="M97" s="28">
        <f t="shared" si="4"/>
        <v>0</v>
      </c>
      <c r="N97" s="1" t="str">
        <f t="array" ref="N97">IFERROR(INDEX('Исходник'!$1:$626,MATCH($A97,'Исходник'!$T:$T,0),MATCH(N$1,'Исходник'!$1:$1,0)))</f>
        <v/>
      </c>
      <c r="O97" s="27">
        <f t="shared" si="5"/>
        <v>0</v>
      </c>
      <c r="P97" s="27" t="str">
        <f t="shared" si="6"/>
        <v/>
      </c>
      <c r="Q97" s="1" t="str">
        <f t="array" ref="Q97">IFERROR(INDEX('Исходник'!$1:$626,MATCH($A97,'Исходник'!$T:$T,0),MATCH(Q$1,'Исходник'!$1:$1,0)))</f>
        <v/>
      </c>
      <c r="R97" s="1" t="str">
        <f t="array" ref="R97">IFERROR(INDEX('Исходник'!$1:$626,MATCH($A97,'Исходник'!$T:$T,0),MATCH(R$1,'Исходник'!$1:$1,0)))</f>
        <v/>
      </c>
      <c r="S97" s="27">
        <f t="shared" si="7"/>
        <v>0</v>
      </c>
      <c r="T97" s="27" t="str">
        <f t="shared" si="8"/>
        <v/>
      </c>
      <c r="U97" s="1" t="str">
        <f t="array" ref="U97">IFERROR(INDEX('Исходник'!$1:$626,MATCH($A97,'Исходник'!$T:$T,0),MATCH(U$1,'Исходник'!$1:$1,0)))</f>
        <v/>
      </c>
      <c r="V97" s="27" t="str">
        <f t="shared" si="9"/>
        <v/>
      </c>
      <c r="W97" s="1" t="str">
        <f t="array" ref="W97">IFERROR(INDEX('Исходник'!$1:$626,MATCH($A97,'Исходник'!$T:$T,0),MATCH(W$1,'Исходник'!$1:$1,0)))</f>
        <v/>
      </c>
      <c r="X97" s="28">
        <f t="shared" si="10"/>
        <v>0</v>
      </c>
      <c r="Y97" s="1" t="str">
        <f t="array" ref="Y97">IFERROR(INDEX('Исходник'!$1:$626,MATCH($A97,'Исходник'!$T:$T,0),MATCH(Y$1,'Исходник'!$1:$1,0)))</f>
        <v/>
      </c>
      <c r="Z97" s="27">
        <f t="shared" si="11"/>
        <v>0</v>
      </c>
      <c r="AA97" s="27" t="str">
        <f t="shared" si="12"/>
        <v/>
      </c>
      <c r="AB97" s="1" t="str">
        <f t="array" ref="AB97">IFERROR(INDEX('Исходник'!$1:$626,MATCH($A97,'Исходник'!$T:$T,0),MATCH(AB$1,'Исходник'!$1:$1,0)))</f>
        <v/>
      </c>
      <c r="AC97" s="1" t="str">
        <f t="array" ref="AC97">IFERROR(INDEX('Исходник'!$1:$626,MATCH($A97,'Исходник'!$T:$T,0),MATCH(AC$1,'Исходник'!$1:$1,0)))</f>
        <v/>
      </c>
      <c r="AD97" s="27" t="str">
        <f t="shared" si="13"/>
        <v/>
      </c>
      <c r="AE97" s="1" t="str">
        <f t="array" ref="AE97">IFERROR(INDEX('Исходник'!$1:$626,MATCH($A97,'Исходник'!$T:$T,0),MATCH(AE$1,'Исходник'!$1:$1,0)))</f>
        <v/>
      </c>
      <c r="AF97" s="1" t="str">
        <f t="array" ref="AF97">IFERROR(INDEX('Исходник'!$1:$626,MATCH($A97,'Исходник'!$T:$T,0),MATCH(AF$1,'Исходник'!$1:$1,0)))</f>
        <v/>
      </c>
      <c r="AG97" s="27" t="str">
        <f t="shared" si="14"/>
        <v/>
      </c>
      <c r="AH97" s="1" t="str">
        <f t="array" ref="AH97">IFERROR(INDEX('Исходник'!$1:$626,MATCH($A97,'Исходник'!$T:$T,0),MATCH(AH$1,'Исходник'!$1:$1,0)))</f>
        <v/>
      </c>
      <c r="AI97" s="1" t="str">
        <f t="array" ref="AI97">IFERROR(INDEX('Исходник'!$1:$626,MATCH($A97,'Исходник'!$T:$T,0),MATCH(AI$1,'Исходник'!$1:$1,0)))</f>
        <v/>
      </c>
      <c r="AJ97" s="18">
        <f t="shared" si="15"/>
        <v>0</v>
      </c>
    </row>
    <row r="98" ht="15.75" customHeight="1">
      <c r="A98" s="27"/>
      <c r="B98" s="1" t="str">
        <f t="array" ref="B98">IFERROR(INDEX('Исходник'!$1:$626,MATCH($A98,'Исходник'!$T:$T,0),MATCH(B$1,'Исходник'!$1:$1,0)))</f>
        <v/>
      </c>
      <c r="C98" s="1" t="str">
        <f t="array" ref="C98">IFERROR(INDEX('Исходник'!$1:$626,MATCH($A98,'Исходник'!$T:$T,0),MATCH(C$1,'Исходник'!$1:$1,0)))</f>
        <v/>
      </c>
      <c r="D98" s="1" t="str">
        <f t="array" ref="D98">IFERROR(INDEX('Исходник'!$1:$626,MATCH($A98,'Исходник'!$T:$T,0),MATCH(D$1,'Исходник'!$1:$1,0)))</f>
        <v/>
      </c>
      <c r="E98" s="1" t="str">
        <f t="array" ref="E98">IFERROR(INDEX('Исходник'!$1:$626,MATCH($A98,'Исходник'!$T:$T,0),MATCH(E$1,'Исходник'!$1:$1,0)))</f>
        <v/>
      </c>
      <c r="F98" s="1" t="str">
        <f t="array" ref="F98">IFERROR(INDEX('Исходник'!$1:$626,MATCH($A98,'Исходник'!$T:$T,0),MATCH(F$1,'Исходник'!$1:$1,0)))</f>
        <v/>
      </c>
      <c r="G98" s="1" t="str">
        <f t="array" ref="G98">IFERROR(INDEX('Исходник'!$1:$626,MATCH($A98,'Исходник'!$T:$T,0),MATCH(G$1,'Исходник'!$1:$1,0)))</f>
        <v/>
      </c>
      <c r="H98" s="27">
        <f t="shared" si="1"/>
        <v>0</v>
      </c>
      <c r="I98" s="27" t="str">
        <f t="shared" si="2"/>
        <v/>
      </c>
      <c r="J98" s="1" t="str">
        <f t="array" ref="J98">IFERROR(INDEX('Исходник'!$1:$626,MATCH($A98,'Исходник'!$T:$T,0),MATCH(J$1,'Исходник'!$1:$1,0)))</f>
        <v/>
      </c>
      <c r="K98" s="27" t="str">
        <f t="shared" si="3"/>
        <v/>
      </c>
      <c r="L98" s="1" t="str">
        <f t="array" ref="L98">IFERROR(INDEX('Исходник'!$1:$626,MATCH($A98,'Исходник'!$T:$T,0),MATCH(L$1,'Исходник'!$1:$1,0)))</f>
        <v/>
      </c>
      <c r="M98" s="28">
        <f t="shared" si="4"/>
        <v>0</v>
      </c>
      <c r="N98" s="1" t="str">
        <f t="array" ref="N98">IFERROR(INDEX('Исходник'!$1:$626,MATCH($A98,'Исходник'!$T:$T,0),MATCH(N$1,'Исходник'!$1:$1,0)))</f>
        <v/>
      </c>
      <c r="O98" s="27">
        <f t="shared" si="5"/>
        <v>0</v>
      </c>
      <c r="P98" s="27" t="str">
        <f t="shared" si="6"/>
        <v/>
      </c>
      <c r="Q98" s="1" t="str">
        <f t="array" ref="Q98">IFERROR(INDEX('Исходник'!$1:$626,MATCH($A98,'Исходник'!$T:$T,0),MATCH(Q$1,'Исходник'!$1:$1,0)))</f>
        <v/>
      </c>
      <c r="R98" s="1" t="str">
        <f t="array" ref="R98">IFERROR(INDEX('Исходник'!$1:$626,MATCH($A98,'Исходник'!$T:$T,0),MATCH(R$1,'Исходник'!$1:$1,0)))</f>
        <v/>
      </c>
      <c r="S98" s="27">
        <f t="shared" si="7"/>
        <v>0</v>
      </c>
      <c r="T98" s="27" t="str">
        <f t="shared" si="8"/>
        <v/>
      </c>
      <c r="U98" s="1" t="str">
        <f t="array" ref="U98">IFERROR(INDEX('Исходник'!$1:$626,MATCH($A98,'Исходник'!$T:$T,0),MATCH(U$1,'Исходник'!$1:$1,0)))</f>
        <v/>
      </c>
      <c r="V98" s="27" t="str">
        <f t="shared" si="9"/>
        <v/>
      </c>
      <c r="W98" s="1" t="str">
        <f t="array" ref="W98">IFERROR(INDEX('Исходник'!$1:$626,MATCH($A98,'Исходник'!$T:$T,0),MATCH(W$1,'Исходник'!$1:$1,0)))</f>
        <v/>
      </c>
      <c r="X98" s="28">
        <f t="shared" si="10"/>
        <v>0</v>
      </c>
      <c r="Y98" s="1" t="str">
        <f t="array" ref="Y98">IFERROR(INDEX('Исходник'!$1:$626,MATCH($A98,'Исходник'!$T:$T,0),MATCH(Y$1,'Исходник'!$1:$1,0)))</f>
        <v/>
      </c>
      <c r="Z98" s="27">
        <f t="shared" si="11"/>
        <v>0</v>
      </c>
      <c r="AA98" s="27" t="str">
        <f t="shared" si="12"/>
        <v/>
      </c>
      <c r="AB98" s="1" t="str">
        <f t="array" ref="AB98">IFERROR(INDEX('Исходник'!$1:$626,MATCH($A98,'Исходник'!$T:$T,0),MATCH(AB$1,'Исходник'!$1:$1,0)))</f>
        <v/>
      </c>
      <c r="AC98" s="1" t="str">
        <f t="array" ref="AC98">IFERROR(INDEX('Исходник'!$1:$626,MATCH($A98,'Исходник'!$T:$T,0),MATCH(AC$1,'Исходник'!$1:$1,0)))</f>
        <v/>
      </c>
      <c r="AD98" s="27" t="str">
        <f t="shared" si="13"/>
        <v/>
      </c>
      <c r="AE98" s="1" t="str">
        <f t="array" ref="AE98">IFERROR(INDEX('Исходник'!$1:$626,MATCH($A98,'Исходник'!$T:$T,0),MATCH(AE$1,'Исходник'!$1:$1,0)))</f>
        <v/>
      </c>
      <c r="AF98" s="1" t="str">
        <f t="array" ref="AF98">IFERROR(INDEX('Исходник'!$1:$626,MATCH($A98,'Исходник'!$T:$T,0),MATCH(AF$1,'Исходник'!$1:$1,0)))</f>
        <v/>
      </c>
      <c r="AG98" s="27" t="str">
        <f t="shared" si="14"/>
        <v/>
      </c>
      <c r="AH98" s="1" t="str">
        <f t="array" ref="AH98">IFERROR(INDEX('Исходник'!$1:$626,MATCH($A98,'Исходник'!$T:$T,0),MATCH(AH$1,'Исходник'!$1:$1,0)))</f>
        <v/>
      </c>
      <c r="AI98" s="1" t="str">
        <f t="array" ref="AI98">IFERROR(INDEX('Исходник'!$1:$626,MATCH($A98,'Исходник'!$T:$T,0),MATCH(AI$1,'Исходник'!$1:$1,0)))</f>
        <v/>
      </c>
      <c r="AJ98" s="18">
        <f t="shared" si="15"/>
        <v>0</v>
      </c>
    </row>
    <row r="99" ht="15.75" customHeight="1">
      <c r="A99" s="27"/>
      <c r="B99" s="1" t="str">
        <f t="array" ref="B99">IFERROR(INDEX('Исходник'!$1:$626,MATCH($A99,'Исходник'!$T:$T,0),MATCH(B$1,'Исходник'!$1:$1,0)))</f>
        <v/>
      </c>
      <c r="C99" s="1" t="str">
        <f t="array" ref="C99">IFERROR(INDEX('Исходник'!$1:$626,MATCH($A99,'Исходник'!$T:$T,0),MATCH(C$1,'Исходник'!$1:$1,0)))</f>
        <v/>
      </c>
      <c r="D99" s="1" t="str">
        <f t="array" ref="D99">IFERROR(INDEX('Исходник'!$1:$626,MATCH($A99,'Исходник'!$T:$T,0),MATCH(D$1,'Исходник'!$1:$1,0)))</f>
        <v/>
      </c>
      <c r="E99" s="1" t="str">
        <f t="array" ref="E99">IFERROR(INDEX('Исходник'!$1:$626,MATCH($A99,'Исходник'!$T:$T,0),MATCH(E$1,'Исходник'!$1:$1,0)))</f>
        <v/>
      </c>
      <c r="F99" s="1" t="str">
        <f t="array" ref="F99">IFERROR(INDEX('Исходник'!$1:$626,MATCH($A99,'Исходник'!$T:$T,0),MATCH(F$1,'Исходник'!$1:$1,0)))</f>
        <v/>
      </c>
      <c r="G99" s="1" t="str">
        <f t="array" ref="G99">IFERROR(INDEX('Исходник'!$1:$626,MATCH($A99,'Исходник'!$T:$T,0),MATCH(G$1,'Исходник'!$1:$1,0)))</f>
        <v/>
      </c>
      <c r="H99" s="27">
        <f t="shared" si="1"/>
        <v>0</v>
      </c>
      <c r="I99" s="27" t="str">
        <f t="shared" si="2"/>
        <v/>
      </c>
      <c r="J99" s="1" t="str">
        <f t="array" ref="J99">IFERROR(INDEX('Исходник'!$1:$626,MATCH($A99,'Исходник'!$T:$T,0),MATCH(J$1,'Исходник'!$1:$1,0)))</f>
        <v/>
      </c>
      <c r="K99" s="27" t="str">
        <f t="shared" si="3"/>
        <v/>
      </c>
      <c r="L99" s="1" t="str">
        <f t="array" ref="L99">IFERROR(INDEX('Исходник'!$1:$626,MATCH($A99,'Исходник'!$T:$T,0),MATCH(L$1,'Исходник'!$1:$1,0)))</f>
        <v/>
      </c>
      <c r="M99" s="28">
        <f t="shared" si="4"/>
        <v>0</v>
      </c>
      <c r="N99" s="1" t="str">
        <f t="array" ref="N99">IFERROR(INDEX('Исходник'!$1:$626,MATCH($A99,'Исходник'!$T:$T,0),MATCH(N$1,'Исходник'!$1:$1,0)))</f>
        <v/>
      </c>
      <c r="O99" s="27">
        <f t="shared" si="5"/>
        <v>0</v>
      </c>
      <c r="P99" s="27" t="str">
        <f t="shared" si="6"/>
        <v/>
      </c>
      <c r="Q99" s="1" t="str">
        <f t="array" ref="Q99">IFERROR(INDEX('Исходник'!$1:$626,MATCH($A99,'Исходник'!$T:$T,0),MATCH(Q$1,'Исходник'!$1:$1,0)))</f>
        <v/>
      </c>
      <c r="R99" s="1" t="str">
        <f t="array" ref="R99">IFERROR(INDEX('Исходник'!$1:$626,MATCH($A99,'Исходник'!$T:$T,0),MATCH(R$1,'Исходник'!$1:$1,0)))</f>
        <v/>
      </c>
      <c r="S99" s="27">
        <f t="shared" si="7"/>
        <v>0</v>
      </c>
      <c r="T99" s="27" t="str">
        <f t="shared" si="8"/>
        <v/>
      </c>
      <c r="U99" s="1" t="str">
        <f t="array" ref="U99">IFERROR(INDEX('Исходник'!$1:$626,MATCH($A99,'Исходник'!$T:$T,0),MATCH(U$1,'Исходник'!$1:$1,0)))</f>
        <v/>
      </c>
      <c r="V99" s="27" t="str">
        <f t="shared" si="9"/>
        <v/>
      </c>
      <c r="W99" s="1" t="str">
        <f t="array" ref="W99">IFERROR(INDEX('Исходник'!$1:$626,MATCH($A99,'Исходник'!$T:$T,0),MATCH(W$1,'Исходник'!$1:$1,0)))</f>
        <v/>
      </c>
      <c r="X99" s="28">
        <f t="shared" si="10"/>
        <v>0</v>
      </c>
      <c r="Y99" s="1" t="str">
        <f t="array" ref="Y99">IFERROR(INDEX('Исходник'!$1:$626,MATCH($A99,'Исходник'!$T:$T,0),MATCH(Y$1,'Исходник'!$1:$1,0)))</f>
        <v/>
      </c>
      <c r="Z99" s="27">
        <f t="shared" si="11"/>
        <v>0</v>
      </c>
      <c r="AA99" s="27" t="str">
        <f t="shared" si="12"/>
        <v/>
      </c>
      <c r="AB99" s="1" t="str">
        <f t="array" ref="AB99">IFERROR(INDEX('Исходник'!$1:$626,MATCH($A99,'Исходник'!$T:$T,0),MATCH(AB$1,'Исходник'!$1:$1,0)))</f>
        <v/>
      </c>
      <c r="AC99" s="1" t="str">
        <f t="array" ref="AC99">IFERROR(INDEX('Исходник'!$1:$626,MATCH($A99,'Исходник'!$T:$T,0),MATCH(AC$1,'Исходник'!$1:$1,0)))</f>
        <v/>
      </c>
      <c r="AD99" s="27" t="str">
        <f t="shared" si="13"/>
        <v/>
      </c>
      <c r="AE99" s="1" t="str">
        <f t="array" ref="AE99">IFERROR(INDEX('Исходник'!$1:$626,MATCH($A99,'Исходник'!$T:$T,0),MATCH(AE$1,'Исходник'!$1:$1,0)))</f>
        <v/>
      </c>
      <c r="AF99" s="1" t="str">
        <f t="array" ref="AF99">IFERROR(INDEX('Исходник'!$1:$626,MATCH($A99,'Исходник'!$T:$T,0),MATCH(AF$1,'Исходник'!$1:$1,0)))</f>
        <v/>
      </c>
      <c r="AG99" s="27" t="str">
        <f t="shared" si="14"/>
        <v/>
      </c>
      <c r="AH99" s="1" t="str">
        <f t="array" ref="AH99">IFERROR(INDEX('Исходник'!$1:$626,MATCH($A99,'Исходник'!$T:$T,0),MATCH(AH$1,'Исходник'!$1:$1,0)))</f>
        <v/>
      </c>
      <c r="AI99" s="1" t="str">
        <f t="array" ref="AI99">IFERROR(INDEX('Исходник'!$1:$626,MATCH($A99,'Исходник'!$T:$T,0),MATCH(AI$1,'Исходник'!$1:$1,0)))</f>
        <v/>
      </c>
      <c r="AJ99" s="18">
        <f t="shared" si="15"/>
        <v>0</v>
      </c>
    </row>
    <row r="100" ht="15.75" customHeight="1">
      <c r="A100" s="27"/>
      <c r="B100" s="1" t="str">
        <f t="array" ref="B100">IFERROR(INDEX('Исходник'!$1:$626,MATCH($A100,'Исходник'!$T:$T,0),MATCH(B$1,'Исходник'!$1:$1,0)))</f>
        <v/>
      </c>
      <c r="C100" s="1" t="str">
        <f t="array" ref="C100">IFERROR(INDEX('Исходник'!$1:$626,MATCH($A100,'Исходник'!$T:$T,0),MATCH(C$1,'Исходник'!$1:$1,0)))</f>
        <v/>
      </c>
      <c r="D100" s="1" t="str">
        <f t="array" ref="D100">IFERROR(INDEX('Исходник'!$1:$626,MATCH($A100,'Исходник'!$T:$T,0),MATCH(D$1,'Исходник'!$1:$1,0)))</f>
        <v/>
      </c>
      <c r="E100" s="1" t="str">
        <f t="array" ref="E100">IFERROR(INDEX('Исходник'!$1:$626,MATCH($A100,'Исходник'!$T:$T,0),MATCH(E$1,'Исходник'!$1:$1,0)))</f>
        <v/>
      </c>
      <c r="F100" s="1" t="str">
        <f t="array" ref="F100">IFERROR(INDEX('Исходник'!$1:$626,MATCH($A100,'Исходник'!$T:$T,0),MATCH(F$1,'Исходник'!$1:$1,0)))</f>
        <v/>
      </c>
      <c r="G100" s="1" t="str">
        <f t="array" ref="G100">IFERROR(INDEX('Исходник'!$1:$626,MATCH($A100,'Исходник'!$T:$T,0),MATCH(G$1,'Исходник'!$1:$1,0)))</f>
        <v/>
      </c>
      <c r="H100" s="27">
        <f t="shared" si="1"/>
        <v>0</v>
      </c>
      <c r="I100" s="27" t="str">
        <f t="shared" si="2"/>
        <v/>
      </c>
      <c r="J100" s="1" t="str">
        <f t="array" ref="J100">IFERROR(INDEX('Исходник'!$1:$626,MATCH($A100,'Исходник'!$T:$T,0),MATCH(J$1,'Исходник'!$1:$1,0)))</f>
        <v/>
      </c>
      <c r="K100" s="27" t="str">
        <f t="shared" si="3"/>
        <v/>
      </c>
      <c r="L100" s="1" t="str">
        <f t="array" ref="L100">IFERROR(INDEX('Исходник'!$1:$626,MATCH($A100,'Исходник'!$T:$T,0),MATCH(L$1,'Исходник'!$1:$1,0)))</f>
        <v/>
      </c>
      <c r="M100" s="28">
        <f t="shared" si="4"/>
        <v>0</v>
      </c>
      <c r="N100" s="1" t="str">
        <f t="array" ref="N100">IFERROR(INDEX('Исходник'!$1:$626,MATCH($A100,'Исходник'!$T:$T,0),MATCH(N$1,'Исходник'!$1:$1,0)))</f>
        <v/>
      </c>
      <c r="O100" s="27">
        <f t="shared" si="5"/>
        <v>0</v>
      </c>
      <c r="P100" s="27" t="str">
        <f t="shared" si="6"/>
        <v/>
      </c>
      <c r="Q100" s="1" t="str">
        <f t="array" ref="Q100">IFERROR(INDEX('Исходник'!$1:$626,MATCH($A100,'Исходник'!$T:$T,0),MATCH(Q$1,'Исходник'!$1:$1,0)))</f>
        <v/>
      </c>
      <c r="R100" s="1" t="str">
        <f t="array" ref="R100">IFERROR(INDEX('Исходник'!$1:$626,MATCH($A100,'Исходник'!$T:$T,0),MATCH(R$1,'Исходник'!$1:$1,0)))</f>
        <v/>
      </c>
      <c r="S100" s="27">
        <f t="shared" si="7"/>
        <v>0</v>
      </c>
      <c r="T100" s="27" t="str">
        <f t="shared" si="8"/>
        <v/>
      </c>
      <c r="U100" s="1" t="str">
        <f t="array" ref="U100">IFERROR(INDEX('Исходник'!$1:$626,MATCH($A100,'Исходник'!$T:$T,0),MATCH(U$1,'Исходник'!$1:$1,0)))</f>
        <v/>
      </c>
      <c r="V100" s="27" t="str">
        <f t="shared" si="9"/>
        <v/>
      </c>
      <c r="W100" s="1" t="str">
        <f t="array" ref="W100">IFERROR(INDEX('Исходник'!$1:$626,MATCH($A100,'Исходник'!$T:$T,0),MATCH(W$1,'Исходник'!$1:$1,0)))</f>
        <v/>
      </c>
      <c r="X100" s="28">
        <f t="shared" si="10"/>
        <v>0</v>
      </c>
      <c r="Y100" s="1" t="str">
        <f t="array" ref="Y100">IFERROR(INDEX('Исходник'!$1:$626,MATCH($A100,'Исходник'!$T:$T,0),MATCH(Y$1,'Исходник'!$1:$1,0)))</f>
        <v/>
      </c>
      <c r="Z100" s="27">
        <f t="shared" si="11"/>
        <v>0</v>
      </c>
      <c r="AA100" s="27" t="str">
        <f t="shared" si="12"/>
        <v/>
      </c>
      <c r="AB100" s="1" t="str">
        <f t="array" ref="AB100">IFERROR(INDEX('Исходник'!$1:$626,MATCH($A100,'Исходник'!$T:$T,0),MATCH(AB$1,'Исходник'!$1:$1,0)))</f>
        <v/>
      </c>
      <c r="AC100" s="1" t="str">
        <f t="array" ref="AC100">IFERROR(INDEX('Исходник'!$1:$626,MATCH($A100,'Исходник'!$T:$T,0),MATCH(AC$1,'Исходник'!$1:$1,0)))</f>
        <v/>
      </c>
      <c r="AD100" s="27" t="str">
        <f t="shared" si="13"/>
        <v/>
      </c>
      <c r="AE100" s="1" t="str">
        <f t="array" ref="AE100">IFERROR(INDEX('Исходник'!$1:$626,MATCH($A100,'Исходник'!$T:$T,0),MATCH(AE$1,'Исходник'!$1:$1,0)))</f>
        <v/>
      </c>
      <c r="AF100" s="1" t="str">
        <f t="array" ref="AF100">IFERROR(INDEX('Исходник'!$1:$626,MATCH($A100,'Исходник'!$T:$T,0),MATCH(AF$1,'Исходник'!$1:$1,0)))</f>
        <v/>
      </c>
      <c r="AG100" s="27" t="str">
        <f t="shared" si="14"/>
        <v/>
      </c>
      <c r="AH100" s="1" t="str">
        <f t="array" ref="AH100">IFERROR(INDEX('Исходник'!$1:$626,MATCH($A100,'Исходник'!$T:$T,0),MATCH(AH$1,'Исходник'!$1:$1,0)))</f>
        <v/>
      </c>
      <c r="AI100" s="1" t="str">
        <f t="array" ref="AI100">IFERROR(INDEX('Исходник'!$1:$626,MATCH($A100,'Исходник'!$T:$T,0),MATCH(AI$1,'Исходник'!$1:$1,0)))</f>
        <v/>
      </c>
      <c r="AJ100" s="18">
        <f t="shared" si="15"/>
        <v>0</v>
      </c>
    </row>
    <row r="101" ht="15.75" customHeight="1">
      <c r="A101" s="27"/>
      <c r="B101" s="1" t="str">
        <f t="array" ref="B101">IFERROR(INDEX('Исходник'!$1:$626,MATCH($A101,'Исходник'!$T:$T,0),MATCH(B$1,'Исходник'!$1:$1,0)))</f>
        <v/>
      </c>
      <c r="C101" s="1" t="str">
        <f t="array" ref="C101">IFERROR(INDEX('Исходник'!$1:$626,MATCH($A101,'Исходник'!$T:$T,0),MATCH(C$1,'Исходник'!$1:$1,0)))</f>
        <v/>
      </c>
      <c r="D101" s="1" t="str">
        <f t="array" ref="D101">IFERROR(INDEX('Исходник'!$1:$626,MATCH($A101,'Исходник'!$T:$T,0),MATCH(D$1,'Исходник'!$1:$1,0)))</f>
        <v/>
      </c>
      <c r="E101" s="1" t="str">
        <f t="array" ref="E101">IFERROR(INDEX('Исходник'!$1:$626,MATCH($A101,'Исходник'!$T:$T,0),MATCH(E$1,'Исходник'!$1:$1,0)))</f>
        <v/>
      </c>
      <c r="F101" s="1" t="str">
        <f t="array" ref="F101">IFERROR(INDEX('Исходник'!$1:$626,MATCH($A101,'Исходник'!$T:$T,0),MATCH(F$1,'Исходник'!$1:$1,0)))</f>
        <v/>
      </c>
      <c r="G101" s="1" t="str">
        <f t="array" ref="G101">IFERROR(INDEX('Исходник'!$1:$626,MATCH($A101,'Исходник'!$T:$T,0),MATCH(G$1,'Исходник'!$1:$1,0)))</f>
        <v/>
      </c>
      <c r="H101" s="27">
        <f t="shared" si="1"/>
        <v>0</v>
      </c>
      <c r="I101" s="27" t="str">
        <f t="shared" si="2"/>
        <v/>
      </c>
      <c r="J101" s="1" t="str">
        <f t="array" ref="J101">IFERROR(INDEX('Исходник'!$1:$626,MATCH($A101,'Исходник'!$T:$T,0),MATCH(J$1,'Исходник'!$1:$1,0)))</f>
        <v/>
      </c>
      <c r="K101" s="27" t="str">
        <f t="shared" si="3"/>
        <v/>
      </c>
      <c r="L101" s="1" t="str">
        <f t="array" ref="L101">IFERROR(INDEX('Исходник'!$1:$626,MATCH($A101,'Исходник'!$T:$T,0),MATCH(L$1,'Исходник'!$1:$1,0)))</f>
        <v/>
      </c>
      <c r="M101" s="28">
        <f t="shared" si="4"/>
        <v>0</v>
      </c>
      <c r="N101" s="1" t="str">
        <f t="array" ref="N101">IFERROR(INDEX('Исходник'!$1:$626,MATCH($A101,'Исходник'!$T:$T,0),MATCH(N$1,'Исходник'!$1:$1,0)))</f>
        <v/>
      </c>
      <c r="O101" s="27">
        <f t="shared" si="5"/>
        <v>0</v>
      </c>
      <c r="P101" s="27" t="str">
        <f t="shared" si="6"/>
        <v/>
      </c>
      <c r="Q101" s="1" t="str">
        <f t="array" ref="Q101">IFERROR(INDEX('Исходник'!$1:$626,MATCH($A101,'Исходник'!$T:$T,0),MATCH(Q$1,'Исходник'!$1:$1,0)))</f>
        <v/>
      </c>
      <c r="R101" s="1" t="str">
        <f t="array" ref="R101">IFERROR(INDEX('Исходник'!$1:$626,MATCH($A101,'Исходник'!$T:$T,0),MATCH(R$1,'Исходник'!$1:$1,0)))</f>
        <v/>
      </c>
      <c r="S101" s="27">
        <f t="shared" si="7"/>
        <v>0</v>
      </c>
      <c r="T101" s="27" t="str">
        <f t="shared" si="8"/>
        <v/>
      </c>
      <c r="U101" s="1" t="str">
        <f t="array" ref="U101">IFERROR(INDEX('Исходник'!$1:$626,MATCH($A101,'Исходник'!$T:$T,0),MATCH(U$1,'Исходник'!$1:$1,0)))</f>
        <v/>
      </c>
      <c r="V101" s="27" t="str">
        <f t="shared" si="9"/>
        <v/>
      </c>
      <c r="W101" s="1" t="str">
        <f t="array" ref="W101">IFERROR(INDEX('Исходник'!$1:$626,MATCH($A101,'Исходник'!$T:$T,0),MATCH(W$1,'Исходник'!$1:$1,0)))</f>
        <v/>
      </c>
      <c r="X101" s="28">
        <f t="shared" si="10"/>
        <v>0</v>
      </c>
      <c r="Y101" s="1" t="str">
        <f t="array" ref="Y101">IFERROR(INDEX('Исходник'!$1:$626,MATCH($A101,'Исходник'!$T:$T,0),MATCH(Y$1,'Исходник'!$1:$1,0)))</f>
        <v/>
      </c>
      <c r="Z101" s="27">
        <f t="shared" si="11"/>
        <v>0</v>
      </c>
      <c r="AA101" s="27" t="str">
        <f t="shared" si="12"/>
        <v/>
      </c>
      <c r="AB101" s="1" t="str">
        <f t="array" ref="AB101">IFERROR(INDEX('Исходник'!$1:$626,MATCH($A101,'Исходник'!$T:$T,0),MATCH(AB$1,'Исходник'!$1:$1,0)))</f>
        <v/>
      </c>
      <c r="AC101" s="1" t="str">
        <f t="array" ref="AC101">IFERROR(INDEX('Исходник'!$1:$626,MATCH($A101,'Исходник'!$T:$T,0),MATCH(AC$1,'Исходник'!$1:$1,0)))</f>
        <v/>
      </c>
      <c r="AD101" s="27" t="str">
        <f t="shared" si="13"/>
        <v/>
      </c>
      <c r="AE101" s="1" t="str">
        <f t="array" ref="AE101">IFERROR(INDEX('Исходник'!$1:$626,MATCH($A101,'Исходник'!$T:$T,0),MATCH(AE$1,'Исходник'!$1:$1,0)))</f>
        <v/>
      </c>
      <c r="AF101" s="1" t="str">
        <f t="array" ref="AF101">IFERROR(INDEX('Исходник'!$1:$626,MATCH($A101,'Исходник'!$T:$T,0),MATCH(AF$1,'Исходник'!$1:$1,0)))</f>
        <v/>
      </c>
      <c r="AG101" s="27" t="str">
        <f t="shared" si="14"/>
        <v/>
      </c>
      <c r="AH101" s="1" t="str">
        <f t="array" ref="AH101">IFERROR(INDEX('Исходник'!$1:$626,MATCH($A101,'Исходник'!$T:$T,0),MATCH(AH$1,'Исходник'!$1:$1,0)))</f>
        <v/>
      </c>
      <c r="AI101" s="1" t="str">
        <f t="array" ref="AI101">IFERROR(INDEX('Исходник'!$1:$626,MATCH($A101,'Исходник'!$T:$T,0),MATCH(AI$1,'Исходник'!$1:$1,0)))</f>
        <v/>
      </c>
      <c r="AJ101" s="18">
        <f t="shared" si="15"/>
        <v>0</v>
      </c>
    </row>
    <row r="102" ht="15.75" customHeight="1">
      <c r="A102" s="27"/>
      <c r="B102" s="1" t="str">
        <f t="array" ref="B102">IFERROR(INDEX('Исходник'!$1:$626,MATCH($A102,'Исходник'!$T:$T,0),MATCH(B$1,'Исходник'!$1:$1,0)))</f>
        <v/>
      </c>
      <c r="C102" s="1" t="str">
        <f t="array" ref="C102">IFERROR(INDEX('Исходник'!$1:$626,MATCH($A102,'Исходник'!$T:$T,0),MATCH(C$1,'Исходник'!$1:$1,0)))</f>
        <v/>
      </c>
      <c r="D102" s="1" t="str">
        <f t="array" ref="D102">IFERROR(INDEX('Исходник'!$1:$626,MATCH($A102,'Исходник'!$T:$T,0),MATCH(D$1,'Исходник'!$1:$1,0)))</f>
        <v/>
      </c>
      <c r="E102" s="1" t="str">
        <f t="array" ref="E102">IFERROR(INDEX('Исходник'!$1:$626,MATCH($A102,'Исходник'!$T:$T,0),MATCH(E$1,'Исходник'!$1:$1,0)))</f>
        <v/>
      </c>
      <c r="F102" s="1" t="str">
        <f t="array" ref="F102">IFERROR(INDEX('Исходник'!$1:$626,MATCH($A102,'Исходник'!$T:$T,0),MATCH(F$1,'Исходник'!$1:$1,0)))</f>
        <v/>
      </c>
      <c r="G102" s="1" t="str">
        <f t="array" ref="G102">IFERROR(INDEX('Исходник'!$1:$626,MATCH($A102,'Исходник'!$T:$T,0),MATCH(G$1,'Исходник'!$1:$1,0)))</f>
        <v/>
      </c>
      <c r="H102" s="27">
        <f t="shared" si="1"/>
        <v>0</v>
      </c>
      <c r="I102" s="27" t="str">
        <f t="shared" si="2"/>
        <v/>
      </c>
      <c r="J102" s="1" t="str">
        <f t="array" ref="J102">IFERROR(INDEX('Исходник'!$1:$626,MATCH($A102,'Исходник'!$T:$T,0),MATCH(J$1,'Исходник'!$1:$1,0)))</f>
        <v/>
      </c>
      <c r="K102" s="27" t="str">
        <f t="shared" si="3"/>
        <v/>
      </c>
      <c r="L102" s="1" t="str">
        <f t="array" ref="L102">IFERROR(INDEX('Исходник'!$1:$626,MATCH($A102,'Исходник'!$T:$T,0),MATCH(L$1,'Исходник'!$1:$1,0)))</f>
        <v/>
      </c>
      <c r="M102" s="28">
        <f t="shared" si="4"/>
        <v>0</v>
      </c>
      <c r="N102" s="1" t="str">
        <f t="array" ref="N102">IFERROR(INDEX('Исходник'!$1:$626,MATCH($A102,'Исходник'!$T:$T,0),MATCH(N$1,'Исходник'!$1:$1,0)))</f>
        <v/>
      </c>
      <c r="O102" s="27">
        <f t="shared" si="5"/>
        <v>0</v>
      </c>
      <c r="P102" s="27" t="str">
        <f t="shared" si="6"/>
        <v/>
      </c>
      <c r="Q102" s="1" t="str">
        <f t="array" ref="Q102">IFERROR(INDEX('Исходник'!$1:$626,MATCH($A102,'Исходник'!$T:$T,0),MATCH(Q$1,'Исходник'!$1:$1,0)))</f>
        <v/>
      </c>
      <c r="R102" s="1" t="str">
        <f t="array" ref="R102">IFERROR(INDEX('Исходник'!$1:$626,MATCH($A102,'Исходник'!$T:$T,0),MATCH(R$1,'Исходник'!$1:$1,0)))</f>
        <v/>
      </c>
      <c r="S102" s="27">
        <f t="shared" si="7"/>
        <v>0</v>
      </c>
      <c r="T102" s="27" t="str">
        <f t="shared" si="8"/>
        <v/>
      </c>
      <c r="U102" s="1" t="str">
        <f t="array" ref="U102">IFERROR(INDEX('Исходник'!$1:$626,MATCH($A102,'Исходник'!$T:$T,0),MATCH(U$1,'Исходник'!$1:$1,0)))</f>
        <v/>
      </c>
      <c r="V102" s="27" t="str">
        <f t="shared" si="9"/>
        <v/>
      </c>
      <c r="W102" s="1" t="str">
        <f t="array" ref="W102">IFERROR(INDEX('Исходник'!$1:$626,MATCH($A102,'Исходник'!$T:$T,0),MATCH(W$1,'Исходник'!$1:$1,0)))</f>
        <v/>
      </c>
      <c r="X102" s="28">
        <f t="shared" si="10"/>
        <v>0</v>
      </c>
      <c r="Y102" s="1" t="str">
        <f t="array" ref="Y102">IFERROR(INDEX('Исходник'!$1:$626,MATCH($A102,'Исходник'!$T:$T,0),MATCH(Y$1,'Исходник'!$1:$1,0)))</f>
        <v/>
      </c>
      <c r="Z102" s="27">
        <f t="shared" si="11"/>
        <v>0</v>
      </c>
      <c r="AA102" s="27" t="str">
        <f t="shared" si="12"/>
        <v/>
      </c>
      <c r="AB102" s="1" t="str">
        <f t="array" ref="AB102">IFERROR(INDEX('Исходник'!$1:$626,MATCH($A102,'Исходник'!$T:$T,0),MATCH(AB$1,'Исходник'!$1:$1,0)))</f>
        <v/>
      </c>
      <c r="AC102" s="1" t="str">
        <f t="array" ref="AC102">IFERROR(INDEX('Исходник'!$1:$626,MATCH($A102,'Исходник'!$T:$T,0),MATCH(AC$1,'Исходник'!$1:$1,0)))</f>
        <v/>
      </c>
      <c r="AD102" s="27" t="str">
        <f t="shared" si="13"/>
        <v/>
      </c>
      <c r="AE102" s="1" t="str">
        <f t="array" ref="AE102">IFERROR(INDEX('Исходник'!$1:$626,MATCH($A102,'Исходник'!$T:$T,0),MATCH(AE$1,'Исходник'!$1:$1,0)))</f>
        <v/>
      </c>
      <c r="AF102" s="1" t="str">
        <f t="array" ref="AF102">IFERROR(INDEX('Исходник'!$1:$626,MATCH($A102,'Исходник'!$T:$T,0),MATCH(AF$1,'Исходник'!$1:$1,0)))</f>
        <v/>
      </c>
      <c r="AG102" s="27" t="str">
        <f t="shared" si="14"/>
        <v/>
      </c>
      <c r="AH102" s="1" t="str">
        <f t="array" ref="AH102">IFERROR(INDEX('Исходник'!$1:$626,MATCH($A102,'Исходник'!$T:$T,0),MATCH(AH$1,'Исходник'!$1:$1,0)))</f>
        <v/>
      </c>
      <c r="AI102" s="1" t="str">
        <f t="array" ref="AI102">IFERROR(INDEX('Исходник'!$1:$626,MATCH($A102,'Исходник'!$T:$T,0),MATCH(AI$1,'Исходник'!$1:$1,0)))</f>
        <v/>
      </c>
      <c r="AJ102" s="18">
        <f t="shared" si="15"/>
        <v>0</v>
      </c>
    </row>
    <row r="103" ht="15.75" customHeight="1">
      <c r="A103" s="27"/>
      <c r="B103" s="1" t="str">
        <f t="array" ref="B103">IFERROR(INDEX('Исходник'!$1:$626,MATCH($A103,'Исходник'!$T:$T,0),MATCH(B$1,'Исходник'!$1:$1,0)))</f>
        <v/>
      </c>
      <c r="C103" s="1" t="str">
        <f t="array" ref="C103">IFERROR(INDEX('Исходник'!$1:$626,MATCH($A103,'Исходник'!$T:$T,0),MATCH(C$1,'Исходник'!$1:$1,0)))</f>
        <v/>
      </c>
      <c r="D103" s="1" t="str">
        <f t="array" ref="D103">IFERROR(INDEX('Исходник'!$1:$626,MATCH($A103,'Исходник'!$T:$T,0),MATCH(D$1,'Исходник'!$1:$1,0)))</f>
        <v/>
      </c>
      <c r="E103" s="1" t="str">
        <f t="array" ref="E103">IFERROR(INDEX('Исходник'!$1:$626,MATCH($A103,'Исходник'!$T:$T,0),MATCH(E$1,'Исходник'!$1:$1,0)))</f>
        <v/>
      </c>
      <c r="F103" s="1" t="str">
        <f t="array" ref="F103">IFERROR(INDEX('Исходник'!$1:$626,MATCH($A103,'Исходник'!$T:$T,0),MATCH(F$1,'Исходник'!$1:$1,0)))</f>
        <v/>
      </c>
      <c r="G103" s="1" t="str">
        <f t="array" ref="G103">IFERROR(INDEX('Исходник'!$1:$626,MATCH($A103,'Исходник'!$T:$T,0),MATCH(G$1,'Исходник'!$1:$1,0)))</f>
        <v/>
      </c>
      <c r="H103" s="27">
        <f t="shared" si="1"/>
        <v>0</v>
      </c>
      <c r="I103" s="27" t="str">
        <f t="shared" si="2"/>
        <v/>
      </c>
      <c r="J103" s="1" t="str">
        <f t="array" ref="J103">IFERROR(INDEX('Исходник'!$1:$626,MATCH($A103,'Исходник'!$T:$T,0),MATCH(J$1,'Исходник'!$1:$1,0)))</f>
        <v/>
      </c>
      <c r="K103" s="27" t="str">
        <f t="shared" si="3"/>
        <v/>
      </c>
      <c r="L103" s="1" t="str">
        <f t="array" ref="L103">IFERROR(INDEX('Исходник'!$1:$626,MATCH($A103,'Исходник'!$T:$T,0),MATCH(L$1,'Исходник'!$1:$1,0)))</f>
        <v/>
      </c>
      <c r="M103" s="28">
        <f t="shared" si="4"/>
        <v>0</v>
      </c>
      <c r="N103" s="1" t="str">
        <f t="array" ref="N103">IFERROR(INDEX('Исходник'!$1:$626,MATCH($A103,'Исходник'!$T:$T,0),MATCH(N$1,'Исходник'!$1:$1,0)))</f>
        <v/>
      </c>
      <c r="O103" s="27">
        <f t="shared" si="5"/>
        <v>0</v>
      </c>
      <c r="P103" s="27" t="str">
        <f t="shared" si="6"/>
        <v/>
      </c>
      <c r="Q103" s="1" t="str">
        <f t="array" ref="Q103">IFERROR(INDEX('Исходник'!$1:$626,MATCH($A103,'Исходник'!$T:$T,0),MATCH(Q$1,'Исходник'!$1:$1,0)))</f>
        <v/>
      </c>
      <c r="R103" s="1" t="str">
        <f t="array" ref="R103">IFERROR(INDEX('Исходник'!$1:$626,MATCH($A103,'Исходник'!$T:$T,0),MATCH(R$1,'Исходник'!$1:$1,0)))</f>
        <v/>
      </c>
      <c r="S103" s="27">
        <f t="shared" si="7"/>
        <v>0</v>
      </c>
      <c r="T103" s="27" t="str">
        <f t="shared" si="8"/>
        <v/>
      </c>
      <c r="U103" s="1" t="str">
        <f t="array" ref="U103">IFERROR(INDEX('Исходник'!$1:$626,MATCH($A103,'Исходник'!$T:$T,0),MATCH(U$1,'Исходник'!$1:$1,0)))</f>
        <v/>
      </c>
      <c r="V103" s="27" t="str">
        <f t="shared" si="9"/>
        <v/>
      </c>
      <c r="W103" s="1" t="str">
        <f t="array" ref="W103">IFERROR(INDEX('Исходник'!$1:$626,MATCH($A103,'Исходник'!$T:$T,0),MATCH(W$1,'Исходник'!$1:$1,0)))</f>
        <v/>
      </c>
      <c r="X103" s="28">
        <f t="shared" si="10"/>
        <v>0</v>
      </c>
      <c r="Y103" s="1" t="str">
        <f t="array" ref="Y103">IFERROR(INDEX('Исходник'!$1:$626,MATCH($A103,'Исходник'!$T:$T,0),MATCH(Y$1,'Исходник'!$1:$1,0)))</f>
        <v/>
      </c>
      <c r="Z103" s="27">
        <f t="shared" si="11"/>
        <v>0</v>
      </c>
      <c r="AA103" s="27" t="str">
        <f t="shared" si="12"/>
        <v/>
      </c>
      <c r="AB103" s="1" t="str">
        <f t="array" ref="AB103">IFERROR(INDEX('Исходник'!$1:$626,MATCH($A103,'Исходник'!$T:$T,0),MATCH(AB$1,'Исходник'!$1:$1,0)))</f>
        <v/>
      </c>
      <c r="AC103" s="1" t="str">
        <f t="array" ref="AC103">IFERROR(INDEX('Исходник'!$1:$626,MATCH($A103,'Исходник'!$T:$T,0),MATCH(AC$1,'Исходник'!$1:$1,0)))</f>
        <v/>
      </c>
      <c r="AD103" s="27" t="str">
        <f t="shared" si="13"/>
        <v/>
      </c>
      <c r="AE103" s="1" t="str">
        <f t="array" ref="AE103">IFERROR(INDEX('Исходник'!$1:$626,MATCH($A103,'Исходник'!$T:$T,0),MATCH(AE$1,'Исходник'!$1:$1,0)))</f>
        <v/>
      </c>
      <c r="AF103" s="1" t="str">
        <f t="array" ref="AF103">IFERROR(INDEX('Исходник'!$1:$626,MATCH($A103,'Исходник'!$T:$T,0),MATCH(AF$1,'Исходник'!$1:$1,0)))</f>
        <v/>
      </c>
      <c r="AG103" s="27" t="str">
        <f t="shared" si="14"/>
        <v/>
      </c>
      <c r="AH103" s="1" t="str">
        <f t="array" ref="AH103">IFERROR(INDEX('Исходник'!$1:$626,MATCH($A103,'Исходник'!$T:$T,0),MATCH(AH$1,'Исходник'!$1:$1,0)))</f>
        <v/>
      </c>
      <c r="AI103" s="1" t="str">
        <f t="array" ref="AI103">IFERROR(INDEX('Исходник'!$1:$626,MATCH($A103,'Исходник'!$T:$T,0),MATCH(AI$1,'Исходник'!$1:$1,0)))</f>
        <v/>
      </c>
      <c r="AJ103" s="18">
        <f t="shared" si="15"/>
        <v>0</v>
      </c>
    </row>
    <row r="104" ht="15.75" customHeight="1">
      <c r="A104" s="27"/>
      <c r="B104" s="1" t="str">
        <f t="array" ref="B104">IFERROR(INDEX('Исходник'!$1:$626,MATCH($A104,'Исходник'!$T:$T,0),MATCH(B$1,'Исходник'!$1:$1,0)))</f>
        <v/>
      </c>
      <c r="C104" s="1" t="str">
        <f t="array" ref="C104">IFERROR(INDEX('Исходник'!$1:$626,MATCH($A104,'Исходник'!$T:$T,0),MATCH(C$1,'Исходник'!$1:$1,0)))</f>
        <v/>
      </c>
      <c r="D104" s="1" t="str">
        <f t="array" ref="D104">IFERROR(INDEX('Исходник'!$1:$626,MATCH($A104,'Исходник'!$T:$T,0),MATCH(D$1,'Исходник'!$1:$1,0)))</f>
        <v/>
      </c>
      <c r="E104" s="1" t="str">
        <f t="array" ref="E104">IFERROR(INDEX('Исходник'!$1:$626,MATCH($A104,'Исходник'!$T:$T,0),MATCH(E$1,'Исходник'!$1:$1,0)))</f>
        <v/>
      </c>
      <c r="F104" s="1" t="str">
        <f t="array" ref="F104">IFERROR(INDEX('Исходник'!$1:$626,MATCH($A104,'Исходник'!$T:$T,0),MATCH(F$1,'Исходник'!$1:$1,0)))</f>
        <v/>
      </c>
      <c r="G104" s="1" t="str">
        <f t="array" ref="G104">IFERROR(INDEX('Исходник'!$1:$626,MATCH($A104,'Исходник'!$T:$T,0),MATCH(G$1,'Исходник'!$1:$1,0)))</f>
        <v/>
      </c>
      <c r="H104" s="27">
        <f t="shared" si="1"/>
        <v>0</v>
      </c>
      <c r="I104" s="27" t="str">
        <f t="shared" si="2"/>
        <v/>
      </c>
      <c r="J104" s="1" t="str">
        <f t="array" ref="J104">IFERROR(INDEX('Исходник'!$1:$626,MATCH($A104,'Исходник'!$T:$T,0),MATCH(J$1,'Исходник'!$1:$1,0)))</f>
        <v/>
      </c>
      <c r="K104" s="27" t="str">
        <f t="shared" si="3"/>
        <v/>
      </c>
      <c r="L104" s="1" t="str">
        <f t="array" ref="L104">IFERROR(INDEX('Исходник'!$1:$626,MATCH($A104,'Исходник'!$T:$T,0),MATCH(L$1,'Исходник'!$1:$1,0)))</f>
        <v/>
      </c>
      <c r="M104" s="28">
        <f t="shared" si="4"/>
        <v>0</v>
      </c>
      <c r="N104" s="1" t="str">
        <f t="array" ref="N104">IFERROR(INDEX('Исходник'!$1:$626,MATCH($A104,'Исходник'!$T:$T,0),MATCH(N$1,'Исходник'!$1:$1,0)))</f>
        <v/>
      </c>
      <c r="O104" s="27">
        <f t="shared" si="5"/>
        <v>0</v>
      </c>
      <c r="P104" s="27" t="str">
        <f t="shared" si="6"/>
        <v/>
      </c>
      <c r="Q104" s="1" t="str">
        <f t="array" ref="Q104">IFERROR(INDEX('Исходник'!$1:$626,MATCH($A104,'Исходник'!$T:$T,0),MATCH(Q$1,'Исходник'!$1:$1,0)))</f>
        <v/>
      </c>
      <c r="R104" s="1" t="str">
        <f t="array" ref="R104">IFERROR(INDEX('Исходник'!$1:$626,MATCH($A104,'Исходник'!$T:$T,0),MATCH(R$1,'Исходник'!$1:$1,0)))</f>
        <v/>
      </c>
      <c r="S104" s="27">
        <f t="shared" si="7"/>
        <v>0</v>
      </c>
      <c r="T104" s="27" t="str">
        <f t="shared" si="8"/>
        <v/>
      </c>
      <c r="U104" s="1" t="str">
        <f t="array" ref="U104">IFERROR(INDEX('Исходник'!$1:$626,MATCH($A104,'Исходник'!$T:$T,0),MATCH(U$1,'Исходник'!$1:$1,0)))</f>
        <v/>
      </c>
      <c r="V104" s="27" t="str">
        <f t="shared" si="9"/>
        <v/>
      </c>
      <c r="W104" s="1" t="str">
        <f t="array" ref="W104">IFERROR(INDEX('Исходник'!$1:$626,MATCH($A104,'Исходник'!$T:$T,0),MATCH(W$1,'Исходник'!$1:$1,0)))</f>
        <v/>
      </c>
      <c r="X104" s="28">
        <f t="shared" si="10"/>
        <v>0</v>
      </c>
      <c r="Y104" s="1" t="str">
        <f t="array" ref="Y104">IFERROR(INDEX('Исходник'!$1:$626,MATCH($A104,'Исходник'!$T:$T,0),MATCH(Y$1,'Исходник'!$1:$1,0)))</f>
        <v/>
      </c>
      <c r="Z104" s="27">
        <f t="shared" si="11"/>
        <v>0</v>
      </c>
      <c r="AA104" s="27" t="str">
        <f t="shared" si="12"/>
        <v/>
      </c>
      <c r="AB104" s="1" t="str">
        <f t="array" ref="AB104">IFERROR(INDEX('Исходник'!$1:$626,MATCH($A104,'Исходник'!$T:$T,0),MATCH(AB$1,'Исходник'!$1:$1,0)))</f>
        <v/>
      </c>
      <c r="AC104" s="1" t="str">
        <f t="array" ref="AC104">IFERROR(INDEX('Исходник'!$1:$626,MATCH($A104,'Исходник'!$T:$T,0),MATCH(AC$1,'Исходник'!$1:$1,0)))</f>
        <v/>
      </c>
      <c r="AD104" s="27" t="str">
        <f t="shared" si="13"/>
        <v/>
      </c>
      <c r="AE104" s="1" t="str">
        <f t="array" ref="AE104">IFERROR(INDEX('Исходник'!$1:$626,MATCH($A104,'Исходник'!$T:$T,0),MATCH(AE$1,'Исходник'!$1:$1,0)))</f>
        <v/>
      </c>
      <c r="AF104" s="1" t="str">
        <f t="array" ref="AF104">IFERROR(INDEX('Исходник'!$1:$626,MATCH($A104,'Исходник'!$T:$T,0),MATCH(AF$1,'Исходник'!$1:$1,0)))</f>
        <v/>
      </c>
      <c r="AG104" s="27" t="str">
        <f t="shared" si="14"/>
        <v/>
      </c>
      <c r="AH104" s="1" t="str">
        <f t="array" ref="AH104">IFERROR(INDEX('Исходник'!$1:$626,MATCH($A104,'Исходник'!$T:$T,0),MATCH(AH$1,'Исходник'!$1:$1,0)))</f>
        <v/>
      </c>
      <c r="AI104" s="1" t="str">
        <f t="array" ref="AI104">IFERROR(INDEX('Исходник'!$1:$626,MATCH($A104,'Исходник'!$T:$T,0),MATCH(AI$1,'Исходник'!$1:$1,0)))</f>
        <v/>
      </c>
      <c r="AJ104" s="18">
        <f t="shared" si="15"/>
        <v>0</v>
      </c>
    </row>
    <row r="105" ht="15.75" customHeight="1">
      <c r="A105" s="27"/>
      <c r="B105" s="1" t="str">
        <f t="array" ref="B105">IFERROR(INDEX('Исходник'!$1:$626,MATCH($A105,'Исходник'!$T:$T,0),MATCH(B$1,'Исходник'!$1:$1,0)))</f>
        <v/>
      </c>
      <c r="C105" s="1" t="str">
        <f t="array" ref="C105">IFERROR(INDEX('Исходник'!$1:$626,MATCH($A105,'Исходник'!$T:$T,0),MATCH(C$1,'Исходник'!$1:$1,0)))</f>
        <v/>
      </c>
      <c r="D105" s="1" t="str">
        <f t="array" ref="D105">IFERROR(INDEX('Исходник'!$1:$626,MATCH($A105,'Исходник'!$T:$T,0),MATCH(D$1,'Исходник'!$1:$1,0)))</f>
        <v/>
      </c>
      <c r="E105" s="1" t="str">
        <f t="array" ref="E105">IFERROR(INDEX('Исходник'!$1:$626,MATCH($A105,'Исходник'!$T:$T,0),MATCH(E$1,'Исходник'!$1:$1,0)))</f>
        <v/>
      </c>
      <c r="F105" s="1" t="str">
        <f t="array" ref="F105">IFERROR(INDEX('Исходник'!$1:$626,MATCH($A105,'Исходник'!$T:$T,0),MATCH(F$1,'Исходник'!$1:$1,0)))</f>
        <v/>
      </c>
      <c r="G105" s="1" t="str">
        <f t="array" ref="G105">IFERROR(INDEX('Исходник'!$1:$626,MATCH($A105,'Исходник'!$T:$T,0),MATCH(G$1,'Исходник'!$1:$1,0)))</f>
        <v/>
      </c>
      <c r="H105" s="27">
        <f t="shared" si="1"/>
        <v>0</v>
      </c>
      <c r="I105" s="27" t="str">
        <f t="shared" si="2"/>
        <v/>
      </c>
      <c r="J105" s="1" t="str">
        <f t="array" ref="J105">IFERROR(INDEX('Исходник'!$1:$626,MATCH($A105,'Исходник'!$T:$T,0),MATCH(J$1,'Исходник'!$1:$1,0)))</f>
        <v/>
      </c>
      <c r="K105" s="27" t="str">
        <f t="shared" si="3"/>
        <v/>
      </c>
      <c r="L105" s="1" t="str">
        <f t="array" ref="L105">IFERROR(INDEX('Исходник'!$1:$626,MATCH($A105,'Исходник'!$T:$T,0),MATCH(L$1,'Исходник'!$1:$1,0)))</f>
        <v/>
      </c>
      <c r="M105" s="28">
        <f t="shared" si="4"/>
        <v>0</v>
      </c>
      <c r="N105" s="1" t="str">
        <f t="array" ref="N105">IFERROR(INDEX('Исходник'!$1:$626,MATCH($A105,'Исходник'!$T:$T,0),MATCH(N$1,'Исходник'!$1:$1,0)))</f>
        <v/>
      </c>
      <c r="O105" s="27">
        <f t="shared" si="5"/>
        <v>0</v>
      </c>
      <c r="P105" s="27" t="str">
        <f t="shared" si="6"/>
        <v/>
      </c>
      <c r="Q105" s="1" t="str">
        <f t="array" ref="Q105">IFERROR(INDEX('Исходник'!$1:$626,MATCH($A105,'Исходник'!$T:$T,0),MATCH(Q$1,'Исходник'!$1:$1,0)))</f>
        <v/>
      </c>
      <c r="R105" s="1" t="str">
        <f t="array" ref="R105">IFERROR(INDEX('Исходник'!$1:$626,MATCH($A105,'Исходник'!$T:$T,0),MATCH(R$1,'Исходник'!$1:$1,0)))</f>
        <v/>
      </c>
      <c r="S105" s="27">
        <f t="shared" si="7"/>
        <v>0</v>
      </c>
      <c r="T105" s="27" t="str">
        <f t="shared" si="8"/>
        <v/>
      </c>
      <c r="U105" s="1" t="str">
        <f t="array" ref="U105">IFERROR(INDEX('Исходник'!$1:$626,MATCH($A105,'Исходник'!$T:$T,0),MATCH(U$1,'Исходник'!$1:$1,0)))</f>
        <v/>
      </c>
      <c r="V105" s="27" t="str">
        <f t="shared" si="9"/>
        <v/>
      </c>
      <c r="W105" s="1" t="str">
        <f t="array" ref="W105">IFERROR(INDEX('Исходник'!$1:$626,MATCH($A105,'Исходник'!$T:$T,0),MATCH(W$1,'Исходник'!$1:$1,0)))</f>
        <v/>
      </c>
      <c r="X105" s="28">
        <f t="shared" si="10"/>
        <v>0</v>
      </c>
      <c r="Y105" s="1" t="str">
        <f t="array" ref="Y105">IFERROR(INDEX('Исходник'!$1:$626,MATCH($A105,'Исходник'!$T:$T,0),MATCH(Y$1,'Исходник'!$1:$1,0)))</f>
        <v/>
      </c>
      <c r="Z105" s="27">
        <f t="shared" si="11"/>
        <v>0</v>
      </c>
      <c r="AA105" s="27" t="str">
        <f t="shared" si="12"/>
        <v/>
      </c>
      <c r="AB105" s="1" t="str">
        <f t="array" ref="AB105">IFERROR(INDEX('Исходник'!$1:$626,MATCH($A105,'Исходник'!$T:$T,0),MATCH(AB$1,'Исходник'!$1:$1,0)))</f>
        <v/>
      </c>
      <c r="AC105" s="1" t="str">
        <f t="array" ref="AC105">IFERROR(INDEX('Исходник'!$1:$626,MATCH($A105,'Исходник'!$T:$T,0),MATCH(AC$1,'Исходник'!$1:$1,0)))</f>
        <v/>
      </c>
      <c r="AD105" s="27" t="str">
        <f t="shared" si="13"/>
        <v/>
      </c>
      <c r="AE105" s="1" t="str">
        <f t="array" ref="AE105">IFERROR(INDEX('Исходник'!$1:$626,MATCH($A105,'Исходник'!$T:$T,0),MATCH(AE$1,'Исходник'!$1:$1,0)))</f>
        <v/>
      </c>
      <c r="AF105" s="1" t="str">
        <f t="array" ref="AF105">IFERROR(INDEX('Исходник'!$1:$626,MATCH($A105,'Исходник'!$T:$T,0),MATCH(AF$1,'Исходник'!$1:$1,0)))</f>
        <v/>
      </c>
      <c r="AG105" s="27" t="str">
        <f t="shared" si="14"/>
        <v/>
      </c>
      <c r="AH105" s="1" t="str">
        <f t="array" ref="AH105">IFERROR(INDEX('Исходник'!$1:$626,MATCH($A105,'Исходник'!$T:$T,0),MATCH(AH$1,'Исходник'!$1:$1,0)))</f>
        <v/>
      </c>
      <c r="AI105" s="1" t="str">
        <f t="array" ref="AI105">IFERROR(INDEX('Исходник'!$1:$626,MATCH($A105,'Исходник'!$T:$T,0),MATCH(AI$1,'Исходник'!$1:$1,0)))</f>
        <v/>
      </c>
      <c r="AJ105" s="18">
        <f t="shared" si="15"/>
        <v>0</v>
      </c>
    </row>
    <row r="106" ht="15.75" customHeight="1">
      <c r="A106" s="27"/>
      <c r="B106" s="1" t="str">
        <f t="array" ref="B106">IFERROR(INDEX('Исходник'!$1:$626,MATCH($A106,'Исходник'!$T:$T,0),MATCH(B$1,'Исходник'!$1:$1,0)))</f>
        <v/>
      </c>
      <c r="C106" s="1" t="str">
        <f t="array" ref="C106">IFERROR(INDEX('Исходник'!$1:$626,MATCH($A106,'Исходник'!$T:$T,0),MATCH(C$1,'Исходник'!$1:$1,0)))</f>
        <v/>
      </c>
      <c r="D106" s="1" t="str">
        <f t="array" ref="D106">IFERROR(INDEX('Исходник'!$1:$626,MATCH($A106,'Исходник'!$T:$T,0),MATCH(D$1,'Исходник'!$1:$1,0)))</f>
        <v/>
      </c>
      <c r="E106" s="1" t="str">
        <f t="array" ref="E106">IFERROR(INDEX('Исходник'!$1:$626,MATCH($A106,'Исходник'!$T:$T,0),MATCH(E$1,'Исходник'!$1:$1,0)))</f>
        <v/>
      </c>
      <c r="F106" s="1" t="str">
        <f t="array" ref="F106">IFERROR(INDEX('Исходник'!$1:$626,MATCH($A106,'Исходник'!$T:$T,0),MATCH(F$1,'Исходник'!$1:$1,0)))</f>
        <v/>
      </c>
      <c r="G106" s="1" t="str">
        <f t="array" ref="G106">IFERROR(INDEX('Исходник'!$1:$626,MATCH($A106,'Исходник'!$T:$T,0),MATCH(G$1,'Исходник'!$1:$1,0)))</f>
        <v/>
      </c>
      <c r="H106" s="27">
        <f t="shared" si="1"/>
        <v>0</v>
      </c>
      <c r="I106" s="27" t="str">
        <f t="shared" si="2"/>
        <v/>
      </c>
      <c r="J106" s="1" t="str">
        <f t="array" ref="J106">IFERROR(INDEX('Исходник'!$1:$626,MATCH($A106,'Исходник'!$T:$T,0),MATCH(J$1,'Исходник'!$1:$1,0)))</f>
        <v/>
      </c>
      <c r="K106" s="27" t="str">
        <f t="shared" si="3"/>
        <v/>
      </c>
      <c r="L106" s="1" t="str">
        <f t="array" ref="L106">IFERROR(INDEX('Исходник'!$1:$626,MATCH($A106,'Исходник'!$T:$T,0),MATCH(L$1,'Исходник'!$1:$1,0)))</f>
        <v/>
      </c>
      <c r="M106" s="28">
        <f t="shared" si="4"/>
        <v>0</v>
      </c>
      <c r="N106" s="1" t="str">
        <f t="array" ref="N106">IFERROR(INDEX('Исходник'!$1:$626,MATCH($A106,'Исходник'!$T:$T,0),MATCH(N$1,'Исходник'!$1:$1,0)))</f>
        <v/>
      </c>
      <c r="O106" s="27">
        <f t="shared" si="5"/>
        <v>0</v>
      </c>
      <c r="P106" s="27" t="str">
        <f t="shared" si="6"/>
        <v/>
      </c>
      <c r="Q106" s="1" t="str">
        <f t="array" ref="Q106">IFERROR(INDEX('Исходник'!$1:$626,MATCH($A106,'Исходник'!$T:$T,0),MATCH(Q$1,'Исходник'!$1:$1,0)))</f>
        <v/>
      </c>
      <c r="R106" s="1" t="str">
        <f t="array" ref="R106">IFERROR(INDEX('Исходник'!$1:$626,MATCH($A106,'Исходник'!$T:$T,0),MATCH(R$1,'Исходник'!$1:$1,0)))</f>
        <v/>
      </c>
      <c r="S106" s="27">
        <f t="shared" si="7"/>
        <v>0</v>
      </c>
      <c r="T106" s="27" t="str">
        <f t="shared" si="8"/>
        <v/>
      </c>
      <c r="U106" s="1" t="str">
        <f t="array" ref="U106">IFERROR(INDEX('Исходник'!$1:$626,MATCH($A106,'Исходник'!$T:$T,0),MATCH(U$1,'Исходник'!$1:$1,0)))</f>
        <v/>
      </c>
      <c r="V106" s="27" t="str">
        <f t="shared" si="9"/>
        <v/>
      </c>
      <c r="W106" s="1" t="str">
        <f t="array" ref="W106">IFERROR(INDEX('Исходник'!$1:$626,MATCH($A106,'Исходник'!$T:$T,0),MATCH(W$1,'Исходник'!$1:$1,0)))</f>
        <v/>
      </c>
      <c r="X106" s="28">
        <f t="shared" si="10"/>
        <v>0</v>
      </c>
      <c r="Y106" s="1" t="str">
        <f t="array" ref="Y106">IFERROR(INDEX('Исходник'!$1:$626,MATCH($A106,'Исходник'!$T:$T,0),MATCH(Y$1,'Исходник'!$1:$1,0)))</f>
        <v/>
      </c>
      <c r="Z106" s="27">
        <f t="shared" si="11"/>
        <v>0</v>
      </c>
      <c r="AA106" s="27" t="str">
        <f t="shared" si="12"/>
        <v/>
      </c>
      <c r="AB106" s="1" t="str">
        <f t="array" ref="AB106">IFERROR(INDEX('Исходник'!$1:$626,MATCH($A106,'Исходник'!$T:$T,0),MATCH(AB$1,'Исходник'!$1:$1,0)))</f>
        <v/>
      </c>
      <c r="AC106" s="1" t="str">
        <f t="array" ref="AC106">IFERROR(INDEX('Исходник'!$1:$626,MATCH($A106,'Исходник'!$T:$T,0),MATCH(AC$1,'Исходник'!$1:$1,0)))</f>
        <v/>
      </c>
      <c r="AD106" s="27" t="str">
        <f t="shared" si="13"/>
        <v/>
      </c>
      <c r="AE106" s="1" t="str">
        <f t="array" ref="AE106">IFERROR(INDEX('Исходник'!$1:$626,MATCH($A106,'Исходник'!$T:$T,0),MATCH(AE$1,'Исходник'!$1:$1,0)))</f>
        <v/>
      </c>
      <c r="AF106" s="1" t="str">
        <f t="array" ref="AF106">IFERROR(INDEX('Исходник'!$1:$626,MATCH($A106,'Исходник'!$T:$T,0),MATCH(AF$1,'Исходник'!$1:$1,0)))</f>
        <v/>
      </c>
      <c r="AG106" s="27" t="str">
        <f t="shared" si="14"/>
        <v/>
      </c>
      <c r="AH106" s="1" t="str">
        <f t="array" ref="AH106">IFERROR(INDEX('Исходник'!$1:$626,MATCH($A106,'Исходник'!$T:$T,0),MATCH(AH$1,'Исходник'!$1:$1,0)))</f>
        <v/>
      </c>
      <c r="AI106" s="1" t="str">
        <f t="array" ref="AI106">IFERROR(INDEX('Исходник'!$1:$626,MATCH($A106,'Исходник'!$T:$T,0),MATCH(AI$1,'Исходник'!$1:$1,0)))</f>
        <v/>
      </c>
      <c r="AJ106" s="18">
        <f t="shared" si="15"/>
        <v>0</v>
      </c>
    </row>
    <row r="107" ht="15.75" customHeight="1">
      <c r="A107" s="27"/>
      <c r="B107" s="1" t="str">
        <f t="array" ref="B107">IFERROR(INDEX('Исходник'!$1:$626,MATCH($A107,'Исходник'!$T:$T,0),MATCH(B$1,'Исходник'!$1:$1,0)))</f>
        <v/>
      </c>
      <c r="C107" s="1" t="str">
        <f t="array" ref="C107">IFERROR(INDEX('Исходник'!$1:$626,MATCH($A107,'Исходник'!$T:$T,0),MATCH(C$1,'Исходник'!$1:$1,0)))</f>
        <v/>
      </c>
      <c r="D107" s="1" t="str">
        <f t="array" ref="D107">IFERROR(INDEX('Исходник'!$1:$626,MATCH($A107,'Исходник'!$T:$T,0),MATCH(D$1,'Исходник'!$1:$1,0)))</f>
        <v/>
      </c>
      <c r="E107" s="1" t="str">
        <f t="array" ref="E107">IFERROR(INDEX('Исходник'!$1:$626,MATCH($A107,'Исходник'!$T:$T,0),MATCH(E$1,'Исходник'!$1:$1,0)))</f>
        <v/>
      </c>
      <c r="F107" s="1" t="str">
        <f t="array" ref="F107">IFERROR(INDEX('Исходник'!$1:$626,MATCH($A107,'Исходник'!$T:$T,0),MATCH(F$1,'Исходник'!$1:$1,0)))</f>
        <v/>
      </c>
      <c r="G107" s="1" t="str">
        <f t="array" ref="G107">IFERROR(INDEX('Исходник'!$1:$626,MATCH($A107,'Исходник'!$T:$T,0),MATCH(G$1,'Исходник'!$1:$1,0)))</f>
        <v/>
      </c>
      <c r="H107" s="27">
        <f t="shared" si="1"/>
        <v>0</v>
      </c>
      <c r="I107" s="27" t="str">
        <f t="shared" si="2"/>
        <v/>
      </c>
      <c r="J107" s="1" t="str">
        <f t="array" ref="J107">IFERROR(INDEX('Исходник'!$1:$626,MATCH($A107,'Исходник'!$T:$T,0),MATCH(J$1,'Исходник'!$1:$1,0)))</f>
        <v/>
      </c>
      <c r="K107" s="27" t="str">
        <f t="shared" si="3"/>
        <v/>
      </c>
      <c r="L107" s="1" t="str">
        <f t="array" ref="L107">IFERROR(INDEX('Исходник'!$1:$626,MATCH($A107,'Исходник'!$T:$T,0),MATCH(L$1,'Исходник'!$1:$1,0)))</f>
        <v/>
      </c>
      <c r="M107" s="28">
        <f t="shared" si="4"/>
        <v>0</v>
      </c>
      <c r="N107" s="1" t="str">
        <f t="array" ref="N107">IFERROR(INDEX('Исходник'!$1:$626,MATCH($A107,'Исходник'!$T:$T,0),MATCH(N$1,'Исходник'!$1:$1,0)))</f>
        <v/>
      </c>
      <c r="O107" s="27">
        <f t="shared" si="5"/>
        <v>0</v>
      </c>
      <c r="P107" s="27" t="str">
        <f t="shared" si="6"/>
        <v/>
      </c>
      <c r="Q107" s="1" t="str">
        <f t="array" ref="Q107">IFERROR(INDEX('Исходник'!$1:$626,MATCH($A107,'Исходник'!$T:$T,0),MATCH(Q$1,'Исходник'!$1:$1,0)))</f>
        <v/>
      </c>
      <c r="R107" s="1" t="str">
        <f t="array" ref="R107">IFERROR(INDEX('Исходник'!$1:$626,MATCH($A107,'Исходник'!$T:$T,0),MATCH(R$1,'Исходник'!$1:$1,0)))</f>
        <v/>
      </c>
      <c r="S107" s="27">
        <f t="shared" si="7"/>
        <v>0</v>
      </c>
      <c r="T107" s="27" t="str">
        <f t="shared" si="8"/>
        <v/>
      </c>
      <c r="U107" s="1" t="str">
        <f t="array" ref="U107">IFERROR(INDEX('Исходник'!$1:$626,MATCH($A107,'Исходник'!$T:$T,0),MATCH(U$1,'Исходник'!$1:$1,0)))</f>
        <v/>
      </c>
      <c r="V107" s="27" t="str">
        <f t="shared" si="9"/>
        <v/>
      </c>
      <c r="W107" s="1" t="str">
        <f t="array" ref="W107">IFERROR(INDEX('Исходник'!$1:$626,MATCH($A107,'Исходник'!$T:$T,0),MATCH(W$1,'Исходник'!$1:$1,0)))</f>
        <v/>
      </c>
      <c r="X107" s="28">
        <f t="shared" si="10"/>
        <v>0</v>
      </c>
      <c r="Y107" s="1" t="str">
        <f t="array" ref="Y107">IFERROR(INDEX('Исходник'!$1:$626,MATCH($A107,'Исходник'!$T:$T,0),MATCH(Y$1,'Исходник'!$1:$1,0)))</f>
        <v/>
      </c>
      <c r="Z107" s="27">
        <f t="shared" si="11"/>
        <v>0</v>
      </c>
      <c r="AA107" s="27" t="str">
        <f t="shared" si="12"/>
        <v/>
      </c>
      <c r="AB107" s="1" t="str">
        <f t="array" ref="AB107">IFERROR(INDEX('Исходник'!$1:$626,MATCH($A107,'Исходник'!$T:$T,0),MATCH(AB$1,'Исходник'!$1:$1,0)))</f>
        <v/>
      </c>
      <c r="AC107" s="1" t="str">
        <f t="array" ref="AC107">IFERROR(INDEX('Исходник'!$1:$626,MATCH($A107,'Исходник'!$T:$T,0),MATCH(AC$1,'Исходник'!$1:$1,0)))</f>
        <v/>
      </c>
      <c r="AD107" s="27" t="str">
        <f t="shared" si="13"/>
        <v/>
      </c>
      <c r="AE107" s="1" t="str">
        <f t="array" ref="AE107">IFERROR(INDEX('Исходник'!$1:$626,MATCH($A107,'Исходник'!$T:$T,0),MATCH(AE$1,'Исходник'!$1:$1,0)))</f>
        <v/>
      </c>
      <c r="AF107" s="1" t="str">
        <f t="array" ref="AF107">IFERROR(INDEX('Исходник'!$1:$626,MATCH($A107,'Исходник'!$T:$T,0),MATCH(AF$1,'Исходник'!$1:$1,0)))</f>
        <v/>
      </c>
      <c r="AG107" s="27" t="str">
        <f t="shared" si="14"/>
        <v/>
      </c>
      <c r="AH107" s="1" t="str">
        <f t="array" ref="AH107">IFERROR(INDEX('Исходник'!$1:$626,MATCH($A107,'Исходник'!$T:$T,0),MATCH(AH$1,'Исходник'!$1:$1,0)))</f>
        <v/>
      </c>
      <c r="AI107" s="1" t="str">
        <f t="array" ref="AI107">IFERROR(INDEX('Исходник'!$1:$626,MATCH($A107,'Исходник'!$T:$T,0),MATCH(AI$1,'Исходник'!$1:$1,0)))</f>
        <v/>
      </c>
      <c r="AJ107" s="18">
        <f t="shared" si="15"/>
        <v>0</v>
      </c>
    </row>
    <row r="108" ht="15.75" customHeight="1">
      <c r="A108" s="27"/>
      <c r="B108" s="1" t="str">
        <f t="array" ref="B108">IFERROR(INDEX('Исходник'!$1:$626,MATCH($A108,'Исходник'!$T:$T,0),MATCH(B$1,'Исходник'!$1:$1,0)))</f>
        <v/>
      </c>
      <c r="C108" s="1" t="str">
        <f t="array" ref="C108">IFERROR(INDEX('Исходник'!$1:$626,MATCH($A108,'Исходник'!$T:$T,0),MATCH(C$1,'Исходник'!$1:$1,0)))</f>
        <v/>
      </c>
      <c r="D108" s="1" t="str">
        <f t="array" ref="D108">IFERROR(INDEX('Исходник'!$1:$626,MATCH($A108,'Исходник'!$T:$T,0),MATCH(D$1,'Исходник'!$1:$1,0)))</f>
        <v/>
      </c>
      <c r="E108" s="1" t="str">
        <f t="array" ref="E108">IFERROR(INDEX('Исходник'!$1:$626,MATCH($A108,'Исходник'!$T:$T,0),MATCH(E$1,'Исходник'!$1:$1,0)))</f>
        <v/>
      </c>
      <c r="F108" s="1" t="str">
        <f t="array" ref="F108">IFERROR(INDEX('Исходник'!$1:$626,MATCH($A108,'Исходник'!$T:$T,0),MATCH(F$1,'Исходник'!$1:$1,0)))</f>
        <v/>
      </c>
      <c r="G108" s="1" t="str">
        <f t="array" ref="G108">IFERROR(INDEX('Исходник'!$1:$626,MATCH($A108,'Исходник'!$T:$T,0),MATCH(G$1,'Исходник'!$1:$1,0)))</f>
        <v/>
      </c>
      <c r="H108" s="27">
        <f t="shared" si="1"/>
        <v>0</v>
      </c>
      <c r="I108" s="27" t="str">
        <f t="shared" si="2"/>
        <v/>
      </c>
      <c r="J108" s="1" t="str">
        <f t="array" ref="J108">IFERROR(INDEX('Исходник'!$1:$626,MATCH($A108,'Исходник'!$T:$T,0),MATCH(J$1,'Исходник'!$1:$1,0)))</f>
        <v/>
      </c>
      <c r="K108" s="27" t="str">
        <f t="shared" si="3"/>
        <v/>
      </c>
      <c r="L108" s="1" t="str">
        <f t="array" ref="L108">IFERROR(INDEX('Исходник'!$1:$626,MATCH($A108,'Исходник'!$T:$T,0),MATCH(L$1,'Исходник'!$1:$1,0)))</f>
        <v/>
      </c>
      <c r="M108" s="28">
        <f t="shared" si="4"/>
        <v>0</v>
      </c>
      <c r="N108" s="1" t="str">
        <f t="array" ref="N108">IFERROR(INDEX('Исходник'!$1:$626,MATCH($A108,'Исходник'!$T:$T,0),MATCH(N$1,'Исходник'!$1:$1,0)))</f>
        <v/>
      </c>
      <c r="O108" s="27">
        <f t="shared" si="5"/>
        <v>0</v>
      </c>
      <c r="P108" s="27" t="str">
        <f t="shared" si="6"/>
        <v/>
      </c>
      <c r="Q108" s="1" t="str">
        <f t="array" ref="Q108">IFERROR(INDEX('Исходник'!$1:$626,MATCH($A108,'Исходник'!$T:$T,0),MATCH(Q$1,'Исходник'!$1:$1,0)))</f>
        <v/>
      </c>
      <c r="R108" s="1" t="str">
        <f t="array" ref="R108">IFERROR(INDEX('Исходник'!$1:$626,MATCH($A108,'Исходник'!$T:$T,0),MATCH(R$1,'Исходник'!$1:$1,0)))</f>
        <v/>
      </c>
      <c r="S108" s="27">
        <f t="shared" si="7"/>
        <v>0</v>
      </c>
      <c r="T108" s="27" t="str">
        <f t="shared" si="8"/>
        <v/>
      </c>
      <c r="U108" s="1" t="str">
        <f t="array" ref="U108">IFERROR(INDEX('Исходник'!$1:$626,MATCH($A108,'Исходник'!$T:$T,0),MATCH(U$1,'Исходник'!$1:$1,0)))</f>
        <v/>
      </c>
      <c r="V108" s="27" t="str">
        <f t="shared" si="9"/>
        <v/>
      </c>
      <c r="W108" s="1" t="str">
        <f t="array" ref="W108">IFERROR(INDEX('Исходник'!$1:$626,MATCH($A108,'Исходник'!$T:$T,0),MATCH(W$1,'Исходник'!$1:$1,0)))</f>
        <v/>
      </c>
      <c r="X108" s="28">
        <f t="shared" si="10"/>
        <v>0</v>
      </c>
      <c r="Y108" s="1" t="str">
        <f t="array" ref="Y108">IFERROR(INDEX('Исходник'!$1:$626,MATCH($A108,'Исходник'!$T:$T,0),MATCH(Y$1,'Исходник'!$1:$1,0)))</f>
        <v/>
      </c>
      <c r="Z108" s="27">
        <f t="shared" si="11"/>
        <v>0</v>
      </c>
      <c r="AA108" s="27" t="str">
        <f t="shared" si="12"/>
        <v/>
      </c>
      <c r="AB108" s="1" t="str">
        <f t="array" ref="AB108">IFERROR(INDEX('Исходник'!$1:$626,MATCH($A108,'Исходник'!$T:$T,0),MATCH(AB$1,'Исходник'!$1:$1,0)))</f>
        <v/>
      </c>
      <c r="AC108" s="1" t="str">
        <f t="array" ref="AC108">IFERROR(INDEX('Исходник'!$1:$626,MATCH($A108,'Исходник'!$T:$T,0),MATCH(AC$1,'Исходник'!$1:$1,0)))</f>
        <v/>
      </c>
      <c r="AD108" s="27" t="str">
        <f t="shared" si="13"/>
        <v/>
      </c>
      <c r="AE108" s="1" t="str">
        <f t="array" ref="AE108">IFERROR(INDEX('Исходник'!$1:$626,MATCH($A108,'Исходник'!$T:$T,0),MATCH(AE$1,'Исходник'!$1:$1,0)))</f>
        <v/>
      </c>
      <c r="AF108" s="1" t="str">
        <f t="array" ref="AF108">IFERROR(INDEX('Исходник'!$1:$626,MATCH($A108,'Исходник'!$T:$T,0),MATCH(AF$1,'Исходник'!$1:$1,0)))</f>
        <v/>
      </c>
      <c r="AG108" s="27" t="str">
        <f t="shared" si="14"/>
        <v/>
      </c>
      <c r="AH108" s="1" t="str">
        <f t="array" ref="AH108">IFERROR(INDEX('Исходник'!$1:$626,MATCH($A108,'Исходник'!$T:$T,0),MATCH(AH$1,'Исходник'!$1:$1,0)))</f>
        <v/>
      </c>
      <c r="AI108" s="1" t="str">
        <f t="array" ref="AI108">IFERROR(INDEX('Исходник'!$1:$626,MATCH($A108,'Исходник'!$T:$T,0),MATCH(AI$1,'Исходник'!$1:$1,0)))</f>
        <v/>
      </c>
      <c r="AJ108" s="18">
        <f t="shared" si="15"/>
        <v>0</v>
      </c>
    </row>
    <row r="109" ht="15.75" customHeight="1">
      <c r="A109" s="27"/>
      <c r="B109" s="1" t="str">
        <f t="array" ref="B109">IFERROR(INDEX('Исходник'!$1:$626,MATCH($A109,'Исходник'!$T:$T,0),MATCH(B$1,'Исходник'!$1:$1,0)))</f>
        <v/>
      </c>
      <c r="C109" s="1" t="str">
        <f t="array" ref="C109">IFERROR(INDEX('Исходник'!$1:$626,MATCH($A109,'Исходник'!$T:$T,0),MATCH(C$1,'Исходник'!$1:$1,0)))</f>
        <v/>
      </c>
      <c r="D109" s="1" t="str">
        <f t="array" ref="D109">IFERROR(INDEX('Исходник'!$1:$626,MATCH($A109,'Исходник'!$T:$T,0),MATCH(D$1,'Исходник'!$1:$1,0)))</f>
        <v/>
      </c>
      <c r="E109" s="1" t="str">
        <f t="array" ref="E109">IFERROR(INDEX('Исходник'!$1:$626,MATCH($A109,'Исходник'!$T:$T,0),MATCH(E$1,'Исходник'!$1:$1,0)))</f>
        <v/>
      </c>
      <c r="F109" s="1" t="str">
        <f t="array" ref="F109">IFERROR(INDEX('Исходник'!$1:$626,MATCH($A109,'Исходник'!$T:$T,0),MATCH(F$1,'Исходник'!$1:$1,0)))</f>
        <v/>
      </c>
      <c r="G109" s="1" t="str">
        <f t="array" ref="G109">IFERROR(INDEX('Исходник'!$1:$626,MATCH($A109,'Исходник'!$T:$T,0),MATCH(G$1,'Исходник'!$1:$1,0)))</f>
        <v/>
      </c>
      <c r="H109" s="27">
        <f t="shared" si="1"/>
        <v>0</v>
      </c>
      <c r="I109" s="27" t="str">
        <f t="shared" si="2"/>
        <v/>
      </c>
      <c r="J109" s="1" t="str">
        <f t="array" ref="J109">IFERROR(INDEX('Исходник'!$1:$626,MATCH($A109,'Исходник'!$T:$T,0),MATCH(J$1,'Исходник'!$1:$1,0)))</f>
        <v/>
      </c>
      <c r="K109" s="27" t="str">
        <f t="shared" si="3"/>
        <v/>
      </c>
      <c r="L109" s="1" t="str">
        <f t="array" ref="L109">IFERROR(INDEX('Исходник'!$1:$626,MATCH($A109,'Исходник'!$T:$T,0),MATCH(L$1,'Исходник'!$1:$1,0)))</f>
        <v/>
      </c>
      <c r="M109" s="28">
        <f t="shared" si="4"/>
        <v>0</v>
      </c>
      <c r="N109" s="1" t="str">
        <f t="array" ref="N109">IFERROR(INDEX('Исходник'!$1:$626,MATCH($A109,'Исходник'!$T:$T,0),MATCH(N$1,'Исходник'!$1:$1,0)))</f>
        <v/>
      </c>
      <c r="O109" s="27">
        <f t="shared" si="5"/>
        <v>0</v>
      </c>
      <c r="P109" s="27" t="str">
        <f t="shared" si="6"/>
        <v/>
      </c>
      <c r="Q109" s="1" t="str">
        <f t="array" ref="Q109">IFERROR(INDEX('Исходник'!$1:$626,MATCH($A109,'Исходник'!$T:$T,0),MATCH(Q$1,'Исходник'!$1:$1,0)))</f>
        <v/>
      </c>
      <c r="R109" s="1" t="str">
        <f t="array" ref="R109">IFERROR(INDEX('Исходник'!$1:$626,MATCH($A109,'Исходник'!$T:$T,0),MATCH(R$1,'Исходник'!$1:$1,0)))</f>
        <v/>
      </c>
      <c r="S109" s="27">
        <f t="shared" si="7"/>
        <v>0</v>
      </c>
      <c r="T109" s="27" t="str">
        <f t="shared" si="8"/>
        <v/>
      </c>
      <c r="U109" s="1" t="str">
        <f t="array" ref="U109">IFERROR(INDEX('Исходник'!$1:$626,MATCH($A109,'Исходник'!$T:$T,0),MATCH(U$1,'Исходник'!$1:$1,0)))</f>
        <v/>
      </c>
      <c r="V109" s="27" t="str">
        <f t="shared" si="9"/>
        <v/>
      </c>
      <c r="W109" s="1" t="str">
        <f t="array" ref="W109">IFERROR(INDEX('Исходник'!$1:$626,MATCH($A109,'Исходник'!$T:$T,0),MATCH(W$1,'Исходник'!$1:$1,0)))</f>
        <v/>
      </c>
      <c r="X109" s="28">
        <f t="shared" si="10"/>
        <v>0</v>
      </c>
      <c r="Y109" s="1" t="str">
        <f t="array" ref="Y109">IFERROR(INDEX('Исходник'!$1:$626,MATCH($A109,'Исходник'!$T:$T,0),MATCH(Y$1,'Исходник'!$1:$1,0)))</f>
        <v/>
      </c>
      <c r="Z109" s="27">
        <f t="shared" si="11"/>
        <v>0</v>
      </c>
      <c r="AA109" s="27" t="str">
        <f t="shared" si="12"/>
        <v/>
      </c>
      <c r="AB109" s="1" t="str">
        <f t="array" ref="AB109">IFERROR(INDEX('Исходник'!$1:$626,MATCH($A109,'Исходник'!$T:$T,0),MATCH(AB$1,'Исходник'!$1:$1,0)))</f>
        <v/>
      </c>
      <c r="AC109" s="1" t="str">
        <f t="array" ref="AC109">IFERROR(INDEX('Исходник'!$1:$626,MATCH($A109,'Исходник'!$T:$T,0),MATCH(AC$1,'Исходник'!$1:$1,0)))</f>
        <v/>
      </c>
      <c r="AD109" s="27" t="str">
        <f t="shared" si="13"/>
        <v/>
      </c>
      <c r="AE109" s="1" t="str">
        <f t="array" ref="AE109">IFERROR(INDEX('Исходник'!$1:$626,MATCH($A109,'Исходник'!$T:$T,0),MATCH(AE$1,'Исходник'!$1:$1,0)))</f>
        <v/>
      </c>
      <c r="AF109" s="1" t="str">
        <f t="array" ref="AF109">IFERROR(INDEX('Исходник'!$1:$626,MATCH($A109,'Исходник'!$T:$T,0),MATCH(AF$1,'Исходник'!$1:$1,0)))</f>
        <v/>
      </c>
      <c r="AG109" s="27" t="str">
        <f t="shared" si="14"/>
        <v/>
      </c>
      <c r="AH109" s="1" t="str">
        <f t="array" ref="AH109">IFERROR(INDEX('Исходник'!$1:$626,MATCH($A109,'Исходник'!$T:$T,0),MATCH(AH$1,'Исходник'!$1:$1,0)))</f>
        <v/>
      </c>
      <c r="AI109" s="1" t="str">
        <f t="array" ref="AI109">IFERROR(INDEX('Исходник'!$1:$626,MATCH($A109,'Исходник'!$T:$T,0),MATCH(AI$1,'Исходник'!$1:$1,0)))</f>
        <v/>
      </c>
      <c r="AJ109" s="18">
        <f t="shared" si="15"/>
        <v>0</v>
      </c>
    </row>
    <row r="110" ht="15.75" customHeight="1">
      <c r="A110" s="27"/>
      <c r="B110" s="1" t="str">
        <f t="array" ref="B110">IFERROR(INDEX('Исходник'!$1:$626,MATCH($A110,'Исходник'!$T:$T,0),MATCH(B$1,'Исходник'!$1:$1,0)))</f>
        <v/>
      </c>
      <c r="C110" s="1" t="str">
        <f t="array" ref="C110">IFERROR(INDEX('Исходник'!$1:$626,MATCH($A110,'Исходник'!$T:$T,0),MATCH(C$1,'Исходник'!$1:$1,0)))</f>
        <v/>
      </c>
      <c r="D110" s="1" t="str">
        <f t="array" ref="D110">IFERROR(INDEX('Исходник'!$1:$626,MATCH($A110,'Исходник'!$T:$T,0),MATCH(D$1,'Исходник'!$1:$1,0)))</f>
        <v/>
      </c>
      <c r="E110" s="1" t="str">
        <f t="array" ref="E110">IFERROR(INDEX('Исходник'!$1:$626,MATCH($A110,'Исходник'!$T:$T,0),MATCH(E$1,'Исходник'!$1:$1,0)))</f>
        <v/>
      </c>
      <c r="F110" s="1" t="str">
        <f t="array" ref="F110">IFERROR(INDEX('Исходник'!$1:$626,MATCH($A110,'Исходник'!$T:$T,0),MATCH(F$1,'Исходник'!$1:$1,0)))</f>
        <v/>
      </c>
      <c r="G110" s="1" t="str">
        <f t="array" ref="G110">IFERROR(INDEX('Исходник'!$1:$626,MATCH($A110,'Исходник'!$T:$T,0),MATCH(G$1,'Исходник'!$1:$1,0)))</f>
        <v/>
      </c>
      <c r="H110" s="27">
        <f t="shared" si="1"/>
        <v>0</v>
      </c>
      <c r="I110" s="27" t="str">
        <f t="shared" si="2"/>
        <v/>
      </c>
      <c r="J110" s="1" t="str">
        <f t="array" ref="J110">IFERROR(INDEX('Исходник'!$1:$626,MATCH($A110,'Исходник'!$T:$T,0),MATCH(J$1,'Исходник'!$1:$1,0)))</f>
        <v/>
      </c>
      <c r="K110" s="27" t="str">
        <f t="shared" si="3"/>
        <v/>
      </c>
      <c r="L110" s="1" t="str">
        <f t="array" ref="L110">IFERROR(INDEX('Исходник'!$1:$626,MATCH($A110,'Исходник'!$T:$T,0),MATCH(L$1,'Исходник'!$1:$1,0)))</f>
        <v/>
      </c>
      <c r="M110" s="28">
        <f t="shared" si="4"/>
        <v>0</v>
      </c>
      <c r="N110" s="1" t="str">
        <f t="array" ref="N110">IFERROR(INDEX('Исходник'!$1:$626,MATCH($A110,'Исходник'!$T:$T,0),MATCH(N$1,'Исходник'!$1:$1,0)))</f>
        <v/>
      </c>
      <c r="O110" s="27">
        <f t="shared" si="5"/>
        <v>0</v>
      </c>
      <c r="P110" s="27" t="str">
        <f t="shared" si="6"/>
        <v/>
      </c>
      <c r="Q110" s="1" t="str">
        <f t="array" ref="Q110">IFERROR(INDEX('Исходник'!$1:$626,MATCH($A110,'Исходник'!$T:$T,0),MATCH(Q$1,'Исходник'!$1:$1,0)))</f>
        <v/>
      </c>
      <c r="R110" s="1" t="str">
        <f t="array" ref="R110">IFERROR(INDEX('Исходник'!$1:$626,MATCH($A110,'Исходник'!$T:$T,0),MATCH(R$1,'Исходник'!$1:$1,0)))</f>
        <v/>
      </c>
      <c r="S110" s="27">
        <f t="shared" si="7"/>
        <v>0</v>
      </c>
      <c r="T110" s="27" t="str">
        <f t="shared" si="8"/>
        <v/>
      </c>
      <c r="U110" s="1" t="str">
        <f t="array" ref="U110">IFERROR(INDEX('Исходник'!$1:$626,MATCH($A110,'Исходник'!$T:$T,0),MATCH(U$1,'Исходник'!$1:$1,0)))</f>
        <v/>
      </c>
      <c r="V110" s="27" t="str">
        <f t="shared" si="9"/>
        <v/>
      </c>
      <c r="W110" s="1" t="str">
        <f t="array" ref="W110">IFERROR(INDEX('Исходник'!$1:$626,MATCH($A110,'Исходник'!$T:$T,0),MATCH(W$1,'Исходник'!$1:$1,0)))</f>
        <v/>
      </c>
      <c r="X110" s="28">
        <f t="shared" si="10"/>
        <v>0</v>
      </c>
      <c r="Y110" s="1" t="str">
        <f t="array" ref="Y110">IFERROR(INDEX('Исходник'!$1:$626,MATCH($A110,'Исходник'!$T:$T,0),MATCH(Y$1,'Исходник'!$1:$1,0)))</f>
        <v/>
      </c>
      <c r="Z110" s="27">
        <f t="shared" si="11"/>
        <v>0</v>
      </c>
      <c r="AA110" s="27" t="str">
        <f t="shared" si="12"/>
        <v/>
      </c>
      <c r="AB110" s="1" t="str">
        <f t="array" ref="AB110">IFERROR(INDEX('Исходник'!$1:$626,MATCH($A110,'Исходник'!$T:$T,0),MATCH(AB$1,'Исходник'!$1:$1,0)))</f>
        <v/>
      </c>
      <c r="AC110" s="1" t="str">
        <f t="array" ref="AC110">IFERROR(INDEX('Исходник'!$1:$626,MATCH($A110,'Исходник'!$T:$T,0),MATCH(AC$1,'Исходник'!$1:$1,0)))</f>
        <v/>
      </c>
      <c r="AD110" s="27" t="str">
        <f t="shared" si="13"/>
        <v/>
      </c>
      <c r="AE110" s="1" t="str">
        <f t="array" ref="AE110">IFERROR(INDEX('Исходник'!$1:$626,MATCH($A110,'Исходник'!$T:$T,0),MATCH(AE$1,'Исходник'!$1:$1,0)))</f>
        <v/>
      </c>
      <c r="AF110" s="1" t="str">
        <f t="array" ref="AF110">IFERROR(INDEX('Исходник'!$1:$626,MATCH($A110,'Исходник'!$T:$T,0),MATCH(AF$1,'Исходник'!$1:$1,0)))</f>
        <v/>
      </c>
      <c r="AG110" s="27" t="str">
        <f t="shared" si="14"/>
        <v/>
      </c>
      <c r="AH110" s="1" t="str">
        <f t="array" ref="AH110">IFERROR(INDEX('Исходник'!$1:$626,MATCH($A110,'Исходник'!$T:$T,0),MATCH(AH$1,'Исходник'!$1:$1,0)))</f>
        <v/>
      </c>
      <c r="AI110" s="1" t="str">
        <f t="array" ref="AI110">IFERROR(INDEX('Исходник'!$1:$626,MATCH($A110,'Исходник'!$T:$T,0),MATCH(AI$1,'Исходник'!$1:$1,0)))</f>
        <v/>
      </c>
      <c r="AJ110" s="18">
        <f t="shared" si="15"/>
        <v>0</v>
      </c>
    </row>
    <row r="111" ht="15.75" customHeight="1">
      <c r="A111" s="27"/>
      <c r="B111" s="1" t="str">
        <f t="array" ref="B111">IFERROR(INDEX('Исходник'!$1:$626,MATCH($A111,'Исходник'!$T:$T,0),MATCH(B$1,'Исходник'!$1:$1,0)))</f>
        <v/>
      </c>
      <c r="C111" s="1" t="str">
        <f t="array" ref="C111">IFERROR(INDEX('Исходник'!$1:$626,MATCH($A111,'Исходник'!$T:$T,0),MATCH(C$1,'Исходник'!$1:$1,0)))</f>
        <v/>
      </c>
      <c r="D111" s="1" t="str">
        <f t="array" ref="D111">IFERROR(INDEX('Исходник'!$1:$626,MATCH($A111,'Исходник'!$T:$T,0),MATCH(D$1,'Исходник'!$1:$1,0)))</f>
        <v/>
      </c>
      <c r="E111" s="1" t="str">
        <f t="array" ref="E111">IFERROR(INDEX('Исходник'!$1:$626,MATCH($A111,'Исходник'!$T:$T,0),MATCH(E$1,'Исходник'!$1:$1,0)))</f>
        <v/>
      </c>
      <c r="F111" s="1" t="str">
        <f t="array" ref="F111">IFERROR(INDEX('Исходник'!$1:$626,MATCH($A111,'Исходник'!$T:$T,0),MATCH(F$1,'Исходник'!$1:$1,0)))</f>
        <v/>
      </c>
      <c r="G111" s="1" t="str">
        <f t="array" ref="G111">IFERROR(INDEX('Исходник'!$1:$626,MATCH($A111,'Исходник'!$T:$T,0),MATCH(G$1,'Исходник'!$1:$1,0)))</f>
        <v/>
      </c>
      <c r="H111" s="27">
        <f t="shared" si="1"/>
        <v>0</v>
      </c>
      <c r="I111" s="27" t="str">
        <f t="shared" si="2"/>
        <v/>
      </c>
      <c r="J111" s="1" t="str">
        <f t="array" ref="J111">IFERROR(INDEX('Исходник'!$1:$626,MATCH($A111,'Исходник'!$T:$T,0),MATCH(J$1,'Исходник'!$1:$1,0)))</f>
        <v/>
      </c>
      <c r="K111" s="27" t="str">
        <f t="shared" si="3"/>
        <v/>
      </c>
      <c r="L111" s="1" t="str">
        <f t="array" ref="L111">IFERROR(INDEX('Исходник'!$1:$626,MATCH($A111,'Исходник'!$T:$T,0),MATCH(L$1,'Исходник'!$1:$1,0)))</f>
        <v/>
      </c>
      <c r="M111" s="28">
        <f t="shared" si="4"/>
        <v>0</v>
      </c>
      <c r="N111" s="1" t="str">
        <f t="array" ref="N111">IFERROR(INDEX('Исходник'!$1:$626,MATCH($A111,'Исходник'!$T:$T,0),MATCH(N$1,'Исходник'!$1:$1,0)))</f>
        <v/>
      </c>
      <c r="O111" s="27">
        <f t="shared" si="5"/>
        <v>0</v>
      </c>
      <c r="P111" s="27" t="str">
        <f t="shared" si="6"/>
        <v/>
      </c>
      <c r="Q111" s="1" t="str">
        <f t="array" ref="Q111">IFERROR(INDEX('Исходник'!$1:$626,MATCH($A111,'Исходник'!$T:$T,0),MATCH(Q$1,'Исходник'!$1:$1,0)))</f>
        <v/>
      </c>
      <c r="R111" s="1" t="str">
        <f t="array" ref="R111">IFERROR(INDEX('Исходник'!$1:$626,MATCH($A111,'Исходник'!$T:$T,0),MATCH(R$1,'Исходник'!$1:$1,0)))</f>
        <v/>
      </c>
      <c r="S111" s="27">
        <f t="shared" si="7"/>
        <v>0</v>
      </c>
      <c r="T111" s="27" t="str">
        <f t="shared" si="8"/>
        <v/>
      </c>
      <c r="U111" s="1" t="str">
        <f t="array" ref="U111">IFERROR(INDEX('Исходник'!$1:$626,MATCH($A111,'Исходник'!$T:$T,0),MATCH(U$1,'Исходник'!$1:$1,0)))</f>
        <v/>
      </c>
      <c r="V111" s="27" t="str">
        <f t="shared" si="9"/>
        <v/>
      </c>
      <c r="W111" s="1" t="str">
        <f t="array" ref="W111">IFERROR(INDEX('Исходник'!$1:$626,MATCH($A111,'Исходник'!$T:$T,0),MATCH(W$1,'Исходник'!$1:$1,0)))</f>
        <v/>
      </c>
      <c r="X111" s="28">
        <f t="shared" si="10"/>
        <v>0</v>
      </c>
      <c r="Y111" s="1" t="str">
        <f t="array" ref="Y111">IFERROR(INDEX('Исходник'!$1:$626,MATCH($A111,'Исходник'!$T:$T,0),MATCH(Y$1,'Исходник'!$1:$1,0)))</f>
        <v/>
      </c>
      <c r="Z111" s="27">
        <f t="shared" si="11"/>
        <v>0</v>
      </c>
      <c r="AA111" s="27" t="str">
        <f t="shared" si="12"/>
        <v/>
      </c>
      <c r="AB111" s="1" t="str">
        <f t="array" ref="AB111">IFERROR(INDEX('Исходник'!$1:$626,MATCH($A111,'Исходник'!$T:$T,0),MATCH(AB$1,'Исходник'!$1:$1,0)))</f>
        <v/>
      </c>
      <c r="AC111" s="1" t="str">
        <f t="array" ref="AC111">IFERROR(INDEX('Исходник'!$1:$626,MATCH($A111,'Исходник'!$T:$T,0),MATCH(AC$1,'Исходник'!$1:$1,0)))</f>
        <v/>
      </c>
      <c r="AD111" s="27" t="str">
        <f t="shared" si="13"/>
        <v/>
      </c>
      <c r="AE111" s="1" t="str">
        <f t="array" ref="AE111">IFERROR(INDEX('Исходник'!$1:$626,MATCH($A111,'Исходник'!$T:$T,0),MATCH(AE$1,'Исходник'!$1:$1,0)))</f>
        <v/>
      </c>
      <c r="AF111" s="1" t="str">
        <f t="array" ref="AF111">IFERROR(INDEX('Исходник'!$1:$626,MATCH($A111,'Исходник'!$T:$T,0),MATCH(AF$1,'Исходник'!$1:$1,0)))</f>
        <v/>
      </c>
      <c r="AG111" s="27" t="str">
        <f t="shared" si="14"/>
        <v/>
      </c>
      <c r="AH111" s="1" t="str">
        <f t="array" ref="AH111">IFERROR(INDEX('Исходник'!$1:$626,MATCH($A111,'Исходник'!$T:$T,0),MATCH(AH$1,'Исходник'!$1:$1,0)))</f>
        <v/>
      </c>
      <c r="AI111" s="1" t="str">
        <f t="array" ref="AI111">IFERROR(INDEX('Исходник'!$1:$626,MATCH($A111,'Исходник'!$T:$T,0),MATCH(AI$1,'Исходник'!$1:$1,0)))</f>
        <v/>
      </c>
      <c r="AJ111" s="18">
        <f t="shared" si="15"/>
        <v>0</v>
      </c>
    </row>
    <row r="112" ht="15.75" customHeight="1">
      <c r="A112" s="27"/>
      <c r="B112" s="1" t="str">
        <f t="array" ref="B112">IFERROR(INDEX('Исходник'!$1:$626,MATCH($A112,'Исходник'!$T:$T,0),MATCH(B$1,'Исходник'!$1:$1,0)))</f>
        <v/>
      </c>
      <c r="C112" s="1" t="str">
        <f t="array" ref="C112">IFERROR(INDEX('Исходник'!$1:$626,MATCH($A112,'Исходник'!$T:$T,0),MATCH(C$1,'Исходник'!$1:$1,0)))</f>
        <v/>
      </c>
      <c r="D112" s="1" t="str">
        <f t="array" ref="D112">IFERROR(INDEX('Исходник'!$1:$626,MATCH($A112,'Исходник'!$T:$T,0),MATCH(D$1,'Исходник'!$1:$1,0)))</f>
        <v/>
      </c>
      <c r="E112" s="1" t="str">
        <f t="array" ref="E112">IFERROR(INDEX('Исходник'!$1:$626,MATCH($A112,'Исходник'!$T:$T,0),MATCH(E$1,'Исходник'!$1:$1,0)))</f>
        <v/>
      </c>
      <c r="F112" s="1" t="str">
        <f t="array" ref="F112">IFERROR(INDEX('Исходник'!$1:$626,MATCH($A112,'Исходник'!$T:$T,0),MATCH(F$1,'Исходник'!$1:$1,0)))</f>
        <v/>
      </c>
      <c r="G112" s="1" t="str">
        <f t="array" ref="G112">IFERROR(INDEX('Исходник'!$1:$626,MATCH($A112,'Исходник'!$T:$T,0),MATCH(G$1,'Исходник'!$1:$1,0)))</f>
        <v/>
      </c>
      <c r="H112" s="27">
        <f t="shared" si="1"/>
        <v>0</v>
      </c>
      <c r="I112" s="27" t="str">
        <f t="shared" si="2"/>
        <v/>
      </c>
      <c r="J112" s="1" t="str">
        <f t="array" ref="J112">IFERROR(INDEX('Исходник'!$1:$626,MATCH($A112,'Исходник'!$T:$T,0),MATCH(J$1,'Исходник'!$1:$1,0)))</f>
        <v/>
      </c>
      <c r="K112" s="27" t="str">
        <f t="shared" si="3"/>
        <v/>
      </c>
      <c r="L112" s="1" t="str">
        <f t="array" ref="L112">IFERROR(INDEX('Исходник'!$1:$626,MATCH($A112,'Исходник'!$T:$T,0),MATCH(L$1,'Исходник'!$1:$1,0)))</f>
        <v/>
      </c>
      <c r="M112" s="28">
        <f t="shared" si="4"/>
        <v>0</v>
      </c>
      <c r="N112" s="1" t="str">
        <f t="array" ref="N112">IFERROR(INDEX('Исходник'!$1:$626,MATCH($A112,'Исходник'!$T:$T,0),MATCH(N$1,'Исходник'!$1:$1,0)))</f>
        <v/>
      </c>
      <c r="O112" s="27">
        <f t="shared" si="5"/>
        <v>0</v>
      </c>
      <c r="P112" s="27" t="str">
        <f t="shared" si="6"/>
        <v/>
      </c>
      <c r="Q112" s="1" t="str">
        <f t="array" ref="Q112">IFERROR(INDEX('Исходник'!$1:$626,MATCH($A112,'Исходник'!$T:$T,0),MATCH(Q$1,'Исходник'!$1:$1,0)))</f>
        <v/>
      </c>
      <c r="R112" s="1" t="str">
        <f t="array" ref="R112">IFERROR(INDEX('Исходник'!$1:$626,MATCH($A112,'Исходник'!$T:$T,0),MATCH(R$1,'Исходник'!$1:$1,0)))</f>
        <v/>
      </c>
      <c r="S112" s="27">
        <f t="shared" si="7"/>
        <v>0</v>
      </c>
      <c r="T112" s="27" t="str">
        <f t="shared" si="8"/>
        <v/>
      </c>
      <c r="U112" s="1" t="str">
        <f t="array" ref="U112">IFERROR(INDEX('Исходник'!$1:$626,MATCH($A112,'Исходник'!$T:$T,0),MATCH(U$1,'Исходник'!$1:$1,0)))</f>
        <v/>
      </c>
      <c r="V112" s="27" t="str">
        <f t="shared" si="9"/>
        <v/>
      </c>
      <c r="W112" s="1" t="str">
        <f t="array" ref="W112">IFERROR(INDEX('Исходник'!$1:$626,MATCH($A112,'Исходник'!$T:$T,0),MATCH(W$1,'Исходник'!$1:$1,0)))</f>
        <v/>
      </c>
      <c r="X112" s="28">
        <f t="shared" si="10"/>
        <v>0</v>
      </c>
      <c r="Y112" s="1" t="str">
        <f t="array" ref="Y112">IFERROR(INDEX('Исходник'!$1:$626,MATCH($A112,'Исходник'!$T:$T,0),MATCH(Y$1,'Исходник'!$1:$1,0)))</f>
        <v/>
      </c>
      <c r="Z112" s="27">
        <f t="shared" si="11"/>
        <v>0</v>
      </c>
      <c r="AA112" s="27" t="str">
        <f t="shared" si="12"/>
        <v/>
      </c>
      <c r="AB112" s="1" t="str">
        <f t="array" ref="AB112">IFERROR(INDEX('Исходник'!$1:$626,MATCH($A112,'Исходник'!$T:$T,0),MATCH(AB$1,'Исходник'!$1:$1,0)))</f>
        <v/>
      </c>
      <c r="AC112" s="1" t="str">
        <f t="array" ref="AC112">IFERROR(INDEX('Исходник'!$1:$626,MATCH($A112,'Исходник'!$T:$T,0),MATCH(AC$1,'Исходник'!$1:$1,0)))</f>
        <v/>
      </c>
      <c r="AD112" s="27" t="str">
        <f t="shared" si="13"/>
        <v/>
      </c>
      <c r="AE112" s="1" t="str">
        <f t="array" ref="AE112">IFERROR(INDEX('Исходник'!$1:$626,MATCH($A112,'Исходник'!$T:$T,0),MATCH(AE$1,'Исходник'!$1:$1,0)))</f>
        <v/>
      </c>
      <c r="AF112" s="1" t="str">
        <f t="array" ref="AF112">IFERROR(INDEX('Исходник'!$1:$626,MATCH($A112,'Исходник'!$T:$T,0),MATCH(AF$1,'Исходник'!$1:$1,0)))</f>
        <v/>
      </c>
      <c r="AG112" s="27" t="str">
        <f t="shared" si="14"/>
        <v/>
      </c>
      <c r="AH112" s="1" t="str">
        <f t="array" ref="AH112">IFERROR(INDEX('Исходник'!$1:$626,MATCH($A112,'Исходник'!$T:$T,0),MATCH(AH$1,'Исходник'!$1:$1,0)))</f>
        <v/>
      </c>
      <c r="AI112" s="1" t="str">
        <f t="array" ref="AI112">IFERROR(INDEX('Исходник'!$1:$626,MATCH($A112,'Исходник'!$T:$T,0),MATCH(AI$1,'Исходник'!$1:$1,0)))</f>
        <v/>
      </c>
      <c r="AJ112" s="18">
        <f t="shared" si="15"/>
        <v>0</v>
      </c>
    </row>
    <row r="113" ht="15.75" customHeight="1">
      <c r="A113" s="27"/>
      <c r="B113" s="1" t="str">
        <f t="array" ref="B113">IFERROR(INDEX('Исходник'!$1:$626,MATCH($A113,'Исходник'!$T:$T,0),MATCH(B$1,'Исходник'!$1:$1,0)))</f>
        <v/>
      </c>
      <c r="C113" s="1" t="str">
        <f t="array" ref="C113">IFERROR(INDEX('Исходник'!$1:$626,MATCH($A113,'Исходник'!$T:$T,0),MATCH(C$1,'Исходник'!$1:$1,0)))</f>
        <v/>
      </c>
      <c r="D113" s="1" t="str">
        <f t="array" ref="D113">IFERROR(INDEX('Исходник'!$1:$626,MATCH($A113,'Исходник'!$T:$T,0),MATCH(D$1,'Исходник'!$1:$1,0)))</f>
        <v/>
      </c>
      <c r="E113" s="1" t="str">
        <f t="array" ref="E113">IFERROR(INDEX('Исходник'!$1:$626,MATCH($A113,'Исходник'!$T:$T,0),MATCH(E$1,'Исходник'!$1:$1,0)))</f>
        <v/>
      </c>
      <c r="F113" s="1" t="str">
        <f t="array" ref="F113">IFERROR(INDEX('Исходник'!$1:$626,MATCH($A113,'Исходник'!$T:$T,0),MATCH(F$1,'Исходник'!$1:$1,0)))</f>
        <v/>
      </c>
      <c r="G113" s="1" t="str">
        <f t="array" ref="G113">IFERROR(INDEX('Исходник'!$1:$626,MATCH($A113,'Исходник'!$T:$T,0),MATCH(G$1,'Исходник'!$1:$1,0)))</f>
        <v/>
      </c>
      <c r="H113" s="27">
        <f t="shared" si="1"/>
        <v>0</v>
      </c>
      <c r="I113" s="27" t="str">
        <f t="shared" si="2"/>
        <v/>
      </c>
      <c r="J113" s="1" t="str">
        <f t="array" ref="J113">IFERROR(INDEX('Исходник'!$1:$626,MATCH($A113,'Исходник'!$T:$T,0),MATCH(J$1,'Исходник'!$1:$1,0)))</f>
        <v/>
      </c>
      <c r="K113" s="27" t="str">
        <f t="shared" si="3"/>
        <v/>
      </c>
      <c r="L113" s="1" t="str">
        <f t="array" ref="L113">IFERROR(INDEX('Исходник'!$1:$626,MATCH($A113,'Исходник'!$T:$T,0),MATCH(L$1,'Исходник'!$1:$1,0)))</f>
        <v/>
      </c>
      <c r="M113" s="28">
        <f t="shared" si="4"/>
        <v>0</v>
      </c>
      <c r="N113" s="1" t="str">
        <f t="array" ref="N113">IFERROR(INDEX('Исходник'!$1:$626,MATCH($A113,'Исходник'!$T:$T,0),MATCH(N$1,'Исходник'!$1:$1,0)))</f>
        <v/>
      </c>
      <c r="O113" s="27">
        <f t="shared" si="5"/>
        <v>0</v>
      </c>
      <c r="P113" s="27" t="str">
        <f t="shared" si="6"/>
        <v/>
      </c>
      <c r="Q113" s="1" t="str">
        <f t="array" ref="Q113">IFERROR(INDEX('Исходник'!$1:$626,MATCH($A113,'Исходник'!$T:$T,0),MATCH(Q$1,'Исходник'!$1:$1,0)))</f>
        <v/>
      </c>
      <c r="R113" s="1" t="str">
        <f t="array" ref="R113">IFERROR(INDEX('Исходник'!$1:$626,MATCH($A113,'Исходник'!$T:$T,0),MATCH(R$1,'Исходник'!$1:$1,0)))</f>
        <v/>
      </c>
      <c r="S113" s="27">
        <f t="shared" si="7"/>
        <v>0</v>
      </c>
      <c r="T113" s="27" t="str">
        <f t="shared" si="8"/>
        <v/>
      </c>
      <c r="U113" s="1" t="str">
        <f t="array" ref="U113">IFERROR(INDEX('Исходник'!$1:$626,MATCH($A113,'Исходник'!$T:$T,0),MATCH(U$1,'Исходник'!$1:$1,0)))</f>
        <v/>
      </c>
      <c r="V113" s="27" t="str">
        <f t="shared" si="9"/>
        <v/>
      </c>
      <c r="W113" s="1" t="str">
        <f t="array" ref="W113">IFERROR(INDEX('Исходник'!$1:$626,MATCH($A113,'Исходник'!$T:$T,0),MATCH(W$1,'Исходник'!$1:$1,0)))</f>
        <v/>
      </c>
      <c r="X113" s="28">
        <f t="shared" si="10"/>
        <v>0</v>
      </c>
      <c r="Y113" s="1" t="str">
        <f t="array" ref="Y113">IFERROR(INDEX('Исходник'!$1:$626,MATCH($A113,'Исходник'!$T:$T,0),MATCH(Y$1,'Исходник'!$1:$1,0)))</f>
        <v/>
      </c>
      <c r="Z113" s="27">
        <f t="shared" si="11"/>
        <v>0</v>
      </c>
      <c r="AA113" s="27" t="str">
        <f t="shared" si="12"/>
        <v/>
      </c>
      <c r="AB113" s="1" t="str">
        <f t="array" ref="AB113">IFERROR(INDEX('Исходник'!$1:$626,MATCH($A113,'Исходник'!$T:$T,0),MATCH(AB$1,'Исходник'!$1:$1,0)))</f>
        <v/>
      </c>
      <c r="AC113" s="1" t="str">
        <f t="array" ref="AC113">IFERROR(INDEX('Исходник'!$1:$626,MATCH($A113,'Исходник'!$T:$T,0),MATCH(AC$1,'Исходник'!$1:$1,0)))</f>
        <v/>
      </c>
      <c r="AD113" s="27" t="str">
        <f t="shared" si="13"/>
        <v/>
      </c>
      <c r="AE113" s="1" t="str">
        <f t="array" ref="AE113">IFERROR(INDEX('Исходник'!$1:$626,MATCH($A113,'Исходник'!$T:$T,0),MATCH(AE$1,'Исходник'!$1:$1,0)))</f>
        <v/>
      </c>
      <c r="AF113" s="1" t="str">
        <f t="array" ref="AF113">IFERROR(INDEX('Исходник'!$1:$626,MATCH($A113,'Исходник'!$T:$T,0),MATCH(AF$1,'Исходник'!$1:$1,0)))</f>
        <v/>
      </c>
      <c r="AG113" s="27" t="str">
        <f t="shared" si="14"/>
        <v/>
      </c>
      <c r="AH113" s="1" t="str">
        <f t="array" ref="AH113">IFERROR(INDEX('Исходник'!$1:$626,MATCH($A113,'Исходник'!$T:$T,0),MATCH(AH$1,'Исходник'!$1:$1,0)))</f>
        <v/>
      </c>
      <c r="AI113" s="1" t="str">
        <f t="array" ref="AI113">IFERROR(INDEX('Исходник'!$1:$626,MATCH($A113,'Исходник'!$T:$T,0),MATCH(AI$1,'Исходник'!$1:$1,0)))</f>
        <v/>
      </c>
      <c r="AJ113" s="18">
        <f t="shared" si="15"/>
        <v>0</v>
      </c>
    </row>
    <row r="114" ht="15.75" customHeight="1">
      <c r="A114" s="27"/>
      <c r="B114" s="1" t="str">
        <f t="array" ref="B114">IFERROR(INDEX('Исходник'!$1:$626,MATCH($A114,'Исходник'!$T:$T,0),MATCH(B$1,'Исходник'!$1:$1,0)))</f>
        <v/>
      </c>
      <c r="C114" s="1" t="str">
        <f t="array" ref="C114">IFERROR(INDEX('Исходник'!$1:$626,MATCH($A114,'Исходник'!$T:$T,0),MATCH(C$1,'Исходник'!$1:$1,0)))</f>
        <v/>
      </c>
      <c r="D114" s="1" t="str">
        <f t="array" ref="D114">IFERROR(INDEX('Исходник'!$1:$626,MATCH($A114,'Исходник'!$T:$T,0),MATCH(D$1,'Исходник'!$1:$1,0)))</f>
        <v/>
      </c>
      <c r="E114" s="1" t="str">
        <f t="array" ref="E114">IFERROR(INDEX('Исходник'!$1:$626,MATCH($A114,'Исходник'!$T:$T,0),MATCH(E$1,'Исходник'!$1:$1,0)))</f>
        <v/>
      </c>
      <c r="F114" s="1" t="str">
        <f t="array" ref="F114">IFERROR(INDEX('Исходник'!$1:$626,MATCH($A114,'Исходник'!$T:$T,0),MATCH(F$1,'Исходник'!$1:$1,0)))</f>
        <v/>
      </c>
      <c r="G114" s="1" t="str">
        <f t="array" ref="G114">IFERROR(INDEX('Исходник'!$1:$626,MATCH($A114,'Исходник'!$T:$T,0),MATCH(G$1,'Исходник'!$1:$1,0)))</f>
        <v/>
      </c>
      <c r="H114" s="27">
        <f t="shared" si="1"/>
        <v>0</v>
      </c>
      <c r="I114" s="27" t="str">
        <f t="shared" si="2"/>
        <v/>
      </c>
      <c r="J114" s="1" t="str">
        <f t="array" ref="J114">IFERROR(INDEX('Исходник'!$1:$626,MATCH($A114,'Исходник'!$T:$T,0),MATCH(J$1,'Исходник'!$1:$1,0)))</f>
        <v/>
      </c>
      <c r="K114" s="27" t="str">
        <f t="shared" si="3"/>
        <v/>
      </c>
      <c r="L114" s="1" t="str">
        <f t="array" ref="L114">IFERROR(INDEX('Исходник'!$1:$626,MATCH($A114,'Исходник'!$T:$T,0),MATCH(L$1,'Исходник'!$1:$1,0)))</f>
        <v/>
      </c>
      <c r="M114" s="28">
        <f t="shared" si="4"/>
        <v>0</v>
      </c>
      <c r="N114" s="1" t="str">
        <f t="array" ref="N114">IFERROR(INDEX('Исходник'!$1:$626,MATCH($A114,'Исходник'!$T:$T,0),MATCH(N$1,'Исходник'!$1:$1,0)))</f>
        <v/>
      </c>
      <c r="O114" s="27">
        <f t="shared" si="5"/>
        <v>0</v>
      </c>
      <c r="P114" s="27" t="str">
        <f t="shared" si="6"/>
        <v/>
      </c>
      <c r="Q114" s="1" t="str">
        <f t="array" ref="Q114">IFERROR(INDEX('Исходник'!$1:$626,MATCH($A114,'Исходник'!$T:$T,0),MATCH(Q$1,'Исходник'!$1:$1,0)))</f>
        <v/>
      </c>
      <c r="R114" s="1" t="str">
        <f t="array" ref="R114">IFERROR(INDEX('Исходник'!$1:$626,MATCH($A114,'Исходник'!$T:$T,0),MATCH(R$1,'Исходник'!$1:$1,0)))</f>
        <v/>
      </c>
      <c r="S114" s="27">
        <f t="shared" si="7"/>
        <v>0</v>
      </c>
      <c r="T114" s="27" t="str">
        <f t="shared" si="8"/>
        <v/>
      </c>
      <c r="U114" s="1" t="str">
        <f t="array" ref="U114">IFERROR(INDEX('Исходник'!$1:$626,MATCH($A114,'Исходник'!$T:$T,0),MATCH(U$1,'Исходник'!$1:$1,0)))</f>
        <v/>
      </c>
      <c r="V114" s="27" t="str">
        <f t="shared" si="9"/>
        <v/>
      </c>
      <c r="W114" s="1" t="str">
        <f t="array" ref="W114">IFERROR(INDEX('Исходник'!$1:$626,MATCH($A114,'Исходник'!$T:$T,0),MATCH(W$1,'Исходник'!$1:$1,0)))</f>
        <v/>
      </c>
      <c r="X114" s="28">
        <f t="shared" si="10"/>
        <v>0</v>
      </c>
      <c r="Y114" s="1" t="str">
        <f t="array" ref="Y114">IFERROR(INDEX('Исходник'!$1:$626,MATCH($A114,'Исходник'!$T:$T,0),MATCH(Y$1,'Исходник'!$1:$1,0)))</f>
        <v/>
      </c>
      <c r="Z114" s="27">
        <f t="shared" si="11"/>
        <v>0</v>
      </c>
      <c r="AA114" s="27" t="str">
        <f t="shared" si="12"/>
        <v/>
      </c>
      <c r="AB114" s="1" t="str">
        <f t="array" ref="AB114">IFERROR(INDEX('Исходник'!$1:$626,MATCH($A114,'Исходник'!$T:$T,0),MATCH(AB$1,'Исходник'!$1:$1,0)))</f>
        <v/>
      </c>
      <c r="AC114" s="1" t="str">
        <f t="array" ref="AC114">IFERROR(INDEX('Исходник'!$1:$626,MATCH($A114,'Исходник'!$T:$T,0),MATCH(AC$1,'Исходник'!$1:$1,0)))</f>
        <v/>
      </c>
      <c r="AD114" s="27" t="str">
        <f t="shared" si="13"/>
        <v/>
      </c>
      <c r="AE114" s="1" t="str">
        <f t="array" ref="AE114">IFERROR(INDEX('Исходник'!$1:$626,MATCH($A114,'Исходник'!$T:$T,0),MATCH(AE$1,'Исходник'!$1:$1,0)))</f>
        <v/>
      </c>
      <c r="AF114" s="1" t="str">
        <f t="array" ref="AF114">IFERROR(INDEX('Исходник'!$1:$626,MATCH($A114,'Исходник'!$T:$T,0),MATCH(AF$1,'Исходник'!$1:$1,0)))</f>
        <v/>
      </c>
      <c r="AG114" s="27" t="str">
        <f t="shared" si="14"/>
        <v/>
      </c>
      <c r="AH114" s="1" t="str">
        <f t="array" ref="AH114">IFERROR(INDEX('Исходник'!$1:$626,MATCH($A114,'Исходник'!$T:$T,0),MATCH(AH$1,'Исходник'!$1:$1,0)))</f>
        <v/>
      </c>
      <c r="AI114" s="1" t="str">
        <f t="array" ref="AI114">IFERROR(INDEX('Исходник'!$1:$626,MATCH($A114,'Исходник'!$T:$T,0),MATCH(AI$1,'Исходник'!$1:$1,0)))</f>
        <v/>
      </c>
      <c r="AJ114" s="18">
        <f t="shared" si="15"/>
        <v>0</v>
      </c>
    </row>
    <row r="115" ht="15.75" customHeight="1">
      <c r="A115" s="27"/>
      <c r="B115" s="1" t="str">
        <f t="array" ref="B115">IFERROR(INDEX('Исходник'!$1:$626,MATCH($A115,'Исходник'!$T:$T,0),MATCH(B$1,'Исходник'!$1:$1,0)))</f>
        <v/>
      </c>
      <c r="C115" s="1" t="str">
        <f t="array" ref="C115">IFERROR(INDEX('Исходник'!$1:$626,MATCH($A115,'Исходник'!$T:$T,0),MATCH(C$1,'Исходник'!$1:$1,0)))</f>
        <v/>
      </c>
      <c r="D115" s="1" t="str">
        <f t="array" ref="D115">IFERROR(INDEX('Исходник'!$1:$626,MATCH($A115,'Исходник'!$T:$T,0),MATCH(D$1,'Исходник'!$1:$1,0)))</f>
        <v/>
      </c>
      <c r="E115" s="1" t="str">
        <f t="array" ref="E115">IFERROR(INDEX('Исходник'!$1:$626,MATCH($A115,'Исходник'!$T:$T,0),MATCH(E$1,'Исходник'!$1:$1,0)))</f>
        <v/>
      </c>
      <c r="F115" s="1" t="str">
        <f t="array" ref="F115">IFERROR(INDEX('Исходник'!$1:$626,MATCH($A115,'Исходник'!$T:$T,0),MATCH(F$1,'Исходник'!$1:$1,0)))</f>
        <v/>
      </c>
      <c r="G115" s="1" t="str">
        <f t="array" ref="G115">IFERROR(INDEX('Исходник'!$1:$626,MATCH($A115,'Исходник'!$T:$T,0),MATCH(G$1,'Исходник'!$1:$1,0)))</f>
        <v/>
      </c>
      <c r="H115" s="27">
        <f t="shared" si="1"/>
        <v>0</v>
      </c>
      <c r="I115" s="27" t="str">
        <f t="shared" si="2"/>
        <v/>
      </c>
      <c r="J115" s="1" t="str">
        <f t="array" ref="J115">IFERROR(INDEX('Исходник'!$1:$626,MATCH($A115,'Исходник'!$T:$T,0),MATCH(J$1,'Исходник'!$1:$1,0)))</f>
        <v/>
      </c>
      <c r="K115" s="27" t="str">
        <f t="shared" si="3"/>
        <v/>
      </c>
      <c r="L115" s="1" t="str">
        <f t="array" ref="L115">IFERROR(INDEX('Исходник'!$1:$626,MATCH($A115,'Исходник'!$T:$T,0),MATCH(L$1,'Исходник'!$1:$1,0)))</f>
        <v/>
      </c>
      <c r="M115" s="28">
        <f t="shared" si="4"/>
        <v>0</v>
      </c>
      <c r="N115" s="1" t="str">
        <f t="array" ref="N115">IFERROR(INDEX('Исходник'!$1:$626,MATCH($A115,'Исходник'!$T:$T,0),MATCH(N$1,'Исходник'!$1:$1,0)))</f>
        <v/>
      </c>
      <c r="O115" s="27">
        <f t="shared" si="5"/>
        <v>0</v>
      </c>
      <c r="P115" s="27" t="str">
        <f t="shared" si="6"/>
        <v/>
      </c>
      <c r="Q115" s="1" t="str">
        <f t="array" ref="Q115">IFERROR(INDEX('Исходник'!$1:$626,MATCH($A115,'Исходник'!$T:$T,0),MATCH(Q$1,'Исходник'!$1:$1,0)))</f>
        <v/>
      </c>
      <c r="R115" s="1" t="str">
        <f t="array" ref="R115">IFERROR(INDEX('Исходник'!$1:$626,MATCH($A115,'Исходник'!$T:$T,0),MATCH(R$1,'Исходник'!$1:$1,0)))</f>
        <v/>
      </c>
      <c r="S115" s="27">
        <f t="shared" si="7"/>
        <v>0</v>
      </c>
      <c r="T115" s="27" t="str">
        <f t="shared" si="8"/>
        <v/>
      </c>
      <c r="U115" s="1" t="str">
        <f t="array" ref="U115">IFERROR(INDEX('Исходник'!$1:$626,MATCH($A115,'Исходник'!$T:$T,0),MATCH(U$1,'Исходник'!$1:$1,0)))</f>
        <v/>
      </c>
      <c r="V115" s="27" t="str">
        <f t="shared" si="9"/>
        <v/>
      </c>
      <c r="W115" s="1" t="str">
        <f t="array" ref="W115">IFERROR(INDEX('Исходник'!$1:$626,MATCH($A115,'Исходник'!$T:$T,0),MATCH(W$1,'Исходник'!$1:$1,0)))</f>
        <v/>
      </c>
      <c r="X115" s="28">
        <f t="shared" si="10"/>
        <v>0</v>
      </c>
      <c r="Y115" s="1" t="str">
        <f t="array" ref="Y115">IFERROR(INDEX('Исходник'!$1:$626,MATCH($A115,'Исходник'!$T:$T,0),MATCH(Y$1,'Исходник'!$1:$1,0)))</f>
        <v/>
      </c>
      <c r="Z115" s="27">
        <f t="shared" si="11"/>
        <v>0</v>
      </c>
      <c r="AA115" s="27" t="str">
        <f t="shared" si="12"/>
        <v/>
      </c>
      <c r="AB115" s="1" t="str">
        <f t="array" ref="AB115">IFERROR(INDEX('Исходник'!$1:$626,MATCH($A115,'Исходник'!$T:$T,0),MATCH(AB$1,'Исходник'!$1:$1,0)))</f>
        <v/>
      </c>
      <c r="AC115" s="1" t="str">
        <f t="array" ref="AC115">IFERROR(INDEX('Исходник'!$1:$626,MATCH($A115,'Исходник'!$T:$T,0),MATCH(AC$1,'Исходник'!$1:$1,0)))</f>
        <v/>
      </c>
      <c r="AD115" s="27" t="str">
        <f t="shared" si="13"/>
        <v/>
      </c>
      <c r="AE115" s="1" t="str">
        <f t="array" ref="AE115">IFERROR(INDEX('Исходник'!$1:$626,MATCH($A115,'Исходник'!$T:$T,0),MATCH(AE$1,'Исходник'!$1:$1,0)))</f>
        <v/>
      </c>
      <c r="AF115" s="1" t="str">
        <f t="array" ref="AF115">IFERROR(INDEX('Исходник'!$1:$626,MATCH($A115,'Исходник'!$T:$T,0),MATCH(AF$1,'Исходник'!$1:$1,0)))</f>
        <v/>
      </c>
      <c r="AG115" s="27" t="str">
        <f t="shared" si="14"/>
        <v/>
      </c>
      <c r="AH115" s="1" t="str">
        <f t="array" ref="AH115">IFERROR(INDEX('Исходник'!$1:$626,MATCH($A115,'Исходник'!$T:$T,0),MATCH(AH$1,'Исходник'!$1:$1,0)))</f>
        <v/>
      </c>
      <c r="AI115" s="1" t="str">
        <f t="array" ref="AI115">IFERROR(INDEX('Исходник'!$1:$626,MATCH($A115,'Исходник'!$T:$T,0),MATCH(AI$1,'Исходник'!$1:$1,0)))</f>
        <v/>
      </c>
      <c r="AJ115" s="18">
        <f t="shared" si="15"/>
        <v>0</v>
      </c>
    </row>
    <row r="116" ht="15.75" customHeight="1">
      <c r="A116" s="27"/>
      <c r="B116" s="1" t="str">
        <f t="array" ref="B116">IFERROR(INDEX('Исходник'!$1:$626,MATCH($A116,'Исходник'!$T:$T,0),MATCH(B$1,'Исходник'!$1:$1,0)))</f>
        <v/>
      </c>
      <c r="C116" s="1" t="str">
        <f t="array" ref="C116">IFERROR(INDEX('Исходник'!$1:$626,MATCH($A116,'Исходник'!$T:$T,0),MATCH(C$1,'Исходник'!$1:$1,0)))</f>
        <v/>
      </c>
      <c r="D116" s="1" t="str">
        <f t="array" ref="D116">IFERROR(INDEX('Исходник'!$1:$626,MATCH($A116,'Исходник'!$T:$T,0),MATCH(D$1,'Исходник'!$1:$1,0)))</f>
        <v/>
      </c>
      <c r="E116" s="1" t="str">
        <f t="array" ref="E116">IFERROR(INDEX('Исходник'!$1:$626,MATCH($A116,'Исходник'!$T:$T,0),MATCH(E$1,'Исходник'!$1:$1,0)))</f>
        <v/>
      </c>
      <c r="F116" s="1" t="str">
        <f t="array" ref="F116">IFERROR(INDEX('Исходник'!$1:$626,MATCH($A116,'Исходник'!$T:$T,0),MATCH(F$1,'Исходник'!$1:$1,0)))</f>
        <v/>
      </c>
      <c r="G116" s="1" t="str">
        <f t="array" ref="G116">IFERROR(INDEX('Исходник'!$1:$626,MATCH($A116,'Исходник'!$T:$T,0),MATCH(G$1,'Исходник'!$1:$1,0)))</f>
        <v/>
      </c>
      <c r="H116" s="27">
        <f t="shared" si="1"/>
        <v>0</v>
      </c>
      <c r="I116" s="27" t="str">
        <f t="shared" si="2"/>
        <v/>
      </c>
      <c r="J116" s="1" t="str">
        <f t="array" ref="J116">IFERROR(INDEX('Исходник'!$1:$626,MATCH($A116,'Исходник'!$T:$T,0),MATCH(J$1,'Исходник'!$1:$1,0)))</f>
        <v/>
      </c>
      <c r="K116" s="27" t="str">
        <f t="shared" si="3"/>
        <v/>
      </c>
      <c r="L116" s="1" t="str">
        <f t="array" ref="L116">IFERROR(INDEX('Исходник'!$1:$626,MATCH($A116,'Исходник'!$T:$T,0),MATCH(L$1,'Исходник'!$1:$1,0)))</f>
        <v/>
      </c>
      <c r="M116" s="28">
        <f t="shared" si="4"/>
        <v>0</v>
      </c>
      <c r="N116" s="1" t="str">
        <f t="array" ref="N116">IFERROR(INDEX('Исходник'!$1:$626,MATCH($A116,'Исходник'!$T:$T,0),MATCH(N$1,'Исходник'!$1:$1,0)))</f>
        <v/>
      </c>
      <c r="O116" s="27">
        <f t="shared" si="5"/>
        <v>0</v>
      </c>
      <c r="P116" s="27" t="str">
        <f t="shared" si="6"/>
        <v/>
      </c>
      <c r="Q116" s="1" t="str">
        <f t="array" ref="Q116">IFERROR(INDEX('Исходник'!$1:$626,MATCH($A116,'Исходник'!$T:$T,0),MATCH(Q$1,'Исходник'!$1:$1,0)))</f>
        <v/>
      </c>
      <c r="R116" s="1" t="str">
        <f t="array" ref="R116">IFERROR(INDEX('Исходник'!$1:$626,MATCH($A116,'Исходник'!$T:$T,0),MATCH(R$1,'Исходник'!$1:$1,0)))</f>
        <v/>
      </c>
      <c r="S116" s="27">
        <f t="shared" si="7"/>
        <v>0</v>
      </c>
      <c r="T116" s="27" t="str">
        <f t="shared" si="8"/>
        <v/>
      </c>
      <c r="U116" s="1" t="str">
        <f t="array" ref="U116">IFERROR(INDEX('Исходник'!$1:$626,MATCH($A116,'Исходник'!$T:$T,0),MATCH(U$1,'Исходник'!$1:$1,0)))</f>
        <v/>
      </c>
      <c r="V116" s="27" t="str">
        <f t="shared" si="9"/>
        <v/>
      </c>
      <c r="W116" s="1" t="str">
        <f t="array" ref="W116">IFERROR(INDEX('Исходник'!$1:$626,MATCH($A116,'Исходник'!$T:$T,0),MATCH(W$1,'Исходник'!$1:$1,0)))</f>
        <v/>
      </c>
      <c r="X116" s="28">
        <f t="shared" si="10"/>
        <v>0</v>
      </c>
      <c r="Y116" s="1" t="str">
        <f t="array" ref="Y116">IFERROR(INDEX('Исходник'!$1:$626,MATCH($A116,'Исходник'!$T:$T,0),MATCH(Y$1,'Исходник'!$1:$1,0)))</f>
        <v/>
      </c>
      <c r="Z116" s="27">
        <f t="shared" si="11"/>
        <v>0</v>
      </c>
      <c r="AA116" s="27" t="str">
        <f t="shared" si="12"/>
        <v/>
      </c>
      <c r="AB116" s="1" t="str">
        <f t="array" ref="AB116">IFERROR(INDEX('Исходник'!$1:$626,MATCH($A116,'Исходник'!$T:$T,0),MATCH(AB$1,'Исходник'!$1:$1,0)))</f>
        <v/>
      </c>
      <c r="AC116" s="1" t="str">
        <f t="array" ref="AC116">IFERROR(INDEX('Исходник'!$1:$626,MATCH($A116,'Исходник'!$T:$T,0),MATCH(AC$1,'Исходник'!$1:$1,0)))</f>
        <v/>
      </c>
      <c r="AD116" s="27" t="str">
        <f t="shared" si="13"/>
        <v/>
      </c>
      <c r="AE116" s="1" t="str">
        <f t="array" ref="AE116">IFERROR(INDEX('Исходник'!$1:$626,MATCH($A116,'Исходник'!$T:$T,0),MATCH(AE$1,'Исходник'!$1:$1,0)))</f>
        <v/>
      </c>
      <c r="AF116" s="1" t="str">
        <f t="array" ref="AF116">IFERROR(INDEX('Исходник'!$1:$626,MATCH($A116,'Исходник'!$T:$T,0),MATCH(AF$1,'Исходник'!$1:$1,0)))</f>
        <v/>
      </c>
      <c r="AG116" s="27" t="str">
        <f t="shared" si="14"/>
        <v/>
      </c>
      <c r="AH116" s="1" t="str">
        <f t="array" ref="AH116">IFERROR(INDEX('Исходник'!$1:$626,MATCH($A116,'Исходник'!$T:$T,0),MATCH(AH$1,'Исходник'!$1:$1,0)))</f>
        <v/>
      </c>
      <c r="AI116" s="1" t="str">
        <f t="array" ref="AI116">IFERROR(INDEX('Исходник'!$1:$626,MATCH($A116,'Исходник'!$T:$T,0),MATCH(AI$1,'Исходник'!$1:$1,0)))</f>
        <v/>
      </c>
      <c r="AJ116" s="18">
        <f t="shared" si="15"/>
        <v>0</v>
      </c>
    </row>
    <row r="117" ht="15.75" customHeight="1">
      <c r="A117" s="27"/>
      <c r="B117" s="1" t="str">
        <f t="array" ref="B117">IFERROR(INDEX('Исходник'!$1:$626,MATCH($A117,'Исходник'!$T:$T,0),MATCH(B$1,'Исходник'!$1:$1,0)))</f>
        <v/>
      </c>
      <c r="C117" s="1" t="str">
        <f t="array" ref="C117">IFERROR(INDEX('Исходник'!$1:$626,MATCH($A117,'Исходник'!$T:$T,0),MATCH(C$1,'Исходник'!$1:$1,0)))</f>
        <v/>
      </c>
      <c r="D117" s="1" t="str">
        <f t="array" ref="D117">IFERROR(INDEX('Исходник'!$1:$626,MATCH($A117,'Исходник'!$T:$T,0),MATCH(D$1,'Исходник'!$1:$1,0)))</f>
        <v/>
      </c>
      <c r="E117" s="1" t="str">
        <f t="array" ref="E117">IFERROR(INDEX('Исходник'!$1:$626,MATCH($A117,'Исходник'!$T:$T,0),MATCH(E$1,'Исходник'!$1:$1,0)))</f>
        <v/>
      </c>
      <c r="F117" s="1" t="str">
        <f t="array" ref="F117">IFERROR(INDEX('Исходник'!$1:$626,MATCH($A117,'Исходник'!$T:$T,0),MATCH(F$1,'Исходник'!$1:$1,0)))</f>
        <v/>
      </c>
      <c r="G117" s="1" t="str">
        <f t="array" ref="G117">IFERROR(INDEX('Исходник'!$1:$626,MATCH($A117,'Исходник'!$T:$T,0),MATCH(G$1,'Исходник'!$1:$1,0)))</f>
        <v/>
      </c>
      <c r="H117" s="27">
        <f t="shared" si="1"/>
        <v>0</v>
      </c>
      <c r="I117" s="27" t="str">
        <f t="shared" si="2"/>
        <v/>
      </c>
      <c r="J117" s="1" t="str">
        <f t="array" ref="J117">IFERROR(INDEX('Исходник'!$1:$626,MATCH($A117,'Исходник'!$T:$T,0),MATCH(J$1,'Исходник'!$1:$1,0)))</f>
        <v/>
      </c>
      <c r="K117" s="27" t="str">
        <f t="shared" si="3"/>
        <v/>
      </c>
      <c r="L117" s="1" t="str">
        <f t="array" ref="L117">IFERROR(INDEX('Исходник'!$1:$626,MATCH($A117,'Исходник'!$T:$T,0),MATCH(L$1,'Исходник'!$1:$1,0)))</f>
        <v/>
      </c>
      <c r="M117" s="28">
        <f t="shared" si="4"/>
        <v>0</v>
      </c>
      <c r="N117" s="1" t="str">
        <f t="array" ref="N117">IFERROR(INDEX('Исходник'!$1:$626,MATCH($A117,'Исходник'!$T:$T,0),MATCH(N$1,'Исходник'!$1:$1,0)))</f>
        <v/>
      </c>
      <c r="O117" s="27">
        <f t="shared" si="5"/>
        <v>0</v>
      </c>
      <c r="P117" s="27" t="str">
        <f t="shared" si="6"/>
        <v/>
      </c>
      <c r="Q117" s="1" t="str">
        <f t="array" ref="Q117">IFERROR(INDEX('Исходник'!$1:$626,MATCH($A117,'Исходник'!$T:$T,0),MATCH(Q$1,'Исходник'!$1:$1,0)))</f>
        <v/>
      </c>
      <c r="R117" s="1" t="str">
        <f t="array" ref="R117">IFERROR(INDEX('Исходник'!$1:$626,MATCH($A117,'Исходник'!$T:$T,0),MATCH(R$1,'Исходник'!$1:$1,0)))</f>
        <v/>
      </c>
      <c r="S117" s="27">
        <f t="shared" si="7"/>
        <v>0</v>
      </c>
      <c r="T117" s="27" t="str">
        <f t="shared" si="8"/>
        <v/>
      </c>
      <c r="U117" s="1" t="str">
        <f t="array" ref="U117">IFERROR(INDEX('Исходник'!$1:$626,MATCH($A117,'Исходник'!$T:$T,0),MATCH(U$1,'Исходник'!$1:$1,0)))</f>
        <v/>
      </c>
      <c r="V117" s="27" t="str">
        <f t="shared" si="9"/>
        <v/>
      </c>
      <c r="W117" s="1" t="str">
        <f t="array" ref="W117">IFERROR(INDEX('Исходник'!$1:$626,MATCH($A117,'Исходник'!$T:$T,0),MATCH(W$1,'Исходник'!$1:$1,0)))</f>
        <v/>
      </c>
      <c r="X117" s="28">
        <f t="shared" si="10"/>
        <v>0</v>
      </c>
      <c r="Y117" s="1" t="str">
        <f t="array" ref="Y117">IFERROR(INDEX('Исходник'!$1:$626,MATCH($A117,'Исходник'!$T:$T,0),MATCH(Y$1,'Исходник'!$1:$1,0)))</f>
        <v/>
      </c>
      <c r="Z117" s="27">
        <f t="shared" si="11"/>
        <v>0</v>
      </c>
      <c r="AA117" s="27" t="str">
        <f t="shared" si="12"/>
        <v/>
      </c>
      <c r="AB117" s="1" t="str">
        <f t="array" ref="AB117">IFERROR(INDEX('Исходник'!$1:$626,MATCH($A117,'Исходник'!$T:$T,0),MATCH(AB$1,'Исходник'!$1:$1,0)))</f>
        <v/>
      </c>
      <c r="AC117" s="1" t="str">
        <f t="array" ref="AC117">IFERROR(INDEX('Исходник'!$1:$626,MATCH($A117,'Исходник'!$T:$T,0),MATCH(AC$1,'Исходник'!$1:$1,0)))</f>
        <v/>
      </c>
      <c r="AD117" s="27" t="str">
        <f t="shared" si="13"/>
        <v/>
      </c>
      <c r="AE117" s="1" t="str">
        <f t="array" ref="AE117">IFERROR(INDEX('Исходник'!$1:$626,MATCH($A117,'Исходник'!$T:$T,0),MATCH(AE$1,'Исходник'!$1:$1,0)))</f>
        <v/>
      </c>
      <c r="AF117" s="1" t="str">
        <f t="array" ref="AF117">IFERROR(INDEX('Исходник'!$1:$626,MATCH($A117,'Исходник'!$T:$T,0),MATCH(AF$1,'Исходник'!$1:$1,0)))</f>
        <v/>
      </c>
      <c r="AG117" s="27" t="str">
        <f t="shared" si="14"/>
        <v/>
      </c>
      <c r="AH117" s="1" t="str">
        <f t="array" ref="AH117">IFERROR(INDEX('Исходник'!$1:$626,MATCH($A117,'Исходник'!$T:$T,0),MATCH(AH$1,'Исходник'!$1:$1,0)))</f>
        <v/>
      </c>
      <c r="AI117" s="1" t="str">
        <f t="array" ref="AI117">IFERROR(INDEX('Исходник'!$1:$626,MATCH($A117,'Исходник'!$T:$T,0),MATCH(AI$1,'Исходник'!$1:$1,0)))</f>
        <v/>
      </c>
      <c r="AJ117" s="18">
        <f t="shared" si="15"/>
        <v>0</v>
      </c>
    </row>
    <row r="118" ht="15.75" customHeight="1">
      <c r="A118" s="27"/>
      <c r="B118" s="1" t="str">
        <f t="array" ref="B118">IFERROR(INDEX('Исходник'!$1:$626,MATCH($A118,'Исходник'!$T:$T,0),MATCH(B$1,'Исходник'!$1:$1,0)))</f>
        <v/>
      </c>
      <c r="C118" s="1" t="str">
        <f t="array" ref="C118">IFERROR(INDEX('Исходник'!$1:$626,MATCH($A118,'Исходник'!$T:$T,0),MATCH(C$1,'Исходник'!$1:$1,0)))</f>
        <v/>
      </c>
      <c r="D118" s="1" t="str">
        <f t="array" ref="D118">IFERROR(INDEX('Исходник'!$1:$626,MATCH($A118,'Исходник'!$T:$T,0),MATCH(D$1,'Исходник'!$1:$1,0)))</f>
        <v/>
      </c>
      <c r="E118" s="1" t="str">
        <f t="array" ref="E118">IFERROR(INDEX('Исходник'!$1:$626,MATCH($A118,'Исходник'!$T:$T,0),MATCH(E$1,'Исходник'!$1:$1,0)))</f>
        <v/>
      </c>
      <c r="F118" s="1" t="str">
        <f t="array" ref="F118">IFERROR(INDEX('Исходник'!$1:$626,MATCH($A118,'Исходник'!$T:$T,0),MATCH(F$1,'Исходник'!$1:$1,0)))</f>
        <v/>
      </c>
      <c r="G118" s="1" t="str">
        <f t="array" ref="G118">IFERROR(INDEX('Исходник'!$1:$626,MATCH($A118,'Исходник'!$T:$T,0),MATCH(G$1,'Исходник'!$1:$1,0)))</f>
        <v/>
      </c>
      <c r="H118" s="27">
        <f t="shared" si="1"/>
        <v>0</v>
      </c>
      <c r="I118" s="27" t="str">
        <f t="shared" si="2"/>
        <v/>
      </c>
      <c r="J118" s="1" t="str">
        <f t="array" ref="J118">IFERROR(INDEX('Исходник'!$1:$626,MATCH($A118,'Исходник'!$T:$T,0),MATCH(J$1,'Исходник'!$1:$1,0)))</f>
        <v/>
      </c>
      <c r="K118" s="27" t="str">
        <f t="shared" si="3"/>
        <v/>
      </c>
      <c r="L118" s="1" t="str">
        <f t="array" ref="L118">IFERROR(INDEX('Исходник'!$1:$626,MATCH($A118,'Исходник'!$T:$T,0),MATCH(L$1,'Исходник'!$1:$1,0)))</f>
        <v/>
      </c>
      <c r="M118" s="28">
        <f t="shared" si="4"/>
        <v>0</v>
      </c>
      <c r="N118" s="1" t="str">
        <f t="array" ref="N118">IFERROR(INDEX('Исходник'!$1:$626,MATCH($A118,'Исходник'!$T:$T,0),MATCH(N$1,'Исходник'!$1:$1,0)))</f>
        <v/>
      </c>
      <c r="O118" s="27">
        <f t="shared" si="5"/>
        <v>0</v>
      </c>
      <c r="P118" s="27" t="str">
        <f t="shared" si="6"/>
        <v/>
      </c>
      <c r="Q118" s="1" t="str">
        <f t="array" ref="Q118">IFERROR(INDEX('Исходник'!$1:$626,MATCH($A118,'Исходник'!$T:$T,0),MATCH(Q$1,'Исходник'!$1:$1,0)))</f>
        <v/>
      </c>
      <c r="R118" s="1" t="str">
        <f t="array" ref="R118">IFERROR(INDEX('Исходник'!$1:$626,MATCH($A118,'Исходник'!$T:$T,0),MATCH(R$1,'Исходник'!$1:$1,0)))</f>
        <v/>
      </c>
      <c r="S118" s="27">
        <f t="shared" si="7"/>
        <v>0</v>
      </c>
      <c r="T118" s="27" t="str">
        <f t="shared" si="8"/>
        <v/>
      </c>
      <c r="U118" s="1" t="str">
        <f t="array" ref="U118">IFERROR(INDEX('Исходник'!$1:$626,MATCH($A118,'Исходник'!$T:$T,0),MATCH(U$1,'Исходник'!$1:$1,0)))</f>
        <v/>
      </c>
      <c r="V118" s="27" t="str">
        <f t="shared" si="9"/>
        <v/>
      </c>
      <c r="W118" s="1" t="str">
        <f t="array" ref="W118">IFERROR(INDEX('Исходник'!$1:$626,MATCH($A118,'Исходник'!$T:$T,0),MATCH(W$1,'Исходник'!$1:$1,0)))</f>
        <v/>
      </c>
      <c r="X118" s="28">
        <f t="shared" si="10"/>
        <v>0</v>
      </c>
      <c r="Y118" s="1" t="str">
        <f t="array" ref="Y118">IFERROR(INDEX('Исходник'!$1:$626,MATCH($A118,'Исходник'!$T:$T,0),MATCH(Y$1,'Исходник'!$1:$1,0)))</f>
        <v/>
      </c>
      <c r="Z118" s="27">
        <f t="shared" si="11"/>
        <v>0</v>
      </c>
      <c r="AA118" s="27" t="str">
        <f t="shared" si="12"/>
        <v/>
      </c>
      <c r="AB118" s="1" t="str">
        <f t="array" ref="AB118">IFERROR(INDEX('Исходник'!$1:$626,MATCH($A118,'Исходник'!$T:$T,0),MATCH(AB$1,'Исходник'!$1:$1,0)))</f>
        <v/>
      </c>
      <c r="AC118" s="1" t="str">
        <f t="array" ref="AC118">IFERROR(INDEX('Исходник'!$1:$626,MATCH($A118,'Исходник'!$T:$T,0),MATCH(AC$1,'Исходник'!$1:$1,0)))</f>
        <v/>
      </c>
      <c r="AD118" s="27" t="str">
        <f t="shared" si="13"/>
        <v/>
      </c>
      <c r="AE118" s="1" t="str">
        <f t="array" ref="AE118">IFERROR(INDEX('Исходник'!$1:$626,MATCH($A118,'Исходник'!$T:$T,0),MATCH(AE$1,'Исходник'!$1:$1,0)))</f>
        <v/>
      </c>
      <c r="AF118" s="1" t="str">
        <f t="array" ref="AF118">IFERROR(INDEX('Исходник'!$1:$626,MATCH($A118,'Исходник'!$T:$T,0),MATCH(AF$1,'Исходник'!$1:$1,0)))</f>
        <v/>
      </c>
      <c r="AG118" s="27" t="str">
        <f t="shared" si="14"/>
        <v/>
      </c>
      <c r="AH118" s="1" t="str">
        <f t="array" ref="AH118">IFERROR(INDEX('Исходник'!$1:$626,MATCH($A118,'Исходник'!$T:$T,0),MATCH(AH$1,'Исходник'!$1:$1,0)))</f>
        <v/>
      </c>
      <c r="AI118" s="1" t="str">
        <f t="array" ref="AI118">IFERROR(INDEX('Исходник'!$1:$626,MATCH($A118,'Исходник'!$T:$T,0),MATCH(AI$1,'Исходник'!$1:$1,0)))</f>
        <v/>
      </c>
      <c r="AJ118" s="18">
        <f t="shared" si="15"/>
        <v>0</v>
      </c>
    </row>
    <row r="119" ht="15.75" customHeight="1">
      <c r="A119" s="27"/>
      <c r="B119" s="1" t="str">
        <f t="array" ref="B119">IFERROR(INDEX('Исходник'!$1:$626,MATCH($A119,'Исходник'!$T:$T,0),MATCH(B$1,'Исходник'!$1:$1,0)))</f>
        <v/>
      </c>
      <c r="C119" s="1" t="str">
        <f t="array" ref="C119">IFERROR(INDEX('Исходник'!$1:$626,MATCH($A119,'Исходник'!$T:$T,0),MATCH(C$1,'Исходник'!$1:$1,0)))</f>
        <v/>
      </c>
      <c r="D119" s="1" t="str">
        <f t="array" ref="D119">IFERROR(INDEX('Исходник'!$1:$626,MATCH($A119,'Исходник'!$T:$T,0),MATCH(D$1,'Исходник'!$1:$1,0)))</f>
        <v/>
      </c>
      <c r="E119" s="1" t="str">
        <f t="array" ref="E119">IFERROR(INDEX('Исходник'!$1:$626,MATCH($A119,'Исходник'!$T:$T,0),MATCH(E$1,'Исходник'!$1:$1,0)))</f>
        <v/>
      </c>
      <c r="F119" s="1" t="str">
        <f t="array" ref="F119">IFERROR(INDEX('Исходник'!$1:$626,MATCH($A119,'Исходник'!$T:$T,0),MATCH(F$1,'Исходник'!$1:$1,0)))</f>
        <v/>
      </c>
      <c r="G119" s="1" t="str">
        <f t="array" ref="G119">IFERROR(INDEX('Исходник'!$1:$626,MATCH($A119,'Исходник'!$T:$T,0),MATCH(G$1,'Исходник'!$1:$1,0)))</f>
        <v/>
      </c>
      <c r="H119" s="27">
        <f t="shared" si="1"/>
        <v>0</v>
      </c>
      <c r="I119" s="27" t="str">
        <f t="shared" si="2"/>
        <v/>
      </c>
      <c r="J119" s="1" t="str">
        <f t="array" ref="J119">IFERROR(INDEX('Исходник'!$1:$626,MATCH($A119,'Исходник'!$T:$T,0),MATCH(J$1,'Исходник'!$1:$1,0)))</f>
        <v/>
      </c>
      <c r="K119" s="27" t="str">
        <f t="shared" si="3"/>
        <v/>
      </c>
      <c r="L119" s="1" t="str">
        <f t="array" ref="L119">IFERROR(INDEX('Исходник'!$1:$626,MATCH($A119,'Исходник'!$T:$T,0),MATCH(L$1,'Исходник'!$1:$1,0)))</f>
        <v/>
      </c>
      <c r="M119" s="28">
        <f t="shared" si="4"/>
        <v>0</v>
      </c>
      <c r="N119" s="1" t="str">
        <f t="array" ref="N119">IFERROR(INDEX('Исходник'!$1:$626,MATCH($A119,'Исходник'!$T:$T,0),MATCH(N$1,'Исходник'!$1:$1,0)))</f>
        <v/>
      </c>
      <c r="O119" s="27">
        <f t="shared" si="5"/>
        <v>0</v>
      </c>
      <c r="P119" s="27" t="str">
        <f t="shared" si="6"/>
        <v/>
      </c>
      <c r="Q119" s="1" t="str">
        <f t="array" ref="Q119">IFERROR(INDEX('Исходник'!$1:$626,MATCH($A119,'Исходник'!$T:$T,0),MATCH(Q$1,'Исходник'!$1:$1,0)))</f>
        <v/>
      </c>
      <c r="R119" s="1" t="str">
        <f t="array" ref="R119">IFERROR(INDEX('Исходник'!$1:$626,MATCH($A119,'Исходник'!$T:$T,0),MATCH(R$1,'Исходник'!$1:$1,0)))</f>
        <v/>
      </c>
      <c r="S119" s="27">
        <f t="shared" si="7"/>
        <v>0</v>
      </c>
      <c r="T119" s="27" t="str">
        <f t="shared" si="8"/>
        <v/>
      </c>
      <c r="U119" s="1" t="str">
        <f t="array" ref="U119">IFERROR(INDEX('Исходник'!$1:$626,MATCH($A119,'Исходник'!$T:$T,0),MATCH(U$1,'Исходник'!$1:$1,0)))</f>
        <v/>
      </c>
      <c r="V119" s="27" t="str">
        <f t="shared" si="9"/>
        <v/>
      </c>
      <c r="W119" s="1" t="str">
        <f t="array" ref="W119">IFERROR(INDEX('Исходник'!$1:$626,MATCH($A119,'Исходник'!$T:$T,0),MATCH(W$1,'Исходник'!$1:$1,0)))</f>
        <v/>
      </c>
      <c r="X119" s="28">
        <f t="shared" si="10"/>
        <v>0</v>
      </c>
      <c r="Y119" s="1" t="str">
        <f t="array" ref="Y119">IFERROR(INDEX('Исходник'!$1:$626,MATCH($A119,'Исходник'!$T:$T,0),MATCH(Y$1,'Исходник'!$1:$1,0)))</f>
        <v/>
      </c>
      <c r="Z119" s="27">
        <f t="shared" si="11"/>
        <v>0</v>
      </c>
      <c r="AA119" s="27" t="str">
        <f t="shared" si="12"/>
        <v/>
      </c>
      <c r="AB119" s="1" t="str">
        <f t="array" ref="AB119">IFERROR(INDEX('Исходник'!$1:$626,MATCH($A119,'Исходник'!$T:$T,0),MATCH(AB$1,'Исходник'!$1:$1,0)))</f>
        <v/>
      </c>
      <c r="AC119" s="1" t="str">
        <f t="array" ref="AC119">IFERROR(INDEX('Исходник'!$1:$626,MATCH($A119,'Исходник'!$T:$T,0),MATCH(AC$1,'Исходник'!$1:$1,0)))</f>
        <v/>
      </c>
      <c r="AD119" s="27" t="str">
        <f t="shared" si="13"/>
        <v/>
      </c>
      <c r="AE119" s="1" t="str">
        <f t="array" ref="AE119">IFERROR(INDEX('Исходник'!$1:$626,MATCH($A119,'Исходник'!$T:$T,0),MATCH(AE$1,'Исходник'!$1:$1,0)))</f>
        <v/>
      </c>
      <c r="AF119" s="1" t="str">
        <f t="array" ref="AF119">IFERROR(INDEX('Исходник'!$1:$626,MATCH($A119,'Исходник'!$T:$T,0),MATCH(AF$1,'Исходник'!$1:$1,0)))</f>
        <v/>
      </c>
      <c r="AG119" s="27" t="str">
        <f t="shared" si="14"/>
        <v/>
      </c>
      <c r="AH119" s="1" t="str">
        <f t="array" ref="AH119">IFERROR(INDEX('Исходник'!$1:$626,MATCH($A119,'Исходник'!$T:$T,0),MATCH(AH$1,'Исходник'!$1:$1,0)))</f>
        <v/>
      </c>
      <c r="AI119" s="1" t="str">
        <f t="array" ref="AI119">IFERROR(INDEX('Исходник'!$1:$626,MATCH($A119,'Исходник'!$T:$T,0),MATCH(AI$1,'Исходник'!$1:$1,0)))</f>
        <v/>
      </c>
      <c r="AJ119" s="18">
        <f t="shared" si="15"/>
        <v>0</v>
      </c>
    </row>
    <row r="120" ht="15.75" customHeight="1">
      <c r="A120" s="27"/>
      <c r="B120" s="1" t="str">
        <f t="array" ref="B120">IFERROR(INDEX('Исходник'!$1:$626,MATCH($A120,'Исходник'!$T:$T,0),MATCH(B$1,'Исходник'!$1:$1,0)))</f>
        <v/>
      </c>
      <c r="C120" s="1" t="str">
        <f t="array" ref="C120">IFERROR(INDEX('Исходник'!$1:$626,MATCH($A120,'Исходник'!$T:$T,0),MATCH(C$1,'Исходник'!$1:$1,0)))</f>
        <v/>
      </c>
      <c r="D120" s="1" t="str">
        <f t="array" ref="D120">IFERROR(INDEX('Исходник'!$1:$626,MATCH($A120,'Исходник'!$T:$T,0),MATCH(D$1,'Исходник'!$1:$1,0)))</f>
        <v/>
      </c>
      <c r="E120" s="1" t="str">
        <f t="array" ref="E120">IFERROR(INDEX('Исходник'!$1:$626,MATCH($A120,'Исходник'!$T:$T,0),MATCH(E$1,'Исходник'!$1:$1,0)))</f>
        <v/>
      </c>
      <c r="F120" s="1" t="str">
        <f t="array" ref="F120">IFERROR(INDEX('Исходник'!$1:$626,MATCH($A120,'Исходник'!$T:$T,0),MATCH(F$1,'Исходник'!$1:$1,0)))</f>
        <v/>
      </c>
      <c r="G120" s="1" t="str">
        <f t="array" ref="G120">IFERROR(INDEX('Исходник'!$1:$626,MATCH($A120,'Исходник'!$T:$T,0),MATCH(G$1,'Исходник'!$1:$1,0)))</f>
        <v/>
      </c>
      <c r="H120" s="27">
        <f t="shared" si="1"/>
        <v>0</v>
      </c>
      <c r="I120" s="27" t="str">
        <f t="shared" si="2"/>
        <v/>
      </c>
      <c r="J120" s="1" t="str">
        <f t="array" ref="J120">IFERROR(INDEX('Исходник'!$1:$626,MATCH($A120,'Исходник'!$T:$T,0),MATCH(J$1,'Исходник'!$1:$1,0)))</f>
        <v/>
      </c>
      <c r="K120" s="27" t="str">
        <f t="shared" si="3"/>
        <v/>
      </c>
      <c r="L120" s="1" t="str">
        <f t="array" ref="L120">IFERROR(INDEX('Исходник'!$1:$626,MATCH($A120,'Исходник'!$T:$T,0),MATCH(L$1,'Исходник'!$1:$1,0)))</f>
        <v/>
      </c>
      <c r="M120" s="28">
        <f t="shared" si="4"/>
        <v>0</v>
      </c>
      <c r="N120" s="1" t="str">
        <f t="array" ref="N120">IFERROR(INDEX('Исходник'!$1:$626,MATCH($A120,'Исходник'!$T:$T,0),MATCH(N$1,'Исходник'!$1:$1,0)))</f>
        <v/>
      </c>
      <c r="O120" s="27">
        <f t="shared" si="5"/>
        <v>0</v>
      </c>
      <c r="P120" s="27" t="str">
        <f t="shared" si="6"/>
        <v/>
      </c>
      <c r="Q120" s="1" t="str">
        <f t="array" ref="Q120">IFERROR(INDEX('Исходник'!$1:$626,MATCH($A120,'Исходник'!$T:$T,0),MATCH(Q$1,'Исходник'!$1:$1,0)))</f>
        <v/>
      </c>
      <c r="R120" s="1" t="str">
        <f t="array" ref="R120">IFERROR(INDEX('Исходник'!$1:$626,MATCH($A120,'Исходник'!$T:$T,0),MATCH(R$1,'Исходник'!$1:$1,0)))</f>
        <v/>
      </c>
      <c r="S120" s="27">
        <f t="shared" si="7"/>
        <v>0</v>
      </c>
      <c r="T120" s="27" t="str">
        <f t="shared" si="8"/>
        <v/>
      </c>
      <c r="U120" s="1" t="str">
        <f t="array" ref="U120">IFERROR(INDEX('Исходник'!$1:$626,MATCH($A120,'Исходник'!$T:$T,0),MATCH(U$1,'Исходник'!$1:$1,0)))</f>
        <v/>
      </c>
      <c r="V120" s="27" t="str">
        <f t="shared" si="9"/>
        <v/>
      </c>
      <c r="W120" s="1" t="str">
        <f t="array" ref="W120">IFERROR(INDEX('Исходник'!$1:$626,MATCH($A120,'Исходник'!$T:$T,0),MATCH(W$1,'Исходник'!$1:$1,0)))</f>
        <v/>
      </c>
      <c r="X120" s="28">
        <f t="shared" si="10"/>
        <v>0</v>
      </c>
      <c r="Y120" s="1" t="str">
        <f t="array" ref="Y120">IFERROR(INDEX('Исходник'!$1:$626,MATCH($A120,'Исходник'!$T:$T,0),MATCH(Y$1,'Исходник'!$1:$1,0)))</f>
        <v/>
      </c>
      <c r="Z120" s="27">
        <f t="shared" si="11"/>
        <v>0</v>
      </c>
      <c r="AA120" s="27" t="str">
        <f t="shared" si="12"/>
        <v/>
      </c>
      <c r="AB120" s="1" t="str">
        <f t="array" ref="AB120">IFERROR(INDEX('Исходник'!$1:$626,MATCH($A120,'Исходник'!$T:$T,0),MATCH(AB$1,'Исходник'!$1:$1,0)))</f>
        <v/>
      </c>
      <c r="AC120" s="1" t="str">
        <f t="array" ref="AC120">IFERROR(INDEX('Исходник'!$1:$626,MATCH($A120,'Исходник'!$T:$T,0),MATCH(AC$1,'Исходник'!$1:$1,0)))</f>
        <v/>
      </c>
      <c r="AD120" s="27" t="str">
        <f t="shared" si="13"/>
        <v/>
      </c>
      <c r="AE120" s="1" t="str">
        <f t="array" ref="AE120">IFERROR(INDEX('Исходник'!$1:$626,MATCH($A120,'Исходник'!$T:$T,0),MATCH(AE$1,'Исходник'!$1:$1,0)))</f>
        <v/>
      </c>
      <c r="AF120" s="1" t="str">
        <f t="array" ref="AF120">IFERROR(INDEX('Исходник'!$1:$626,MATCH($A120,'Исходник'!$T:$T,0),MATCH(AF$1,'Исходник'!$1:$1,0)))</f>
        <v/>
      </c>
      <c r="AG120" s="27" t="str">
        <f t="shared" si="14"/>
        <v/>
      </c>
      <c r="AH120" s="1" t="str">
        <f t="array" ref="AH120">IFERROR(INDEX('Исходник'!$1:$626,MATCH($A120,'Исходник'!$T:$T,0),MATCH(AH$1,'Исходник'!$1:$1,0)))</f>
        <v/>
      </c>
      <c r="AI120" s="1" t="str">
        <f t="array" ref="AI120">IFERROR(INDEX('Исходник'!$1:$626,MATCH($A120,'Исходник'!$T:$T,0),MATCH(AI$1,'Исходник'!$1:$1,0)))</f>
        <v/>
      </c>
      <c r="AJ120" s="18">
        <f t="shared" si="15"/>
        <v>0</v>
      </c>
    </row>
    <row r="121" ht="15.75" customHeight="1">
      <c r="A121" s="27"/>
      <c r="B121" s="1" t="str">
        <f t="array" ref="B121">IFERROR(INDEX('Исходник'!$1:$626,MATCH($A121,'Исходник'!$T:$T,0),MATCH(B$1,'Исходник'!$1:$1,0)))</f>
        <v/>
      </c>
      <c r="C121" s="1" t="str">
        <f t="array" ref="C121">IFERROR(INDEX('Исходник'!$1:$626,MATCH($A121,'Исходник'!$T:$T,0),MATCH(C$1,'Исходник'!$1:$1,0)))</f>
        <v/>
      </c>
      <c r="D121" s="1" t="str">
        <f t="array" ref="D121">IFERROR(INDEX('Исходник'!$1:$626,MATCH($A121,'Исходник'!$T:$T,0),MATCH(D$1,'Исходник'!$1:$1,0)))</f>
        <v/>
      </c>
      <c r="E121" s="1" t="str">
        <f t="array" ref="E121">IFERROR(INDEX('Исходник'!$1:$626,MATCH($A121,'Исходник'!$T:$T,0),MATCH(E$1,'Исходник'!$1:$1,0)))</f>
        <v/>
      </c>
      <c r="F121" s="1" t="str">
        <f t="array" ref="F121">IFERROR(INDEX('Исходник'!$1:$626,MATCH($A121,'Исходник'!$T:$T,0),MATCH(F$1,'Исходник'!$1:$1,0)))</f>
        <v/>
      </c>
      <c r="G121" s="1" t="str">
        <f t="array" ref="G121">IFERROR(INDEX('Исходник'!$1:$626,MATCH($A121,'Исходник'!$T:$T,0),MATCH(G$1,'Исходник'!$1:$1,0)))</f>
        <v/>
      </c>
      <c r="H121" s="27">
        <f t="shared" si="1"/>
        <v>0</v>
      </c>
      <c r="I121" s="27" t="str">
        <f t="shared" si="2"/>
        <v/>
      </c>
      <c r="J121" s="1" t="str">
        <f t="array" ref="J121">IFERROR(INDEX('Исходник'!$1:$626,MATCH($A121,'Исходник'!$T:$T,0),MATCH(J$1,'Исходник'!$1:$1,0)))</f>
        <v/>
      </c>
      <c r="K121" s="27" t="str">
        <f t="shared" si="3"/>
        <v/>
      </c>
      <c r="L121" s="1" t="str">
        <f t="array" ref="L121">IFERROR(INDEX('Исходник'!$1:$626,MATCH($A121,'Исходник'!$T:$T,0),MATCH(L$1,'Исходник'!$1:$1,0)))</f>
        <v/>
      </c>
      <c r="M121" s="28">
        <f t="shared" si="4"/>
        <v>0</v>
      </c>
      <c r="N121" s="1" t="str">
        <f t="array" ref="N121">IFERROR(INDEX('Исходник'!$1:$626,MATCH($A121,'Исходник'!$T:$T,0),MATCH(N$1,'Исходник'!$1:$1,0)))</f>
        <v/>
      </c>
      <c r="O121" s="27">
        <f t="shared" si="5"/>
        <v>0</v>
      </c>
      <c r="P121" s="27" t="str">
        <f t="shared" si="6"/>
        <v/>
      </c>
      <c r="Q121" s="1" t="str">
        <f t="array" ref="Q121">IFERROR(INDEX('Исходник'!$1:$626,MATCH($A121,'Исходник'!$T:$T,0),MATCH(Q$1,'Исходник'!$1:$1,0)))</f>
        <v/>
      </c>
      <c r="R121" s="1" t="str">
        <f t="array" ref="R121">IFERROR(INDEX('Исходник'!$1:$626,MATCH($A121,'Исходник'!$T:$T,0),MATCH(R$1,'Исходник'!$1:$1,0)))</f>
        <v/>
      </c>
      <c r="S121" s="27">
        <f t="shared" si="7"/>
        <v>0</v>
      </c>
      <c r="T121" s="27" t="str">
        <f t="shared" si="8"/>
        <v/>
      </c>
      <c r="U121" s="1" t="str">
        <f t="array" ref="U121">IFERROR(INDEX('Исходник'!$1:$626,MATCH($A121,'Исходник'!$T:$T,0),MATCH(U$1,'Исходник'!$1:$1,0)))</f>
        <v/>
      </c>
      <c r="V121" s="27" t="str">
        <f t="shared" si="9"/>
        <v/>
      </c>
      <c r="W121" s="1" t="str">
        <f t="array" ref="W121">IFERROR(INDEX('Исходник'!$1:$626,MATCH($A121,'Исходник'!$T:$T,0),MATCH(W$1,'Исходник'!$1:$1,0)))</f>
        <v/>
      </c>
      <c r="X121" s="28">
        <f t="shared" si="10"/>
        <v>0</v>
      </c>
      <c r="Y121" s="1" t="str">
        <f t="array" ref="Y121">IFERROR(INDEX('Исходник'!$1:$626,MATCH($A121,'Исходник'!$T:$T,0),MATCH(Y$1,'Исходник'!$1:$1,0)))</f>
        <v/>
      </c>
      <c r="Z121" s="27">
        <f t="shared" si="11"/>
        <v>0</v>
      </c>
      <c r="AA121" s="27" t="str">
        <f t="shared" si="12"/>
        <v/>
      </c>
      <c r="AB121" s="1" t="str">
        <f t="array" ref="AB121">IFERROR(INDEX('Исходник'!$1:$626,MATCH($A121,'Исходник'!$T:$T,0),MATCH(AB$1,'Исходник'!$1:$1,0)))</f>
        <v/>
      </c>
      <c r="AC121" s="1" t="str">
        <f t="array" ref="AC121">IFERROR(INDEX('Исходник'!$1:$626,MATCH($A121,'Исходник'!$T:$T,0),MATCH(AC$1,'Исходник'!$1:$1,0)))</f>
        <v/>
      </c>
      <c r="AD121" s="27" t="str">
        <f t="shared" si="13"/>
        <v/>
      </c>
      <c r="AE121" s="1" t="str">
        <f t="array" ref="AE121">IFERROR(INDEX('Исходник'!$1:$626,MATCH($A121,'Исходник'!$T:$T,0),MATCH(AE$1,'Исходник'!$1:$1,0)))</f>
        <v/>
      </c>
      <c r="AF121" s="1" t="str">
        <f t="array" ref="AF121">IFERROR(INDEX('Исходник'!$1:$626,MATCH($A121,'Исходник'!$T:$T,0),MATCH(AF$1,'Исходник'!$1:$1,0)))</f>
        <v/>
      </c>
      <c r="AG121" s="27" t="str">
        <f t="shared" si="14"/>
        <v/>
      </c>
      <c r="AH121" s="1" t="str">
        <f t="array" ref="AH121">IFERROR(INDEX('Исходник'!$1:$626,MATCH($A121,'Исходник'!$T:$T,0),MATCH(AH$1,'Исходник'!$1:$1,0)))</f>
        <v/>
      </c>
      <c r="AI121" s="1" t="str">
        <f t="array" ref="AI121">IFERROR(INDEX('Исходник'!$1:$626,MATCH($A121,'Исходник'!$T:$T,0),MATCH(AI$1,'Исходник'!$1:$1,0)))</f>
        <v/>
      </c>
      <c r="AJ121" s="18">
        <f t="shared" si="15"/>
        <v>0</v>
      </c>
    </row>
    <row r="122" ht="15.75" customHeight="1">
      <c r="A122" s="27"/>
      <c r="B122" s="1" t="str">
        <f t="array" ref="B122">IFERROR(INDEX('Исходник'!$1:$626,MATCH($A122,'Исходник'!$T:$T,0),MATCH(B$1,'Исходник'!$1:$1,0)))</f>
        <v/>
      </c>
      <c r="C122" s="1" t="str">
        <f t="array" ref="C122">IFERROR(INDEX('Исходник'!$1:$626,MATCH($A122,'Исходник'!$T:$T,0),MATCH(C$1,'Исходник'!$1:$1,0)))</f>
        <v/>
      </c>
      <c r="D122" s="1" t="str">
        <f t="array" ref="D122">IFERROR(INDEX('Исходник'!$1:$626,MATCH($A122,'Исходник'!$T:$T,0),MATCH(D$1,'Исходник'!$1:$1,0)))</f>
        <v/>
      </c>
      <c r="E122" s="1" t="str">
        <f t="array" ref="E122">IFERROR(INDEX('Исходник'!$1:$626,MATCH($A122,'Исходник'!$T:$T,0),MATCH(E$1,'Исходник'!$1:$1,0)))</f>
        <v/>
      </c>
      <c r="F122" s="1" t="str">
        <f t="array" ref="F122">IFERROR(INDEX('Исходник'!$1:$626,MATCH($A122,'Исходник'!$T:$T,0),MATCH(F$1,'Исходник'!$1:$1,0)))</f>
        <v/>
      </c>
      <c r="G122" s="1" t="str">
        <f t="array" ref="G122">IFERROR(INDEX('Исходник'!$1:$626,MATCH($A122,'Исходник'!$T:$T,0),MATCH(G$1,'Исходник'!$1:$1,0)))</f>
        <v/>
      </c>
      <c r="H122" s="27">
        <f t="shared" si="1"/>
        <v>0</v>
      </c>
      <c r="I122" s="27" t="str">
        <f t="shared" si="2"/>
        <v/>
      </c>
      <c r="J122" s="1" t="str">
        <f t="array" ref="J122">IFERROR(INDEX('Исходник'!$1:$626,MATCH($A122,'Исходник'!$T:$T,0),MATCH(J$1,'Исходник'!$1:$1,0)))</f>
        <v/>
      </c>
      <c r="K122" s="27" t="str">
        <f t="shared" si="3"/>
        <v/>
      </c>
      <c r="L122" s="1" t="str">
        <f t="array" ref="L122">IFERROR(INDEX('Исходник'!$1:$626,MATCH($A122,'Исходник'!$T:$T,0),MATCH(L$1,'Исходник'!$1:$1,0)))</f>
        <v/>
      </c>
      <c r="M122" s="28">
        <f t="shared" si="4"/>
        <v>0</v>
      </c>
      <c r="N122" s="1" t="str">
        <f t="array" ref="N122">IFERROR(INDEX('Исходник'!$1:$626,MATCH($A122,'Исходник'!$T:$T,0),MATCH(N$1,'Исходник'!$1:$1,0)))</f>
        <v/>
      </c>
      <c r="O122" s="27">
        <f t="shared" si="5"/>
        <v>0</v>
      </c>
      <c r="P122" s="27" t="str">
        <f t="shared" si="6"/>
        <v/>
      </c>
      <c r="Q122" s="1" t="str">
        <f t="array" ref="Q122">IFERROR(INDEX('Исходник'!$1:$626,MATCH($A122,'Исходник'!$T:$T,0),MATCH(Q$1,'Исходник'!$1:$1,0)))</f>
        <v/>
      </c>
      <c r="R122" s="1" t="str">
        <f t="array" ref="R122">IFERROR(INDEX('Исходник'!$1:$626,MATCH($A122,'Исходник'!$T:$T,0),MATCH(R$1,'Исходник'!$1:$1,0)))</f>
        <v/>
      </c>
      <c r="S122" s="27">
        <f t="shared" si="7"/>
        <v>0</v>
      </c>
      <c r="T122" s="27" t="str">
        <f t="shared" si="8"/>
        <v/>
      </c>
      <c r="U122" s="1" t="str">
        <f t="array" ref="U122">IFERROR(INDEX('Исходник'!$1:$626,MATCH($A122,'Исходник'!$T:$T,0),MATCH(U$1,'Исходник'!$1:$1,0)))</f>
        <v/>
      </c>
      <c r="V122" s="27" t="str">
        <f t="shared" si="9"/>
        <v/>
      </c>
      <c r="W122" s="1" t="str">
        <f t="array" ref="W122">IFERROR(INDEX('Исходник'!$1:$626,MATCH($A122,'Исходник'!$T:$T,0),MATCH(W$1,'Исходник'!$1:$1,0)))</f>
        <v/>
      </c>
      <c r="X122" s="28">
        <f t="shared" si="10"/>
        <v>0</v>
      </c>
      <c r="Y122" s="1" t="str">
        <f t="array" ref="Y122">IFERROR(INDEX('Исходник'!$1:$626,MATCH($A122,'Исходник'!$T:$T,0),MATCH(Y$1,'Исходник'!$1:$1,0)))</f>
        <v/>
      </c>
      <c r="Z122" s="27">
        <f t="shared" si="11"/>
        <v>0</v>
      </c>
      <c r="AA122" s="27" t="str">
        <f t="shared" si="12"/>
        <v/>
      </c>
      <c r="AB122" s="1" t="str">
        <f t="array" ref="AB122">IFERROR(INDEX('Исходник'!$1:$626,MATCH($A122,'Исходник'!$T:$T,0),MATCH(AB$1,'Исходник'!$1:$1,0)))</f>
        <v/>
      </c>
      <c r="AC122" s="1" t="str">
        <f t="array" ref="AC122">IFERROR(INDEX('Исходник'!$1:$626,MATCH($A122,'Исходник'!$T:$T,0),MATCH(AC$1,'Исходник'!$1:$1,0)))</f>
        <v/>
      </c>
      <c r="AD122" s="27" t="str">
        <f t="shared" si="13"/>
        <v/>
      </c>
      <c r="AE122" s="1" t="str">
        <f t="array" ref="AE122">IFERROR(INDEX('Исходник'!$1:$626,MATCH($A122,'Исходник'!$T:$T,0),MATCH(AE$1,'Исходник'!$1:$1,0)))</f>
        <v/>
      </c>
      <c r="AF122" s="1" t="str">
        <f t="array" ref="AF122">IFERROR(INDEX('Исходник'!$1:$626,MATCH($A122,'Исходник'!$T:$T,0),MATCH(AF$1,'Исходник'!$1:$1,0)))</f>
        <v/>
      </c>
      <c r="AG122" s="27" t="str">
        <f t="shared" si="14"/>
        <v/>
      </c>
      <c r="AH122" s="1" t="str">
        <f t="array" ref="AH122">IFERROR(INDEX('Исходник'!$1:$626,MATCH($A122,'Исходник'!$T:$T,0),MATCH(AH$1,'Исходник'!$1:$1,0)))</f>
        <v/>
      </c>
      <c r="AI122" s="1" t="str">
        <f t="array" ref="AI122">IFERROR(INDEX('Исходник'!$1:$626,MATCH($A122,'Исходник'!$T:$T,0),MATCH(AI$1,'Исходник'!$1:$1,0)))</f>
        <v/>
      </c>
      <c r="AJ122" s="18">
        <f t="shared" si="15"/>
        <v>0</v>
      </c>
    </row>
    <row r="123" ht="15.75" customHeight="1">
      <c r="A123" s="27"/>
      <c r="B123" s="1" t="str">
        <f t="array" ref="B123">IFERROR(INDEX('Исходник'!$1:$626,MATCH($A123,'Исходник'!$T:$T,0),MATCH(B$1,'Исходник'!$1:$1,0)))</f>
        <v/>
      </c>
      <c r="C123" s="1" t="str">
        <f t="array" ref="C123">IFERROR(INDEX('Исходник'!$1:$626,MATCH($A123,'Исходник'!$T:$T,0),MATCH(C$1,'Исходник'!$1:$1,0)))</f>
        <v/>
      </c>
      <c r="D123" s="1" t="str">
        <f t="array" ref="D123">IFERROR(INDEX('Исходник'!$1:$626,MATCH($A123,'Исходник'!$T:$T,0),MATCH(D$1,'Исходник'!$1:$1,0)))</f>
        <v/>
      </c>
      <c r="E123" s="1" t="str">
        <f t="array" ref="E123">IFERROR(INDEX('Исходник'!$1:$626,MATCH($A123,'Исходник'!$T:$T,0),MATCH(E$1,'Исходник'!$1:$1,0)))</f>
        <v/>
      </c>
      <c r="F123" s="1" t="str">
        <f t="array" ref="F123">IFERROR(INDEX('Исходник'!$1:$626,MATCH($A123,'Исходник'!$T:$T,0),MATCH(F$1,'Исходник'!$1:$1,0)))</f>
        <v/>
      </c>
      <c r="G123" s="1" t="str">
        <f t="array" ref="G123">IFERROR(INDEX('Исходник'!$1:$626,MATCH($A123,'Исходник'!$T:$T,0),MATCH(G$1,'Исходник'!$1:$1,0)))</f>
        <v/>
      </c>
      <c r="H123" s="27">
        <f t="shared" si="1"/>
        <v>0</v>
      </c>
      <c r="I123" s="27" t="str">
        <f t="shared" si="2"/>
        <v/>
      </c>
      <c r="J123" s="1" t="str">
        <f t="array" ref="J123">IFERROR(INDEX('Исходник'!$1:$626,MATCH($A123,'Исходник'!$T:$T,0),MATCH(J$1,'Исходник'!$1:$1,0)))</f>
        <v/>
      </c>
      <c r="K123" s="27" t="str">
        <f t="shared" si="3"/>
        <v/>
      </c>
      <c r="L123" s="1" t="str">
        <f t="array" ref="L123">IFERROR(INDEX('Исходник'!$1:$626,MATCH($A123,'Исходник'!$T:$T,0),MATCH(L$1,'Исходник'!$1:$1,0)))</f>
        <v/>
      </c>
      <c r="M123" s="28">
        <f t="shared" si="4"/>
        <v>0</v>
      </c>
      <c r="N123" s="1" t="str">
        <f t="array" ref="N123">IFERROR(INDEX('Исходник'!$1:$626,MATCH($A123,'Исходник'!$T:$T,0),MATCH(N$1,'Исходник'!$1:$1,0)))</f>
        <v/>
      </c>
      <c r="O123" s="27">
        <f t="shared" si="5"/>
        <v>0</v>
      </c>
      <c r="P123" s="27" t="str">
        <f t="shared" si="6"/>
        <v/>
      </c>
      <c r="Q123" s="1" t="str">
        <f t="array" ref="Q123">IFERROR(INDEX('Исходник'!$1:$626,MATCH($A123,'Исходник'!$T:$T,0),MATCH(Q$1,'Исходник'!$1:$1,0)))</f>
        <v/>
      </c>
      <c r="R123" s="1" t="str">
        <f t="array" ref="R123">IFERROR(INDEX('Исходник'!$1:$626,MATCH($A123,'Исходник'!$T:$T,0),MATCH(R$1,'Исходник'!$1:$1,0)))</f>
        <v/>
      </c>
      <c r="S123" s="27">
        <f t="shared" si="7"/>
        <v>0</v>
      </c>
      <c r="T123" s="27" t="str">
        <f t="shared" si="8"/>
        <v/>
      </c>
      <c r="U123" s="1" t="str">
        <f t="array" ref="U123">IFERROR(INDEX('Исходник'!$1:$626,MATCH($A123,'Исходник'!$T:$T,0),MATCH(U$1,'Исходник'!$1:$1,0)))</f>
        <v/>
      </c>
      <c r="V123" s="27" t="str">
        <f t="shared" si="9"/>
        <v/>
      </c>
      <c r="W123" s="1" t="str">
        <f t="array" ref="W123">IFERROR(INDEX('Исходник'!$1:$626,MATCH($A123,'Исходник'!$T:$T,0),MATCH(W$1,'Исходник'!$1:$1,0)))</f>
        <v/>
      </c>
      <c r="X123" s="28">
        <f t="shared" si="10"/>
        <v>0</v>
      </c>
      <c r="Y123" s="1" t="str">
        <f t="array" ref="Y123">IFERROR(INDEX('Исходник'!$1:$626,MATCH($A123,'Исходник'!$T:$T,0),MATCH(Y$1,'Исходник'!$1:$1,0)))</f>
        <v/>
      </c>
      <c r="Z123" s="27">
        <f t="shared" si="11"/>
        <v>0</v>
      </c>
      <c r="AA123" s="27" t="str">
        <f t="shared" si="12"/>
        <v/>
      </c>
      <c r="AB123" s="1" t="str">
        <f t="array" ref="AB123">IFERROR(INDEX('Исходник'!$1:$626,MATCH($A123,'Исходник'!$T:$T,0),MATCH(AB$1,'Исходник'!$1:$1,0)))</f>
        <v/>
      </c>
      <c r="AC123" s="1" t="str">
        <f t="array" ref="AC123">IFERROR(INDEX('Исходник'!$1:$626,MATCH($A123,'Исходник'!$T:$T,0),MATCH(AC$1,'Исходник'!$1:$1,0)))</f>
        <v/>
      </c>
      <c r="AD123" s="27" t="str">
        <f t="shared" si="13"/>
        <v/>
      </c>
      <c r="AE123" s="1" t="str">
        <f t="array" ref="AE123">IFERROR(INDEX('Исходник'!$1:$626,MATCH($A123,'Исходник'!$T:$T,0),MATCH(AE$1,'Исходник'!$1:$1,0)))</f>
        <v/>
      </c>
      <c r="AF123" s="1" t="str">
        <f t="array" ref="AF123">IFERROR(INDEX('Исходник'!$1:$626,MATCH($A123,'Исходник'!$T:$T,0),MATCH(AF$1,'Исходник'!$1:$1,0)))</f>
        <v/>
      </c>
      <c r="AG123" s="27" t="str">
        <f t="shared" si="14"/>
        <v/>
      </c>
      <c r="AH123" s="1" t="str">
        <f t="array" ref="AH123">IFERROR(INDEX('Исходник'!$1:$626,MATCH($A123,'Исходник'!$T:$T,0),MATCH(AH$1,'Исходник'!$1:$1,0)))</f>
        <v/>
      </c>
      <c r="AI123" s="1" t="str">
        <f t="array" ref="AI123">IFERROR(INDEX('Исходник'!$1:$626,MATCH($A123,'Исходник'!$T:$T,0),MATCH(AI$1,'Исходник'!$1:$1,0)))</f>
        <v/>
      </c>
      <c r="AJ123" s="18">
        <f t="shared" si="15"/>
        <v>0</v>
      </c>
    </row>
    <row r="124" ht="15.75" customHeight="1">
      <c r="A124" s="27"/>
      <c r="B124" s="1" t="str">
        <f t="array" ref="B124">IFERROR(INDEX('Исходник'!$1:$626,MATCH($A124,'Исходник'!$T:$T,0),MATCH(B$1,'Исходник'!$1:$1,0)))</f>
        <v/>
      </c>
      <c r="C124" s="1" t="str">
        <f t="array" ref="C124">IFERROR(INDEX('Исходник'!$1:$626,MATCH($A124,'Исходник'!$T:$T,0),MATCH(C$1,'Исходник'!$1:$1,0)))</f>
        <v/>
      </c>
      <c r="D124" s="1" t="str">
        <f t="array" ref="D124">IFERROR(INDEX('Исходник'!$1:$626,MATCH($A124,'Исходник'!$T:$T,0),MATCH(D$1,'Исходник'!$1:$1,0)))</f>
        <v/>
      </c>
      <c r="E124" s="1" t="str">
        <f t="array" ref="E124">IFERROR(INDEX('Исходник'!$1:$626,MATCH($A124,'Исходник'!$T:$T,0),MATCH(E$1,'Исходник'!$1:$1,0)))</f>
        <v/>
      </c>
      <c r="F124" s="1" t="str">
        <f t="array" ref="F124">IFERROR(INDEX('Исходник'!$1:$626,MATCH($A124,'Исходник'!$T:$T,0),MATCH(F$1,'Исходник'!$1:$1,0)))</f>
        <v/>
      </c>
      <c r="G124" s="1" t="str">
        <f t="array" ref="G124">IFERROR(INDEX('Исходник'!$1:$626,MATCH($A124,'Исходник'!$T:$T,0),MATCH(G$1,'Исходник'!$1:$1,0)))</f>
        <v/>
      </c>
      <c r="H124" s="27">
        <f t="shared" si="1"/>
        <v>0</v>
      </c>
      <c r="I124" s="27" t="str">
        <f t="shared" si="2"/>
        <v/>
      </c>
      <c r="J124" s="1" t="str">
        <f t="array" ref="J124">IFERROR(INDEX('Исходник'!$1:$626,MATCH($A124,'Исходник'!$T:$T,0),MATCH(J$1,'Исходник'!$1:$1,0)))</f>
        <v/>
      </c>
      <c r="K124" s="27" t="str">
        <f t="shared" si="3"/>
        <v/>
      </c>
      <c r="L124" s="1" t="str">
        <f t="array" ref="L124">IFERROR(INDEX('Исходник'!$1:$626,MATCH($A124,'Исходник'!$T:$T,0),MATCH(L$1,'Исходник'!$1:$1,0)))</f>
        <v/>
      </c>
      <c r="M124" s="28">
        <f t="shared" si="4"/>
        <v>0</v>
      </c>
      <c r="N124" s="1" t="str">
        <f t="array" ref="N124">IFERROR(INDEX('Исходник'!$1:$626,MATCH($A124,'Исходник'!$T:$T,0),MATCH(N$1,'Исходник'!$1:$1,0)))</f>
        <v/>
      </c>
      <c r="O124" s="27">
        <f t="shared" si="5"/>
        <v>0</v>
      </c>
      <c r="P124" s="27" t="str">
        <f t="shared" si="6"/>
        <v/>
      </c>
      <c r="Q124" s="1" t="str">
        <f t="array" ref="Q124">IFERROR(INDEX('Исходник'!$1:$626,MATCH($A124,'Исходник'!$T:$T,0),MATCH(Q$1,'Исходник'!$1:$1,0)))</f>
        <v/>
      </c>
      <c r="R124" s="1" t="str">
        <f t="array" ref="R124">IFERROR(INDEX('Исходник'!$1:$626,MATCH($A124,'Исходник'!$T:$T,0),MATCH(R$1,'Исходник'!$1:$1,0)))</f>
        <v/>
      </c>
      <c r="S124" s="27">
        <f t="shared" si="7"/>
        <v>0</v>
      </c>
      <c r="T124" s="27" t="str">
        <f t="shared" si="8"/>
        <v/>
      </c>
      <c r="U124" s="1" t="str">
        <f t="array" ref="U124">IFERROR(INDEX('Исходник'!$1:$626,MATCH($A124,'Исходник'!$T:$T,0),MATCH(U$1,'Исходник'!$1:$1,0)))</f>
        <v/>
      </c>
      <c r="V124" s="27" t="str">
        <f t="shared" si="9"/>
        <v/>
      </c>
      <c r="W124" s="1" t="str">
        <f t="array" ref="W124">IFERROR(INDEX('Исходник'!$1:$626,MATCH($A124,'Исходник'!$T:$T,0),MATCH(W$1,'Исходник'!$1:$1,0)))</f>
        <v/>
      </c>
      <c r="X124" s="28">
        <f t="shared" si="10"/>
        <v>0</v>
      </c>
      <c r="Y124" s="1" t="str">
        <f t="array" ref="Y124">IFERROR(INDEX('Исходник'!$1:$626,MATCH($A124,'Исходник'!$T:$T,0),MATCH(Y$1,'Исходник'!$1:$1,0)))</f>
        <v/>
      </c>
      <c r="Z124" s="27">
        <f t="shared" si="11"/>
        <v>0</v>
      </c>
      <c r="AA124" s="27" t="str">
        <f t="shared" si="12"/>
        <v/>
      </c>
      <c r="AB124" s="1" t="str">
        <f t="array" ref="AB124">IFERROR(INDEX('Исходник'!$1:$626,MATCH($A124,'Исходник'!$T:$T,0),MATCH(AB$1,'Исходник'!$1:$1,0)))</f>
        <v/>
      </c>
      <c r="AC124" s="1" t="str">
        <f t="array" ref="AC124">IFERROR(INDEX('Исходник'!$1:$626,MATCH($A124,'Исходник'!$T:$T,0),MATCH(AC$1,'Исходник'!$1:$1,0)))</f>
        <v/>
      </c>
      <c r="AD124" s="27" t="str">
        <f t="shared" si="13"/>
        <v/>
      </c>
      <c r="AE124" s="1" t="str">
        <f t="array" ref="AE124">IFERROR(INDEX('Исходник'!$1:$626,MATCH($A124,'Исходник'!$T:$T,0),MATCH(AE$1,'Исходник'!$1:$1,0)))</f>
        <v/>
      </c>
      <c r="AF124" s="1" t="str">
        <f t="array" ref="AF124">IFERROR(INDEX('Исходник'!$1:$626,MATCH($A124,'Исходник'!$T:$T,0),MATCH(AF$1,'Исходник'!$1:$1,0)))</f>
        <v/>
      </c>
      <c r="AG124" s="27" t="str">
        <f t="shared" si="14"/>
        <v/>
      </c>
      <c r="AH124" s="1" t="str">
        <f t="array" ref="AH124">IFERROR(INDEX('Исходник'!$1:$626,MATCH($A124,'Исходник'!$T:$T,0),MATCH(AH$1,'Исходник'!$1:$1,0)))</f>
        <v/>
      </c>
      <c r="AI124" s="1" t="str">
        <f t="array" ref="AI124">IFERROR(INDEX('Исходник'!$1:$626,MATCH($A124,'Исходник'!$T:$T,0),MATCH(AI$1,'Исходник'!$1:$1,0)))</f>
        <v/>
      </c>
      <c r="AJ124" s="18">
        <f t="shared" si="15"/>
        <v>0</v>
      </c>
    </row>
    <row r="125" ht="15.75" customHeight="1">
      <c r="A125" s="27"/>
      <c r="B125" s="1" t="str">
        <f t="array" ref="B125">IFERROR(INDEX('Исходник'!$1:$626,MATCH($A125,'Исходник'!$T:$T,0),MATCH(B$1,'Исходник'!$1:$1,0)))</f>
        <v/>
      </c>
      <c r="C125" s="1" t="str">
        <f t="array" ref="C125">IFERROR(INDEX('Исходник'!$1:$626,MATCH($A125,'Исходник'!$T:$T,0),MATCH(C$1,'Исходник'!$1:$1,0)))</f>
        <v/>
      </c>
      <c r="D125" s="1" t="str">
        <f t="array" ref="D125">IFERROR(INDEX('Исходник'!$1:$626,MATCH($A125,'Исходник'!$T:$T,0),MATCH(D$1,'Исходник'!$1:$1,0)))</f>
        <v/>
      </c>
      <c r="E125" s="1" t="str">
        <f t="array" ref="E125">IFERROR(INDEX('Исходник'!$1:$626,MATCH($A125,'Исходник'!$T:$T,0),MATCH(E$1,'Исходник'!$1:$1,0)))</f>
        <v/>
      </c>
      <c r="F125" s="1" t="str">
        <f t="array" ref="F125">IFERROR(INDEX('Исходник'!$1:$626,MATCH($A125,'Исходник'!$T:$T,0),MATCH(F$1,'Исходник'!$1:$1,0)))</f>
        <v/>
      </c>
      <c r="G125" s="1" t="str">
        <f t="array" ref="G125">IFERROR(INDEX('Исходник'!$1:$626,MATCH($A125,'Исходник'!$T:$T,0),MATCH(G$1,'Исходник'!$1:$1,0)))</f>
        <v/>
      </c>
      <c r="H125" s="27">
        <f t="shared" si="1"/>
        <v>0</v>
      </c>
      <c r="I125" s="27" t="str">
        <f t="shared" si="2"/>
        <v/>
      </c>
      <c r="J125" s="1" t="str">
        <f t="array" ref="J125">IFERROR(INDEX('Исходник'!$1:$626,MATCH($A125,'Исходник'!$T:$T,0),MATCH(J$1,'Исходник'!$1:$1,0)))</f>
        <v/>
      </c>
      <c r="K125" s="27" t="str">
        <f t="shared" si="3"/>
        <v/>
      </c>
      <c r="L125" s="1" t="str">
        <f t="array" ref="L125">IFERROR(INDEX('Исходник'!$1:$626,MATCH($A125,'Исходник'!$T:$T,0),MATCH(L$1,'Исходник'!$1:$1,0)))</f>
        <v/>
      </c>
      <c r="M125" s="28">
        <f t="shared" si="4"/>
        <v>0</v>
      </c>
      <c r="N125" s="1" t="str">
        <f t="array" ref="N125">IFERROR(INDEX('Исходник'!$1:$626,MATCH($A125,'Исходник'!$T:$T,0),MATCH(N$1,'Исходник'!$1:$1,0)))</f>
        <v/>
      </c>
      <c r="O125" s="27">
        <f t="shared" si="5"/>
        <v>0</v>
      </c>
      <c r="P125" s="27" t="str">
        <f t="shared" si="6"/>
        <v/>
      </c>
      <c r="Q125" s="1" t="str">
        <f t="array" ref="Q125">IFERROR(INDEX('Исходник'!$1:$626,MATCH($A125,'Исходник'!$T:$T,0),MATCH(Q$1,'Исходник'!$1:$1,0)))</f>
        <v/>
      </c>
      <c r="R125" s="1" t="str">
        <f t="array" ref="R125">IFERROR(INDEX('Исходник'!$1:$626,MATCH($A125,'Исходник'!$T:$T,0),MATCH(R$1,'Исходник'!$1:$1,0)))</f>
        <v/>
      </c>
      <c r="S125" s="27">
        <f t="shared" si="7"/>
        <v>0</v>
      </c>
      <c r="T125" s="27" t="str">
        <f t="shared" si="8"/>
        <v/>
      </c>
      <c r="U125" s="1" t="str">
        <f t="array" ref="U125">IFERROR(INDEX('Исходник'!$1:$626,MATCH($A125,'Исходник'!$T:$T,0),MATCH(U$1,'Исходник'!$1:$1,0)))</f>
        <v/>
      </c>
      <c r="V125" s="27" t="str">
        <f t="shared" si="9"/>
        <v/>
      </c>
      <c r="W125" s="1" t="str">
        <f t="array" ref="W125">IFERROR(INDEX('Исходник'!$1:$626,MATCH($A125,'Исходник'!$T:$T,0),MATCH(W$1,'Исходник'!$1:$1,0)))</f>
        <v/>
      </c>
      <c r="X125" s="28">
        <f t="shared" si="10"/>
        <v>0</v>
      </c>
      <c r="Y125" s="1" t="str">
        <f t="array" ref="Y125">IFERROR(INDEX('Исходник'!$1:$626,MATCH($A125,'Исходник'!$T:$T,0),MATCH(Y$1,'Исходник'!$1:$1,0)))</f>
        <v/>
      </c>
      <c r="Z125" s="27">
        <f t="shared" si="11"/>
        <v>0</v>
      </c>
      <c r="AA125" s="27" t="str">
        <f t="shared" si="12"/>
        <v/>
      </c>
      <c r="AB125" s="1" t="str">
        <f t="array" ref="AB125">IFERROR(INDEX('Исходник'!$1:$626,MATCH($A125,'Исходник'!$T:$T,0),MATCH(AB$1,'Исходник'!$1:$1,0)))</f>
        <v/>
      </c>
      <c r="AC125" s="1" t="str">
        <f t="array" ref="AC125">IFERROR(INDEX('Исходник'!$1:$626,MATCH($A125,'Исходник'!$T:$T,0),MATCH(AC$1,'Исходник'!$1:$1,0)))</f>
        <v/>
      </c>
      <c r="AD125" s="27" t="str">
        <f t="shared" si="13"/>
        <v/>
      </c>
      <c r="AE125" s="1" t="str">
        <f t="array" ref="AE125">IFERROR(INDEX('Исходник'!$1:$626,MATCH($A125,'Исходник'!$T:$T,0),MATCH(AE$1,'Исходник'!$1:$1,0)))</f>
        <v/>
      </c>
      <c r="AF125" s="1" t="str">
        <f t="array" ref="AF125">IFERROR(INDEX('Исходник'!$1:$626,MATCH($A125,'Исходник'!$T:$T,0),MATCH(AF$1,'Исходник'!$1:$1,0)))</f>
        <v/>
      </c>
      <c r="AG125" s="27" t="str">
        <f t="shared" si="14"/>
        <v/>
      </c>
      <c r="AH125" s="1" t="str">
        <f t="array" ref="AH125">IFERROR(INDEX('Исходник'!$1:$626,MATCH($A125,'Исходник'!$T:$T,0),MATCH(AH$1,'Исходник'!$1:$1,0)))</f>
        <v/>
      </c>
      <c r="AI125" s="1" t="str">
        <f t="array" ref="AI125">IFERROR(INDEX('Исходник'!$1:$626,MATCH($A125,'Исходник'!$T:$T,0),MATCH(AI$1,'Исходник'!$1:$1,0)))</f>
        <v/>
      </c>
      <c r="AJ125" s="18">
        <f t="shared" si="15"/>
        <v>0</v>
      </c>
    </row>
    <row r="126" ht="15.75" customHeight="1">
      <c r="A126" s="27"/>
      <c r="B126" s="1" t="str">
        <f t="array" ref="B126">IFERROR(INDEX('Исходник'!$1:$626,MATCH($A126,'Исходник'!$T:$T,0),MATCH(B$1,'Исходник'!$1:$1,0)))</f>
        <v/>
      </c>
      <c r="C126" s="1" t="str">
        <f t="array" ref="C126">IFERROR(INDEX('Исходник'!$1:$626,MATCH($A126,'Исходник'!$T:$T,0),MATCH(C$1,'Исходник'!$1:$1,0)))</f>
        <v/>
      </c>
      <c r="D126" s="1" t="str">
        <f t="array" ref="D126">IFERROR(INDEX('Исходник'!$1:$626,MATCH($A126,'Исходник'!$T:$T,0),MATCH(D$1,'Исходник'!$1:$1,0)))</f>
        <v/>
      </c>
      <c r="E126" s="1" t="str">
        <f t="array" ref="E126">IFERROR(INDEX('Исходник'!$1:$626,MATCH($A126,'Исходник'!$T:$T,0),MATCH(E$1,'Исходник'!$1:$1,0)))</f>
        <v/>
      </c>
      <c r="F126" s="1" t="str">
        <f t="array" ref="F126">IFERROR(INDEX('Исходник'!$1:$626,MATCH($A126,'Исходник'!$T:$T,0),MATCH(F$1,'Исходник'!$1:$1,0)))</f>
        <v/>
      </c>
      <c r="G126" s="1" t="str">
        <f t="array" ref="G126">IFERROR(INDEX('Исходник'!$1:$626,MATCH($A126,'Исходник'!$T:$T,0),MATCH(G$1,'Исходник'!$1:$1,0)))</f>
        <v/>
      </c>
      <c r="H126" s="27">
        <f t="shared" si="1"/>
        <v>0</v>
      </c>
      <c r="I126" s="27" t="str">
        <f t="shared" si="2"/>
        <v/>
      </c>
      <c r="J126" s="1" t="str">
        <f t="array" ref="J126">IFERROR(INDEX('Исходник'!$1:$626,MATCH($A126,'Исходник'!$T:$T,0),MATCH(J$1,'Исходник'!$1:$1,0)))</f>
        <v/>
      </c>
      <c r="K126" s="27" t="str">
        <f t="shared" si="3"/>
        <v/>
      </c>
      <c r="L126" s="1" t="str">
        <f t="array" ref="L126">IFERROR(INDEX('Исходник'!$1:$626,MATCH($A126,'Исходник'!$T:$T,0),MATCH(L$1,'Исходник'!$1:$1,0)))</f>
        <v/>
      </c>
      <c r="M126" s="28">
        <f t="shared" si="4"/>
        <v>0</v>
      </c>
      <c r="N126" s="1" t="str">
        <f t="array" ref="N126">IFERROR(INDEX('Исходник'!$1:$626,MATCH($A126,'Исходник'!$T:$T,0),MATCH(N$1,'Исходник'!$1:$1,0)))</f>
        <v/>
      </c>
      <c r="O126" s="27">
        <f t="shared" si="5"/>
        <v>0</v>
      </c>
      <c r="P126" s="27" t="str">
        <f t="shared" si="6"/>
        <v/>
      </c>
      <c r="Q126" s="1" t="str">
        <f t="array" ref="Q126">IFERROR(INDEX('Исходник'!$1:$626,MATCH($A126,'Исходник'!$T:$T,0),MATCH(Q$1,'Исходник'!$1:$1,0)))</f>
        <v/>
      </c>
      <c r="R126" s="1" t="str">
        <f t="array" ref="R126">IFERROR(INDEX('Исходник'!$1:$626,MATCH($A126,'Исходник'!$T:$T,0),MATCH(R$1,'Исходник'!$1:$1,0)))</f>
        <v/>
      </c>
      <c r="S126" s="27">
        <f t="shared" si="7"/>
        <v>0</v>
      </c>
      <c r="T126" s="27" t="str">
        <f t="shared" si="8"/>
        <v/>
      </c>
      <c r="U126" s="1" t="str">
        <f t="array" ref="U126">IFERROR(INDEX('Исходник'!$1:$626,MATCH($A126,'Исходник'!$T:$T,0),MATCH(U$1,'Исходник'!$1:$1,0)))</f>
        <v/>
      </c>
      <c r="V126" s="27" t="str">
        <f t="shared" si="9"/>
        <v/>
      </c>
      <c r="W126" s="1" t="str">
        <f t="array" ref="W126">IFERROR(INDEX('Исходник'!$1:$626,MATCH($A126,'Исходник'!$T:$T,0),MATCH(W$1,'Исходник'!$1:$1,0)))</f>
        <v/>
      </c>
      <c r="X126" s="28">
        <f t="shared" si="10"/>
        <v>0</v>
      </c>
      <c r="Y126" s="1" t="str">
        <f t="array" ref="Y126">IFERROR(INDEX('Исходник'!$1:$626,MATCH($A126,'Исходник'!$T:$T,0),MATCH(Y$1,'Исходник'!$1:$1,0)))</f>
        <v/>
      </c>
      <c r="Z126" s="27">
        <f t="shared" si="11"/>
        <v>0</v>
      </c>
      <c r="AA126" s="27" t="str">
        <f t="shared" si="12"/>
        <v/>
      </c>
      <c r="AB126" s="1" t="str">
        <f t="array" ref="AB126">IFERROR(INDEX('Исходник'!$1:$626,MATCH($A126,'Исходник'!$T:$T,0),MATCH(AB$1,'Исходник'!$1:$1,0)))</f>
        <v/>
      </c>
      <c r="AC126" s="1" t="str">
        <f t="array" ref="AC126">IFERROR(INDEX('Исходник'!$1:$626,MATCH($A126,'Исходник'!$T:$T,0),MATCH(AC$1,'Исходник'!$1:$1,0)))</f>
        <v/>
      </c>
      <c r="AD126" s="27" t="str">
        <f t="shared" si="13"/>
        <v/>
      </c>
      <c r="AE126" s="1" t="str">
        <f t="array" ref="AE126">IFERROR(INDEX('Исходник'!$1:$626,MATCH($A126,'Исходник'!$T:$T,0),MATCH(AE$1,'Исходник'!$1:$1,0)))</f>
        <v/>
      </c>
      <c r="AF126" s="1" t="str">
        <f t="array" ref="AF126">IFERROR(INDEX('Исходник'!$1:$626,MATCH($A126,'Исходник'!$T:$T,0),MATCH(AF$1,'Исходник'!$1:$1,0)))</f>
        <v/>
      </c>
      <c r="AG126" s="27" t="str">
        <f t="shared" si="14"/>
        <v/>
      </c>
      <c r="AH126" s="1" t="str">
        <f t="array" ref="AH126">IFERROR(INDEX('Исходник'!$1:$626,MATCH($A126,'Исходник'!$T:$T,0),MATCH(AH$1,'Исходник'!$1:$1,0)))</f>
        <v/>
      </c>
      <c r="AI126" s="1" t="str">
        <f t="array" ref="AI126">IFERROR(INDEX('Исходник'!$1:$626,MATCH($A126,'Исходник'!$T:$T,0),MATCH(AI$1,'Исходник'!$1:$1,0)))</f>
        <v/>
      </c>
      <c r="AJ126" s="18">
        <f t="shared" si="15"/>
        <v>0</v>
      </c>
    </row>
    <row r="127" ht="15.75" customHeight="1">
      <c r="A127" s="27"/>
      <c r="B127" s="1" t="str">
        <f t="array" ref="B127">IFERROR(INDEX('Исходник'!$1:$626,MATCH($A127,'Исходник'!$T:$T,0),MATCH(B$1,'Исходник'!$1:$1,0)))</f>
        <v/>
      </c>
      <c r="C127" s="1" t="str">
        <f t="array" ref="C127">IFERROR(INDEX('Исходник'!$1:$626,MATCH($A127,'Исходник'!$T:$T,0),MATCH(C$1,'Исходник'!$1:$1,0)))</f>
        <v/>
      </c>
      <c r="D127" s="1" t="str">
        <f t="array" ref="D127">IFERROR(INDEX('Исходник'!$1:$626,MATCH($A127,'Исходник'!$T:$T,0),MATCH(D$1,'Исходник'!$1:$1,0)))</f>
        <v/>
      </c>
      <c r="E127" s="1" t="str">
        <f t="array" ref="E127">IFERROR(INDEX('Исходник'!$1:$626,MATCH($A127,'Исходник'!$T:$T,0),MATCH(E$1,'Исходник'!$1:$1,0)))</f>
        <v/>
      </c>
      <c r="F127" s="1" t="str">
        <f t="array" ref="F127">IFERROR(INDEX('Исходник'!$1:$626,MATCH($A127,'Исходник'!$T:$T,0),MATCH(F$1,'Исходник'!$1:$1,0)))</f>
        <v/>
      </c>
      <c r="G127" s="1" t="str">
        <f t="array" ref="G127">IFERROR(INDEX('Исходник'!$1:$626,MATCH($A127,'Исходник'!$T:$T,0),MATCH(G$1,'Исходник'!$1:$1,0)))</f>
        <v/>
      </c>
      <c r="H127" s="27">
        <f t="shared" si="1"/>
        <v>0</v>
      </c>
      <c r="I127" s="27" t="str">
        <f t="shared" si="2"/>
        <v/>
      </c>
      <c r="J127" s="1" t="str">
        <f t="array" ref="J127">IFERROR(INDEX('Исходник'!$1:$626,MATCH($A127,'Исходник'!$T:$T,0),MATCH(J$1,'Исходник'!$1:$1,0)))</f>
        <v/>
      </c>
      <c r="K127" s="27" t="str">
        <f t="shared" si="3"/>
        <v/>
      </c>
      <c r="L127" s="1" t="str">
        <f t="array" ref="L127">IFERROR(INDEX('Исходник'!$1:$626,MATCH($A127,'Исходник'!$T:$T,0),MATCH(L$1,'Исходник'!$1:$1,0)))</f>
        <v/>
      </c>
      <c r="M127" s="28">
        <f t="shared" si="4"/>
        <v>0</v>
      </c>
      <c r="N127" s="1" t="str">
        <f t="array" ref="N127">IFERROR(INDEX('Исходник'!$1:$626,MATCH($A127,'Исходник'!$T:$T,0),MATCH(N$1,'Исходник'!$1:$1,0)))</f>
        <v/>
      </c>
      <c r="O127" s="27">
        <f t="shared" si="5"/>
        <v>0</v>
      </c>
      <c r="P127" s="27" t="str">
        <f t="shared" si="6"/>
        <v/>
      </c>
      <c r="Q127" s="1" t="str">
        <f t="array" ref="Q127">IFERROR(INDEX('Исходник'!$1:$626,MATCH($A127,'Исходник'!$T:$T,0),MATCH(Q$1,'Исходник'!$1:$1,0)))</f>
        <v/>
      </c>
      <c r="R127" s="1" t="str">
        <f t="array" ref="R127">IFERROR(INDEX('Исходник'!$1:$626,MATCH($A127,'Исходник'!$T:$T,0),MATCH(R$1,'Исходник'!$1:$1,0)))</f>
        <v/>
      </c>
      <c r="S127" s="27">
        <f t="shared" si="7"/>
        <v>0</v>
      </c>
      <c r="T127" s="27" t="str">
        <f t="shared" si="8"/>
        <v/>
      </c>
      <c r="U127" s="1" t="str">
        <f t="array" ref="U127">IFERROR(INDEX('Исходник'!$1:$626,MATCH($A127,'Исходник'!$T:$T,0),MATCH(U$1,'Исходник'!$1:$1,0)))</f>
        <v/>
      </c>
      <c r="V127" s="27" t="str">
        <f t="shared" si="9"/>
        <v/>
      </c>
      <c r="W127" s="1" t="str">
        <f t="array" ref="W127">IFERROR(INDEX('Исходник'!$1:$626,MATCH($A127,'Исходник'!$T:$T,0),MATCH(W$1,'Исходник'!$1:$1,0)))</f>
        <v/>
      </c>
      <c r="X127" s="28">
        <f t="shared" si="10"/>
        <v>0</v>
      </c>
      <c r="Y127" s="1" t="str">
        <f t="array" ref="Y127">IFERROR(INDEX('Исходник'!$1:$626,MATCH($A127,'Исходник'!$T:$T,0),MATCH(Y$1,'Исходник'!$1:$1,0)))</f>
        <v/>
      </c>
      <c r="Z127" s="27">
        <f t="shared" si="11"/>
        <v>0</v>
      </c>
      <c r="AA127" s="27" t="str">
        <f t="shared" si="12"/>
        <v/>
      </c>
      <c r="AB127" s="1" t="str">
        <f t="array" ref="AB127">IFERROR(INDEX('Исходник'!$1:$626,MATCH($A127,'Исходник'!$T:$T,0),MATCH(AB$1,'Исходник'!$1:$1,0)))</f>
        <v/>
      </c>
      <c r="AC127" s="1" t="str">
        <f t="array" ref="AC127">IFERROR(INDEX('Исходник'!$1:$626,MATCH($A127,'Исходник'!$T:$T,0),MATCH(AC$1,'Исходник'!$1:$1,0)))</f>
        <v/>
      </c>
      <c r="AD127" s="27" t="str">
        <f t="shared" si="13"/>
        <v/>
      </c>
      <c r="AE127" s="1" t="str">
        <f t="array" ref="AE127">IFERROR(INDEX('Исходник'!$1:$626,MATCH($A127,'Исходник'!$T:$T,0),MATCH(AE$1,'Исходник'!$1:$1,0)))</f>
        <v/>
      </c>
      <c r="AF127" s="1" t="str">
        <f t="array" ref="AF127">IFERROR(INDEX('Исходник'!$1:$626,MATCH($A127,'Исходник'!$T:$T,0),MATCH(AF$1,'Исходник'!$1:$1,0)))</f>
        <v/>
      </c>
      <c r="AG127" s="27" t="str">
        <f t="shared" si="14"/>
        <v/>
      </c>
      <c r="AH127" s="1" t="str">
        <f t="array" ref="AH127">IFERROR(INDEX('Исходник'!$1:$626,MATCH($A127,'Исходник'!$T:$T,0),MATCH(AH$1,'Исходник'!$1:$1,0)))</f>
        <v/>
      </c>
      <c r="AI127" s="1" t="str">
        <f t="array" ref="AI127">IFERROR(INDEX('Исходник'!$1:$626,MATCH($A127,'Исходник'!$T:$T,0),MATCH(AI$1,'Исходник'!$1:$1,0)))</f>
        <v/>
      </c>
      <c r="AJ127" s="18">
        <f t="shared" si="15"/>
        <v>0</v>
      </c>
    </row>
    <row r="128" ht="15.75" customHeight="1">
      <c r="A128" s="27"/>
      <c r="B128" s="1" t="str">
        <f t="array" ref="B128">IFERROR(INDEX('Исходник'!$1:$626,MATCH($A128,'Исходник'!$T:$T,0),MATCH(B$1,'Исходник'!$1:$1,0)))</f>
        <v/>
      </c>
      <c r="C128" s="1" t="str">
        <f t="array" ref="C128">IFERROR(INDEX('Исходник'!$1:$626,MATCH($A128,'Исходник'!$T:$T,0),MATCH(C$1,'Исходник'!$1:$1,0)))</f>
        <v/>
      </c>
      <c r="D128" s="1" t="str">
        <f t="array" ref="D128">IFERROR(INDEX('Исходник'!$1:$626,MATCH($A128,'Исходник'!$T:$T,0),MATCH(D$1,'Исходник'!$1:$1,0)))</f>
        <v/>
      </c>
      <c r="E128" s="1" t="str">
        <f t="array" ref="E128">IFERROR(INDEX('Исходник'!$1:$626,MATCH($A128,'Исходник'!$T:$T,0),MATCH(E$1,'Исходник'!$1:$1,0)))</f>
        <v/>
      </c>
      <c r="F128" s="1" t="str">
        <f t="array" ref="F128">IFERROR(INDEX('Исходник'!$1:$626,MATCH($A128,'Исходник'!$T:$T,0),MATCH(F$1,'Исходник'!$1:$1,0)))</f>
        <v/>
      </c>
      <c r="G128" s="1" t="str">
        <f t="array" ref="G128">IFERROR(INDEX('Исходник'!$1:$626,MATCH($A128,'Исходник'!$T:$T,0),MATCH(G$1,'Исходник'!$1:$1,0)))</f>
        <v/>
      </c>
      <c r="H128" s="27">
        <f t="shared" si="1"/>
        <v>0</v>
      </c>
      <c r="I128" s="27" t="str">
        <f t="shared" si="2"/>
        <v/>
      </c>
      <c r="J128" s="1" t="str">
        <f t="array" ref="J128">IFERROR(INDEX('Исходник'!$1:$626,MATCH($A128,'Исходник'!$T:$T,0),MATCH(J$1,'Исходник'!$1:$1,0)))</f>
        <v/>
      </c>
      <c r="K128" s="27" t="str">
        <f t="shared" si="3"/>
        <v/>
      </c>
      <c r="L128" s="1" t="str">
        <f t="array" ref="L128">IFERROR(INDEX('Исходник'!$1:$626,MATCH($A128,'Исходник'!$T:$T,0),MATCH(L$1,'Исходник'!$1:$1,0)))</f>
        <v/>
      </c>
      <c r="M128" s="28">
        <f t="shared" si="4"/>
        <v>0</v>
      </c>
      <c r="N128" s="1" t="str">
        <f t="array" ref="N128">IFERROR(INDEX('Исходник'!$1:$626,MATCH($A128,'Исходник'!$T:$T,0),MATCH(N$1,'Исходник'!$1:$1,0)))</f>
        <v/>
      </c>
      <c r="O128" s="27">
        <f t="shared" si="5"/>
        <v>0</v>
      </c>
      <c r="P128" s="27" t="str">
        <f t="shared" si="6"/>
        <v/>
      </c>
      <c r="Q128" s="1" t="str">
        <f t="array" ref="Q128">IFERROR(INDEX('Исходник'!$1:$626,MATCH($A128,'Исходник'!$T:$T,0),MATCH(Q$1,'Исходник'!$1:$1,0)))</f>
        <v/>
      </c>
      <c r="R128" s="1" t="str">
        <f t="array" ref="R128">IFERROR(INDEX('Исходник'!$1:$626,MATCH($A128,'Исходник'!$T:$T,0),MATCH(R$1,'Исходник'!$1:$1,0)))</f>
        <v/>
      </c>
      <c r="S128" s="27">
        <f t="shared" si="7"/>
        <v>0</v>
      </c>
      <c r="T128" s="27" t="str">
        <f t="shared" si="8"/>
        <v/>
      </c>
      <c r="U128" s="1" t="str">
        <f t="array" ref="U128">IFERROR(INDEX('Исходник'!$1:$626,MATCH($A128,'Исходник'!$T:$T,0),MATCH(U$1,'Исходник'!$1:$1,0)))</f>
        <v/>
      </c>
      <c r="V128" s="27" t="str">
        <f t="shared" si="9"/>
        <v/>
      </c>
      <c r="W128" s="1" t="str">
        <f t="array" ref="W128">IFERROR(INDEX('Исходник'!$1:$626,MATCH($A128,'Исходник'!$T:$T,0),MATCH(W$1,'Исходник'!$1:$1,0)))</f>
        <v/>
      </c>
      <c r="X128" s="28">
        <f t="shared" si="10"/>
        <v>0</v>
      </c>
      <c r="Y128" s="1" t="str">
        <f t="array" ref="Y128">IFERROR(INDEX('Исходник'!$1:$626,MATCH($A128,'Исходник'!$T:$T,0),MATCH(Y$1,'Исходник'!$1:$1,0)))</f>
        <v/>
      </c>
      <c r="Z128" s="27">
        <f t="shared" si="11"/>
        <v>0</v>
      </c>
      <c r="AA128" s="27" t="str">
        <f t="shared" si="12"/>
        <v/>
      </c>
      <c r="AB128" s="1" t="str">
        <f t="array" ref="AB128">IFERROR(INDEX('Исходник'!$1:$626,MATCH($A128,'Исходник'!$T:$T,0),MATCH(AB$1,'Исходник'!$1:$1,0)))</f>
        <v/>
      </c>
      <c r="AC128" s="1" t="str">
        <f t="array" ref="AC128">IFERROR(INDEX('Исходник'!$1:$626,MATCH($A128,'Исходник'!$T:$T,0),MATCH(AC$1,'Исходник'!$1:$1,0)))</f>
        <v/>
      </c>
      <c r="AD128" s="27" t="str">
        <f t="shared" si="13"/>
        <v/>
      </c>
      <c r="AE128" s="1" t="str">
        <f t="array" ref="AE128">IFERROR(INDEX('Исходник'!$1:$626,MATCH($A128,'Исходник'!$T:$T,0),MATCH(AE$1,'Исходник'!$1:$1,0)))</f>
        <v/>
      </c>
      <c r="AF128" s="1" t="str">
        <f t="array" ref="AF128">IFERROR(INDEX('Исходник'!$1:$626,MATCH($A128,'Исходник'!$T:$T,0),MATCH(AF$1,'Исходник'!$1:$1,0)))</f>
        <v/>
      </c>
      <c r="AG128" s="27" t="str">
        <f t="shared" si="14"/>
        <v/>
      </c>
      <c r="AH128" s="1" t="str">
        <f t="array" ref="AH128">IFERROR(INDEX('Исходник'!$1:$626,MATCH($A128,'Исходник'!$T:$T,0),MATCH(AH$1,'Исходник'!$1:$1,0)))</f>
        <v/>
      </c>
      <c r="AI128" s="1" t="str">
        <f t="array" ref="AI128">IFERROR(INDEX('Исходник'!$1:$626,MATCH($A128,'Исходник'!$T:$T,0),MATCH(AI$1,'Исходник'!$1:$1,0)))</f>
        <v/>
      </c>
      <c r="AJ128" s="18">
        <f t="shared" si="15"/>
        <v>0</v>
      </c>
    </row>
    <row r="129" ht="15.75" customHeight="1">
      <c r="A129" s="27"/>
      <c r="B129" s="1" t="str">
        <f t="array" ref="B129">IFERROR(INDEX('Исходник'!$1:$626,MATCH($A129,'Исходник'!$T:$T,0),MATCH(B$1,'Исходник'!$1:$1,0)))</f>
        <v/>
      </c>
      <c r="C129" s="1" t="str">
        <f t="array" ref="C129">IFERROR(INDEX('Исходник'!$1:$626,MATCH($A129,'Исходник'!$T:$T,0),MATCH(C$1,'Исходник'!$1:$1,0)))</f>
        <v/>
      </c>
      <c r="D129" s="1" t="str">
        <f t="array" ref="D129">IFERROR(INDEX('Исходник'!$1:$626,MATCH($A129,'Исходник'!$T:$T,0),MATCH(D$1,'Исходник'!$1:$1,0)))</f>
        <v/>
      </c>
      <c r="E129" s="1" t="str">
        <f t="array" ref="E129">IFERROR(INDEX('Исходник'!$1:$626,MATCH($A129,'Исходник'!$T:$T,0),MATCH(E$1,'Исходник'!$1:$1,0)))</f>
        <v/>
      </c>
      <c r="F129" s="1" t="str">
        <f t="array" ref="F129">IFERROR(INDEX('Исходник'!$1:$626,MATCH($A129,'Исходник'!$T:$T,0),MATCH(F$1,'Исходник'!$1:$1,0)))</f>
        <v/>
      </c>
      <c r="G129" s="1" t="str">
        <f t="array" ref="G129">IFERROR(INDEX('Исходник'!$1:$626,MATCH($A129,'Исходник'!$T:$T,0),MATCH(G$1,'Исходник'!$1:$1,0)))</f>
        <v/>
      </c>
      <c r="H129" s="27">
        <f t="shared" si="1"/>
        <v>0</v>
      </c>
      <c r="I129" s="27" t="str">
        <f t="shared" si="2"/>
        <v/>
      </c>
      <c r="J129" s="1" t="str">
        <f t="array" ref="J129">IFERROR(INDEX('Исходник'!$1:$626,MATCH($A129,'Исходник'!$T:$T,0),MATCH(J$1,'Исходник'!$1:$1,0)))</f>
        <v/>
      </c>
      <c r="K129" s="27" t="str">
        <f t="shared" si="3"/>
        <v/>
      </c>
      <c r="L129" s="1" t="str">
        <f t="array" ref="L129">IFERROR(INDEX('Исходник'!$1:$626,MATCH($A129,'Исходник'!$T:$T,0),MATCH(L$1,'Исходник'!$1:$1,0)))</f>
        <v/>
      </c>
      <c r="M129" s="28">
        <f t="shared" si="4"/>
        <v>0</v>
      </c>
      <c r="N129" s="1" t="str">
        <f t="array" ref="N129">IFERROR(INDEX('Исходник'!$1:$626,MATCH($A129,'Исходник'!$T:$T,0),MATCH(N$1,'Исходник'!$1:$1,0)))</f>
        <v/>
      </c>
      <c r="O129" s="27">
        <f t="shared" si="5"/>
        <v>0</v>
      </c>
      <c r="P129" s="27" t="str">
        <f t="shared" si="6"/>
        <v/>
      </c>
      <c r="Q129" s="1" t="str">
        <f t="array" ref="Q129">IFERROR(INDEX('Исходник'!$1:$626,MATCH($A129,'Исходник'!$T:$T,0),MATCH(Q$1,'Исходник'!$1:$1,0)))</f>
        <v/>
      </c>
      <c r="R129" s="1" t="str">
        <f t="array" ref="R129">IFERROR(INDEX('Исходник'!$1:$626,MATCH($A129,'Исходник'!$T:$T,0),MATCH(R$1,'Исходник'!$1:$1,0)))</f>
        <v/>
      </c>
      <c r="S129" s="27">
        <f t="shared" si="7"/>
        <v>0</v>
      </c>
      <c r="T129" s="27" t="str">
        <f t="shared" si="8"/>
        <v/>
      </c>
      <c r="U129" s="1" t="str">
        <f t="array" ref="U129">IFERROR(INDEX('Исходник'!$1:$626,MATCH($A129,'Исходник'!$T:$T,0),MATCH(U$1,'Исходник'!$1:$1,0)))</f>
        <v/>
      </c>
      <c r="V129" s="27" t="str">
        <f t="shared" si="9"/>
        <v/>
      </c>
      <c r="W129" s="1" t="str">
        <f t="array" ref="W129">IFERROR(INDEX('Исходник'!$1:$626,MATCH($A129,'Исходник'!$T:$T,0),MATCH(W$1,'Исходник'!$1:$1,0)))</f>
        <v/>
      </c>
      <c r="X129" s="28">
        <f t="shared" si="10"/>
        <v>0</v>
      </c>
      <c r="Y129" s="1" t="str">
        <f t="array" ref="Y129">IFERROR(INDEX('Исходник'!$1:$626,MATCH($A129,'Исходник'!$T:$T,0),MATCH(Y$1,'Исходник'!$1:$1,0)))</f>
        <v/>
      </c>
      <c r="Z129" s="27">
        <f t="shared" si="11"/>
        <v>0</v>
      </c>
      <c r="AA129" s="27" t="str">
        <f t="shared" si="12"/>
        <v/>
      </c>
      <c r="AB129" s="1" t="str">
        <f t="array" ref="AB129">IFERROR(INDEX('Исходник'!$1:$626,MATCH($A129,'Исходник'!$T:$T,0),MATCH(AB$1,'Исходник'!$1:$1,0)))</f>
        <v/>
      </c>
      <c r="AC129" s="1" t="str">
        <f t="array" ref="AC129">IFERROR(INDEX('Исходник'!$1:$626,MATCH($A129,'Исходник'!$T:$T,0),MATCH(AC$1,'Исходник'!$1:$1,0)))</f>
        <v/>
      </c>
      <c r="AD129" s="27" t="str">
        <f t="shared" si="13"/>
        <v/>
      </c>
      <c r="AE129" s="1" t="str">
        <f t="array" ref="AE129">IFERROR(INDEX('Исходник'!$1:$626,MATCH($A129,'Исходник'!$T:$T,0),MATCH(AE$1,'Исходник'!$1:$1,0)))</f>
        <v/>
      </c>
      <c r="AF129" s="1" t="str">
        <f t="array" ref="AF129">IFERROR(INDEX('Исходник'!$1:$626,MATCH($A129,'Исходник'!$T:$T,0),MATCH(AF$1,'Исходник'!$1:$1,0)))</f>
        <v/>
      </c>
      <c r="AG129" s="27" t="str">
        <f t="shared" si="14"/>
        <v/>
      </c>
      <c r="AH129" s="1" t="str">
        <f t="array" ref="AH129">IFERROR(INDEX('Исходник'!$1:$626,MATCH($A129,'Исходник'!$T:$T,0),MATCH(AH$1,'Исходник'!$1:$1,0)))</f>
        <v/>
      </c>
      <c r="AI129" s="1" t="str">
        <f t="array" ref="AI129">IFERROR(INDEX('Исходник'!$1:$626,MATCH($A129,'Исходник'!$T:$T,0),MATCH(AI$1,'Исходник'!$1:$1,0)))</f>
        <v/>
      </c>
      <c r="AJ129" s="18">
        <f t="shared" si="15"/>
        <v>0</v>
      </c>
    </row>
    <row r="130" ht="15.75" customHeight="1">
      <c r="A130" s="27"/>
      <c r="B130" s="1" t="str">
        <f t="array" ref="B130">IFERROR(INDEX('Исходник'!$1:$626,MATCH($A130,'Исходник'!$T:$T,0),MATCH(B$1,'Исходник'!$1:$1,0)))</f>
        <v/>
      </c>
      <c r="C130" s="1" t="str">
        <f t="array" ref="C130">IFERROR(INDEX('Исходник'!$1:$626,MATCH($A130,'Исходник'!$T:$T,0),MATCH(C$1,'Исходник'!$1:$1,0)))</f>
        <v/>
      </c>
      <c r="D130" s="1" t="str">
        <f t="array" ref="D130">IFERROR(INDEX('Исходник'!$1:$626,MATCH($A130,'Исходник'!$T:$T,0),MATCH(D$1,'Исходник'!$1:$1,0)))</f>
        <v/>
      </c>
      <c r="E130" s="1" t="str">
        <f t="array" ref="E130">IFERROR(INDEX('Исходник'!$1:$626,MATCH($A130,'Исходник'!$T:$T,0),MATCH(E$1,'Исходник'!$1:$1,0)))</f>
        <v/>
      </c>
      <c r="F130" s="1" t="str">
        <f t="array" ref="F130">IFERROR(INDEX('Исходник'!$1:$626,MATCH($A130,'Исходник'!$T:$T,0),MATCH(F$1,'Исходник'!$1:$1,0)))</f>
        <v/>
      </c>
      <c r="G130" s="1" t="str">
        <f t="array" ref="G130">IFERROR(INDEX('Исходник'!$1:$626,MATCH($A130,'Исходник'!$T:$T,0),MATCH(G$1,'Исходник'!$1:$1,0)))</f>
        <v/>
      </c>
      <c r="H130" s="27">
        <f t="shared" si="1"/>
        <v>0</v>
      </c>
      <c r="I130" s="27" t="str">
        <f t="shared" si="2"/>
        <v/>
      </c>
      <c r="J130" s="1" t="str">
        <f t="array" ref="J130">IFERROR(INDEX('Исходник'!$1:$626,MATCH($A130,'Исходник'!$T:$T,0),MATCH(J$1,'Исходник'!$1:$1,0)))</f>
        <v/>
      </c>
      <c r="K130" s="27" t="str">
        <f t="shared" si="3"/>
        <v/>
      </c>
      <c r="L130" s="1" t="str">
        <f t="array" ref="L130">IFERROR(INDEX('Исходник'!$1:$626,MATCH($A130,'Исходник'!$T:$T,0),MATCH(L$1,'Исходник'!$1:$1,0)))</f>
        <v/>
      </c>
      <c r="M130" s="28">
        <f t="shared" si="4"/>
        <v>0</v>
      </c>
      <c r="N130" s="1" t="str">
        <f t="array" ref="N130">IFERROR(INDEX('Исходник'!$1:$626,MATCH($A130,'Исходник'!$T:$T,0),MATCH(N$1,'Исходник'!$1:$1,0)))</f>
        <v/>
      </c>
      <c r="O130" s="27">
        <f t="shared" si="5"/>
        <v>0</v>
      </c>
      <c r="P130" s="27" t="str">
        <f t="shared" si="6"/>
        <v/>
      </c>
      <c r="Q130" s="1" t="str">
        <f t="array" ref="Q130">IFERROR(INDEX('Исходник'!$1:$626,MATCH($A130,'Исходник'!$T:$T,0),MATCH(Q$1,'Исходник'!$1:$1,0)))</f>
        <v/>
      </c>
      <c r="R130" s="1" t="str">
        <f t="array" ref="R130">IFERROR(INDEX('Исходник'!$1:$626,MATCH($A130,'Исходник'!$T:$T,0),MATCH(R$1,'Исходник'!$1:$1,0)))</f>
        <v/>
      </c>
      <c r="S130" s="27">
        <f t="shared" si="7"/>
        <v>0</v>
      </c>
      <c r="T130" s="27" t="str">
        <f t="shared" si="8"/>
        <v/>
      </c>
      <c r="U130" s="1" t="str">
        <f t="array" ref="U130">IFERROR(INDEX('Исходник'!$1:$626,MATCH($A130,'Исходник'!$T:$T,0),MATCH(U$1,'Исходник'!$1:$1,0)))</f>
        <v/>
      </c>
      <c r="V130" s="27" t="str">
        <f t="shared" si="9"/>
        <v/>
      </c>
      <c r="W130" s="1" t="str">
        <f t="array" ref="W130">IFERROR(INDEX('Исходник'!$1:$626,MATCH($A130,'Исходник'!$T:$T,0),MATCH(W$1,'Исходник'!$1:$1,0)))</f>
        <v/>
      </c>
      <c r="X130" s="28">
        <f t="shared" si="10"/>
        <v>0</v>
      </c>
      <c r="Y130" s="1" t="str">
        <f t="array" ref="Y130">IFERROR(INDEX('Исходник'!$1:$626,MATCH($A130,'Исходник'!$T:$T,0),MATCH(Y$1,'Исходник'!$1:$1,0)))</f>
        <v/>
      </c>
      <c r="Z130" s="27">
        <f t="shared" si="11"/>
        <v>0</v>
      </c>
      <c r="AA130" s="27" t="str">
        <f t="shared" si="12"/>
        <v/>
      </c>
      <c r="AB130" s="1" t="str">
        <f t="array" ref="AB130">IFERROR(INDEX('Исходник'!$1:$626,MATCH($A130,'Исходник'!$T:$T,0),MATCH(AB$1,'Исходник'!$1:$1,0)))</f>
        <v/>
      </c>
      <c r="AC130" s="1" t="str">
        <f t="array" ref="AC130">IFERROR(INDEX('Исходник'!$1:$626,MATCH($A130,'Исходник'!$T:$T,0),MATCH(AC$1,'Исходник'!$1:$1,0)))</f>
        <v/>
      </c>
      <c r="AD130" s="27" t="str">
        <f t="shared" si="13"/>
        <v/>
      </c>
      <c r="AE130" s="1" t="str">
        <f t="array" ref="AE130">IFERROR(INDEX('Исходник'!$1:$626,MATCH($A130,'Исходник'!$T:$T,0),MATCH(AE$1,'Исходник'!$1:$1,0)))</f>
        <v/>
      </c>
      <c r="AF130" s="1" t="str">
        <f t="array" ref="AF130">IFERROR(INDEX('Исходник'!$1:$626,MATCH($A130,'Исходник'!$T:$T,0),MATCH(AF$1,'Исходник'!$1:$1,0)))</f>
        <v/>
      </c>
      <c r="AG130" s="27" t="str">
        <f t="shared" si="14"/>
        <v/>
      </c>
      <c r="AH130" s="1" t="str">
        <f t="array" ref="AH130">IFERROR(INDEX('Исходник'!$1:$626,MATCH($A130,'Исходник'!$T:$T,0),MATCH(AH$1,'Исходник'!$1:$1,0)))</f>
        <v/>
      </c>
      <c r="AI130" s="1" t="str">
        <f t="array" ref="AI130">IFERROR(INDEX('Исходник'!$1:$626,MATCH($A130,'Исходник'!$T:$T,0),MATCH(AI$1,'Исходник'!$1:$1,0)))</f>
        <v/>
      </c>
      <c r="AJ130" s="18">
        <f t="shared" si="15"/>
        <v>0</v>
      </c>
    </row>
    <row r="131" ht="15.75" customHeight="1">
      <c r="A131" s="27"/>
      <c r="B131" s="1" t="str">
        <f t="array" ref="B131">IFERROR(INDEX('Исходник'!$1:$626,MATCH($A131,'Исходник'!$T:$T,0),MATCH(B$1,'Исходник'!$1:$1,0)))</f>
        <v/>
      </c>
      <c r="C131" s="1" t="str">
        <f t="array" ref="C131">IFERROR(INDEX('Исходник'!$1:$626,MATCH($A131,'Исходник'!$T:$T,0),MATCH(C$1,'Исходник'!$1:$1,0)))</f>
        <v/>
      </c>
      <c r="D131" s="1" t="str">
        <f t="array" ref="D131">IFERROR(INDEX('Исходник'!$1:$626,MATCH($A131,'Исходник'!$T:$T,0),MATCH(D$1,'Исходник'!$1:$1,0)))</f>
        <v/>
      </c>
      <c r="E131" s="1" t="str">
        <f t="array" ref="E131">IFERROR(INDEX('Исходник'!$1:$626,MATCH($A131,'Исходник'!$T:$T,0),MATCH(E$1,'Исходник'!$1:$1,0)))</f>
        <v/>
      </c>
      <c r="F131" s="1" t="str">
        <f t="array" ref="F131">IFERROR(INDEX('Исходник'!$1:$626,MATCH($A131,'Исходник'!$T:$T,0),MATCH(F$1,'Исходник'!$1:$1,0)))</f>
        <v/>
      </c>
      <c r="G131" s="1" t="str">
        <f t="array" ref="G131">IFERROR(INDEX('Исходник'!$1:$626,MATCH($A131,'Исходник'!$T:$T,0),MATCH(G$1,'Исходник'!$1:$1,0)))</f>
        <v/>
      </c>
      <c r="H131" s="27">
        <f t="shared" si="1"/>
        <v>0</v>
      </c>
      <c r="I131" s="27" t="str">
        <f t="shared" si="2"/>
        <v/>
      </c>
      <c r="J131" s="1" t="str">
        <f t="array" ref="J131">IFERROR(INDEX('Исходник'!$1:$626,MATCH($A131,'Исходник'!$T:$T,0),MATCH(J$1,'Исходник'!$1:$1,0)))</f>
        <v/>
      </c>
      <c r="K131" s="27" t="str">
        <f t="shared" si="3"/>
        <v/>
      </c>
      <c r="L131" s="1" t="str">
        <f t="array" ref="L131">IFERROR(INDEX('Исходник'!$1:$626,MATCH($A131,'Исходник'!$T:$T,0),MATCH(L$1,'Исходник'!$1:$1,0)))</f>
        <v/>
      </c>
      <c r="M131" s="28">
        <f t="shared" si="4"/>
        <v>0</v>
      </c>
      <c r="N131" s="1" t="str">
        <f t="array" ref="N131">IFERROR(INDEX('Исходник'!$1:$626,MATCH($A131,'Исходник'!$T:$T,0),MATCH(N$1,'Исходник'!$1:$1,0)))</f>
        <v/>
      </c>
      <c r="O131" s="27">
        <f t="shared" si="5"/>
        <v>0</v>
      </c>
      <c r="P131" s="27" t="str">
        <f t="shared" si="6"/>
        <v/>
      </c>
      <c r="Q131" s="1" t="str">
        <f t="array" ref="Q131">IFERROR(INDEX('Исходник'!$1:$626,MATCH($A131,'Исходник'!$T:$T,0),MATCH(Q$1,'Исходник'!$1:$1,0)))</f>
        <v/>
      </c>
      <c r="R131" s="1" t="str">
        <f t="array" ref="R131">IFERROR(INDEX('Исходник'!$1:$626,MATCH($A131,'Исходник'!$T:$T,0),MATCH(R$1,'Исходник'!$1:$1,0)))</f>
        <v/>
      </c>
      <c r="S131" s="27">
        <f t="shared" si="7"/>
        <v>0</v>
      </c>
      <c r="T131" s="27" t="str">
        <f t="shared" si="8"/>
        <v/>
      </c>
      <c r="U131" s="1" t="str">
        <f t="array" ref="U131">IFERROR(INDEX('Исходник'!$1:$626,MATCH($A131,'Исходник'!$T:$T,0),MATCH(U$1,'Исходник'!$1:$1,0)))</f>
        <v/>
      </c>
      <c r="V131" s="27" t="str">
        <f t="shared" si="9"/>
        <v/>
      </c>
      <c r="W131" s="1" t="str">
        <f t="array" ref="W131">IFERROR(INDEX('Исходник'!$1:$626,MATCH($A131,'Исходник'!$T:$T,0),MATCH(W$1,'Исходник'!$1:$1,0)))</f>
        <v/>
      </c>
      <c r="X131" s="28">
        <f t="shared" si="10"/>
        <v>0</v>
      </c>
      <c r="Y131" s="1" t="str">
        <f t="array" ref="Y131">IFERROR(INDEX('Исходник'!$1:$626,MATCH($A131,'Исходник'!$T:$T,0),MATCH(Y$1,'Исходник'!$1:$1,0)))</f>
        <v/>
      </c>
      <c r="Z131" s="27">
        <f t="shared" si="11"/>
        <v>0</v>
      </c>
      <c r="AA131" s="27" t="str">
        <f t="shared" si="12"/>
        <v/>
      </c>
      <c r="AB131" s="1" t="str">
        <f t="array" ref="AB131">IFERROR(INDEX('Исходник'!$1:$626,MATCH($A131,'Исходник'!$T:$T,0),MATCH(AB$1,'Исходник'!$1:$1,0)))</f>
        <v/>
      </c>
      <c r="AC131" s="1" t="str">
        <f t="array" ref="AC131">IFERROR(INDEX('Исходник'!$1:$626,MATCH($A131,'Исходник'!$T:$T,0),MATCH(AC$1,'Исходник'!$1:$1,0)))</f>
        <v/>
      </c>
      <c r="AD131" s="27" t="str">
        <f t="shared" si="13"/>
        <v/>
      </c>
      <c r="AE131" s="1" t="str">
        <f t="array" ref="AE131">IFERROR(INDEX('Исходник'!$1:$626,MATCH($A131,'Исходник'!$T:$T,0),MATCH(AE$1,'Исходник'!$1:$1,0)))</f>
        <v/>
      </c>
      <c r="AF131" s="1" t="str">
        <f t="array" ref="AF131">IFERROR(INDEX('Исходник'!$1:$626,MATCH($A131,'Исходник'!$T:$T,0),MATCH(AF$1,'Исходник'!$1:$1,0)))</f>
        <v/>
      </c>
      <c r="AG131" s="27" t="str">
        <f t="shared" si="14"/>
        <v/>
      </c>
      <c r="AH131" s="1" t="str">
        <f t="array" ref="AH131">IFERROR(INDEX('Исходник'!$1:$626,MATCH($A131,'Исходник'!$T:$T,0),MATCH(AH$1,'Исходник'!$1:$1,0)))</f>
        <v/>
      </c>
      <c r="AI131" s="1" t="str">
        <f t="array" ref="AI131">IFERROR(INDEX('Исходник'!$1:$626,MATCH($A131,'Исходник'!$T:$T,0),MATCH(AI$1,'Исходник'!$1:$1,0)))</f>
        <v/>
      </c>
      <c r="AJ131" s="18">
        <f t="shared" si="15"/>
        <v>0</v>
      </c>
    </row>
    <row r="132" ht="15.75" customHeight="1">
      <c r="A132" s="27"/>
      <c r="B132" s="1" t="str">
        <f t="array" ref="B132">IFERROR(INDEX('Исходник'!$1:$626,MATCH($A132,'Исходник'!$T:$T,0),MATCH(B$1,'Исходник'!$1:$1,0)))</f>
        <v/>
      </c>
      <c r="C132" s="1" t="str">
        <f t="array" ref="C132">IFERROR(INDEX('Исходник'!$1:$626,MATCH($A132,'Исходник'!$T:$T,0),MATCH(C$1,'Исходник'!$1:$1,0)))</f>
        <v/>
      </c>
      <c r="D132" s="1" t="str">
        <f t="array" ref="D132">IFERROR(INDEX('Исходник'!$1:$626,MATCH($A132,'Исходник'!$T:$T,0),MATCH(D$1,'Исходник'!$1:$1,0)))</f>
        <v/>
      </c>
      <c r="E132" s="1" t="str">
        <f t="array" ref="E132">IFERROR(INDEX('Исходник'!$1:$626,MATCH($A132,'Исходник'!$T:$T,0),MATCH(E$1,'Исходник'!$1:$1,0)))</f>
        <v/>
      </c>
      <c r="F132" s="1" t="str">
        <f t="array" ref="F132">IFERROR(INDEX('Исходник'!$1:$626,MATCH($A132,'Исходник'!$T:$T,0),MATCH(F$1,'Исходник'!$1:$1,0)))</f>
        <v/>
      </c>
      <c r="G132" s="1" t="str">
        <f t="array" ref="G132">IFERROR(INDEX('Исходник'!$1:$626,MATCH($A132,'Исходник'!$T:$T,0),MATCH(G$1,'Исходник'!$1:$1,0)))</f>
        <v/>
      </c>
      <c r="H132" s="27">
        <f t="shared" si="1"/>
        <v>0</v>
      </c>
      <c r="I132" s="27" t="str">
        <f t="shared" si="2"/>
        <v/>
      </c>
      <c r="J132" s="1" t="str">
        <f t="array" ref="J132">IFERROR(INDEX('Исходник'!$1:$626,MATCH($A132,'Исходник'!$T:$T,0),MATCH(J$1,'Исходник'!$1:$1,0)))</f>
        <v/>
      </c>
      <c r="K132" s="27" t="str">
        <f t="shared" si="3"/>
        <v/>
      </c>
      <c r="L132" s="1" t="str">
        <f t="array" ref="L132">IFERROR(INDEX('Исходник'!$1:$626,MATCH($A132,'Исходник'!$T:$T,0),MATCH(L$1,'Исходник'!$1:$1,0)))</f>
        <v/>
      </c>
      <c r="M132" s="28">
        <f t="shared" si="4"/>
        <v>0</v>
      </c>
      <c r="N132" s="1" t="str">
        <f t="array" ref="N132">IFERROR(INDEX('Исходник'!$1:$626,MATCH($A132,'Исходник'!$T:$T,0),MATCH(N$1,'Исходник'!$1:$1,0)))</f>
        <v/>
      </c>
      <c r="O132" s="27">
        <f t="shared" si="5"/>
        <v>0</v>
      </c>
      <c r="P132" s="27" t="str">
        <f t="shared" si="6"/>
        <v/>
      </c>
      <c r="Q132" s="1" t="str">
        <f t="array" ref="Q132">IFERROR(INDEX('Исходник'!$1:$626,MATCH($A132,'Исходник'!$T:$T,0),MATCH(Q$1,'Исходник'!$1:$1,0)))</f>
        <v/>
      </c>
      <c r="R132" s="1" t="str">
        <f t="array" ref="R132">IFERROR(INDEX('Исходник'!$1:$626,MATCH($A132,'Исходник'!$T:$T,0),MATCH(R$1,'Исходник'!$1:$1,0)))</f>
        <v/>
      </c>
      <c r="S132" s="27">
        <f t="shared" si="7"/>
        <v>0</v>
      </c>
      <c r="T132" s="27" t="str">
        <f t="shared" si="8"/>
        <v/>
      </c>
      <c r="U132" s="1" t="str">
        <f t="array" ref="U132">IFERROR(INDEX('Исходник'!$1:$626,MATCH($A132,'Исходник'!$T:$T,0),MATCH(U$1,'Исходник'!$1:$1,0)))</f>
        <v/>
      </c>
      <c r="V132" s="27" t="str">
        <f t="shared" si="9"/>
        <v/>
      </c>
      <c r="W132" s="1" t="str">
        <f t="array" ref="W132">IFERROR(INDEX('Исходник'!$1:$626,MATCH($A132,'Исходник'!$T:$T,0),MATCH(W$1,'Исходник'!$1:$1,0)))</f>
        <v/>
      </c>
      <c r="X132" s="28">
        <f t="shared" si="10"/>
        <v>0</v>
      </c>
      <c r="Y132" s="1" t="str">
        <f t="array" ref="Y132">IFERROR(INDEX('Исходник'!$1:$626,MATCH($A132,'Исходник'!$T:$T,0),MATCH(Y$1,'Исходник'!$1:$1,0)))</f>
        <v/>
      </c>
      <c r="Z132" s="27">
        <f t="shared" si="11"/>
        <v>0</v>
      </c>
      <c r="AA132" s="27" t="str">
        <f t="shared" si="12"/>
        <v/>
      </c>
      <c r="AB132" s="1" t="str">
        <f t="array" ref="AB132">IFERROR(INDEX('Исходник'!$1:$626,MATCH($A132,'Исходник'!$T:$T,0),MATCH(AB$1,'Исходник'!$1:$1,0)))</f>
        <v/>
      </c>
      <c r="AC132" s="1" t="str">
        <f t="array" ref="AC132">IFERROR(INDEX('Исходник'!$1:$626,MATCH($A132,'Исходник'!$T:$T,0),MATCH(AC$1,'Исходник'!$1:$1,0)))</f>
        <v/>
      </c>
      <c r="AD132" s="27" t="str">
        <f t="shared" si="13"/>
        <v/>
      </c>
      <c r="AE132" s="1" t="str">
        <f t="array" ref="AE132">IFERROR(INDEX('Исходник'!$1:$626,MATCH($A132,'Исходник'!$T:$T,0),MATCH(AE$1,'Исходник'!$1:$1,0)))</f>
        <v/>
      </c>
      <c r="AF132" s="1" t="str">
        <f t="array" ref="AF132">IFERROR(INDEX('Исходник'!$1:$626,MATCH($A132,'Исходник'!$T:$T,0),MATCH(AF$1,'Исходник'!$1:$1,0)))</f>
        <v/>
      </c>
      <c r="AG132" s="27" t="str">
        <f t="shared" si="14"/>
        <v/>
      </c>
      <c r="AH132" s="1" t="str">
        <f t="array" ref="AH132">IFERROR(INDEX('Исходник'!$1:$626,MATCH($A132,'Исходник'!$T:$T,0),MATCH(AH$1,'Исходник'!$1:$1,0)))</f>
        <v/>
      </c>
      <c r="AI132" s="1" t="str">
        <f t="array" ref="AI132">IFERROR(INDEX('Исходник'!$1:$626,MATCH($A132,'Исходник'!$T:$T,0),MATCH(AI$1,'Исходник'!$1:$1,0)))</f>
        <v/>
      </c>
      <c r="AJ132" s="18">
        <f t="shared" si="15"/>
        <v>0</v>
      </c>
    </row>
    <row r="133" ht="15.75" customHeight="1">
      <c r="A133" s="27"/>
      <c r="B133" s="1" t="str">
        <f t="array" ref="B133">IFERROR(INDEX('Исходник'!$1:$626,MATCH($A133,'Исходник'!$T:$T,0),MATCH(B$1,'Исходник'!$1:$1,0)))</f>
        <v/>
      </c>
      <c r="C133" s="1" t="str">
        <f t="array" ref="C133">IFERROR(INDEX('Исходник'!$1:$626,MATCH($A133,'Исходник'!$T:$T,0),MATCH(C$1,'Исходник'!$1:$1,0)))</f>
        <v/>
      </c>
      <c r="D133" s="1" t="str">
        <f t="array" ref="D133">IFERROR(INDEX('Исходник'!$1:$626,MATCH($A133,'Исходник'!$T:$T,0),MATCH(D$1,'Исходник'!$1:$1,0)))</f>
        <v/>
      </c>
      <c r="E133" s="1" t="str">
        <f t="array" ref="E133">IFERROR(INDEX('Исходник'!$1:$626,MATCH($A133,'Исходник'!$T:$T,0),MATCH(E$1,'Исходник'!$1:$1,0)))</f>
        <v/>
      </c>
      <c r="F133" s="1" t="str">
        <f t="array" ref="F133">IFERROR(INDEX('Исходник'!$1:$626,MATCH($A133,'Исходник'!$T:$T,0),MATCH(F$1,'Исходник'!$1:$1,0)))</f>
        <v/>
      </c>
      <c r="G133" s="1" t="str">
        <f t="array" ref="G133">IFERROR(INDEX('Исходник'!$1:$626,MATCH($A133,'Исходник'!$T:$T,0),MATCH(G$1,'Исходник'!$1:$1,0)))</f>
        <v/>
      </c>
      <c r="H133" s="27">
        <f t="shared" si="1"/>
        <v>0</v>
      </c>
      <c r="I133" s="27" t="str">
        <f t="shared" si="2"/>
        <v/>
      </c>
      <c r="J133" s="1" t="str">
        <f t="array" ref="J133">IFERROR(INDEX('Исходник'!$1:$626,MATCH($A133,'Исходник'!$T:$T,0),MATCH(J$1,'Исходник'!$1:$1,0)))</f>
        <v/>
      </c>
      <c r="K133" s="27" t="str">
        <f t="shared" si="3"/>
        <v/>
      </c>
      <c r="L133" s="1" t="str">
        <f t="array" ref="L133">IFERROR(INDEX('Исходник'!$1:$626,MATCH($A133,'Исходник'!$T:$T,0),MATCH(L$1,'Исходник'!$1:$1,0)))</f>
        <v/>
      </c>
      <c r="M133" s="28">
        <f t="shared" si="4"/>
        <v>0</v>
      </c>
      <c r="N133" s="1" t="str">
        <f t="array" ref="N133">IFERROR(INDEX('Исходник'!$1:$626,MATCH($A133,'Исходник'!$T:$T,0),MATCH(N$1,'Исходник'!$1:$1,0)))</f>
        <v/>
      </c>
      <c r="O133" s="27">
        <f t="shared" si="5"/>
        <v>0</v>
      </c>
      <c r="P133" s="27" t="str">
        <f t="shared" si="6"/>
        <v/>
      </c>
      <c r="Q133" s="1" t="str">
        <f t="array" ref="Q133">IFERROR(INDEX('Исходник'!$1:$626,MATCH($A133,'Исходник'!$T:$T,0),MATCH(Q$1,'Исходник'!$1:$1,0)))</f>
        <v/>
      </c>
      <c r="R133" s="1" t="str">
        <f t="array" ref="R133">IFERROR(INDEX('Исходник'!$1:$626,MATCH($A133,'Исходник'!$T:$T,0),MATCH(R$1,'Исходник'!$1:$1,0)))</f>
        <v/>
      </c>
      <c r="S133" s="27">
        <f t="shared" si="7"/>
        <v>0</v>
      </c>
      <c r="T133" s="27" t="str">
        <f t="shared" si="8"/>
        <v/>
      </c>
      <c r="U133" s="1" t="str">
        <f t="array" ref="U133">IFERROR(INDEX('Исходник'!$1:$626,MATCH($A133,'Исходник'!$T:$T,0),MATCH(U$1,'Исходник'!$1:$1,0)))</f>
        <v/>
      </c>
      <c r="V133" s="27" t="str">
        <f t="shared" si="9"/>
        <v/>
      </c>
      <c r="W133" s="1" t="str">
        <f t="array" ref="W133">IFERROR(INDEX('Исходник'!$1:$626,MATCH($A133,'Исходник'!$T:$T,0),MATCH(W$1,'Исходник'!$1:$1,0)))</f>
        <v/>
      </c>
      <c r="X133" s="28">
        <f t="shared" si="10"/>
        <v>0</v>
      </c>
      <c r="Y133" s="1" t="str">
        <f t="array" ref="Y133">IFERROR(INDEX('Исходник'!$1:$626,MATCH($A133,'Исходник'!$T:$T,0),MATCH(Y$1,'Исходник'!$1:$1,0)))</f>
        <v/>
      </c>
      <c r="Z133" s="27">
        <f t="shared" si="11"/>
        <v>0</v>
      </c>
      <c r="AA133" s="27" t="str">
        <f t="shared" si="12"/>
        <v/>
      </c>
      <c r="AB133" s="1" t="str">
        <f t="array" ref="AB133">IFERROR(INDEX('Исходник'!$1:$626,MATCH($A133,'Исходник'!$T:$T,0),MATCH(AB$1,'Исходник'!$1:$1,0)))</f>
        <v/>
      </c>
      <c r="AC133" s="1" t="str">
        <f t="array" ref="AC133">IFERROR(INDEX('Исходник'!$1:$626,MATCH($A133,'Исходник'!$T:$T,0),MATCH(AC$1,'Исходник'!$1:$1,0)))</f>
        <v/>
      </c>
      <c r="AD133" s="27" t="str">
        <f t="shared" si="13"/>
        <v/>
      </c>
      <c r="AE133" s="1" t="str">
        <f t="array" ref="AE133">IFERROR(INDEX('Исходник'!$1:$626,MATCH($A133,'Исходник'!$T:$T,0),MATCH(AE$1,'Исходник'!$1:$1,0)))</f>
        <v/>
      </c>
      <c r="AF133" s="1" t="str">
        <f t="array" ref="AF133">IFERROR(INDEX('Исходник'!$1:$626,MATCH($A133,'Исходник'!$T:$T,0),MATCH(AF$1,'Исходник'!$1:$1,0)))</f>
        <v/>
      </c>
      <c r="AG133" s="27" t="str">
        <f t="shared" si="14"/>
        <v/>
      </c>
      <c r="AH133" s="1" t="str">
        <f t="array" ref="AH133">IFERROR(INDEX('Исходник'!$1:$626,MATCH($A133,'Исходник'!$T:$T,0),MATCH(AH$1,'Исходник'!$1:$1,0)))</f>
        <v/>
      </c>
      <c r="AI133" s="1" t="str">
        <f t="array" ref="AI133">IFERROR(INDEX('Исходник'!$1:$626,MATCH($A133,'Исходник'!$T:$T,0),MATCH(AI$1,'Исходник'!$1:$1,0)))</f>
        <v/>
      </c>
      <c r="AJ133" s="18">
        <f t="shared" si="15"/>
        <v>0</v>
      </c>
    </row>
    <row r="134" ht="15.75" customHeight="1">
      <c r="A134" s="27"/>
      <c r="B134" s="1" t="str">
        <f t="array" ref="B134">IFERROR(INDEX('Исходник'!$1:$626,MATCH($A134,'Исходник'!$T:$T,0),MATCH(B$1,'Исходник'!$1:$1,0)))</f>
        <v/>
      </c>
      <c r="C134" s="1" t="str">
        <f t="array" ref="C134">IFERROR(INDEX('Исходник'!$1:$626,MATCH($A134,'Исходник'!$T:$T,0),MATCH(C$1,'Исходник'!$1:$1,0)))</f>
        <v/>
      </c>
      <c r="D134" s="1" t="str">
        <f t="array" ref="D134">IFERROR(INDEX('Исходник'!$1:$626,MATCH($A134,'Исходник'!$T:$T,0),MATCH(D$1,'Исходник'!$1:$1,0)))</f>
        <v/>
      </c>
      <c r="E134" s="1" t="str">
        <f t="array" ref="E134">IFERROR(INDEX('Исходник'!$1:$626,MATCH($A134,'Исходник'!$T:$T,0),MATCH(E$1,'Исходник'!$1:$1,0)))</f>
        <v/>
      </c>
      <c r="F134" s="1" t="str">
        <f t="array" ref="F134">IFERROR(INDEX('Исходник'!$1:$626,MATCH($A134,'Исходник'!$T:$T,0),MATCH(F$1,'Исходник'!$1:$1,0)))</f>
        <v/>
      </c>
      <c r="G134" s="1" t="str">
        <f t="array" ref="G134">IFERROR(INDEX('Исходник'!$1:$626,MATCH($A134,'Исходник'!$T:$T,0),MATCH(G$1,'Исходник'!$1:$1,0)))</f>
        <v/>
      </c>
      <c r="H134" s="27">
        <f t="shared" si="1"/>
        <v>0</v>
      </c>
      <c r="I134" s="27" t="str">
        <f t="shared" si="2"/>
        <v/>
      </c>
      <c r="J134" s="1" t="str">
        <f t="array" ref="J134">IFERROR(INDEX('Исходник'!$1:$626,MATCH($A134,'Исходник'!$T:$T,0),MATCH(J$1,'Исходник'!$1:$1,0)))</f>
        <v/>
      </c>
      <c r="K134" s="27" t="str">
        <f t="shared" si="3"/>
        <v/>
      </c>
      <c r="L134" s="1" t="str">
        <f t="array" ref="L134">IFERROR(INDEX('Исходник'!$1:$626,MATCH($A134,'Исходник'!$T:$T,0),MATCH(L$1,'Исходник'!$1:$1,0)))</f>
        <v/>
      </c>
      <c r="M134" s="28">
        <f t="shared" si="4"/>
        <v>0</v>
      </c>
      <c r="N134" s="1" t="str">
        <f t="array" ref="N134">IFERROR(INDEX('Исходник'!$1:$626,MATCH($A134,'Исходник'!$T:$T,0),MATCH(N$1,'Исходник'!$1:$1,0)))</f>
        <v/>
      </c>
      <c r="O134" s="27">
        <f t="shared" si="5"/>
        <v>0</v>
      </c>
      <c r="P134" s="27" t="str">
        <f t="shared" si="6"/>
        <v/>
      </c>
      <c r="Q134" s="1" t="str">
        <f t="array" ref="Q134">IFERROR(INDEX('Исходник'!$1:$626,MATCH($A134,'Исходник'!$T:$T,0),MATCH(Q$1,'Исходник'!$1:$1,0)))</f>
        <v/>
      </c>
      <c r="R134" s="1" t="str">
        <f t="array" ref="R134">IFERROR(INDEX('Исходник'!$1:$626,MATCH($A134,'Исходник'!$T:$T,0),MATCH(R$1,'Исходник'!$1:$1,0)))</f>
        <v/>
      </c>
      <c r="S134" s="27">
        <f t="shared" si="7"/>
        <v>0</v>
      </c>
      <c r="T134" s="27" t="str">
        <f t="shared" si="8"/>
        <v/>
      </c>
      <c r="U134" s="1" t="str">
        <f t="array" ref="U134">IFERROR(INDEX('Исходник'!$1:$626,MATCH($A134,'Исходник'!$T:$T,0),MATCH(U$1,'Исходник'!$1:$1,0)))</f>
        <v/>
      </c>
      <c r="V134" s="27" t="str">
        <f t="shared" si="9"/>
        <v/>
      </c>
      <c r="W134" s="1" t="str">
        <f t="array" ref="W134">IFERROR(INDEX('Исходник'!$1:$626,MATCH($A134,'Исходник'!$T:$T,0),MATCH(W$1,'Исходник'!$1:$1,0)))</f>
        <v/>
      </c>
      <c r="X134" s="28">
        <f t="shared" si="10"/>
        <v>0</v>
      </c>
      <c r="Y134" s="1" t="str">
        <f t="array" ref="Y134">IFERROR(INDEX('Исходник'!$1:$626,MATCH($A134,'Исходник'!$T:$T,0),MATCH(Y$1,'Исходник'!$1:$1,0)))</f>
        <v/>
      </c>
      <c r="Z134" s="27">
        <f t="shared" si="11"/>
        <v>0</v>
      </c>
      <c r="AA134" s="27" t="str">
        <f t="shared" si="12"/>
        <v/>
      </c>
      <c r="AB134" s="1" t="str">
        <f t="array" ref="AB134">IFERROR(INDEX('Исходник'!$1:$626,MATCH($A134,'Исходник'!$T:$T,0),MATCH(AB$1,'Исходник'!$1:$1,0)))</f>
        <v/>
      </c>
      <c r="AC134" s="1" t="str">
        <f t="array" ref="AC134">IFERROR(INDEX('Исходник'!$1:$626,MATCH($A134,'Исходник'!$T:$T,0),MATCH(AC$1,'Исходник'!$1:$1,0)))</f>
        <v/>
      </c>
      <c r="AD134" s="27" t="str">
        <f t="shared" si="13"/>
        <v/>
      </c>
      <c r="AE134" s="1" t="str">
        <f t="array" ref="AE134">IFERROR(INDEX('Исходник'!$1:$626,MATCH($A134,'Исходник'!$T:$T,0),MATCH(AE$1,'Исходник'!$1:$1,0)))</f>
        <v/>
      </c>
      <c r="AF134" s="1" t="str">
        <f t="array" ref="AF134">IFERROR(INDEX('Исходник'!$1:$626,MATCH($A134,'Исходник'!$T:$T,0),MATCH(AF$1,'Исходник'!$1:$1,0)))</f>
        <v/>
      </c>
      <c r="AG134" s="27" t="str">
        <f t="shared" si="14"/>
        <v/>
      </c>
      <c r="AH134" s="1" t="str">
        <f t="array" ref="AH134">IFERROR(INDEX('Исходник'!$1:$626,MATCH($A134,'Исходник'!$T:$T,0),MATCH(AH$1,'Исходник'!$1:$1,0)))</f>
        <v/>
      </c>
      <c r="AI134" s="1" t="str">
        <f t="array" ref="AI134">IFERROR(INDEX('Исходник'!$1:$626,MATCH($A134,'Исходник'!$T:$T,0),MATCH(AI$1,'Исходник'!$1:$1,0)))</f>
        <v/>
      </c>
      <c r="AJ134" s="18">
        <f t="shared" si="15"/>
        <v>0</v>
      </c>
    </row>
    <row r="135" ht="15.75" customHeight="1">
      <c r="A135" s="27"/>
      <c r="B135" s="1" t="str">
        <f t="array" ref="B135">IFERROR(INDEX('Исходник'!$1:$626,MATCH($A135,'Исходник'!$T:$T,0),MATCH(B$1,'Исходник'!$1:$1,0)))</f>
        <v/>
      </c>
      <c r="C135" s="1" t="str">
        <f t="array" ref="C135">IFERROR(INDEX('Исходник'!$1:$626,MATCH($A135,'Исходник'!$T:$T,0),MATCH(C$1,'Исходник'!$1:$1,0)))</f>
        <v/>
      </c>
      <c r="D135" s="1" t="str">
        <f t="array" ref="D135">IFERROR(INDEX('Исходник'!$1:$626,MATCH($A135,'Исходник'!$T:$T,0),MATCH(D$1,'Исходник'!$1:$1,0)))</f>
        <v/>
      </c>
      <c r="E135" s="1" t="str">
        <f t="array" ref="E135">IFERROR(INDEX('Исходник'!$1:$626,MATCH($A135,'Исходник'!$T:$T,0),MATCH(E$1,'Исходник'!$1:$1,0)))</f>
        <v/>
      </c>
      <c r="F135" s="1" t="str">
        <f t="array" ref="F135">IFERROR(INDEX('Исходник'!$1:$626,MATCH($A135,'Исходник'!$T:$T,0),MATCH(F$1,'Исходник'!$1:$1,0)))</f>
        <v/>
      </c>
      <c r="G135" s="1" t="str">
        <f t="array" ref="G135">IFERROR(INDEX('Исходник'!$1:$626,MATCH($A135,'Исходник'!$T:$T,0),MATCH(G$1,'Исходник'!$1:$1,0)))</f>
        <v/>
      </c>
      <c r="H135" s="27">
        <f t="shared" si="1"/>
        <v>0</v>
      </c>
      <c r="I135" s="27" t="str">
        <f t="shared" si="2"/>
        <v/>
      </c>
      <c r="J135" s="1" t="str">
        <f t="array" ref="J135">IFERROR(INDEX('Исходник'!$1:$626,MATCH($A135,'Исходник'!$T:$T,0),MATCH(J$1,'Исходник'!$1:$1,0)))</f>
        <v/>
      </c>
      <c r="K135" s="27" t="str">
        <f t="shared" si="3"/>
        <v/>
      </c>
      <c r="L135" s="1" t="str">
        <f t="array" ref="L135">IFERROR(INDEX('Исходник'!$1:$626,MATCH($A135,'Исходник'!$T:$T,0),MATCH(L$1,'Исходник'!$1:$1,0)))</f>
        <v/>
      </c>
      <c r="M135" s="28">
        <f t="shared" si="4"/>
        <v>0</v>
      </c>
      <c r="N135" s="1" t="str">
        <f t="array" ref="N135">IFERROR(INDEX('Исходник'!$1:$626,MATCH($A135,'Исходник'!$T:$T,0),MATCH(N$1,'Исходник'!$1:$1,0)))</f>
        <v/>
      </c>
      <c r="O135" s="27">
        <f t="shared" si="5"/>
        <v>0</v>
      </c>
      <c r="P135" s="27" t="str">
        <f t="shared" si="6"/>
        <v/>
      </c>
      <c r="Q135" s="1" t="str">
        <f t="array" ref="Q135">IFERROR(INDEX('Исходник'!$1:$626,MATCH($A135,'Исходник'!$T:$T,0),MATCH(Q$1,'Исходник'!$1:$1,0)))</f>
        <v/>
      </c>
      <c r="R135" s="1" t="str">
        <f t="array" ref="R135">IFERROR(INDEX('Исходник'!$1:$626,MATCH($A135,'Исходник'!$T:$T,0),MATCH(R$1,'Исходник'!$1:$1,0)))</f>
        <v/>
      </c>
      <c r="S135" s="27">
        <f t="shared" si="7"/>
        <v>0</v>
      </c>
      <c r="T135" s="27" t="str">
        <f t="shared" si="8"/>
        <v/>
      </c>
      <c r="U135" s="1" t="str">
        <f t="array" ref="U135">IFERROR(INDEX('Исходник'!$1:$626,MATCH($A135,'Исходник'!$T:$T,0),MATCH(U$1,'Исходник'!$1:$1,0)))</f>
        <v/>
      </c>
      <c r="V135" s="27" t="str">
        <f t="shared" si="9"/>
        <v/>
      </c>
      <c r="W135" s="1" t="str">
        <f t="array" ref="W135">IFERROR(INDEX('Исходник'!$1:$626,MATCH($A135,'Исходник'!$T:$T,0),MATCH(W$1,'Исходник'!$1:$1,0)))</f>
        <v/>
      </c>
      <c r="X135" s="28">
        <f t="shared" si="10"/>
        <v>0</v>
      </c>
      <c r="Y135" s="1" t="str">
        <f t="array" ref="Y135">IFERROR(INDEX('Исходник'!$1:$626,MATCH($A135,'Исходник'!$T:$T,0),MATCH(Y$1,'Исходник'!$1:$1,0)))</f>
        <v/>
      </c>
      <c r="Z135" s="27">
        <f t="shared" si="11"/>
        <v>0</v>
      </c>
      <c r="AA135" s="27" t="str">
        <f t="shared" si="12"/>
        <v/>
      </c>
      <c r="AB135" s="1" t="str">
        <f t="array" ref="AB135">IFERROR(INDEX('Исходник'!$1:$626,MATCH($A135,'Исходник'!$T:$T,0),MATCH(AB$1,'Исходник'!$1:$1,0)))</f>
        <v/>
      </c>
      <c r="AC135" s="1" t="str">
        <f t="array" ref="AC135">IFERROR(INDEX('Исходник'!$1:$626,MATCH($A135,'Исходник'!$T:$T,0),MATCH(AC$1,'Исходник'!$1:$1,0)))</f>
        <v/>
      </c>
      <c r="AD135" s="27" t="str">
        <f t="shared" si="13"/>
        <v/>
      </c>
      <c r="AE135" s="1" t="str">
        <f t="array" ref="AE135">IFERROR(INDEX('Исходник'!$1:$626,MATCH($A135,'Исходник'!$T:$T,0),MATCH(AE$1,'Исходник'!$1:$1,0)))</f>
        <v/>
      </c>
      <c r="AF135" s="1" t="str">
        <f t="array" ref="AF135">IFERROR(INDEX('Исходник'!$1:$626,MATCH($A135,'Исходник'!$T:$T,0),MATCH(AF$1,'Исходник'!$1:$1,0)))</f>
        <v/>
      </c>
      <c r="AG135" s="27" t="str">
        <f t="shared" si="14"/>
        <v/>
      </c>
      <c r="AH135" s="1" t="str">
        <f t="array" ref="AH135">IFERROR(INDEX('Исходник'!$1:$626,MATCH($A135,'Исходник'!$T:$T,0),MATCH(AH$1,'Исходник'!$1:$1,0)))</f>
        <v/>
      </c>
      <c r="AI135" s="1" t="str">
        <f t="array" ref="AI135">IFERROR(INDEX('Исходник'!$1:$626,MATCH($A135,'Исходник'!$T:$T,0),MATCH(AI$1,'Исходник'!$1:$1,0)))</f>
        <v/>
      </c>
      <c r="AJ135" s="18">
        <f t="shared" si="15"/>
        <v>0</v>
      </c>
    </row>
    <row r="136" ht="15.75" customHeight="1">
      <c r="A136" s="27"/>
      <c r="B136" s="1" t="str">
        <f t="array" ref="B136">IFERROR(INDEX('Исходник'!$1:$626,MATCH($A136,'Исходник'!$T:$T,0),MATCH(B$1,'Исходник'!$1:$1,0)))</f>
        <v/>
      </c>
      <c r="C136" s="1" t="str">
        <f t="array" ref="C136">IFERROR(INDEX('Исходник'!$1:$626,MATCH($A136,'Исходник'!$T:$T,0),MATCH(C$1,'Исходник'!$1:$1,0)))</f>
        <v/>
      </c>
      <c r="D136" s="1" t="str">
        <f t="array" ref="D136">IFERROR(INDEX('Исходник'!$1:$626,MATCH($A136,'Исходник'!$T:$T,0),MATCH(D$1,'Исходник'!$1:$1,0)))</f>
        <v/>
      </c>
      <c r="E136" s="1" t="str">
        <f t="array" ref="E136">IFERROR(INDEX('Исходник'!$1:$626,MATCH($A136,'Исходник'!$T:$T,0),MATCH(E$1,'Исходник'!$1:$1,0)))</f>
        <v/>
      </c>
      <c r="F136" s="1" t="str">
        <f t="array" ref="F136">IFERROR(INDEX('Исходник'!$1:$626,MATCH($A136,'Исходник'!$T:$T,0),MATCH(F$1,'Исходник'!$1:$1,0)))</f>
        <v/>
      </c>
      <c r="G136" s="1" t="str">
        <f t="array" ref="G136">IFERROR(INDEX('Исходник'!$1:$626,MATCH($A136,'Исходник'!$T:$T,0),MATCH(G$1,'Исходник'!$1:$1,0)))</f>
        <v/>
      </c>
      <c r="H136" s="27">
        <f t="shared" si="1"/>
        <v>0</v>
      </c>
      <c r="I136" s="27" t="str">
        <f t="shared" si="2"/>
        <v/>
      </c>
      <c r="J136" s="1" t="str">
        <f t="array" ref="J136">IFERROR(INDEX('Исходник'!$1:$626,MATCH($A136,'Исходник'!$T:$T,0),MATCH(J$1,'Исходник'!$1:$1,0)))</f>
        <v/>
      </c>
      <c r="K136" s="27" t="str">
        <f t="shared" si="3"/>
        <v/>
      </c>
      <c r="L136" s="1" t="str">
        <f t="array" ref="L136">IFERROR(INDEX('Исходник'!$1:$626,MATCH($A136,'Исходник'!$T:$T,0),MATCH(L$1,'Исходник'!$1:$1,0)))</f>
        <v/>
      </c>
      <c r="M136" s="28">
        <f t="shared" si="4"/>
        <v>0</v>
      </c>
      <c r="N136" s="1" t="str">
        <f t="array" ref="N136">IFERROR(INDEX('Исходник'!$1:$626,MATCH($A136,'Исходник'!$T:$T,0),MATCH(N$1,'Исходник'!$1:$1,0)))</f>
        <v/>
      </c>
      <c r="O136" s="27">
        <f t="shared" si="5"/>
        <v>0</v>
      </c>
      <c r="P136" s="27" t="str">
        <f t="shared" si="6"/>
        <v/>
      </c>
      <c r="Q136" s="1" t="str">
        <f t="array" ref="Q136">IFERROR(INDEX('Исходник'!$1:$626,MATCH($A136,'Исходник'!$T:$T,0),MATCH(Q$1,'Исходник'!$1:$1,0)))</f>
        <v/>
      </c>
      <c r="R136" s="1" t="str">
        <f t="array" ref="R136">IFERROR(INDEX('Исходник'!$1:$626,MATCH($A136,'Исходник'!$T:$T,0),MATCH(R$1,'Исходник'!$1:$1,0)))</f>
        <v/>
      </c>
      <c r="S136" s="27">
        <f t="shared" si="7"/>
        <v>0</v>
      </c>
      <c r="T136" s="27" t="str">
        <f t="shared" si="8"/>
        <v/>
      </c>
      <c r="U136" s="1" t="str">
        <f t="array" ref="U136">IFERROR(INDEX('Исходник'!$1:$626,MATCH($A136,'Исходник'!$T:$T,0),MATCH(U$1,'Исходник'!$1:$1,0)))</f>
        <v/>
      </c>
      <c r="V136" s="27" t="str">
        <f t="shared" si="9"/>
        <v/>
      </c>
      <c r="W136" s="1" t="str">
        <f t="array" ref="W136">IFERROR(INDEX('Исходник'!$1:$626,MATCH($A136,'Исходник'!$T:$T,0),MATCH(W$1,'Исходник'!$1:$1,0)))</f>
        <v/>
      </c>
      <c r="X136" s="28">
        <f t="shared" si="10"/>
        <v>0</v>
      </c>
      <c r="Y136" s="1" t="str">
        <f t="array" ref="Y136">IFERROR(INDEX('Исходник'!$1:$626,MATCH($A136,'Исходник'!$T:$T,0),MATCH(Y$1,'Исходник'!$1:$1,0)))</f>
        <v/>
      </c>
      <c r="Z136" s="27">
        <f t="shared" si="11"/>
        <v>0</v>
      </c>
      <c r="AA136" s="27" t="str">
        <f t="shared" si="12"/>
        <v/>
      </c>
      <c r="AB136" s="1" t="str">
        <f t="array" ref="AB136">IFERROR(INDEX('Исходник'!$1:$626,MATCH($A136,'Исходник'!$T:$T,0),MATCH(AB$1,'Исходник'!$1:$1,0)))</f>
        <v/>
      </c>
      <c r="AC136" s="1" t="str">
        <f t="array" ref="AC136">IFERROR(INDEX('Исходник'!$1:$626,MATCH($A136,'Исходник'!$T:$T,0),MATCH(AC$1,'Исходник'!$1:$1,0)))</f>
        <v/>
      </c>
      <c r="AD136" s="27" t="str">
        <f t="shared" si="13"/>
        <v/>
      </c>
      <c r="AE136" s="1" t="str">
        <f t="array" ref="AE136">IFERROR(INDEX('Исходник'!$1:$626,MATCH($A136,'Исходник'!$T:$T,0),MATCH(AE$1,'Исходник'!$1:$1,0)))</f>
        <v/>
      </c>
      <c r="AF136" s="1" t="str">
        <f t="array" ref="AF136">IFERROR(INDEX('Исходник'!$1:$626,MATCH($A136,'Исходник'!$T:$T,0),MATCH(AF$1,'Исходник'!$1:$1,0)))</f>
        <v/>
      </c>
      <c r="AG136" s="27" t="str">
        <f t="shared" si="14"/>
        <v/>
      </c>
      <c r="AH136" s="1" t="str">
        <f t="array" ref="AH136">IFERROR(INDEX('Исходник'!$1:$626,MATCH($A136,'Исходник'!$T:$T,0),MATCH(AH$1,'Исходник'!$1:$1,0)))</f>
        <v/>
      </c>
      <c r="AI136" s="1" t="str">
        <f t="array" ref="AI136">IFERROR(INDEX('Исходник'!$1:$626,MATCH($A136,'Исходник'!$T:$T,0),MATCH(AI$1,'Исходник'!$1:$1,0)))</f>
        <v/>
      </c>
      <c r="AJ136" s="18">
        <f t="shared" si="15"/>
        <v>0</v>
      </c>
    </row>
    <row r="137" ht="15.75" customHeight="1">
      <c r="A137" s="27"/>
      <c r="B137" s="1" t="str">
        <f t="array" ref="B137">IFERROR(INDEX('Исходник'!$1:$626,MATCH($A137,'Исходник'!$T:$T,0),MATCH(B$1,'Исходник'!$1:$1,0)))</f>
        <v/>
      </c>
      <c r="C137" s="1" t="str">
        <f t="array" ref="C137">IFERROR(INDEX('Исходник'!$1:$626,MATCH($A137,'Исходник'!$T:$T,0),MATCH(C$1,'Исходник'!$1:$1,0)))</f>
        <v/>
      </c>
      <c r="D137" s="1" t="str">
        <f t="array" ref="D137">IFERROR(INDEX('Исходник'!$1:$626,MATCH($A137,'Исходник'!$T:$T,0),MATCH(D$1,'Исходник'!$1:$1,0)))</f>
        <v/>
      </c>
      <c r="E137" s="1" t="str">
        <f t="array" ref="E137">IFERROR(INDEX('Исходник'!$1:$626,MATCH($A137,'Исходник'!$T:$T,0),MATCH(E$1,'Исходник'!$1:$1,0)))</f>
        <v/>
      </c>
      <c r="F137" s="1" t="str">
        <f t="array" ref="F137">IFERROR(INDEX('Исходник'!$1:$626,MATCH($A137,'Исходник'!$T:$T,0),MATCH(F$1,'Исходник'!$1:$1,0)))</f>
        <v/>
      </c>
      <c r="G137" s="1" t="str">
        <f t="array" ref="G137">IFERROR(INDEX('Исходник'!$1:$626,MATCH($A137,'Исходник'!$T:$T,0),MATCH(G$1,'Исходник'!$1:$1,0)))</f>
        <v/>
      </c>
      <c r="H137" s="27">
        <f t="shared" si="1"/>
        <v>0</v>
      </c>
      <c r="I137" s="27" t="str">
        <f t="shared" si="2"/>
        <v/>
      </c>
      <c r="J137" s="1" t="str">
        <f t="array" ref="J137">IFERROR(INDEX('Исходник'!$1:$626,MATCH($A137,'Исходник'!$T:$T,0),MATCH(J$1,'Исходник'!$1:$1,0)))</f>
        <v/>
      </c>
      <c r="K137" s="27" t="str">
        <f t="shared" si="3"/>
        <v/>
      </c>
      <c r="L137" s="1" t="str">
        <f t="array" ref="L137">IFERROR(INDEX('Исходник'!$1:$626,MATCH($A137,'Исходник'!$T:$T,0),MATCH(L$1,'Исходник'!$1:$1,0)))</f>
        <v/>
      </c>
      <c r="M137" s="28">
        <f t="shared" si="4"/>
        <v>0</v>
      </c>
      <c r="N137" s="1" t="str">
        <f t="array" ref="N137">IFERROR(INDEX('Исходник'!$1:$626,MATCH($A137,'Исходник'!$T:$T,0),MATCH(N$1,'Исходник'!$1:$1,0)))</f>
        <v/>
      </c>
      <c r="O137" s="27">
        <f t="shared" si="5"/>
        <v>0</v>
      </c>
      <c r="P137" s="27" t="str">
        <f t="shared" si="6"/>
        <v/>
      </c>
      <c r="Q137" s="1" t="str">
        <f t="array" ref="Q137">IFERROR(INDEX('Исходник'!$1:$626,MATCH($A137,'Исходник'!$T:$T,0),MATCH(Q$1,'Исходник'!$1:$1,0)))</f>
        <v/>
      </c>
      <c r="R137" s="1" t="str">
        <f t="array" ref="R137">IFERROR(INDEX('Исходник'!$1:$626,MATCH($A137,'Исходник'!$T:$T,0),MATCH(R$1,'Исходник'!$1:$1,0)))</f>
        <v/>
      </c>
      <c r="S137" s="27">
        <f t="shared" si="7"/>
        <v>0</v>
      </c>
      <c r="T137" s="27" t="str">
        <f t="shared" si="8"/>
        <v/>
      </c>
      <c r="U137" s="1" t="str">
        <f t="array" ref="U137">IFERROR(INDEX('Исходник'!$1:$626,MATCH($A137,'Исходник'!$T:$T,0),MATCH(U$1,'Исходник'!$1:$1,0)))</f>
        <v/>
      </c>
      <c r="V137" s="27" t="str">
        <f t="shared" si="9"/>
        <v/>
      </c>
      <c r="W137" s="1" t="str">
        <f t="array" ref="W137">IFERROR(INDEX('Исходник'!$1:$626,MATCH($A137,'Исходник'!$T:$T,0),MATCH(W$1,'Исходник'!$1:$1,0)))</f>
        <v/>
      </c>
      <c r="X137" s="28">
        <f t="shared" si="10"/>
        <v>0</v>
      </c>
      <c r="Y137" s="1" t="str">
        <f t="array" ref="Y137">IFERROR(INDEX('Исходник'!$1:$626,MATCH($A137,'Исходник'!$T:$T,0),MATCH(Y$1,'Исходник'!$1:$1,0)))</f>
        <v/>
      </c>
      <c r="Z137" s="27">
        <f t="shared" si="11"/>
        <v>0</v>
      </c>
      <c r="AA137" s="27" t="str">
        <f t="shared" si="12"/>
        <v/>
      </c>
      <c r="AB137" s="1" t="str">
        <f t="array" ref="AB137">IFERROR(INDEX('Исходник'!$1:$626,MATCH($A137,'Исходник'!$T:$T,0),MATCH(AB$1,'Исходник'!$1:$1,0)))</f>
        <v/>
      </c>
      <c r="AC137" s="1" t="str">
        <f t="array" ref="AC137">IFERROR(INDEX('Исходник'!$1:$626,MATCH($A137,'Исходник'!$T:$T,0),MATCH(AC$1,'Исходник'!$1:$1,0)))</f>
        <v/>
      </c>
      <c r="AD137" s="27" t="str">
        <f t="shared" si="13"/>
        <v/>
      </c>
      <c r="AE137" s="1" t="str">
        <f t="array" ref="AE137">IFERROR(INDEX('Исходник'!$1:$626,MATCH($A137,'Исходник'!$T:$T,0),MATCH(AE$1,'Исходник'!$1:$1,0)))</f>
        <v/>
      </c>
      <c r="AF137" s="1" t="str">
        <f t="array" ref="AF137">IFERROR(INDEX('Исходник'!$1:$626,MATCH($A137,'Исходник'!$T:$T,0),MATCH(AF$1,'Исходник'!$1:$1,0)))</f>
        <v/>
      </c>
      <c r="AG137" s="27" t="str">
        <f t="shared" si="14"/>
        <v/>
      </c>
      <c r="AH137" s="1" t="str">
        <f t="array" ref="AH137">IFERROR(INDEX('Исходник'!$1:$626,MATCH($A137,'Исходник'!$T:$T,0),MATCH(AH$1,'Исходник'!$1:$1,0)))</f>
        <v/>
      </c>
      <c r="AI137" s="1" t="str">
        <f t="array" ref="AI137">IFERROR(INDEX('Исходник'!$1:$626,MATCH($A137,'Исходник'!$T:$T,0),MATCH(AI$1,'Исходник'!$1:$1,0)))</f>
        <v/>
      </c>
      <c r="AJ137" s="18">
        <f t="shared" si="15"/>
        <v>0</v>
      </c>
    </row>
    <row r="138" ht="15.75" customHeight="1">
      <c r="A138" s="27"/>
      <c r="B138" s="1" t="str">
        <f t="array" ref="B138">IFERROR(INDEX('Исходник'!$1:$626,MATCH($A138,'Исходник'!$T:$T,0),MATCH(B$1,'Исходник'!$1:$1,0)))</f>
        <v/>
      </c>
      <c r="C138" s="1" t="str">
        <f t="array" ref="C138">IFERROR(INDEX('Исходник'!$1:$626,MATCH($A138,'Исходник'!$T:$T,0),MATCH(C$1,'Исходник'!$1:$1,0)))</f>
        <v/>
      </c>
      <c r="D138" s="1" t="str">
        <f t="array" ref="D138">IFERROR(INDEX('Исходник'!$1:$626,MATCH($A138,'Исходник'!$T:$T,0),MATCH(D$1,'Исходник'!$1:$1,0)))</f>
        <v/>
      </c>
      <c r="E138" s="1" t="str">
        <f t="array" ref="E138">IFERROR(INDEX('Исходник'!$1:$626,MATCH($A138,'Исходник'!$T:$T,0),MATCH(E$1,'Исходник'!$1:$1,0)))</f>
        <v/>
      </c>
      <c r="F138" s="1" t="str">
        <f t="array" ref="F138">IFERROR(INDEX('Исходник'!$1:$626,MATCH($A138,'Исходник'!$T:$T,0),MATCH(F$1,'Исходник'!$1:$1,0)))</f>
        <v/>
      </c>
      <c r="G138" s="1" t="str">
        <f t="array" ref="G138">IFERROR(INDEX('Исходник'!$1:$626,MATCH($A138,'Исходник'!$T:$T,0),MATCH(G$1,'Исходник'!$1:$1,0)))</f>
        <v/>
      </c>
      <c r="H138" s="27">
        <f t="shared" si="1"/>
        <v>0</v>
      </c>
      <c r="I138" s="27" t="str">
        <f t="shared" si="2"/>
        <v/>
      </c>
      <c r="J138" s="1" t="str">
        <f t="array" ref="J138">IFERROR(INDEX('Исходник'!$1:$626,MATCH($A138,'Исходник'!$T:$T,0),MATCH(J$1,'Исходник'!$1:$1,0)))</f>
        <v/>
      </c>
      <c r="K138" s="27" t="str">
        <f t="shared" si="3"/>
        <v/>
      </c>
      <c r="L138" s="1" t="str">
        <f t="array" ref="L138">IFERROR(INDEX('Исходник'!$1:$626,MATCH($A138,'Исходник'!$T:$T,0),MATCH(L$1,'Исходник'!$1:$1,0)))</f>
        <v/>
      </c>
      <c r="M138" s="28">
        <f t="shared" si="4"/>
        <v>0</v>
      </c>
      <c r="N138" s="1" t="str">
        <f t="array" ref="N138">IFERROR(INDEX('Исходник'!$1:$626,MATCH($A138,'Исходник'!$T:$T,0),MATCH(N$1,'Исходник'!$1:$1,0)))</f>
        <v/>
      </c>
      <c r="O138" s="27">
        <f t="shared" si="5"/>
        <v>0</v>
      </c>
      <c r="P138" s="27" t="str">
        <f t="shared" si="6"/>
        <v/>
      </c>
      <c r="Q138" s="1" t="str">
        <f t="array" ref="Q138">IFERROR(INDEX('Исходник'!$1:$626,MATCH($A138,'Исходник'!$T:$T,0),MATCH(Q$1,'Исходник'!$1:$1,0)))</f>
        <v/>
      </c>
      <c r="R138" s="1" t="str">
        <f t="array" ref="R138">IFERROR(INDEX('Исходник'!$1:$626,MATCH($A138,'Исходник'!$T:$T,0),MATCH(R$1,'Исходник'!$1:$1,0)))</f>
        <v/>
      </c>
      <c r="S138" s="27">
        <f t="shared" si="7"/>
        <v>0</v>
      </c>
      <c r="T138" s="27" t="str">
        <f t="shared" si="8"/>
        <v/>
      </c>
      <c r="U138" s="1" t="str">
        <f t="array" ref="U138">IFERROR(INDEX('Исходник'!$1:$626,MATCH($A138,'Исходник'!$T:$T,0),MATCH(U$1,'Исходник'!$1:$1,0)))</f>
        <v/>
      </c>
      <c r="V138" s="27" t="str">
        <f t="shared" si="9"/>
        <v/>
      </c>
      <c r="W138" s="1" t="str">
        <f t="array" ref="W138">IFERROR(INDEX('Исходник'!$1:$626,MATCH($A138,'Исходник'!$T:$T,0),MATCH(W$1,'Исходник'!$1:$1,0)))</f>
        <v/>
      </c>
      <c r="X138" s="28">
        <f t="shared" si="10"/>
        <v>0</v>
      </c>
      <c r="Y138" s="1" t="str">
        <f t="array" ref="Y138">IFERROR(INDEX('Исходник'!$1:$626,MATCH($A138,'Исходник'!$T:$T,0),MATCH(Y$1,'Исходник'!$1:$1,0)))</f>
        <v/>
      </c>
      <c r="Z138" s="27">
        <f t="shared" si="11"/>
        <v>0</v>
      </c>
      <c r="AA138" s="27" t="str">
        <f t="shared" si="12"/>
        <v/>
      </c>
      <c r="AB138" s="1" t="str">
        <f t="array" ref="AB138">IFERROR(INDEX('Исходник'!$1:$626,MATCH($A138,'Исходник'!$T:$T,0),MATCH(AB$1,'Исходник'!$1:$1,0)))</f>
        <v/>
      </c>
      <c r="AC138" s="1" t="str">
        <f t="array" ref="AC138">IFERROR(INDEX('Исходник'!$1:$626,MATCH($A138,'Исходник'!$T:$T,0),MATCH(AC$1,'Исходник'!$1:$1,0)))</f>
        <v/>
      </c>
      <c r="AD138" s="27" t="str">
        <f t="shared" si="13"/>
        <v/>
      </c>
      <c r="AE138" s="1" t="str">
        <f t="array" ref="AE138">IFERROR(INDEX('Исходник'!$1:$626,MATCH($A138,'Исходник'!$T:$T,0),MATCH(AE$1,'Исходник'!$1:$1,0)))</f>
        <v/>
      </c>
      <c r="AF138" s="1" t="str">
        <f t="array" ref="AF138">IFERROR(INDEX('Исходник'!$1:$626,MATCH($A138,'Исходник'!$T:$T,0),MATCH(AF$1,'Исходник'!$1:$1,0)))</f>
        <v/>
      </c>
      <c r="AG138" s="27" t="str">
        <f t="shared" si="14"/>
        <v/>
      </c>
      <c r="AH138" s="1" t="str">
        <f t="array" ref="AH138">IFERROR(INDEX('Исходник'!$1:$626,MATCH($A138,'Исходник'!$T:$T,0),MATCH(AH$1,'Исходник'!$1:$1,0)))</f>
        <v/>
      </c>
      <c r="AI138" s="1" t="str">
        <f t="array" ref="AI138">IFERROR(INDEX('Исходник'!$1:$626,MATCH($A138,'Исходник'!$T:$T,0),MATCH(AI$1,'Исходник'!$1:$1,0)))</f>
        <v/>
      </c>
      <c r="AJ138" s="18">
        <f t="shared" si="15"/>
        <v>0</v>
      </c>
    </row>
    <row r="139" ht="15.75" customHeight="1">
      <c r="A139" s="27"/>
      <c r="B139" s="1" t="str">
        <f t="array" ref="B139">IFERROR(INDEX('Исходник'!$1:$626,MATCH($A139,'Исходник'!$T:$T,0),MATCH(B$1,'Исходник'!$1:$1,0)))</f>
        <v/>
      </c>
      <c r="C139" s="1" t="str">
        <f t="array" ref="C139">IFERROR(INDEX('Исходник'!$1:$626,MATCH($A139,'Исходник'!$T:$T,0),MATCH(C$1,'Исходник'!$1:$1,0)))</f>
        <v/>
      </c>
      <c r="D139" s="1" t="str">
        <f t="array" ref="D139">IFERROR(INDEX('Исходник'!$1:$626,MATCH($A139,'Исходник'!$T:$T,0),MATCH(D$1,'Исходник'!$1:$1,0)))</f>
        <v/>
      </c>
      <c r="E139" s="1" t="str">
        <f t="array" ref="E139">IFERROR(INDEX('Исходник'!$1:$626,MATCH($A139,'Исходник'!$T:$T,0),MATCH(E$1,'Исходник'!$1:$1,0)))</f>
        <v/>
      </c>
      <c r="F139" s="1" t="str">
        <f t="array" ref="F139">IFERROR(INDEX('Исходник'!$1:$626,MATCH($A139,'Исходник'!$T:$T,0),MATCH(F$1,'Исходник'!$1:$1,0)))</f>
        <v/>
      </c>
      <c r="G139" s="1" t="str">
        <f t="array" ref="G139">IFERROR(INDEX('Исходник'!$1:$626,MATCH($A139,'Исходник'!$T:$T,0),MATCH(G$1,'Исходник'!$1:$1,0)))</f>
        <v/>
      </c>
      <c r="H139" s="27">
        <f t="shared" si="1"/>
        <v>0</v>
      </c>
      <c r="I139" s="27" t="str">
        <f t="shared" si="2"/>
        <v/>
      </c>
      <c r="J139" s="1" t="str">
        <f t="array" ref="J139">IFERROR(INDEX('Исходник'!$1:$626,MATCH($A139,'Исходник'!$T:$T,0),MATCH(J$1,'Исходник'!$1:$1,0)))</f>
        <v/>
      </c>
      <c r="K139" s="27" t="str">
        <f t="shared" si="3"/>
        <v/>
      </c>
      <c r="L139" s="1" t="str">
        <f t="array" ref="L139">IFERROR(INDEX('Исходник'!$1:$626,MATCH($A139,'Исходник'!$T:$T,0),MATCH(L$1,'Исходник'!$1:$1,0)))</f>
        <v/>
      </c>
      <c r="M139" s="28">
        <f t="shared" si="4"/>
        <v>0</v>
      </c>
      <c r="N139" s="1" t="str">
        <f t="array" ref="N139">IFERROR(INDEX('Исходник'!$1:$626,MATCH($A139,'Исходник'!$T:$T,0),MATCH(N$1,'Исходник'!$1:$1,0)))</f>
        <v/>
      </c>
      <c r="O139" s="27">
        <f t="shared" si="5"/>
        <v>0</v>
      </c>
      <c r="P139" s="27" t="str">
        <f t="shared" si="6"/>
        <v/>
      </c>
      <c r="Q139" s="1" t="str">
        <f t="array" ref="Q139">IFERROR(INDEX('Исходник'!$1:$626,MATCH($A139,'Исходник'!$T:$T,0),MATCH(Q$1,'Исходник'!$1:$1,0)))</f>
        <v/>
      </c>
      <c r="R139" s="1" t="str">
        <f t="array" ref="R139">IFERROR(INDEX('Исходник'!$1:$626,MATCH($A139,'Исходник'!$T:$T,0),MATCH(R$1,'Исходник'!$1:$1,0)))</f>
        <v/>
      </c>
      <c r="S139" s="27">
        <f t="shared" si="7"/>
        <v>0</v>
      </c>
      <c r="T139" s="27" t="str">
        <f t="shared" si="8"/>
        <v/>
      </c>
      <c r="U139" s="1" t="str">
        <f t="array" ref="U139">IFERROR(INDEX('Исходник'!$1:$626,MATCH($A139,'Исходник'!$T:$T,0),MATCH(U$1,'Исходник'!$1:$1,0)))</f>
        <v/>
      </c>
      <c r="V139" s="27" t="str">
        <f t="shared" si="9"/>
        <v/>
      </c>
      <c r="W139" s="1" t="str">
        <f t="array" ref="W139">IFERROR(INDEX('Исходник'!$1:$626,MATCH($A139,'Исходник'!$T:$T,0),MATCH(W$1,'Исходник'!$1:$1,0)))</f>
        <v/>
      </c>
      <c r="X139" s="28">
        <f t="shared" si="10"/>
        <v>0</v>
      </c>
      <c r="Y139" s="1" t="str">
        <f t="array" ref="Y139">IFERROR(INDEX('Исходник'!$1:$626,MATCH($A139,'Исходник'!$T:$T,0),MATCH(Y$1,'Исходник'!$1:$1,0)))</f>
        <v/>
      </c>
      <c r="Z139" s="27">
        <f t="shared" si="11"/>
        <v>0</v>
      </c>
      <c r="AA139" s="27" t="str">
        <f t="shared" si="12"/>
        <v/>
      </c>
      <c r="AB139" s="1" t="str">
        <f t="array" ref="AB139">IFERROR(INDEX('Исходник'!$1:$626,MATCH($A139,'Исходник'!$T:$T,0),MATCH(AB$1,'Исходник'!$1:$1,0)))</f>
        <v/>
      </c>
      <c r="AC139" s="1" t="str">
        <f t="array" ref="AC139">IFERROR(INDEX('Исходник'!$1:$626,MATCH($A139,'Исходник'!$T:$T,0),MATCH(AC$1,'Исходник'!$1:$1,0)))</f>
        <v/>
      </c>
      <c r="AD139" s="27" t="str">
        <f t="shared" si="13"/>
        <v/>
      </c>
      <c r="AE139" s="1" t="str">
        <f t="array" ref="AE139">IFERROR(INDEX('Исходник'!$1:$626,MATCH($A139,'Исходник'!$T:$T,0),MATCH(AE$1,'Исходник'!$1:$1,0)))</f>
        <v/>
      </c>
      <c r="AF139" s="1" t="str">
        <f t="array" ref="AF139">IFERROR(INDEX('Исходник'!$1:$626,MATCH($A139,'Исходник'!$T:$T,0),MATCH(AF$1,'Исходник'!$1:$1,0)))</f>
        <v/>
      </c>
      <c r="AG139" s="27" t="str">
        <f t="shared" si="14"/>
        <v/>
      </c>
      <c r="AH139" s="1" t="str">
        <f t="array" ref="AH139">IFERROR(INDEX('Исходник'!$1:$626,MATCH($A139,'Исходник'!$T:$T,0),MATCH(AH$1,'Исходник'!$1:$1,0)))</f>
        <v/>
      </c>
      <c r="AI139" s="1" t="str">
        <f t="array" ref="AI139">IFERROR(INDEX('Исходник'!$1:$626,MATCH($A139,'Исходник'!$T:$T,0),MATCH(AI$1,'Исходник'!$1:$1,0)))</f>
        <v/>
      </c>
      <c r="AJ139" s="18">
        <f t="shared" si="15"/>
        <v>0</v>
      </c>
    </row>
    <row r="140" ht="15.75" customHeight="1">
      <c r="A140" s="27"/>
      <c r="B140" s="1" t="str">
        <f t="array" ref="B140">IFERROR(INDEX('Исходник'!$1:$626,MATCH($A140,'Исходник'!$T:$T,0),MATCH(B$1,'Исходник'!$1:$1,0)))</f>
        <v/>
      </c>
      <c r="C140" s="1" t="str">
        <f t="array" ref="C140">IFERROR(INDEX('Исходник'!$1:$626,MATCH($A140,'Исходник'!$T:$T,0),MATCH(C$1,'Исходник'!$1:$1,0)))</f>
        <v/>
      </c>
      <c r="D140" s="1" t="str">
        <f t="array" ref="D140">IFERROR(INDEX('Исходник'!$1:$626,MATCH($A140,'Исходник'!$T:$T,0),MATCH(D$1,'Исходник'!$1:$1,0)))</f>
        <v/>
      </c>
      <c r="E140" s="1" t="str">
        <f t="array" ref="E140">IFERROR(INDEX('Исходник'!$1:$626,MATCH($A140,'Исходник'!$T:$T,0),MATCH(E$1,'Исходник'!$1:$1,0)))</f>
        <v/>
      </c>
      <c r="F140" s="1" t="str">
        <f t="array" ref="F140">IFERROR(INDEX('Исходник'!$1:$626,MATCH($A140,'Исходник'!$T:$T,0),MATCH(F$1,'Исходник'!$1:$1,0)))</f>
        <v/>
      </c>
      <c r="G140" s="1" t="str">
        <f t="array" ref="G140">IFERROR(INDEX('Исходник'!$1:$626,MATCH($A140,'Исходник'!$T:$T,0),MATCH(G$1,'Исходник'!$1:$1,0)))</f>
        <v/>
      </c>
      <c r="H140" s="27">
        <f t="shared" si="1"/>
        <v>0</v>
      </c>
      <c r="I140" s="27" t="str">
        <f t="shared" si="2"/>
        <v/>
      </c>
      <c r="J140" s="1" t="str">
        <f t="array" ref="J140">IFERROR(INDEX('Исходник'!$1:$626,MATCH($A140,'Исходник'!$T:$T,0),MATCH(J$1,'Исходник'!$1:$1,0)))</f>
        <v/>
      </c>
      <c r="K140" s="27" t="str">
        <f t="shared" si="3"/>
        <v/>
      </c>
      <c r="L140" s="1" t="str">
        <f t="array" ref="L140">IFERROR(INDEX('Исходник'!$1:$626,MATCH($A140,'Исходник'!$T:$T,0),MATCH(L$1,'Исходник'!$1:$1,0)))</f>
        <v/>
      </c>
      <c r="M140" s="28">
        <f t="shared" si="4"/>
        <v>0</v>
      </c>
      <c r="N140" s="1" t="str">
        <f t="array" ref="N140">IFERROR(INDEX('Исходник'!$1:$626,MATCH($A140,'Исходник'!$T:$T,0),MATCH(N$1,'Исходник'!$1:$1,0)))</f>
        <v/>
      </c>
      <c r="O140" s="27">
        <f t="shared" si="5"/>
        <v>0</v>
      </c>
      <c r="P140" s="27" t="str">
        <f t="shared" si="6"/>
        <v/>
      </c>
      <c r="Q140" s="1" t="str">
        <f t="array" ref="Q140">IFERROR(INDEX('Исходник'!$1:$626,MATCH($A140,'Исходник'!$T:$T,0),MATCH(Q$1,'Исходник'!$1:$1,0)))</f>
        <v/>
      </c>
      <c r="R140" s="1" t="str">
        <f t="array" ref="R140">IFERROR(INDEX('Исходник'!$1:$626,MATCH($A140,'Исходник'!$T:$T,0),MATCH(R$1,'Исходник'!$1:$1,0)))</f>
        <v/>
      </c>
      <c r="S140" s="27">
        <f t="shared" si="7"/>
        <v>0</v>
      </c>
      <c r="T140" s="27" t="str">
        <f t="shared" si="8"/>
        <v/>
      </c>
      <c r="U140" s="1" t="str">
        <f t="array" ref="U140">IFERROR(INDEX('Исходник'!$1:$626,MATCH($A140,'Исходник'!$T:$T,0),MATCH(U$1,'Исходник'!$1:$1,0)))</f>
        <v/>
      </c>
      <c r="V140" s="27" t="str">
        <f t="shared" si="9"/>
        <v/>
      </c>
      <c r="W140" s="1" t="str">
        <f t="array" ref="W140">IFERROR(INDEX('Исходник'!$1:$626,MATCH($A140,'Исходник'!$T:$T,0),MATCH(W$1,'Исходник'!$1:$1,0)))</f>
        <v/>
      </c>
      <c r="X140" s="28">
        <f t="shared" si="10"/>
        <v>0</v>
      </c>
      <c r="Y140" s="1" t="str">
        <f t="array" ref="Y140">IFERROR(INDEX('Исходник'!$1:$626,MATCH($A140,'Исходник'!$T:$T,0),MATCH(Y$1,'Исходник'!$1:$1,0)))</f>
        <v/>
      </c>
      <c r="Z140" s="27">
        <f t="shared" si="11"/>
        <v>0</v>
      </c>
      <c r="AA140" s="27" t="str">
        <f t="shared" si="12"/>
        <v/>
      </c>
      <c r="AB140" s="1" t="str">
        <f t="array" ref="AB140">IFERROR(INDEX('Исходник'!$1:$626,MATCH($A140,'Исходник'!$T:$T,0),MATCH(AB$1,'Исходник'!$1:$1,0)))</f>
        <v/>
      </c>
      <c r="AC140" s="1" t="str">
        <f t="array" ref="AC140">IFERROR(INDEX('Исходник'!$1:$626,MATCH($A140,'Исходник'!$T:$T,0),MATCH(AC$1,'Исходник'!$1:$1,0)))</f>
        <v/>
      </c>
      <c r="AD140" s="27" t="str">
        <f t="shared" si="13"/>
        <v/>
      </c>
      <c r="AE140" s="1" t="str">
        <f t="array" ref="AE140">IFERROR(INDEX('Исходник'!$1:$626,MATCH($A140,'Исходник'!$T:$T,0),MATCH(AE$1,'Исходник'!$1:$1,0)))</f>
        <v/>
      </c>
      <c r="AF140" s="1" t="str">
        <f t="array" ref="AF140">IFERROR(INDEX('Исходник'!$1:$626,MATCH($A140,'Исходник'!$T:$T,0),MATCH(AF$1,'Исходник'!$1:$1,0)))</f>
        <v/>
      </c>
      <c r="AG140" s="27" t="str">
        <f t="shared" si="14"/>
        <v/>
      </c>
      <c r="AH140" s="1" t="str">
        <f t="array" ref="AH140">IFERROR(INDEX('Исходник'!$1:$626,MATCH($A140,'Исходник'!$T:$T,0),MATCH(AH$1,'Исходник'!$1:$1,0)))</f>
        <v/>
      </c>
      <c r="AI140" s="1" t="str">
        <f t="array" ref="AI140">IFERROR(INDEX('Исходник'!$1:$626,MATCH($A140,'Исходник'!$T:$T,0),MATCH(AI$1,'Исходник'!$1:$1,0)))</f>
        <v/>
      </c>
      <c r="AJ140" s="18">
        <f t="shared" si="15"/>
        <v>0</v>
      </c>
    </row>
    <row r="141" ht="15.75" customHeight="1">
      <c r="A141" s="27"/>
      <c r="B141" s="1" t="str">
        <f t="array" ref="B141">IFERROR(INDEX('Исходник'!$1:$626,MATCH($A141,'Исходник'!$T:$T,0),MATCH(B$1,'Исходник'!$1:$1,0)))</f>
        <v/>
      </c>
      <c r="C141" s="1" t="str">
        <f t="array" ref="C141">IFERROR(INDEX('Исходник'!$1:$626,MATCH($A141,'Исходник'!$T:$T,0),MATCH(C$1,'Исходник'!$1:$1,0)))</f>
        <v/>
      </c>
      <c r="D141" s="1" t="str">
        <f t="array" ref="D141">IFERROR(INDEX('Исходник'!$1:$626,MATCH($A141,'Исходник'!$T:$T,0),MATCH(D$1,'Исходник'!$1:$1,0)))</f>
        <v/>
      </c>
      <c r="E141" s="1" t="str">
        <f t="array" ref="E141">IFERROR(INDEX('Исходник'!$1:$626,MATCH($A141,'Исходник'!$T:$T,0),MATCH(E$1,'Исходник'!$1:$1,0)))</f>
        <v/>
      </c>
      <c r="F141" s="1" t="str">
        <f t="array" ref="F141">IFERROR(INDEX('Исходник'!$1:$626,MATCH($A141,'Исходник'!$T:$T,0),MATCH(F$1,'Исходник'!$1:$1,0)))</f>
        <v/>
      </c>
      <c r="G141" s="1" t="str">
        <f t="array" ref="G141">IFERROR(INDEX('Исходник'!$1:$626,MATCH($A141,'Исходник'!$T:$T,0),MATCH(G$1,'Исходник'!$1:$1,0)))</f>
        <v/>
      </c>
      <c r="H141" s="27">
        <f t="shared" si="1"/>
        <v>0</v>
      </c>
      <c r="I141" s="27" t="str">
        <f t="shared" si="2"/>
        <v/>
      </c>
      <c r="J141" s="1" t="str">
        <f t="array" ref="J141">IFERROR(INDEX('Исходник'!$1:$626,MATCH($A141,'Исходник'!$T:$T,0),MATCH(J$1,'Исходник'!$1:$1,0)))</f>
        <v/>
      </c>
      <c r="K141" s="27" t="str">
        <f t="shared" si="3"/>
        <v/>
      </c>
      <c r="L141" s="1" t="str">
        <f t="array" ref="L141">IFERROR(INDEX('Исходник'!$1:$626,MATCH($A141,'Исходник'!$T:$T,0),MATCH(L$1,'Исходник'!$1:$1,0)))</f>
        <v/>
      </c>
      <c r="M141" s="28">
        <f t="shared" si="4"/>
        <v>0</v>
      </c>
      <c r="N141" s="1" t="str">
        <f t="array" ref="N141">IFERROR(INDEX('Исходник'!$1:$626,MATCH($A141,'Исходник'!$T:$T,0),MATCH(N$1,'Исходник'!$1:$1,0)))</f>
        <v/>
      </c>
      <c r="O141" s="27">
        <f t="shared" si="5"/>
        <v>0</v>
      </c>
      <c r="P141" s="27" t="str">
        <f t="shared" si="6"/>
        <v/>
      </c>
      <c r="Q141" s="1" t="str">
        <f t="array" ref="Q141">IFERROR(INDEX('Исходник'!$1:$626,MATCH($A141,'Исходник'!$T:$T,0),MATCH(Q$1,'Исходник'!$1:$1,0)))</f>
        <v/>
      </c>
      <c r="R141" s="1" t="str">
        <f t="array" ref="R141">IFERROR(INDEX('Исходник'!$1:$626,MATCH($A141,'Исходник'!$T:$T,0),MATCH(R$1,'Исходник'!$1:$1,0)))</f>
        <v/>
      </c>
      <c r="S141" s="27">
        <f t="shared" si="7"/>
        <v>0</v>
      </c>
      <c r="T141" s="27" t="str">
        <f t="shared" si="8"/>
        <v/>
      </c>
      <c r="U141" s="1" t="str">
        <f t="array" ref="U141">IFERROR(INDEX('Исходник'!$1:$626,MATCH($A141,'Исходник'!$T:$T,0),MATCH(U$1,'Исходник'!$1:$1,0)))</f>
        <v/>
      </c>
      <c r="V141" s="27" t="str">
        <f t="shared" si="9"/>
        <v/>
      </c>
      <c r="W141" s="1" t="str">
        <f t="array" ref="W141">IFERROR(INDEX('Исходник'!$1:$626,MATCH($A141,'Исходник'!$T:$T,0),MATCH(W$1,'Исходник'!$1:$1,0)))</f>
        <v/>
      </c>
      <c r="X141" s="28">
        <f t="shared" si="10"/>
        <v>0</v>
      </c>
      <c r="Y141" s="1" t="str">
        <f t="array" ref="Y141">IFERROR(INDEX('Исходник'!$1:$626,MATCH($A141,'Исходник'!$T:$T,0),MATCH(Y$1,'Исходник'!$1:$1,0)))</f>
        <v/>
      </c>
      <c r="Z141" s="27">
        <f t="shared" si="11"/>
        <v>0</v>
      </c>
      <c r="AA141" s="27" t="str">
        <f t="shared" si="12"/>
        <v/>
      </c>
      <c r="AB141" s="1" t="str">
        <f t="array" ref="AB141">IFERROR(INDEX('Исходник'!$1:$626,MATCH($A141,'Исходник'!$T:$T,0),MATCH(AB$1,'Исходник'!$1:$1,0)))</f>
        <v/>
      </c>
      <c r="AC141" s="1" t="str">
        <f t="array" ref="AC141">IFERROR(INDEX('Исходник'!$1:$626,MATCH($A141,'Исходник'!$T:$T,0),MATCH(AC$1,'Исходник'!$1:$1,0)))</f>
        <v/>
      </c>
      <c r="AD141" s="27" t="str">
        <f t="shared" si="13"/>
        <v/>
      </c>
      <c r="AE141" s="1" t="str">
        <f t="array" ref="AE141">IFERROR(INDEX('Исходник'!$1:$626,MATCH($A141,'Исходник'!$T:$T,0),MATCH(AE$1,'Исходник'!$1:$1,0)))</f>
        <v/>
      </c>
      <c r="AF141" s="1" t="str">
        <f t="array" ref="AF141">IFERROR(INDEX('Исходник'!$1:$626,MATCH($A141,'Исходник'!$T:$T,0),MATCH(AF$1,'Исходник'!$1:$1,0)))</f>
        <v/>
      </c>
      <c r="AG141" s="27" t="str">
        <f t="shared" si="14"/>
        <v/>
      </c>
      <c r="AH141" s="1" t="str">
        <f t="array" ref="AH141">IFERROR(INDEX('Исходник'!$1:$626,MATCH($A141,'Исходник'!$T:$T,0),MATCH(AH$1,'Исходник'!$1:$1,0)))</f>
        <v/>
      </c>
      <c r="AI141" s="1" t="str">
        <f t="array" ref="AI141">IFERROR(INDEX('Исходник'!$1:$626,MATCH($A141,'Исходник'!$T:$T,0),MATCH(AI$1,'Исходник'!$1:$1,0)))</f>
        <v/>
      </c>
      <c r="AJ141" s="18">
        <f t="shared" si="15"/>
        <v>0</v>
      </c>
    </row>
    <row r="142" ht="15.75" customHeight="1">
      <c r="A142" s="27"/>
      <c r="B142" s="1" t="str">
        <f t="array" ref="B142">IFERROR(INDEX('Исходник'!$1:$626,MATCH($A142,'Исходник'!$T:$T,0),MATCH(B$1,'Исходник'!$1:$1,0)))</f>
        <v/>
      </c>
      <c r="C142" s="1" t="str">
        <f t="array" ref="C142">IFERROR(INDEX('Исходник'!$1:$626,MATCH($A142,'Исходник'!$T:$T,0),MATCH(C$1,'Исходник'!$1:$1,0)))</f>
        <v/>
      </c>
      <c r="D142" s="1" t="str">
        <f t="array" ref="D142">IFERROR(INDEX('Исходник'!$1:$626,MATCH($A142,'Исходник'!$T:$T,0),MATCH(D$1,'Исходник'!$1:$1,0)))</f>
        <v/>
      </c>
      <c r="E142" s="1" t="str">
        <f t="array" ref="E142">IFERROR(INDEX('Исходник'!$1:$626,MATCH($A142,'Исходник'!$T:$T,0),MATCH(E$1,'Исходник'!$1:$1,0)))</f>
        <v/>
      </c>
      <c r="F142" s="1" t="str">
        <f t="array" ref="F142">IFERROR(INDEX('Исходник'!$1:$626,MATCH($A142,'Исходник'!$T:$T,0),MATCH(F$1,'Исходник'!$1:$1,0)))</f>
        <v/>
      </c>
      <c r="G142" s="1" t="str">
        <f t="array" ref="G142">IFERROR(INDEX('Исходник'!$1:$626,MATCH($A142,'Исходник'!$T:$T,0),MATCH(G$1,'Исходник'!$1:$1,0)))</f>
        <v/>
      </c>
      <c r="H142" s="27">
        <f t="shared" si="1"/>
        <v>0</v>
      </c>
      <c r="I142" s="27" t="str">
        <f t="shared" si="2"/>
        <v/>
      </c>
      <c r="J142" s="1" t="str">
        <f t="array" ref="J142">IFERROR(INDEX('Исходник'!$1:$626,MATCH($A142,'Исходник'!$T:$T,0),MATCH(J$1,'Исходник'!$1:$1,0)))</f>
        <v/>
      </c>
      <c r="K142" s="27" t="str">
        <f t="shared" si="3"/>
        <v/>
      </c>
      <c r="L142" s="1" t="str">
        <f t="array" ref="L142">IFERROR(INDEX('Исходник'!$1:$626,MATCH($A142,'Исходник'!$T:$T,0),MATCH(L$1,'Исходник'!$1:$1,0)))</f>
        <v/>
      </c>
      <c r="M142" s="28">
        <f t="shared" si="4"/>
        <v>0</v>
      </c>
      <c r="N142" s="1" t="str">
        <f t="array" ref="N142">IFERROR(INDEX('Исходник'!$1:$626,MATCH($A142,'Исходник'!$T:$T,0),MATCH(N$1,'Исходник'!$1:$1,0)))</f>
        <v/>
      </c>
      <c r="O142" s="27">
        <f t="shared" si="5"/>
        <v>0</v>
      </c>
      <c r="P142" s="27" t="str">
        <f t="shared" si="6"/>
        <v/>
      </c>
      <c r="Q142" s="1" t="str">
        <f t="array" ref="Q142">IFERROR(INDEX('Исходник'!$1:$626,MATCH($A142,'Исходник'!$T:$T,0),MATCH(Q$1,'Исходник'!$1:$1,0)))</f>
        <v/>
      </c>
      <c r="R142" s="1" t="str">
        <f t="array" ref="R142">IFERROR(INDEX('Исходник'!$1:$626,MATCH($A142,'Исходник'!$T:$T,0),MATCH(R$1,'Исходник'!$1:$1,0)))</f>
        <v/>
      </c>
      <c r="S142" s="27">
        <f t="shared" si="7"/>
        <v>0</v>
      </c>
      <c r="T142" s="27" t="str">
        <f t="shared" si="8"/>
        <v/>
      </c>
      <c r="U142" s="1" t="str">
        <f t="array" ref="U142">IFERROR(INDEX('Исходник'!$1:$626,MATCH($A142,'Исходник'!$T:$T,0),MATCH(U$1,'Исходник'!$1:$1,0)))</f>
        <v/>
      </c>
      <c r="V142" s="27" t="str">
        <f t="shared" si="9"/>
        <v/>
      </c>
      <c r="W142" s="1" t="str">
        <f t="array" ref="W142">IFERROR(INDEX('Исходник'!$1:$626,MATCH($A142,'Исходник'!$T:$T,0),MATCH(W$1,'Исходник'!$1:$1,0)))</f>
        <v/>
      </c>
      <c r="X142" s="28">
        <f t="shared" si="10"/>
        <v>0</v>
      </c>
      <c r="Y142" s="1" t="str">
        <f t="array" ref="Y142">IFERROR(INDEX('Исходник'!$1:$626,MATCH($A142,'Исходник'!$T:$T,0),MATCH(Y$1,'Исходник'!$1:$1,0)))</f>
        <v/>
      </c>
      <c r="Z142" s="27">
        <f t="shared" si="11"/>
        <v>0</v>
      </c>
      <c r="AA142" s="27" t="str">
        <f t="shared" si="12"/>
        <v/>
      </c>
      <c r="AB142" s="1" t="str">
        <f t="array" ref="AB142">IFERROR(INDEX('Исходник'!$1:$626,MATCH($A142,'Исходник'!$T:$T,0),MATCH(AB$1,'Исходник'!$1:$1,0)))</f>
        <v/>
      </c>
      <c r="AC142" s="1" t="str">
        <f t="array" ref="AC142">IFERROR(INDEX('Исходник'!$1:$626,MATCH($A142,'Исходник'!$T:$T,0),MATCH(AC$1,'Исходник'!$1:$1,0)))</f>
        <v/>
      </c>
      <c r="AD142" s="27" t="str">
        <f t="shared" si="13"/>
        <v/>
      </c>
      <c r="AE142" s="1" t="str">
        <f t="array" ref="AE142">IFERROR(INDEX('Исходник'!$1:$626,MATCH($A142,'Исходник'!$T:$T,0),MATCH(AE$1,'Исходник'!$1:$1,0)))</f>
        <v/>
      </c>
      <c r="AF142" s="1" t="str">
        <f t="array" ref="AF142">IFERROR(INDEX('Исходник'!$1:$626,MATCH($A142,'Исходник'!$T:$T,0),MATCH(AF$1,'Исходник'!$1:$1,0)))</f>
        <v/>
      </c>
      <c r="AG142" s="27" t="str">
        <f t="shared" si="14"/>
        <v/>
      </c>
      <c r="AH142" s="1" t="str">
        <f t="array" ref="AH142">IFERROR(INDEX('Исходник'!$1:$626,MATCH($A142,'Исходник'!$T:$T,0),MATCH(AH$1,'Исходник'!$1:$1,0)))</f>
        <v/>
      </c>
      <c r="AI142" s="1" t="str">
        <f t="array" ref="AI142">IFERROR(INDEX('Исходник'!$1:$626,MATCH($A142,'Исходник'!$T:$T,0),MATCH(AI$1,'Исходник'!$1:$1,0)))</f>
        <v/>
      </c>
      <c r="AJ142" s="18">
        <f t="shared" si="15"/>
        <v>0</v>
      </c>
    </row>
    <row r="143" ht="15.75" customHeight="1">
      <c r="A143" s="27"/>
      <c r="B143" s="1" t="str">
        <f t="array" ref="B143">IFERROR(INDEX('Исходник'!$1:$626,MATCH($A143,'Исходник'!$T:$T,0),MATCH(B$1,'Исходник'!$1:$1,0)))</f>
        <v/>
      </c>
      <c r="C143" s="1" t="str">
        <f t="array" ref="C143">IFERROR(INDEX('Исходник'!$1:$626,MATCH($A143,'Исходник'!$T:$T,0),MATCH(C$1,'Исходник'!$1:$1,0)))</f>
        <v/>
      </c>
      <c r="D143" s="1" t="str">
        <f t="array" ref="D143">IFERROR(INDEX('Исходник'!$1:$626,MATCH($A143,'Исходник'!$T:$T,0),MATCH(D$1,'Исходник'!$1:$1,0)))</f>
        <v/>
      </c>
      <c r="E143" s="1" t="str">
        <f t="array" ref="E143">IFERROR(INDEX('Исходник'!$1:$626,MATCH($A143,'Исходник'!$T:$T,0),MATCH(E$1,'Исходник'!$1:$1,0)))</f>
        <v/>
      </c>
      <c r="F143" s="1" t="str">
        <f t="array" ref="F143">IFERROR(INDEX('Исходник'!$1:$626,MATCH($A143,'Исходник'!$T:$T,0),MATCH(F$1,'Исходник'!$1:$1,0)))</f>
        <v/>
      </c>
      <c r="G143" s="1" t="str">
        <f t="array" ref="G143">IFERROR(INDEX('Исходник'!$1:$626,MATCH($A143,'Исходник'!$T:$T,0),MATCH(G$1,'Исходник'!$1:$1,0)))</f>
        <v/>
      </c>
      <c r="H143" s="27">
        <f t="shared" si="1"/>
        <v>0</v>
      </c>
      <c r="I143" s="27" t="str">
        <f t="shared" si="2"/>
        <v/>
      </c>
      <c r="J143" s="1" t="str">
        <f t="array" ref="J143">IFERROR(INDEX('Исходник'!$1:$626,MATCH($A143,'Исходник'!$T:$T,0),MATCH(J$1,'Исходник'!$1:$1,0)))</f>
        <v/>
      </c>
      <c r="K143" s="27" t="str">
        <f t="shared" si="3"/>
        <v/>
      </c>
      <c r="L143" s="1" t="str">
        <f t="array" ref="L143">IFERROR(INDEX('Исходник'!$1:$626,MATCH($A143,'Исходник'!$T:$T,0),MATCH(L$1,'Исходник'!$1:$1,0)))</f>
        <v/>
      </c>
      <c r="M143" s="28">
        <f t="shared" si="4"/>
        <v>0</v>
      </c>
      <c r="N143" s="1" t="str">
        <f t="array" ref="N143">IFERROR(INDEX('Исходник'!$1:$626,MATCH($A143,'Исходник'!$T:$T,0),MATCH(N$1,'Исходник'!$1:$1,0)))</f>
        <v/>
      </c>
      <c r="O143" s="27">
        <f t="shared" si="5"/>
        <v>0</v>
      </c>
      <c r="P143" s="27" t="str">
        <f t="shared" si="6"/>
        <v/>
      </c>
      <c r="Q143" s="1" t="str">
        <f t="array" ref="Q143">IFERROR(INDEX('Исходник'!$1:$626,MATCH($A143,'Исходник'!$T:$T,0),MATCH(Q$1,'Исходник'!$1:$1,0)))</f>
        <v/>
      </c>
      <c r="R143" s="1" t="str">
        <f t="array" ref="R143">IFERROR(INDEX('Исходник'!$1:$626,MATCH($A143,'Исходник'!$T:$T,0),MATCH(R$1,'Исходник'!$1:$1,0)))</f>
        <v/>
      </c>
      <c r="S143" s="27">
        <f t="shared" si="7"/>
        <v>0</v>
      </c>
      <c r="T143" s="27" t="str">
        <f t="shared" si="8"/>
        <v/>
      </c>
      <c r="U143" s="1" t="str">
        <f t="array" ref="U143">IFERROR(INDEX('Исходник'!$1:$626,MATCH($A143,'Исходник'!$T:$T,0),MATCH(U$1,'Исходник'!$1:$1,0)))</f>
        <v/>
      </c>
      <c r="V143" s="27" t="str">
        <f t="shared" si="9"/>
        <v/>
      </c>
      <c r="W143" s="1" t="str">
        <f t="array" ref="W143">IFERROR(INDEX('Исходник'!$1:$626,MATCH($A143,'Исходник'!$T:$T,0),MATCH(W$1,'Исходник'!$1:$1,0)))</f>
        <v/>
      </c>
      <c r="X143" s="28">
        <f t="shared" si="10"/>
        <v>0</v>
      </c>
      <c r="Y143" s="1" t="str">
        <f t="array" ref="Y143">IFERROR(INDEX('Исходник'!$1:$626,MATCH($A143,'Исходник'!$T:$T,0),MATCH(Y$1,'Исходник'!$1:$1,0)))</f>
        <v/>
      </c>
      <c r="Z143" s="27">
        <f t="shared" si="11"/>
        <v>0</v>
      </c>
      <c r="AA143" s="27" t="str">
        <f t="shared" si="12"/>
        <v/>
      </c>
      <c r="AB143" s="1" t="str">
        <f t="array" ref="AB143">IFERROR(INDEX('Исходник'!$1:$626,MATCH($A143,'Исходник'!$T:$T,0),MATCH(AB$1,'Исходник'!$1:$1,0)))</f>
        <v/>
      </c>
      <c r="AC143" s="1" t="str">
        <f t="array" ref="AC143">IFERROR(INDEX('Исходник'!$1:$626,MATCH($A143,'Исходник'!$T:$T,0),MATCH(AC$1,'Исходник'!$1:$1,0)))</f>
        <v/>
      </c>
      <c r="AD143" s="27" t="str">
        <f t="shared" si="13"/>
        <v/>
      </c>
      <c r="AE143" s="1" t="str">
        <f t="array" ref="AE143">IFERROR(INDEX('Исходник'!$1:$626,MATCH($A143,'Исходник'!$T:$T,0),MATCH(AE$1,'Исходник'!$1:$1,0)))</f>
        <v/>
      </c>
      <c r="AF143" s="1" t="str">
        <f t="array" ref="AF143">IFERROR(INDEX('Исходник'!$1:$626,MATCH($A143,'Исходник'!$T:$T,0),MATCH(AF$1,'Исходник'!$1:$1,0)))</f>
        <v/>
      </c>
      <c r="AG143" s="27" t="str">
        <f t="shared" si="14"/>
        <v/>
      </c>
      <c r="AH143" s="1" t="str">
        <f t="array" ref="AH143">IFERROR(INDEX('Исходник'!$1:$626,MATCH($A143,'Исходник'!$T:$T,0),MATCH(AH$1,'Исходник'!$1:$1,0)))</f>
        <v/>
      </c>
      <c r="AI143" s="1" t="str">
        <f t="array" ref="AI143">IFERROR(INDEX('Исходник'!$1:$626,MATCH($A143,'Исходник'!$T:$T,0),MATCH(AI$1,'Исходник'!$1:$1,0)))</f>
        <v/>
      </c>
      <c r="AJ143" s="18">
        <f t="shared" si="15"/>
        <v>0</v>
      </c>
    </row>
    <row r="144" ht="15.75" customHeight="1">
      <c r="A144" s="27"/>
      <c r="B144" s="1" t="str">
        <f t="array" ref="B144">IFERROR(INDEX('Исходник'!$1:$626,MATCH($A144,'Исходник'!$T:$T,0),MATCH(B$1,'Исходник'!$1:$1,0)))</f>
        <v/>
      </c>
      <c r="C144" s="1" t="str">
        <f t="array" ref="C144">IFERROR(INDEX('Исходник'!$1:$626,MATCH($A144,'Исходник'!$T:$T,0),MATCH(C$1,'Исходник'!$1:$1,0)))</f>
        <v/>
      </c>
      <c r="D144" s="1" t="str">
        <f t="array" ref="D144">IFERROR(INDEX('Исходник'!$1:$626,MATCH($A144,'Исходник'!$T:$T,0),MATCH(D$1,'Исходник'!$1:$1,0)))</f>
        <v/>
      </c>
      <c r="E144" s="1" t="str">
        <f t="array" ref="E144">IFERROR(INDEX('Исходник'!$1:$626,MATCH($A144,'Исходник'!$T:$T,0),MATCH(E$1,'Исходник'!$1:$1,0)))</f>
        <v/>
      </c>
      <c r="F144" s="1" t="str">
        <f t="array" ref="F144">IFERROR(INDEX('Исходник'!$1:$626,MATCH($A144,'Исходник'!$T:$T,0),MATCH(F$1,'Исходник'!$1:$1,0)))</f>
        <v/>
      </c>
      <c r="G144" s="1" t="str">
        <f t="array" ref="G144">IFERROR(INDEX('Исходник'!$1:$626,MATCH($A144,'Исходник'!$T:$T,0),MATCH(G$1,'Исходник'!$1:$1,0)))</f>
        <v/>
      </c>
      <c r="H144" s="27">
        <f t="shared" si="1"/>
        <v>0</v>
      </c>
      <c r="I144" s="27" t="str">
        <f t="shared" si="2"/>
        <v/>
      </c>
      <c r="J144" s="1" t="str">
        <f t="array" ref="J144">IFERROR(INDEX('Исходник'!$1:$626,MATCH($A144,'Исходник'!$T:$T,0),MATCH(J$1,'Исходник'!$1:$1,0)))</f>
        <v/>
      </c>
      <c r="K144" s="27" t="str">
        <f t="shared" si="3"/>
        <v/>
      </c>
      <c r="L144" s="1" t="str">
        <f t="array" ref="L144">IFERROR(INDEX('Исходник'!$1:$626,MATCH($A144,'Исходник'!$T:$T,0),MATCH(L$1,'Исходник'!$1:$1,0)))</f>
        <v/>
      </c>
      <c r="M144" s="28">
        <f t="shared" si="4"/>
        <v>0</v>
      </c>
      <c r="N144" s="1" t="str">
        <f t="array" ref="N144">IFERROR(INDEX('Исходник'!$1:$626,MATCH($A144,'Исходник'!$T:$T,0),MATCH(N$1,'Исходник'!$1:$1,0)))</f>
        <v/>
      </c>
      <c r="O144" s="27">
        <f t="shared" si="5"/>
        <v>0</v>
      </c>
      <c r="P144" s="27" t="str">
        <f t="shared" si="6"/>
        <v/>
      </c>
      <c r="Q144" s="1" t="str">
        <f t="array" ref="Q144">IFERROR(INDEX('Исходник'!$1:$626,MATCH($A144,'Исходник'!$T:$T,0),MATCH(Q$1,'Исходник'!$1:$1,0)))</f>
        <v/>
      </c>
      <c r="R144" s="1" t="str">
        <f t="array" ref="R144">IFERROR(INDEX('Исходник'!$1:$626,MATCH($A144,'Исходник'!$T:$T,0),MATCH(R$1,'Исходник'!$1:$1,0)))</f>
        <v/>
      </c>
      <c r="S144" s="27">
        <f t="shared" si="7"/>
        <v>0</v>
      </c>
      <c r="T144" s="27" t="str">
        <f t="shared" si="8"/>
        <v/>
      </c>
      <c r="U144" s="1" t="str">
        <f t="array" ref="U144">IFERROR(INDEX('Исходник'!$1:$626,MATCH($A144,'Исходник'!$T:$T,0),MATCH(U$1,'Исходник'!$1:$1,0)))</f>
        <v/>
      </c>
      <c r="V144" s="27" t="str">
        <f t="shared" si="9"/>
        <v/>
      </c>
      <c r="W144" s="1" t="str">
        <f t="array" ref="W144">IFERROR(INDEX('Исходник'!$1:$626,MATCH($A144,'Исходник'!$T:$T,0),MATCH(W$1,'Исходник'!$1:$1,0)))</f>
        <v/>
      </c>
      <c r="X144" s="28">
        <f t="shared" si="10"/>
        <v>0</v>
      </c>
      <c r="Y144" s="1" t="str">
        <f t="array" ref="Y144">IFERROR(INDEX('Исходник'!$1:$626,MATCH($A144,'Исходник'!$T:$T,0),MATCH(Y$1,'Исходник'!$1:$1,0)))</f>
        <v/>
      </c>
      <c r="Z144" s="27">
        <f t="shared" si="11"/>
        <v>0</v>
      </c>
      <c r="AA144" s="27" t="str">
        <f t="shared" si="12"/>
        <v/>
      </c>
      <c r="AB144" s="1" t="str">
        <f t="array" ref="AB144">IFERROR(INDEX('Исходник'!$1:$626,MATCH($A144,'Исходник'!$T:$T,0),MATCH(AB$1,'Исходник'!$1:$1,0)))</f>
        <v/>
      </c>
      <c r="AC144" s="1" t="str">
        <f t="array" ref="AC144">IFERROR(INDEX('Исходник'!$1:$626,MATCH($A144,'Исходник'!$T:$T,0),MATCH(AC$1,'Исходник'!$1:$1,0)))</f>
        <v/>
      </c>
      <c r="AD144" s="27" t="str">
        <f t="shared" si="13"/>
        <v/>
      </c>
      <c r="AE144" s="1" t="str">
        <f t="array" ref="AE144">IFERROR(INDEX('Исходник'!$1:$626,MATCH($A144,'Исходник'!$T:$T,0),MATCH(AE$1,'Исходник'!$1:$1,0)))</f>
        <v/>
      </c>
      <c r="AF144" s="1" t="str">
        <f t="array" ref="AF144">IFERROR(INDEX('Исходник'!$1:$626,MATCH($A144,'Исходник'!$T:$T,0),MATCH(AF$1,'Исходник'!$1:$1,0)))</f>
        <v/>
      </c>
      <c r="AG144" s="27" t="str">
        <f t="shared" si="14"/>
        <v/>
      </c>
      <c r="AH144" s="1" t="str">
        <f t="array" ref="AH144">IFERROR(INDEX('Исходник'!$1:$626,MATCH($A144,'Исходник'!$T:$T,0),MATCH(AH$1,'Исходник'!$1:$1,0)))</f>
        <v/>
      </c>
      <c r="AI144" s="1" t="str">
        <f t="array" ref="AI144">IFERROR(INDEX('Исходник'!$1:$626,MATCH($A144,'Исходник'!$T:$T,0),MATCH(AI$1,'Исходник'!$1:$1,0)))</f>
        <v/>
      </c>
      <c r="AJ144" s="18">
        <f t="shared" si="15"/>
        <v>0</v>
      </c>
    </row>
    <row r="145" ht="15.75" customHeight="1">
      <c r="A145" s="27"/>
      <c r="B145" s="1" t="str">
        <f t="array" ref="B145">IFERROR(INDEX('Исходник'!$1:$626,MATCH($A145,'Исходник'!$T:$T,0),MATCH(B$1,'Исходник'!$1:$1,0)))</f>
        <v/>
      </c>
      <c r="C145" s="1" t="str">
        <f t="array" ref="C145">IFERROR(INDEX('Исходник'!$1:$626,MATCH($A145,'Исходник'!$T:$T,0),MATCH(C$1,'Исходник'!$1:$1,0)))</f>
        <v/>
      </c>
      <c r="D145" s="1" t="str">
        <f t="array" ref="D145">IFERROR(INDEX('Исходник'!$1:$626,MATCH($A145,'Исходник'!$T:$T,0),MATCH(D$1,'Исходник'!$1:$1,0)))</f>
        <v/>
      </c>
      <c r="E145" s="1" t="str">
        <f t="array" ref="E145">IFERROR(INDEX('Исходник'!$1:$626,MATCH($A145,'Исходник'!$T:$T,0),MATCH(E$1,'Исходник'!$1:$1,0)))</f>
        <v/>
      </c>
      <c r="F145" s="1" t="str">
        <f t="array" ref="F145">IFERROR(INDEX('Исходник'!$1:$626,MATCH($A145,'Исходник'!$T:$T,0),MATCH(F$1,'Исходник'!$1:$1,0)))</f>
        <v/>
      </c>
      <c r="G145" s="1" t="str">
        <f t="array" ref="G145">IFERROR(INDEX('Исходник'!$1:$626,MATCH($A145,'Исходник'!$T:$T,0),MATCH(G$1,'Исходник'!$1:$1,0)))</f>
        <v/>
      </c>
      <c r="H145" s="27">
        <f t="shared" si="1"/>
        <v>0</v>
      </c>
      <c r="I145" s="27" t="str">
        <f t="shared" si="2"/>
        <v/>
      </c>
      <c r="J145" s="1" t="str">
        <f t="array" ref="J145">IFERROR(INDEX('Исходник'!$1:$626,MATCH($A145,'Исходник'!$T:$T,0),MATCH(J$1,'Исходник'!$1:$1,0)))</f>
        <v/>
      </c>
      <c r="K145" s="27" t="str">
        <f t="shared" si="3"/>
        <v/>
      </c>
      <c r="L145" s="1" t="str">
        <f t="array" ref="L145">IFERROR(INDEX('Исходник'!$1:$626,MATCH($A145,'Исходник'!$T:$T,0),MATCH(L$1,'Исходник'!$1:$1,0)))</f>
        <v/>
      </c>
      <c r="M145" s="28">
        <f t="shared" si="4"/>
        <v>0</v>
      </c>
      <c r="N145" s="1" t="str">
        <f t="array" ref="N145">IFERROR(INDEX('Исходник'!$1:$626,MATCH($A145,'Исходник'!$T:$T,0),MATCH(N$1,'Исходник'!$1:$1,0)))</f>
        <v/>
      </c>
      <c r="O145" s="27">
        <f t="shared" si="5"/>
        <v>0</v>
      </c>
      <c r="P145" s="27" t="str">
        <f t="shared" si="6"/>
        <v/>
      </c>
      <c r="Q145" s="1" t="str">
        <f t="array" ref="Q145">IFERROR(INDEX('Исходник'!$1:$626,MATCH($A145,'Исходник'!$T:$T,0),MATCH(Q$1,'Исходник'!$1:$1,0)))</f>
        <v/>
      </c>
      <c r="R145" s="1" t="str">
        <f t="array" ref="R145">IFERROR(INDEX('Исходник'!$1:$626,MATCH($A145,'Исходник'!$T:$T,0),MATCH(R$1,'Исходник'!$1:$1,0)))</f>
        <v/>
      </c>
      <c r="S145" s="27">
        <f t="shared" si="7"/>
        <v>0</v>
      </c>
      <c r="T145" s="27" t="str">
        <f t="shared" si="8"/>
        <v/>
      </c>
      <c r="U145" s="1" t="str">
        <f t="array" ref="U145">IFERROR(INDEX('Исходник'!$1:$626,MATCH($A145,'Исходник'!$T:$T,0),MATCH(U$1,'Исходник'!$1:$1,0)))</f>
        <v/>
      </c>
      <c r="V145" s="27" t="str">
        <f t="shared" si="9"/>
        <v/>
      </c>
      <c r="W145" s="1" t="str">
        <f t="array" ref="W145">IFERROR(INDEX('Исходник'!$1:$626,MATCH($A145,'Исходник'!$T:$T,0),MATCH(W$1,'Исходник'!$1:$1,0)))</f>
        <v/>
      </c>
      <c r="X145" s="28">
        <f t="shared" si="10"/>
        <v>0</v>
      </c>
      <c r="Y145" s="1" t="str">
        <f t="array" ref="Y145">IFERROR(INDEX('Исходник'!$1:$626,MATCH($A145,'Исходник'!$T:$T,0),MATCH(Y$1,'Исходник'!$1:$1,0)))</f>
        <v/>
      </c>
      <c r="Z145" s="27">
        <f t="shared" si="11"/>
        <v>0</v>
      </c>
      <c r="AA145" s="27" t="str">
        <f t="shared" si="12"/>
        <v/>
      </c>
      <c r="AB145" s="1" t="str">
        <f t="array" ref="AB145">IFERROR(INDEX('Исходник'!$1:$626,MATCH($A145,'Исходник'!$T:$T,0),MATCH(AB$1,'Исходник'!$1:$1,0)))</f>
        <v/>
      </c>
      <c r="AC145" s="1" t="str">
        <f t="array" ref="AC145">IFERROR(INDEX('Исходник'!$1:$626,MATCH($A145,'Исходник'!$T:$T,0),MATCH(AC$1,'Исходник'!$1:$1,0)))</f>
        <v/>
      </c>
      <c r="AD145" s="27" t="str">
        <f t="shared" si="13"/>
        <v/>
      </c>
      <c r="AE145" s="1" t="str">
        <f t="array" ref="AE145">IFERROR(INDEX('Исходник'!$1:$626,MATCH($A145,'Исходник'!$T:$T,0),MATCH(AE$1,'Исходник'!$1:$1,0)))</f>
        <v/>
      </c>
      <c r="AF145" s="1" t="str">
        <f t="array" ref="AF145">IFERROR(INDEX('Исходник'!$1:$626,MATCH($A145,'Исходник'!$T:$T,0),MATCH(AF$1,'Исходник'!$1:$1,0)))</f>
        <v/>
      </c>
      <c r="AG145" s="27" t="str">
        <f t="shared" si="14"/>
        <v/>
      </c>
      <c r="AH145" s="1" t="str">
        <f t="array" ref="AH145">IFERROR(INDEX('Исходник'!$1:$626,MATCH($A145,'Исходник'!$T:$T,0),MATCH(AH$1,'Исходник'!$1:$1,0)))</f>
        <v/>
      </c>
      <c r="AI145" s="1" t="str">
        <f t="array" ref="AI145">IFERROR(INDEX('Исходник'!$1:$626,MATCH($A145,'Исходник'!$T:$T,0),MATCH(AI$1,'Исходник'!$1:$1,0)))</f>
        <v/>
      </c>
      <c r="AJ145" s="18">
        <f t="shared" si="15"/>
        <v>0</v>
      </c>
    </row>
    <row r="146" ht="15.75" customHeight="1">
      <c r="A146" s="27"/>
      <c r="B146" s="1" t="str">
        <f t="array" ref="B146">IFERROR(INDEX('Исходник'!$1:$626,MATCH($A146,'Исходник'!$T:$T,0),MATCH(B$1,'Исходник'!$1:$1,0)))</f>
        <v/>
      </c>
      <c r="C146" s="1" t="str">
        <f t="array" ref="C146">IFERROR(INDEX('Исходник'!$1:$626,MATCH($A146,'Исходник'!$T:$T,0),MATCH(C$1,'Исходник'!$1:$1,0)))</f>
        <v/>
      </c>
      <c r="D146" s="1" t="str">
        <f t="array" ref="D146">IFERROR(INDEX('Исходник'!$1:$626,MATCH($A146,'Исходник'!$T:$T,0),MATCH(D$1,'Исходник'!$1:$1,0)))</f>
        <v/>
      </c>
      <c r="E146" s="1" t="str">
        <f t="array" ref="E146">IFERROR(INDEX('Исходник'!$1:$626,MATCH($A146,'Исходник'!$T:$T,0),MATCH(E$1,'Исходник'!$1:$1,0)))</f>
        <v/>
      </c>
      <c r="F146" s="1" t="str">
        <f t="array" ref="F146">IFERROR(INDEX('Исходник'!$1:$626,MATCH($A146,'Исходник'!$T:$T,0),MATCH(F$1,'Исходник'!$1:$1,0)))</f>
        <v/>
      </c>
      <c r="G146" s="1" t="str">
        <f t="array" ref="G146">IFERROR(INDEX('Исходник'!$1:$626,MATCH($A146,'Исходник'!$T:$T,0),MATCH(G$1,'Исходник'!$1:$1,0)))</f>
        <v/>
      </c>
      <c r="H146" s="27">
        <f t="shared" si="1"/>
        <v>0</v>
      </c>
      <c r="I146" s="27" t="str">
        <f t="shared" si="2"/>
        <v/>
      </c>
      <c r="J146" s="1" t="str">
        <f t="array" ref="J146">IFERROR(INDEX('Исходник'!$1:$626,MATCH($A146,'Исходник'!$T:$T,0),MATCH(J$1,'Исходник'!$1:$1,0)))</f>
        <v/>
      </c>
      <c r="K146" s="27" t="str">
        <f t="shared" si="3"/>
        <v/>
      </c>
      <c r="L146" s="1" t="str">
        <f t="array" ref="L146">IFERROR(INDEX('Исходник'!$1:$626,MATCH($A146,'Исходник'!$T:$T,0),MATCH(L$1,'Исходник'!$1:$1,0)))</f>
        <v/>
      </c>
      <c r="M146" s="28">
        <f t="shared" si="4"/>
        <v>0</v>
      </c>
      <c r="N146" s="1" t="str">
        <f t="array" ref="N146">IFERROR(INDEX('Исходник'!$1:$626,MATCH($A146,'Исходник'!$T:$T,0),MATCH(N$1,'Исходник'!$1:$1,0)))</f>
        <v/>
      </c>
      <c r="O146" s="27">
        <f t="shared" si="5"/>
        <v>0</v>
      </c>
      <c r="P146" s="27" t="str">
        <f t="shared" si="6"/>
        <v/>
      </c>
      <c r="Q146" s="1" t="str">
        <f t="array" ref="Q146">IFERROR(INDEX('Исходник'!$1:$626,MATCH($A146,'Исходник'!$T:$T,0),MATCH(Q$1,'Исходник'!$1:$1,0)))</f>
        <v/>
      </c>
      <c r="R146" s="1" t="str">
        <f t="array" ref="R146">IFERROR(INDEX('Исходник'!$1:$626,MATCH($A146,'Исходник'!$T:$T,0),MATCH(R$1,'Исходник'!$1:$1,0)))</f>
        <v/>
      </c>
      <c r="S146" s="27">
        <f t="shared" si="7"/>
        <v>0</v>
      </c>
      <c r="T146" s="27" t="str">
        <f t="shared" si="8"/>
        <v/>
      </c>
      <c r="U146" s="1" t="str">
        <f t="array" ref="U146">IFERROR(INDEX('Исходник'!$1:$626,MATCH($A146,'Исходник'!$T:$T,0),MATCH(U$1,'Исходник'!$1:$1,0)))</f>
        <v/>
      </c>
      <c r="V146" s="27" t="str">
        <f t="shared" si="9"/>
        <v/>
      </c>
      <c r="W146" s="1" t="str">
        <f t="array" ref="W146">IFERROR(INDEX('Исходник'!$1:$626,MATCH($A146,'Исходник'!$T:$T,0),MATCH(W$1,'Исходник'!$1:$1,0)))</f>
        <v/>
      </c>
      <c r="X146" s="28">
        <f t="shared" si="10"/>
        <v>0</v>
      </c>
      <c r="Y146" s="1" t="str">
        <f t="array" ref="Y146">IFERROR(INDEX('Исходник'!$1:$626,MATCH($A146,'Исходник'!$T:$T,0),MATCH(Y$1,'Исходник'!$1:$1,0)))</f>
        <v/>
      </c>
      <c r="Z146" s="27">
        <f t="shared" si="11"/>
        <v>0</v>
      </c>
      <c r="AA146" s="27" t="str">
        <f t="shared" si="12"/>
        <v/>
      </c>
      <c r="AB146" s="1" t="str">
        <f t="array" ref="AB146">IFERROR(INDEX('Исходник'!$1:$626,MATCH($A146,'Исходник'!$T:$T,0),MATCH(AB$1,'Исходник'!$1:$1,0)))</f>
        <v/>
      </c>
      <c r="AC146" s="1" t="str">
        <f t="array" ref="AC146">IFERROR(INDEX('Исходник'!$1:$626,MATCH($A146,'Исходник'!$T:$T,0),MATCH(AC$1,'Исходник'!$1:$1,0)))</f>
        <v/>
      </c>
      <c r="AD146" s="27" t="str">
        <f t="shared" si="13"/>
        <v/>
      </c>
      <c r="AE146" s="1" t="str">
        <f t="array" ref="AE146">IFERROR(INDEX('Исходник'!$1:$626,MATCH($A146,'Исходник'!$T:$T,0),MATCH(AE$1,'Исходник'!$1:$1,0)))</f>
        <v/>
      </c>
      <c r="AF146" s="1" t="str">
        <f t="array" ref="AF146">IFERROR(INDEX('Исходник'!$1:$626,MATCH($A146,'Исходник'!$T:$T,0),MATCH(AF$1,'Исходник'!$1:$1,0)))</f>
        <v/>
      </c>
      <c r="AG146" s="27" t="str">
        <f t="shared" si="14"/>
        <v/>
      </c>
      <c r="AH146" s="1" t="str">
        <f t="array" ref="AH146">IFERROR(INDEX('Исходник'!$1:$626,MATCH($A146,'Исходник'!$T:$T,0),MATCH(AH$1,'Исходник'!$1:$1,0)))</f>
        <v/>
      </c>
      <c r="AI146" s="1" t="str">
        <f t="array" ref="AI146">IFERROR(INDEX('Исходник'!$1:$626,MATCH($A146,'Исходник'!$T:$T,0),MATCH(AI$1,'Исходник'!$1:$1,0)))</f>
        <v/>
      </c>
      <c r="AJ146" s="18">
        <f t="shared" si="15"/>
        <v>0</v>
      </c>
    </row>
    <row r="147" ht="15.75" customHeight="1">
      <c r="A147" s="27"/>
      <c r="B147" s="1" t="str">
        <f t="array" ref="B147">IFERROR(INDEX('Исходник'!$1:$626,MATCH($A147,'Исходник'!$T:$T,0),MATCH(B$1,'Исходник'!$1:$1,0)))</f>
        <v/>
      </c>
      <c r="C147" s="1" t="str">
        <f t="array" ref="C147">IFERROR(INDEX('Исходник'!$1:$626,MATCH($A147,'Исходник'!$T:$T,0),MATCH(C$1,'Исходник'!$1:$1,0)))</f>
        <v/>
      </c>
      <c r="D147" s="1" t="str">
        <f t="array" ref="D147">IFERROR(INDEX('Исходник'!$1:$626,MATCH($A147,'Исходник'!$T:$T,0),MATCH(D$1,'Исходник'!$1:$1,0)))</f>
        <v/>
      </c>
      <c r="E147" s="1" t="str">
        <f t="array" ref="E147">IFERROR(INDEX('Исходник'!$1:$626,MATCH($A147,'Исходник'!$T:$T,0),MATCH(E$1,'Исходник'!$1:$1,0)))</f>
        <v/>
      </c>
      <c r="F147" s="1" t="str">
        <f t="array" ref="F147">IFERROR(INDEX('Исходник'!$1:$626,MATCH($A147,'Исходник'!$T:$T,0),MATCH(F$1,'Исходник'!$1:$1,0)))</f>
        <v/>
      </c>
      <c r="G147" s="1" t="str">
        <f t="array" ref="G147">IFERROR(INDEX('Исходник'!$1:$626,MATCH($A147,'Исходник'!$T:$T,0),MATCH(G$1,'Исходник'!$1:$1,0)))</f>
        <v/>
      </c>
      <c r="H147" s="27">
        <f t="shared" si="1"/>
        <v>0</v>
      </c>
      <c r="I147" s="27" t="str">
        <f t="shared" si="2"/>
        <v/>
      </c>
      <c r="J147" s="1" t="str">
        <f t="array" ref="J147">IFERROR(INDEX('Исходник'!$1:$626,MATCH($A147,'Исходник'!$T:$T,0),MATCH(J$1,'Исходник'!$1:$1,0)))</f>
        <v/>
      </c>
      <c r="K147" s="27" t="str">
        <f t="shared" si="3"/>
        <v/>
      </c>
      <c r="L147" s="1" t="str">
        <f t="array" ref="L147">IFERROR(INDEX('Исходник'!$1:$626,MATCH($A147,'Исходник'!$T:$T,0),MATCH(L$1,'Исходник'!$1:$1,0)))</f>
        <v/>
      </c>
      <c r="M147" s="28">
        <f t="shared" si="4"/>
        <v>0</v>
      </c>
      <c r="N147" s="1" t="str">
        <f t="array" ref="N147">IFERROR(INDEX('Исходник'!$1:$626,MATCH($A147,'Исходник'!$T:$T,0),MATCH(N$1,'Исходник'!$1:$1,0)))</f>
        <v/>
      </c>
      <c r="O147" s="27">
        <f t="shared" si="5"/>
        <v>0</v>
      </c>
      <c r="P147" s="27" t="str">
        <f t="shared" si="6"/>
        <v/>
      </c>
      <c r="Q147" s="1" t="str">
        <f t="array" ref="Q147">IFERROR(INDEX('Исходник'!$1:$626,MATCH($A147,'Исходник'!$T:$T,0),MATCH(Q$1,'Исходник'!$1:$1,0)))</f>
        <v/>
      </c>
      <c r="R147" s="1" t="str">
        <f t="array" ref="R147">IFERROR(INDEX('Исходник'!$1:$626,MATCH($A147,'Исходник'!$T:$T,0),MATCH(R$1,'Исходник'!$1:$1,0)))</f>
        <v/>
      </c>
      <c r="S147" s="27">
        <f t="shared" si="7"/>
        <v>0</v>
      </c>
      <c r="T147" s="27" t="str">
        <f t="shared" si="8"/>
        <v/>
      </c>
      <c r="U147" s="1" t="str">
        <f t="array" ref="U147">IFERROR(INDEX('Исходник'!$1:$626,MATCH($A147,'Исходник'!$T:$T,0),MATCH(U$1,'Исходник'!$1:$1,0)))</f>
        <v/>
      </c>
      <c r="V147" s="27" t="str">
        <f t="shared" si="9"/>
        <v/>
      </c>
      <c r="W147" s="1" t="str">
        <f t="array" ref="W147">IFERROR(INDEX('Исходник'!$1:$626,MATCH($A147,'Исходник'!$T:$T,0),MATCH(W$1,'Исходник'!$1:$1,0)))</f>
        <v/>
      </c>
      <c r="X147" s="28">
        <f t="shared" si="10"/>
        <v>0</v>
      </c>
      <c r="Y147" s="1" t="str">
        <f t="array" ref="Y147">IFERROR(INDEX('Исходник'!$1:$626,MATCH($A147,'Исходник'!$T:$T,0),MATCH(Y$1,'Исходник'!$1:$1,0)))</f>
        <v/>
      </c>
      <c r="Z147" s="27">
        <f t="shared" si="11"/>
        <v>0</v>
      </c>
      <c r="AA147" s="27" t="str">
        <f t="shared" si="12"/>
        <v/>
      </c>
      <c r="AB147" s="1" t="str">
        <f t="array" ref="AB147">IFERROR(INDEX('Исходник'!$1:$626,MATCH($A147,'Исходник'!$T:$T,0),MATCH(AB$1,'Исходник'!$1:$1,0)))</f>
        <v/>
      </c>
      <c r="AC147" s="1" t="str">
        <f t="array" ref="AC147">IFERROR(INDEX('Исходник'!$1:$626,MATCH($A147,'Исходник'!$T:$T,0),MATCH(AC$1,'Исходник'!$1:$1,0)))</f>
        <v/>
      </c>
      <c r="AD147" s="27" t="str">
        <f t="shared" si="13"/>
        <v/>
      </c>
      <c r="AE147" s="1" t="str">
        <f t="array" ref="AE147">IFERROR(INDEX('Исходник'!$1:$626,MATCH($A147,'Исходник'!$T:$T,0),MATCH(AE$1,'Исходник'!$1:$1,0)))</f>
        <v/>
      </c>
      <c r="AF147" s="1" t="str">
        <f t="array" ref="AF147">IFERROR(INDEX('Исходник'!$1:$626,MATCH($A147,'Исходник'!$T:$T,0),MATCH(AF$1,'Исходник'!$1:$1,0)))</f>
        <v/>
      </c>
      <c r="AG147" s="27" t="str">
        <f t="shared" si="14"/>
        <v/>
      </c>
      <c r="AH147" s="1" t="str">
        <f t="array" ref="AH147">IFERROR(INDEX('Исходник'!$1:$626,MATCH($A147,'Исходник'!$T:$T,0),MATCH(AH$1,'Исходник'!$1:$1,0)))</f>
        <v/>
      </c>
      <c r="AI147" s="1" t="str">
        <f t="array" ref="AI147">IFERROR(INDEX('Исходник'!$1:$626,MATCH($A147,'Исходник'!$T:$T,0),MATCH(AI$1,'Исходник'!$1:$1,0)))</f>
        <v/>
      </c>
      <c r="AJ147" s="18">
        <f t="shared" si="15"/>
        <v>0</v>
      </c>
    </row>
    <row r="148" ht="15.75" customHeight="1">
      <c r="A148" s="27"/>
      <c r="B148" s="1" t="str">
        <f t="array" ref="B148">IFERROR(INDEX('Исходник'!$1:$626,MATCH($A148,'Исходник'!$T:$T,0),MATCH(B$1,'Исходник'!$1:$1,0)))</f>
        <v/>
      </c>
      <c r="C148" s="1" t="str">
        <f t="array" ref="C148">IFERROR(INDEX('Исходник'!$1:$626,MATCH($A148,'Исходник'!$T:$T,0),MATCH(C$1,'Исходник'!$1:$1,0)))</f>
        <v/>
      </c>
      <c r="D148" s="1" t="str">
        <f t="array" ref="D148">IFERROR(INDEX('Исходник'!$1:$626,MATCH($A148,'Исходник'!$T:$T,0),MATCH(D$1,'Исходник'!$1:$1,0)))</f>
        <v/>
      </c>
      <c r="E148" s="1" t="str">
        <f t="array" ref="E148">IFERROR(INDEX('Исходник'!$1:$626,MATCH($A148,'Исходник'!$T:$T,0),MATCH(E$1,'Исходник'!$1:$1,0)))</f>
        <v/>
      </c>
      <c r="F148" s="1" t="str">
        <f t="array" ref="F148">IFERROR(INDEX('Исходник'!$1:$626,MATCH($A148,'Исходник'!$T:$T,0),MATCH(F$1,'Исходник'!$1:$1,0)))</f>
        <v/>
      </c>
      <c r="G148" s="1" t="str">
        <f t="array" ref="G148">IFERROR(INDEX('Исходник'!$1:$626,MATCH($A148,'Исходник'!$T:$T,0),MATCH(G$1,'Исходник'!$1:$1,0)))</f>
        <v/>
      </c>
      <c r="H148" s="27">
        <f t="shared" si="1"/>
        <v>0</v>
      </c>
      <c r="I148" s="27" t="str">
        <f t="shared" si="2"/>
        <v/>
      </c>
      <c r="J148" s="1" t="str">
        <f t="array" ref="J148">IFERROR(INDEX('Исходник'!$1:$626,MATCH($A148,'Исходник'!$T:$T,0),MATCH(J$1,'Исходник'!$1:$1,0)))</f>
        <v/>
      </c>
      <c r="K148" s="27" t="str">
        <f t="shared" si="3"/>
        <v/>
      </c>
      <c r="L148" s="1" t="str">
        <f t="array" ref="L148">IFERROR(INDEX('Исходник'!$1:$626,MATCH($A148,'Исходник'!$T:$T,0),MATCH(L$1,'Исходник'!$1:$1,0)))</f>
        <v/>
      </c>
      <c r="M148" s="28">
        <f t="shared" si="4"/>
        <v>0</v>
      </c>
      <c r="N148" s="1" t="str">
        <f t="array" ref="N148">IFERROR(INDEX('Исходник'!$1:$626,MATCH($A148,'Исходник'!$T:$T,0),MATCH(N$1,'Исходник'!$1:$1,0)))</f>
        <v/>
      </c>
      <c r="O148" s="27">
        <f t="shared" si="5"/>
        <v>0</v>
      </c>
      <c r="P148" s="27" t="str">
        <f t="shared" si="6"/>
        <v/>
      </c>
      <c r="Q148" s="1" t="str">
        <f t="array" ref="Q148">IFERROR(INDEX('Исходник'!$1:$626,MATCH($A148,'Исходник'!$T:$T,0),MATCH(Q$1,'Исходник'!$1:$1,0)))</f>
        <v/>
      </c>
      <c r="R148" s="1" t="str">
        <f t="array" ref="R148">IFERROR(INDEX('Исходник'!$1:$626,MATCH($A148,'Исходник'!$T:$T,0),MATCH(R$1,'Исходник'!$1:$1,0)))</f>
        <v/>
      </c>
      <c r="S148" s="27">
        <f t="shared" si="7"/>
        <v>0</v>
      </c>
      <c r="T148" s="27" t="str">
        <f t="shared" si="8"/>
        <v/>
      </c>
      <c r="U148" s="1" t="str">
        <f t="array" ref="U148">IFERROR(INDEX('Исходник'!$1:$626,MATCH($A148,'Исходник'!$T:$T,0),MATCH(U$1,'Исходник'!$1:$1,0)))</f>
        <v/>
      </c>
      <c r="V148" s="27" t="str">
        <f t="shared" si="9"/>
        <v/>
      </c>
      <c r="W148" s="1" t="str">
        <f t="array" ref="W148">IFERROR(INDEX('Исходник'!$1:$626,MATCH($A148,'Исходник'!$T:$T,0),MATCH(W$1,'Исходник'!$1:$1,0)))</f>
        <v/>
      </c>
      <c r="X148" s="28">
        <f t="shared" si="10"/>
        <v>0</v>
      </c>
      <c r="Y148" s="1" t="str">
        <f t="array" ref="Y148">IFERROR(INDEX('Исходник'!$1:$626,MATCH($A148,'Исходник'!$T:$T,0),MATCH(Y$1,'Исходник'!$1:$1,0)))</f>
        <v/>
      </c>
      <c r="Z148" s="27">
        <f t="shared" si="11"/>
        <v>0</v>
      </c>
      <c r="AA148" s="27" t="str">
        <f t="shared" si="12"/>
        <v/>
      </c>
      <c r="AB148" s="1" t="str">
        <f t="array" ref="AB148">IFERROR(INDEX('Исходник'!$1:$626,MATCH($A148,'Исходник'!$T:$T,0),MATCH(AB$1,'Исходник'!$1:$1,0)))</f>
        <v/>
      </c>
      <c r="AC148" s="1" t="str">
        <f t="array" ref="AC148">IFERROR(INDEX('Исходник'!$1:$626,MATCH($A148,'Исходник'!$T:$T,0),MATCH(AC$1,'Исходник'!$1:$1,0)))</f>
        <v/>
      </c>
      <c r="AD148" s="27" t="str">
        <f t="shared" si="13"/>
        <v/>
      </c>
      <c r="AE148" s="1" t="str">
        <f t="array" ref="AE148">IFERROR(INDEX('Исходник'!$1:$626,MATCH($A148,'Исходник'!$T:$T,0),MATCH(AE$1,'Исходник'!$1:$1,0)))</f>
        <v/>
      </c>
      <c r="AF148" s="1" t="str">
        <f t="array" ref="AF148">IFERROR(INDEX('Исходник'!$1:$626,MATCH($A148,'Исходник'!$T:$T,0),MATCH(AF$1,'Исходник'!$1:$1,0)))</f>
        <v/>
      </c>
      <c r="AG148" s="27" t="str">
        <f t="shared" si="14"/>
        <v/>
      </c>
      <c r="AH148" s="1" t="str">
        <f t="array" ref="AH148">IFERROR(INDEX('Исходник'!$1:$626,MATCH($A148,'Исходник'!$T:$T,0),MATCH(AH$1,'Исходник'!$1:$1,0)))</f>
        <v/>
      </c>
      <c r="AI148" s="1" t="str">
        <f t="array" ref="AI148">IFERROR(INDEX('Исходник'!$1:$626,MATCH($A148,'Исходник'!$T:$T,0),MATCH(AI$1,'Исходник'!$1:$1,0)))</f>
        <v/>
      </c>
      <c r="AJ148" s="18">
        <f t="shared" si="15"/>
        <v>0</v>
      </c>
    </row>
    <row r="149" ht="15.75" customHeight="1">
      <c r="A149" s="27"/>
      <c r="B149" s="1" t="str">
        <f t="array" ref="B149">IFERROR(INDEX('Исходник'!$1:$626,MATCH($A149,'Исходник'!$T:$T,0),MATCH(B$1,'Исходник'!$1:$1,0)))</f>
        <v/>
      </c>
      <c r="C149" s="1" t="str">
        <f t="array" ref="C149">IFERROR(INDEX('Исходник'!$1:$626,MATCH($A149,'Исходник'!$T:$T,0),MATCH(C$1,'Исходник'!$1:$1,0)))</f>
        <v/>
      </c>
      <c r="D149" s="1" t="str">
        <f t="array" ref="D149">IFERROR(INDEX('Исходник'!$1:$626,MATCH($A149,'Исходник'!$T:$T,0),MATCH(D$1,'Исходник'!$1:$1,0)))</f>
        <v/>
      </c>
      <c r="E149" s="1" t="str">
        <f t="array" ref="E149">IFERROR(INDEX('Исходник'!$1:$626,MATCH($A149,'Исходник'!$T:$T,0),MATCH(E$1,'Исходник'!$1:$1,0)))</f>
        <v/>
      </c>
      <c r="F149" s="1" t="str">
        <f t="array" ref="F149">IFERROR(INDEX('Исходник'!$1:$626,MATCH($A149,'Исходник'!$T:$T,0),MATCH(F$1,'Исходник'!$1:$1,0)))</f>
        <v/>
      </c>
      <c r="G149" s="1" t="str">
        <f t="array" ref="G149">IFERROR(INDEX('Исходник'!$1:$626,MATCH($A149,'Исходник'!$T:$T,0),MATCH(G$1,'Исходник'!$1:$1,0)))</f>
        <v/>
      </c>
      <c r="H149" s="27">
        <f t="shared" si="1"/>
        <v>0</v>
      </c>
      <c r="I149" s="27" t="str">
        <f t="shared" si="2"/>
        <v/>
      </c>
      <c r="J149" s="1" t="str">
        <f t="array" ref="J149">IFERROR(INDEX('Исходник'!$1:$626,MATCH($A149,'Исходник'!$T:$T,0),MATCH(J$1,'Исходник'!$1:$1,0)))</f>
        <v/>
      </c>
      <c r="K149" s="27" t="str">
        <f t="shared" si="3"/>
        <v/>
      </c>
      <c r="L149" s="1" t="str">
        <f t="array" ref="L149">IFERROR(INDEX('Исходник'!$1:$626,MATCH($A149,'Исходник'!$T:$T,0),MATCH(L$1,'Исходник'!$1:$1,0)))</f>
        <v/>
      </c>
      <c r="M149" s="28">
        <f t="shared" si="4"/>
        <v>0</v>
      </c>
      <c r="N149" s="1" t="str">
        <f t="array" ref="N149">IFERROR(INDEX('Исходник'!$1:$626,MATCH($A149,'Исходник'!$T:$T,0),MATCH(N$1,'Исходник'!$1:$1,0)))</f>
        <v/>
      </c>
      <c r="O149" s="27">
        <f t="shared" si="5"/>
        <v>0</v>
      </c>
      <c r="P149" s="27" t="str">
        <f t="shared" si="6"/>
        <v/>
      </c>
      <c r="Q149" s="1" t="str">
        <f t="array" ref="Q149">IFERROR(INDEX('Исходник'!$1:$626,MATCH($A149,'Исходник'!$T:$T,0),MATCH(Q$1,'Исходник'!$1:$1,0)))</f>
        <v/>
      </c>
      <c r="R149" s="1" t="str">
        <f t="array" ref="R149">IFERROR(INDEX('Исходник'!$1:$626,MATCH($A149,'Исходник'!$T:$T,0),MATCH(R$1,'Исходник'!$1:$1,0)))</f>
        <v/>
      </c>
      <c r="S149" s="27">
        <f t="shared" si="7"/>
        <v>0</v>
      </c>
      <c r="T149" s="27" t="str">
        <f t="shared" si="8"/>
        <v/>
      </c>
      <c r="U149" s="1" t="str">
        <f t="array" ref="U149">IFERROR(INDEX('Исходник'!$1:$626,MATCH($A149,'Исходник'!$T:$T,0),MATCH(U$1,'Исходник'!$1:$1,0)))</f>
        <v/>
      </c>
      <c r="V149" s="27" t="str">
        <f t="shared" si="9"/>
        <v/>
      </c>
      <c r="W149" s="1" t="str">
        <f t="array" ref="W149">IFERROR(INDEX('Исходник'!$1:$626,MATCH($A149,'Исходник'!$T:$T,0),MATCH(W$1,'Исходник'!$1:$1,0)))</f>
        <v/>
      </c>
      <c r="X149" s="28">
        <f t="shared" si="10"/>
        <v>0</v>
      </c>
      <c r="Y149" s="1" t="str">
        <f t="array" ref="Y149">IFERROR(INDEX('Исходник'!$1:$626,MATCH($A149,'Исходник'!$T:$T,0),MATCH(Y$1,'Исходник'!$1:$1,0)))</f>
        <v/>
      </c>
      <c r="Z149" s="27">
        <f t="shared" si="11"/>
        <v>0</v>
      </c>
      <c r="AA149" s="27" t="str">
        <f t="shared" si="12"/>
        <v/>
      </c>
      <c r="AB149" s="1" t="str">
        <f t="array" ref="AB149">IFERROR(INDEX('Исходник'!$1:$626,MATCH($A149,'Исходник'!$T:$T,0),MATCH(AB$1,'Исходник'!$1:$1,0)))</f>
        <v/>
      </c>
      <c r="AC149" s="1" t="str">
        <f t="array" ref="AC149">IFERROR(INDEX('Исходник'!$1:$626,MATCH($A149,'Исходник'!$T:$T,0),MATCH(AC$1,'Исходник'!$1:$1,0)))</f>
        <v/>
      </c>
      <c r="AD149" s="27" t="str">
        <f t="shared" si="13"/>
        <v/>
      </c>
      <c r="AE149" s="1" t="str">
        <f t="array" ref="AE149">IFERROR(INDEX('Исходник'!$1:$626,MATCH($A149,'Исходник'!$T:$T,0),MATCH(AE$1,'Исходник'!$1:$1,0)))</f>
        <v/>
      </c>
      <c r="AF149" s="1" t="str">
        <f t="array" ref="AF149">IFERROR(INDEX('Исходник'!$1:$626,MATCH($A149,'Исходник'!$T:$T,0),MATCH(AF$1,'Исходник'!$1:$1,0)))</f>
        <v/>
      </c>
      <c r="AG149" s="27" t="str">
        <f t="shared" si="14"/>
        <v/>
      </c>
      <c r="AH149" s="1" t="str">
        <f t="array" ref="AH149">IFERROR(INDEX('Исходник'!$1:$626,MATCH($A149,'Исходник'!$T:$T,0),MATCH(AH$1,'Исходник'!$1:$1,0)))</f>
        <v/>
      </c>
      <c r="AI149" s="1" t="str">
        <f t="array" ref="AI149">IFERROR(INDEX('Исходник'!$1:$626,MATCH($A149,'Исходник'!$T:$T,0),MATCH(AI$1,'Исходник'!$1:$1,0)))</f>
        <v/>
      </c>
      <c r="AJ149" s="18">
        <f t="shared" si="15"/>
        <v>0</v>
      </c>
    </row>
    <row r="150" ht="15.75" customHeight="1">
      <c r="A150" s="27"/>
      <c r="B150" s="1" t="str">
        <f t="array" ref="B150">IFERROR(INDEX('Исходник'!$1:$626,MATCH($A150,'Исходник'!$T:$T,0),MATCH(B$1,'Исходник'!$1:$1,0)))</f>
        <v/>
      </c>
      <c r="C150" s="1" t="str">
        <f t="array" ref="C150">IFERROR(INDEX('Исходник'!$1:$626,MATCH($A150,'Исходник'!$T:$T,0),MATCH(C$1,'Исходник'!$1:$1,0)))</f>
        <v/>
      </c>
      <c r="D150" s="1" t="str">
        <f t="array" ref="D150">IFERROR(INDEX('Исходник'!$1:$626,MATCH($A150,'Исходник'!$T:$T,0),MATCH(D$1,'Исходник'!$1:$1,0)))</f>
        <v/>
      </c>
      <c r="E150" s="1" t="str">
        <f t="array" ref="E150">IFERROR(INDEX('Исходник'!$1:$626,MATCH($A150,'Исходник'!$T:$T,0),MATCH(E$1,'Исходник'!$1:$1,0)))</f>
        <v/>
      </c>
      <c r="F150" s="1" t="str">
        <f t="array" ref="F150">IFERROR(INDEX('Исходник'!$1:$626,MATCH($A150,'Исходник'!$T:$T,0),MATCH(F$1,'Исходник'!$1:$1,0)))</f>
        <v/>
      </c>
      <c r="G150" s="1" t="str">
        <f t="array" ref="G150">IFERROR(INDEX('Исходник'!$1:$626,MATCH($A150,'Исходник'!$T:$T,0),MATCH(G$1,'Исходник'!$1:$1,0)))</f>
        <v/>
      </c>
      <c r="H150" s="27">
        <f t="shared" si="1"/>
        <v>0</v>
      </c>
      <c r="I150" s="27" t="str">
        <f t="shared" si="2"/>
        <v/>
      </c>
      <c r="J150" s="1" t="str">
        <f t="array" ref="J150">IFERROR(INDEX('Исходник'!$1:$626,MATCH($A150,'Исходник'!$T:$T,0),MATCH(J$1,'Исходник'!$1:$1,0)))</f>
        <v/>
      </c>
      <c r="K150" s="27" t="str">
        <f t="shared" si="3"/>
        <v/>
      </c>
      <c r="L150" s="1" t="str">
        <f t="array" ref="L150">IFERROR(INDEX('Исходник'!$1:$626,MATCH($A150,'Исходник'!$T:$T,0),MATCH(L$1,'Исходник'!$1:$1,0)))</f>
        <v/>
      </c>
      <c r="M150" s="28">
        <f t="shared" si="4"/>
        <v>0</v>
      </c>
      <c r="N150" s="1" t="str">
        <f t="array" ref="N150">IFERROR(INDEX('Исходник'!$1:$626,MATCH($A150,'Исходник'!$T:$T,0),MATCH(N$1,'Исходник'!$1:$1,0)))</f>
        <v/>
      </c>
      <c r="O150" s="27">
        <f t="shared" si="5"/>
        <v>0</v>
      </c>
      <c r="P150" s="27" t="str">
        <f t="shared" si="6"/>
        <v/>
      </c>
      <c r="Q150" s="1" t="str">
        <f t="array" ref="Q150">IFERROR(INDEX('Исходник'!$1:$626,MATCH($A150,'Исходник'!$T:$T,0),MATCH(Q$1,'Исходник'!$1:$1,0)))</f>
        <v/>
      </c>
      <c r="R150" s="1" t="str">
        <f t="array" ref="R150">IFERROR(INDEX('Исходник'!$1:$626,MATCH($A150,'Исходник'!$T:$T,0),MATCH(R$1,'Исходник'!$1:$1,0)))</f>
        <v/>
      </c>
      <c r="S150" s="27">
        <f t="shared" si="7"/>
        <v>0</v>
      </c>
      <c r="T150" s="27" t="str">
        <f t="shared" si="8"/>
        <v/>
      </c>
      <c r="U150" s="1" t="str">
        <f t="array" ref="U150">IFERROR(INDEX('Исходник'!$1:$626,MATCH($A150,'Исходник'!$T:$T,0),MATCH(U$1,'Исходник'!$1:$1,0)))</f>
        <v/>
      </c>
      <c r="V150" s="27" t="str">
        <f t="shared" si="9"/>
        <v/>
      </c>
      <c r="W150" s="1" t="str">
        <f t="array" ref="W150">IFERROR(INDEX('Исходник'!$1:$626,MATCH($A150,'Исходник'!$T:$T,0),MATCH(W$1,'Исходник'!$1:$1,0)))</f>
        <v/>
      </c>
      <c r="X150" s="28">
        <f t="shared" si="10"/>
        <v>0</v>
      </c>
      <c r="Y150" s="1" t="str">
        <f t="array" ref="Y150">IFERROR(INDEX('Исходник'!$1:$626,MATCH($A150,'Исходник'!$T:$T,0),MATCH(Y$1,'Исходник'!$1:$1,0)))</f>
        <v/>
      </c>
      <c r="Z150" s="27">
        <f t="shared" si="11"/>
        <v>0</v>
      </c>
      <c r="AA150" s="27" t="str">
        <f t="shared" si="12"/>
        <v/>
      </c>
      <c r="AB150" s="1" t="str">
        <f t="array" ref="AB150">IFERROR(INDEX('Исходник'!$1:$626,MATCH($A150,'Исходник'!$T:$T,0),MATCH(AB$1,'Исходник'!$1:$1,0)))</f>
        <v/>
      </c>
      <c r="AC150" s="1" t="str">
        <f t="array" ref="AC150">IFERROR(INDEX('Исходник'!$1:$626,MATCH($A150,'Исходник'!$T:$T,0),MATCH(AC$1,'Исходник'!$1:$1,0)))</f>
        <v/>
      </c>
      <c r="AD150" s="27" t="str">
        <f t="shared" si="13"/>
        <v/>
      </c>
      <c r="AE150" s="1" t="str">
        <f t="array" ref="AE150">IFERROR(INDEX('Исходник'!$1:$626,MATCH($A150,'Исходник'!$T:$T,0),MATCH(AE$1,'Исходник'!$1:$1,0)))</f>
        <v/>
      </c>
      <c r="AF150" s="1" t="str">
        <f t="array" ref="AF150">IFERROR(INDEX('Исходник'!$1:$626,MATCH($A150,'Исходник'!$T:$T,0),MATCH(AF$1,'Исходник'!$1:$1,0)))</f>
        <v/>
      </c>
      <c r="AG150" s="27" t="str">
        <f t="shared" si="14"/>
        <v/>
      </c>
      <c r="AH150" s="1" t="str">
        <f t="array" ref="AH150">IFERROR(INDEX('Исходник'!$1:$626,MATCH($A150,'Исходник'!$T:$T,0),MATCH(AH$1,'Исходник'!$1:$1,0)))</f>
        <v/>
      </c>
      <c r="AI150" s="1" t="str">
        <f t="array" ref="AI150">IFERROR(INDEX('Исходник'!$1:$626,MATCH($A150,'Исходник'!$T:$T,0),MATCH(AI$1,'Исходник'!$1:$1,0)))</f>
        <v/>
      </c>
      <c r="AJ150" s="18">
        <f t="shared" si="15"/>
        <v>0</v>
      </c>
    </row>
    <row r="151" ht="15.75" customHeight="1">
      <c r="A151" s="27"/>
      <c r="B151" s="1" t="str">
        <f t="array" ref="B151">IFERROR(INDEX('Исходник'!$1:$626,MATCH($A151,'Исходник'!$T:$T,0),MATCH(B$1,'Исходник'!$1:$1,0)))</f>
        <v/>
      </c>
      <c r="C151" s="1" t="str">
        <f t="array" ref="C151">IFERROR(INDEX('Исходник'!$1:$626,MATCH($A151,'Исходник'!$T:$T,0),MATCH(C$1,'Исходник'!$1:$1,0)))</f>
        <v/>
      </c>
      <c r="D151" s="1" t="str">
        <f t="array" ref="D151">IFERROR(INDEX('Исходник'!$1:$626,MATCH($A151,'Исходник'!$T:$T,0),MATCH(D$1,'Исходник'!$1:$1,0)))</f>
        <v/>
      </c>
      <c r="E151" s="1" t="str">
        <f t="array" ref="E151">IFERROR(INDEX('Исходник'!$1:$626,MATCH($A151,'Исходник'!$T:$T,0),MATCH(E$1,'Исходник'!$1:$1,0)))</f>
        <v/>
      </c>
      <c r="F151" s="1" t="str">
        <f t="array" ref="F151">IFERROR(INDEX('Исходник'!$1:$626,MATCH($A151,'Исходник'!$T:$T,0),MATCH(F$1,'Исходник'!$1:$1,0)))</f>
        <v/>
      </c>
      <c r="G151" s="1" t="str">
        <f t="array" ref="G151">IFERROR(INDEX('Исходник'!$1:$626,MATCH($A151,'Исходник'!$T:$T,0),MATCH(G$1,'Исходник'!$1:$1,0)))</f>
        <v/>
      </c>
      <c r="H151" s="27">
        <f t="shared" si="1"/>
        <v>0</v>
      </c>
      <c r="I151" s="27" t="str">
        <f t="shared" si="2"/>
        <v/>
      </c>
      <c r="J151" s="1" t="str">
        <f t="array" ref="J151">IFERROR(INDEX('Исходник'!$1:$626,MATCH($A151,'Исходник'!$T:$T,0),MATCH(J$1,'Исходник'!$1:$1,0)))</f>
        <v/>
      </c>
      <c r="K151" s="27" t="str">
        <f t="shared" si="3"/>
        <v/>
      </c>
      <c r="L151" s="1" t="str">
        <f t="array" ref="L151">IFERROR(INDEX('Исходник'!$1:$626,MATCH($A151,'Исходник'!$T:$T,0),MATCH(L$1,'Исходник'!$1:$1,0)))</f>
        <v/>
      </c>
      <c r="M151" s="28">
        <f t="shared" si="4"/>
        <v>0</v>
      </c>
      <c r="N151" s="1" t="str">
        <f t="array" ref="N151">IFERROR(INDEX('Исходник'!$1:$626,MATCH($A151,'Исходник'!$T:$T,0),MATCH(N$1,'Исходник'!$1:$1,0)))</f>
        <v/>
      </c>
      <c r="O151" s="27">
        <f t="shared" si="5"/>
        <v>0</v>
      </c>
      <c r="P151" s="27" t="str">
        <f t="shared" si="6"/>
        <v/>
      </c>
      <c r="Q151" s="1" t="str">
        <f t="array" ref="Q151">IFERROR(INDEX('Исходник'!$1:$626,MATCH($A151,'Исходник'!$T:$T,0),MATCH(Q$1,'Исходник'!$1:$1,0)))</f>
        <v/>
      </c>
      <c r="R151" s="1" t="str">
        <f t="array" ref="R151">IFERROR(INDEX('Исходник'!$1:$626,MATCH($A151,'Исходник'!$T:$T,0),MATCH(R$1,'Исходник'!$1:$1,0)))</f>
        <v/>
      </c>
      <c r="S151" s="27">
        <f t="shared" si="7"/>
        <v>0</v>
      </c>
      <c r="T151" s="27" t="str">
        <f t="shared" si="8"/>
        <v/>
      </c>
      <c r="U151" s="1" t="str">
        <f t="array" ref="U151">IFERROR(INDEX('Исходник'!$1:$626,MATCH($A151,'Исходник'!$T:$T,0),MATCH(U$1,'Исходник'!$1:$1,0)))</f>
        <v/>
      </c>
      <c r="V151" s="27" t="str">
        <f t="shared" si="9"/>
        <v/>
      </c>
      <c r="W151" s="1" t="str">
        <f t="array" ref="W151">IFERROR(INDEX('Исходник'!$1:$626,MATCH($A151,'Исходник'!$T:$T,0),MATCH(W$1,'Исходник'!$1:$1,0)))</f>
        <v/>
      </c>
      <c r="X151" s="28">
        <f t="shared" si="10"/>
        <v>0</v>
      </c>
      <c r="Y151" s="1" t="str">
        <f t="array" ref="Y151">IFERROR(INDEX('Исходник'!$1:$626,MATCH($A151,'Исходник'!$T:$T,0),MATCH(Y$1,'Исходник'!$1:$1,0)))</f>
        <v/>
      </c>
      <c r="Z151" s="27">
        <f t="shared" si="11"/>
        <v>0</v>
      </c>
      <c r="AA151" s="27" t="str">
        <f t="shared" si="12"/>
        <v/>
      </c>
      <c r="AB151" s="1" t="str">
        <f t="array" ref="AB151">IFERROR(INDEX('Исходник'!$1:$626,MATCH($A151,'Исходник'!$T:$T,0),MATCH(AB$1,'Исходник'!$1:$1,0)))</f>
        <v/>
      </c>
      <c r="AC151" s="1" t="str">
        <f t="array" ref="AC151">IFERROR(INDEX('Исходник'!$1:$626,MATCH($A151,'Исходник'!$T:$T,0),MATCH(AC$1,'Исходник'!$1:$1,0)))</f>
        <v/>
      </c>
      <c r="AD151" s="27" t="str">
        <f t="shared" si="13"/>
        <v/>
      </c>
      <c r="AE151" s="1" t="str">
        <f t="array" ref="AE151">IFERROR(INDEX('Исходник'!$1:$626,MATCH($A151,'Исходник'!$T:$T,0),MATCH(AE$1,'Исходник'!$1:$1,0)))</f>
        <v/>
      </c>
      <c r="AF151" s="1" t="str">
        <f t="array" ref="AF151">IFERROR(INDEX('Исходник'!$1:$626,MATCH($A151,'Исходник'!$T:$T,0),MATCH(AF$1,'Исходник'!$1:$1,0)))</f>
        <v/>
      </c>
      <c r="AG151" s="27" t="str">
        <f t="shared" si="14"/>
        <v/>
      </c>
      <c r="AH151" s="1" t="str">
        <f t="array" ref="AH151">IFERROR(INDEX('Исходник'!$1:$626,MATCH($A151,'Исходник'!$T:$T,0),MATCH(AH$1,'Исходник'!$1:$1,0)))</f>
        <v/>
      </c>
      <c r="AI151" s="1" t="str">
        <f t="array" ref="AI151">IFERROR(INDEX('Исходник'!$1:$626,MATCH($A151,'Исходник'!$T:$T,0),MATCH(AI$1,'Исходник'!$1:$1,0)))</f>
        <v/>
      </c>
      <c r="AJ151" s="18">
        <f t="shared" si="15"/>
        <v>0</v>
      </c>
    </row>
    <row r="152" ht="15.75" customHeight="1">
      <c r="A152" s="27"/>
      <c r="B152" s="1" t="str">
        <f t="array" ref="B152">IFERROR(INDEX('Исходник'!$1:$626,MATCH($A152,'Исходник'!$T:$T,0),MATCH(B$1,'Исходник'!$1:$1,0)))</f>
        <v/>
      </c>
      <c r="C152" s="1" t="str">
        <f t="array" ref="C152">IFERROR(INDEX('Исходник'!$1:$626,MATCH($A152,'Исходник'!$T:$T,0),MATCH(C$1,'Исходник'!$1:$1,0)))</f>
        <v/>
      </c>
      <c r="D152" s="1" t="str">
        <f t="array" ref="D152">IFERROR(INDEX('Исходник'!$1:$626,MATCH($A152,'Исходник'!$T:$T,0),MATCH(D$1,'Исходник'!$1:$1,0)))</f>
        <v/>
      </c>
      <c r="E152" s="1" t="str">
        <f t="array" ref="E152">IFERROR(INDEX('Исходник'!$1:$626,MATCH($A152,'Исходник'!$T:$T,0),MATCH(E$1,'Исходник'!$1:$1,0)))</f>
        <v/>
      </c>
      <c r="F152" s="1" t="str">
        <f t="array" ref="F152">IFERROR(INDEX('Исходник'!$1:$626,MATCH($A152,'Исходник'!$T:$T,0),MATCH(F$1,'Исходник'!$1:$1,0)))</f>
        <v/>
      </c>
      <c r="G152" s="1" t="str">
        <f t="array" ref="G152">IFERROR(INDEX('Исходник'!$1:$626,MATCH($A152,'Исходник'!$T:$T,0),MATCH(G$1,'Исходник'!$1:$1,0)))</f>
        <v/>
      </c>
      <c r="H152" s="27">
        <f t="shared" si="1"/>
        <v>0</v>
      </c>
      <c r="I152" s="27" t="str">
        <f t="shared" si="2"/>
        <v/>
      </c>
      <c r="J152" s="1" t="str">
        <f t="array" ref="J152">IFERROR(INDEX('Исходник'!$1:$626,MATCH($A152,'Исходник'!$T:$T,0),MATCH(J$1,'Исходник'!$1:$1,0)))</f>
        <v/>
      </c>
      <c r="K152" s="27" t="str">
        <f t="shared" si="3"/>
        <v/>
      </c>
      <c r="L152" s="1" t="str">
        <f t="array" ref="L152">IFERROR(INDEX('Исходник'!$1:$626,MATCH($A152,'Исходник'!$T:$T,0),MATCH(L$1,'Исходник'!$1:$1,0)))</f>
        <v/>
      </c>
      <c r="M152" s="28">
        <f t="shared" si="4"/>
        <v>0</v>
      </c>
      <c r="N152" s="1" t="str">
        <f t="array" ref="N152">IFERROR(INDEX('Исходник'!$1:$626,MATCH($A152,'Исходник'!$T:$T,0),MATCH(N$1,'Исходник'!$1:$1,0)))</f>
        <v/>
      </c>
      <c r="O152" s="27">
        <f t="shared" si="5"/>
        <v>0</v>
      </c>
      <c r="P152" s="27" t="str">
        <f t="shared" si="6"/>
        <v/>
      </c>
      <c r="Q152" s="1" t="str">
        <f t="array" ref="Q152">IFERROR(INDEX('Исходник'!$1:$626,MATCH($A152,'Исходник'!$T:$T,0),MATCH(Q$1,'Исходник'!$1:$1,0)))</f>
        <v/>
      </c>
      <c r="R152" s="1" t="str">
        <f t="array" ref="R152">IFERROR(INDEX('Исходник'!$1:$626,MATCH($A152,'Исходник'!$T:$T,0),MATCH(R$1,'Исходник'!$1:$1,0)))</f>
        <v/>
      </c>
      <c r="S152" s="27">
        <f t="shared" si="7"/>
        <v>0</v>
      </c>
      <c r="T152" s="27" t="str">
        <f t="shared" si="8"/>
        <v/>
      </c>
      <c r="U152" s="1" t="str">
        <f t="array" ref="U152">IFERROR(INDEX('Исходник'!$1:$626,MATCH($A152,'Исходник'!$T:$T,0),MATCH(U$1,'Исходник'!$1:$1,0)))</f>
        <v/>
      </c>
      <c r="V152" s="27" t="str">
        <f t="shared" si="9"/>
        <v/>
      </c>
      <c r="W152" s="1" t="str">
        <f t="array" ref="W152">IFERROR(INDEX('Исходник'!$1:$626,MATCH($A152,'Исходник'!$T:$T,0),MATCH(W$1,'Исходник'!$1:$1,0)))</f>
        <v/>
      </c>
      <c r="X152" s="28">
        <f t="shared" si="10"/>
        <v>0</v>
      </c>
      <c r="Y152" s="1" t="str">
        <f t="array" ref="Y152">IFERROR(INDEX('Исходник'!$1:$626,MATCH($A152,'Исходник'!$T:$T,0),MATCH(Y$1,'Исходник'!$1:$1,0)))</f>
        <v/>
      </c>
      <c r="Z152" s="27">
        <f t="shared" si="11"/>
        <v>0</v>
      </c>
      <c r="AA152" s="27" t="str">
        <f t="shared" si="12"/>
        <v/>
      </c>
      <c r="AB152" s="1" t="str">
        <f t="array" ref="AB152">IFERROR(INDEX('Исходник'!$1:$626,MATCH($A152,'Исходник'!$T:$T,0),MATCH(AB$1,'Исходник'!$1:$1,0)))</f>
        <v/>
      </c>
      <c r="AC152" s="1" t="str">
        <f t="array" ref="AC152">IFERROR(INDEX('Исходник'!$1:$626,MATCH($A152,'Исходник'!$T:$T,0),MATCH(AC$1,'Исходник'!$1:$1,0)))</f>
        <v/>
      </c>
      <c r="AD152" s="27" t="str">
        <f t="shared" si="13"/>
        <v/>
      </c>
      <c r="AE152" s="1" t="str">
        <f t="array" ref="AE152">IFERROR(INDEX('Исходник'!$1:$626,MATCH($A152,'Исходник'!$T:$T,0),MATCH(AE$1,'Исходник'!$1:$1,0)))</f>
        <v/>
      </c>
      <c r="AF152" s="1" t="str">
        <f t="array" ref="AF152">IFERROR(INDEX('Исходник'!$1:$626,MATCH($A152,'Исходник'!$T:$T,0),MATCH(AF$1,'Исходник'!$1:$1,0)))</f>
        <v/>
      </c>
      <c r="AG152" s="27" t="str">
        <f t="shared" si="14"/>
        <v/>
      </c>
      <c r="AH152" s="1" t="str">
        <f t="array" ref="AH152">IFERROR(INDEX('Исходник'!$1:$626,MATCH($A152,'Исходник'!$T:$T,0),MATCH(AH$1,'Исходник'!$1:$1,0)))</f>
        <v/>
      </c>
      <c r="AI152" s="1" t="str">
        <f t="array" ref="AI152">IFERROR(INDEX('Исходник'!$1:$626,MATCH($A152,'Исходник'!$T:$T,0),MATCH(AI$1,'Исходник'!$1:$1,0)))</f>
        <v/>
      </c>
      <c r="AJ152" s="18">
        <f t="shared" si="15"/>
        <v>0</v>
      </c>
    </row>
    <row r="153" ht="15.75" customHeight="1">
      <c r="A153" s="27"/>
      <c r="B153" s="1" t="str">
        <f t="array" ref="B153">IFERROR(INDEX('Исходник'!$1:$626,MATCH($A153,'Исходник'!$T:$T,0),MATCH(B$1,'Исходник'!$1:$1,0)))</f>
        <v/>
      </c>
      <c r="C153" s="1" t="str">
        <f t="array" ref="C153">IFERROR(INDEX('Исходник'!$1:$626,MATCH($A153,'Исходник'!$T:$T,0),MATCH(C$1,'Исходник'!$1:$1,0)))</f>
        <v/>
      </c>
      <c r="D153" s="1" t="str">
        <f t="array" ref="D153">IFERROR(INDEX('Исходник'!$1:$626,MATCH($A153,'Исходник'!$T:$T,0),MATCH(D$1,'Исходник'!$1:$1,0)))</f>
        <v/>
      </c>
      <c r="E153" s="1" t="str">
        <f t="array" ref="E153">IFERROR(INDEX('Исходник'!$1:$626,MATCH($A153,'Исходник'!$T:$T,0),MATCH(E$1,'Исходник'!$1:$1,0)))</f>
        <v/>
      </c>
      <c r="F153" s="1" t="str">
        <f t="array" ref="F153">IFERROR(INDEX('Исходник'!$1:$626,MATCH($A153,'Исходник'!$T:$T,0),MATCH(F$1,'Исходник'!$1:$1,0)))</f>
        <v/>
      </c>
      <c r="G153" s="1" t="str">
        <f t="array" ref="G153">IFERROR(INDEX('Исходник'!$1:$626,MATCH($A153,'Исходник'!$T:$T,0),MATCH(G$1,'Исходник'!$1:$1,0)))</f>
        <v/>
      </c>
      <c r="H153" s="27">
        <f t="shared" si="1"/>
        <v>0</v>
      </c>
      <c r="I153" s="27" t="str">
        <f t="shared" si="2"/>
        <v/>
      </c>
      <c r="J153" s="1" t="str">
        <f t="array" ref="J153">IFERROR(INDEX('Исходник'!$1:$626,MATCH($A153,'Исходник'!$T:$T,0),MATCH(J$1,'Исходник'!$1:$1,0)))</f>
        <v/>
      </c>
      <c r="K153" s="27" t="str">
        <f t="shared" si="3"/>
        <v/>
      </c>
      <c r="L153" s="1" t="str">
        <f t="array" ref="L153">IFERROR(INDEX('Исходник'!$1:$626,MATCH($A153,'Исходник'!$T:$T,0),MATCH(L$1,'Исходник'!$1:$1,0)))</f>
        <v/>
      </c>
      <c r="M153" s="28">
        <f t="shared" si="4"/>
        <v>0</v>
      </c>
      <c r="N153" s="1" t="str">
        <f t="array" ref="N153">IFERROR(INDEX('Исходник'!$1:$626,MATCH($A153,'Исходник'!$T:$T,0),MATCH(N$1,'Исходник'!$1:$1,0)))</f>
        <v/>
      </c>
      <c r="O153" s="27">
        <f t="shared" si="5"/>
        <v>0</v>
      </c>
      <c r="P153" s="27" t="str">
        <f t="shared" si="6"/>
        <v/>
      </c>
      <c r="Q153" s="1" t="str">
        <f t="array" ref="Q153">IFERROR(INDEX('Исходник'!$1:$626,MATCH($A153,'Исходник'!$T:$T,0),MATCH(Q$1,'Исходник'!$1:$1,0)))</f>
        <v/>
      </c>
      <c r="R153" s="1" t="str">
        <f t="array" ref="R153">IFERROR(INDEX('Исходник'!$1:$626,MATCH($A153,'Исходник'!$T:$T,0),MATCH(R$1,'Исходник'!$1:$1,0)))</f>
        <v/>
      </c>
      <c r="S153" s="27">
        <f t="shared" si="7"/>
        <v>0</v>
      </c>
      <c r="T153" s="27" t="str">
        <f t="shared" si="8"/>
        <v/>
      </c>
      <c r="U153" s="1" t="str">
        <f t="array" ref="U153">IFERROR(INDEX('Исходник'!$1:$626,MATCH($A153,'Исходник'!$T:$T,0),MATCH(U$1,'Исходник'!$1:$1,0)))</f>
        <v/>
      </c>
      <c r="V153" s="27" t="str">
        <f t="shared" si="9"/>
        <v/>
      </c>
      <c r="W153" s="1" t="str">
        <f t="array" ref="W153">IFERROR(INDEX('Исходник'!$1:$626,MATCH($A153,'Исходник'!$T:$T,0),MATCH(W$1,'Исходник'!$1:$1,0)))</f>
        <v/>
      </c>
      <c r="X153" s="28">
        <f t="shared" si="10"/>
        <v>0</v>
      </c>
      <c r="Y153" s="1" t="str">
        <f t="array" ref="Y153">IFERROR(INDEX('Исходник'!$1:$626,MATCH($A153,'Исходник'!$T:$T,0),MATCH(Y$1,'Исходник'!$1:$1,0)))</f>
        <v/>
      </c>
      <c r="Z153" s="27">
        <f t="shared" si="11"/>
        <v>0</v>
      </c>
      <c r="AA153" s="27" t="str">
        <f t="shared" si="12"/>
        <v/>
      </c>
      <c r="AB153" s="1" t="str">
        <f t="array" ref="AB153">IFERROR(INDEX('Исходник'!$1:$626,MATCH($A153,'Исходник'!$T:$T,0),MATCH(AB$1,'Исходник'!$1:$1,0)))</f>
        <v/>
      </c>
      <c r="AC153" s="1" t="str">
        <f t="array" ref="AC153">IFERROR(INDEX('Исходник'!$1:$626,MATCH($A153,'Исходник'!$T:$T,0),MATCH(AC$1,'Исходник'!$1:$1,0)))</f>
        <v/>
      </c>
      <c r="AD153" s="27" t="str">
        <f t="shared" si="13"/>
        <v/>
      </c>
      <c r="AE153" s="1" t="str">
        <f t="array" ref="AE153">IFERROR(INDEX('Исходник'!$1:$626,MATCH($A153,'Исходник'!$T:$T,0),MATCH(AE$1,'Исходник'!$1:$1,0)))</f>
        <v/>
      </c>
      <c r="AF153" s="1" t="str">
        <f t="array" ref="AF153">IFERROR(INDEX('Исходник'!$1:$626,MATCH($A153,'Исходник'!$T:$T,0),MATCH(AF$1,'Исходник'!$1:$1,0)))</f>
        <v/>
      </c>
      <c r="AG153" s="27" t="str">
        <f t="shared" si="14"/>
        <v/>
      </c>
      <c r="AH153" s="1" t="str">
        <f t="array" ref="AH153">IFERROR(INDEX('Исходник'!$1:$626,MATCH($A153,'Исходник'!$T:$T,0),MATCH(AH$1,'Исходник'!$1:$1,0)))</f>
        <v/>
      </c>
      <c r="AI153" s="1" t="str">
        <f t="array" ref="AI153">IFERROR(INDEX('Исходник'!$1:$626,MATCH($A153,'Исходник'!$T:$T,0),MATCH(AI$1,'Исходник'!$1:$1,0)))</f>
        <v/>
      </c>
      <c r="AJ153" s="18">
        <f t="shared" si="15"/>
        <v>0</v>
      </c>
    </row>
    <row r="154" ht="15.75" customHeight="1">
      <c r="A154" s="27"/>
      <c r="B154" s="1" t="str">
        <f t="array" ref="B154">IFERROR(INDEX('Исходник'!$1:$626,MATCH($A154,'Исходник'!$T:$T,0),MATCH(B$1,'Исходник'!$1:$1,0)))</f>
        <v/>
      </c>
      <c r="C154" s="1" t="str">
        <f t="array" ref="C154">IFERROR(INDEX('Исходник'!$1:$626,MATCH($A154,'Исходник'!$T:$T,0),MATCH(C$1,'Исходник'!$1:$1,0)))</f>
        <v/>
      </c>
      <c r="D154" s="1" t="str">
        <f t="array" ref="D154">IFERROR(INDEX('Исходник'!$1:$626,MATCH($A154,'Исходник'!$T:$T,0),MATCH(D$1,'Исходник'!$1:$1,0)))</f>
        <v/>
      </c>
      <c r="E154" s="1" t="str">
        <f t="array" ref="E154">IFERROR(INDEX('Исходник'!$1:$626,MATCH($A154,'Исходник'!$T:$T,0),MATCH(E$1,'Исходник'!$1:$1,0)))</f>
        <v/>
      </c>
      <c r="F154" s="1" t="str">
        <f t="array" ref="F154">IFERROR(INDEX('Исходник'!$1:$626,MATCH($A154,'Исходник'!$T:$T,0),MATCH(F$1,'Исходник'!$1:$1,0)))</f>
        <v/>
      </c>
      <c r="G154" s="1" t="str">
        <f t="array" ref="G154">IFERROR(INDEX('Исходник'!$1:$626,MATCH($A154,'Исходник'!$T:$T,0),MATCH(G$1,'Исходник'!$1:$1,0)))</f>
        <v/>
      </c>
      <c r="H154" s="27">
        <f t="shared" si="1"/>
        <v>0</v>
      </c>
      <c r="I154" s="27" t="str">
        <f t="shared" si="2"/>
        <v/>
      </c>
      <c r="J154" s="1" t="str">
        <f t="array" ref="J154">IFERROR(INDEX('Исходник'!$1:$626,MATCH($A154,'Исходник'!$T:$T,0),MATCH(J$1,'Исходник'!$1:$1,0)))</f>
        <v/>
      </c>
      <c r="K154" s="27" t="str">
        <f t="shared" si="3"/>
        <v/>
      </c>
      <c r="L154" s="1" t="str">
        <f t="array" ref="L154">IFERROR(INDEX('Исходник'!$1:$626,MATCH($A154,'Исходник'!$T:$T,0),MATCH(L$1,'Исходник'!$1:$1,0)))</f>
        <v/>
      </c>
      <c r="M154" s="28">
        <f t="shared" si="4"/>
        <v>0</v>
      </c>
      <c r="N154" s="1" t="str">
        <f t="array" ref="N154">IFERROR(INDEX('Исходник'!$1:$626,MATCH($A154,'Исходник'!$T:$T,0),MATCH(N$1,'Исходник'!$1:$1,0)))</f>
        <v/>
      </c>
      <c r="O154" s="27">
        <f t="shared" si="5"/>
        <v>0</v>
      </c>
      <c r="P154" s="27" t="str">
        <f t="shared" si="6"/>
        <v/>
      </c>
      <c r="Q154" s="1" t="str">
        <f t="array" ref="Q154">IFERROR(INDEX('Исходник'!$1:$626,MATCH($A154,'Исходник'!$T:$T,0),MATCH(Q$1,'Исходник'!$1:$1,0)))</f>
        <v/>
      </c>
      <c r="R154" s="1" t="str">
        <f t="array" ref="R154">IFERROR(INDEX('Исходник'!$1:$626,MATCH($A154,'Исходник'!$T:$T,0),MATCH(R$1,'Исходник'!$1:$1,0)))</f>
        <v/>
      </c>
      <c r="S154" s="27">
        <f t="shared" si="7"/>
        <v>0</v>
      </c>
      <c r="T154" s="27" t="str">
        <f t="shared" si="8"/>
        <v/>
      </c>
      <c r="U154" s="1" t="str">
        <f t="array" ref="U154">IFERROR(INDEX('Исходник'!$1:$626,MATCH($A154,'Исходник'!$T:$T,0),MATCH(U$1,'Исходник'!$1:$1,0)))</f>
        <v/>
      </c>
      <c r="V154" s="27" t="str">
        <f t="shared" si="9"/>
        <v/>
      </c>
      <c r="W154" s="1" t="str">
        <f t="array" ref="W154">IFERROR(INDEX('Исходник'!$1:$626,MATCH($A154,'Исходник'!$T:$T,0),MATCH(W$1,'Исходник'!$1:$1,0)))</f>
        <v/>
      </c>
      <c r="X154" s="28">
        <f t="shared" si="10"/>
        <v>0</v>
      </c>
      <c r="Y154" s="1" t="str">
        <f t="array" ref="Y154">IFERROR(INDEX('Исходник'!$1:$626,MATCH($A154,'Исходник'!$T:$T,0),MATCH(Y$1,'Исходник'!$1:$1,0)))</f>
        <v/>
      </c>
      <c r="Z154" s="27">
        <f t="shared" si="11"/>
        <v>0</v>
      </c>
      <c r="AA154" s="27" t="str">
        <f t="shared" si="12"/>
        <v/>
      </c>
      <c r="AB154" s="1" t="str">
        <f t="array" ref="AB154">IFERROR(INDEX('Исходник'!$1:$626,MATCH($A154,'Исходник'!$T:$T,0),MATCH(AB$1,'Исходник'!$1:$1,0)))</f>
        <v/>
      </c>
      <c r="AC154" s="1" t="str">
        <f t="array" ref="AC154">IFERROR(INDEX('Исходник'!$1:$626,MATCH($A154,'Исходник'!$T:$T,0),MATCH(AC$1,'Исходник'!$1:$1,0)))</f>
        <v/>
      </c>
      <c r="AD154" s="27" t="str">
        <f t="shared" si="13"/>
        <v/>
      </c>
      <c r="AE154" s="1" t="str">
        <f t="array" ref="AE154">IFERROR(INDEX('Исходник'!$1:$626,MATCH($A154,'Исходник'!$T:$T,0),MATCH(AE$1,'Исходник'!$1:$1,0)))</f>
        <v/>
      </c>
      <c r="AF154" s="1" t="str">
        <f t="array" ref="AF154">IFERROR(INDEX('Исходник'!$1:$626,MATCH($A154,'Исходник'!$T:$T,0),MATCH(AF$1,'Исходник'!$1:$1,0)))</f>
        <v/>
      </c>
      <c r="AG154" s="27" t="str">
        <f t="shared" si="14"/>
        <v/>
      </c>
      <c r="AH154" s="1" t="str">
        <f t="array" ref="AH154">IFERROR(INDEX('Исходник'!$1:$626,MATCH($A154,'Исходник'!$T:$T,0),MATCH(AH$1,'Исходник'!$1:$1,0)))</f>
        <v/>
      </c>
      <c r="AI154" s="1" t="str">
        <f t="array" ref="AI154">IFERROR(INDEX('Исходник'!$1:$626,MATCH($A154,'Исходник'!$T:$T,0),MATCH(AI$1,'Исходник'!$1:$1,0)))</f>
        <v/>
      </c>
      <c r="AJ154" s="18">
        <f t="shared" si="15"/>
        <v>0</v>
      </c>
    </row>
    <row r="155" ht="15.75" customHeight="1">
      <c r="A155" s="27"/>
      <c r="B155" s="1" t="str">
        <f t="array" ref="B155">IFERROR(INDEX('Исходник'!$1:$626,MATCH($A155,'Исходник'!$T:$T,0),MATCH(B$1,'Исходник'!$1:$1,0)))</f>
        <v/>
      </c>
      <c r="C155" s="1" t="str">
        <f t="array" ref="C155">IFERROR(INDEX('Исходник'!$1:$626,MATCH($A155,'Исходник'!$T:$T,0),MATCH(C$1,'Исходник'!$1:$1,0)))</f>
        <v/>
      </c>
      <c r="D155" s="1" t="str">
        <f t="array" ref="D155">IFERROR(INDEX('Исходник'!$1:$626,MATCH($A155,'Исходник'!$T:$T,0),MATCH(D$1,'Исходник'!$1:$1,0)))</f>
        <v/>
      </c>
      <c r="E155" s="1" t="str">
        <f t="array" ref="E155">IFERROR(INDEX('Исходник'!$1:$626,MATCH($A155,'Исходник'!$T:$T,0),MATCH(E$1,'Исходник'!$1:$1,0)))</f>
        <v/>
      </c>
      <c r="F155" s="1" t="str">
        <f t="array" ref="F155">IFERROR(INDEX('Исходник'!$1:$626,MATCH($A155,'Исходник'!$T:$T,0),MATCH(F$1,'Исходник'!$1:$1,0)))</f>
        <v/>
      </c>
      <c r="G155" s="1" t="str">
        <f t="array" ref="G155">IFERROR(INDEX('Исходник'!$1:$626,MATCH($A155,'Исходник'!$T:$T,0),MATCH(G$1,'Исходник'!$1:$1,0)))</f>
        <v/>
      </c>
      <c r="H155" s="27">
        <f t="shared" si="1"/>
        <v>0</v>
      </c>
      <c r="I155" s="27" t="str">
        <f t="shared" si="2"/>
        <v/>
      </c>
      <c r="J155" s="1" t="str">
        <f t="array" ref="J155">IFERROR(INDEX('Исходник'!$1:$626,MATCH($A155,'Исходник'!$T:$T,0),MATCH(J$1,'Исходник'!$1:$1,0)))</f>
        <v/>
      </c>
      <c r="K155" s="27" t="str">
        <f t="shared" si="3"/>
        <v/>
      </c>
      <c r="L155" s="1" t="str">
        <f t="array" ref="L155">IFERROR(INDEX('Исходник'!$1:$626,MATCH($A155,'Исходник'!$T:$T,0),MATCH(L$1,'Исходник'!$1:$1,0)))</f>
        <v/>
      </c>
      <c r="M155" s="28">
        <f t="shared" si="4"/>
        <v>0</v>
      </c>
      <c r="N155" s="1" t="str">
        <f t="array" ref="N155">IFERROR(INDEX('Исходник'!$1:$626,MATCH($A155,'Исходник'!$T:$T,0),MATCH(N$1,'Исходник'!$1:$1,0)))</f>
        <v/>
      </c>
      <c r="O155" s="27">
        <f t="shared" si="5"/>
        <v>0</v>
      </c>
      <c r="P155" s="27" t="str">
        <f t="shared" si="6"/>
        <v/>
      </c>
      <c r="Q155" s="1" t="str">
        <f t="array" ref="Q155">IFERROR(INDEX('Исходник'!$1:$626,MATCH($A155,'Исходник'!$T:$T,0),MATCH(Q$1,'Исходник'!$1:$1,0)))</f>
        <v/>
      </c>
      <c r="R155" s="1" t="str">
        <f t="array" ref="R155">IFERROR(INDEX('Исходник'!$1:$626,MATCH($A155,'Исходник'!$T:$T,0),MATCH(R$1,'Исходник'!$1:$1,0)))</f>
        <v/>
      </c>
      <c r="S155" s="27">
        <f t="shared" si="7"/>
        <v>0</v>
      </c>
      <c r="T155" s="27" t="str">
        <f t="shared" si="8"/>
        <v/>
      </c>
      <c r="U155" s="1" t="str">
        <f t="array" ref="U155">IFERROR(INDEX('Исходник'!$1:$626,MATCH($A155,'Исходник'!$T:$T,0),MATCH(U$1,'Исходник'!$1:$1,0)))</f>
        <v/>
      </c>
      <c r="V155" s="27" t="str">
        <f t="shared" si="9"/>
        <v/>
      </c>
      <c r="W155" s="1" t="str">
        <f t="array" ref="W155">IFERROR(INDEX('Исходник'!$1:$626,MATCH($A155,'Исходник'!$T:$T,0),MATCH(W$1,'Исходник'!$1:$1,0)))</f>
        <v/>
      </c>
      <c r="X155" s="28">
        <f t="shared" si="10"/>
        <v>0</v>
      </c>
      <c r="Y155" s="1" t="str">
        <f t="array" ref="Y155">IFERROR(INDEX('Исходник'!$1:$626,MATCH($A155,'Исходник'!$T:$T,0),MATCH(Y$1,'Исходник'!$1:$1,0)))</f>
        <v/>
      </c>
      <c r="Z155" s="27">
        <f t="shared" si="11"/>
        <v>0</v>
      </c>
      <c r="AA155" s="27" t="str">
        <f t="shared" si="12"/>
        <v/>
      </c>
      <c r="AB155" s="1" t="str">
        <f t="array" ref="AB155">IFERROR(INDEX('Исходник'!$1:$626,MATCH($A155,'Исходник'!$T:$T,0),MATCH(AB$1,'Исходник'!$1:$1,0)))</f>
        <v/>
      </c>
      <c r="AC155" s="1" t="str">
        <f t="array" ref="AC155">IFERROR(INDEX('Исходник'!$1:$626,MATCH($A155,'Исходник'!$T:$T,0),MATCH(AC$1,'Исходник'!$1:$1,0)))</f>
        <v/>
      </c>
      <c r="AD155" s="27" t="str">
        <f t="shared" si="13"/>
        <v/>
      </c>
      <c r="AE155" s="1" t="str">
        <f t="array" ref="AE155">IFERROR(INDEX('Исходник'!$1:$626,MATCH($A155,'Исходник'!$T:$T,0),MATCH(AE$1,'Исходник'!$1:$1,0)))</f>
        <v/>
      </c>
      <c r="AF155" s="1" t="str">
        <f t="array" ref="AF155">IFERROR(INDEX('Исходник'!$1:$626,MATCH($A155,'Исходник'!$T:$T,0),MATCH(AF$1,'Исходник'!$1:$1,0)))</f>
        <v/>
      </c>
      <c r="AG155" s="27" t="str">
        <f t="shared" si="14"/>
        <v/>
      </c>
      <c r="AH155" s="1" t="str">
        <f t="array" ref="AH155">IFERROR(INDEX('Исходник'!$1:$626,MATCH($A155,'Исходник'!$T:$T,0),MATCH(AH$1,'Исходник'!$1:$1,0)))</f>
        <v/>
      </c>
      <c r="AI155" s="1" t="str">
        <f t="array" ref="AI155">IFERROR(INDEX('Исходник'!$1:$626,MATCH($A155,'Исходник'!$T:$T,0),MATCH(AI$1,'Исходник'!$1:$1,0)))</f>
        <v/>
      </c>
      <c r="AJ155" s="18">
        <f t="shared" si="15"/>
        <v>0</v>
      </c>
    </row>
    <row r="156" ht="15.75" customHeight="1">
      <c r="A156" s="27"/>
      <c r="B156" s="1" t="str">
        <f t="array" ref="B156">IFERROR(INDEX('Исходник'!$1:$626,MATCH($A156,'Исходник'!$T:$T,0),MATCH(B$1,'Исходник'!$1:$1,0)))</f>
        <v/>
      </c>
      <c r="C156" s="1" t="str">
        <f t="array" ref="C156">IFERROR(INDEX('Исходник'!$1:$626,MATCH($A156,'Исходник'!$T:$T,0),MATCH(C$1,'Исходник'!$1:$1,0)))</f>
        <v/>
      </c>
      <c r="D156" s="1" t="str">
        <f t="array" ref="D156">IFERROR(INDEX('Исходник'!$1:$626,MATCH($A156,'Исходник'!$T:$T,0),MATCH(D$1,'Исходник'!$1:$1,0)))</f>
        <v/>
      </c>
      <c r="E156" s="1" t="str">
        <f t="array" ref="E156">IFERROR(INDEX('Исходник'!$1:$626,MATCH($A156,'Исходник'!$T:$T,0),MATCH(E$1,'Исходник'!$1:$1,0)))</f>
        <v/>
      </c>
      <c r="F156" s="1" t="str">
        <f t="array" ref="F156">IFERROR(INDEX('Исходник'!$1:$626,MATCH($A156,'Исходник'!$T:$T,0),MATCH(F$1,'Исходник'!$1:$1,0)))</f>
        <v/>
      </c>
      <c r="G156" s="1" t="str">
        <f t="array" ref="G156">IFERROR(INDEX('Исходник'!$1:$626,MATCH($A156,'Исходник'!$T:$T,0),MATCH(G$1,'Исходник'!$1:$1,0)))</f>
        <v/>
      </c>
      <c r="H156" s="27">
        <f t="shared" si="1"/>
        <v>0</v>
      </c>
      <c r="I156" s="27" t="str">
        <f t="shared" si="2"/>
        <v/>
      </c>
      <c r="J156" s="1" t="str">
        <f t="array" ref="J156">IFERROR(INDEX('Исходник'!$1:$626,MATCH($A156,'Исходник'!$T:$T,0),MATCH(J$1,'Исходник'!$1:$1,0)))</f>
        <v/>
      </c>
      <c r="K156" s="27" t="str">
        <f t="shared" si="3"/>
        <v/>
      </c>
      <c r="L156" s="1" t="str">
        <f t="array" ref="L156">IFERROR(INDEX('Исходник'!$1:$626,MATCH($A156,'Исходник'!$T:$T,0),MATCH(L$1,'Исходник'!$1:$1,0)))</f>
        <v/>
      </c>
      <c r="M156" s="28">
        <f t="shared" si="4"/>
        <v>0</v>
      </c>
      <c r="N156" s="1" t="str">
        <f t="array" ref="N156">IFERROR(INDEX('Исходник'!$1:$626,MATCH($A156,'Исходник'!$T:$T,0),MATCH(N$1,'Исходник'!$1:$1,0)))</f>
        <v/>
      </c>
      <c r="O156" s="27">
        <f t="shared" si="5"/>
        <v>0</v>
      </c>
      <c r="P156" s="27" t="str">
        <f t="shared" si="6"/>
        <v/>
      </c>
      <c r="Q156" s="1" t="str">
        <f t="array" ref="Q156">IFERROR(INDEX('Исходник'!$1:$626,MATCH($A156,'Исходник'!$T:$T,0),MATCH(Q$1,'Исходник'!$1:$1,0)))</f>
        <v/>
      </c>
      <c r="R156" s="1" t="str">
        <f t="array" ref="R156">IFERROR(INDEX('Исходник'!$1:$626,MATCH($A156,'Исходник'!$T:$T,0),MATCH(R$1,'Исходник'!$1:$1,0)))</f>
        <v/>
      </c>
      <c r="S156" s="27">
        <f t="shared" si="7"/>
        <v>0</v>
      </c>
      <c r="T156" s="27" t="str">
        <f t="shared" si="8"/>
        <v/>
      </c>
      <c r="U156" s="1" t="str">
        <f t="array" ref="U156">IFERROR(INDEX('Исходник'!$1:$626,MATCH($A156,'Исходник'!$T:$T,0),MATCH(U$1,'Исходник'!$1:$1,0)))</f>
        <v/>
      </c>
      <c r="V156" s="27" t="str">
        <f t="shared" si="9"/>
        <v/>
      </c>
      <c r="W156" s="1" t="str">
        <f t="array" ref="W156">IFERROR(INDEX('Исходник'!$1:$626,MATCH($A156,'Исходник'!$T:$T,0),MATCH(W$1,'Исходник'!$1:$1,0)))</f>
        <v/>
      </c>
      <c r="X156" s="28">
        <f t="shared" si="10"/>
        <v>0</v>
      </c>
      <c r="Y156" s="1" t="str">
        <f t="array" ref="Y156">IFERROR(INDEX('Исходник'!$1:$626,MATCH($A156,'Исходник'!$T:$T,0),MATCH(Y$1,'Исходник'!$1:$1,0)))</f>
        <v/>
      </c>
      <c r="Z156" s="27">
        <f t="shared" si="11"/>
        <v>0</v>
      </c>
      <c r="AA156" s="27" t="str">
        <f t="shared" si="12"/>
        <v/>
      </c>
      <c r="AB156" s="1" t="str">
        <f t="array" ref="AB156">IFERROR(INDEX('Исходник'!$1:$626,MATCH($A156,'Исходник'!$T:$T,0),MATCH(AB$1,'Исходник'!$1:$1,0)))</f>
        <v/>
      </c>
      <c r="AC156" s="1" t="str">
        <f t="array" ref="AC156">IFERROR(INDEX('Исходник'!$1:$626,MATCH($A156,'Исходник'!$T:$T,0),MATCH(AC$1,'Исходник'!$1:$1,0)))</f>
        <v/>
      </c>
      <c r="AD156" s="27" t="str">
        <f t="shared" si="13"/>
        <v/>
      </c>
      <c r="AE156" s="1" t="str">
        <f t="array" ref="AE156">IFERROR(INDEX('Исходник'!$1:$626,MATCH($A156,'Исходник'!$T:$T,0),MATCH(AE$1,'Исходник'!$1:$1,0)))</f>
        <v/>
      </c>
      <c r="AF156" s="1" t="str">
        <f t="array" ref="AF156">IFERROR(INDEX('Исходник'!$1:$626,MATCH($A156,'Исходник'!$T:$T,0),MATCH(AF$1,'Исходник'!$1:$1,0)))</f>
        <v/>
      </c>
      <c r="AG156" s="27" t="str">
        <f t="shared" si="14"/>
        <v/>
      </c>
      <c r="AH156" s="1" t="str">
        <f t="array" ref="AH156">IFERROR(INDEX('Исходник'!$1:$626,MATCH($A156,'Исходник'!$T:$T,0),MATCH(AH$1,'Исходник'!$1:$1,0)))</f>
        <v/>
      </c>
      <c r="AI156" s="1" t="str">
        <f t="array" ref="AI156">IFERROR(INDEX('Исходник'!$1:$626,MATCH($A156,'Исходник'!$T:$T,0),MATCH(AI$1,'Исходник'!$1:$1,0)))</f>
        <v/>
      </c>
      <c r="AJ156" s="18">
        <f t="shared" si="15"/>
        <v>0</v>
      </c>
    </row>
    <row r="157" ht="15.75" customHeight="1">
      <c r="A157" s="27"/>
      <c r="B157" s="1" t="str">
        <f t="array" ref="B157">IFERROR(INDEX('Исходник'!$1:$626,MATCH($A157,'Исходник'!$T:$T,0),MATCH(B$1,'Исходник'!$1:$1,0)))</f>
        <v/>
      </c>
      <c r="C157" s="1" t="str">
        <f t="array" ref="C157">IFERROR(INDEX('Исходник'!$1:$626,MATCH($A157,'Исходник'!$T:$T,0),MATCH(C$1,'Исходник'!$1:$1,0)))</f>
        <v/>
      </c>
      <c r="D157" s="1" t="str">
        <f t="array" ref="D157">IFERROR(INDEX('Исходник'!$1:$626,MATCH($A157,'Исходник'!$T:$T,0),MATCH(D$1,'Исходник'!$1:$1,0)))</f>
        <v/>
      </c>
      <c r="E157" s="1" t="str">
        <f t="array" ref="E157">IFERROR(INDEX('Исходник'!$1:$626,MATCH($A157,'Исходник'!$T:$T,0),MATCH(E$1,'Исходник'!$1:$1,0)))</f>
        <v/>
      </c>
      <c r="F157" s="1" t="str">
        <f t="array" ref="F157">IFERROR(INDEX('Исходник'!$1:$626,MATCH($A157,'Исходник'!$T:$T,0),MATCH(F$1,'Исходник'!$1:$1,0)))</f>
        <v/>
      </c>
      <c r="G157" s="1" t="str">
        <f t="array" ref="G157">IFERROR(INDEX('Исходник'!$1:$626,MATCH($A157,'Исходник'!$T:$T,0),MATCH(G$1,'Исходник'!$1:$1,0)))</f>
        <v/>
      </c>
      <c r="H157" s="27">
        <f t="shared" si="1"/>
        <v>0</v>
      </c>
      <c r="I157" s="27" t="str">
        <f t="shared" si="2"/>
        <v/>
      </c>
      <c r="J157" s="1" t="str">
        <f t="array" ref="J157">IFERROR(INDEX('Исходник'!$1:$626,MATCH($A157,'Исходник'!$T:$T,0),MATCH(J$1,'Исходник'!$1:$1,0)))</f>
        <v/>
      </c>
      <c r="K157" s="27" t="str">
        <f t="shared" si="3"/>
        <v/>
      </c>
      <c r="L157" s="1" t="str">
        <f t="array" ref="L157">IFERROR(INDEX('Исходник'!$1:$626,MATCH($A157,'Исходник'!$T:$T,0),MATCH(L$1,'Исходник'!$1:$1,0)))</f>
        <v/>
      </c>
      <c r="M157" s="28">
        <f t="shared" si="4"/>
        <v>0</v>
      </c>
      <c r="N157" s="1" t="str">
        <f t="array" ref="N157">IFERROR(INDEX('Исходник'!$1:$626,MATCH($A157,'Исходник'!$T:$T,0),MATCH(N$1,'Исходник'!$1:$1,0)))</f>
        <v/>
      </c>
      <c r="O157" s="27">
        <f t="shared" si="5"/>
        <v>0</v>
      </c>
      <c r="P157" s="27" t="str">
        <f t="shared" si="6"/>
        <v/>
      </c>
      <c r="Q157" s="1" t="str">
        <f t="array" ref="Q157">IFERROR(INDEX('Исходник'!$1:$626,MATCH($A157,'Исходник'!$T:$T,0),MATCH(Q$1,'Исходник'!$1:$1,0)))</f>
        <v/>
      </c>
      <c r="R157" s="1" t="str">
        <f t="array" ref="R157">IFERROR(INDEX('Исходник'!$1:$626,MATCH($A157,'Исходник'!$T:$T,0),MATCH(R$1,'Исходник'!$1:$1,0)))</f>
        <v/>
      </c>
      <c r="S157" s="27">
        <f t="shared" si="7"/>
        <v>0</v>
      </c>
      <c r="T157" s="27" t="str">
        <f t="shared" si="8"/>
        <v/>
      </c>
      <c r="U157" s="1" t="str">
        <f t="array" ref="U157">IFERROR(INDEX('Исходник'!$1:$626,MATCH($A157,'Исходник'!$T:$T,0),MATCH(U$1,'Исходник'!$1:$1,0)))</f>
        <v/>
      </c>
      <c r="V157" s="27" t="str">
        <f t="shared" si="9"/>
        <v/>
      </c>
      <c r="W157" s="1" t="str">
        <f t="array" ref="W157">IFERROR(INDEX('Исходник'!$1:$626,MATCH($A157,'Исходник'!$T:$T,0),MATCH(W$1,'Исходник'!$1:$1,0)))</f>
        <v/>
      </c>
      <c r="X157" s="28">
        <f t="shared" si="10"/>
        <v>0</v>
      </c>
      <c r="Y157" s="1" t="str">
        <f t="array" ref="Y157">IFERROR(INDEX('Исходник'!$1:$626,MATCH($A157,'Исходник'!$T:$T,0),MATCH(Y$1,'Исходник'!$1:$1,0)))</f>
        <v/>
      </c>
      <c r="Z157" s="27">
        <f t="shared" si="11"/>
        <v>0</v>
      </c>
      <c r="AA157" s="27" t="str">
        <f t="shared" si="12"/>
        <v/>
      </c>
      <c r="AB157" s="1" t="str">
        <f t="array" ref="AB157">IFERROR(INDEX('Исходник'!$1:$626,MATCH($A157,'Исходник'!$T:$T,0),MATCH(AB$1,'Исходник'!$1:$1,0)))</f>
        <v/>
      </c>
      <c r="AC157" s="1" t="str">
        <f t="array" ref="AC157">IFERROR(INDEX('Исходник'!$1:$626,MATCH($A157,'Исходник'!$T:$T,0),MATCH(AC$1,'Исходник'!$1:$1,0)))</f>
        <v/>
      </c>
      <c r="AD157" s="27" t="str">
        <f t="shared" si="13"/>
        <v/>
      </c>
      <c r="AE157" s="1" t="str">
        <f t="array" ref="AE157">IFERROR(INDEX('Исходник'!$1:$626,MATCH($A157,'Исходник'!$T:$T,0),MATCH(AE$1,'Исходник'!$1:$1,0)))</f>
        <v/>
      </c>
      <c r="AF157" s="1" t="str">
        <f t="array" ref="AF157">IFERROR(INDEX('Исходник'!$1:$626,MATCH($A157,'Исходник'!$T:$T,0),MATCH(AF$1,'Исходник'!$1:$1,0)))</f>
        <v/>
      </c>
      <c r="AG157" s="27" t="str">
        <f t="shared" si="14"/>
        <v/>
      </c>
      <c r="AH157" s="1" t="str">
        <f t="array" ref="AH157">IFERROR(INDEX('Исходник'!$1:$626,MATCH($A157,'Исходник'!$T:$T,0),MATCH(AH$1,'Исходник'!$1:$1,0)))</f>
        <v/>
      </c>
      <c r="AI157" s="1" t="str">
        <f t="array" ref="AI157">IFERROR(INDEX('Исходник'!$1:$626,MATCH($A157,'Исходник'!$T:$T,0),MATCH(AI$1,'Исходник'!$1:$1,0)))</f>
        <v/>
      </c>
      <c r="AJ157" s="18">
        <f t="shared" si="15"/>
        <v>0</v>
      </c>
    </row>
    <row r="158" ht="15.75" customHeight="1">
      <c r="A158" s="27"/>
      <c r="B158" s="1" t="str">
        <f t="array" ref="B158">IFERROR(INDEX('Исходник'!$1:$626,MATCH($A158,'Исходник'!$T:$T,0),MATCH(B$1,'Исходник'!$1:$1,0)))</f>
        <v/>
      </c>
      <c r="C158" s="1" t="str">
        <f t="array" ref="C158">IFERROR(INDEX('Исходник'!$1:$626,MATCH($A158,'Исходник'!$T:$T,0),MATCH(C$1,'Исходник'!$1:$1,0)))</f>
        <v/>
      </c>
      <c r="D158" s="1" t="str">
        <f t="array" ref="D158">IFERROR(INDEX('Исходник'!$1:$626,MATCH($A158,'Исходник'!$T:$T,0),MATCH(D$1,'Исходник'!$1:$1,0)))</f>
        <v/>
      </c>
      <c r="E158" s="1" t="str">
        <f t="array" ref="E158">IFERROR(INDEX('Исходник'!$1:$626,MATCH($A158,'Исходник'!$T:$T,0),MATCH(E$1,'Исходник'!$1:$1,0)))</f>
        <v/>
      </c>
      <c r="F158" s="1" t="str">
        <f t="array" ref="F158">IFERROR(INDEX('Исходник'!$1:$626,MATCH($A158,'Исходник'!$T:$T,0),MATCH(F$1,'Исходник'!$1:$1,0)))</f>
        <v/>
      </c>
      <c r="G158" s="1" t="str">
        <f t="array" ref="G158">IFERROR(INDEX('Исходник'!$1:$626,MATCH($A158,'Исходник'!$T:$T,0),MATCH(G$1,'Исходник'!$1:$1,0)))</f>
        <v/>
      </c>
      <c r="H158" s="27">
        <f t="shared" si="1"/>
        <v>0</v>
      </c>
      <c r="I158" s="27" t="str">
        <f t="shared" si="2"/>
        <v/>
      </c>
      <c r="J158" s="1" t="str">
        <f t="array" ref="J158">IFERROR(INDEX('Исходник'!$1:$626,MATCH($A158,'Исходник'!$T:$T,0),MATCH(J$1,'Исходник'!$1:$1,0)))</f>
        <v/>
      </c>
      <c r="K158" s="27" t="str">
        <f t="shared" si="3"/>
        <v/>
      </c>
      <c r="L158" s="1" t="str">
        <f t="array" ref="L158">IFERROR(INDEX('Исходник'!$1:$626,MATCH($A158,'Исходник'!$T:$T,0),MATCH(L$1,'Исходник'!$1:$1,0)))</f>
        <v/>
      </c>
      <c r="M158" s="28">
        <f t="shared" si="4"/>
        <v>0</v>
      </c>
      <c r="N158" s="1" t="str">
        <f t="array" ref="N158">IFERROR(INDEX('Исходник'!$1:$626,MATCH($A158,'Исходник'!$T:$T,0),MATCH(N$1,'Исходник'!$1:$1,0)))</f>
        <v/>
      </c>
      <c r="O158" s="27">
        <f t="shared" si="5"/>
        <v>0</v>
      </c>
      <c r="P158" s="27" t="str">
        <f t="shared" si="6"/>
        <v/>
      </c>
      <c r="Q158" s="1" t="str">
        <f t="array" ref="Q158">IFERROR(INDEX('Исходник'!$1:$626,MATCH($A158,'Исходник'!$T:$T,0),MATCH(Q$1,'Исходник'!$1:$1,0)))</f>
        <v/>
      </c>
      <c r="R158" s="1" t="str">
        <f t="array" ref="R158">IFERROR(INDEX('Исходник'!$1:$626,MATCH($A158,'Исходник'!$T:$T,0),MATCH(R$1,'Исходник'!$1:$1,0)))</f>
        <v/>
      </c>
      <c r="S158" s="27">
        <f t="shared" si="7"/>
        <v>0</v>
      </c>
      <c r="T158" s="27" t="str">
        <f t="shared" si="8"/>
        <v/>
      </c>
      <c r="U158" s="1" t="str">
        <f t="array" ref="U158">IFERROR(INDEX('Исходник'!$1:$626,MATCH($A158,'Исходник'!$T:$T,0),MATCH(U$1,'Исходник'!$1:$1,0)))</f>
        <v/>
      </c>
      <c r="V158" s="27" t="str">
        <f t="shared" si="9"/>
        <v/>
      </c>
      <c r="W158" s="1" t="str">
        <f t="array" ref="W158">IFERROR(INDEX('Исходник'!$1:$626,MATCH($A158,'Исходник'!$T:$T,0),MATCH(W$1,'Исходник'!$1:$1,0)))</f>
        <v/>
      </c>
      <c r="X158" s="28">
        <f t="shared" si="10"/>
        <v>0</v>
      </c>
      <c r="Y158" s="1" t="str">
        <f t="array" ref="Y158">IFERROR(INDEX('Исходник'!$1:$626,MATCH($A158,'Исходник'!$T:$T,0),MATCH(Y$1,'Исходник'!$1:$1,0)))</f>
        <v/>
      </c>
      <c r="Z158" s="27">
        <f t="shared" si="11"/>
        <v>0</v>
      </c>
      <c r="AA158" s="27" t="str">
        <f t="shared" si="12"/>
        <v/>
      </c>
      <c r="AB158" s="1" t="str">
        <f t="array" ref="AB158">IFERROR(INDEX('Исходник'!$1:$626,MATCH($A158,'Исходник'!$T:$T,0),MATCH(AB$1,'Исходник'!$1:$1,0)))</f>
        <v/>
      </c>
      <c r="AC158" s="1" t="str">
        <f t="array" ref="AC158">IFERROR(INDEX('Исходник'!$1:$626,MATCH($A158,'Исходник'!$T:$T,0),MATCH(AC$1,'Исходник'!$1:$1,0)))</f>
        <v/>
      </c>
      <c r="AD158" s="27" t="str">
        <f t="shared" si="13"/>
        <v/>
      </c>
      <c r="AE158" s="1" t="str">
        <f t="array" ref="AE158">IFERROR(INDEX('Исходник'!$1:$626,MATCH($A158,'Исходник'!$T:$T,0),MATCH(AE$1,'Исходник'!$1:$1,0)))</f>
        <v/>
      </c>
      <c r="AF158" s="1" t="str">
        <f t="array" ref="AF158">IFERROR(INDEX('Исходник'!$1:$626,MATCH($A158,'Исходник'!$T:$T,0),MATCH(AF$1,'Исходник'!$1:$1,0)))</f>
        <v/>
      </c>
      <c r="AG158" s="27" t="str">
        <f t="shared" si="14"/>
        <v/>
      </c>
      <c r="AH158" s="1" t="str">
        <f t="array" ref="AH158">IFERROR(INDEX('Исходник'!$1:$626,MATCH($A158,'Исходник'!$T:$T,0),MATCH(AH$1,'Исходник'!$1:$1,0)))</f>
        <v/>
      </c>
      <c r="AI158" s="1" t="str">
        <f t="array" ref="AI158">IFERROR(INDEX('Исходник'!$1:$626,MATCH($A158,'Исходник'!$T:$T,0),MATCH(AI$1,'Исходник'!$1:$1,0)))</f>
        <v/>
      </c>
      <c r="AJ158" s="18">
        <f t="shared" si="15"/>
        <v>0</v>
      </c>
    </row>
    <row r="159" ht="15.75" customHeight="1">
      <c r="A159" s="27"/>
      <c r="B159" s="1" t="str">
        <f t="array" ref="B159">IFERROR(INDEX('Исходник'!$1:$626,MATCH($A159,'Исходник'!$T:$T,0),MATCH(B$1,'Исходник'!$1:$1,0)))</f>
        <v/>
      </c>
      <c r="C159" s="1" t="str">
        <f t="array" ref="C159">IFERROR(INDEX('Исходник'!$1:$626,MATCH($A159,'Исходник'!$T:$T,0),MATCH(C$1,'Исходник'!$1:$1,0)))</f>
        <v/>
      </c>
      <c r="D159" s="1" t="str">
        <f t="array" ref="D159">IFERROR(INDEX('Исходник'!$1:$626,MATCH($A159,'Исходник'!$T:$T,0),MATCH(D$1,'Исходник'!$1:$1,0)))</f>
        <v/>
      </c>
      <c r="E159" s="1" t="str">
        <f t="array" ref="E159">IFERROR(INDEX('Исходник'!$1:$626,MATCH($A159,'Исходник'!$T:$T,0),MATCH(E$1,'Исходник'!$1:$1,0)))</f>
        <v/>
      </c>
      <c r="F159" s="1" t="str">
        <f t="array" ref="F159">IFERROR(INDEX('Исходник'!$1:$626,MATCH($A159,'Исходник'!$T:$T,0),MATCH(F$1,'Исходник'!$1:$1,0)))</f>
        <v/>
      </c>
      <c r="G159" s="1" t="str">
        <f t="array" ref="G159">IFERROR(INDEX('Исходник'!$1:$626,MATCH($A159,'Исходник'!$T:$T,0),MATCH(G$1,'Исходник'!$1:$1,0)))</f>
        <v/>
      </c>
      <c r="H159" s="27">
        <f t="shared" si="1"/>
        <v>0</v>
      </c>
      <c r="I159" s="27" t="str">
        <f t="shared" si="2"/>
        <v/>
      </c>
      <c r="J159" s="1" t="str">
        <f t="array" ref="J159">IFERROR(INDEX('Исходник'!$1:$626,MATCH($A159,'Исходник'!$T:$T,0),MATCH(J$1,'Исходник'!$1:$1,0)))</f>
        <v/>
      </c>
      <c r="K159" s="27" t="str">
        <f t="shared" si="3"/>
        <v/>
      </c>
      <c r="L159" s="1" t="str">
        <f t="array" ref="L159">IFERROR(INDEX('Исходник'!$1:$626,MATCH($A159,'Исходник'!$T:$T,0),MATCH(L$1,'Исходник'!$1:$1,0)))</f>
        <v/>
      </c>
      <c r="M159" s="28">
        <f t="shared" si="4"/>
        <v>0</v>
      </c>
      <c r="N159" s="1" t="str">
        <f t="array" ref="N159">IFERROR(INDEX('Исходник'!$1:$626,MATCH($A159,'Исходник'!$T:$T,0),MATCH(N$1,'Исходник'!$1:$1,0)))</f>
        <v/>
      </c>
      <c r="O159" s="27">
        <f t="shared" si="5"/>
        <v>0</v>
      </c>
      <c r="P159" s="27" t="str">
        <f t="shared" si="6"/>
        <v/>
      </c>
      <c r="Q159" s="1" t="str">
        <f t="array" ref="Q159">IFERROR(INDEX('Исходник'!$1:$626,MATCH($A159,'Исходник'!$T:$T,0),MATCH(Q$1,'Исходник'!$1:$1,0)))</f>
        <v/>
      </c>
      <c r="R159" s="1" t="str">
        <f t="array" ref="R159">IFERROR(INDEX('Исходник'!$1:$626,MATCH($A159,'Исходник'!$T:$T,0),MATCH(R$1,'Исходник'!$1:$1,0)))</f>
        <v/>
      </c>
      <c r="S159" s="27">
        <f t="shared" si="7"/>
        <v>0</v>
      </c>
      <c r="T159" s="27" t="str">
        <f t="shared" si="8"/>
        <v/>
      </c>
      <c r="U159" s="1" t="str">
        <f t="array" ref="U159">IFERROR(INDEX('Исходник'!$1:$626,MATCH($A159,'Исходник'!$T:$T,0),MATCH(U$1,'Исходник'!$1:$1,0)))</f>
        <v/>
      </c>
      <c r="V159" s="27" t="str">
        <f t="shared" si="9"/>
        <v/>
      </c>
      <c r="W159" s="1" t="str">
        <f t="array" ref="W159">IFERROR(INDEX('Исходник'!$1:$626,MATCH($A159,'Исходник'!$T:$T,0),MATCH(W$1,'Исходник'!$1:$1,0)))</f>
        <v/>
      </c>
      <c r="X159" s="28">
        <f t="shared" si="10"/>
        <v>0</v>
      </c>
      <c r="Y159" s="1" t="str">
        <f t="array" ref="Y159">IFERROR(INDEX('Исходник'!$1:$626,MATCH($A159,'Исходник'!$T:$T,0),MATCH(Y$1,'Исходник'!$1:$1,0)))</f>
        <v/>
      </c>
      <c r="Z159" s="27">
        <f t="shared" si="11"/>
        <v>0</v>
      </c>
      <c r="AA159" s="27" t="str">
        <f t="shared" si="12"/>
        <v/>
      </c>
      <c r="AB159" s="1" t="str">
        <f t="array" ref="AB159">IFERROR(INDEX('Исходник'!$1:$626,MATCH($A159,'Исходник'!$T:$T,0),MATCH(AB$1,'Исходник'!$1:$1,0)))</f>
        <v/>
      </c>
      <c r="AC159" s="1" t="str">
        <f t="array" ref="AC159">IFERROR(INDEX('Исходник'!$1:$626,MATCH($A159,'Исходник'!$T:$T,0),MATCH(AC$1,'Исходник'!$1:$1,0)))</f>
        <v/>
      </c>
      <c r="AD159" s="27" t="str">
        <f t="shared" si="13"/>
        <v/>
      </c>
      <c r="AE159" s="1" t="str">
        <f t="array" ref="AE159">IFERROR(INDEX('Исходник'!$1:$626,MATCH($A159,'Исходник'!$T:$T,0),MATCH(AE$1,'Исходник'!$1:$1,0)))</f>
        <v/>
      </c>
      <c r="AF159" s="1" t="str">
        <f t="array" ref="AF159">IFERROR(INDEX('Исходник'!$1:$626,MATCH($A159,'Исходник'!$T:$T,0),MATCH(AF$1,'Исходник'!$1:$1,0)))</f>
        <v/>
      </c>
      <c r="AG159" s="27" t="str">
        <f t="shared" si="14"/>
        <v/>
      </c>
      <c r="AH159" s="1" t="str">
        <f t="array" ref="AH159">IFERROR(INDEX('Исходник'!$1:$626,MATCH($A159,'Исходник'!$T:$T,0),MATCH(AH$1,'Исходник'!$1:$1,0)))</f>
        <v/>
      </c>
      <c r="AI159" s="1" t="str">
        <f t="array" ref="AI159">IFERROR(INDEX('Исходник'!$1:$626,MATCH($A159,'Исходник'!$T:$T,0),MATCH(AI$1,'Исходник'!$1:$1,0)))</f>
        <v/>
      </c>
      <c r="AJ159" s="18">
        <f t="shared" si="15"/>
        <v>0</v>
      </c>
    </row>
    <row r="160" ht="15.75" customHeight="1">
      <c r="A160" s="27"/>
      <c r="B160" s="1" t="str">
        <f t="array" ref="B160">IFERROR(INDEX('Исходник'!$1:$626,MATCH($A160,'Исходник'!$T:$T,0),MATCH(B$1,'Исходник'!$1:$1,0)))</f>
        <v/>
      </c>
      <c r="C160" s="1" t="str">
        <f t="array" ref="C160">IFERROR(INDEX('Исходник'!$1:$626,MATCH($A160,'Исходник'!$T:$T,0),MATCH(C$1,'Исходник'!$1:$1,0)))</f>
        <v/>
      </c>
      <c r="D160" s="1" t="str">
        <f t="array" ref="D160">IFERROR(INDEX('Исходник'!$1:$626,MATCH($A160,'Исходник'!$T:$T,0),MATCH(D$1,'Исходник'!$1:$1,0)))</f>
        <v/>
      </c>
      <c r="E160" s="1" t="str">
        <f t="array" ref="E160">IFERROR(INDEX('Исходник'!$1:$626,MATCH($A160,'Исходник'!$T:$T,0),MATCH(E$1,'Исходник'!$1:$1,0)))</f>
        <v/>
      </c>
      <c r="F160" s="1" t="str">
        <f t="array" ref="F160">IFERROR(INDEX('Исходник'!$1:$626,MATCH($A160,'Исходник'!$T:$T,0),MATCH(F$1,'Исходник'!$1:$1,0)))</f>
        <v/>
      </c>
      <c r="G160" s="1" t="str">
        <f t="array" ref="G160">IFERROR(INDEX('Исходник'!$1:$626,MATCH($A160,'Исходник'!$T:$T,0),MATCH(G$1,'Исходник'!$1:$1,0)))</f>
        <v/>
      </c>
      <c r="H160" s="27">
        <f t="shared" si="1"/>
        <v>0</v>
      </c>
      <c r="I160" s="27" t="str">
        <f t="shared" si="2"/>
        <v/>
      </c>
      <c r="J160" s="1" t="str">
        <f t="array" ref="J160">IFERROR(INDEX('Исходник'!$1:$626,MATCH($A160,'Исходник'!$T:$T,0),MATCH(J$1,'Исходник'!$1:$1,0)))</f>
        <v/>
      </c>
      <c r="K160" s="27" t="str">
        <f t="shared" si="3"/>
        <v/>
      </c>
      <c r="L160" s="1" t="str">
        <f t="array" ref="L160">IFERROR(INDEX('Исходник'!$1:$626,MATCH($A160,'Исходник'!$T:$T,0),MATCH(L$1,'Исходник'!$1:$1,0)))</f>
        <v/>
      </c>
      <c r="M160" s="28">
        <f t="shared" si="4"/>
        <v>0</v>
      </c>
      <c r="N160" s="1" t="str">
        <f t="array" ref="N160">IFERROR(INDEX('Исходник'!$1:$626,MATCH($A160,'Исходник'!$T:$T,0),MATCH(N$1,'Исходник'!$1:$1,0)))</f>
        <v/>
      </c>
      <c r="O160" s="27">
        <f t="shared" si="5"/>
        <v>0</v>
      </c>
      <c r="P160" s="27" t="str">
        <f t="shared" si="6"/>
        <v/>
      </c>
      <c r="Q160" s="1" t="str">
        <f t="array" ref="Q160">IFERROR(INDEX('Исходник'!$1:$626,MATCH($A160,'Исходник'!$T:$T,0),MATCH(Q$1,'Исходник'!$1:$1,0)))</f>
        <v/>
      </c>
      <c r="R160" s="1" t="str">
        <f t="array" ref="R160">IFERROR(INDEX('Исходник'!$1:$626,MATCH($A160,'Исходник'!$T:$T,0),MATCH(R$1,'Исходник'!$1:$1,0)))</f>
        <v/>
      </c>
      <c r="S160" s="27">
        <f t="shared" si="7"/>
        <v>0</v>
      </c>
      <c r="T160" s="27" t="str">
        <f t="shared" si="8"/>
        <v/>
      </c>
      <c r="U160" s="1" t="str">
        <f t="array" ref="U160">IFERROR(INDEX('Исходник'!$1:$626,MATCH($A160,'Исходник'!$T:$T,0),MATCH(U$1,'Исходник'!$1:$1,0)))</f>
        <v/>
      </c>
      <c r="V160" s="27" t="str">
        <f t="shared" si="9"/>
        <v/>
      </c>
      <c r="W160" s="1" t="str">
        <f t="array" ref="W160">IFERROR(INDEX('Исходник'!$1:$626,MATCH($A160,'Исходник'!$T:$T,0),MATCH(W$1,'Исходник'!$1:$1,0)))</f>
        <v/>
      </c>
      <c r="X160" s="28">
        <f t="shared" si="10"/>
        <v>0</v>
      </c>
      <c r="Y160" s="1" t="str">
        <f t="array" ref="Y160">IFERROR(INDEX('Исходник'!$1:$626,MATCH($A160,'Исходник'!$T:$T,0),MATCH(Y$1,'Исходник'!$1:$1,0)))</f>
        <v/>
      </c>
      <c r="Z160" s="27">
        <f t="shared" si="11"/>
        <v>0</v>
      </c>
      <c r="AA160" s="27" t="str">
        <f t="shared" si="12"/>
        <v/>
      </c>
      <c r="AB160" s="1" t="str">
        <f t="array" ref="AB160">IFERROR(INDEX('Исходник'!$1:$626,MATCH($A160,'Исходник'!$T:$T,0),MATCH(AB$1,'Исходник'!$1:$1,0)))</f>
        <v/>
      </c>
      <c r="AC160" s="1" t="str">
        <f t="array" ref="AC160">IFERROR(INDEX('Исходник'!$1:$626,MATCH($A160,'Исходник'!$T:$T,0),MATCH(AC$1,'Исходник'!$1:$1,0)))</f>
        <v/>
      </c>
      <c r="AD160" s="27" t="str">
        <f t="shared" si="13"/>
        <v/>
      </c>
      <c r="AE160" s="1" t="str">
        <f t="array" ref="AE160">IFERROR(INDEX('Исходник'!$1:$626,MATCH($A160,'Исходник'!$T:$T,0),MATCH(AE$1,'Исходник'!$1:$1,0)))</f>
        <v/>
      </c>
      <c r="AF160" s="1" t="str">
        <f t="array" ref="AF160">IFERROR(INDEX('Исходник'!$1:$626,MATCH($A160,'Исходник'!$T:$T,0),MATCH(AF$1,'Исходник'!$1:$1,0)))</f>
        <v/>
      </c>
      <c r="AG160" s="27" t="str">
        <f t="shared" si="14"/>
        <v/>
      </c>
      <c r="AH160" s="1" t="str">
        <f t="array" ref="AH160">IFERROR(INDEX('Исходник'!$1:$626,MATCH($A160,'Исходник'!$T:$T,0),MATCH(AH$1,'Исходник'!$1:$1,0)))</f>
        <v/>
      </c>
      <c r="AI160" s="1" t="str">
        <f t="array" ref="AI160">IFERROR(INDEX('Исходник'!$1:$626,MATCH($A160,'Исходник'!$T:$T,0),MATCH(AI$1,'Исходник'!$1:$1,0)))</f>
        <v/>
      </c>
      <c r="AJ160" s="18">
        <f t="shared" si="15"/>
        <v>0</v>
      </c>
    </row>
    <row r="161" ht="15.75" customHeight="1">
      <c r="A161" s="27"/>
      <c r="B161" s="1" t="str">
        <f t="array" ref="B161">IFERROR(INDEX('Исходник'!$1:$626,MATCH($A161,'Исходник'!$T:$T,0),MATCH(B$1,'Исходник'!$1:$1,0)))</f>
        <v/>
      </c>
      <c r="C161" s="1" t="str">
        <f t="array" ref="C161">IFERROR(INDEX('Исходник'!$1:$626,MATCH($A161,'Исходник'!$T:$T,0),MATCH(C$1,'Исходник'!$1:$1,0)))</f>
        <v/>
      </c>
      <c r="D161" s="1" t="str">
        <f t="array" ref="D161">IFERROR(INDEX('Исходник'!$1:$626,MATCH($A161,'Исходник'!$T:$T,0),MATCH(D$1,'Исходник'!$1:$1,0)))</f>
        <v/>
      </c>
      <c r="E161" s="1" t="str">
        <f t="array" ref="E161">IFERROR(INDEX('Исходник'!$1:$626,MATCH($A161,'Исходник'!$T:$T,0),MATCH(E$1,'Исходник'!$1:$1,0)))</f>
        <v/>
      </c>
      <c r="F161" s="1" t="str">
        <f t="array" ref="F161">IFERROR(INDEX('Исходник'!$1:$626,MATCH($A161,'Исходник'!$T:$T,0),MATCH(F$1,'Исходник'!$1:$1,0)))</f>
        <v/>
      </c>
      <c r="G161" s="1" t="str">
        <f t="array" ref="G161">IFERROR(INDEX('Исходник'!$1:$626,MATCH($A161,'Исходник'!$T:$T,0),MATCH(G$1,'Исходник'!$1:$1,0)))</f>
        <v/>
      </c>
      <c r="H161" s="27">
        <f t="shared" si="1"/>
        <v>0</v>
      </c>
      <c r="I161" s="27" t="str">
        <f t="shared" si="2"/>
        <v/>
      </c>
      <c r="J161" s="1" t="str">
        <f t="array" ref="J161">IFERROR(INDEX('Исходник'!$1:$626,MATCH($A161,'Исходник'!$T:$T,0),MATCH(J$1,'Исходник'!$1:$1,0)))</f>
        <v/>
      </c>
      <c r="K161" s="27" t="str">
        <f t="shared" si="3"/>
        <v/>
      </c>
      <c r="L161" s="1" t="str">
        <f t="array" ref="L161">IFERROR(INDEX('Исходник'!$1:$626,MATCH($A161,'Исходник'!$T:$T,0),MATCH(L$1,'Исходник'!$1:$1,0)))</f>
        <v/>
      </c>
      <c r="M161" s="28">
        <f t="shared" si="4"/>
        <v>0</v>
      </c>
      <c r="N161" s="1" t="str">
        <f t="array" ref="N161">IFERROR(INDEX('Исходник'!$1:$626,MATCH($A161,'Исходник'!$T:$T,0),MATCH(N$1,'Исходник'!$1:$1,0)))</f>
        <v/>
      </c>
      <c r="O161" s="27">
        <f t="shared" si="5"/>
        <v>0</v>
      </c>
      <c r="P161" s="27" t="str">
        <f t="shared" si="6"/>
        <v/>
      </c>
      <c r="Q161" s="1" t="str">
        <f t="array" ref="Q161">IFERROR(INDEX('Исходник'!$1:$626,MATCH($A161,'Исходник'!$T:$T,0),MATCH(Q$1,'Исходник'!$1:$1,0)))</f>
        <v/>
      </c>
      <c r="R161" s="1" t="str">
        <f t="array" ref="R161">IFERROR(INDEX('Исходник'!$1:$626,MATCH($A161,'Исходник'!$T:$T,0),MATCH(R$1,'Исходник'!$1:$1,0)))</f>
        <v/>
      </c>
      <c r="S161" s="27">
        <f t="shared" si="7"/>
        <v>0</v>
      </c>
      <c r="T161" s="27" t="str">
        <f t="shared" si="8"/>
        <v/>
      </c>
      <c r="U161" s="1" t="str">
        <f t="array" ref="U161">IFERROR(INDEX('Исходник'!$1:$626,MATCH($A161,'Исходник'!$T:$T,0),MATCH(U$1,'Исходник'!$1:$1,0)))</f>
        <v/>
      </c>
      <c r="V161" s="27" t="str">
        <f t="shared" si="9"/>
        <v/>
      </c>
      <c r="W161" s="1" t="str">
        <f t="array" ref="W161">IFERROR(INDEX('Исходник'!$1:$626,MATCH($A161,'Исходник'!$T:$T,0),MATCH(W$1,'Исходник'!$1:$1,0)))</f>
        <v/>
      </c>
      <c r="X161" s="28">
        <f t="shared" si="10"/>
        <v>0</v>
      </c>
      <c r="Y161" s="1" t="str">
        <f t="array" ref="Y161">IFERROR(INDEX('Исходник'!$1:$626,MATCH($A161,'Исходник'!$T:$T,0),MATCH(Y$1,'Исходник'!$1:$1,0)))</f>
        <v/>
      </c>
      <c r="Z161" s="27">
        <f t="shared" si="11"/>
        <v>0</v>
      </c>
      <c r="AA161" s="27" t="str">
        <f t="shared" si="12"/>
        <v/>
      </c>
      <c r="AB161" s="1" t="str">
        <f t="array" ref="AB161">IFERROR(INDEX('Исходник'!$1:$626,MATCH($A161,'Исходник'!$T:$T,0),MATCH(AB$1,'Исходник'!$1:$1,0)))</f>
        <v/>
      </c>
      <c r="AC161" s="1" t="str">
        <f t="array" ref="AC161">IFERROR(INDEX('Исходник'!$1:$626,MATCH($A161,'Исходник'!$T:$T,0),MATCH(AC$1,'Исходник'!$1:$1,0)))</f>
        <v/>
      </c>
      <c r="AD161" s="27" t="str">
        <f t="shared" si="13"/>
        <v/>
      </c>
      <c r="AE161" s="1" t="str">
        <f t="array" ref="AE161">IFERROR(INDEX('Исходник'!$1:$626,MATCH($A161,'Исходник'!$T:$T,0),MATCH(AE$1,'Исходник'!$1:$1,0)))</f>
        <v/>
      </c>
      <c r="AF161" s="1" t="str">
        <f t="array" ref="AF161">IFERROR(INDEX('Исходник'!$1:$626,MATCH($A161,'Исходник'!$T:$T,0),MATCH(AF$1,'Исходник'!$1:$1,0)))</f>
        <v/>
      </c>
      <c r="AG161" s="27" t="str">
        <f t="shared" si="14"/>
        <v/>
      </c>
      <c r="AH161" s="1" t="str">
        <f t="array" ref="AH161">IFERROR(INDEX('Исходник'!$1:$626,MATCH($A161,'Исходник'!$T:$T,0),MATCH(AH$1,'Исходник'!$1:$1,0)))</f>
        <v/>
      </c>
      <c r="AI161" s="1" t="str">
        <f t="array" ref="AI161">IFERROR(INDEX('Исходник'!$1:$626,MATCH($A161,'Исходник'!$T:$T,0),MATCH(AI$1,'Исходник'!$1:$1,0)))</f>
        <v/>
      </c>
      <c r="AJ161" s="18">
        <f t="shared" si="15"/>
        <v>0</v>
      </c>
    </row>
    <row r="162" ht="15.75" customHeight="1">
      <c r="A162" s="27"/>
      <c r="B162" s="1" t="str">
        <f t="array" ref="B162">IFERROR(INDEX('Исходник'!$1:$626,MATCH($A162,'Исходник'!$T:$T,0),MATCH(B$1,'Исходник'!$1:$1,0)))</f>
        <v/>
      </c>
      <c r="C162" s="1" t="str">
        <f t="array" ref="C162">IFERROR(INDEX('Исходник'!$1:$626,MATCH($A162,'Исходник'!$T:$T,0),MATCH(C$1,'Исходник'!$1:$1,0)))</f>
        <v/>
      </c>
      <c r="D162" s="1" t="str">
        <f t="array" ref="D162">IFERROR(INDEX('Исходник'!$1:$626,MATCH($A162,'Исходник'!$T:$T,0),MATCH(D$1,'Исходник'!$1:$1,0)))</f>
        <v/>
      </c>
      <c r="E162" s="1" t="str">
        <f t="array" ref="E162">IFERROR(INDEX('Исходник'!$1:$626,MATCH($A162,'Исходник'!$T:$T,0),MATCH(E$1,'Исходник'!$1:$1,0)))</f>
        <v/>
      </c>
      <c r="F162" s="1" t="str">
        <f t="array" ref="F162">IFERROR(INDEX('Исходник'!$1:$626,MATCH($A162,'Исходник'!$T:$T,0),MATCH(F$1,'Исходник'!$1:$1,0)))</f>
        <v/>
      </c>
      <c r="G162" s="1" t="str">
        <f t="array" ref="G162">IFERROR(INDEX('Исходник'!$1:$626,MATCH($A162,'Исходник'!$T:$T,0),MATCH(G$1,'Исходник'!$1:$1,0)))</f>
        <v/>
      </c>
      <c r="H162" s="27">
        <f t="shared" si="1"/>
        <v>0</v>
      </c>
      <c r="I162" s="27" t="str">
        <f t="shared" si="2"/>
        <v/>
      </c>
      <c r="J162" s="1" t="str">
        <f t="array" ref="J162">IFERROR(INDEX('Исходник'!$1:$626,MATCH($A162,'Исходник'!$T:$T,0),MATCH(J$1,'Исходник'!$1:$1,0)))</f>
        <v/>
      </c>
      <c r="K162" s="27" t="str">
        <f t="shared" si="3"/>
        <v/>
      </c>
      <c r="L162" s="1" t="str">
        <f t="array" ref="L162">IFERROR(INDEX('Исходник'!$1:$626,MATCH($A162,'Исходник'!$T:$T,0),MATCH(L$1,'Исходник'!$1:$1,0)))</f>
        <v/>
      </c>
      <c r="M162" s="28">
        <f t="shared" si="4"/>
        <v>0</v>
      </c>
      <c r="N162" s="1" t="str">
        <f t="array" ref="N162">IFERROR(INDEX('Исходник'!$1:$626,MATCH($A162,'Исходник'!$T:$T,0),MATCH(N$1,'Исходник'!$1:$1,0)))</f>
        <v/>
      </c>
      <c r="O162" s="27">
        <f t="shared" si="5"/>
        <v>0</v>
      </c>
      <c r="P162" s="27" t="str">
        <f t="shared" si="6"/>
        <v/>
      </c>
      <c r="Q162" s="1" t="str">
        <f t="array" ref="Q162">IFERROR(INDEX('Исходник'!$1:$626,MATCH($A162,'Исходник'!$T:$T,0),MATCH(Q$1,'Исходник'!$1:$1,0)))</f>
        <v/>
      </c>
      <c r="R162" s="1" t="str">
        <f t="array" ref="R162">IFERROR(INDEX('Исходник'!$1:$626,MATCH($A162,'Исходник'!$T:$T,0),MATCH(R$1,'Исходник'!$1:$1,0)))</f>
        <v/>
      </c>
      <c r="S162" s="27">
        <f t="shared" si="7"/>
        <v>0</v>
      </c>
      <c r="T162" s="27" t="str">
        <f t="shared" si="8"/>
        <v/>
      </c>
      <c r="U162" s="1" t="str">
        <f t="array" ref="U162">IFERROR(INDEX('Исходник'!$1:$626,MATCH($A162,'Исходник'!$T:$T,0),MATCH(U$1,'Исходник'!$1:$1,0)))</f>
        <v/>
      </c>
      <c r="V162" s="27" t="str">
        <f t="shared" si="9"/>
        <v/>
      </c>
      <c r="W162" s="1" t="str">
        <f t="array" ref="W162">IFERROR(INDEX('Исходник'!$1:$626,MATCH($A162,'Исходник'!$T:$T,0),MATCH(W$1,'Исходник'!$1:$1,0)))</f>
        <v/>
      </c>
      <c r="X162" s="28">
        <f t="shared" si="10"/>
        <v>0</v>
      </c>
      <c r="Y162" s="1" t="str">
        <f t="array" ref="Y162">IFERROR(INDEX('Исходник'!$1:$626,MATCH($A162,'Исходник'!$T:$T,0),MATCH(Y$1,'Исходник'!$1:$1,0)))</f>
        <v/>
      </c>
      <c r="Z162" s="27">
        <f t="shared" si="11"/>
        <v>0</v>
      </c>
      <c r="AA162" s="27" t="str">
        <f t="shared" si="12"/>
        <v/>
      </c>
      <c r="AB162" s="1" t="str">
        <f t="array" ref="AB162">IFERROR(INDEX('Исходник'!$1:$626,MATCH($A162,'Исходник'!$T:$T,0),MATCH(AB$1,'Исходник'!$1:$1,0)))</f>
        <v/>
      </c>
      <c r="AC162" s="1" t="str">
        <f t="array" ref="AC162">IFERROR(INDEX('Исходник'!$1:$626,MATCH($A162,'Исходник'!$T:$T,0),MATCH(AC$1,'Исходник'!$1:$1,0)))</f>
        <v/>
      </c>
      <c r="AD162" s="27" t="str">
        <f t="shared" si="13"/>
        <v/>
      </c>
      <c r="AE162" s="1" t="str">
        <f t="array" ref="AE162">IFERROR(INDEX('Исходник'!$1:$626,MATCH($A162,'Исходник'!$T:$T,0),MATCH(AE$1,'Исходник'!$1:$1,0)))</f>
        <v/>
      </c>
      <c r="AF162" s="1" t="str">
        <f t="array" ref="AF162">IFERROR(INDEX('Исходник'!$1:$626,MATCH($A162,'Исходник'!$T:$T,0),MATCH(AF$1,'Исходник'!$1:$1,0)))</f>
        <v/>
      </c>
      <c r="AG162" s="27" t="str">
        <f t="shared" si="14"/>
        <v/>
      </c>
      <c r="AH162" s="1" t="str">
        <f t="array" ref="AH162">IFERROR(INDEX('Исходник'!$1:$626,MATCH($A162,'Исходник'!$T:$T,0),MATCH(AH$1,'Исходник'!$1:$1,0)))</f>
        <v/>
      </c>
      <c r="AI162" s="1" t="str">
        <f t="array" ref="AI162">IFERROR(INDEX('Исходник'!$1:$626,MATCH($A162,'Исходник'!$T:$T,0),MATCH(AI$1,'Исходник'!$1:$1,0)))</f>
        <v/>
      </c>
      <c r="AJ162" s="18">
        <f t="shared" si="15"/>
        <v>0</v>
      </c>
    </row>
    <row r="163" ht="15.75" customHeight="1">
      <c r="A163" s="27"/>
      <c r="B163" s="1" t="str">
        <f t="array" ref="B163">IFERROR(INDEX('Исходник'!$1:$626,MATCH($A163,'Исходник'!$T:$T,0),MATCH(B$1,'Исходник'!$1:$1,0)))</f>
        <v/>
      </c>
      <c r="C163" s="1" t="str">
        <f t="array" ref="C163">IFERROR(INDEX('Исходник'!$1:$626,MATCH($A163,'Исходник'!$T:$T,0),MATCH(C$1,'Исходник'!$1:$1,0)))</f>
        <v/>
      </c>
      <c r="D163" s="1" t="str">
        <f t="array" ref="D163">IFERROR(INDEX('Исходник'!$1:$626,MATCH($A163,'Исходник'!$T:$T,0),MATCH(D$1,'Исходник'!$1:$1,0)))</f>
        <v/>
      </c>
      <c r="E163" s="1" t="str">
        <f t="array" ref="E163">IFERROR(INDEX('Исходник'!$1:$626,MATCH($A163,'Исходник'!$T:$T,0),MATCH(E$1,'Исходник'!$1:$1,0)))</f>
        <v/>
      </c>
      <c r="F163" s="1" t="str">
        <f t="array" ref="F163">IFERROR(INDEX('Исходник'!$1:$626,MATCH($A163,'Исходник'!$T:$T,0),MATCH(F$1,'Исходник'!$1:$1,0)))</f>
        <v/>
      </c>
      <c r="G163" s="1" t="str">
        <f t="array" ref="G163">IFERROR(INDEX('Исходник'!$1:$626,MATCH($A163,'Исходник'!$T:$T,0),MATCH(G$1,'Исходник'!$1:$1,0)))</f>
        <v/>
      </c>
      <c r="H163" s="27">
        <f t="shared" si="1"/>
        <v>0</v>
      </c>
      <c r="I163" s="27" t="str">
        <f t="shared" si="2"/>
        <v/>
      </c>
      <c r="J163" s="1" t="str">
        <f t="array" ref="J163">IFERROR(INDEX('Исходник'!$1:$626,MATCH($A163,'Исходник'!$T:$T,0),MATCH(J$1,'Исходник'!$1:$1,0)))</f>
        <v/>
      </c>
      <c r="K163" s="27" t="str">
        <f t="shared" si="3"/>
        <v/>
      </c>
      <c r="L163" s="1" t="str">
        <f t="array" ref="L163">IFERROR(INDEX('Исходник'!$1:$626,MATCH($A163,'Исходник'!$T:$T,0),MATCH(L$1,'Исходник'!$1:$1,0)))</f>
        <v/>
      </c>
      <c r="M163" s="28">
        <f t="shared" si="4"/>
        <v>0</v>
      </c>
      <c r="N163" s="1" t="str">
        <f t="array" ref="N163">IFERROR(INDEX('Исходник'!$1:$626,MATCH($A163,'Исходник'!$T:$T,0),MATCH(N$1,'Исходник'!$1:$1,0)))</f>
        <v/>
      </c>
      <c r="O163" s="27">
        <f t="shared" si="5"/>
        <v>0</v>
      </c>
      <c r="P163" s="27" t="str">
        <f t="shared" si="6"/>
        <v/>
      </c>
      <c r="Q163" s="1" t="str">
        <f t="array" ref="Q163">IFERROR(INDEX('Исходник'!$1:$626,MATCH($A163,'Исходник'!$T:$T,0),MATCH(Q$1,'Исходник'!$1:$1,0)))</f>
        <v/>
      </c>
      <c r="R163" s="1" t="str">
        <f t="array" ref="R163">IFERROR(INDEX('Исходник'!$1:$626,MATCH($A163,'Исходник'!$T:$T,0),MATCH(R$1,'Исходник'!$1:$1,0)))</f>
        <v/>
      </c>
      <c r="S163" s="27">
        <f t="shared" si="7"/>
        <v>0</v>
      </c>
      <c r="T163" s="27" t="str">
        <f t="shared" si="8"/>
        <v/>
      </c>
      <c r="U163" s="1" t="str">
        <f t="array" ref="U163">IFERROR(INDEX('Исходник'!$1:$626,MATCH($A163,'Исходник'!$T:$T,0),MATCH(U$1,'Исходник'!$1:$1,0)))</f>
        <v/>
      </c>
      <c r="V163" s="27" t="str">
        <f t="shared" si="9"/>
        <v/>
      </c>
      <c r="W163" s="1" t="str">
        <f t="array" ref="W163">IFERROR(INDEX('Исходник'!$1:$626,MATCH($A163,'Исходник'!$T:$T,0),MATCH(W$1,'Исходник'!$1:$1,0)))</f>
        <v/>
      </c>
      <c r="X163" s="28">
        <f t="shared" si="10"/>
        <v>0</v>
      </c>
      <c r="Y163" s="1" t="str">
        <f t="array" ref="Y163">IFERROR(INDEX('Исходник'!$1:$626,MATCH($A163,'Исходник'!$T:$T,0),MATCH(Y$1,'Исходник'!$1:$1,0)))</f>
        <v/>
      </c>
      <c r="Z163" s="27">
        <f t="shared" si="11"/>
        <v>0</v>
      </c>
      <c r="AA163" s="27" t="str">
        <f t="shared" si="12"/>
        <v/>
      </c>
      <c r="AB163" s="1" t="str">
        <f t="array" ref="AB163">IFERROR(INDEX('Исходник'!$1:$626,MATCH($A163,'Исходник'!$T:$T,0),MATCH(AB$1,'Исходник'!$1:$1,0)))</f>
        <v/>
      </c>
      <c r="AC163" s="1" t="str">
        <f t="array" ref="AC163">IFERROR(INDEX('Исходник'!$1:$626,MATCH($A163,'Исходник'!$T:$T,0),MATCH(AC$1,'Исходник'!$1:$1,0)))</f>
        <v/>
      </c>
      <c r="AD163" s="27" t="str">
        <f t="shared" si="13"/>
        <v/>
      </c>
      <c r="AE163" s="1" t="str">
        <f t="array" ref="AE163">IFERROR(INDEX('Исходник'!$1:$626,MATCH($A163,'Исходник'!$T:$T,0),MATCH(AE$1,'Исходник'!$1:$1,0)))</f>
        <v/>
      </c>
      <c r="AF163" s="1" t="str">
        <f t="array" ref="AF163">IFERROR(INDEX('Исходник'!$1:$626,MATCH($A163,'Исходник'!$T:$T,0),MATCH(AF$1,'Исходник'!$1:$1,0)))</f>
        <v/>
      </c>
      <c r="AG163" s="27" t="str">
        <f t="shared" si="14"/>
        <v/>
      </c>
      <c r="AH163" s="1" t="str">
        <f t="array" ref="AH163">IFERROR(INDEX('Исходник'!$1:$626,MATCH($A163,'Исходник'!$T:$T,0),MATCH(AH$1,'Исходник'!$1:$1,0)))</f>
        <v/>
      </c>
      <c r="AI163" s="1" t="str">
        <f t="array" ref="AI163">IFERROR(INDEX('Исходник'!$1:$626,MATCH($A163,'Исходник'!$T:$T,0),MATCH(AI$1,'Исходник'!$1:$1,0)))</f>
        <v/>
      </c>
      <c r="AJ163" s="18">
        <f t="shared" si="15"/>
        <v>0</v>
      </c>
    </row>
    <row r="164" ht="15.75" customHeight="1">
      <c r="A164" s="27"/>
      <c r="B164" s="1" t="str">
        <f t="array" ref="B164">IFERROR(INDEX('Исходник'!$1:$626,MATCH($A164,'Исходник'!$T:$T,0),MATCH(B$1,'Исходник'!$1:$1,0)))</f>
        <v/>
      </c>
      <c r="C164" s="1" t="str">
        <f t="array" ref="C164">IFERROR(INDEX('Исходник'!$1:$626,MATCH($A164,'Исходник'!$T:$T,0),MATCH(C$1,'Исходник'!$1:$1,0)))</f>
        <v/>
      </c>
      <c r="D164" s="1" t="str">
        <f t="array" ref="D164">IFERROR(INDEX('Исходник'!$1:$626,MATCH($A164,'Исходник'!$T:$T,0),MATCH(D$1,'Исходник'!$1:$1,0)))</f>
        <v/>
      </c>
      <c r="E164" s="1" t="str">
        <f t="array" ref="E164">IFERROR(INDEX('Исходник'!$1:$626,MATCH($A164,'Исходник'!$T:$T,0),MATCH(E$1,'Исходник'!$1:$1,0)))</f>
        <v/>
      </c>
      <c r="F164" s="1" t="str">
        <f t="array" ref="F164">IFERROR(INDEX('Исходник'!$1:$626,MATCH($A164,'Исходник'!$T:$T,0),MATCH(F$1,'Исходник'!$1:$1,0)))</f>
        <v/>
      </c>
      <c r="G164" s="1" t="str">
        <f t="array" ref="G164">IFERROR(INDEX('Исходник'!$1:$626,MATCH($A164,'Исходник'!$T:$T,0),MATCH(G$1,'Исходник'!$1:$1,0)))</f>
        <v/>
      </c>
      <c r="H164" s="27">
        <f t="shared" si="1"/>
        <v>0</v>
      </c>
      <c r="I164" s="27" t="str">
        <f t="shared" si="2"/>
        <v/>
      </c>
      <c r="J164" s="1" t="str">
        <f t="array" ref="J164">IFERROR(INDEX('Исходник'!$1:$626,MATCH($A164,'Исходник'!$T:$T,0),MATCH(J$1,'Исходник'!$1:$1,0)))</f>
        <v/>
      </c>
      <c r="K164" s="27" t="str">
        <f t="shared" si="3"/>
        <v/>
      </c>
      <c r="L164" s="1" t="str">
        <f t="array" ref="L164">IFERROR(INDEX('Исходник'!$1:$626,MATCH($A164,'Исходник'!$T:$T,0),MATCH(L$1,'Исходник'!$1:$1,0)))</f>
        <v/>
      </c>
      <c r="M164" s="28">
        <f t="shared" si="4"/>
        <v>0</v>
      </c>
      <c r="N164" s="1" t="str">
        <f t="array" ref="N164">IFERROR(INDEX('Исходник'!$1:$626,MATCH($A164,'Исходник'!$T:$T,0),MATCH(N$1,'Исходник'!$1:$1,0)))</f>
        <v/>
      </c>
      <c r="O164" s="27">
        <f t="shared" si="5"/>
        <v>0</v>
      </c>
      <c r="P164" s="27" t="str">
        <f t="shared" si="6"/>
        <v/>
      </c>
      <c r="Q164" s="1" t="str">
        <f t="array" ref="Q164">IFERROR(INDEX('Исходник'!$1:$626,MATCH($A164,'Исходник'!$T:$T,0),MATCH(Q$1,'Исходник'!$1:$1,0)))</f>
        <v/>
      </c>
      <c r="R164" s="1" t="str">
        <f t="array" ref="R164">IFERROR(INDEX('Исходник'!$1:$626,MATCH($A164,'Исходник'!$T:$T,0),MATCH(R$1,'Исходник'!$1:$1,0)))</f>
        <v/>
      </c>
      <c r="S164" s="27">
        <f t="shared" si="7"/>
        <v>0</v>
      </c>
      <c r="T164" s="27" t="str">
        <f t="shared" si="8"/>
        <v/>
      </c>
      <c r="U164" s="1" t="str">
        <f t="array" ref="U164">IFERROR(INDEX('Исходник'!$1:$626,MATCH($A164,'Исходник'!$T:$T,0),MATCH(U$1,'Исходник'!$1:$1,0)))</f>
        <v/>
      </c>
      <c r="V164" s="27" t="str">
        <f t="shared" si="9"/>
        <v/>
      </c>
      <c r="W164" s="1" t="str">
        <f t="array" ref="W164">IFERROR(INDEX('Исходник'!$1:$626,MATCH($A164,'Исходник'!$T:$T,0),MATCH(W$1,'Исходник'!$1:$1,0)))</f>
        <v/>
      </c>
      <c r="X164" s="28">
        <f t="shared" si="10"/>
        <v>0</v>
      </c>
      <c r="Y164" s="1" t="str">
        <f t="array" ref="Y164">IFERROR(INDEX('Исходник'!$1:$626,MATCH($A164,'Исходник'!$T:$T,0),MATCH(Y$1,'Исходник'!$1:$1,0)))</f>
        <v/>
      </c>
      <c r="Z164" s="27">
        <f t="shared" si="11"/>
        <v>0</v>
      </c>
      <c r="AA164" s="27" t="str">
        <f t="shared" si="12"/>
        <v/>
      </c>
      <c r="AB164" s="1" t="str">
        <f t="array" ref="AB164">IFERROR(INDEX('Исходник'!$1:$626,MATCH($A164,'Исходник'!$T:$T,0),MATCH(AB$1,'Исходник'!$1:$1,0)))</f>
        <v/>
      </c>
      <c r="AC164" s="1" t="str">
        <f t="array" ref="AC164">IFERROR(INDEX('Исходник'!$1:$626,MATCH($A164,'Исходник'!$T:$T,0),MATCH(AC$1,'Исходник'!$1:$1,0)))</f>
        <v/>
      </c>
      <c r="AD164" s="27" t="str">
        <f t="shared" si="13"/>
        <v/>
      </c>
      <c r="AE164" s="1" t="str">
        <f t="array" ref="AE164">IFERROR(INDEX('Исходник'!$1:$626,MATCH($A164,'Исходник'!$T:$T,0),MATCH(AE$1,'Исходник'!$1:$1,0)))</f>
        <v/>
      </c>
      <c r="AF164" s="1" t="str">
        <f t="array" ref="AF164">IFERROR(INDEX('Исходник'!$1:$626,MATCH($A164,'Исходник'!$T:$T,0),MATCH(AF$1,'Исходник'!$1:$1,0)))</f>
        <v/>
      </c>
      <c r="AG164" s="27" t="str">
        <f t="shared" si="14"/>
        <v/>
      </c>
      <c r="AH164" s="1" t="str">
        <f t="array" ref="AH164">IFERROR(INDEX('Исходник'!$1:$626,MATCH($A164,'Исходник'!$T:$T,0),MATCH(AH$1,'Исходник'!$1:$1,0)))</f>
        <v/>
      </c>
      <c r="AI164" s="1" t="str">
        <f t="array" ref="AI164">IFERROR(INDEX('Исходник'!$1:$626,MATCH($A164,'Исходник'!$T:$T,0),MATCH(AI$1,'Исходник'!$1:$1,0)))</f>
        <v/>
      </c>
      <c r="AJ164" s="18">
        <f t="shared" si="15"/>
        <v>0</v>
      </c>
    </row>
    <row r="165" ht="15.75" customHeight="1">
      <c r="A165" s="27"/>
      <c r="B165" s="1" t="str">
        <f t="array" ref="B165">IFERROR(INDEX('Исходник'!$1:$626,MATCH($A165,'Исходник'!$T:$T,0),MATCH(B$1,'Исходник'!$1:$1,0)))</f>
        <v/>
      </c>
      <c r="C165" s="1" t="str">
        <f t="array" ref="C165">IFERROR(INDEX('Исходник'!$1:$626,MATCH($A165,'Исходник'!$T:$T,0),MATCH(C$1,'Исходник'!$1:$1,0)))</f>
        <v/>
      </c>
      <c r="D165" s="1" t="str">
        <f t="array" ref="D165">IFERROR(INDEX('Исходник'!$1:$626,MATCH($A165,'Исходник'!$T:$T,0),MATCH(D$1,'Исходник'!$1:$1,0)))</f>
        <v/>
      </c>
      <c r="E165" s="1" t="str">
        <f t="array" ref="E165">IFERROR(INDEX('Исходник'!$1:$626,MATCH($A165,'Исходник'!$T:$T,0),MATCH(E$1,'Исходник'!$1:$1,0)))</f>
        <v/>
      </c>
      <c r="F165" s="1" t="str">
        <f t="array" ref="F165">IFERROR(INDEX('Исходник'!$1:$626,MATCH($A165,'Исходник'!$T:$T,0),MATCH(F$1,'Исходник'!$1:$1,0)))</f>
        <v/>
      </c>
      <c r="G165" s="1" t="str">
        <f t="array" ref="G165">IFERROR(INDEX('Исходник'!$1:$626,MATCH($A165,'Исходник'!$T:$T,0),MATCH(G$1,'Исходник'!$1:$1,0)))</f>
        <v/>
      </c>
      <c r="H165" s="27">
        <f t="shared" si="1"/>
        <v>0</v>
      </c>
      <c r="I165" s="27" t="str">
        <f t="shared" si="2"/>
        <v/>
      </c>
      <c r="J165" s="1" t="str">
        <f t="array" ref="J165">IFERROR(INDEX('Исходник'!$1:$626,MATCH($A165,'Исходник'!$T:$T,0),MATCH(J$1,'Исходник'!$1:$1,0)))</f>
        <v/>
      </c>
      <c r="K165" s="27" t="str">
        <f t="shared" si="3"/>
        <v/>
      </c>
      <c r="L165" s="1" t="str">
        <f t="array" ref="L165">IFERROR(INDEX('Исходник'!$1:$626,MATCH($A165,'Исходник'!$T:$T,0),MATCH(L$1,'Исходник'!$1:$1,0)))</f>
        <v/>
      </c>
      <c r="M165" s="28">
        <f t="shared" si="4"/>
        <v>0</v>
      </c>
      <c r="N165" s="1" t="str">
        <f t="array" ref="N165">IFERROR(INDEX('Исходник'!$1:$626,MATCH($A165,'Исходник'!$T:$T,0),MATCH(N$1,'Исходник'!$1:$1,0)))</f>
        <v/>
      </c>
      <c r="O165" s="27">
        <f t="shared" si="5"/>
        <v>0</v>
      </c>
      <c r="P165" s="27" t="str">
        <f t="shared" si="6"/>
        <v/>
      </c>
      <c r="Q165" s="1" t="str">
        <f t="array" ref="Q165">IFERROR(INDEX('Исходник'!$1:$626,MATCH($A165,'Исходник'!$T:$T,0),MATCH(Q$1,'Исходник'!$1:$1,0)))</f>
        <v/>
      </c>
      <c r="R165" s="1" t="str">
        <f t="array" ref="R165">IFERROR(INDEX('Исходник'!$1:$626,MATCH($A165,'Исходник'!$T:$T,0),MATCH(R$1,'Исходник'!$1:$1,0)))</f>
        <v/>
      </c>
      <c r="S165" s="27">
        <f t="shared" si="7"/>
        <v>0</v>
      </c>
      <c r="T165" s="27" t="str">
        <f t="shared" si="8"/>
        <v/>
      </c>
      <c r="U165" s="1" t="str">
        <f t="array" ref="U165">IFERROR(INDEX('Исходник'!$1:$626,MATCH($A165,'Исходник'!$T:$T,0),MATCH(U$1,'Исходник'!$1:$1,0)))</f>
        <v/>
      </c>
      <c r="V165" s="27" t="str">
        <f t="shared" si="9"/>
        <v/>
      </c>
      <c r="W165" s="1" t="str">
        <f t="array" ref="W165">IFERROR(INDEX('Исходник'!$1:$626,MATCH($A165,'Исходник'!$T:$T,0),MATCH(W$1,'Исходник'!$1:$1,0)))</f>
        <v/>
      </c>
      <c r="X165" s="28">
        <f t="shared" si="10"/>
        <v>0</v>
      </c>
      <c r="Y165" s="1" t="str">
        <f t="array" ref="Y165">IFERROR(INDEX('Исходник'!$1:$626,MATCH($A165,'Исходник'!$T:$T,0),MATCH(Y$1,'Исходник'!$1:$1,0)))</f>
        <v/>
      </c>
      <c r="Z165" s="27">
        <f t="shared" si="11"/>
        <v>0</v>
      </c>
      <c r="AA165" s="27" t="str">
        <f t="shared" si="12"/>
        <v/>
      </c>
      <c r="AB165" s="1" t="str">
        <f t="array" ref="AB165">IFERROR(INDEX('Исходник'!$1:$626,MATCH($A165,'Исходник'!$T:$T,0),MATCH(AB$1,'Исходник'!$1:$1,0)))</f>
        <v/>
      </c>
      <c r="AC165" s="1" t="str">
        <f t="array" ref="AC165">IFERROR(INDEX('Исходник'!$1:$626,MATCH($A165,'Исходник'!$T:$T,0),MATCH(AC$1,'Исходник'!$1:$1,0)))</f>
        <v/>
      </c>
      <c r="AD165" s="27" t="str">
        <f t="shared" si="13"/>
        <v/>
      </c>
      <c r="AE165" s="1" t="str">
        <f t="array" ref="AE165">IFERROR(INDEX('Исходник'!$1:$626,MATCH($A165,'Исходник'!$T:$T,0),MATCH(AE$1,'Исходник'!$1:$1,0)))</f>
        <v/>
      </c>
      <c r="AF165" s="1" t="str">
        <f t="array" ref="AF165">IFERROR(INDEX('Исходник'!$1:$626,MATCH($A165,'Исходник'!$T:$T,0),MATCH(AF$1,'Исходник'!$1:$1,0)))</f>
        <v/>
      </c>
      <c r="AG165" s="27" t="str">
        <f t="shared" si="14"/>
        <v/>
      </c>
      <c r="AH165" s="1" t="str">
        <f t="array" ref="AH165">IFERROR(INDEX('Исходник'!$1:$626,MATCH($A165,'Исходник'!$T:$T,0),MATCH(AH$1,'Исходник'!$1:$1,0)))</f>
        <v/>
      </c>
      <c r="AI165" s="1" t="str">
        <f t="array" ref="AI165">IFERROR(INDEX('Исходник'!$1:$626,MATCH($A165,'Исходник'!$T:$T,0),MATCH(AI$1,'Исходник'!$1:$1,0)))</f>
        <v/>
      </c>
      <c r="AJ165" s="18">
        <f t="shared" si="15"/>
        <v>0</v>
      </c>
    </row>
    <row r="166" ht="15.75" customHeight="1">
      <c r="A166" s="27"/>
      <c r="B166" s="1" t="str">
        <f t="array" ref="B166">IFERROR(INDEX('Исходник'!$1:$626,MATCH($A166,'Исходник'!$T:$T,0),MATCH(B$1,'Исходник'!$1:$1,0)))</f>
        <v/>
      </c>
      <c r="C166" s="1" t="str">
        <f t="array" ref="C166">IFERROR(INDEX('Исходник'!$1:$626,MATCH($A166,'Исходник'!$T:$T,0),MATCH(C$1,'Исходник'!$1:$1,0)))</f>
        <v/>
      </c>
      <c r="D166" s="1" t="str">
        <f t="array" ref="D166">IFERROR(INDEX('Исходник'!$1:$626,MATCH($A166,'Исходник'!$T:$T,0),MATCH(D$1,'Исходник'!$1:$1,0)))</f>
        <v/>
      </c>
      <c r="E166" s="1" t="str">
        <f t="array" ref="E166">IFERROR(INDEX('Исходник'!$1:$626,MATCH($A166,'Исходник'!$T:$T,0),MATCH(E$1,'Исходник'!$1:$1,0)))</f>
        <v/>
      </c>
      <c r="F166" s="1" t="str">
        <f t="array" ref="F166">IFERROR(INDEX('Исходник'!$1:$626,MATCH($A166,'Исходник'!$T:$T,0),MATCH(F$1,'Исходник'!$1:$1,0)))</f>
        <v/>
      </c>
      <c r="G166" s="1" t="str">
        <f t="array" ref="G166">IFERROR(INDEX('Исходник'!$1:$626,MATCH($A166,'Исходник'!$T:$T,0),MATCH(G$1,'Исходник'!$1:$1,0)))</f>
        <v/>
      </c>
      <c r="H166" s="27">
        <f t="shared" si="1"/>
        <v>0</v>
      </c>
      <c r="I166" s="27" t="str">
        <f t="shared" si="2"/>
        <v/>
      </c>
      <c r="J166" s="1" t="str">
        <f t="array" ref="J166">IFERROR(INDEX('Исходник'!$1:$626,MATCH($A166,'Исходник'!$T:$T,0),MATCH(J$1,'Исходник'!$1:$1,0)))</f>
        <v/>
      </c>
      <c r="K166" s="27" t="str">
        <f t="shared" si="3"/>
        <v/>
      </c>
      <c r="L166" s="1" t="str">
        <f t="array" ref="L166">IFERROR(INDEX('Исходник'!$1:$626,MATCH($A166,'Исходник'!$T:$T,0),MATCH(L$1,'Исходник'!$1:$1,0)))</f>
        <v/>
      </c>
      <c r="M166" s="28">
        <f t="shared" si="4"/>
        <v>0</v>
      </c>
      <c r="N166" s="1" t="str">
        <f t="array" ref="N166">IFERROR(INDEX('Исходник'!$1:$626,MATCH($A166,'Исходник'!$T:$T,0),MATCH(N$1,'Исходник'!$1:$1,0)))</f>
        <v/>
      </c>
      <c r="O166" s="27">
        <f t="shared" si="5"/>
        <v>0</v>
      </c>
      <c r="P166" s="27" t="str">
        <f t="shared" si="6"/>
        <v/>
      </c>
      <c r="Q166" s="1" t="str">
        <f t="array" ref="Q166">IFERROR(INDEX('Исходник'!$1:$626,MATCH($A166,'Исходник'!$T:$T,0),MATCH(Q$1,'Исходник'!$1:$1,0)))</f>
        <v/>
      </c>
      <c r="R166" s="1" t="str">
        <f t="array" ref="R166">IFERROR(INDEX('Исходник'!$1:$626,MATCH($A166,'Исходник'!$T:$T,0),MATCH(R$1,'Исходник'!$1:$1,0)))</f>
        <v/>
      </c>
      <c r="S166" s="27">
        <f t="shared" si="7"/>
        <v>0</v>
      </c>
      <c r="T166" s="27" t="str">
        <f t="shared" si="8"/>
        <v/>
      </c>
      <c r="U166" s="1" t="str">
        <f t="array" ref="U166">IFERROR(INDEX('Исходник'!$1:$626,MATCH($A166,'Исходник'!$T:$T,0),MATCH(U$1,'Исходник'!$1:$1,0)))</f>
        <v/>
      </c>
      <c r="V166" s="27" t="str">
        <f t="shared" si="9"/>
        <v/>
      </c>
      <c r="W166" s="1" t="str">
        <f t="array" ref="W166">IFERROR(INDEX('Исходник'!$1:$626,MATCH($A166,'Исходник'!$T:$T,0),MATCH(W$1,'Исходник'!$1:$1,0)))</f>
        <v/>
      </c>
      <c r="X166" s="28">
        <f t="shared" si="10"/>
        <v>0</v>
      </c>
      <c r="Y166" s="1" t="str">
        <f t="array" ref="Y166">IFERROR(INDEX('Исходник'!$1:$626,MATCH($A166,'Исходник'!$T:$T,0),MATCH(Y$1,'Исходник'!$1:$1,0)))</f>
        <v/>
      </c>
      <c r="Z166" s="27">
        <f t="shared" si="11"/>
        <v>0</v>
      </c>
      <c r="AA166" s="27" t="str">
        <f t="shared" si="12"/>
        <v/>
      </c>
      <c r="AB166" s="1" t="str">
        <f t="array" ref="AB166">IFERROR(INDEX('Исходник'!$1:$626,MATCH($A166,'Исходник'!$T:$T,0),MATCH(AB$1,'Исходник'!$1:$1,0)))</f>
        <v/>
      </c>
      <c r="AC166" s="1" t="str">
        <f t="array" ref="AC166">IFERROR(INDEX('Исходник'!$1:$626,MATCH($A166,'Исходник'!$T:$T,0),MATCH(AC$1,'Исходник'!$1:$1,0)))</f>
        <v/>
      </c>
      <c r="AD166" s="27" t="str">
        <f t="shared" si="13"/>
        <v/>
      </c>
      <c r="AE166" s="1" t="str">
        <f t="array" ref="AE166">IFERROR(INDEX('Исходник'!$1:$626,MATCH($A166,'Исходник'!$T:$T,0),MATCH(AE$1,'Исходник'!$1:$1,0)))</f>
        <v/>
      </c>
      <c r="AF166" s="1" t="str">
        <f t="array" ref="AF166">IFERROR(INDEX('Исходник'!$1:$626,MATCH($A166,'Исходник'!$T:$T,0),MATCH(AF$1,'Исходник'!$1:$1,0)))</f>
        <v/>
      </c>
      <c r="AG166" s="27" t="str">
        <f t="shared" si="14"/>
        <v/>
      </c>
      <c r="AH166" s="1" t="str">
        <f t="array" ref="AH166">IFERROR(INDEX('Исходник'!$1:$626,MATCH($A166,'Исходник'!$T:$T,0),MATCH(AH$1,'Исходник'!$1:$1,0)))</f>
        <v/>
      </c>
      <c r="AI166" s="1" t="str">
        <f t="array" ref="AI166">IFERROR(INDEX('Исходник'!$1:$626,MATCH($A166,'Исходник'!$T:$T,0),MATCH(AI$1,'Исходник'!$1:$1,0)))</f>
        <v/>
      </c>
      <c r="AJ166" s="18">
        <f t="shared" si="15"/>
        <v>0</v>
      </c>
    </row>
    <row r="167" ht="15.75" customHeight="1">
      <c r="A167" s="27"/>
      <c r="B167" s="1" t="str">
        <f t="array" ref="B167">IFERROR(INDEX('Исходник'!$1:$626,MATCH($A167,'Исходник'!$T:$T,0),MATCH(B$1,'Исходник'!$1:$1,0)))</f>
        <v/>
      </c>
      <c r="C167" s="1" t="str">
        <f t="array" ref="C167">IFERROR(INDEX('Исходник'!$1:$626,MATCH($A167,'Исходник'!$T:$T,0),MATCH(C$1,'Исходник'!$1:$1,0)))</f>
        <v/>
      </c>
      <c r="D167" s="1" t="str">
        <f t="array" ref="D167">IFERROR(INDEX('Исходник'!$1:$626,MATCH($A167,'Исходник'!$T:$T,0),MATCH(D$1,'Исходник'!$1:$1,0)))</f>
        <v/>
      </c>
      <c r="E167" s="1" t="str">
        <f t="array" ref="E167">IFERROR(INDEX('Исходник'!$1:$626,MATCH($A167,'Исходник'!$T:$T,0),MATCH(E$1,'Исходник'!$1:$1,0)))</f>
        <v/>
      </c>
      <c r="F167" s="1" t="str">
        <f t="array" ref="F167">IFERROR(INDEX('Исходник'!$1:$626,MATCH($A167,'Исходник'!$T:$T,0),MATCH(F$1,'Исходник'!$1:$1,0)))</f>
        <v/>
      </c>
      <c r="G167" s="1" t="str">
        <f t="array" ref="G167">IFERROR(INDEX('Исходник'!$1:$626,MATCH($A167,'Исходник'!$T:$T,0),MATCH(G$1,'Исходник'!$1:$1,0)))</f>
        <v/>
      </c>
      <c r="H167" s="27">
        <f t="shared" si="1"/>
        <v>0</v>
      </c>
      <c r="I167" s="27" t="str">
        <f t="shared" si="2"/>
        <v/>
      </c>
      <c r="J167" s="1" t="str">
        <f t="array" ref="J167">IFERROR(INDEX('Исходник'!$1:$626,MATCH($A167,'Исходник'!$T:$T,0),MATCH(J$1,'Исходник'!$1:$1,0)))</f>
        <v/>
      </c>
      <c r="K167" s="27" t="str">
        <f t="shared" si="3"/>
        <v/>
      </c>
      <c r="L167" s="1" t="str">
        <f t="array" ref="L167">IFERROR(INDEX('Исходник'!$1:$626,MATCH($A167,'Исходник'!$T:$T,0),MATCH(L$1,'Исходник'!$1:$1,0)))</f>
        <v/>
      </c>
      <c r="M167" s="28">
        <f t="shared" si="4"/>
        <v>0</v>
      </c>
      <c r="N167" s="1" t="str">
        <f t="array" ref="N167">IFERROR(INDEX('Исходник'!$1:$626,MATCH($A167,'Исходник'!$T:$T,0),MATCH(N$1,'Исходник'!$1:$1,0)))</f>
        <v/>
      </c>
      <c r="O167" s="27">
        <f t="shared" si="5"/>
        <v>0</v>
      </c>
      <c r="P167" s="27" t="str">
        <f t="shared" si="6"/>
        <v/>
      </c>
      <c r="Q167" s="1" t="str">
        <f t="array" ref="Q167">IFERROR(INDEX('Исходник'!$1:$626,MATCH($A167,'Исходник'!$T:$T,0),MATCH(Q$1,'Исходник'!$1:$1,0)))</f>
        <v/>
      </c>
      <c r="R167" s="1" t="str">
        <f t="array" ref="R167">IFERROR(INDEX('Исходник'!$1:$626,MATCH($A167,'Исходник'!$T:$T,0),MATCH(R$1,'Исходник'!$1:$1,0)))</f>
        <v/>
      </c>
      <c r="S167" s="27">
        <f t="shared" si="7"/>
        <v>0</v>
      </c>
      <c r="T167" s="27" t="str">
        <f t="shared" si="8"/>
        <v/>
      </c>
      <c r="U167" s="1" t="str">
        <f t="array" ref="U167">IFERROR(INDEX('Исходник'!$1:$626,MATCH($A167,'Исходник'!$T:$T,0),MATCH(U$1,'Исходник'!$1:$1,0)))</f>
        <v/>
      </c>
      <c r="V167" s="27" t="str">
        <f t="shared" si="9"/>
        <v/>
      </c>
      <c r="W167" s="1" t="str">
        <f t="array" ref="W167">IFERROR(INDEX('Исходник'!$1:$626,MATCH($A167,'Исходник'!$T:$T,0),MATCH(W$1,'Исходник'!$1:$1,0)))</f>
        <v/>
      </c>
      <c r="X167" s="28">
        <f t="shared" si="10"/>
        <v>0</v>
      </c>
      <c r="Y167" s="1" t="str">
        <f t="array" ref="Y167">IFERROR(INDEX('Исходник'!$1:$626,MATCH($A167,'Исходник'!$T:$T,0),MATCH(Y$1,'Исходник'!$1:$1,0)))</f>
        <v/>
      </c>
      <c r="Z167" s="27">
        <f t="shared" si="11"/>
        <v>0</v>
      </c>
      <c r="AA167" s="27" t="str">
        <f t="shared" si="12"/>
        <v/>
      </c>
      <c r="AB167" s="1" t="str">
        <f t="array" ref="AB167">IFERROR(INDEX('Исходник'!$1:$626,MATCH($A167,'Исходник'!$T:$T,0),MATCH(AB$1,'Исходник'!$1:$1,0)))</f>
        <v/>
      </c>
      <c r="AC167" s="1" t="str">
        <f t="array" ref="AC167">IFERROR(INDEX('Исходник'!$1:$626,MATCH($A167,'Исходник'!$T:$T,0),MATCH(AC$1,'Исходник'!$1:$1,0)))</f>
        <v/>
      </c>
      <c r="AD167" s="27" t="str">
        <f t="shared" si="13"/>
        <v/>
      </c>
      <c r="AE167" s="1" t="str">
        <f t="array" ref="AE167">IFERROR(INDEX('Исходник'!$1:$626,MATCH($A167,'Исходник'!$T:$T,0),MATCH(AE$1,'Исходник'!$1:$1,0)))</f>
        <v/>
      </c>
      <c r="AF167" s="1" t="str">
        <f t="array" ref="AF167">IFERROR(INDEX('Исходник'!$1:$626,MATCH($A167,'Исходник'!$T:$T,0),MATCH(AF$1,'Исходник'!$1:$1,0)))</f>
        <v/>
      </c>
      <c r="AG167" s="27" t="str">
        <f t="shared" si="14"/>
        <v/>
      </c>
      <c r="AH167" s="1" t="str">
        <f t="array" ref="AH167">IFERROR(INDEX('Исходник'!$1:$626,MATCH($A167,'Исходник'!$T:$T,0),MATCH(AH$1,'Исходник'!$1:$1,0)))</f>
        <v/>
      </c>
      <c r="AI167" s="1" t="str">
        <f t="array" ref="AI167">IFERROR(INDEX('Исходник'!$1:$626,MATCH($A167,'Исходник'!$T:$T,0),MATCH(AI$1,'Исходник'!$1:$1,0)))</f>
        <v/>
      </c>
      <c r="AJ167" s="18">
        <f t="shared" si="15"/>
        <v>0</v>
      </c>
    </row>
    <row r="168" ht="15.75" customHeight="1">
      <c r="A168" s="27"/>
      <c r="B168" s="1" t="str">
        <f t="array" ref="B168">IFERROR(INDEX('Исходник'!$1:$626,MATCH($A168,'Исходник'!$T:$T,0),MATCH(B$1,'Исходник'!$1:$1,0)))</f>
        <v/>
      </c>
      <c r="C168" s="1" t="str">
        <f t="array" ref="C168">IFERROR(INDEX('Исходник'!$1:$626,MATCH($A168,'Исходник'!$T:$T,0),MATCH(C$1,'Исходник'!$1:$1,0)))</f>
        <v/>
      </c>
      <c r="D168" s="1" t="str">
        <f t="array" ref="D168">IFERROR(INDEX('Исходник'!$1:$626,MATCH($A168,'Исходник'!$T:$T,0),MATCH(D$1,'Исходник'!$1:$1,0)))</f>
        <v/>
      </c>
      <c r="E168" s="1" t="str">
        <f t="array" ref="E168">IFERROR(INDEX('Исходник'!$1:$626,MATCH($A168,'Исходник'!$T:$T,0),MATCH(E$1,'Исходник'!$1:$1,0)))</f>
        <v/>
      </c>
      <c r="F168" s="1" t="str">
        <f t="array" ref="F168">IFERROR(INDEX('Исходник'!$1:$626,MATCH($A168,'Исходник'!$T:$T,0),MATCH(F$1,'Исходник'!$1:$1,0)))</f>
        <v/>
      </c>
      <c r="G168" s="1" t="str">
        <f t="array" ref="G168">IFERROR(INDEX('Исходник'!$1:$626,MATCH($A168,'Исходник'!$T:$T,0),MATCH(G$1,'Исходник'!$1:$1,0)))</f>
        <v/>
      </c>
      <c r="H168" s="27">
        <f t="shared" si="1"/>
        <v>0</v>
      </c>
      <c r="I168" s="27" t="str">
        <f t="shared" si="2"/>
        <v/>
      </c>
      <c r="J168" s="1" t="str">
        <f t="array" ref="J168">IFERROR(INDEX('Исходник'!$1:$626,MATCH($A168,'Исходник'!$T:$T,0),MATCH(J$1,'Исходник'!$1:$1,0)))</f>
        <v/>
      </c>
      <c r="K168" s="27" t="str">
        <f t="shared" si="3"/>
        <v/>
      </c>
      <c r="L168" s="1" t="str">
        <f t="array" ref="L168">IFERROR(INDEX('Исходник'!$1:$626,MATCH($A168,'Исходник'!$T:$T,0),MATCH(L$1,'Исходник'!$1:$1,0)))</f>
        <v/>
      </c>
      <c r="M168" s="28">
        <f t="shared" si="4"/>
        <v>0</v>
      </c>
      <c r="N168" s="1" t="str">
        <f t="array" ref="N168">IFERROR(INDEX('Исходник'!$1:$626,MATCH($A168,'Исходник'!$T:$T,0),MATCH(N$1,'Исходник'!$1:$1,0)))</f>
        <v/>
      </c>
      <c r="O168" s="27">
        <f t="shared" si="5"/>
        <v>0</v>
      </c>
      <c r="P168" s="27" t="str">
        <f t="shared" si="6"/>
        <v/>
      </c>
      <c r="Q168" s="1" t="str">
        <f t="array" ref="Q168">IFERROR(INDEX('Исходник'!$1:$626,MATCH($A168,'Исходник'!$T:$T,0),MATCH(Q$1,'Исходник'!$1:$1,0)))</f>
        <v/>
      </c>
      <c r="R168" s="1" t="str">
        <f t="array" ref="R168">IFERROR(INDEX('Исходник'!$1:$626,MATCH($A168,'Исходник'!$T:$T,0),MATCH(R$1,'Исходник'!$1:$1,0)))</f>
        <v/>
      </c>
      <c r="S168" s="27">
        <f t="shared" si="7"/>
        <v>0</v>
      </c>
      <c r="T168" s="27" t="str">
        <f t="shared" si="8"/>
        <v/>
      </c>
      <c r="U168" s="1" t="str">
        <f t="array" ref="U168">IFERROR(INDEX('Исходник'!$1:$626,MATCH($A168,'Исходник'!$T:$T,0),MATCH(U$1,'Исходник'!$1:$1,0)))</f>
        <v/>
      </c>
      <c r="V168" s="27" t="str">
        <f t="shared" si="9"/>
        <v/>
      </c>
      <c r="W168" s="1" t="str">
        <f t="array" ref="W168">IFERROR(INDEX('Исходник'!$1:$626,MATCH($A168,'Исходник'!$T:$T,0),MATCH(W$1,'Исходник'!$1:$1,0)))</f>
        <v/>
      </c>
      <c r="X168" s="28">
        <f t="shared" si="10"/>
        <v>0</v>
      </c>
      <c r="Y168" s="1" t="str">
        <f t="array" ref="Y168">IFERROR(INDEX('Исходник'!$1:$626,MATCH($A168,'Исходник'!$T:$T,0),MATCH(Y$1,'Исходник'!$1:$1,0)))</f>
        <v/>
      </c>
      <c r="Z168" s="27">
        <f t="shared" si="11"/>
        <v>0</v>
      </c>
      <c r="AA168" s="27" t="str">
        <f t="shared" si="12"/>
        <v/>
      </c>
      <c r="AB168" s="1" t="str">
        <f t="array" ref="AB168">IFERROR(INDEX('Исходник'!$1:$626,MATCH($A168,'Исходник'!$T:$T,0),MATCH(AB$1,'Исходник'!$1:$1,0)))</f>
        <v/>
      </c>
      <c r="AC168" s="1" t="str">
        <f t="array" ref="AC168">IFERROR(INDEX('Исходник'!$1:$626,MATCH($A168,'Исходник'!$T:$T,0),MATCH(AC$1,'Исходник'!$1:$1,0)))</f>
        <v/>
      </c>
      <c r="AD168" s="27" t="str">
        <f t="shared" si="13"/>
        <v/>
      </c>
      <c r="AE168" s="1" t="str">
        <f t="array" ref="AE168">IFERROR(INDEX('Исходник'!$1:$626,MATCH($A168,'Исходник'!$T:$T,0),MATCH(AE$1,'Исходник'!$1:$1,0)))</f>
        <v/>
      </c>
      <c r="AF168" s="1" t="str">
        <f t="array" ref="AF168">IFERROR(INDEX('Исходник'!$1:$626,MATCH($A168,'Исходник'!$T:$T,0),MATCH(AF$1,'Исходник'!$1:$1,0)))</f>
        <v/>
      </c>
      <c r="AG168" s="27" t="str">
        <f t="shared" si="14"/>
        <v/>
      </c>
      <c r="AH168" s="1" t="str">
        <f t="array" ref="AH168">IFERROR(INDEX('Исходник'!$1:$626,MATCH($A168,'Исходник'!$T:$T,0),MATCH(AH$1,'Исходник'!$1:$1,0)))</f>
        <v/>
      </c>
      <c r="AI168" s="1" t="str">
        <f t="array" ref="AI168">IFERROR(INDEX('Исходник'!$1:$626,MATCH($A168,'Исходник'!$T:$T,0),MATCH(AI$1,'Исходник'!$1:$1,0)))</f>
        <v/>
      </c>
      <c r="AJ168" s="18">
        <f t="shared" si="15"/>
        <v>0</v>
      </c>
    </row>
    <row r="169" ht="15.75" customHeight="1">
      <c r="A169" s="27"/>
      <c r="B169" s="1" t="str">
        <f t="array" ref="B169">IFERROR(INDEX('Исходник'!$1:$626,MATCH($A169,'Исходник'!$T:$T,0),MATCH(B$1,'Исходник'!$1:$1,0)))</f>
        <v/>
      </c>
      <c r="C169" s="1" t="str">
        <f t="array" ref="C169">IFERROR(INDEX('Исходник'!$1:$626,MATCH($A169,'Исходник'!$T:$T,0),MATCH(C$1,'Исходник'!$1:$1,0)))</f>
        <v/>
      </c>
      <c r="D169" s="1" t="str">
        <f t="array" ref="D169">IFERROR(INDEX('Исходник'!$1:$626,MATCH($A169,'Исходник'!$T:$T,0),MATCH(D$1,'Исходник'!$1:$1,0)))</f>
        <v/>
      </c>
      <c r="E169" s="1" t="str">
        <f t="array" ref="E169">IFERROR(INDEX('Исходник'!$1:$626,MATCH($A169,'Исходник'!$T:$T,0),MATCH(E$1,'Исходник'!$1:$1,0)))</f>
        <v/>
      </c>
      <c r="F169" s="1" t="str">
        <f t="array" ref="F169">IFERROR(INDEX('Исходник'!$1:$626,MATCH($A169,'Исходник'!$T:$T,0),MATCH(F$1,'Исходник'!$1:$1,0)))</f>
        <v/>
      </c>
      <c r="G169" s="1" t="str">
        <f t="array" ref="G169">IFERROR(INDEX('Исходник'!$1:$626,MATCH($A169,'Исходник'!$T:$T,0),MATCH(G$1,'Исходник'!$1:$1,0)))</f>
        <v/>
      </c>
      <c r="H169" s="27">
        <f t="shared" si="1"/>
        <v>0</v>
      </c>
      <c r="I169" s="27" t="str">
        <f t="shared" si="2"/>
        <v/>
      </c>
      <c r="J169" s="1" t="str">
        <f t="array" ref="J169">IFERROR(INDEX('Исходник'!$1:$626,MATCH($A169,'Исходник'!$T:$T,0),MATCH(J$1,'Исходник'!$1:$1,0)))</f>
        <v/>
      </c>
      <c r="K169" s="27" t="str">
        <f t="shared" si="3"/>
        <v/>
      </c>
      <c r="L169" s="1" t="str">
        <f t="array" ref="L169">IFERROR(INDEX('Исходник'!$1:$626,MATCH($A169,'Исходник'!$T:$T,0),MATCH(L$1,'Исходник'!$1:$1,0)))</f>
        <v/>
      </c>
      <c r="M169" s="28">
        <f t="shared" si="4"/>
        <v>0</v>
      </c>
      <c r="N169" s="1" t="str">
        <f t="array" ref="N169">IFERROR(INDEX('Исходник'!$1:$626,MATCH($A169,'Исходник'!$T:$T,0),MATCH(N$1,'Исходник'!$1:$1,0)))</f>
        <v/>
      </c>
      <c r="O169" s="27">
        <f t="shared" si="5"/>
        <v>0</v>
      </c>
      <c r="P169" s="27" t="str">
        <f t="shared" si="6"/>
        <v/>
      </c>
      <c r="Q169" s="1" t="str">
        <f t="array" ref="Q169">IFERROR(INDEX('Исходник'!$1:$626,MATCH($A169,'Исходник'!$T:$T,0),MATCH(Q$1,'Исходник'!$1:$1,0)))</f>
        <v/>
      </c>
      <c r="R169" s="1" t="str">
        <f t="array" ref="R169">IFERROR(INDEX('Исходник'!$1:$626,MATCH($A169,'Исходник'!$T:$T,0),MATCH(R$1,'Исходник'!$1:$1,0)))</f>
        <v/>
      </c>
      <c r="S169" s="27">
        <f t="shared" si="7"/>
        <v>0</v>
      </c>
      <c r="T169" s="27" t="str">
        <f t="shared" si="8"/>
        <v/>
      </c>
      <c r="U169" s="1" t="str">
        <f t="array" ref="U169">IFERROR(INDEX('Исходник'!$1:$626,MATCH($A169,'Исходник'!$T:$T,0),MATCH(U$1,'Исходник'!$1:$1,0)))</f>
        <v/>
      </c>
      <c r="V169" s="27" t="str">
        <f t="shared" si="9"/>
        <v/>
      </c>
      <c r="W169" s="1" t="str">
        <f t="array" ref="W169">IFERROR(INDEX('Исходник'!$1:$626,MATCH($A169,'Исходник'!$T:$T,0),MATCH(W$1,'Исходник'!$1:$1,0)))</f>
        <v/>
      </c>
      <c r="X169" s="28">
        <f t="shared" si="10"/>
        <v>0</v>
      </c>
      <c r="Y169" s="1" t="str">
        <f t="array" ref="Y169">IFERROR(INDEX('Исходник'!$1:$626,MATCH($A169,'Исходник'!$T:$T,0),MATCH(Y$1,'Исходник'!$1:$1,0)))</f>
        <v/>
      </c>
      <c r="Z169" s="27">
        <f t="shared" si="11"/>
        <v>0</v>
      </c>
      <c r="AA169" s="27" t="str">
        <f t="shared" si="12"/>
        <v/>
      </c>
      <c r="AB169" s="1" t="str">
        <f t="array" ref="AB169">IFERROR(INDEX('Исходник'!$1:$626,MATCH($A169,'Исходник'!$T:$T,0),MATCH(AB$1,'Исходник'!$1:$1,0)))</f>
        <v/>
      </c>
      <c r="AC169" s="1" t="str">
        <f t="array" ref="AC169">IFERROR(INDEX('Исходник'!$1:$626,MATCH($A169,'Исходник'!$T:$T,0),MATCH(AC$1,'Исходник'!$1:$1,0)))</f>
        <v/>
      </c>
      <c r="AD169" s="27" t="str">
        <f t="shared" si="13"/>
        <v/>
      </c>
      <c r="AE169" s="1" t="str">
        <f t="array" ref="AE169">IFERROR(INDEX('Исходник'!$1:$626,MATCH($A169,'Исходник'!$T:$T,0),MATCH(AE$1,'Исходник'!$1:$1,0)))</f>
        <v/>
      </c>
      <c r="AF169" s="1" t="str">
        <f t="array" ref="AF169">IFERROR(INDEX('Исходник'!$1:$626,MATCH($A169,'Исходник'!$T:$T,0),MATCH(AF$1,'Исходник'!$1:$1,0)))</f>
        <v/>
      </c>
      <c r="AG169" s="27" t="str">
        <f t="shared" si="14"/>
        <v/>
      </c>
      <c r="AH169" s="1" t="str">
        <f t="array" ref="AH169">IFERROR(INDEX('Исходник'!$1:$626,MATCH($A169,'Исходник'!$T:$T,0),MATCH(AH$1,'Исходник'!$1:$1,0)))</f>
        <v/>
      </c>
      <c r="AI169" s="1" t="str">
        <f t="array" ref="AI169">IFERROR(INDEX('Исходник'!$1:$626,MATCH($A169,'Исходник'!$T:$T,0),MATCH(AI$1,'Исходник'!$1:$1,0)))</f>
        <v/>
      </c>
      <c r="AJ169" s="18">
        <f t="shared" si="15"/>
        <v>0</v>
      </c>
    </row>
    <row r="170" ht="15.75" customHeight="1">
      <c r="A170" s="27"/>
      <c r="B170" s="1" t="str">
        <f t="array" ref="B170">IFERROR(INDEX('Исходник'!$1:$626,MATCH($A170,'Исходник'!$T:$T,0),MATCH(B$1,'Исходник'!$1:$1,0)))</f>
        <v/>
      </c>
      <c r="C170" s="1" t="str">
        <f t="array" ref="C170">IFERROR(INDEX('Исходник'!$1:$626,MATCH($A170,'Исходник'!$T:$T,0),MATCH(C$1,'Исходник'!$1:$1,0)))</f>
        <v/>
      </c>
      <c r="D170" s="1" t="str">
        <f t="array" ref="D170">IFERROR(INDEX('Исходник'!$1:$626,MATCH($A170,'Исходник'!$T:$T,0),MATCH(D$1,'Исходник'!$1:$1,0)))</f>
        <v/>
      </c>
      <c r="E170" s="1" t="str">
        <f t="array" ref="E170">IFERROR(INDEX('Исходник'!$1:$626,MATCH($A170,'Исходник'!$T:$T,0),MATCH(E$1,'Исходник'!$1:$1,0)))</f>
        <v/>
      </c>
      <c r="F170" s="1" t="str">
        <f t="array" ref="F170">IFERROR(INDEX('Исходник'!$1:$626,MATCH($A170,'Исходник'!$T:$T,0),MATCH(F$1,'Исходник'!$1:$1,0)))</f>
        <v/>
      </c>
      <c r="G170" s="1" t="str">
        <f t="array" ref="G170">IFERROR(INDEX('Исходник'!$1:$626,MATCH($A170,'Исходник'!$T:$T,0),MATCH(G$1,'Исходник'!$1:$1,0)))</f>
        <v/>
      </c>
      <c r="H170" s="27">
        <f t="shared" si="1"/>
        <v>0</v>
      </c>
      <c r="I170" s="27" t="str">
        <f t="shared" si="2"/>
        <v/>
      </c>
      <c r="J170" s="1" t="str">
        <f t="array" ref="J170">IFERROR(INDEX('Исходник'!$1:$626,MATCH($A170,'Исходник'!$T:$T,0),MATCH(J$1,'Исходник'!$1:$1,0)))</f>
        <v/>
      </c>
      <c r="K170" s="27" t="str">
        <f t="shared" si="3"/>
        <v/>
      </c>
      <c r="L170" s="1" t="str">
        <f t="array" ref="L170">IFERROR(INDEX('Исходник'!$1:$626,MATCH($A170,'Исходник'!$T:$T,0),MATCH(L$1,'Исходник'!$1:$1,0)))</f>
        <v/>
      </c>
      <c r="M170" s="28">
        <f t="shared" si="4"/>
        <v>0</v>
      </c>
      <c r="N170" s="1" t="str">
        <f t="array" ref="N170">IFERROR(INDEX('Исходник'!$1:$626,MATCH($A170,'Исходник'!$T:$T,0),MATCH(N$1,'Исходник'!$1:$1,0)))</f>
        <v/>
      </c>
      <c r="O170" s="27">
        <f t="shared" si="5"/>
        <v>0</v>
      </c>
      <c r="P170" s="27" t="str">
        <f t="shared" si="6"/>
        <v/>
      </c>
      <c r="Q170" s="1" t="str">
        <f t="array" ref="Q170">IFERROR(INDEX('Исходник'!$1:$626,MATCH($A170,'Исходник'!$T:$T,0),MATCH(Q$1,'Исходник'!$1:$1,0)))</f>
        <v/>
      </c>
      <c r="R170" s="1" t="str">
        <f t="array" ref="R170">IFERROR(INDEX('Исходник'!$1:$626,MATCH($A170,'Исходник'!$T:$T,0),MATCH(R$1,'Исходник'!$1:$1,0)))</f>
        <v/>
      </c>
      <c r="S170" s="27">
        <f t="shared" si="7"/>
        <v>0</v>
      </c>
      <c r="T170" s="27" t="str">
        <f t="shared" si="8"/>
        <v/>
      </c>
      <c r="U170" s="1" t="str">
        <f t="array" ref="U170">IFERROR(INDEX('Исходник'!$1:$626,MATCH($A170,'Исходник'!$T:$T,0),MATCH(U$1,'Исходник'!$1:$1,0)))</f>
        <v/>
      </c>
      <c r="V170" s="27" t="str">
        <f t="shared" si="9"/>
        <v/>
      </c>
      <c r="W170" s="1" t="str">
        <f t="array" ref="W170">IFERROR(INDEX('Исходник'!$1:$626,MATCH($A170,'Исходник'!$T:$T,0),MATCH(W$1,'Исходник'!$1:$1,0)))</f>
        <v/>
      </c>
      <c r="X170" s="28">
        <f t="shared" si="10"/>
        <v>0</v>
      </c>
      <c r="Y170" s="1" t="str">
        <f t="array" ref="Y170">IFERROR(INDEX('Исходник'!$1:$626,MATCH($A170,'Исходник'!$T:$T,0),MATCH(Y$1,'Исходник'!$1:$1,0)))</f>
        <v/>
      </c>
      <c r="Z170" s="27">
        <f t="shared" si="11"/>
        <v>0</v>
      </c>
      <c r="AA170" s="27" t="str">
        <f t="shared" si="12"/>
        <v/>
      </c>
      <c r="AB170" s="1" t="str">
        <f t="array" ref="AB170">IFERROR(INDEX('Исходник'!$1:$626,MATCH($A170,'Исходник'!$T:$T,0),MATCH(AB$1,'Исходник'!$1:$1,0)))</f>
        <v/>
      </c>
      <c r="AC170" s="1" t="str">
        <f t="array" ref="AC170">IFERROR(INDEX('Исходник'!$1:$626,MATCH($A170,'Исходник'!$T:$T,0),MATCH(AC$1,'Исходник'!$1:$1,0)))</f>
        <v/>
      </c>
      <c r="AD170" s="27" t="str">
        <f t="shared" si="13"/>
        <v/>
      </c>
      <c r="AE170" s="1" t="str">
        <f t="array" ref="AE170">IFERROR(INDEX('Исходник'!$1:$626,MATCH($A170,'Исходник'!$T:$T,0),MATCH(AE$1,'Исходник'!$1:$1,0)))</f>
        <v/>
      </c>
      <c r="AF170" s="1" t="str">
        <f t="array" ref="AF170">IFERROR(INDEX('Исходник'!$1:$626,MATCH($A170,'Исходник'!$T:$T,0),MATCH(AF$1,'Исходник'!$1:$1,0)))</f>
        <v/>
      </c>
      <c r="AG170" s="27" t="str">
        <f t="shared" si="14"/>
        <v/>
      </c>
      <c r="AH170" s="1" t="str">
        <f t="array" ref="AH170">IFERROR(INDEX('Исходник'!$1:$626,MATCH($A170,'Исходник'!$T:$T,0),MATCH(AH$1,'Исходник'!$1:$1,0)))</f>
        <v/>
      </c>
      <c r="AI170" s="1" t="str">
        <f t="array" ref="AI170">IFERROR(INDEX('Исходник'!$1:$626,MATCH($A170,'Исходник'!$T:$T,0),MATCH(AI$1,'Исходник'!$1:$1,0)))</f>
        <v/>
      </c>
      <c r="AJ170" s="18">
        <f t="shared" si="15"/>
        <v>0</v>
      </c>
    </row>
    <row r="171" ht="15.75" customHeight="1">
      <c r="A171" s="27"/>
      <c r="B171" s="1" t="str">
        <f t="array" ref="B171">IFERROR(INDEX('Исходник'!$1:$626,MATCH($A171,'Исходник'!$T:$T,0),MATCH(B$1,'Исходник'!$1:$1,0)))</f>
        <v/>
      </c>
      <c r="C171" s="1" t="str">
        <f t="array" ref="C171">IFERROR(INDEX('Исходник'!$1:$626,MATCH($A171,'Исходник'!$T:$T,0),MATCH(C$1,'Исходник'!$1:$1,0)))</f>
        <v/>
      </c>
      <c r="D171" s="1" t="str">
        <f t="array" ref="D171">IFERROR(INDEX('Исходник'!$1:$626,MATCH($A171,'Исходник'!$T:$T,0),MATCH(D$1,'Исходник'!$1:$1,0)))</f>
        <v/>
      </c>
      <c r="E171" s="1" t="str">
        <f t="array" ref="E171">IFERROR(INDEX('Исходник'!$1:$626,MATCH($A171,'Исходник'!$T:$T,0),MATCH(E$1,'Исходник'!$1:$1,0)))</f>
        <v/>
      </c>
      <c r="F171" s="1" t="str">
        <f t="array" ref="F171">IFERROR(INDEX('Исходник'!$1:$626,MATCH($A171,'Исходник'!$T:$T,0),MATCH(F$1,'Исходник'!$1:$1,0)))</f>
        <v/>
      </c>
      <c r="G171" s="1" t="str">
        <f t="array" ref="G171">IFERROR(INDEX('Исходник'!$1:$626,MATCH($A171,'Исходник'!$T:$T,0),MATCH(G$1,'Исходник'!$1:$1,0)))</f>
        <v/>
      </c>
      <c r="H171" s="27">
        <f t="shared" si="1"/>
        <v>0</v>
      </c>
      <c r="I171" s="27" t="str">
        <f t="shared" si="2"/>
        <v/>
      </c>
      <c r="J171" s="1" t="str">
        <f t="array" ref="J171">IFERROR(INDEX('Исходник'!$1:$626,MATCH($A171,'Исходник'!$T:$T,0),MATCH(J$1,'Исходник'!$1:$1,0)))</f>
        <v/>
      </c>
      <c r="K171" s="27" t="str">
        <f t="shared" si="3"/>
        <v/>
      </c>
      <c r="L171" s="1" t="str">
        <f t="array" ref="L171">IFERROR(INDEX('Исходник'!$1:$626,MATCH($A171,'Исходник'!$T:$T,0),MATCH(L$1,'Исходник'!$1:$1,0)))</f>
        <v/>
      </c>
      <c r="M171" s="28">
        <f t="shared" si="4"/>
        <v>0</v>
      </c>
      <c r="N171" s="1" t="str">
        <f t="array" ref="N171">IFERROR(INDEX('Исходник'!$1:$626,MATCH($A171,'Исходник'!$T:$T,0),MATCH(N$1,'Исходник'!$1:$1,0)))</f>
        <v/>
      </c>
      <c r="O171" s="27">
        <f t="shared" si="5"/>
        <v>0</v>
      </c>
      <c r="P171" s="27" t="str">
        <f t="shared" si="6"/>
        <v/>
      </c>
      <c r="Q171" s="1" t="str">
        <f t="array" ref="Q171">IFERROR(INDEX('Исходник'!$1:$626,MATCH($A171,'Исходник'!$T:$T,0),MATCH(Q$1,'Исходник'!$1:$1,0)))</f>
        <v/>
      </c>
      <c r="R171" s="1" t="str">
        <f t="array" ref="R171">IFERROR(INDEX('Исходник'!$1:$626,MATCH($A171,'Исходник'!$T:$T,0),MATCH(R$1,'Исходник'!$1:$1,0)))</f>
        <v/>
      </c>
      <c r="S171" s="27">
        <f t="shared" si="7"/>
        <v>0</v>
      </c>
      <c r="T171" s="27" t="str">
        <f t="shared" si="8"/>
        <v/>
      </c>
      <c r="U171" s="1" t="str">
        <f t="array" ref="U171">IFERROR(INDEX('Исходник'!$1:$626,MATCH($A171,'Исходник'!$T:$T,0),MATCH(U$1,'Исходник'!$1:$1,0)))</f>
        <v/>
      </c>
      <c r="V171" s="27" t="str">
        <f t="shared" si="9"/>
        <v/>
      </c>
      <c r="W171" s="1" t="str">
        <f t="array" ref="W171">IFERROR(INDEX('Исходник'!$1:$626,MATCH($A171,'Исходник'!$T:$T,0),MATCH(W$1,'Исходник'!$1:$1,0)))</f>
        <v/>
      </c>
      <c r="X171" s="28">
        <f t="shared" si="10"/>
        <v>0</v>
      </c>
      <c r="Y171" s="1" t="str">
        <f t="array" ref="Y171">IFERROR(INDEX('Исходник'!$1:$626,MATCH($A171,'Исходник'!$T:$T,0),MATCH(Y$1,'Исходник'!$1:$1,0)))</f>
        <v/>
      </c>
      <c r="Z171" s="27">
        <f t="shared" si="11"/>
        <v>0</v>
      </c>
      <c r="AA171" s="27" t="str">
        <f t="shared" si="12"/>
        <v/>
      </c>
      <c r="AB171" s="1" t="str">
        <f t="array" ref="AB171">IFERROR(INDEX('Исходник'!$1:$626,MATCH($A171,'Исходник'!$T:$T,0),MATCH(AB$1,'Исходник'!$1:$1,0)))</f>
        <v/>
      </c>
      <c r="AC171" s="1" t="str">
        <f t="array" ref="AC171">IFERROR(INDEX('Исходник'!$1:$626,MATCH($A171,'Исходник'!$T:$T,0),MATCH(AC$1,'Исходник'!$1:$1,0)))</f>
        <v/>
      </c>
      <c r="AD171" s="27" t="str">
        <f t="shared" si="13"/>
        <v/>
      </c>
      <c r="AE171" s="1" t="str">
        <f t="array" ref="AE171">IFERROR(INDEX('Исходник'!$1:$626,MATCH($A171,'Исходник'!$T:$T,0),MATCH(AE$1,'Исходник'!$1:$1,0)))</f>
        <v/>
      </c>
      <c r="AF171" s="1" t="str">
        <f t="array" ref="AF171">IFERROR(INDEX('Исходник'!$1:$626,MATCH($A171,'Исходник'!$T:$T,0),MATCH(AF$1,'Исходник'!$1:$1,0)))</f>
        <v/>
      </c>
      <c r="AG171" s="27" t="str">
        <f t="shared" si="14"/>
        <v/>
      </c>
      <c r="AH171" s="1" t="str">
        <f t="array" ref="AH171">IFERROR(INDEX('Исходник'!$1:$626,MATCH($A171,'Исходник'!$T:$T,0),MATCH(AH$1,'Исходник'!$1:$1,0)))</f>
        <v/>
      </c>
      <c r="AI171" s="1" t="str">
        <f t="array" ref="AI171">IFERROR(INDEX('Исходник'!$1:$626,MATCH($A171,'Исходник'!$T:$T,0),MATCH(AI$1,'Исходник'!$1:$1,0)))</f>
        <v/>
      </c>
      <c r="AJ171" s="18">
        <f t="shared" si="15"/>
        <v>0</v>
      </c>
    </row>
    <row r="172" ht="15.75" customHeight="1">
      <c r="A172" s="27"/>
      <c r="B172" s="1" t="str">
        <f t="array" ref="B172">IFERROR(INDEX('Исходник'!$1:$626,MATCH($A172,'Исходник'!$T:$T,0),MATCH(B$1,'Исходник'!$1:$1,0)))</f>
        <v/>
      </c>
      <c r="C172" s="1" t="str">
        <f t="array" ref="C172">IFERROR(INDEX('Исходник'!$1:$626,MATCH($A172,'Исходник'!$T:$T,0),MATCH(C$1,'Исходник'!$1:$1,0)))</f>
        <v/>
      </c>
      <c r="D172" s="1" t="str">
        <f t="array" ref="D172">IFERROR(INDEX('Исходник'!$1:$626,MATCH($A172,'Исходник'!$T:$T,0),MATCH(D$1,'Исходник'!$1:$1,0)))</f>
        <v/>
      </c>
      <c r="E172" s="1" t="str">
        <f t="array" ref="E172">IFERROR(INDEX('Исходник'!$1:$626,MATCH($A172,'Исходник'!$T:$T,0),MATCH(E$1,'Исходник'!$1:$1,0)))</f>
        <v/>
      </c>
      <c r="F172" s="1" t="str">
        <f t="array" ref="F172">IFERROR(INDEX('Исходник'!$1:$626,MATCH($A172,'Исходник'!$T:$T,0),MATCH(F$1,'Исходник'!$1:$1,0)))</f>
        <v/>
      </c>
      <c r="G172" s="1" t="str">
        <f t="array" ref="G172">IFERROR(INDEX('Исходник'!$1:$626,MATCH($A172,'Исходник'!$T:$T,0),MATCH(G$1,'Исходник'!$1:$1,0)))</f>
        <v/>
      </c>
      <c r="H172" s="27">
        <f t="shared" si="1"/>
        <v>0</v>
      </c>
      <c r="I172" s="27" t="str">
        <f t="shared" si="2"/>
        <v/>
      </c>
      <c r="J172" s="1" t="str">
        <f t="array" ref="J172">IFERROR(INDEX('Исходник'!$1:$626,MATCH($A172,'Исходник'!$T:$T,0),MATCH(J$1,'Исходник'!$1:$1,0)))</f>
        <v/>
      </c>
      <c r="K172" s="27" t="str">
        <f t="shared" si="3"/>
        <v/>
      </c>
      <c r="L172" s="1" t="str">
        <f t="array" ref="L172">IFERROR(INDEX('Исходник'!$1:$626,MATCH($A172,'Исходник'!$T:$T,0),MATCH(L$1,'Исходник'!$1:$1,0)))</f>
        <v/>
      </c>
      <c r="M172" s="28">
        <f t="shared" si="4"/>
        <v>0</v>
      </c>
      <c r="N172" s="1" t="str">
        <f t="array" ref="N172">IFERROR(INDEX('Исходник'!$1:$626,MATCH($A172,'Исходник'!$T:$T,0),MATCH(N$1,'Исходник'!$1:$1,0)))</f>
        <v/>
      </c>
      <c r="O172" s="27">
        <f t="shared" si="5"/>
        <v>0</v>
      </c>
      <c r="P172" s="27" t="str">
        <f t="shared" si="6"/>
        <v/>
      </c>
      <c r="Q172" s="1" t="str">
        <f t="array" ref="Q172">IFERROR(INDEX('Исходник'!$1:$626,MATCH($A172,'Исходник'!$T:$T,0),MATCH(Q$1,'Исходник'!$1:$1,0)))</f>
        <v/>
      </c>
      <c r="R172" s="1" t="str">
        <f t="array" ref="R172">IFERROR(INDEX('Исходник'!$1:$626,MATCH($A172,'Исходник'!$T:$T,0),MATCH(R$1,'Исходник'!$1:$1,0)))</f>
        <v/>
      </c>
      <c r="S172" s="27">
        <f t="shared" si="7"/>
        <v>0</v>
      </c>
      <c r="T172" s="27" t="str">
        <f t="shared" si="8"/>
        <v/>
      </c>
      <c r="U172" s="1" t="str">
        <f t="array" ref="U172">IFERROR(INDEX('Исходник'!$1:$626,MATCH($A172,'Исходник'!$T:$T,0),MATCH(U$1,'Исходник'!$1:$1,0)))</f>
        <v/>
      </c>
      <c r="V172" s="27" t="str">
        <f t="shared" si="9"/>
        <v/>
      </c>
      <c r="W172" s="1" t="str">
        <f t="array" ref="W172">IFERROR(INDEX('Исходник'!$1:$626,MATCH($A172,'Исходник'!$T:$T,0),MATCH(W$1,'Исходник'!$1:$1,0)))</f>
        <v/>
      </c>
      <c r="X172" s="28">
        <f t="shared" si="10"/>
        <v>0</v>
      </c>
      <c r="Y172" s="1" t="str">
        <f t="array" ref="Y172">IFERROR(INDEX('Исходник'!$1:$626,MATCH($A172,'Исходник'!$T:$T,0),MATCH(Y$1,'Исходник'!$1:$1,0)))</f>
        <v/>
      </c>
      <c r="Z172" s="27">
        <f t="shared" si="11"/>
        <v>0</v>
      </c>
      <c r="AA172" s="27" t="str">
        <f t="shared" si="12"/>
        <v/>
      </c>
      <c r="AB172" s="1" t="str">
        <f t="array" ref="AB172">IFERROR(INDEX('Исходник'!$1:$626,MATCH($A172,'Исходник'!$T:$T,0),MATCH(AB$1,'Исходник'!$1:$1,0)))</f>
        <v/>
      </c>
      <c r="AC172" s="1" t="str">
        <f t="array" ref="AC172">IFERROR(INDEX('Исходник'!$1:$626,MATCH($A172,'Исходник'!$T:$T,0),MATCH(AC$1,'Исходник'!$1:$1,0)))</f>
        <v/>
      </c>
      <c r="AD172" s="27" t="str">
        <f t="shared" si="13"/>
        <v/>
      </c>
      <c r="AE172" s="1" t="str">
        <f t="array" ref="AE172">IFERROR(INDEX('Исходник'!$1:$626,MATCH($A172,'Исходник'!$T:$T,0),MATCH(AE$1,'Исходник'!$1:$1,0)))</f>
        <v/>
      </c>
      <c r="AF172" s="1" t="str">
        <f t="array" ref="AF172">IFERROR(INDEX('Исходник'!$1:$626,MATCH($A172,'Исходник'!$T:$T,0),MATCH(AF$1,'Исходник'!$1:$1,0)))</f>
        <v/>
      </c>
      <c r="AG172" s="27" t="str">
        <f t="shared" si="14"/>
        <v/>
      </c>
      <c r="AH172" s="1" t="str">
        <f t="array" ref="AH172">IFERROR(INDEX('Исходник'!$1:$626,MATCH($A172,'Исходник'!$T:$T,0),MATCH(AH$1,'Исходник'!$1:$1,0)))</f>
        <v/>
      </c>
      <c r="AI172" s="1" t="str">
        <f t="array" ref="AI172">IFERROR(INDEX('Исходник'!$1:$626,MATCH($A172,'Исходник'!$T:$T,0),MATCH(AI$1,'Исходник'!$1:$1,0)))</f>
        <v/>
      </c>
      <c r="AJ172" s="18">
        <f t="shared" si="15"/>
        <v>0</v>
      </c>
    </row>
    <row r="173" ht="15.75" customHeight="1">
      <c r="A173" s="27"/>
      <c r="B173" s="1" t="str">
        <f t="array" ref="B173">IFERROR(INDEX('Исходник'!$1:$626,MATCH($A173,'Исходник'!$T:$T,0),MATCH(B$1,'Исходник'!$1:$1,0)))</f>
        <v/>
      </c>
      <c r="C173" s="1" t="str">
        <f t="array" ref="C173">IFERROR(INDEX('Исходник'!$1:$626,MATCH($A173,'Исходник'!$T:$T,0),MATCH(C$1,'Исходник'!$1:$1,0)))</f>
        <v/>
      </c>
      <c r="D173" s="1" t="str">
        <f t="array" ref="D173">IFERROR(INDEX('Исходник'!$1:$626,MATCH($A173,'Исходник'!$T:$T,0),MATCH(D$1,'Исходник'!$1:$1,0)))</f>
        <v/>
      </c>
      <c r="E173" s="1" t="str">
        <f t="array" ref="E173">IFERROR(INDEX('Исходник'!$1:$626,MATCH($A173,'Исходник'!$T:$T,0),MATCH(E$1,'Исходник'!$1:$1,0)))</f>
        <v/>
      </c>
      <c r="F173" s="1" t="str">
        <f t="array" ref="F173">IFERROR(INDEX('Исходник'!$1:$626,MATCH($A173,'Исходник'!$T:$T,0),MATCH(F$1,'Исходник'!$1:$1,0)))</f>
        <v/>
      </c>
      <c r="G173" s="1" t="str">
        <f t="array" ref="G173">IFERROR(INDEX('Исходник'!$1:$626,MATCH($A173,'Исходник'!$T:$T,0),MATCH(G$1,'Исходник'!$1:$1,0)))</f>
        <v/>
      </c>
      <c r="H173" s="27">
        <f t="shared" si="1"/>
        <v>0</v>
      </c>
      <c r="I173" s="27" t="str">
        <f t="shared" si="2"/>
        <v/>
      </c>
      <c r="J173" s="1" t="str">
        <f t="array" ref="J173">IFERROR(INDEX('Исходник'!$1:$626,MATCH($A173,'Исходник'!$T:$T,0),MATCH(J$1,'Исходник'!$1:$1,0)))</f>
        <v/>
      </c>
      <c r="K173" s="27" t="str">
        <f t="shared" si="3"/>
        <v/>
      </c>
      <c r="L173" s="1" t="str">
        <f t="array" ref="L173">IFERROR(INDEX('Исходник'!$1:$626,MATCH($A173,'Исходник'!$T:$T,0),MATCH(L$1,'Исходник'!$1:$1,0)))</f>
        <v/>
      </c>
      <c r="M173" s="28">
        <f t="shared" si="4"/>
        <v>0</v>
      </c>
      <c r="N173" s="1" t="str">
        <f t="array" ref="N173">IFERROR(INDEX('Исходник'!$1:$626,MATCH($A173,'Исходник'!$T:$T,0),MATCH(N$1,'Исходник'!$1:$1,0)))</f>
        <v/>
      </c>
      <c r="O173" s="27">
        <f t="shared" si="5"/>
        <v>0</v>
      </c>
      <c r="P173" s="27" t="str">
        <f t="shared" si="6"/>
        <v/>
      </c>
      <c r="Q173" s="1" t="str">
        <f t="array" ref="Q173">IFERROR(INDEX('Исходник'!$1:$626,MATCH($A173,'Исходник'!$T:$T,0),MATCH(Q$1,'Исходник'!$1:$1,0)))</f>
        <v/>
      </c>
      <c r="R173" s="1" t="str">
        <f t="array" ref="R173">IFERROR(INDEX('Исходник'!$1:$626,MATCH($A173,'Исходник'!$T:$T,0),MATCH(R$1,'Исходник'!$1:$1,0)))</f>
        <v/>
      </c>
      <c r="S173" s="27">
        <f t="shared" si="7"/>
        <v>0</v>
      </c>
      <c r="T173" s="27" t="str">
        <f t="shared" si="8"/>
        <v/>
      </c>
      <c r="U173" s="1" t="str">
        <f t="array" ref="U173">IFERROR(INDEX('Исходник'!$1:$626,MATCH($A173,'Исходник'!$T:$T,0),MATCH(U$1,'Исходник'!$1:$1,0)))</f>
        <v/>
      </c>
      <c r="V173" s="27" t="str">
        <f t="shared" si="9"/>
        <v/>
      </c>
      <c r="W173" s="1" t="str">
        <f t="array" ref="W173">IFERROR(INDEX('Исходник'!$1:$626,MATCH($A173,'Исходник'!$T:$T,0),MATCH(W$1,'Исходник'!$1:$1,0)))</f>
        <v/>
      </c>
      <c r="X173" s="28">
        <f t="shared" si="10"/>
        <v>0</v>
      </c>
      <c r="Y173" s="1" t="str">
        <f t="array" ref="Y173">IFERROR(INDEX('Исходник'!$1:$626,MATCH($A173,'Исходник'!$T:$T,0),MATCH(Y$1,'Исходник'!$1:$1,0)))</f>
        <v/>
      </c>
      <c r="Z173" s="27">
        <f t="shared" si="11"/>
        <v>0</v>
      </c>
      <c r="AA173" s="27" t="str">
        <f t="shared" si="12"/>
        <v/>
      </c>
      <c r="AB173" s="1" t="str">
        <f t="array" ref="AB173">IFERROR(INDEX('Исходник'!$1:$626,MATCH($A173,'Исходник'!$T:$T,0),MATCH(AB$1,'Исходник'!$1:$1,0)))</f>
        <v/>
      </c>
      <c r="AC173" s="1" t="str">
        <f t="array" ref="AC173">IFERROR(INDEX('Исходник'!$1:$626,MATCH($A173,'Исходник'!$T:$T,0),MATCH(AC$1,'Исходник'!$1:$1,0)))</f>
        <v/>
      </c>
      <c r="AD173" s="27" t="str">
        <f t="shared" si="13"/>
        <v/>
      </c>
      <c r="AE173" s="1" t="str">
        <f t="array" ref="AE173">IFERROR(INDEX('Исходник'!$1:$626,MATCH($A173,'Исходник'!$T:$T,0),MATCH(AE$1,'Исходник'!$1:$1,0)))</f>
        <v/>
      </c>
      <c r="AF173" s="1" t="str">
        <f t="array" ref="AF173">IFERROR(INDEX('Исходник'!$1:$626,MATCH($A173,'Исходник'!$T:$T,0),MATCH(AF$1,'Исходник'!$1:$1,0)))</f>
        <v/>
      </c>
      <c r="AG173" s="27" t="str">
        <f t="shared" si="14"/>
        <v/>
      </c>
      <c r="AH173" s="1" t="str">
        <f t="array" ref="AH173">IFERROR(INDEX('Исходник'!$1:$626,MATCH($A173,'Исходник'!$T:$T,0),MATCH(AH$1,'Исходник'!$1:$1,0)))</f>
        <v/>
      </c>
      <c r="AI173" s="1" t="str">
        <f t="array" ref="AI173">IFERROR(INDEX('Исходник'!$1:$626,MATCH($A173,'Исходник'!$T:$T,0),MATCH(AI$1,'Исходник'!$1:$1,0)))</f>
        <v/>
      </c>
      <c r="AJ173" s="18">
        <f t="shared" si="15"/>
        <v>0</v>
      </c>
    </row>
    <row r="174" ht="15.75" customHeight="1">
      <c r="A174" s="27"/>
      <c r="B174" s="1" t="str">
        <f t="array" ref="B174">IFERROR(INDEX('Исходник'!$1:$626,MATCH($A174,'Исходник'!$T:$T,0),MATCH(B$1,'Исходник'!$1:$1,0)))</f>
        <v/>
      </c>
      <c r="C174" s="1" t="str">
        <f t="array" ref="C174">IFERROR(INDEX('Исходник'!$1:$626,MATCH($A174,'Исходник'!$T:$T,0),MATCH(C$1,'Исходник'!$1:$1,0)))</f>
        <v/>
      </c>
      <c r="D174" s="1" t="str">
        <f t="array" ref="D174">IFERROR(INDEX('Исходник'!$1:$626,MATCH($A174,'Исходник'!$T:$T,0),MATCH(D$1,'Исходник'!$1:$1,0)))</f>
        <v/>
      </c>
      <c r="E174" s="1" t="str">
        <f t="array" ref="E174">IFERROR(INDEX('Исходник'!$1:$626,MATCH($A174,'Исходник'!$T:$T,0),MATCH(E$1,'Исходник'!$1:$1,0)))</f>
        <v/>
      </c>
      <c r="F174" s="1" t="str">
        <f t="array" ref="F174">IFERROR(INDEX('Исходник'!$1:$626,MATCH($A174,'Исходник'!$T:$T,0),MATCH(F$1,'Исходник'!$1:$1,0)))</f>
        <v/>
      </c>
      <c r="G174" s="1" t="str">
        <f t="array" ref="G174">IFERROR(INDEX('Исходник'!$1:$626,MATCH($A174,'Исходник'!$T:$T,0),MATCH(G$1,'Исходник'!$1:$1,0)))</f>
        <v/>
      </c>
      <c r="H174" s="27">
        <f t="shared" si="1"/>
        <v>0</v>
      </c>
      <c r="I174" s="27" t="str">
        <f t="shared" si="2"/>
        <v/>
      </c>
      <c r="J174" s="1" t="str">
        <f t="array" ref="J174">IFERROR(INDEX('Исходник'!$1:$626,MATCH($A174,'Исходник'!$T:$T,0),MATCH(J$1,'Исходник'!$1:$1,0)))</f>
        <v/>
      </c>
      <c r="K174" s="27" t="str">
        <f t="shared" si="3"/>
        <v/>
      </c>
      <c r="L174" s="1" t="str">
        <f t="array" ref="L174">IFERROR(INDEX('Исходник'!$1:$626,MATCH($A174,'Исходник'!$T:$T,0),MATCH(L$1,'Исходник'!$1:$1,0)))</f>
        <v/>
      </c>
      <c r="M174" s="28">
        <f t="shared" si="4"/>
        <v>0</v>
      </c>
      <c r="N174" s="1" t="str">
        <f t="array" ref="N174">IFERROR(INDEX('Исходник'!$1:$626,MATCH($A174,'Исходник'!$T:$T,0),MATCH(N$1,'Исходник'!$1:$1,0)))</f>
        <v/>
      </c>
      <c r="O174" s="27">
        <f t="shared" si="5"/>
        <v>0</v>
      </c>
      <c r="P174" s="27" t="str">
        <f t="shared" si="6"/>
        <v/>
      </c>
      <c r="Q174" s="1" t="str">
        <f t="array" ref="Q174">IFERROR(INDEX('Исходник'!$1:$626,MATCH($A174,'Исходник'!$T:$T,0),MATCH(Q$1,'Исходник'!$1:$1,0)))</f>
        <v/>
      </c>
      <c r="R174" s="1" t="str">
        <f t="array" ref="R174">IFERROR(INDEX('Исходник'!$1:$626,MATCH($A174,'Исходник'!$T:$T,0),MATCH(R$1,'Исходник'!$1:$1,0)))</f>
        <v/>
      </c>
      <c r="S174" s="27">
        <f t="shared" si="7"/>
        <v>0</v>
      </c>
      <c r="T174" s="27" t="str">
        <f t="shared" si="8"/>
        <v/>
      </c>
      <c r="U174" s="1" t="str">
        <f t="array" ref="U174">IFERROR(INDEX('Исходник'!$1:$626,MATCH($A174,'Исходник'!$T:$T,0),MATCH(U$1,'Исходник'!$1:$1,0)))</f>
        <v/>
      </c>
      <c r="V174" s="27" t="str">
        <f t="shared" si="9"/>
        <v/>
      </c>
      <c r="W174" s="1" t="str">
        <f t="array" ref="W174">IFERROR(INDEX('Исходник'!$1:$626,MATCH($A174,'Исходник'!$T:$T,0),MATCH(W$1,'Исходник'!$1:$1,0)))</f>
        <v/>
      </c>
      <c r="X174" s="28">
        <f t="shared" si="10"/>
        <v>0</v>
      </c>
      <c r="Y174" s="1" t="str">
        <f t="array" ref="Y174">IFERROR(INDEX('Исходник'!$1:$626,MATCH($A174,'Исходник'!$T:$T,0),MATCH(Y$1,'Исходник'!$1:$1,0)))</f>
        <v/>
      </c>
      <c r="Z174" s="27">
        <f t="shared" si="11"/>
        <v>0</v>
      </c>
      <c r="AA174" s="27" t="str">
        <f t="shared" si="12"/>
        <v/>
      </c>
      <c r="AB174" s="1" t="str">
        <f t="array" ref="AB174">IFERROR(INDEX('Исходник'!$1:$626,MATCH($A174,'Исходник'!$T:$T,0),MATCH(AB$1,'Исходник'!$1:$1,0)))</f>
        <v/>
      </c>
      <c r="AC174" s="1" t="str">
        <f t="array" ref="AC174">IFERROR(INDEX('Исходник'!$1:$626,MATCH($A174,'Исходник'!$T:$T,0),MATCH(AC$1,'Исходник'!$1:$1,0)))</f>
        <v/>
      </c>
      <c r="AD174" s="27" t="str">
        <f t="shared" si="13"/>
        <v/>
      </c>
      <c r="AE174" s="1" t="str">
        <f t="array" ref="AE174">IFERROR(INDEX('Исходник'!$1:$626,MATCH($A174,'Исходник'!$T:$T,0),MATCH(AE$1,'Исходник'!$1:$1,0)))</f>
        <v/>
      </c>
      <c r="AF174" s="1" t="str">
        <f t="array" ref="AF174">IFERROR(INDEX('Исходник'!$1:$626,MATCH($A174,'Исходник'!$T:$T,0),MATCH(AF$1,'Исходник'!$1:$1,0)))</f>
        <v/>
      </c>
      <c r="AG174" s="27" t="str">
        <f t="shared" si="14"/>
        <v/>
      </c>
      <c r="AH174" s="1" t="str">
        <f t="array" ref="AH174">IFERROR(INDEX('Исходник'!$1:$626,MATCH($A174,'Исходник'!$T:$T,0),MATCH(AH$1,'Исходник'!$1:$1,0)))</f>
        <v/>
      </c>
      <c r="AI174" s="1" t="str">
        <f t="array" ref="AI174">IFERROR(INDEX('Исходник'!$1:$626,MATCH($A174,'Исходник'!$T:$T,0),MATCH(AI$1,'Исходник'!$1:$1,0)))</f>
        <v/>
      </c>
      <c r="AJ174" s="18">
        <f t="shared" si="15"/>
        <v>0</v>
      </c>
    </row>
    <row r="175" ht="15.75" customHeight="1">
      <c r="A175" s="27"/>
      <c r="B175" s="1" t="str">
        <f t="array" ref="B175">IFERROR(INDEX('Исходник'!$1:$626,MATCH($A175,'Исходник'!$T:$T,0),MATCH(B$1,'Исходник'!$1:$1,0)))</f>
        <v/>
      </c>
      <c r="C175" s="1" t="str">
        <f t="array" ref="C175">IFERROR(INDEX('Исходник'!$1:$626,MATCH($A175,'Исходник'!$T:$T,0),MATCH(C$1,'Исходник'!$1:$1,0)))</f>
        <v/>
      </c>
      <c r="D175" s="1" t="str">
        <f t="array" ref="D175">IFERROR(INDEX('Исходник'!$1:$626,MATCH($A175,'Исходник'!$T:$T,0),MATCH(D$1,'Исходник'!$1:$1,0)))</f>
        <v/>
      </c>
      <c r="E175" s="1" t="str">
        <f t="array" ref="E175">IFERROR(INDEX('Исходник'!$1:$626,MATCH($A175,'Исходник'!$T:$T,0),MATCH(E$1,'Исходник'!$1:$1,0)))</f>
        <v/>
      </c>
      <c r="F175" s="1" t="str">
        <f t="array" ref="F175">IFERROR(INDEX('Исходник'!$1:$626,MATCH($A175,'Исходник'!$T:$T,0),MATCH(F$1,'Исходник'!$1:$1,0)))</f>
        <v/>
      </c>
      <c r="G175" s="1" t="str">
        <f t="array" ref="G175">IFERROR(INDEX('Исходник'!$1:$626,MATCH($A175,'Исходник'!$T:$T,0),MATCH(G$1,'Исходник'!$1:$1,0)))</f>
        <v/>
      </c>
      <c r="H175" s="27">
        <f t="shared" si="1"/>
        <v>0</v>
      </c>
      <c r="I175" s="27" t="str">
        <f t="shared" si="2"/>
        <v/>
      </c>
      <c r="J175" s="1" t="str">
        <f t="array" ref="J175">IFERROR(INDEX('Исходник'!$1:$626,MATCH($A175,'Исходник'!$T:$T,0),MATCH(J$1,'Исходник'!$1:$1,0)))</f>
        <v/>
      </c>
      <c r="K175" s="27" t="str">
        <f t="shared" si="3"/>
        <v/>
      </c>
      <c r="L175" s="1" t="str">
        <f t="array" ref="L175">IFERROR(INDEX('Исходник'!$1:$626,MATCH($A175,'Исходник'!$T:$T,0),MATCH(L$1,'Исходник'!$1:$1,0)))</f>
        <v/>
      </c>
      <c r="M175" s="28">
        <f t="shared" si="4"/>
        <v>0</v>
      </c>
      <c r="N175" s="1" t="str">
        <f t="array" ref="N175">IFERROR(INDEX('Исходник'!$1:$626,MATCH($A175,'Исходник'!$T:$T,0),MATCH(N$1,'Исходник'!$1:$1,0)))</f>
        <v/>
      </c>
      <c r="O175" s="27">
        <f t="shared" si="5"/>
        <v>0</v>
      </c>
      <c r="P175" s="27" t="str">
        <f t="shared" si="6"/>
        <v/>
      </c>
      <c r="Q175" s="1" t="str">
        <f t="array" ref="Q175">IFERROR(INDEX('Исходник'!$1:$626,MATCH($A175,'Исходник'!$T:$T,0),MATCH(Q$1,'Исходник'!$1:$1,0)))</f>
        <v/>
      </c>
      <c r="R175" s="1" t="str">
        <f t="array" ref="R175">IFERROR(INDEX('Исходник'!$1:$626,MATCH($A175,'Исходник'!$T:$T,0),MATCH(R$1,'Исходник'!$1:$1,0)))</f>
        <v/>
      </c>
      <c r="S175" s="27">
        <f t="shared" si="7"/>
        <v>0</v>
      </c>
      <c r="T175" s="27" t="str">
        <f t="shared" si="8"/>
        <v/>
      </c>
      <c r="U175" s="1" t="str">
        <f t="array" ref="U175">IFERROR(INDEX('Исходник'!$1:$626,MATCH($A175,'Исходник'!$T:$T,0),MATCH(U$1,'Исходник'!$1:$1,0)))</f>
        <v/>
      </c>
      <c r="V175" s="27" t="str">
        <f t="shared" si="9"/>
        <v/>
      </c>
      <c r="W175" s="1" t="str">
        <f t="array" ref="W175">IFERROR(INDEX('Исходник'!$1:$626,MATCH($A175,'Исходник'!$T:$T,0),MATCH(W$1,'Исходник'!$1:$1,0)))</f>
        <v/>
      </c>
      <c r="X175" s="28">
        <f t="shared" si="10"/>
        <v>0</v>
      </c>
      <c r="Y175" s="1" t="str">
        <f t="array" ref="Y175">IFERROR(INDEX('Исходник'!$1:$626,MATCH($A175,'Исходник'!$T:$T,0),MATCH(Y$1,'Исходник'!$1:$1,0)))</f>
        <v/>
      </c>
      <c r="Z175" s="27">
        <f t="shared" si="11"/>
        <v>0</v>
      </c>
      <c r="AA175" s="27" t="str">
        <f t="shared" si="12"/>
        <v/>
      </c>
      <c r="AB175" s="1" t="str">
        <f t="array" ref="AB175">IFERROR(INDEX('Исходник'!$1:$626,MATCH($A175,'Исходник'!$T:$T,0),MATCH(AB$1,'Исходник'!$1:$1,0)))</f>
        <v/>
      </c>
      <c r="AC175" s="1" t="str">
        <f t="array" ref="AC175">IFERROR(INDEX('Исходник'!$1:$626,MATCH($A175,'Исходник'!$T:$T,0),MATCH(AC$1,'Исходник'!$1:$1,0)))</f>
        <v/>
      </c>
      <c r="AD175" s="27" t="str">
        <f t="shared" si="13"/>
        <v/>
      </c>
      <c r="AE175" s="1" t="str">
        <f t="array" ref="AE175">IFERROR(INDEX('Исходник'!$1:$626,MATCH($A175,'Исходник'!$T:$T,0),MATCH(AE$1,'Исходник'!$1:$1,0)))</f>
        <v/>
      </c>
      <c r="AF175" s="1" t="str">
        <f t="array" ref="AF175">IFERROR(INDEX('Исходник'!$1:$626,MATCH($A175,'Исходник'!$T:$T,0),MATCH(AF$1,'Исходник'!$1:$1,0)))</f>
        <v/>
      </c>
      <c r="AG175" s="27" t="str">
        <f t="shared" si="14"/>
        <v/>
      </c>
      <c r="AH175" s="1" t="str">
        <f t="array" ref="AH175">IFERROR(INDEX('Исходник'!$1:$626,MATCH($A175,'Исходник'!$T:$T,0),MATCH(AH$1,'Исходник'!$1:$1,0)))</f>
        <v/>
      </c>
      <c r="AI175" s="1" t="str">
        <f t="array" ref="AI175">IFERROR(INDEX('Исходник'!$1:$626,MATCH($A175,'Исходник'!$T:$T,0),MATCH(AI$1,'Исходник'!$1:$1,0)))</f>
        <v/>
      </c>
      <c r="AJ175" s="18">
        <f t="shared" si="15"/>
        <v>0</v>
      </c>
    </row>
    <row r="176" ht="15.75" customHeight="1">
      <c r="A176" s="27"/>
      <c r="B176" s="1" t="str">
        <f t="array" ref="B176">IFERROR(INDEX('Исходник'!$1:$626,MATCH($A176,'Исходник'!$T:$T,0),MATCH(B$1,'Исходник'!$1:$1,0)))</f>
        <v/>
      </c>
      <c r="C176" s="1" t="str">
        <f t="array" ref="C176">IFERROR(INDEX('Исходник'!$1:$626,MATCH($A176,'Исходник'!$T:$T,0),MATCH(C$1,'Исходник'!$1:$1,0)))</f>
        <v/>
      </c>
      <c r="D176" s="1" t="str">
        <f t="array" ref="D176">IFERROR(INDEX('Исходник'!$1:$626,MATCH($A176,'Исходник'!$T:$T,0),MATCH(D$1,'Исходник'!$1:$1,0)))</f>
        <v/>
      </c>
      <c r="E176" s="1" t="str">
        <f t="array" ref="E176">IFERROR(INDEX('Исходник'!$1:$626,MATCH($A176,'Исходник'!$T:$T,0),MATCH(E$1,'Исходник'!$1:$1,0)))</f>
        <v/>
      </c>
      <c r="F176" s="1" t="str">
        <f t="array" ref="F176">IFERROR(INDEX('Исходник'!$1:$626,MATCH($A176,'Исходник'!$T:$T,0),MATCH(F$1,'Исходник'!$1:$1,0)))</f>
        <v/>
      </c>
      <c r="G176" s="1" t="str">
        <f t="array" ref="G176">IFERROR(INDEX('Исходник'!$1:$626,MATCH($A176,'Исходник'!$T:$T,0),MATCH(G$1,'Исходник'!$1:$1,0)))</f>
        <v/>
      </c>
      <c r="H176" s="27">
        <f t="shared" si="1"/>
        <v>0</v>
      </c>
      <c r="I176" s="27" t="str">
        <f t="shared" si="2"/>
        <v/>
      </c>
      <c r="J176" s="1" t="str">
        <f t="array" ref="J176">IFERROR(INDEX('Исходник'!$1:$626,MATCH($A176,'Исходник'!$T:$T,0),MATCH(J$1,'Исходник'!$1:$1,0)))</f>
        <v/>
      </c>
      <c r="K176" s="27" t="str">
        <f t="shared" si="3"/>
        <v/>
      </c>
      <c r="L176" s="1" t="str">
        <f t="array" ref="L176">IFERROR(INDEX('Исходник'!$1:$626,MATCH($A176,'Исходник'!$T:$T,0),MATCH(L$1,'Исходник'!$1:$1,0)))</f>
        <v/>
      </c>
      <c r="M176" s="28">
        <f t="shared" si="4"/>
        <v>0</v>
      </c>
      <c r="N176" s="1" t="str">
        <f t="array" ref="N176">IFERROR(INDEX('Исходник'!$1:$626,MATCH($A176,'Исходник'!$T:$T,0),MATCH(N$1,'Исходник'!$1:$1,0)))</f>
        <v/>
      </c>
      <c r="O176" s="27">
        <f t="shared" si="5"/>
        <v>0</v>
      </c>
      <c r="P176" s="27" t="str">
        <f t="shared" si="6"/>
        <v/>
      </c>
      <c r="Q176" s="1" t="str">
        <f t="array" ref="Q176">IFERROR(INDEX('Исходник'!$1:$626,MATCH($A176,'Исходник'!$T:$T,0),MATCH(Q$1,'Исходник'!$1:$1,0)))</f>
        <v/>
      </c>
      <c r="R176" s="1" t="str">
        <f t="array" ref="R176">IFERROR(INDEX('Исходник'!$1:$626,MATCH($A176,'Исходник'!$T:$T,0),MATCH(R$1,'Исходник'!$1:$1,0)))</f>
        <v/>
      </c>
      <c r="S176" s="27">
        <f t="shared" si="7"/>
        <v>0</v>
      </c>
      <c r="T176" s="27" t="str">
        <f t="shared" si="8"/>
        <v/>
      </c>
      <c r="U176" s="1" t="str">
        <f t="array" ref="U176">IFERROR(INDEX('Исходник'!$1:$626,MATCH($A176,'Исходник'!$T:$T,0),MATCH(U$1,'Исходник'!$1:$1,0)))</f>
        <v/>
      </c>
      <c r="V176" s="27" t="str">
        <f t="shared" si="9"/>
        <v/>
      </c>
      <c r="W176" s="1" t="str">
        <f t="array" ref="W176">IFERROR(INDEX('Исходник'!$1:$626,MATCH($A176,'Исходник'!$T:$T,0),MATCH(W$1,'Исходник'!$1:$1,0)))</f>
        <v/>
      </c>
      <c r="X176" s="28">
        <f t="shared" si="10"/>
        <v>0</v>
      </c>
      <c r="Y176" s="1" t="str">
        <f t="array" ref="Y176">IFERROR(INDEX('Исходник'!$1:$626,MATCH($A176,'Исходник'!$T:$T,0),MATCH(Y$1,'Исходник'!$1:$1,0)))</f>
        <v/>
      </c>
      <c r="Z176" s="27">
        <f t="shared" si="11"/>
        <v>0</v>
      </c>
      <c r="AA176" s="27" t="str">
        <f t="shared" si="12"/>
        <v/>
      </c>
      <c r="AB176" s="1" t="str">
        <f t="array" ref="AB176">IFERROR(INDEX('Исходник'!$1:$626,MATCH($A176,'Исходник'!$T:$T,0),MATCH(AB$1,'Исходник'!$1:$1,0)))</f>
        <v/>
      </c>
      <c r="AC176" s="1" t="str">
        <f t="array" ref="AC176">IFERROR(INDEX('Исходник'!$1:$626,MATCH($A176,'Исходник'!$T:$T,0),MATCH(AC$1,'Исходник'!$1:$1,0)))</f>
        <v/>
      </c>
      <c r="AD176" s="27" t="str">
        <f t="shared" si="13"/>
        <v/>
      </c>
      <c r="AE176" s="1" t="str">
        <f t="array" ref="AE176">IFERROR(INDEX('Исходник'!$1:$626,MATCH($A176,'Исходник'!$T:$T,0),MATCH(AE$1,'Исходник'!$1:$1,0)))</f>
        <v/>
      </c>
      <c r="AF176" s="1" t="str">
        <f t="array" ref="AF176">IFERROR(INDEX('Исходник'!$1:$626,MATCH($A176,'Исходник'!$T:$T,0),MATCH(AF$1,'Исходник'!$1:$1,0)))</f>
        <v/>
      </c>
      <c r="AG176" s="27" t="str">
        <f t="shared" si="14"/>
        <v/>
      </c>
      <c r="AH176" s="1" t="str">
        <f t="array" ref="AH176">IFERROR(INDEX('Исходник'!$1:$626,MATCH($A176,'Исходник'!$T:$T,0),MATCH(AH$1,'Исходник'!$1:$1,0)))</f>
        <v/>
      </c>
      <c r="AI176" s="1" t="str">
        <f t="array" ref="AI176">IFERROR(INDEX('Исходник'!$1:$626,MATCH($A176,'Исходник'!$T:$T,0),MATCH(AI$1,'Исходник'!$1:$1,0)))</f>
        <v/>
      </c>
      <c r="AJ176" s="18">
        <f t="shared" si="15"/>
        <v>0</v>
      </c>
    </row>
    <row r="177" ht="15.75" customHeight="1">
      <c r="A177" s="27"/>
      <c r="B177" s="1" t="str">
        <f t="array" ref="B177">IFERROR(INDEX('Исходник'!$1:$626,MATCH($A177,'Исходник'!$T:$T,0),MATCH(B$1,'Исходник'!$1:$1,0)))</f>
        <v/>
      </c>
      <c r="C177" s="1" t="str">
        <f t="array" ref="C177">IFERROR(INDEX('Исходник'!$1:$626,MATCH($A177,'Исходник'!$T:$T,0),MATCH(C$1,'Исходник'!$1:$1,0)))</f>
        <v/>
      </c>
      <c r="D177" s="1" t="str">
        <f t="array" ref="D177">IFERROR(INDEX('Исходник'!$1:$626,MATCH($A177,'Исходник'!$T:$T,0),MATCH(D$1,'Исходник'!$1:$1,0)))</f>
        <v/>
      </c>
      <c r="E177" s="1" t="str">
        <f t="array" ref="E177">IFERROR(INDEX('Исходник'!$1:$626,MATCH($A177,'Исходник'!$T:$T,0),MATCH(E$1,'Исходник'!$1:$1,0)))</f>
        <v/>
      </c>
      <c r="F177" s="1" t="str">
        <f t="array" ref="F177">IFERROR(INDEX('Исходник'!$1:$626,MATCH($A177,'Исходник'!$T:$T,0),MATCH(F$1,'Исходник'!$1:$1,0)))</f>
        <v/>
      </c>
      <c r="G177" s="1" t="str">
        <f t="array" ref="G177">IFERROR(INDEX('Исходник'!$1:$626,MATCH($A177,'Исходник'!$T:$T,0),MATCH(G$1,'Исходник'!$1:$1,0)))</f>
        <v/>
      </c>
      <c r="H177" s="27">
        <f t="shared" si="1"/>
        <v>0</v>
      </c>
      <c r="I177" s="27" t="str">
        <f t="shared" si="2"/>
        <v/>
      </c>
      <c r="J177" s="1" t="str">
        <f t="array" ref="J177">IFERROR(INDEX('Исходник'!$1:$626,MATCH($A177,'Исходник'!$T:$T,0),MATCH(J$1,'Исходник'!$1:$1,0)))</f>
        <v/>
      </c>
      <c r="K177" s="27" t="str">
        <f t="shared" si="3"/>
        <v/>
      </c>
      <c r="L177" s="1" t="str">
        <f t="array" ref="L177">IFERROR(INDEX('Исходник'!$1:$626,MATCH($A177,'Исходник'!$T:$T,0),MATCH(L$1,'Исходник'!$1:$1,0)))</f>
        <v/>
      </c>
      <c r="M177" s="28">
        <f t="shared" si="4"/>
        <v>0</v>
      </c>
      <c r="N177" s="1" t="str">
        <f t="array" ref="N177">IFERROR(INDEX('Исходник'!$1:$626,MATCH($A177,'Исходник'!$T:$T,0),MATCH(N$1,'Исходник'!$1:$1,0)))</f>
        <v/>
      </c>
      <c r="O177" s="27">
        <f t="shared" si="5"/>
        <v>0</v>
      </c>
      <c r="P177" s="27" t="str">
        <f t="shared" si="6"/>
        <v/>
      </c>
      <c r="Q177" s="1" t="str">
        <f t="array" ref="Q177">IFERROR(INDEX('Исходник'!$1:$626,MATCH($A177,'Исходник'!$T:$T,0),MATCH(Q$1,'Исходник'!$1:$1,0)))</f>
        <v/>
      </c>
      <c r="R177" s="1" t="str">
        <f t="array" ref="R177">IFERROR(INDEX('Исходник'!$1:$626,MATCH($A177,'Исходник'!$T:$T,0),MATCH(R$1,'Исходник'!$1:$1,0)))</f>
        <v/>
      </c>
      <c r="S177" s="27">
        <f t="shared" si="7"/>
        <v>0</v>
      </c>
      <c r="T177" s="27" t="str">
        <f t="shared" si="8"/>
        <v/>
      </c>
      <c r="U177" s="1" t="str">
        <f t="array" ref="U177">IFERROR(INDEX('Исходник'!$1:$626,MATCH($A177,'Исходник'!$T:$T,0),MATCH(U$1,'Исходник'!$1:$1,0)))</f>
        <v/>
      </c>
      <c r="V177" s="27" t="str">
        <f t="shared" si="9"/>
        <v/>
      </c>
      <c r="W177" s="1" t="str">
        <f t="array" ref="W177">IFERROR(INDEX('Исходник'!$1:$626,MATCH($A177,'Исходник'!$T:$T,0),MATCH(W$1,'Исходник'!$1:$1,0)))</f>
        <v/>
      </c>
      <c r="X177" s="28">
        <f t="shared" si="10"/>
        <v>0</v>
      </c>
      <c r="Y177" s="1" t="str">
        <f t="array" ref="Y177">IFERROR(INDEX('Исходник'!$1:$626,MATCH($A177,'Исходник'!$T:$T,0),MATCH(Y$1,'Исходник'!$1:$1,0)))</f>
        <v/>
      </c>
      <c r="Z177" s="27">
        <f t="shared" si="11"/>
        <v>0</v>
      </c>
      <c r="AA177" s="27" t="str">
        <f t="shared" si="12"/>
        <v/>
      </c>
      <c r="AB177" s="1" t="str">
        <f t="array" ref="AB177">IFERROR(INDEX('Исходник'!$1:$626,MATCH($A177,'Исходник'!$T:$T,0),MATCH(AB$1,'Исходник'!$1:$1,0)))</f>
        <v/>
      </c>
      <c r="AC177" s="1" t="str">
        <f t="array" ref="AC177">IFERROR(INDEX('Исходник'!$1:$626,MATCH($A177,'Исходник'!$T:$T,0),MATCH(AC$1,'Исходник'!$1:$1,0)))</f>
        <v/>
      </c>
      <c r="AD177" s="27" t="str">
        <f t="shared" si="13"/>
        <v/>
      </c>
      <c r="AE177" s="1" t="str">
        <f t="array" ref="AE177">IFERROR(INDEX('Исходник'!$1:$626,MATCH($A177,'Исходник'!$T:$T,0),MATCH(AE$1,'Исходник'!$1:$1,0)))</f>
        <v/>
      </c>
      <c r="AF177" s="1" t="str">
        <f t="array" ref="AF177">IFERROR(INDEX('Исходник'!$1:$626,MATCH($A177,'Исходник'!$T:$T,0),MATCH(AF$1,'Исходник'!$1:$1,0)))</f>
        <v/>
      </c>
      <c r="AG177" s="27" t="str">
        <f t="shared" si="14"/>
        <v/>
      </c>
      <c r="AH177" s="1" t="str">
        <f t="array" ref="AH177">IFERROR(INDEX('Исходник'!$1:$626,MATCH($A177,'Исходник'!$T:$T,0),MATCH(AH$1,'Исходник'!$1:$1,0)))</f>
        <v/>
      </c>
      <c r="AI177" s="1" t="str">
        <f t="array" ref="AI177">IFERROR(INDEX('Исходник'!$1:$626,MATCH($A177,'Исходник'!$T:$T,0),MATCH(AI$1,'Исходник'!$1:$1,0)))</f>
        <v/>
      </c>
      <c r="AJ177" s="18">
        <f t="shared" si="15"/>
        <v>0</v>
      </c>
    </row>
    <row r="178" ht="15.75" customHeight="1">
      <c r="A178" s="27"/>
      <c r="B178" s="1" t="str">
        <f t="array" ref="B178">IFERROR(INDEX('Исходник'!$1:$626,MATCH($A178,'Исходник'!$T:$T,0),MATCH(B$1,'Исходник'!$1:$1,0)))</f>
        <v/>
      </c>
      <c r="C178" s="1" t="str">
        <f t="array" ref="C178">IFERROR(INDEX('Исходник'!$1:$626,MATCH($A178,'Исходник'!$T:$T,0),MATCH(C$1,'Исходник'!$1:$1,0)))</f>
        <v/>
      </c>
      <c r="D178" s="1" t="str">
        <f t="array" ref="D178">IFERROR(INDEX('Исходник'!$1:$626,MATCH($A178,'Исходник'!$T:$T,0),MATCH(D$1,'Исходник'!$1:$1,0)))</f>
        <v/>
      </c>
      <c r="E178" s="1" t="str">
        <f t="array" ref="E178">IFERROR(INDEX('Исходник'!$1:$626,MATCH($A178,'Исходник'!$T:$T,0),MATCH(E$1,'Исходник'!$1:$1,0)))</f>
        <v/>
      </c>
      <c r="F178" s="1" t="str">
        <f t="array" ref="F178">IFERROR(INDEX('Исходник'!$1:$626,MATCH($A178,'Исходник'!$T:$T,0),MATCH(F$1,'Исходник'!$1:$1,0)))</f>
        <v/>
      </c>
      <c r="G178" s="1" t="str">
        <f t="array" ref="G178">IFERROR(INDEX('Исходник'!$1:$626,MATCH($A178,'Исходник'!$T:$T,0),MATCH(G$1,'Исходник'!$1:$1,0)))</f>
        <v/>
      </c>
      <c r="H178" s="27">
        <f t="shared" si="1"/>
        <v>0</v>
      </c>
      <c r="I178" s="27" t="str">
        <f t="shared" si="2"/>
        <v/>
      </c>
      <c r="J178" s="1" t="str">
        <f t="array" ref="J178">IFERROR(INDEX('Исходник'!$1:$626,MATCH($A178,'Исходник'!$T:$T,0),MATCH(J$1,'Исходник'!$1:$1,0)))</f>
        <v/>
      </c>
      <c r="K178" s="27" t="str">
        <f t="shared" si="3"/>
        <v/>
      </c>
      <c r="L178" s="1" t="str">
        <f t="array" ref="L178">IFERROR(INDEX('Исходник'!$1:$626,MATCH($A178,'Исходник'!$T:$T,0),MATCH(L$1,'Исходник'!$1:$1,0)))</f>
        <v/>
      </c>
      <c r="M178" s="28">
        <f t="shared" si="4"/>
        <v>0</v>
      </c>
      <c r="N178" s="1" t="str">
        <f t="array" ref="N178">IFERROR(INDEX('Исходник'!$1:$626,MATCH($A178,'Исходник'!$T:$T,0),MATCH(N$1,'Исходник'!$1:$1,0)))</f>
        <v/>
      </c>
      <c r="O178" s="27">
        <f t="shared" si="5"/>
        <v>0</v>
      </c>
      <c r="P178" s="27" t="str">
        <f t="shared" si="6"/>
        <v/>
      </c>
      <c r="Q178" s="1" t="str">
        <f t="array" ref="Q178">IFERROR(INDEX('Исходник'!$1:$626,MATCH($A178,'Исходник'!$T:$T,0),MATCH(Q$1,'Исходник'!$1:$1,0)))</f>
        <v/>
      </c>
      <c r="R178" s="1" t="str">
        <f t="array" ref="R178">IFERROR(INDEX('Исходник'!$1:$626,MATCH($A178,'Исходник'!$T:$T,0),MATCH(R$1,'Исходник'!$1:$1,0)))</f>
        <v/>
      </c>
      <c r="S178" s="27">
        <f t="shared" si="7"/>
        <v>0</v>
      </c>
      <c r="T178" s="27" t="str">
        <f t="shared" si="8"/>
        <v/>
      </c>
      <c r="U178" s="1" t="str">
        <f t="array" ref="U178">IFERROR(INDEX('Исходник'!$1:$626,MATCH($A178,'Исходник'!$T:$T,0),MATCH(U$1,'Исходник'!$1:$1,0)))</f>
        <v/>
      </c>
      <c r="V178" s="27" t="str">
        <f t="shared" si="9"/>
        <v/>
      </c>
      <c r="W178" s="1" t="str">
        <f t="array" ref="W178">IFERROR(INDEX('Исходник'!$1:$626,MATCH($A178,'Исходник'!$T:$T,0),MATCH(W$1,'Исходник'!$1:$1,0)))</f>
        <v/>
      </c>
      <c r="X178" s="28">
        <f t="shared" si="10"/>
        <v>0</v>
      </c>
      <c r="Y178" s="1" t="str">
        <f t="array" ref="Y178">IFERROR(INDEX('Исходник'!$1:$626,MATCH($A178,'Исходник'!$T:$T,0),MATCH(Y$1,'Исходник'!$1:$1,0)))</f>
        <v/>
      </c>
      <c r="Z178" s="27">
        <f t="shared" si="11"/>
        <v>0</v>
      </c>
      <c r="AA178" s="27" t="str">
        <f t="shared" si="12"/>
        <v/>
      </c>
      <c r="AB178" s="1" t="str">
        <f t="array" ref="AB178">IFERROR(INDEX('Исходник'!$1:$626,MATCH($A178,'Исходник'!$T:$T,0),MATCH(AB$1,'Исходник'!$1:$1,0)))</f>
        <v/>
      </c>
      <c r="AC178" s="1" t="str">
        <f t="array" ref="AC178">IFERROR(INDEX('Исходник'!$1:$626,MATCH($A178,'Исходник'!$T:$T,0),MATCH(AC$1,'Исходник'!$1:$1,0)))</f>
        <v/>
      </c>
      <c r="AD178" s="27" t="str">
        <f t="shared" si="13"/>
        <v/>
      </c>
      <c r="AE178" s="1" t="str">
        <f t="array" ref="AE178">IFERROR(INDEX('Исходник'!$1:$626,MATCH($A178,'Исходник'!$T:$T,0),MATCH(AE$1,'Исходник'!$1:$1,0)))</f>
        <v/>
      </c>
      <c r="AF178" s="1" t="str">
        <f t="array" ref="AF178">IFERROR(INDEX('Исходник'!$1:$626,MATCH($A178,'Исходник'!$T:$T,0),MATCH(AF$1,'Исходник'!$1:$1,0)))</f>
        <v/>
      </c>
      <c r="AG178" s="27" t="str">
        <f t="shared" si="14"/>
        <v/>
      </c>
      <c r="AH178" s="1" t="str">
        <f t="array" ref="AH178">IFERROR(INDEX('Исходник'!$1:$626,MATCH($A178,'Исходник'!$T:$T,0),MATCH(AH$1,'Исходник'!$1:$1,0)))</f>
        <v/>
      </c>
      <c r="AI178" s="1" t="str">
        <f t="array" ref="AI178">IFERROR(INDEX('Исходник'!$1:$626,MATCH($A178,'Исходник'!$T:$T,0),MATCH(AI$1,'Исходник'!$1:$1,0)))</f>
        <v/>
      </c>
      <c r="AJ178" s="18">
        <f t="shared" si="15"/>
        <v>0</v>
      </c>
    </row>
    <row r="179" ht="15.75" customHeight="1">
      <c r="A179" s="27"/>
      <c r="B179" s="1" t="str">
        <f t="array" ref="B179">IFERROR(INDEX('Исходник'!$1:$626,MATCH($A179,'Исходник'!$T:$T,0),MATCH(B$1,'Исходник'!$1:$1,0)))</f>
        <v/>
      </c>
      <c r="C179" s="1" t="str">
        <f t="array" ref="C179">IFERROR(INDEX('Исходник'!$1:$626,MATCH($A179,'Исходник'!$T:$T,0),MATCH(C$1,'Исходник'!$1:$1,0)))</f>
        <v/>
      </c>
      <c r="D179" s="1" t="str">
        <f t="array" ref="D179">IFERROR(INDEX('Исходник'!$1:$626,MATCH($A179,'Исходник'!$T:$T,0),MATCH(D$1,'Исходник'!$1:$1,0)))</f>
        <v/>
      </c>
      <c r="E179" s="1" t="str">
        <f t="array" ref="E179">IFERROR(INDEX('Исходник'!$1:$626,MATCH($A179,'Исходник'!$T:$T,0),MATCH(E$1,'Исходник'!$1:$1,0)))</f>
        <v/>
      </c>
      <c r="F179" s="1" t="str">
        <f t="array" ref="F179">IFERROR(INDEX('Исходник'!$1:$626,MATCH($A179,'Исходник'!$T:$T,0),MATCH(F$1,'Исходник'!$1:$1,0)))</f>
        <v/>
      </c>
      <c r="G179" s="1" t="str">
        <f t="array" ref="G179">IFERROR(INDEX('Исходник'!$1:$626,MATCH($A179,'Исходник'!$T:$T,0),MATCH(G$1,'Исходник'!$1:$1,0)))</f>
        <v/>
      </c>
      <c r="H179" s="27">
        <f t="shared" si="1"/>
        <v>0</v>
      </c>
      <c r="I179" s="27" t="str">
        <f t="shared" si="2"/>
        <v/>
      </c>
      <c r="J179" s="1" t="str">
        <f t="array" ref="J179">IFERROR(INDEX('Исходник'!$1:$626,MATCH($A179,'Исходник'!$T:$T,0),MATCH(J$1,'Исходник'!$1:$1,0)))</f>
        <v/>
      </c>
      <c r="K179" s="27" t="str">
        <f t="shared" si="3"/>
        <v/>
      </c>
      <c r="L179" s="1" t="str">
        <f t="array" ref="L179">IFERROR(INDEX('Исходник'!$1:$626,MATCH($A179,'Исходник'!$T:$T,0),MATCH(L$1,'Исходник'!$1:$1,0)))</f>
        <v/>
      </c>
      <c r="M179" s="28">
        <f t="shared" si="4"/>
        <v>0</v>
      </c>
      <c r="N179" s="1" t="str">
        <f t="array" ref="N179">IFERROR(INDEX('Исходник'!$1:$626,MATCH($A179,'Исходник'!$T:$T,0),MATCH(N$1,'Исходник'!$1:$1,0)))</f>
        <v/>
      </c>
      <c r="O179" s="27">
        <f t="shared" si="5"/>
        <v>0</v>
      </c>
      <c r="P179" s="27" t="str">
        <f t="shared" si="6"/>
        <v/>
      </c>
      <c r="Q179" s="1" t="str">
        <f t="array" ref="Q179">IFERROR(INDEX('Исходник'!$1:$626,MATCH($A179,'Исходник'!$T:$T,0),MATCH(Q$1,'Исходник'!$1:$1,0)))</f>
        <v/>
      </c>
      <c r="R179" s="1" t="str">
        <f t="array" ref="R179">IFERROR(INDEX('Исходник'!$1:$626,MATCH($A179,'Исходник'!$T:$T,0),MATCH(R$1,'Исходник'!$1:$1,0)))</f>
        <v/>
      </c>
      <c r="S179" s="27">
        <f t="shared" si="7"/>
        <v>0</v>
      </c>
      <c r="T179" s="27" t="str">
        <f t="shared" si="8"/>
        <v/>
      </c>
      <c r="U179" s="1" t="str">
        <f t="array" ref="U179">IFERROR(INDEX('Исходник'!$1:$626,MATCH($A179,'Исходник'!$T:$T,0),MATCH(U$1,'Исходник'!$1:$1,0)))</f>
        <v/>
      </c>
      <c r="V179" s="27" t="str">
        <f t="shared" si="9"/>
        <v/>
      </c>
      <c r="W179" s="1" t="str">
        <f t="array" ref="W179">IFERROR(INDEX('Исходник'!$1:$626,MATCH($A179,'Исходник'!$T:$T,0),MATCH(W$1,'Исходник'!$1:$1,0)))</f>
        <v/>
      </c>
      <c r="X179" s="28">
        <f t="shared" si="10"/>
        <v>0</v>
      </c>
      <c r="Y179" s="1" t="str">
        <f t="array" ref="Y179">IFERROR(INDEX('Исходник'!$1:$626,MATCH($A179,'Исходник'!$T:$T,0),MATCH(Y$1,'Исходник'!$1:$1,0)))</f>
        <v/>
      </c>
      <c r="Z179" s="27">
        <f t="shared" si="11"/>
        <v>0</v>
      </c>
      <c r="AA179" s="27" t="str">
        <f t="shared" si="12"/>
        <v/>
      </c>
      <c r="AB179" s="1" t="str">
        <f t="array" ref="AB179">IFERROR(INDEX('Исходник'!$1:$626,MATCH($A179,'Исходник'!$T:$T,0),MATCH(AB$1,'Исходник'!$1:$1,0)))</f>
        <v/>
      </c>
      <c r="AC179" s="1" t="str">
        <f t="array" ref="AC179">IFERROR(INDEX('Исходник'!$1:$626,MATCH($A179,'Исходник'!$T:$T,0),MATCH(AC$1,'Исходник'!$1:$1,0)))</f>
        <v/>
      </c>
      <c r="AD179" s="27" t="str">
        <f t="shared" si="13"/>
        <v/>
      </c>
      <c r="AE179" s="1" t="str">
        <f t="array" ref="AE179">IFERROR(INDEX('Исходник'!$1:$626,MATCH($A179,'Исходник'!$T:$T,0),MATCH(AE$1,'Исходник'!$1:$1,0)))</f>
        <v/>
      </c>
      <c r="AF179" s="1" t="str">
        <f t="array" ref="AF179">IFERROR(INDEX('Исходник'!$1:$626,MATCH($A179,'Исходник'!$T:$T,0),MATCH(AF$1,'Исходник'!$1:$1,0)))</f>
        <v/>
      </c>
      <c r="AG179" s="27" t="str">
        <f t="shared" si="14"/>
        <v/>
      </c>
      <c r="AH179" s="1" t="str">
        <f t="array" ref="AH179">IFERROR(INDEX('Исходник'!$1:$626,MATCH($A179,'Исходник'!$T:$T,0),MATCH(AH$1,'Исходник'!$1:$1,0)))</f>
        <v/>
      </c>
      <c r="AI179" s="1" t="str">
        <f t="array" ref="AI179">IFERROR(INDEX('Исходник'!$1:$626,MATCH($A179,'Исходник'!$T:$T,0),MATCH(AI$1,'Исходник'!$1:$1,0)))</f>
        <v/>
      </c>
      <c r="AJ179" s="18">
        <f t="shared" si="15"/>
        <v>0</v>
      </c>
    </row>
    <row r="180" ht="15.75" customHeight="1">
      <c r="A180" s="27"/>
      <c r="B180" s="1" t="str">
        <f t="array" ref="B180">IFERROR(INDEX('Исходник'!$1:$626,MATCH($A180,'Исходник'!$T:$T,0),MATCH(B$1,'Исходник'!$1:$1,0)))</f>
        <v/>
      </c>
      <c r="C180" s="1" t="str">
        <f t="array" ref="C180">IFERROR(INDEX('Исходник'!$1:$626,MATCH($A180,'Исходник'!$T:$T,0),MATCH(C$1,'Исходник'!$1:$1,0)))</f>
        <v/>
      </c>
      <c r="D180" s="1" t="str">
        <f t="array" ref="D180">IFERROR(INDEX('Исходник'!$1:$626,MATCH($A180,'Исходник'!$T:$T,0),MATCH(D$1,'Исходник'!$1:$1,0)))</f>
        <v/>
      </c>
      <c r="E180" s="1" t="str">
        <f t="array" ref="E180">IFERROR(INDEX('Исходник'!$1:$626,MATCH($A180,'Исходник'!$T:$T,0),MATCH(E$1,'Исходник'!$1:$1,0)))</f>
        <v/>
      </c>
      <c r="F180" s="1" t="str">
        <f t="array" ref="F180">IFERROR(INDEX('Исходник'!$1:$626,MATCH($A180,'Исходник'!$T:$T,0),MATCH(F$1,'Исходник'!$1:$1,0)))</f>
        <v/>
      </c>
      <c r="G180" s="1" t="str">
        <f t="array" ref="G180">IFERROR(INDEX('Исходник'!$1:$626,MATCH($A180,'Исходник'!$T:$T,0),MATCH(G$1,'Исходник'!$1:$1,0)))</f>
        <v/>
      </c>
      <c r="H180" s="27">
        <f t="shared" si="1"/>
        <v>0</v>
      </c>
      <c r="I180" s="27" t="str">
        <f t="shared" si="2"/>
        <v/>
      </c>
      <c r="J180" s="1" t="str">
        <f t="array" ref="J180">IFERROR(INDEX('Исходник'!$1:$626,MATCH($A180,'Исходник'!$T:$T,0),MATCH(J$1,'Исходник'!$1:$1,0)))</f>
        <v/>
      </c>
      <c r="K180" s="27" t="str">
        <f t="shared" si="3"/>
        <v/>
      </c>
      <c r="L180" s="1" t="str">
        <f t="array" ref="L180">IFERROR(INDEX('Исходник'!$1:$626,MATCH($A180,'Исходник'!$T:$T,0),MATCH(L$1,'Исходник'!$1:$1,0)))</f>
        <v/>
      </c>
      <c r="M180" s="28">
        <f t="shared" si="4"/>
        <v>0</v>
      </c>
      <c r="N180" s="1" t="str">
        <f t="array" ref="N180">IFERROR(INDEX('Исходник'!$1:$626,MATCH($A180,'Исходник'!$T:$T,0),MATCH(N$1,'Исходник'!$1:$1,0)))</f>
        <v/>
      </c>
      <c r="O180" s="27">
        <f t="shared" si="5"/>
        <v>0</v>
      </c>
      <c r="P180" s="27" t="str">
        <f t="shared" si="6"/>
        <v/>
      </c>
      <c r="Q180" s="1" t="str">
        <f t="array" ref="Q180">IFERROR(INDEX('Исходник'!$1:$626,MATCH($A180,'Исходник'!$T:$T,0),MATCH(Q$1,'Исходник'!$1:$1,0)))</f>
        <v/>
      </c>
      <c r="R180" s="1" t="str">
        <f t="array" ref="R180">IFERROR(INDEX('Исходник'!$1:$626,MATCH($A180,'Исходник'!$T:$T,0),MATCH(R$1,'Исходник'!$1:$1,0)))</f>
        <v/>
      </c>
      <c r="S180" s="27">
        <f t="shared" si="7"/>
        <v>0</v>
      </c>
      <c r="T180" s="27" t="str">
        <f t="shared" si="8"/>
        <v/>
      </c>
      <c r="U180" s="1" t="str">
        <f t="array" ref="U180">IFERROR(INDEX('Исходник'!$1:$626,MATCH($A180,'Исходник'!$T:$T,0),MATCH(U$1,'Исходник'!$1:$1,0)))</f>
        <v/>
      </c>
      <c r="V180" s="27" t="str">
        <f t="shared" si="9"/>
        <v/>
      </c>
      <c r="W180" s="1" t="str">
        <f t="array" ref="W180">IFERROR(INDEX('Исходник'!$1:$626,MATCH($A180,'Исходник'!$T:$T,0),MATCH(W$1,'Исходник'!$1:$1,0)))</f>
        <v/>
      </c>
      <c r="X180" s="28">
        <f t="shared" si="10"/>
        <v>0</v>
      </c>
      <c r="Y180" s="1" t="str">
        <f t="array" ref="Y180">IFERROR(INDEX('Исходник'!$1:$626,MATCH($A180,'Исходник'!$T:$T,0),MATCH(Y$1,'Исходник'!$1:$1,0)))</f>
        <v/>
      </c>
      <c r="Z180" s="27">
        <f t="shared" si="11"/>
        <v>0</v>
      </c>
      <c r="AA180" s="27" t="str">
        <f t="shared" si="12"/>
        <v/>
      </c>
      <c r="AB180" s="1" t="str">
        <f t="array" ref="AB180">IFERROR(INDEX('Исходник'!$1:$626,MATCH($A180,'Исходник'!$T:$T,0),MATCH(AB$1,'Исходник'!$1:$1,0)))</f>
        <v/>
      </c>
      <c r="AC180" s="1" t="str">
        <f t="array" ref="AC180">IFERROR(INDEX('Исходник'!$1:$626,MATCH($A180,'Исходник'!$T:$T,0),MATCH(AC$1,'Исходник'!$1:$1,0)))</f>
        <v/>
      </c>
      <c r="AD180" s="27" t="str">
        <f t="shared" si="13"/>
        <v/>
      </c>
      <c r="AE180" s="1" t="str">
        <f t="array" ref="AE180">IFERROR(INDEX('Исходник'!$1:$626,MATCH($A180,'Исходник'!$T:$T,0),MATCH(AE$1,'Исходник'!$1:$1,0)))</f>
        <v/>
      </c>
      <c r="AF180" s="1" t="str">
        <f t="array" ref="AF180">IFERROR(INDEX('Исходник'!$1:$626,MATCH($A180,'Исходник'!$T:$T,0),MATCH(AF$1,'Исходник'!$1:$1,0)))</f>
        <v/>
      </c>
      <c r="AG180" s="27" t="str">
        <f t="shared" si="14"/>
        <v/>
      </c>
      <c r="AH180" s="1" t="str">
        <f t="array" ref="AH180">IFERROR(INDEX('Исходник'!$1:$626,MATCH($A180,'Исходник'!$T:$T,0),MATCH(AH$1,'Исходник'!$1:$1,0)))</f>
        <v/>
      </c>
      <c r="AI180" s="1" t="str">
        <f t="array" ref="AI180">IFERROR(INDEX('Исходник'!$1:$626,MATCH($A180,'Исходник'!$T:$T,0),MATCH(AI$1,'Исходник'!$1:$1,0)))</f>
        <v/>
      </c>
      <c r="AJ180" s="18">
        <f t="shared" si="15"/>
        <v>0</v>
      </c>
    </row>
    <row r="181" ht="15.75" customHeight="1">
      <c r="A181" s="27"/>
      <c r="B181" s="1" t="str">
        <f t="array" ref="B181">IFERROR(INDEX('Исходник'!$1:$626,MATCH($A181,'Исходник'!$T:$T,0),MATCH(B$1,'Исходник'!$1:$1,0)))</f>
        <v/>
      </c>
      <c r="C181" s="1" t="str">
        <f t="array" ref="C181">IFERROR(INDEX('Исходник'!$1:$626,MATCH($A181,'Исходник'!$T:$T,0),MATCH(C$1,'Исходник'!$1:$1,0)))</f>
        <v/>
      </c>
      <c r="D181" s="1" t="str">
        <f t="array" ref="D181">IFERROR(INDEX('Исходник'!$1:$626,MATCH($A181,'Исходник'!$T:$T,0),MATCH(D$1,'Исходник'!$1:$1,0)))</f>
        <v/>
      </c>
      <c r="E181" s="1" t="str">
        <f t="array" ref="E181">IFERROR(INDEX('Исходник'!$1:$626,MATCH($A181,'Исходник'!$T:$T,0),MATCH(E$1,'Исходник'!$1:$1,0)))</f>
        <v/>
      </c>
      <c r="F181" s="1" t="str">
        <f t="array" ref="F181">IFERROR(INDEX('Исходник'!$1:$626,MATCH($A181,'Исходник'!$T:$T,0),MATCH(F$1,'Исходник'!$1:$1,0)))</f>
        <v/>
      </c>
      <c r="G181" s="1" t="str">
        <f t="array" ref="G181">IFERROR(INDEX('Исходник'!$1:$626,MATCH($A181,'Исходник'!$T:$T,0),MATCH(G$1,'Исходник'!$1:$1,0)))</f>
        <v/>
      </c>
      <c r="H181" s="27">
        <f t="shared" si="1"/>
        <v>0</v>
      </c>
      <c r="I181" s="27" t="str">
        <f t="shared" si="2"/>
        <v/>
      </c>
      <c r="J181" s="1" t="str">
        <f t="array" ref="J181">IFERROR(INDEX('Исходник'!$1:$626,MATCH($A181,'Исходник'!$T:$T,0),MATCH(J$1,'Исходник'!$1:$1,0)))</f>
        <v/>
      </c>
      <c r="K181" s="27" t="str">
        <f t="shared" si="3"/>
        <v/>
      </c>
      <c r="L181" s="1" t="str">
        <f t="array" ref="L181">IFERROR(INDEX('Исходник'!$1:$626,MATCH($A181,'Исходник'!$T:$T,0),MATCH(L$1,'Исходник'!$1:$1,0)))</f>
        <v/>
      </c>
      <c r="M181" s="28">
        <f t="shared" si="4"/>
        <v>0</v>
      </c>
      <c r="N181" s="1" t="str">
        <f t="array" ref="N181">IFERROR(INDEX('Исходник'!$1:$626,MATCH($A181,'Исходник'!$T:$T,0),MATCH(N$1,'Исходник'!$1:$1,0)))</f>
        <v/>
      </c>
      <c r="O181" s="27">
        <f t="shared" si="5"/>
        <v>0</v>
      </c>
      <c r="P181" s="27" t="str">
        <f t="shared" si="6"/>
        <v/>
      </c>
      <c r="Q181" s="1" t="str">
        <f t="array" ref="Q181">IFERROR(INDEX('Исходник'!$1:$626,MATCH($A181,'Исходник'!$T:$T,0),MATCH(Q$1,'Исходник'!$1:$1,0)))</f>
        <v/>
      </c>
      <c r="R181" s="1" t="str">
        <f t="array" ref="R181">IFERROR(INDEX('Исходник'!$1:$626,MATCH($A181,'Исходник'!$T:$T,0),MATCH(R$1,'Исходник'!$1:$1,0)))</f>
        <v/>
      </c>
      <c r="S181" s="27">
        <f t="shared" si="7"/>
        <v>0</v>
      </c>
      <c r="T181" s="27" t="str">
        <f t="shared" si="8"/>
        <v/>
      </c>
      <c r="U181" s="1" t="str">
        <f t="array" ref="U181">IFERROR(INDEX('Исходник'!$1:$626,MATCH($A181,'Исходник'!$T:$T,0),MATCH(U$1,'Исходник'!$1:$1,0)))</f>
        <v/>
      </c>
      <c r="V181" s="27" t="str">
        <f t="shared" si="9"/>
        <v/>
      </c>
      <c r="W181" s="1" t="str">
        <f t="array" ref="W181">IFERROR(INDEX('Исходник'!$1:$626,MATCH($A181,'Исходник'!$T:$T,0),MATCH(W$1,'Исходник'!$1:$1,0)))</f>
        <v/>
      </c>
      <c r="X181" s="28">
        <f t="shared" si="10"/>
        <v>0</v>
      </c>
      <c r="Y181" s="1" t="str">
        <f t="array" ref="Y181">IFERROR(INDEX('Исходник'!$1:$626,MATCH($A181,'Исходник'!$T:$T,0),MATCH(Y$1,'Исходник'!$1:$1,0)))</f>
        <v/>
      </c>
      <c r="Z181" s="27">
        <f t="shared" si="11"/>
        <v>0</v>
      </c>
      <c r="AA181" s="27" t="str">
        <f t="shared" si="12"/>
        <v/>
      </c>
      <c r="AB181" s="1" t="str">
        <f t="array" ref="AB181">IFERROR(INDEX('Исходник'!$1:$626,MATCH($A181,'Исходник'!$T:$T,0),MATCH(AB$1,'Исходник'!$1:$1,0)))</f>
        <v/>
      </c>
      <c r="AC181" s="1" t="str">
        <f t="array" ref="AC181">IFERROR(INDEX('Исходник'!$1:$626,MATCH($A181,'Исходник'!$T:$T,0),MATCH(AC$1,'Исходник'!$1:$1,0)))</f>
        <v/>
      </c>
      <c r="AD181" s="27" t="str">
        <f t="shared" si="13"/>
        <v/>
      </c>
      <c r="AE181" s="1" t="str">
        <f t="array" ref="AE181">IFERROR(INDEX('Исходник'!$1:$626,MATCH($A181,'Исходник'!$T:$T,0),MATCH(AE$1,'Исходник'!$1:$1,0)))</f>
        <v/>
      </c>
      <c r="AF181" s="1" t="str">
        <f t="array" ref="AF181">IFERROR(INDEX('Исходник'!$1:$626,MATCH($A181,'Исходник'!$T:$T,0),MATCH(AF$1,'Исходник'!$1:$1,0)))</f>
        <v/>
      </c>
      <c r="AG181" s="27" t="str">
        <f t="shared" si="14"/>
        <v/>
      </c>
      <c r="AH181" s="1" t="str">
        <f t="array" ref="AH181">IFERROR(INDEX('Исходник'!$1:$626,MATCH($A181,'Исходник'!$T:$T,0),MATCH(AH$1,'Исходник'!$1:$1,0)))</f>
        <v/>
      </c>
      <c r="AI181" s="1" t="str">
        <f t="array" ref="AI181">IFERROR(INDEX('Исходник'!$1:$626,MATCH($A181,'Исходник'!$T:$T,0),MATCH(AI$1,'Исходник'!$1:$1,0)))</f>
        <v/>
      </c>
      <c r="AJ181" s="18">
        <f t="shared" si="15"/>
        <v>0</v>
      </c>
    </row>
    <row r="182" ht="15.75" customHeight="1">
      <c r="A182" s="27"/>
      <c r="B182" s="1" t="str">
        <f t="array" ref="B182">IFERROR(INDEX('Исходник'!$1:$626,MATCH($A182,'Исходник'!$T:$T,0),MATCH(B$1,'Исходник'!$1:$1,0)))</f>
        <v/>
      </c>
      <c r="C182" s="1" t="str">
        <f t="array" ref="C182">IFERROR(INDEX('Исходник'!$1:$626,MATCH($A182,'Исходник'!$T:$T,0),MATCH(C$1,'Исходник'!$1:$1,0)))</f>
        <v/>
      </c>
      <c r="D182" s="1" t="str">
        <f t="array" ref="D182">IFERROR(INDEX('Исходник'!$1:$626,MATCH($A182,'Исходник'!$T:$T,0),MATCH(D$1,'Исходник'!$1:$1,0)))</f>
        <v/>
      </c>
      <c r="E182" s="1" t="str">
        <f t="array" ref="E182">IFERROR(INDEX('Исходник'!$1:$626,MATCH($A182,'Исходник'!$T:$T,0),MATCH(E$1,'Исходник'!$1:$1,0)))</f>
        <v/>
      </c>
      <c r="F182" s="1" t="str">
        <f t="array" ref="F182">IFERROR(INDEX('Исходник'!$1:$626,MATCH($A182,'Исходник'!$T:$T,0),MATCH(F$1,'Исходник'!$1:$1,0)))</f>
        <v/>
      </c>
      <c r="G182" s="1" t="str">
        <f t="array" ref="G182">IFERROR(INDEX('Исходник'!$1:$626,MATCH($A182,'Исходник'!$T:$T,0),MATCH(G$1,'Исходник'!$1:$1,0)))</f>
        <v/>
      </c>
      <c r="H182" s="27">
        <f t="shared" si="1"/>
        <v>0</v>
      </c>
      <c r="I182" s="27" t="str">
        <f t="shared" si="2"/>
        <v/>
      </c>
      <c r="J182" s="1" t="str">
        <f t="array" ref="J182">IFERROR(INDEX('Исходник'!$1:$626,MATCH($A182,'Исходник'!$T:$T,0),MATCH(J$1,'Исходник'!$1:$1,0)))</f>
        <v/>
      </c>
      <c r="K182" s="27" t="str">
        <f t="shared" si="3"/>
        <v/>
      </c>
      <c r="L182" s="1" t="str">
        <f t="array" ref="L182">IFERROR(INDEX('Исходник'!$1:$626,MATCH($A182,'Исходник'!$T:$T,0),MATCH(L$1,'Исходник'!$1:$1,0)))</f>
        <v/>
      </c>
      <c r="M182" s="28">
        <f t="shared" si="4"/>
        <v>0</v>
      </c>
      <c r="N182" s="1" t="str">
        <f t="array" ref="N182">IFERROR(INDEX('Исходник'!$1:$626,MATCH($A182,'Исходник'!$T:$T,0),MATCH(N$1,'Исходник'!$1:$1,0)))</f>
        <v/>
      </c>
      <c r="O182" s="27">
        <f t="shared" si="5"/>
        <v>0</v>
      </c>
      <c r="P182" s="27" t="str">
        <f t="shared" si="6"/>
        <v/>
      </c>
      <c r="Q182" s="1" t="str">
        <f t="array" ref="Q182">IFERROR(INDEX('Исходник'!$1:$626,MATCH($A182,'Исходник'!$T:$T,0),MATCH(Q$1,'Исходник'!$1:$1,0)))</f>
        <v/>
      </c>
      <c r="R182" s="1" t="str">
        <f t="array" ref="R182">IFERROR(INDEX('Исходник'!$1:$626,MATCH($A182,'Исходник'!$T:$T,0),MATCH(R$1,'Исходник'!$1:$1,0)))</f>
        <v/>
      </c>
      <c r="S182" s="27">
        <f t="shared" si="7"/>
        <v>0</v>
      </c>
      <c r="T182" s="27" t="str">
        <f t="shared" si="8"/>
        <v/>
      </c>
      <c r="U182" s="1" t="str">
        <f t="array" ref="U182">IFERROR(INDEX('Исходник'!$1:$626,MATCH($A182,'Исходник'!$T:$T,0),MATCH(U$1,'Исходник'!$1:$1,0)))</f>
        <v/>
      </c>
      <c r="V182" s="27" t="str">
        <f t="shared" si="9"/>
        <v/>
      </c>
      <c r="W182" s="1" t="str">
        <f t="array" ref="W182">IFERROR(INDEX('Исходник'!$1:$626,MATCH($A182,'Исходник'!$T:$T,0),MATCH(W$1,'Исходник'!$1:$1,0)))</f>
        <v/>
      </c>
      <c r="X182" s="28">
        <f t="shared" si="10"/>
        <v>0</v>
      </c>
      <c r="Y182" s="1" t="str">
        <f t="array" ref="Y182">IFERROR(INDEX('Исходник'!$1:$626,MATCH($A182,'Исходник'!$T:$T,0),MATCH(Y$1,'Исходник'!$1:$1,0)))</f>
        <v/>
      </c>
      <c r="Z182" s="27">
        <f t="shared" si="11"/>
        <v>0</v>
      </c>
      <c r="AA182" s="27" t="str">
        <f t="shared" si="12"/>
        <v/>
      </c>
      <c r="AB182" s="1" t="str">
        <f t="array" ref="AB182">IFERROR(INDEX('Исходник'!$1:$626,MATCH($A182,'Исходник'!$T:$T,0),MATCH(AB$1,'Исходник'!$1:$1,0)))</f>
        <v/>
      </c>
      <c r="AC182" s="1" t="str">
        <f t="array" ref="AC182">IFERROR(INDEX('Исходник'!$1:$626,MATCH($A182,'Исходник'!$T:$T,0),MATCH(AC$1,'Исходник'!$1:$1,0)))</f>
        <v/>
      </c>
      <c r="AD182" s="27" t="str">
        <f t="shared" si="13"/>
        <v/>
      </c>
      <c r="AE182" s="1" t="str">
        <f t="array" ref="AE182">IFERROR(INDEX('Исходник'!$1:$626,MATCH($A182,'Исходник'!$T:$T,0),MATCH(AE$1,'Исходник'!$1:$1,0)))</f>
        <v/>
      </c>
      <c r="AF182" s="1" t="str">
        <f t="array" ref="AF182">IFERROR(INDEX('Исходник'!$1:$626,MATCH($A182,'Исходник'!$T:$T,0),MATCH(AF$1,'Исходник'!$1:$1,0)))</f>
        <v/>
      </c>
      <c r="AG182" s="27" t="str">
        <f t="shared" si="14"/>
        <v/>
      </c>
      <c r="AH182" s="1" t="str">
        <f t="array" ref="AH182">IFERROR(INDEX('Исходник'!$1:$626,MATCH($A182,'Исходник'!$T:$T,0),MATCH(AH$1,'Исходник'!$1:$1,0)))</f>
        <v/>
      </c>
      <c r="AI182" s="1" t="str">
        <f t="array" ref="AI182">IFERROR(INDEX('Исходник'!$1:$626,MATCH($A182,'Исходник'!$T:$T,0),MATCH(AI$1,'Исходник'!$1:$1,0)))</f>
        <v/>
      </c>
      <c r="AJ182" s="18">
        <f t="shared" si="15"/>
        <v>0</v>
      </c>
    </row>
    <row r="183" ht="15.75" customHeight="1">
      <c r="A183" s="27"/>
      <c r="B183" s="1" t="str">
        <f t="array" ref="B183">IFERROR(INDEX('Исходник'!$1:$626,MATCH($A183,'Исходник'!$T:$T,0),MATCH(B$1,'Исходник'!$1:$1,0)))</f>
        <v/>
      </c>
      <c r="C183" s="1" t="str">
        <f t="array" ref="C183">IFERROR(INDEX('Исходник'!$1:$626,MATCH($A183,'Исходник'!$T:$T,0),MATCH(C$1,'Исходник'!$1:$1,0)))</f>
        <v/>
      </c>
      <c r="D183" s="1" t="str">
        <f t="array" ref="D183">IFERROR(INDEX('Исходник'!$1:$626,MATCH($A183,'Исходник'!$T:$T,0),MATCH(D$1,'Исходник'!$1:$1,0)))</f>
        <v/>
      </c>
      <c r="E183" s="1" t="str">
        <f t="array" ref="E183">IFERROR(INDEX('Исходник'!$1:$626,MATCH($A183,'Исходник'!$T:$T,0),MATCH(E$1,'Исходник'!$1:$1,0)))</f>
        <v/>
      </c>
      <c r="F183" s="1" t="str">
        <f t="array" ref="F183">IFERROR(INDEX('Исходник'!$1:$626,MATCH($A183,'Исходник'!$T:$T,0),MATCH(F$1,'Исходник'!$1:$1,0)))</f>
        <v/>
      </c>
      <c r="G183" s="1" t="str">
        <f t="array" ref="G183">IFERROR(INDEX('Исходник'!$1:$626,MATCH($A183,'Исходник'!$T:$T,0),MATCH(G$1,'Исходник'!$1:$1,0)))</f>
        <v/>
      </c>
      <c r="H183" s="27">
        <f t="shared" si="1"/>
        <v>0</v>
      </c>
      <c r="I183" s="27" t="str">
        <f t="shared" si="2"/>
        <v/>
      </c>
      <c r="J183" s="1" t="str">
        <f t="array" ref="J183">IFERROR(INDEX('Исходник'!$1:$626,MATCH($A183,'Исходник'!$T:$T,0),MATCH(J$1,'Исходник'!$1:$1,0)))</f>
        <v/>
      </c>
      <c r="K183" s="27" t="str">
        <f t="shared" si="3"/>
        <v/>
      </c>
      <c r="L183" s="1" t="str">
        <f t="array" ref="L183">IFERROR(INDEX('Исходник'!$1:$626,MATCH($A183,'Исходник'!$T:$T,0),MATCH(L$1,'Исходник'!$1:$1,0)))</f>
        <v/>
      </c>
      <c r="M183" s="28">
        <f t="shared" si="4"/>
        <v>0</v>
      </c>
      <c r="N183" s="1" t="str">
        <f t="array" ref="N183">IFERROR(INDEX('Исходник'!$1:$626,MATCH($A183,'Исходник'!$T:$T,0),MATCH(N$1,'Исходник'!$1:$1,0)))</f>
        <v/>
      </c>
      <c r="O183" s="27">
        <f t="shared" si="5"/>
        <v>0</v>
      </c>
      <c r="P183" s="27" t="str">
        <f t="shared" si="6"/>
        <v/>
      </c>
      <c r="Q183" s="1" t="str">
        <f t="array" ref="Q183">IFERROR(INDEX('Исходник'!$1:$626,MATCH($A183,'Исходник'!$T:$T,0),MATCH(Q$1,'Исходник'!$1:$1,0)))</f>
        <v/>
      </c>
      <c r="R183" s="1" t="str">
        <f t="array" ref="R183">IFERROR(INDEX('Исходник'!$1:$626,MATCH($A183,'Исходник'!$T:$T,0),MATCH(R$1,'Исходник'!$1:$1,0)))</f>
        <v/>
      </c>
      <c r="S183" s="27">
        <f t="shared" si="7"/>
        <v>0</v>
      </c>
      <c r="T183" s="27" t="str">
        <f t="shared" si="8"/>
        <v/>
      </c>
      <c r="U183" s="1" t="str">
        <f t="array" ref="U183">IFERROR(INDEX('Исходник'!$1:$626,MATCH($A183,'Исходник'!$T:$T,0),MATCH(U$1,'Исходник'!$1:$1,0)))</f>
        <v/>
      </c>
      <c r="V183" s="27" t="str">
        <f t="shared" si="9"/>
        <v/>
      </c>
      <c r="W183" s="1" t="str">
        <f t="array" ref="W183">IFERROR(INDEX('Исходник'!$1:$626,MATCH($A183,'Исходник'!$T:$T,0),MATCH(W$1,'Исходник'!$1:$1,0)))</f>
        <v/>
      </c>
      <c r="X183" s="28">
        <f t="shared" si="10"/>
        <v>0</v>
      </c>
      <c r="Y183" s="1" t="str">
        <f t="array" ref="Y183">IFERROR(INDEX('Исходник'!$1:$626,MATCH($A183,'Исходник'!$T:$T,0),MATCH(Y$1,'Исходник'!$1:$1,0)))</f>
        <v/>
      </c>
      <c r="Z183" s="27">
        <f t="shared" si="11"/>
        <v>0</v>
      </c>
      <c r="AA183" s="27" t="str">
        <f t="shared" si="12"/>
        <v/>
      </c>
      <c r="AB183" s="1" t="str">
        <f t="array" ref="AB183">IFERROR(INDEX('Исходник'!$1:$626,MATCH($A183,'Исходник'!$T:$T,0),MATCH(AB$1,'Исходник'!$1:$1,0)))</f>
        <v/>
      </c>
      <c r="AC183" s="1" t="str">
        <f t="array" ref="AC183">IFERROR(INDEX('Исходник'!$1:$626,MATCH($A183,'Исходник'!$T:$T,0),MATCH(AC$1,'Исходник'!$1:$1,0)))</f>
        <v/>
      </c>
      <c r="AD183" s="27" t="str">
        <f t="shared" si="13"/>
        <v/>
      </c>
      <c r="AE183" s="1" t="str">
        <f t="array" ref="AE183">IFERROR(INDEX('Исходник'!$1:$626,MATCH($A183,'Исходник'!$T:$T,0),MATCH(AE$1,'Исходник'!$1:$1,0)))</f>
        <v/>
      </c>
      <c r="AF183" s="1" t="str">
        <f t="array" ref="AF183">IFERROR(INDEX('Исходник'!$1:$626,MATCH($A183,'Исходник'!$T:$T,0),MATCH(AF$1,'Исходник'!$1:$1,0)))</f>
        <v/>
      </c>
      <c r="AG183" s="27" t="str">
        <f t="shared" si="14"/>
        <v/>
      </c>
      <c r="AH183" s="1" t="str">
        <f t="array" ref="AH183">IFERROR(INDEX('Исходник'!$1:$626,MATCH($A183,'Исходник'!$T:$T,0),MATCH(AH$1,'Исходник'!$1:$1,0)))</f>
        <v/>
      </c>
      <c r="AI183" s="1" t="str">
        <f t="array" ref="AI183">IFERROR(INDEX('Исходник'!$1:$626,MATCH($A183,'Исходник'!$T:$T,0),MATCH(AI$1,'Исходник'!$1:$1,0)))</f>
        <v/>
      </c>
      <c r="AJ183" s="18">
        <f t="shared" si="15"/>
        <v>0</v>
      </c>
    </row>
    <row r="184" ht="15.75" customHeight="1">
      <c r="A184" s="27"/>
      <c r="B184" s="1" t="str">
        <f t="array" ref="B184">IFERROR(INDEX('Исходник'!$1:$626,MATCH($A184,'Исходник'!$T:$T,0),MATCH(B$1,'Исходник'!$1:$1,0)))</f>
        <v/>
      </c>
      <c r="C184" s="1" t="str">
        <f t="array" ref="C184">IFERROR(INDEX('Исходник'!$1:$626,MATCH($A184,'Исходник'!$T:$T,0),MATCH(C$1,'Исходник'!$1:$1,0)))</f>
        <v/>
      </c>
      <c r="D184" s="1" t="str">
        <f t="array" ref="D184">IFERROR(INDEX('Исходник'!$1:$626,MATCH($A184,'Исходник'!$T:$T,0),MATCH(D$1,'Исходник'!$1:$1,0)))</f>
        <v/>
      </c>
      <c r="E184" s="1" t="str">
        <f t="array" ref="E184">IFERROR(INDEX('Исходник'!$1:$626,MATCH($A184,'Исходник'!$T:$T,0),MATCH(E$1,'Исходник'!$1:$1,0)))</f>
        <v/>
      </c>
      <c r="F184" s="1" t="str">
        <f t="array" ref="F184">IFERROR(INDEX('Исходник'!$1:$626,MATCH($A184,'Исходник'!$T:$T,0),MATCH(F$1,'Исходник'!$1:$1,0)))</f>
        <v/>
      </c>
      <c r="G184" s="1" t="str">
        <f t="array" ref="G184">IFERROR(INDEX('Исходник'!$1:$626,MATCH($A184,'Исходник'!$T:$T,0),MATCH(G$1,'Исходник'!$1:$1,0)))</f>
        <v/>
      </c>
      <c r="H184" s="27">
        <f t="shared" si="1"/>
        <v>0</v>
      </c>
      <c r="I184" s="27" t="str">
        <f t="shared" si="2"/>
        <v/>
      </c>
      <c r="J184" s="1" t="str">
        <f t="array" ref="J184">IFERROR(INDEX('Исходник'!$1:$626,MATCH($A184,'Исходник'!$T:$T,0),MATCH(J$1,'Исходник'!$1:$1,0)))</f>
        <v/>
      </c>
      <c r="K184" s="27" t="str">
        <f t="shared" si="3"/>
        <v/>
      </c>
      <c r="L184" s="1" t="str">
        <f t="array" ref="L184">IFERROR(INDEX('Исходник'!$1:$626,MATCH($A184,'Исходник'!$T:$T,0),MATCH(L$1,'Исходник'!$1:$1,0)))</f>
        <v/>
      </c>
      <c r="M184" s="28">
        <f t="shared" si="4"/>
        <v>0</v>
      </c>
      <c r="N184" s="1" t="str">
        <f t="array" ref="N184">IFERROR(INDEX('Исходник'!$1:$626,MATCH($A184,'Исходник'!$T:$T,0),MATCH(N$1,'Исходник'!$1:$1,0)))</f>
        <v/>
      </c>
      <c r="O184" s="27">
        <f t="shared" si="5"/>
        <v>0</v>
      </c>
      <c r="P184" s="27" t="str">
        <f t="shared" si="6"/>
        <v/>
      </c>
      <c r="Q184" s="1" t="str">
        <f t="array" ref="Q184">IFERROR(INDEX('Исходник'!$1:$626,MATCH($A184,'Исходник'!$T:$T,0),MATCH(Q$1,'Исходник'!$1:$1,0)))</f>
        <v/>
      </c>
      <c r="R184" s="1" t="str">
        <f t="array" ref="R184">IFERROR(INDEX('Исходник'!$1:$626,MATCH($A184,'Исходник'!$T:$T,0),MATCH(R$1,'Исходник'!$1:$1,0)))</f>
        <v/>
      </c>
      <c r="S184" s="27">
        <f t="shared" si="7"/>
        <v>0</v>
      </c>
      <c r="T184" s="27" t="str">
        <f t="shared" si="8"/>
        <v/>
      </c>
      <c r="U184" s="1" t="str">
        <f t="array" ref="U184">IFERROR(INDEX('Исходник'!$1:$626,MATCH($A184,'Исходник'!$T:$T,0),MATCH(U$1,'Исходник'!$1:$1,0)))</f>
        <v/>
      </c>
      <c r="V184" s="27" t="str">
        <f t="shared" si="9"/>
        <v/>
      </c>
      <c r="W184" s="1" t="str">
        <f t="array" ref="W184">IFERROR(INDEX('Исходник'!$1:$626,MATCH($A184,'Исходник'!$T:$T,0),MATCH(W$1,'Исходник'!$1:$1,0)))</f>
        <v/>
      </c>
      <c r="X184" s="28">
        <f t="shared" si="10"/>
        <v>0</v>
      </c>
      <c r="Y184" s="1" t="str">
        <f t="array" ref="Y184">IFERROR(INDEX('Исходник'!$1:$626,MATCH($A184,'Исходник'!$T:$T,0),MATCH(Y$1,'Исходник'!$1:$1,0)))</f>
        <v/>
      </c>
      <c r="Z184" s="27">
        <f t="shared" si="11"/>
        <v>0</v>
      </c>
      <c r="AA184" s="27" t="str">
        <f t="shared" si="12"/>
        <v/>
      </c>
      <c r="AB184" s="1" t="str">
        <f t="array" ref="AB184">IFERROR(INDEX('Исходник'!$1:$626,MATCH($A184,'Исходник'!$T:$T,0),MATCH(AB$1,'Исходник'!$1:$1,0)))</f>
        <v/>
      </c>
      <c r="AC184" s="1" t="str">
        <f t="array" ref="AC184">IFERROR(INDEX('Исходник'!$1:$626,MATCH($A184,'Исходник'!$T:$T,0),MATCH(AC$1,'Исходник'!$1:$1,0)))</f>
        <v/>
      </c>
      <c r="AD184" s="27" t="str">
        <f t="shared" si="13"/>
        <v/>
      </c>
      <c r="AE184" s="1" t="str">
        <f t="array" ref="AE184">IFERROR(INDEX('Исходник'!$1:$626,MATCH($A184,'Исходник'!$T:$T,0),MATCH(AE$1,'Исходник'!$1:$1,0)))</f>
        <v/>
      </c>
      <c r="AF184" s="1" t="str">
        <f t="array" ref="AF184">IFERROR(INDEX('Исходник'!$1:$626,MATCH($A184,'Исходник'!$T:$T,0),MATCH(AF$1,'Исходник'!$1:$1,0)))</f>
        <v/>
      </c>
      <c r="AG184" s="27" t="str">
        <f t="shared" si="14"/>
        <v/>
      </c>
      <c r="AH184" s="1" t="str">
        <f t="array" ref="AH184">IFERROR(INDEX('Исходник'!$1:$626,MATCH($A184,'Исходник'!$T:$T,0),MATCH(AH$1,'Исходник'!$1:$1,0)))</f>
        <v/>
      </c>
      <c r="AI184" s="1" t="str">
        <f t="array" ref="AI184">IFERROR(INDEX('Исходник'!$1:$626,MATCH($A184,'Исходник'!$T:$T,0),MATCH(AI$1,'Исходник'!$1:$1,0)))</f>
        <v/>
      </c>
      <c r="AJ184" s="18">
        <f t="shared" si="15"/>
        <v>0</v>
      </c>
    </row>
    <row r="185" ht="15.75" customHeight="1">
      <c r="A185" s="27"/>
      <c r="B185" s="1" t="str">
        <f t="array" ref="B185">IFERROR(INDEX('Исходник'!$1:$626,MATCH($A185,'Исходник'!$T:$T,0),MATCH(B$1,'Исходник'!$1:$1,0)))</f>
        <v/>
      </c>
      <c r="C185" s="1" t="str">
        <f t="array" ref="C185">IFERROR(INDEX('Исходник'!$1:$626,MATCH($A185,'Исходник'!$T:$T,0),MATCH(C$1,'Исходник'!$1:$1,0)))</f>
        <v/>
      </c>
      <c r="D185" s="1" t="str">
        <f t="array" ref="D185">IFERROR(INDEX('Исходник'!$1:$626,MATCH($A185,'Исходник'!$T:$T,0),MATCH(D$1,'Исходник'!$1:$1,0)))</f>
        <v/>
      </c>
      <c r="E185" s="1" t="str">
        <f t="array" ref="E185">IFERROR(INDEX('Исходник'!$1:$626,MATCH($A185,'Исходник'!$T:$T,0),MATCH(E$1,'Исходник'!$1:$1,0)))</f>
        <v/>
      </c>
      <c r="F185" s="1" t="str">
        <f t="array" ref="F185">IFERROR(INDEX('Исходник'!$1:$626,MATCH($A185,'Исходник'!$T:$T,0),MATCH(F$1,'Исходник'!$1:$1,0)))</f>
        <v/>
      </c>
      <c r="G185" s="1" t="str">
        <f t="array" ref="G185">IFERROR(INDEX('Исходник'!$1:$626,MATCH($A185,'Исходник'!$T:$T,0),MATCH(G$1,'Исходник'!$1:$1,0)))</f>
        <v/>
      </c>
      <c r="H185" s="27">
        <f t="shared" si="1"/>
        <v>0</v>
      </c>
      <c r="I185" s="27" t="str">
        <f t="shared" si="2"/>
        <v/>
      </c>
      <c r="J185" s="1" t="str">
        <f t="array" ref="J185">IFERROR(INDEX('Исходник'!$1:$626,MATCH($A185,'Исходник'!$T:$T,0),MATCH(J$1,'Исходник'!$1:$1,0)))</f>
        <v/>
      </c>
      <c r="K185" s="27" t="str">
        <f t="shared" si="3"/>
        <v/>
      </c>
      <c r="L185" s="1" t="str">
        <f t="array" ref="L185">IFERROR(INDEX('Исходник'!$1:$626,MATCH($A185,'Исходник'!$T:$T,0),MATCH(L$1,'Исходник'!$1:$1,0)))</f>
        <v/>
      </c>
      <c r="M185" s="28">
        <f t="shared" si="4"/>
        <v>0</v>
      </c>
      <c r="N185" s="1" t="str">
        <f t="array" ref="N185">IFERROR(INDEX('Исходник'!$1:$626,MATCH($A185,'Исходник'!$T:$T,0),MATCH(N$1,'Исходник'!$1:$1,0)))</f>
        <v/>
      </c>
      <c r="O185" s="27">
        <f t="shared" si="5"/>
        <v>0</v>
      </c>
      <c r="P185" s="27" t="str">
        <f t="shared" si="6"/>
        <v/>
      </c>
      <c r="Q185" s="1" t="str">
        <f t="array" ref="Q185">IFERROR(INDEX('Исходник'!$1:$626,MATCH($A185,'Исходник'!$T:$T,0),MATCH(Q$1,'Исходник'!$1:$1,0)))</f>
        <v/>
      </c>
      <c r="R185" s="1" t="str">
        <f t="array" ref="R185">IFERROR(INDEX('Исходник'!$1:$626,MATCH($A185,'Исходник'!$T:$T,0),MATCH(R$1,'Исходник'!$1:$1,0)))</f>
        <v/>
      </c>
      <c r="S185" s="27">
        <f t="shared" si="7"/>
        <v>0</v>
      </c>
      <c r="T185" s="27" t="str">
        <f t="shared" si="8"/>
        <v/>
      </c>
      <c r="U185" s="1" t="str">
        <f t="array" ref="U185">IFERROR(INDEX('Исходник'!$1:$626,MATCH($A185,'Исходник'!$T:$T,0),MATCH(U$1,'Исходник'!$1:$1,0)))</f>
        <v/>
      </c>
      <c r="V185" s="27" t="str">
        <f t="shared" si="9"/>
        <v/>
      </c>
      <c r="W185" s="1" t="str">
        <f t="array" ref="W185">IFERROR(INDEX('Исходник'!$1:$626,MATCH($A185,'Исходник'!$T:$T,0),MATCH(W$1,'Исходник'!$1:$1,0)))</f>
        <v/>
      </c>
      <c r="X185" s="28">
        <f t="shared" si="10"/>
        <v>0</v>
      </c>
      <c r="Y185" s="1" t="str">
        <f t="array" ref="Y185">IFERROR(INDEX('Исходник'!$1:$626,MATCH($A185,'Исходник'!$T:$T,0),MATCH(Y$1,'Исходник'!$1:$1,0)))</f>
        <v/>
      </c>
      <c r="Z185" s="27">
        <f t="shared" si="11"/>
        <v>0</v>
      </c>
      <c r="AA185" s="27" t="str">
        <f t="shared" si="12"/>
        <v/>
      </c>
      <c r="AB185" s="1" t="str">
        <f t="array" ref="AB185">IFERROR(INDEX('Исходник'!$1:$626,MATCH($A185,'Исходник'!$T:$T,0),MATCH(AB$1,'Исходник'!$1:$1,0)))</f>
        <v/>
      </c>
      <c r="AC185" s="1" t="str">
        <f t="array" ref="AC185">IFERROR(INDEX('Исходник'!$1:$626,MATCH($A185,'Исходник'!$T:$T,0),MATCH(AC$1,'Исходник'!$1:$1,0)))</f>
        <v/>
      </c>
      <c r="AD185" s="27" t="str">
        <f t="shared" si="13"/>
        <v/>
      </c>
      <c r="AE185" s="1" t="str">
        <f t="array" ref="AE185">IFERROR(INDEX('Исходник'!$1:$626,MATCH($A185,'Исходник'!$T:$T,0),MATCH(AE$1,'Исходник'!$1:$1,0)))</f>
        <v/>
      </c>
      <c r="AF185" s="1" t="str">
        <f t="array" ref="AF185">IFERROR(INDEX('Исходник'!$1:$626,MATCH($A185,'Исходник'!$T:$T,0),MATCH(AF$1,'Исходник'!$1:$1,0)))</f>
        <v/>
      </c>
      <c r="AG185" s="27" t="str">
        <f t="shared" si="14"/>
        <v/>
      </c>
      <c r="AH185" s="1" t="str">
        <f t="array" ref="AH185">IFERROR(INDEX('Исходник'!$1:$626,MATCH($A185,'Исходник'!$T:$T,0),MATCH(AH$1,'Исходник'!$1:$1,0)))</f>
        <v/>
      </c>
      <c r="AI185" s="1" t="str">
        <f t="array" ref="AI185">IFERROR(INDEX('Исходник'!$1:$626,MATCH($A185,'Исходник'!$T:$T,0),MATCH(AI$1,'Исходник'!$1:$1,0)))</f>
        <v/>
      </c>
      <c r="AJ185" s="18">
        <f t="shared" si="15"/>
        <v>0</v>
      </c>
    </row>
    <row r="186" ht="15.75" customHeight="1">
      <c r="A186" s="27"/>
      <c r="B186" s="1" t="str">
        <f t="array" ref="B186">IFERROR(INDEX('Исходник'!$1:$626,MATCH($A186,'Исходник'!$T:$T,0),MATCH(B$1,'Исходник'!$1:$1,0)))</f>
        <v/>
      </c>
      <c r="C186" s="1" t="str">
        <f t="array" ref="C186">IFERROR(INDEX('Исходник'!$1:$626,MATCH($A186,'Исходник'!$T:$T,0),MATCH(C$1,'Исходник'!$1:$1,0)))</f>
        <v/>
      </c>
      <c r="D186" s="1" t="str">
        <f t="array" ref="D186">IFERROR(INDEX('Исходник'!$1:$626,MATCH($A186,'Исходник'!$T:$T,0),MATCH(D$1,'Исходник'!$1:$1,0)))</f>
        <v/>
      </c>
      <c r="E186" s="1" t="str">
        <f t="array" ref="E186">IFERROR(INDEX('Исходник'!$1:$626,MATCH($A186,'Исходник'!$T:$T,0),MATCH(E$1,'Исходник'!$1:$1,0)))</f>
        <v/>
      </c>
      <c r="F186" s="1" t="str">
        <f t="array" ref="F186">IFERROR(INDEX('Исходник'!$1:$626,MATCH($A186,'Исходник'!$T:$T,0),MATCH(F$1,'Исходник'!$1:$1,0)))</f>
        <v/>
      </c>
      <c r="G186" s="1" t="str">
        <f t="array" ref="G186">IFERROR(INDEX('Исходник'!$1:$626,MATCH($A186,'Исходник'!$T:$T,0),MATCH(G$1,'Исходник'!$1:$1,0)))</f>
        <v/>
      </c>
      <c r="H186" s="27">
        <f t="shared" si="1"/>
        <v>0</v>
      </c>
      <c r="I186" s="27" t="str">
        <f t="shared" si="2"/>
        <v/>
      </c>
      <c r="J186" s="1" t="str">
        <f t="array" ref="J186">IFERROR(INDEX('Исходник'!$1:$626,MATCH($A186,'Исходник'!$T:$T,0),MATCH(J$1,'Исходник'!$1:$1,0)))</f>
        <v/>
      </c>
      <c r="K186" s="27" t="str">
        <f t="shared" si="3"/>
        <v/>
      </c>
      <c r="L186" s="1" t="str">
        <f t="array" ref="L186">IFERROR(INDEX('Исходник'!$1:$626,MATCH($A186,'Исходник'!$T:$T,0),MATCH(L$1,'Исходник'!$1:$1,0)))</f>
        <v/>
      </c>
      <c r="M186" s="28">
        <f t="shared" si="4"/>
        <v>0</v>
      </c>
      <c r="N186" s="1" t="str">
        <f t="array" ref="N186">IFERROR(INDEX('Исходник'!$1:$626,MATCH($A186,'Исходник'!$T:$T,0),MATCH(N$1,'Исходник'!$1:$1,0)))</f>
        <v/>
      </c>
      <c r="O186" s="27">
        <f t="shared" si="5"/>
        <v>0</v>
      </c>
      <c r="P186" s="27" t="str">
        <f t="shared" si="6"/>
        <v/>
      </c>
      <c r="Q186" s="1" t="str">
        <f t="array" ref="Q186">IFERROR(INDEX('Исходник'!$1:$626,MATCH($A186,'Исходник'!$T:$T,0),MATCH(Q$1,'Исходник'!$1:$1,0)))</f>
        <v/>
      </c>
      <c r="R186" s="1" t="str">
        <f t="array" ref="R186">IFERROR(INDEX('Исходник'!$1:$626,MATCH($A186,'Исходник'!$T:$T,0),MATCH(R$1,'Исходник'!$1:$1,0)))</f>
        <v/>
      </c>
      <c r="S186" s="27">
        <f t="shared" si="7"/>
        <v>0</v>
      </c>
      <c r="T186" s="27" t="str">
        <f t="shared" si="8"/>
        <v/>
      </c>
      <c r="U186" s="1" t="str">
        <f t="array" ref="U186">IFERROR(INDEX('Исходник'!$1:$626,MATCH($A186,'Исходник'!$T:$T,0),MATCH(U$1,'Исходник'!$1:$1,0)))</f>
        <v/>
      </c>
      <c r="V186" s="27" t="str">
        <f t="shared" si="9"/>
        <v/>
      </c>
      <c r="W186" s="1" t="str">
        <f t="array" ref="W186">IFERROR(INDEX('Исходник'!$1:$626,MATCH($A186,'Исходник'!$T:$T,0),MATCH(W$1,'Исходник'!$1:$1,0)))</f>
        <v/>
      </c>
      <c r="X186" s="28">
        <f t="shared" si="10"/>
        <v>0</v>
      </c>
      <c r="Y186" s="1" t="str">
        <f t="array" ref="Y186">IFERROR(INDEX('Исходник'!$1:$626,MATCH($A186,'Исходник'!$T:$T,0),MATCH(Y$1,'Исходник'!$1:$1,0)))</f>
        <v/>
      </c>
      <c r="Z186" s="27">
        <f t="shared" si="11"/>
        <v>0</v>
      </c>
      <c r="AA186" s="27" t="str">
        <f t="shared" si="12"/>
        <v/>
      </c>
      <c r="AB186" s="1" t="str">
        <f t="array" ref="AB186">IFERROR(INDEX('Исходник'!$1:$626,MATCH($A186,'Исходник'!$T:$T,0),MATCH(AB$1,'Исходник'!$1:$1,0)))</f>
        <v/>
      </c>
      <c r="AC186" s="1" t="str">
        <f t="array" ref="AC186">IFERROR(INDEX('Исходник'!$1:$626,MATCH($A186,'Исходник'!$T:$T,0),MATCH(AC$1,'Исходник'!$1:$1,0)))</f>
        <v/>
      </c>
      <c r="AD186" s="27" t="str">
        <f t="shared" si="13"/>
        <v/>
      </c>
      <c r="AE186" s="1" t="str">
        <f t="array" ref="AE186">IFERROR(INDEX('Исходник'!$1:$626,MATCH($A186,'Исходник'!$T:$T,0),MATCH(AE$1,'Исходник'!$1:$1,0)))</f>
        <v/>
      </c>
      <c r="AF186" s="1" t="str">
        <f t="array" ref="AF186">IFERROR(INDEX('Исходник'!$1:$626,MATCH($A186,'Исходник'!$T:$T,0),MATCH(AF$1,'Исходник'!$1:$1,0)))</f>
        <v/>
      </c>
      <c r="AG186" s="27" t="str">
        <f t="shared" si="14"/>
        <v/>
      </c>
      <c r="AH186" s="1" t="str">
        <f t="array" ref="AH186">IFERROR(INDEX('Исходник'!$1:$626,MATCH($A186,'Исходник'!$T:$T,0),MATCH(AH$1,'Исходник'!$1:$1,0)))</f>
        <v/>
      </c>
      <c r="AI186" s="1" t="str">
        <f t="array" ref="AI186">IFERROR(INDEX('Исходник'!$1:$626,MATCH($A186,'Исходник'!$T:$T,0),MATCH(AI$1,'Исходник'!$1:$1,0)))</f>
        <v/>
      </c>
      <c r="AJ186" s="18">
        <f t="shared" si="15"/>
        <v>0</v>
      </c>
    </row>
    <row r="187" ht="15.75" customHeight="1">
      <c r="A187" s="27"/>
      <c r="B187" s="1" t="str">
        <f t="array" ref="B187">IFERROR(INDEX('Исходник'!$1:$626,MATCH($A187,'Исходник'!$T:$T,0),MATCH(B$1,'Исходник'!$1:$1,0)))</f>
        <v/>
      </c>
      <c r="C187" s="1" t="str">
        <f t="array" ref="C187">IFERROR(INDEX('Исходник'!$1:$626,MATCH($A187,'Исходник'!$T:$T,0),MATCH(C$1,'Исходник'!$1:$1,0)))</f>
        <v/>
      </c>
      <c r="D187" s="1" t="str">
        <f t="array" ref="D187">IFERROR(INDEX('Исходник'!$1:$626,MATCH($A187,'Исходник'!$T:$T,0),MATCH(D$1,'Исходник'!$1:$1,0)))</f>
        <v/>
      </c>
      <c r="E187" s="1" t="str">
        <f t="array" ref="E187">IFERROR(INDEX('Исходник'!$1:$626,MATCH($A187,'Исходник'!$T:$T,0),MATCH(E$1,'Исходник'!$1:$1,0)))</f>
        <v/>
      </c>
      <c r="F187" s="1" t="str">
        <f t="array" ref="F187">IFERROR(INDEX('Исходник'!$1:$626,MATCH($A187,'Исходник'!$T:$T,0),MATCH(F$1,'Исходник'!$1:$1,0)))</f>
        <v/>
      </c>
      <c r="G187" s="1" t="str">
        <f t="array" ref="G187">IFERROR(INDEX('Исходник'!$1:$626,MATCH($A187,'Исходник'!$T:$T,0),MATCH(G$1,'Исходник'!$1:$1,0)))</f>
        <v/>
      </c>
      <c r="H187" s="27">
        <f t="shared" si="1"/>
        <v>0</v>
      </c>
      <c r="I187" s="27" t="str">
        <f t="shared" si="2"/>
        <v/>
      </c>
      <c r="J187" s="1" t="str">
        <f t="array" ref="J187">IFERROR(INDEX('Исходник'!$1:$626,MATCH($A187,'Исходник'!$T:$T,0),MATCH(J$1,'Исходник'!$1:$1,0)))</f>
        <v/>
      </c>
      <c r="K187" s="27" t="str">
        <f t="shared" si="3"/>
        <v/>
      </c>
      <c r="L187" s="1" t="str">
        <f t="array" ref="L187">IFERROR(INDEX('Исходник'!$1:$626,MATCH($A187,'Исходник'!$T:$T,0),MATCH(L$1,'Исходник'!$1:$1,0)))</f>
        <v/>
      </c>
      <c r="M187" s="28">
        <f t="shared" si="4"/>
        <v>0</v>
      </c>
      <c r="N187" s="1" t="str">
        <f t="array" ref="N187">IFERROR(INDEX('Исходник'!$1:$626,MATCH($A187,'Исходник'!$T:$T,0),MATCH(N$1,'Исходник'!$1:$1,0)))</f>
        <v/>
      </c>
      <c r="O187" s="27">
        <f t="shared" si="5"/>
        <v>0</v>
      </c>
      <c r="P187" s="27" t="str">
        <f t="shared" si="6"/>
        <v/>
      </c>
      <c r="Q187" s="1" t="str">
        <f t="array" ref="Q187">IFERROR(INDEX('Исходник'!$1:$626,MATCH($A187,'Исходник'!$T:$T,0),MATCH(Q$1,'Исходник'!$1:$1,0)))</f>
        <v/>
      </c>
      <c r="R187" s="1" t="str">
        <f t="array" ref="R187">IFERROR(INDEX('Исходник'!$1:$626,MATCH($A187,'Исходник'!$T:$T,0),MATCH(R$1,'Исходник'!$1:$1,0)))</f>
        <v/>
      </c>
      <c r="S187" s="27">
        <f t="shared" si="7"/>
        <v>0</v>
      </c>
      <c r="T187" s="27" t="str">
        <f t="shared" si="8"/>
        <v/>
      </c>
      <c r="U187" s="1" t="str">
        <f t="array" ref="U187">IFERROR(INDEX('Исходник'!$1:$626,MATCH($A187,'Исходник'!$T:$T,0),MATCH(U$1,'Исходник'!$1:$1,0)))</f>
        <v/>
      </c>
      <c r="V187" s="27" t="str">
        <f t="shared" si="9"/>
        <v/>
      </c>
      <c r="W187" s="1" t="str">
        <f t="array" ref="W187">IFERROR(INDEX('Исходник'!$1:$626,MATCH($A187,'Исходник'!$T:$T,0),MATCH(W$1,'Исходник'!$1:$1,0)))</f>
        <v/>
      </c>
      <c r="X187" s="28">
        <f t="shared" si="10"/>
        <v>0</v>
      </c>
      <c r="Y187" s="1" t="str">
        <f t="array" ref="Y187">IFERROR(INDEX('Исходник'!$1:$626,MATCH($A187,'Исходник'!$T:$T,0),MATCH(Y$1,'Исходник'!$1:$1,0)))</f>
        <v/>
      </c>
      <c r="Z187" s="27">
        <f t="shared" si="11"/>
        <v>0</v>
      </c>
      <c r="AA187" s="27" t="str">
        <f t="shared" si="12"/>
        <v/>
      </c>
      <c r="AB187" s="1" t="str">
        <f t="array" ref="AB187">IFERROR(INDEX('Исходник'!$1:$626,MATCH($A187,'Исходник'!$T:$T,0),MATCH(AB$1,'Исходник'!$1:$1,0)))</f>
        <v/>
      </c>
      <c r="AC187" s="1" t="str">
        <f t="array" ref="AC187">IFERROR(INDEX('Исходник'!$1:$626,MATCH($A187,'Исходник'!$T:$T,0),MATCH(AC$1,'Исходник'!$1:$1,0)))</f>
        <v/>
      </c>
      <c r="AD187" s="27" t="str">
        <f t="shared" si="13"/>
        <v/>
      </c>
      <c r="AE187" s="1" t="str">
        <f t="array" ref="AE187">IFERROR(INDEX('Исходник'!$1:$626,MATCH($A187,'Исходник'!$T:$T,0),MATCH(AE$1,'Исходник'!$1:$1,0)))</f>
        <v/>
      </c>
      <c r="AF187" s="1" t="str">
        <f t="array" ref="AF187">IFERROR(INDEX('Исходник'!$1:$626,MATCH($A187,'Исходник'!$T:$T,0),MATCH(AF$1,'Исходник'!$1:$1,0)))</f>
        <v/>
      </c>
      <c r="AG187" s="27" t="str">
        <f t="shared" si="14"/>
        <v/>
      </c>
      <c r="AH187" s="1" t="str">
        <f t="array" ref="AH187">IFERROR(INDEX('Исходник'!$1:$626,MATCH($A187,'Исходник'!$T:$T,0),MATCH(AH$1,'Исходник'!$1:$1,0)))</f>
        <v/>
      </c>
      <c r="AI187" s="1" t="str">
        <f t="array" ref="AI187">IFERROR(INDEX('Исходник'!$1:$626,MATCH($A187,'Исходник'!$T:$T,0),MATCH(AI$1,'Исходник'!$1:$1,0)))</f>
        <v/>
      </c>
      <c r="AJ187" s="18">
        <f t="shared" si="15"/>
        <v>0</v>
      </c>
    </row>
    <row r="188" ht="15.75" customHeight="1">
      <c r="A188" s="27"/>
      <c r="B188" s="1" t="str">
        <f t="array" ref="B188">IFERROR(INDEX('Исходник'!$1:$626,MATCH($A188,'Исходник'!$T:$T,0),MATCH(B$1,'Исходник'!$1:$1,0)))</f>
        <v/>
      </c>
      <c r="C188" s="1" t="str">
        <f t="array" ref="C188">IFERROR(INDEX('Исходник'!$1:$626,MATCH($A188,'Исходник'!$T:$T,0),MATCH(C$1,'Исходник'!$1:$1,0)))</f>
        <v/>
      </c>
      <c r="D188" s="1" t="str">
        <f t="array" ref="D188">IFERROR(INDEX('Исходник'!$1:$626,MATCH($A188,'Исходник'!$T:$T,0),MATCH(D$1,'Исходник'!$1:$1,0)))</f>
        <v/>
      </c>
      <c r="E188" s="1" t="str">
        <f t="array" ref="E188">IFERROR(INDEX('Исходник'!$1:$626,MATCH($A188,'Исходник'!$T:$T,0),MATCH(E$1,'Исходник'!$1:$1,0)))</f>
        <v/>
      </c>
      <c r="F188" s="1" t="str">
        <f t="array" ref="F188">IFERROR(INDEX('Исходник'!$1:$626,MATCH($A188,'Исходник'!$T:$T,0),MATCH(F$1,'Исходник'!$1:$1,0)))</f>
        <v/>
      </c>
      <c r="G188" s="1" t="str">
        <f t="array" ref="G188">IFERROR(INDEX('Исходник'!$1:$626,MATCH($A188,'Исходник'!$T:$T,0),MATCH(G$1,'Исходник'!$1:$1,0)))</f>
        <v/>
      </c>
      <c r="H188" s="27">
        <f t="shared" si="1"/>
        <v>0</v>
      </c>
      <c r="I188" s="27" t="str">
        <f t="shared" si="2"/>
        <v/>
      </c>
      <c r="J188" s="1" t="str">
        <f t="array" ref="J188">IFERROR(INDEX('Исходник'!$1:$626,MATCH($A188,'Исходник'!$T:$T,0),MATCH(J$1,'Исходник'!$1:$1,0)))</f>
        <v/>
      </c>
      <c r="K188" s="27" t="str">
        <f t="shared" si="3"/>
        <v/>
      </c>
      <c r="L188" s="1" t="str">
        <f t="array" ref="L188">IFERROR(INDEX('Исходник'!$1:$626,MATCH($A188,'Исходник'!$T:$T,0),MATCH(L$1,'Исходник'!$1:$1,0)))</f>
        <v/>
      </c>
      <c r="M188" s="28">
        <f t="shared" si="4"/>
        <v>0</v>
      </c>
      <c r="N188" s="1" t="str">
        <f t="array" ref="N188">IFERROR(INDEX('Исходник'!$1:$626,MATCH($A188,'Исходник'!$T:$T,0),MATCH(N$1,'Исходник'!$1:$1,0)))</f>
        <v/>
      </c>
      <c r="O188" s="27">
        <f t="shared" si="5"/>
        <v>0</v>
      </c>
      <c r="P188" s="27" t="str">
        <f t="shared" si="6"/>
        <v/>
      </c>
      <c r="Q188" s="1" t="str">
        <f t="array" ref="Q188">IFERROR(INDEX('Исходник'!$1:$626,MATCH($A188,'Исходник'!$T:$T,0),MATCH(Q$1,'Исходник'!$1:$1,0)))</f>
        <v/>
      </c>
      <c r="R188" s="1" t="str">
        <f t="array" ref="R188">IFERROR(INDEX('Исходник'!$1:$626,MATCH($A188,'Исходник'!$T:$T,0),MATCH(R$1,'Исходник'!$1:$1,0)))</f>
        <v/>
      </c>
      <c r="S188" s="27">
        <f t="shared" si="7"/>
        <v>0</v>
      </c>
      <c r="T188" s="27" t="str">
        <f t="shared" si="8"/>
        <v/>
      </c>
      <c r="U188" s="1" t="str">
        <f t="array" ref="U188">IFERROR(INDEX('Исходник'!$1:$626,MATCH($A188,'Исходник'!$T:$T,0),MATCH(U$1,'Исходник'!$1:$1,0)))</f>
        <v/>
      </c>
      <c r="V188" s="27" t="str">
        <f t="shared" si="9"/>
        <v/>
      </c>
      <c r="W188" s="1" t="str">
        <f t="array" ref="W188">IFERROR(INDEX('Исходник'!$1:$626,MATCH($A188,'Исходник'!$T:$T,0),MATCH(W$1,'Исходник'!$1:$1,0)))</f>
        <v/>
      </c>
      <c r="X188" s="28">
        <f t="shared" si="10"/>
        <v>0</v>
      </c>
      <c r="Y188" s="1" t="str">
        <f t="array" ref="Y188">IFERROR(INDEX('Исходник'!$1:$626,MATCH($A188,'Исходник'!$T:$T,0),MATCH(Y$1,'Исходник'!$1:$1,0)))</f>
        <v/>
      </c>
      <c r="Z188" s="27">
        <f t="shared" si="11"/>
        <v>0</v>
      </c>
      <c r="AA188" s="27" t="str">
        <f t="shared" si="12"/>
        <v/>
      </c>
      <c r="AB188" s="1" t="str">
        <f t="array" ref="AB188">IFERROR(INDEX('Исходник'!$1:$626,MATCH($A188,'Исходник'!$T:$T,0),MATCH(AB$1,'Исходник'!$1:$1,0)))</f>
        <v/>
      </c>
      <c r="AC188" s="1" t="str">
        <f t="array" ref="AC188">IFERROR(INDEX('Исходник'!$1:$626,MATCH($A188,'Исходник'!$T:$T,0),MATCH(AC$1,'Исходник'!$1:$1,0)))</f>
        <v/>
      </c>
      <c r="AD188" s="27" t="str">
        <f t="shared" si="13"/>
        <v/>
      </c>
      <c r="AE188" s="1" t="str">
        <f t="array" ref="AE188">IFERROR(INDEX('Исходник'!$1:$626,MATCH($A188,'Исходник'!$T:$T,0),MATCH(AE$1,'Исходник'!$1:$1,0)))</f>
        <v/>
      </c>
      <c r="AF188" s="1" t="str">
        <f t="array" ref="AF188">IFERROR(INDEX('Исходник'!$1:$626,MATCH($A188,'Исходник'!$T:$T,0),MATCH(AF$1,'Исходник'!$1:$1,0)))</f>
        <v/>
      </c>
      <c r="AG188" s="27" t="str">
        <f t="shared" si="14"/>
        <v/>
      </c>
      <c r="AH188" s="1" t="str">
        <f t="array" ref="AH188">IFERROR(INDEX('Исходник'!$1:$626,MATCH($A188,'Исходник'!$T:$T,0),MATCH(AH$1,'Исходник'!$1:$1,0)))</f>
        <v/>
      </c>
      <c r="AI188" s="1" t="str">
        <f t="array" ref="AI188">IFERROR(INDEX('Исходник'!$1:$626,MATCH($A188,'Исходник'!$T:$T,0),MATCH(AI$1,'Исходник'!$1:$1,0)))</f>
        <v/>
      </c>
      <c r="AJ188" s="18">
        <f t="shared" si="15"/>
        <v>0</v>
      </c>
    </row>
    <row r="189" ht="15.75" customHeight="1">
      <c r="A189" s="27"/>
      <c r="B189" s="1" t="str">
        <f t="array" ref="B189">IFERROR(INDEX('Исходник'!$1:$626,MATCH($A189,'Исходник'!$T:$T,0),MATCH(B$1,'Исходник'!$1:$1,0)))</f>
        <v/>
      </c>
      <c r="C189" s="1" t="str">
        <f t="array" ref="C189">IFERROR(INDEX('Исходник'!$1:$626,MATCH($A189,'Исходник'!$T:$T,0),MATCH(C$1,'Исходник'!$1:$1,0)))</f>
        <v/>
      </c>
      <c r="D189" s="1" t="str">
        <f t="array" ref="D189">IFERROR(INDEX('Исходник'!$1:$626,MATCH($A189,'Исходник'!$T:$T,0),MATCH(D$1,'Исходник'!$1:$1,0)))</f>
        <v/>
      </c>
      <c r="E189" s="1" t="str">
        <f t="array" ref="E189">IFERROR(INDEX('Исходник'!$1:$626,MATCH($A189,'Исходник'!$T:$T,0),MATCH(E$1,'Исходник'!$1:$1,0)))</f>
        <v/>
      </c>
      <c r="F189" s="1" t="str">
        <f t="array" ref="F189">IFERROR(INDEX('Исходник'!$1:$626,MATCH($A189,'Исходник'!$T:$T,0),MATCH(F$1,'Исходник'!$1:$1,0)))</f>
        <v/>
      </c>
      <c r="G189" s="1" t="str">
        <f t="array" ref="G189">IFERROR(INDEX('Исходник'!$1:$626,MATCH($A189,'Исходник'!$T:$T,0),MATCH(G$1,'Исходник'!$1:$1,0)))</f>
        <v/>
      </c>
      <c r="H189" s="27">
        <f t="shared" si="1"/>
        <v>0</v>
      </c>
      <c r="I189" s="27" t="str">
        <f t="shared" si="2"/>
        <v/>
      </c>
      <c r="J189" s="1" t="str">
        <f t="array" ref="J189">IFERROR(INDEX('Исходник'!$1:$626,MATCH($A189,'Исходник'!$T:$T,0),MATCH(J$1,'Исходник'!$1:$1,0)))</f>
        <v/>
      </c>
      <c r="K189" s="27" t="str">
        <f t="shared" si="3"/>
        <v/>
      </c>
      <c r="L189" s="1" t="str">
        <f t="array" ref="L189">IFERROR(INDEX('Исходник'!$1:$626,MATCH($A189,'Исходник'!$T:$T,0),MATCH(L$1,'Исходник'!$1:$1,0)))</f>
        <v/>
      </c>
      <c r="M189" s="28">
        <f t="shared" si="4"/>
        <v>0</v>
      </c>
      <c r="N189" s="1" t="str">
        <f t="array" ref="N189">IFERROR(INDEX('Исходник'!$1:$626,MATCH($A189,'Исходник'!$T:$T,0),MATCH(N$1,'Исходник'!$1:$1,0)))</f>
        <v/>
      </c>
      <c r="O189" s="27">
        <f t="shared" si="5"/>
        <v>0</v>
      </c>
      <c r="P189" s="27" t="str">
        <f t="shared" si="6"/>
        <v/>
      </c>
      <c r="Q189" s="1" t="str">
        <f t="array" ref="Q189">IFERROR(INDEX('Исходник'!$1:$626,MATCH($A189,'Исходник'!$T:$T,0),MATCH(Q$1,'Исходник'!$1:$1,0)))</f>
        <v/>
      </c>
      <c r="R189" s="1" t="str">
        <f t="array" ref="R189">IFERROR(INDEX('Исходник'!$1:$626,MATCH($A189,'Исходник'!$T:$T,0),MATCH(R$1,'Исходник'!$1:$1,0)))</f>
        <v/>
      </c>
      <c r="S189" s="27">
        <f t="shared" si="7"/>
        <v>0</v>
      </c>
      <c r="T189" s="27" t="str">
        <f t="shared" si="8"/>
        <v/>
      </c>
      <c r="U189" s="1" t="str">
        <f t="array" ref="U189">IFERROR(INDEX('Исходник'!$1:$626,MATCH($A189,'Исходник'!$T:$T,0),MATCH(U$1,'Исходник'!$1:$1,0)))</f>
        <v/>
      </c>
      <c r="V189" s="27" t="str">
        <f t="shared" si="9"/>
        <v/>
      </c>
      <c r="W189" s="1" t="str">
        <f t="array" ref="W189">IFERROR(INDEX('Исходник'!$1:$626,MATCH($A189,'Исходник'!$T:$T,0),MATCH(W$1,'Исходник'!$1:$1,0)))</f>
        <v/>
      </c>
      <c r="X189" s="28">
        <f t="shared" si="10"/>
        <v>0</v>
      </c>
      <c r="Y189" s="1" t="str">
        <f t="array" ref="Y189">IFERROR(INDEX('Исходник'!$1:$626,MATCH($A189,'Исходник'!$T:$T,0),MATCH(Y$1,'Исходник'!$1:$1,0)))</f>
        <v/>
      </c>
      <c r="Z189" s="27">
        <f t="shared" si="11"/>
        <v>0</v>
      </c>
      <c r="AA189" s="27" t="str">
        <f t="shared" si="12"/>
        <v/>
      </c>
      <c r="AB189" s="1" t="str">
        <f t="array" ref="AB189">IFERROR(INDEX('Исходник'!$1:$626,MATCH($A189,'Исходник'!$T:$T,0),MATCH(AB$1,'Исходник'!$1:$1,0)))</f>
        <v/>
      </c>
      <c r="AC189" s="1" t="str">
        <f t="array" ref="AC189">IFERROR(INDEX('Исходник'!$1:$626,MATCH($A189,'Исходник'!$T:$T,0),MATCH(AC$1,'Исходник'!$1:$1,0)))</f>
        <v/>
      </c>
      <c r="AD189" s="27" t="str">
        <f t="shared" si="13"/>
        <v/>
      </c>
      <c r="AE189" s="1" t="str">
        <f t="array" ref="AE189">IFERROR(INDEX('Исходник'!$1:$626,MATCH($A189,'Исходник'!$T:$T,0),MATCH(AE$1,'Исходник'!$1:$1,0)))</f>
        <v/>
      </c>
      <c r="AF189" s="1" t="str">
        <f t="array" ref="AF189">IFERROR(INDEX('Исходник'!$1:$626,MATCH($A189,'Исходник'!$T:$T,0),MATCH(AF$1,'Исходник'!$1:$1,0)))</f>
        <v/>
      </c>
      <c r="AG189" s="27" t="str">
        <f t="shared" si="14"/>
        <v/>
      </c>
      <c r="AH189" s="1" t="str">
        <f t="array" ref="AH189">IFERROR(INDEX('Исходник'!$1:$626,MATCH($A189,'Исходник'!$T:$T,0),MATCH(AH$1,'Исходник'!$1:$1,0)))</f>
        <v/>
      </c>
      <c r="AI189" s="1" t="str">
        <f t="array" ref="AI189">IFERROR(INDEX('Исходник'!$1:$626,MATCH($A189,'Исходник'!$T:$T,0),MATCH(AI$1,'Исходник'!$1:$1,0)))</f>
        <v/>
      </c>
      <c r="AJ189" s="18">
        <f t="shared" si="15"/>
        <v>0</v>
      </c>
    </row>
    <row r="190" ht="15.75" customHeight="1">
      <c r="A190" s="27"/>
      <c r="B190" s="1" t="str">
        <f t="array" ref="B190">IFERROR(INDEX('Исходник'!$1:$626,MATCH($A190,'Исходник'!$T:$T,0),MATCH(B$1,'Исходник'!$1:$1,0)))</f>
        <v/>
      </c>
      <c r="C190" s="1" t="str">
        <f t="array" ref="C190">IFERROR(INDEX('Исходник'!$1:$626,MATCH($A190,'Исходник'!$T:$T,0),MATCH(C$1,'Исходник'!$1:$1,0)))</f>
        <v/>
      </c>
      <c r="D190" s="1" t="str">
        <f t="array" ref="D190">IFERROR(INDEX('Исходник'!$1:$626,MATCH($A190,'Исходник'!$T:$T,0),MATCH(D$1,'Исходник'!$1:$1,0)))</f>
        <v/>
      </c>
      <c r="E190" s="1" t="str">
        <f t="array" ref="E190">IFERROR(INDEX('Исходник'!$1:$626,MATCH($A190,'Исходник'!$T:$T,0),MATCH(E$1,'Исходник'!$1:$1,0)))</f>
        <v/>
      </c>
      <c r="F190" s="1" t="str">
        <f t="array" ref="F190">IFERROR(INDEX('Исходник'!$1:$626,MATCH($A190,'Исходник'!$T:$T,0),MATCH(F$1,'Исходник'!$1:$1,0)))</f>
        <v/>
      </c>
      <c r="G190" s="1" t="str">
        <f t="array" ref="G190">IFERROR(INDEX('Исходник'!$1:$626,MATCH($A190,'Исходник'!$T:$T,0),MATCH(G$1,'Исходник'!$1:$1,0)))</f>
        <v/>
      </c>
      <c r="H190" s="27">
        <f t="shared" si="1"/>
        <v>0</v>
      </c>
      <c r="I190" s="27" t="str">
        <f t="shared" si="2"/>
        <v/>
      </c>
      <c r="J190" s="1" t="str">
        <f t="array" ref="J190">IFERROR(INDEX('Исходник'!$1:$626,MATCH($A190,'Исходник'!$T:$T,0),MATCH(J$1,'Исходник'!$1:$1,0)))</f>
        <v/>
      </c>
      <c r="K190" s="27" t="str">
        <f t="shared" si="3"/>
        <v/>
      </c>
      <c r="L190" s="1" t="str">
        <f t="array" ref="L190">IFERROR(INDEX('Исходник'!$1:$626,MATCH($A190,'Исходник'!$T:$T,0),MATCH(L$1,'Исходник'!$1:$1,0)))</f>
        <v/>
      </c>
      <c r="M190" s="28">
        <f t="shared" si="4"/>
        <v>0</v>
      </c>
      <c r="N190" s="1" t="str">
        <f t="array" ref="N190">IFERROR(INDEX('Исходник'!$1:$626,MATCH($A190,'Исходник'!$T:$T,0),MATCH(N$1,'Исходник'!$1:$1,0)))</f>
        <v/>
      </c>
      <c r="O190" s="27">
        <f t="shared" si="5"/>
        <v>0</v>
      </c>
      <c r="P190" s="27" t="str">
        <f t="shared" si="6"/>
        <v/>
      </c>
      <c r="Q190" s="1" t="str">
        <f t="array" ref="Q190">IFERROR(INDEX('Исходник'!$1:$626,MATCH($A190,'Исходник'!$T:$T,0),MATCH(Q$1,'Исходник'!$1:$1,0)))</f>
        <v/>
      </c>
      <c r="R190" s="1" t="str">
        <f t="array" ref="R190">IFERROR(INDEX('Исходник'!$1:$626,MATCH($A190,'Исходник'!$T:$T,0),MATCH(R$1,'Исходник'!$1:$1,0)))</f>
        <v/>
      </c>
      <c r="S190" s="27">
        <f t="shared" si="7"/>
        <v>0</v>
      </c>
      <c r="T190" s="27" t="str">
        <f t="shared" si="8"/>
        <v/>
      </c>
      <c r="U190" s="1" t="str">
        <f t="array" ref="U190">IFERROR(INDEX('Исходник'!$1:$626,MATCH($A190,'Исходник'!$T:$T,0),MATCH(U$1,'Исходник'!$1:$1,0)))</f>
        <v/>
      </c>
      <c r="V190" s="27" t="str">
        <f t="shared" si="9"/>
        <v/>
      </c>
      <c r="W190" s="1" t="str">
        <f t="array" ref="W190">IFERROR(INDEX('Исходник'!$1:$626,MATCH($A190,'Исходник'!$T:$T,0),MATCH(W$1,'Исходник'!$1:$1,0)))</f>
        <v/>
      </c>
      <c r="X190" s="28">
        <f t="shared" si="10"/>
        <v>0</v>
      </c>
      <c r="Y190" s="1" t="str">
        <f t="array" ref="Y190">IFERROR(INDEX('Исходник'!$1:$626,MATCH($A190,'Исходник'!$T:$T,0),MATCH(Y$1,'Исходник'!$1:$1,0)))</f>
        <v/>
      </c>
      <c r="Z190" s="27">
        <f t="shared" si="11"/>
        <v>0</v>
      </c>
      <c r="AA190" s="27" t="str">
        <f t="shared" si="12"/>
        <v/>
      </c>
      <c r="AB190" s="1" t="str">
        <f t="array" ref="AB190">IFERROR(INDEX('Исходник'!$1:$626,MATCH($A190,'Исходник'!$T:$T,0),MATCH(AB$1,'Исходник'!$1:$1,0)))</f>
        <v/>
      </c>
      <c r="AC190" s="1" t="str">
        <f t="array" ref="AC190">IFERROR(INDEX('Исходник'!$1:$626,MATCH($A190,'Исходник'!$T:$T,0),MATCH(AC$1,'Исходник'!$1:$1,0)))</f>
        <v/>
      </c>
      <c r="AD190" s="27" t="str">
        <f t="shared" si="13"/>
        <v/>
      </c>
      <c r="AE190" s="1" t="str">
        <f t="array" ref="AE190">IFERROR(INDEX('Исходник'!$1:$626,MATCH($A190,'Исходник'!$T:$T,0),MATCH(AE$1,'Исходник'!$1:$1,0)))</f>
        <v/>
      </c>
      <c r="AF190" s="1" t="str">
        <f t="array" ref="AF190">IFERROR(INDEX('Исходник'!$1:$626,MATCH($A190,'Исходник'!$T:$T,0),MATCH(AF$1,'Исходник'!$1:$1,0)))</f>
        <v/>
      </c>
      <c r="AG190" s="27" t="str">
        <f t="shared" si="14"/>
        <v/>
      </c>
      <c r="AH190" s="1" t="str">
        <f t="array" ref="AH190">IFERROR(INDEX('Исходник'!$1:$626,MATCH($A190,'Исходник'!$T:$T,0),MATCH(AH$1,'Исходник'!$1:$1,0)))</f>
        <v/>
      </c>
      <c r="AI190" s="1" t="str">
        <f t="array" ref="AI190">IFERROR(INDEX('Исходник'!$1:$626,MATCH($A190,'Исходник'!$T:$T,0),MATCH(AI$1,'Исходник'!$1:$1,0)))</f>
        <v/>
      </c>
      <c r="AJ190" s="18">
        <f t="shared" si="15"/>
        <v>0</v>
      </c>
    </row>
    <row r="191" ht="15.75" customHeight="1">
      <c r="A191" s="27"/>
      <c r="B191" s="1" t="str">
        <f t="array" ref="B191">IFERROR(INDEX('Исходник'!$1:$626,MATCH($A191,'Исходник'!$T:$T,0),MATCH(B$1,'Исходник'!$1:$1,0)))</f>
        <v/>
      </c>
      <c r="C191" s="1" t="str">
        <f t="array" ref="C191">IFERROR(INDEX('Исходник'!$1:$626,MATCH($A191,'Исходник'!$T:$T,0),MATCH(C$1,'Исходник'!$1:$1,0)))</f>
        <v/>
      </c>
      <c r="D191" s="1" t="str">
        <f t="array" ref="D191">IFERROR(INDEX('Исходник'!$1:$626,MATCH($A191,'Исходник'!$T:$T,0),MATCH(D$1,'Исходник'!$1:$1,0)))</f>
        <v/>
      </c>
      <c r="E191" s="1" t="str">
        <f t="array" ref="E191">IFERROR(INDEX('Исходник'!$1:$626,MATCH($A191,'Исходник'!$T:$T,0),MATCH(E$1,'Исходник'!$1:$1,0)))</f>
        <v/>
      </c>
      <c r="F191" s="1" t="str">
        <f t="array" ref="F191">IFERROR(INDEX('Исходник'!$1:$626,MATCH($A191,'Исходник'!$T:$T,0),MATCH(F$1,'Исходник'!$1:$1,0)))</f>
        <v/>
      </c>
      <c r="G191" s="1" t="str">
        <f t="array" ref="G191">IFERROR(INDEX('Исходник'!$1:$626,MATCH($A191,'Исходник'!$T:$T,0),MATCH(G$1,'Исходник'!$1:$1,0)))</f>
        <v/>
      </c>
      <c r="H191" s="27">
        <f t="shared" si="1"/>
        <v>0</v>
      </c>
      <c r="I191" s="27" t="str">
        <f t="shared" si="2"/>
        <v/>
      </c>
      <c r="J191" s="1" t="str">
        <f t="array" ref="J191">IFERROR(INDEX('Исходник'!$1:$626,MATCH($A191,'Исходник'!$T:$T,0),MATCH(J$1,'Исходник'!$1:$1,0)))</f>
        <v/>
      </c>
      <c r="K191" s="27" t="str">
        <f t="shared" si="3"/>
        <v/>
      </c>
      <c r="L191" s="1" t="str">
        <f t="array" ref="L191">IFERROR(INDEX('Исходник'!$1:$626,MATCH($A191,'Исходник'!$T:$T,0),MATCH(L$1,'Исходник'!$1:$1,0)))</f>
        <v/>
      </c>
      <c r="M191" s="28">
        <f t="shared" si="4"/>
        <v>0</v>
      </c>
      <c r="N191" s="1" t="str">
        <f t="array" ref="N191">IFERROR(INDEX('Исходник'!$1:$626,MATCH($A191,'Исходник'!$T:$T,0),MATCH(N$1,'Исходник'!$1:$1,0)))</f>
        <v/>
      </c>
      <c r="O191" s="27">
        <f t="shared" si="5"/>
        <v>0</v>
      </c>
      <c r="P191" s="27" t="str">
        <f t="shared" si="6"/>
        <v/>
      </c>
      <c r="Q191" s="1" t="str">
        <f t="array" ref="Q191">IFERROR(INDEX('Исходник'!$1:$626,MATCH($A191,'Исходник'!$T:$T,0),MATCH(Q$1,'Исходник'!$1:$1,0)))</f>
        <v/>
      </c>
      <c r="R191" s="1" t="str">
        <f t="array" ref="R191">IFERROR(INDEX('Исходник'!$1:$626,MATCH($A191,'Исходник'!$T:$T,0),MATCH(R$1,'Исходник'!$1:$1,0)))</f>
        <v/>
      </c>
      <c r="S191" s="27">
        <f t="shared" si="7"/>
        <v>0</v>
      </c>
      <c r="T191" s="27" t="str">
        <f t="shared" si="8"/>
        <v/>
      </c>
      <c r="U191" s="1" t="str">
        <f t="array" ref="U191">IFERROR(INDEX('Исходник'!$1:$626,MATCH($A191,'Исходник'!$T:$T,0),MATCH(U$1,'Исходник'!$1:$1,0)))</f>
        <v/>
      </c>
      <c r="V191" s="27" t="str">
        <f t="shared" si="9"/>
        <v/>
      </c>
      <c r="W191" s="1" t="str">
        <f t="array" ref="W191">IFERROR(INDEX('Исходник'!$1:$626,MATCH($A191,'Исходник'!$T:$T,0),MATCH(W$1,'Исходник'!$1:$1,0)))</f>
        <v/>
      </c>
      <c r="X191" s="28">
        <f t="shared" si="10"/>
        <v>0</v>
      </c>
      <c r="Y191" s="1" t="str">
        <f t="array" ref="Y191">IFERROR(INDEX('Исходник'!$1:$626,MATCH($A191,'Исходник'!$T:$T,0),MATCH(Y$1,'Исходник'!$1:$1,0)))</f>
        <v/>
      </c>
      <c r="Z191" s="27">
        <f t="shared" si="11"/>
        <v>0</v>
      </c>
      <c r="AA191" s="27" t="str">
        <f t="shared" si="12"/>
        <v/>
      </c>
      <c r="AB191" s="1" t="str">
        <f t="array" ref="AB191">IFERROR(INDEX('Исходник'!$1:$626,MATCH($A191,'Исходник'!$T:$T,0),MATCH(AB$1,'Исходник'!$1:$1,0)))</f>
        <v/>
      </c>
      <c r="AC191" s="1" t="str">
        <f t="array" ref="AC191">IFERROR(INDEX('Исходник'!$1:$626,MATCH($A191,'Исходник'!$T:$T,0),MATCH(AC$1,'Исходник'!$1:$1,0)))</f>
        <v/>
      </c>
      <c r="AD191" s="27" t="str">
        <f t="shared" si="13"/>
        <v/>
      </c>
      <c r="AE191" s="1" t="str">
        <f t="array" ref="AE191">IFERROR(INDEX('Исходник'!$1:$626,MATCH($A191,'Исходник'!$T:$T,0),MATCH(AE$1,'Исходник'!$1:$1,0)))</f>
        <v/>
      </c>
      <c r="AF191" s="1" t="str">
        <f t="array" ref="AF191">IFERROR(INDEX('Исходник'!$1:$626,MATCH($A191,'Исходник'!$T:$T,0),MATCH(AF$1,'Исходник'!$1:$1,0)))</f>
        <v/>
      </c>
      <c r="AG191" s="27" t="str">
        <f t="shared" si="14"/>
        <v/>
      </c>
      <c r="AH191" s="1" t="str">
        <f t="array" ref="AH191">IFERROR(INDEX('Исходник'!$1:$626,MATCH($A191,'Исходник'!$T:$T,0),MATCH(AH$1,'Исходник'!$1:$1,0)))</f>
        <v/>
      </c>
      <c r="AI191" s="1" t="str">
        <f t="array" ref="AI191">IFERROR(INDEX('Исходник'!$1:$626,MATCH($A191,'Исходник'!$T:$T,0),MATCH(AI$1,'Исходник'!$1:$1,0)))</f>
        <v/>
      </c>
      <c r="AJ191" s="18">
        <f t="shared" si="15"/>
        <v>0</v>
      </c>
    </row>
    <row r="192" ht="15.75" customHeight="1">
      <c r="A192" s="27"/>
      <c r="B192" s="1" t="str">
        <f t="array" ref="B192">IFERROR(INDEX('Исходник'!$1:$626,MATCH($A192,'Исходник'!$T:$T,0),MATCH(B$1,'Исходник'!$1:$1,0)))</f>
        <v/>
      </c>
      <c r="C192" s="1" t="str">
        <f t="array" ref="C192">IFERROR(INDEX('Исходник'!$1:$626,MATCH($A192,'Исходник'!$T:$T,0),MATCH(C$1,'Исходник'!$1:$1,0)))</f>
        <v/>
      </c>
      <c r="D192" s="1" t="str">
        <f t="array" ref="D192">IFERROR(INDEX('Исходник'!$1:$626,MATCH($A192,'Исходник'!$T:$T,0),MATCH(D$1,'Исходник'!$1:$1,0)))</f>
        <v/>
      </c>
      <c r="E192" s="1" t="str">
        <f t="array" ref="E192">IFERROR(INDEX('Исходник'!$1:$626,MATCH($A192,'Исходник'!$T:$T,0),MATCH(E$1,'Исходник'!$1:$1,0)))</f>
        <v/>
      </c>
      <c r="F192" s="1" t="str">
        <f t="array" ref="F192">IFERROR(INDEX('Исходник'!$1:$626,MATCH($A192,'Исходник'!$T:$T,0),MATCH(F$1,'Исходник'!$1:$1,0)))</f>
        <v/>
      </c>
      <c r="G192" s="1" t="str">
        <f t="array" ref="G192">IFERROR(INDEX('Исходник'!$1:$626,MATCH($A192,'Исходник'!$T:$T,0),MATCH(G$1,'Исходник'!$1:$1,0)))</f>
        <v/>
      </c>
      <c r="H192" s="27">
        <f t="shared" si="1"/>
        <v>0</v>
      </c>
      <c r="I192" s="27" t="str">
        <f t="shared" si="2"/>
        <v/>
      </c>
      <c r="J192" s="1" t="str">
        <f t="array" ref="J192">IFERROR(INDEX('Исходник'!$1:$626,MATCH($A192,'Исходник'!$T:$T,0),MATCH(J$1,'Исходник'!$1:$1,0)))</f>
        <v/>
      </c>
      <c r="K192" s="27" t="str">
        <f t="shared" si="3"/>
        <v/>
      </c>
      <c r="L192" s="1" t="str">
        <f t="array" ref="L192">IFERROR(INDEX('Исходник'!$1:$626,MATCH($A192,'Исходник'!$T:$T,0),MATCH(L$1,'Исходник'!$1:$1,0)))</f>
        <v/>
      </c>
      <c r="M192" s="28">
        <f t="shared" si="4"/>
        <v>0</v>
      </c>
      <c r="N192" s="1" t="str">
        <f t="array" ref="N192">IFERROR(INDEX('Исходник'!$1:$626,MATCH($A192,'Исходник'!$T:$T,0),MATCH(N$1,'Исходник'!$1:$1,0)))</f>
        <v/>
      </c>
      <c r="O192" s="27">
        <f t="shared" si="5"/>
        <v>0</v>
      </c>
      <c r="P192" s="27" t="str">
        <f t="shared" si="6"/>
        <v/>
      </c>
      <c r="Q192" s="1" t="str">
        <f t="array" ref="Q192">IFERROR(INDEX('Исходник'!$1:$626,MATCH($A192,'Исходник'!$T:$T,0),MATCH(Q$1,'Исходник'!$1:$1,0)))</f>
        <v/>
      </c>
      <c r="R192" s="1" t="str">
        <f t="array" ref="R192">IFERROR(INDEX('Исходник'!$1:$626,MATCH($A192,'Исходник'!$T:$T,0),MATCH(R$1,'Исходник'!$1:$1,0)))</f>
        <v/>
      </c>
      <c r="S192" s="27">
        <f t="shared" si="7"/>
        <v>0</v>
      </c>
      <c r="T192" s="27" t="str">
        <f t="shared" si="8"/>
        <v/>
      </c>
      <c r="U192" s="1" t="str">
        <f t="array" ref="U192">IFERROR(INDEX('Исходник'!$1:$626,MATCH($A192,'Исходник'!$T:$T,0),MATCH(U$1,'Исходник'!$1:$1,0)))</f>
        <v/>
      </c>
      <c r="V192" s="27" t="str">
        <f t="shared" si="9"/>
        <v/>
      </c>
      <c r="W192" s="1" t="str">
        <f t="array" ref="W192">IFERROR(INDEX('Исходник'!$1:$626,MATCH($A192,'Исходник'!$T:$T,0),MATCH(W$1,'Исходник'!$1:$1,0)))</f>
        <v/>
      </c>
      <c r="X192" s="28">
        <f t="shared" si="10"/>
        <v>0</v>
      </c>
      <c r="Y192" s="1" t="str">
        <f t="array" ref="Y192">IFERROR(INDEX('Исходник'!$1:$626,MATCH($A192,'Исходник'!$T:$T,0),MATCH(Y$1,'Исходник'!$1:$1,0)))</f>
        <v/>
      </c>
      <c r="Z192" s="27">
        <f t="shared" si="11"/>
        <v>0</v>
      </c>
      <c r="AA192" s="27" t="str">
        <f t="shared" si="12"/>
        <v/>
      </c>
      <c r="AB192" s="1" t="str">
        <f t="array" ref="AB192">IFERROR(INDEX('Исходник'!$1:$626,MATCH($A192,'Исходник'!$T:$T,0),MATCH(AB$1,'Исходник'!$1:$1,0)))</f>
        <v/>
      </c>
      <c r="AC192" s="1" t="str">
        <f t="array" ref="AC192">IFERROR(INDEX('Исходник'!$1:$626,MATCH($A192,'Исходник'!$T:$T,0),MATCH(AC$1,'Исходник'!$1:$1,0)))</f>
        <v/>
      </c>
      <c r="AD192" s="27" t="str">
        <f t="shared" si="13"/>
        <v/>
      </c>
      <c r="AE192" s="1" t="str">
        <f t="array" ref="AE192">IFERROR(INDEX('Исходник'!$1:$626,MATCH($A192,'Исходник'!$T:$T,0),MATCH(AE$1,'Исходник'!$1:$1,0)))</f>
        <v/>
      </c>
      <c r="AF192" s="1" t="str">
        <f t="array" ref="AF192">IFERROR(INDEX('Исходник'!$1:$626,MATCH($A192,'Исходник'!$T:$T,0),MATCH(AF$1,'Исходник'!$1:$1,0)))</f>
        <v/>
      </c>
      <c r="AG192" s="27" t="str">
        <f t="shared" si="14"/>
        <v/>
      </c>
      <c r="AH192" s="1" t="str">
        <f t="array" ref="AH192">IFERROR(INDEX('Исходник'!$1:$626,MATCH($A192,'Исходник'!$T:$T,0),MATCH(AH$1,'Исходник'!$1:$1,0)))</f>
        <v/>
      </c>
      <c r="AI192" s="1" t="str">
        <f t="array" ref="AI192">IFERROR(INDEX('Исходник'!$1:$626,MATCH($A192,'Исходник'!$T:$T,0),MATCH(AI$1,'Исходник'!$1:$1,0)))</f>
        <v/>
      </c>
      <c r="AJ192" s="18">
        <f t="shared" si="15"/>
        <v>0</v>
      </c>
    </row>
    <row r="193" ht="15.75" customHeight="1">
      <c r="A193" s="27"/>
      <c r="B193" s="1" t="str">
        <f t="array" ref="B193">IFERROR(INDEX('Исходник'!$1:$626,MATCH($A193,'Исходник'!$T:$T,0),MATCH(B$1,'Исходник'!$1:$1,0)))</f>
        <v/>
      </c>
      <c r="C193" s="1" t="str">
        <f t="array" ref="C193">IFERROR(INDEX('Исходник'!$1:$626,MATCH($A193,'Исходник'!$T:$T,0),MATCH(C$1,'Исходник'!$1:$1,0)))</f>
        <v/>
      </c>
      <c r="D193" s="1" t="str">
        <f t="array" ref="D193">IFERROR(INDEX('Исходник'!$1:$626,MATCH($A193,'Исходник'!$T:$T,0),MATCH(D$1,'Исходник'!$1:$1,0)))</f>
        <v/>
      </c>
      <c r="E193" s="1" t="str">
        <f t="array" ref="E193">IFERROR(INDEX('Исходник'!$1:$626,MATCH($A193,'Исходник'!$T:$T,0),MATCH(E$1,'Исходник'!$1:$1,0)))</f>
        <v/>
      </c>
      <c r="F193" s="1" t="str">
        <f t="array" ref="F193">IFERROR(INDEX('Исходник'!$1:$626,MATCH($A193,'Исходник'!$T:$T,0),MATCH(F$1,'Исходник'!$1:$1,0)))</f>
        <v/>
      </c>
      <c r="G193" s="1" t="str">
        <f t="array" ref="G193">IFERROR(INDEX('Исходник'!$1:$626,MATCH($A193,'Исходник'!$T:$T,0),MATCH(G$1,'Исходник'!$1:$1,0)))</f>
        <v/>
      </c>
      <c r="H193" s="27">
        <f t="shared" si="1"/>
        <v>0</v>
      </c>
      <c r="I193" s="27" t="str">
        <f t="shared" si="2"/>
        <v/>
      </c>
      <c r="J193" s="1" t="str">
        <f t="array" ref="J193">IFERROR(INDEX('Исходник'!$1:$626,MATCH($A193,'Исходник'!$T:$T,0),MATCH(J$1,'Исходник'!$1:$1,0)))</f>
        <v/>
      </c>
      <c r="K193" s="27" t="str">
        <f t="shared" si="3"/>
        <v/>
      </c>
      <c r="L193" s="1" t="str">
        <f t="array" ref="L193">IFERROR(INDEX('Исходник'!$1:$626,MATCH($A193,'Исходник'!$T:$T,0),MATCH(L$1,'Исходник'!$1:$1,0)))</f>
        <v/>
      </c>
      <c r="M193" s="28">
        <f t="shared" si="4"/>
        <v>0</v>
      </c>
      <c r="N193" s="1" t="str">
        <f t="array" ref="N193">IFERROR(INDEX('Исходник'!$1:$626,MATCH($A193,'Исходник'!$T:$T,0),MATCH(N$1,'Исходник'!$1:$1,0)))</f>
        <v/>
      </c>
      <c r="O193" s="27">
        <f t="shared" si="5"/>
        <v>0</v>
      </c>
      <c r="P193" s="27" t="str">
        <f t="shared" si="6"/>
        <v/>
      </c>
      <c r="Q193" s="1" t="str">
        <f t="array" ref="Q193">IFERROR(INDEX('Исходник'!$1:$626,MATCH($A193,'Исходник'!$T:$T,0),MATCH(Q$1,'Исходник'!$1:$1,0)))</f>
        <v/>
      </c>
      <c r="R193" s="1" t="str">
        <f t="array" ref="R193">IFERROR(INDEX('Исходник'!$1:$626,MATCH($A193,'Исходник'!$T:$T,0),MATCH(R$1,'Исходник'!$1:$1,0)))</f>
        <v/>
      </c>
      <c r="S193" s="27">
        <f t="shared" si="7"/>
        <v>0</v>
      </c>
      <c r="T193" s="27" t="str">
        <f t="shared" si="8"/>
        <v/>
      </c>
      <c r="U193" s="1" t="str">
        <f t="array" ref="U193">IFERROR(INDEX('Исходник'!$1:$626,MATCH($A193,'Исходник'!$T:$T,0),MATCH(U$1,'Исходник'!$1:$1,0)))</f>
        <v/>
      </c>
      <c r="V193" s="27" t="str">
        <f t="shared" si="9"/>
        <v/>
      </c>
      <c r="W193" s="1" t="str">
        <f t="array" ref="W193">IFERROR(INDEX('Исходник'!$1:$626,MATCH($A193,'Исходник'!$T:$T,0),MATCH(W$1,'Исходник'!$1:$1,0)))</f>
        <v/>
      </c>
      <c r="X193" s="28">
        <f t="shared" si="10"/>
        <v>0</v>
      </c>
      <c r="Y193" s="1" t="str">
        <f t="array" ref="Y193">IFERROR(INDEX('Исходник'!$1:$626,MATCH($A193,'Исходник'!$T:$T,0),MATCH(Y$1,'Исходник'!$1:$1,0)))</f>
        <v/>
      </c>
      <c r="Z193" s="27">
        <f t="shared" si="11"/>
        <v>0</v>
      </c>
      <c r="AA193" s="27" t="str">
        <f t="shared" si="12"/>
        <v/>
      </c>
      <c r="AB193" s="1" t="str">
        <f t="array" ref="AB193">IFERROR(INDEX('Исходник'!$1:$626,MATCH($A193,'Исходник'!$T:$T,0),MATCH(AB$1,'Исходник'!$1:$1,0)))</f>
        <v/>
      </c>
      <c r="AC193" s="1" t="str">
        <f t="array" ref="AC193">IFERROR(INDEX('Исходник'!$1:$626,MATCH($A193,'Исходник'!$T:$T,0),MATCH(AC$1,'Исходник'!$1:$1,0)))</f>
        <v/>
      </c>
      <c r="AD193" s="27" t="str">
        <f t="shared" si="13"/>
        <v/>
      </c>
      <c r="AE193" s="1" t="str">
        <f t="array" ref="AE193">IFERROR(INDEX('Исходник'!$1:$626,MATCH($A193,'Исходник'!$T:$T,0),MATCH(AE$1,'Исходник'!$1:$1,0)))</f>
        <v/>
      </c>
      <c r="AF193" s="1" t="str">
        <f t="array" ref="AF193">IFERROR(INDEX('Исходник'!$1:$626,MATCH($A193,'Исходник'!$T:$T,0),MATCH(AF$1,'Исходник'!$1:$1,0)))</f>
        <v/>
      </c>
      <c r="AG193" s="27" t="str">
        <f t="shared" si="14"/>
        <v/>
      </c>
      <c r="AH193" s="1" t="str">
        <f t="array" ref="AH193">IFERROR(INDEX('Исходник'!$1:$626,MATCH($A193,'Исходник'!$T:$T,0),MATCH(AH$1,'Исходник'!$1:$1,0)))</f>
        <v/>
      </c>
      <c r="AI193" s="1" t="str">
        <f t="array" ref="AI193">IFERROR(INDEX('Исходник'!$1:$626,MATCH($A193,'Исходник'!$T:$T,0),MATCH(AI$1,'Исходник'!$1:$1,0)))</f>
        <v/>
      </c>
      <c r="AJ193" s="18">
        <f t="shared" si="15"/>
        <v>0</v>
      </c>
    </row>
    <row r="194" ht="15.75" customHeight="1">
      <c r="A194" s="27"/>
      <c r="B194" s="1" t="str">
        <f t="array" ref="B194">IFERROR(INDEX('Исходник'!$1:$626,MATCH($A194,'Исходник'!$T:$T,0),MATCH(B$1,'Исходник'!$1:$1,0)))</f>
        <v/>
      </c>
      <c r="C194" s="1" t="str">
        <f t="array" ref="C194">IFERROR(INDEX('Исходник'!$1:$626,MATCH($A194,'Исходник'!$T:$T,0),MATCH(C$1,'Исходник'!$1:$1,0)))</f>
        <v/>
      </c>
      <c r="D194" s="1" t="str">
        <f t="array" ref="D194">IFERROR(INDEX('Исходник'!$1:$626,MATCH($A194,'Исходник'!$T:$T,0),MATCH(D$1,'Исходник'!$1:$1,0)))</f>
        <v/>
      </c>
      <c r="E194" s="1" t="str">
        <f t="array" ref="E194">IFERROR(INDEX('Исходник'!$1:$626,MATCH($A194,'Исходник'!$T:$T,0),MATCH(E$1,'Исходник'!$1:$1,0)))</f>
        <v/>
      </c>
      <c r="F194" s="1" t="str">
        <f t="array" ref="F194">IFERROR(INDEX('Исходник'!$1:$626,MATCH($A194,'Исходник'!$T:$T,0),MATCH(F$1,'Исходник'!$1:$1,0)))</f>
        <v/>
      </c>
      <c r="G194" s="1" t="str">
        <f t="array" ref="G194">IFERROR(INDEX('Исходник'!$1:$626,MATCH($A194,'Исходник'!$T:$T,0),MATCH(G$1,'Исходник'!$1:$1,0)))</f>
        <v/>
      </c>
      <c r="H194" s="27">
        <f t="shared" si="1"/>
        <v>0</v>
      </c>
      <c r="I194" s="27" t="str">
        <f t="shared" si="2"/>
        <v/>
      </c>
      <c r="J194" s="1" t="str">
        <f t="array" ref="J194">IFERROR(INDEX('Исходник'!$1:$626,MATCH($A194,'Исходник'!$T:$T,0),MATCH(J$1,'Исходник'!$1:$1,0)))</f>
        <v/>
      </c>
      <c r="K194" s="27" t="str">
        <f t="shared" si="3"/>
        <v/>
      </c>
      <c r="L194" s="1" t="str">
        <f t="array" ref="L194">IFERROR(INDEX('Исходник'!$1:$626,MATCH($A194,'Исходник'!$T:$T,0),MATCH(L$1,'Исходник'!$1:$1,0)))</f>
        <v/>
      </c>
      <c r="M194" s="28">
        <f t="shared" si="4"/>
        <v>0</v>
      </c>
      <c r="N194" s="1" t="str">
        <f t="array" ref="N194">IFERROR(INDEX('Исходник'!$1:$626,MATCH($A194,'Исходник'!$T:$T,0),MATCH(N$1,'Исходник'!$1:$1,0)))</f>
        <v/>
      </c>
      <c r="O194" s="27">
        <f t="shared" si="5"/>
        <v>0</v>
      </c>
      <c r="P194" s="27" t="str">
        <f t="shared" si="6"/>
        <v/>
      </c>
      <c r="Q194" s="1" t="str">
        <f t="array" ref="Q194">IFERROR(INDEX('Исходник'!$1:$626,MATCH($A194,'Исходник'!$T:$T,0),MATCH(Q$1,'Исходник'!$1:$1,0)))</f>
        <v/>
      </c>
      <c r="R194" s="1" t="str">
        <f t="array" ref="R194">IFERROR(INDEX('Исходник'!$1:$626,MATCH($A194,'Исходник'!$T:$T,0),MATCH(R$1,'Исходник'!$1:$1,0)))</f>
        <v/>
      </c>
      <c r="S194" s="27">
        <f t="shared" si="7"/>
        <v>0</v>
      </c>
      <c r="T194" s="27" t="str">
        <f t="shared" si="8"/>
        <v/>
      </c>
      <c r="U194" s="1" t="str">
        <f t="array" ref="U194">IFERROR(INDEX('Исходник'!$1:$626,MATCH($A194,'Исходник'!$T:$T,0),MATCH(U$1,'Исходник'!$1:$1,0)))</f>
        <v/>
      </c>
      <c r="V194" s="27" t="str">
        <f t="shared" si="9"/>
        <v/>
      </c>
      <c r="W194" s="1" t="str">
        <f t="array" ref="W194">IFERROR(INDEX('Исходник'!$1:$626,MATCH($A194,'Исходник'!$T:$T,0),MATCH(W$1,'Исходник'!$1:$1,0)))</f>
        <v/>
      </c>
      <c r="X194" s="28">
        <f t="shared" si="10"/>
        <v>0</v>
      </c>
      <c r="Y194" s="1" t="str">
        <f t="array" ref="Y194">IFERROR(INDEX('Исходник'!$1:$626,MATCH($A194,'Исходник'!$T:$T,0),MATCH(Y$1,'Исходник'!$1:$1,0)))</f>
        <v/>
      </c>
      <c r="Z194" s="27">
        <f t="shared" si="11"/>
        <v>0</v>
      </c>
      <c r="AA194" s="27" t="str">
        <f t="shared" si="12"/>
        <v/>
      </c>
      <c r="AB194" s="1" t="str">
        <f t="array" ref="AB194">IFERROR(INDEX('Исходник'!$1:$626,MATCH($A194,'Исходник'!$T:$T,0),MATCH(AB$1,'Исходник'!$1:$1,0)))</f>
        <v/>
      </c>
      <c r="AC194" s="1" t="str">
        <f t="array" ref="AC194">IFERROR(INDEX('Исходник'!$1:$626,MATCH($A194,'Исходник'!$T:$T,0),MATCH(AC$1,'Исходник'!$1:$1,0)))</f>
        <v/>
      </c>
      <c r="AD194" s="27" t="str">
        <f t="shared" si="13"/>
        <v/>
      </c>
      <c r="AE194" s="1" t="str">
        <f t="array" ref="AE194">IFERROR(INDEX('Исходник'!$1:$626,MATCH($A194,'Исходник'!$T:$T,0),MATCH(AE$1,'Исходник'!$1:$1,0)))</f>
        <v/>
      </c>
      <c r="AF194" s="1" t="str">
        <f t="array" ref="AF194">IFERROR(INDEX('Исходник'!$1:$626,MATCH($A194,'Исходник'!$T:$T,0),MATCH(AF$1,'Исходник'!$1:$1,0)))</f>
        <v/>
      </c>
      <c r="AG194" s="27" t="str">
        <f t="shared" si="14"/>
        <v/>
      </c>
      <c r="AH194" s="1" t="str">
        <f t="array" ref="AH194">IFERROR(INDEX('Исходник'!$1:$626,MATCH($A194,'Исходник'!$T:$T,0),MATCH(AH$1,'Исходник'!$1:$1,0)))</f>
        <v/>
      </c>
      <c r="AI194" s="1" t="str">
        <f t="array" ref="AI194">IFERROR(INDEX('Исходник'!$1:$626,MATCH($A194,'Исходник'!$T:$T,0),MATCH(AI$1,'Исходник'!$1:$1,0)))</f>
        <v/>
      </c>
      <c r="AJ194" s="18">
        <f t="shared" si="15"/>
        <v>0</v>
      </c>
    </row>
    <row r="195" ht="15.75" customHeight="1">
      <c r="A195" s="27"/>
      <c r="B195" s="1" t="str">
        <f t="array" ref="B195">IFERROR(INDEX('Исходник'!$1:$626,MATCH($A195,'Исходник'!$T:$T,0),MATCH(B$1,'Исходник'!$1:$1,0)))</f>
        <v/>
      </c>
      <c r="C195" s="1" t="str">
        <f t="array" ref="C195">IFERROR(INDEX('Исходник'!$1:$626,MATCH($A195,'Исходник'!$T:$T,0),MATCH(C$1,'Исходник'!$1:$1,0)))</f>
        <v/>
      </c>
      <c r="D195" s="1" t="str">
        <f t="array" ref="D195">IFERROR(INDEX('Исходник'!$1:$626,MATCH($A195,'Исходник'!$T:$T,0),MATCH(D$1,'Исходник'!$1:$1,0)))</f>
        <v/>
      </c>
      <c r="E195" s="1" t="str">
        <f t="array" ref="E195">IFERROR(INDEX('Исходник'!$1:$626,MATCH($A195,'Исходник'!$T:$T,0),MATCH(E$1,'Исходник'!$1:$1,0)))</f>
        <v/>
      </c>
      <c r="F195" s="1" t="str">
        <f t="array" ref="F195">IFERROR(INDEX('Исходник'!$1:$626,MATCH($A195,'Исходник'!$T:$T,0),MATCH(F$1,'Исходник'!$1:$1,0)))</f>
        <v/>
      </c>
      <c r="G195" s="1" t="str">
        <f t="array" ref="G195">IFERROR(INDEX('Исходник'!$1:$626,MATCH($A195,'Исходник'!$T:$T,0),MATCH(G$1,'Исходник'!$1:$1,0)))</f>
        <v/>
      </c>
      <c r="H195" s="27">
        <f t="shared" si="1"/>
        <v>0</v>
      </c>
      <c r="I195" s="27" t="str">
        <f t="shared" si="2"/>
        <v/>
      </c>
      <c r="J195" s="1" t="str">
        <f t="array" ref="J195">IFERROR(INDEX('Исходник'!$1:$626,MATCH($A195,'Исходник'!$T:$T,0),MATCH(J$1,'Исходник'!$1:$1,0)))</f>
        <v/>
      </c>
      <c r="K195" s="27" t="str">
        <f t="shared" si="3"/>
        <v/>
      </c>
      <c r="L195" s="1" t="str">
        <f t="array" ref="L195">IFERROR(INDEX('Исходник'!$1:$626,MATCH($A195,'Исходник'!$T:$T,0),MATCH(L$1,'Исходник'!$1:$1,0)))</f>
        <v/>
      </c>
      <c r="M195" s="28">
        <f t="shared" si="4"/>
        <v>0</v>
      </c>
      <c r="N195" s="1" t="str">
        <f t="array" ref="N195">IFERROR(INDEX('Исходник'!$1:$626,MATCH($A195,'Исходник'!$T:$T,0),MATCH(N$1,'Исходник'!$1:$1,0)))</f>
        <v/>
      </c>
      <c r="O195" s="27">
        <f t="shared" si="5"/>
        <v>0</v>
      </c>
      <c r="P195" s="27" t="str">
        <f t="shared" si="6"/>
        <v/>
      </c>
      <c r="Q195" s="1" t="str">
        <f t="array" ref="Q195">IFERROR(INDEX('Исходник'!$1:$626,MATCH($A195,'Исходник'!$T:$T,0),MATCH(Q$1,'Исходник'!$1:$1,0)))</f>
        <v/>
      </c>
      <c r="R195" s="1" t="str">
        <f t="array" ref="R195">IFERROR(INDEX('Исходник'!$1:$626,MATCH($A195,'Исходник'!$T:$T,0),MATCH(R$1,'Исходник'!$1:$1,0)))</f>
        <v/>
      </c>
      <c r="S195" s="27">
        <f t="shared" si="7"/>
        <v>0</v>
      </c>
      <c r="T195" s="27" t="str">
        <f t="shared" si="8"/>
        <v/>
      </c>
      <c r="U195" s="1" t="str">
        <f t="array" ref="U195">IFERROR(INDEX('Исходник'!$1:$626,MATCH($A195,'Исходник'!$T:$T,0),MATCH(U$1,'Исходник'!$1:$1,0)))</f>
        <v/>
      </c>
      <c r="V195" s="27" t="str">
        <f t="shared" si="9"/>
        <v/>
      </c>
      <c r="W195" s="1" t="str">
        <f t="array" ref="W195">IFERROR(INDEX('Исходник'!$1:$626,MATCH($A195,'Исходник'!$T:$T,0),MATCH(W$1,'Исходник'!$1:$1,0)))</f>
        <v/>
      </c>
      <c r="X195" s="28">
        <f t="shared" si="10"/>
        <v>0</v>
      </c>
      <c r="Y195" s="1" t="str">
        <f t="array" ref="Y195">IFERROR(INDEX('Исходник'!$1:$626,MATCH($A195,'Исходник'!$T:$T,0),MATCH(Y$1,'Исходник'!$1:$1,0)))</f>
        <v/>
      </c>
      <c r="Z195" s="27">
        <f t="shared" si="11"/>
        <v>0</v>
      </c>
      <c r="AA195" s="27" t="str">
        <f t="shared" si="12"/>
        <v/>
      </c>
      <c r="AB195" s="1" t="str">
        <f t="array" ref="AB195">IFERROR(INDEX('Исходник'!$1:$626,MATCH($A195,'Исходник'!$T:$T,0),MATCH(AB$1,'Исходник'!$1:$1,0)))</f>
        <v/>
      </c>
      <c r="AC195" s="1" t="str">
        <f t="array" ref="AC195">IFERROR(INDEX('Исходник'!$1:$626,MATCH($A195,'Исходник'!$T:$T,0),MATCH(AC$1,'Исходник'!$1:$1,0)))</f>
        <v/>
      </c>
      <c r="AD195" s="27" t="str">
        <f t="shared" si="13"/>
        <v/>
      </c>
      <c r="AE195" s="1" t="str">
        <f t="array" ref="AE195">IFERROR(INDEX('Исходник'!$1:$626,MATCH($A195,'Исходник'!$T:$T,0),MATCH(AE$1,'Исходник'!$1:$1,0)))</f>
        <v/>
      </c>
      <c r="AF195" s="1" t="str">
        <f t="array" ref="AF195">IFERROR(INDEX('Исходник'!$1:$626,MATCH($A195,'Исходник'!$T:$T,0),MATCH(AF$1,'Исходник'!$1:$1,0)))</f>
        <v/>
      </c>
      <c r="AG195" s="27" t="str">
        <f t="shared" si="14"/>
        <v/>
      </c>
      <c r="AH195" s="1" t="str">
        <f t="array" ref="AH195">IFERROR(INDEX('Исходник'!$1:$626,MATCH($A195,'Исходник'!$T:$T,0),MATCH(AH$1,'Исходник'!$1:$1,0)))</f>
        <v/>
      </c>
      <c r="AI195" s="1" t="str">
        <f t="array" ref="AI195">IFERROR(INDEX('Исходник'!$1:$626,MATCH($A195,'Исходник'!$T:$T,0),MATCH(AI$1,'Исходник'!$1:$1,0)))</f>
        <v/>
      </c>
      <c r="AJ195" s="18">
        <f t="shared" si="15"/>
        <v>0</v>
      </c>
    </row>
    <row r="196" ht="15.75" customHeight="1">
      <c r="A196" s="27"/>
      <c r="B196" s="1" t="str">
        <f t="array" ref="B196">IFERROR(INDEX('Исходник'!$1:$626,MATCH($A196,'Исходник'!$T:$T,0),MATCH(B$1,'Исходник'!$1:$1,0)))</f>
        <v/>
      </c>
      <c r="C196" s="1" t="str">
        <f t="array" ref="C196">IFERROR(INDEX('Исходник'!$1:$626,MATCH($A196,'Исходник'!$T:$T,0),MATCH(C$1,'Исходник'!$1:$1,0)))</f>
        <v/>
      </c>
      <c r="D196" s="1" t="str">
        <f t="array" ref="D196">IFERROR(INDEX('Исходник'!$1:$626,MATCH($A196,'Исходник'!$T:$T,0),MATCH(D$1,'Исходник'!$1:$1,0)))</f>
        <v/>
      </c>
      <c r="E196" s="1" t="str">
        <f t="array" ref="E196">IFERROR(INDEX('Исходник'!$1:$626,MATCH($A196,'Исходник'!$T:$T,0),MATCH(E$1,'Исходник'!$1:$1,0)))</f>
        <v/>
      </c>
      <c r="F196" s="1" t="str">
        <f t="array" ref="F196">IFERROR(INDEX('Исходник'!$1:$626,MATCH($A196,'Исходник'!$T:$T,0),MATCH(F$1,'Исходник'!$1:$1,0)))</f>
        <v/>
      </c>
      <c r="G196" s="1" t="str">
        <f t="array" ref="G196">IFERROR(INDEX('Исходник'!$1:$626,MATCH($A196,'Исходник'!$T:$T,0),MATCH(G$1,'Исходник'!$1:$1,0)))</f>
        <v/>
      </c>
      <c r="H196" s="27">
        <f t="shared" si="1"/>
        <v>0</v>
      </c>
      <c r="I196" s="27" t="str">
        <f t="shared" si="2"/>
        <v/>
      </c>
      <c r="J196" s="1" t="str">
        <f t="array" ref="J196">IFERROR(INDEX('Исходник'!$1:$626,MATCH($A196,'Исходник'!$T:$T,0),MATCH(J$1,'Исходник'!$1:$1,0)))</f>
        <v/>
      </c>
      <c r="K196" s="27" t="str">
        <f t="shared" si="3"/>
        <v/>
      </c>
      <c r="L196" s="1" t="str">
        <f t="array" ref="L196">IFERROR(INDEX('Исходник'!$1:$626,MATCH($A196,'Исходник'!$T:$T,0),MATCH(L$1,'Исходник'!$1:$1,0)))</f>
        <v/>
      </c>
      <c r="M196" s="28">
        <f t="shared" si="4"/>
        <v>0</v>
      </c>
      <c r="N196" s="1" t="str">
        <f t="array" ref="N196">IFERROR(INDEX('Исходник'!$1:$626,MATCH($A196,'Исходник'!$T:$T,0),MATCH(N$1,'Исходник'!$1:$1,0)))</f>
        <v/>
      </c>
      <c r="O196" s="27">
        <f t="shared" si="5"/>
        <v>0</v>
      </c>
      <c r="P196" s="27" t="str">
        <f t="shared" si="6"/>
        <v/>
      </c>
      <c r="Q196" s="1" t="str">
        <f t="array" ref="Q196">IFERROR(INDEX('Исходник'!$1:$626,MATCH($A196,'Исходник'!$T:$T,0),MATCH(Q$1,'Исходник'!$1:$1,0)))</f>
        <v/>
      </c>
      <c r="R196" s="1" t="str">
        <f t="array" ref="R196">IFERROR(INDEX('Исходник'!$1:$626,MATCH($A196,'Исходник'!$T:$T,0),MATCH(R$1,'Исходник'!$1:$1,0)))</f>
        <v/>
      </c>
      <c r="S196" s="27">
        <f t="shared" si="7"/>
        <v>0</v>
      </c>
      <c r="T196" s="27" t="str">
        <f t="shared" si="8"/>
        <v/>
      </c>
      <c r="U196" s="1" t="str">
        <f t="array" ref="U196">IFERROR(INDEX('Исходник'!$1:$626,MATCH($A196,'Исходник'!$T:$T,0),MATCH(U$1,'Исходник'!$1:$1,0)))</f>
        <v/>
      </c>
      <c r="V196" s="27" t="str">
        <f t="shared" si="9"/>
        <v/>
      </c>
      <c r="W196" s="1" t="str">
        <f t="array" ref="W196">IFERROR(INDEX('Исходник'!$1:$626,MATCH($A196,'Исходник'!$T:$T,0),MATCH(W$1,'Исходник'!$1:$1,0)))</f>
        <v/>
      </c>
      <c r="X196" s="28">
        <f t="shared" si="10"/>
        <v>0</v>
      </c>
      <c r="Y196" s="1" t="str">
        <f t="array" ref="Y196">IFERROR(INDEX('Исходник'!$1:$626,MATCH($A196,'Исходник'!$T:$T,0),MATCH(Y$1,'Исходник'!$1:$1,0)))</f>
        <v/>
      </c>
      <c r="Z196" s="27">
        <f t="shared" si="11"/>
        <v>0</v>
      </c>
      <c r="AA196" s="27" t="str">
        <f t="shared" si="12"/>
        <v/>
      </c>
      <c r="AB196" s="1" t="str">
        <f t="array" ref="AB196">IFERROR(INDEX('Исходник'!$1:$626,MATCH($A196,'Исходник'!$T:$T,0),MATCH(AB$1,'Исходник'!$1:$1,0)))</f>
        <v/>
      </c>
      <c r="AC196" s="1" t="str">
        <f t="array" ref="AC196">IFERROR(INDEX('Исходник'!$1:$626,MATCH($A196,'Исходник'!$T:$T,0),MATCH(AC$1,'Исходник'!$1:$1,0)))</f>
        <v/>
      </c>
      <c r="AD196" s="27" t="str">
        <f t="shared" si="13"/>
        <v/>
      </c>
      <c r="AE196" s="1" t="str">
        <f t="array" ref="AE196">IFERROR(INDEX('Исходник'!$1:$626,MATCH($A196,'Исходник'!$T:$T,0),MATCH(AE$1,'Исходник'!$1:$1,0)))</f>
        <v/>
      </c>
      <c r="AF196" s="1" t="str">
        <f t="array" ref="AF196">IFERROR(INDEX('Исходник'!$1:$626,MATCH($A196,'Исходник'!$T:$T,0),MATCH(AF$1,'Исходник'!$1:$1,0)))</f>
        <v/>
      </c>
      <c r="AG196" s="27" t="str">
        <f t="shared" si="14"/>
        <v/>
      </c>
      <c r="AH196" s="1" t="str">
        <f t="array" ref="AH196">IFERROR(INDEX('Исходник'!$1:$626,MATCH($A196,'Исходник'!$T:$T,0),MATCH(AH$1,'Исходник'!$1:$1,0)))</f>
        <v/>
      </c>
      <c r="AI196" s="1" t="str">
        <f t="array" ref="AI196">IFERROR(INDEX('Исходник'!$1:$626,MATCH($A196,'Исходник'!$T:$T,0),MATCH(AI$1,'Исходник'!$1:$1,0)))</f>
        <v/>
      </c>
      <c r="AJ196" s="18">
        <f t="shared" si="15"/>
        <v>0</v>
      </c>
    </row>
    <row r="197" ht="15.75" customHeight="1">
      <c r="A197" s="27"/>
      <c r="B197" s="1" t="str">
        <f t="array" ref="B197">IFERROR(INDEX('Исходник'!$1:$626,MATCH($A197,'Исходник'!$T:$T,0),MATCH(B$1,'Исходник'!$1:$1,0)))</f>
        <v/>
      </c>
      <c r="C197" s="1" t="str">
        <f t="array" ref="C197">IFERROR(INDEX('Исходник'!$1:$626,MATCH($A197,'Исходник'!$T:$T,0),MATCH(C$1,'Исходник'!$1:$1,0)))</f>
        <v/>
      </c>
      <c r="D197" s="1" t="str">
        <f t="array" ref="D197">IFERROR(INDEX('Исходник'!$1:$626,MATCH($A197,'Исходник'!$T:$T,0),MATCH(D$1,'Исходник'!$1:$1,0)))</f>
        <v/>
      </c>
      <c r="E197" s="1" t="str">
        <f t="array" ref="E197">IFERROR(INDEX('Исходник'!$1:$626,MATCH($A197,'Исходник'!$T:$T,0),MATCH(E$1,'Исходник'!$1:$1,0)))</f>
        <v/>
      </c>
      <c r="F197" s="1" t="str">
        <f t="array" ref="F197">IFERROR(INDEX('Исходник'!$1:$626,MATCH($A197,'Исходник'!$T:$T,0),MATCH(F$1,'Исходник'!$1:$1,0)))</f>
        <v/>
      </c>
      <c r="G197" s="1" t="str">
        <f t="array" ref="G197">IFERROR(INDEX('Исходник'!$1:$626,MATCH($A197,'Исходник'!$T:$T,0),MATCH(G$1,'Исходник'!$1:$1,0)))</f>
        <v/>
      </c>
      <c r="H197" s="27">
        <f t="shared" si="1"/>
        <v>0</v>
      </c>
      <c r="I197" s="27" t="str">
        <f t="shared" si="2"/>
        <v/>
      </c>
      <c r="J197" s="1" t="str">
        <f t="array" ref="J197">IFERROR(INDEX('Исходник'!$1:$626,MATCH($A197,'Исходник'!$T:$T,0),MATCH(J$1,'Исходник'!$1:$1,0)))</f>
        <v/>
      </c>
      <c r="K197" s="27" t="str">
        <f t="shared" si="3"/>
        <v/>
      </c>
      <c r="L197" s="1" t="str">
        <f t="array" ref="L197">IFERROR(INDEX('Исходник'!$1:$626,MATCH($A197,'Исходник'!$T:$T,0),MATCH(L$1,'Исходник'!$1:$1,0)))</f>
        <v/>
      </c>
      <c r="M197" s="28">
        <f t="shared" si="4"/>
        <v>0</v>
      </c>
      <c r="N197" s="1" t="str">
        <f t="array" ref="N197">IFERROR(INDEX('Исходник'!$1:$626,MATCH($A197,'Исходник'!$T:$T,0),MATCH(N$1,'Исходник'!$1:$1,0)))</f>
        <v/>
      </c>
      <c r="O197" s="27">
        <f t="shared" si="5"/>
        <v>0</v>
      </c>
      <c r="P197" s="27" t="str">
        <f t="shared" si="6"/>
        <v/>
      </c>
      <c r="Q197" s="1" t="str">
        <f t="array" ref="Q197">IFERROR(INDEX('Исходник'!$1:$626,MATCH($A197,'Исходник'!$T:$T,0),MATCH(Q$1,'Исходник'!$1:$1,0)))</f>
        <v/>
      </c>
      <c r="R197" s="1" t="str">
        <f t="array" ref="R197">IFERROR(INDEX('Исходник'!$1:$626,MATCH($A197,'Исходник'!$T:$T,0),MATCH(R$1,'Исходник'!$1:$1,0)))</f>
        <v/>
      </c>
      <c r="S197" s="27">
        <f t="shared" si="7"/>
        <v>0</v>
      </c>
      <c r="T197" s="27" t="str">
        <f t="shared" si="8"/>
        <v/>
      </c>
      <c r="U197" s="1" t="str">
        <f t="array" ref="U197">IFERROR(INDEX('Исходник'!$1:$626,MATCH($A197,'Исходник'!$T:$T,0),MATCH(U$1,'Исходник'!$1:$1,0)))</f>
        <v/>
      </c>
      <c r="V197" s="27" t="str">
        <f t="shared" si="9"/>
        <v/>
      </c>
      <c r="W197" s="1" t="str">
        <f t="array" ref="W197">IFERROR(INDEX('Исходник'!$1:$626,MATCH($A197,'Исходник'!$T:$T,0),MATCH(W$1,'Исходник'!$1:$1,0)))</f>
        <v/>
      </c>
      <c r="X197" s="28">
        <f t="shared" si="10"/>
        <v>0</v>
      </c>
      <c r="Y197" s="1" t="str">
        <f t="array" ref="Y197">IFERROR(INDEX('Исходник'!$1:$626,MATCH($A197,'Исходник'!$T:$T,0),MATCH(Y$1,'Исходник'!$1:$1,0)))</f>
        <v/>
      </c>
      <c r="Z197" s="27">
        <f t="shared" si="11"/>
        <v>0</v>
      </c>
      <c r="AA197" s="27" t="str">
        <f t="shared" si="12"/>
        <v/>
      </c>
      <c r="AB197" s="1" t="str">
        <f t="array" ref="AB197">IFERROR(INDEX('Исходник'!$1:$626,MATCH($A197,'Исходник'!$T:$T,0),MATCH(AB$1,'Исходник'!$1:$1,0)))</f>
        <v/>
      </c>
      <c r="AC197" s="1" t="str">
        <f t="array" ref="AC197">IFERROR(INDEX('Исходник'!$1:$626,MATCH($A197,'Исходник'!$T:$T,0),MATCH(AC$1,'Исходник'!$1:$1,0)))</f>
        <v/>
      </c>
      <c r="AD197" s="27" t="str">
        <f t="shared" si="13"/>
        <v/>
      </c>
      <c r="AE197" s="1" t="str">
        <f t="array" ref="AE197">IFERROR(INDEX('Исходник'!$1:$626,MATCH($A197,'Исходник'!$T:$T,0),MATCH(AE$1,'Исходник'!$1:$1,0)))</f>
        <v/>
      </c>
      <c r="AF197" s="1" t="str">
        <f t="array" ref="AF197">IFERROR(INDEX('Исходник'!$1:$626,MATCH($A197,'Исходник'!$T:$T,0),MATCH(AF$1,'Исходник'!$1:$1,0)))</f>
        <v/>
      </c>
      <c r="AG197" s="27" t="str">
        <f t="shared" si="14"/>
        <v/>
      </c>
      <c r="AH197" s="1" t="str">
        <f t="array" ref="AH197">IFERROR(INDEX('Исходник'!$1:$626,MATCH($A197,'Исходник'!$T:$T,0),MATCH(AH$1,'Исходник'!$1:$1,0)))</f>
        <v/>
      </c>
      <c r="AI197" s="1" t="str">
        <f t="array" ref="AI197">IFERROR(INDEX('Исходник'!$1:$626,MATCH($A197,'Исходник'!$T:$T,0),MATCH(AI$1,'Исходник'!$1:$1,0)))</f>
        <v/>
      </c>
      <c r="AJ197" s="18">
        <f t="shared" si="15"/>
        <v>0</v>
      </c>
    </row>
    <row r="198" ht="15.75" customHeight="1">
      <c r="A198" s="27"/>
      <c r="B198" s="1" t="str">
        <f t="array" ref="B198">IFERROR(INDEX('Исходник'!$1:$626,MATCH($A198,'Исходник'!$T:$T,0),MATCH(B$1,'Исходник'!$1:$1,0)))</f>
        <v/>
      </c>
      <c r="C198" s="1" t="str">
        <f t="array" ref="C198">IFERROR(INDEX('Исходник'!$1:$626,MATCH($A198,'Исходник'!$T:$T,0),MATCH(C$1,'Исходник'!$1:$1,0)))</f>
        <v/>
      </c>
      <c r="D198" s="1" t="str">
        <f t="array" ref="D198">IFERROR(INDEX('Исходник'!$1:$626,MATCH($A198,'Исходник'!$T:$T,0),MATCH(D$1,'Исходник'!$1:$1,0)))</f>
        <v/>
      </c>
      <c r="E198" s="1" t="str">
        <f t="array" ref="E198">IFERROR(INDEX('Исходник'!$1:$626,MATCH($A198,'Исходник'!$T:$T,0),MATCH(E$1,'Исходник'!$1:$1,0)))</f>
        <v/>
      </c>
      <c r="F198" s="1" t="str">
        <f t="array" ref="F198">IFERROR(INDEX('Исходник'!$1:$626,MATCH($A198,'Исходник'!$T:$T,0),MATCH(F$1,'Исходник'!$1:$1,0)))</f>
        <v/>
      </c>
      <c r="G198" s="1" t="str">
        <f t="array" ref="G198">IFERROR(INDEX('Исходник'!$1:$626,MATCH($A198,'Исходник'!$T:$T,0),MATCH(G$1,'Исходник'!$1:$1,0)))</f>
        <v/>
      </c>
      <c r="H198" s="27">
        <f t="shared" si="1"/>
        <v>0</v>
      </c>
      <c r="I198" s="27" t="str">
        <f t="shared" si="2"/>
        <v/>
      </c>
      <c r="J198" s="1" t="str">
        <f t="array" ref="J198">IFERROR(INDEX('Исходник'!$1:$626,MATCH($A198,'Исходник'!$T:$T,0),MATCH(J$1,'Исходник'!$1:$1,0)))</f>
        <v/>
      </c>
      <c r="K198" s="27" t="str">
        <f t="shared" si="3"/>
        <v/>
      </c>
      <c r="L198" s="1" t="str">
        <f t="array" ref="L198">IFERROR(INDEX('Исходник'!$1:$626,MATCH($A198,'Исходник'!$T:$T,0),MATCH(L$1,'Исходник'!$1:$1,0)))</f>
        <v/>
      </c>
      <c r="M198" s="28">
        <f t="shared" si="4"/>
        <v>0</v>
      </c>
      <c r="N198" s="1" t="str">
        <f t="array" ref="N198">IFERROR(INDEX('Исходник'!$1:$626,MATCH($A198,'Исходник'!$T:$T,0),MATCH(N$1,'Исходник'!$1:$1,0)))</f>
        <v/>
      </c>
      <c r="O198" s="27">
        <f t="shared" si="5"/>
        <v>0</v>
      </c>
      <c r="P198" s="27" t="str">
        <f t="shared" si="6"/>
        <v/>
      </c>
      <c r="Q198" s="1" t="str">
        <f t="array" ref="Q198">IFERROR(INDEX('Исходник'!$1:$626,MATCH($A198,'Исходник'!$T:$T,0),MATCH(Q$1,'Исходник'!$1:$1,0)))</f>
        <v/>
      </c>
      <c r="R198" s="1" t="str">
        <f t="array" ref="R198">IFERROR(INDEX('Исходник'!$1:$626,MATCH($A198,'Исходник'!$T:$T,0),MATCH(R$1,'Исходник'!$1:$1,0)))</f>
        <v/>
      </c>
      <c r="S198" s="27">
        <f t="shared" si="7"/>
        <v>0</v>
      </c>
      <c r="T198" s="27" t="str">
        <f t="shared" si="8"/>
        <v/>
      </c>
      <c r="U198" s="1" t="str">
        <f t="array" ref="U198">IFERROR(INDEX('Исходник'!$1:$626,MATCH($A198,'Исходник'!$T:$T,0),MATCH(U$1,'Исходник'!$1:$1,0)))</f>
        <v/>
      </c>
      <c r="V198" s="27" t="str">
        <f t="shared" si="9"/>
        <v/>
      </c>
      <c r="W198" s="1" t="str">
        <f t="array" ref="W198">IFERROR(INDEX('Исходник'!$1:$626,MATCH($A198,'Исходник'!$T:$T,0),MATCH(W$1,'Исходник'!$1:$1,0)))</f>
        <v/>
      </c>
      <c r="X198" s="28">
        <f t="shared" si="10"/>
        <v>0</v>
      </c>
      <c r="Y198" s="1" t="str">
        <f t="array" ref="Y198">IFERROR(INDEX('Исходник'!$1:$626,MATCH($A198,'Исходник'!$T:$T,0),MATCH(Y$1,'Исходник'!$1:$1,0)))</f>
        <v/>
      </c>
      <c r="Z198" s="27">
        <f t="shared" si="11"/>
        <v>0</v>
      </c>
      <c r="AA198" s="27" t="str">
        <f t="shared" si="12"/>
        <v/>
      </c>
      <c r="AB198" s="1" t="str">
        <f t="array" ref="AB198">IFERROR(INDEX('Исходник'!$1:$626,MATCH($A198,'Исходник'!$T:$T,0),MATCH(AB$1,'Исходник'!$1:$1,0)))</f>
        <v/>
      </c>
      <c r="AC198" s="1" t="str">
        <f t="array" ref="AC198">IFERROR(INDEX('Исходник'!$1:$626,MATCH($A198,'Исходник'!$T:$T,0),MATCH(AC$1,'Исходник'!$1:$1,0)))</f>
        <v/>
      </c>
      <c r="AD198" s="27" t="str">
        <f t="shared" si="13"/>
        <v/>
      </c>
      <c r="AE198" s="1" t="str">
        <f t="array" ref="AE198">IFERROR(INDEX('Исходник'!$1:$626,MATCH($A198,'Исходник'!$T:$T,0),MATCH(AE$1,'Исходник'!$1:$1,0)))</f>
        <v/>
      </c>
      <c r="AF198" s="1" t="str">
        <f t="array" ref="AF198">IFERROR(INDEX('Исходник'!$1:$626,MATCH($A198,'Исходник'!$T:$T,0),MATCH(AF$1,'Исходник'!$1:$1,0)))</f>
        <v/>
      </c>
      <c r="AG198" s="27" t="str">
        <f t="shared" si="14"/>
        <v/>
      </c>
      <c r="AH198" s="1" t="str">
        <f t="array" ref="AH198">IFERROR(INDEX('Исходник'!$1:$626,MATCH($A198,'Исходник'!$T:$T,0),MATCH(AH$1,'Исходник'!$1:$1,0)))</f>
        <v/>
      </c>
      <c r="AI198" s="1" t="str">
        <f t="array" ref="AI198">IFERROR(INDEX('Исходник'!$1:$626,MATCH($A198,'Исходник'!$T:$T,0),MATCH(AI$1,'Исходник'!$1:$1,0)))</f>
        <v/>
      </c>
      <c r="AJ198" s="18">
        <f t="shared" si="15"/>
        <v>0</v>
      </c>
    </row>
    <row r="199" ht="15.75" customHeight="1">
      <c r="A199" s="27"/>
      <c r="B199" s="1" t="str">
        <f t="array" ref="B199">IFERROR(INDEX('Исходник'!$1:$626,MATCH($A199,'Исходник'!$T:$T,0),MATCH(B$1,'Исходник'!$1:$1,0)))</f>
        <v/>
      </c>
      <c r="C199" s="1" t="str">
        <f t="array" ref="C199">IFERROR(INDEX('Исходник'!$1:$626,MATCH($A199,'Исходник'!$T:$T,0),MATCH(C$1,'Исходник'!$1:$1,0)))</f>
        <v/>
      </c>
      <c r="D199" s="1" t="str">
        <f t="array" ref="D199">IFERROR(INDEX('Исходник'!$1:$626,MATCH($A199,'Исходник'!$T:$T,0),MATCH(D$1,'Исходник'!$1:$1,0)))</f>
        <v/>
      </c>
      <c r="E199" s="1" t="str">
        <f t="array" ref="E199">IFERROR(INDEX('Исходник'!$1:$626,MATCH($A199,'Исходник'!$T:$T,0),MATCH(E$1,'Исходник'!$1:$1,0)))</f>
        <v/>
      </c>
      <c r="F199" s="1" t="str">
        <f t="array" ref="F199">IFERROR(INDEX('Исходник'!$1:$626,MATCH($A199,'Исходник'!$T:$T,0),MATCH(F$1,'Исходник'!$1:$1,0)))</f>
        <v/>
      </c>
      <c r="G199" s="1" t="str">
        <f t="array" ref="G199">IFERROR(INDEX('Исходник'!$1:$626,MATCH($A199,'Исходник'!$T:$T,0),MATCH(G$1,'Исходник'!$1:$1,0)))</f>
        <v/>
      </c>
      <c r="H199" s="27">
        <f t="shared" si="1"/>
        <v>0</v>
      </c>
      <c r="I199" s="27" t="str">
        <f t="shared" si="2"/>
        <v/>
      </c>
      <c r="J199" s="1" t="str">
        <f t="array" ref="J199">IFERROR(INDEX('Исходник'!$1:$626,MATCH($A199,'Исходник'!$T:$T,0),MATCH(J$1,'Исходник'!$1:$1,0)))</f>
        <v/>
      </c>
      <c r="K199" s="27" t="str">
        <f t="shared" si="3"/>
        <v/>
      </c>
      <c r="L199" s="1" t="str">
        <f t="array" ref="L199">IFERROR(INDEX('Исходник'!$1:$626,MATCH($A199,'Исходник'!$T:$T,0),MATCH(L$1,'Исходник'!$1:$1,0)))</f>
        <v/>
      </c>
      <c r="M199" s="28">
        <f t="shared" si="4"/>
        <v>0</v>
      </c>
      <c r="N199" s="1" t="str">
        <f t="array" ref="N199">IFERROR(INDEX('Исходник'!$1:$626,MATCH($A199,'Исходник'!$T:$T,0),MATCH(N$1,'Исходник'!$1:$1,0)))</f>
        <v/>
      </c>
      <c r="O199" s="27">
        <f t="shared" si="5"/>
        <v>0</v>
      </c>
      <c r="P199" s="27" t="str">
        <f t="shared" si="6"/>
        <v/>
      </c>
      <c r="Q199" s="1" t="str">
        <f t="array" ref="Q199">IFERROR(INDEX('Исходник'!$1:$626,MATCH($A199,'Исходник'!$T:$T,0),MATCH(Q$1,'Исходник'!$1:$1,0)))</f>
        <v/>
      </c>
      <c r="R199" s="1" t="str">
        <f t="array" ref="R199">IFERROR(INDEX('Исходник'!$1:$626,MATCH($A199,'Исходник'!$T:$T,0),MATCH(R$1,'Исходник'!$1:$1,0)))</f>
        <v/>
      </c>
      <c r="S199" s="27">
        <f t="shared" si="7"/>
        <v>0</v>
      </c>
      <c r="T199" s="27" t="str">
        <f t="shared" si="8"/>
        <v/>
      </c>
      <c r="U199" s="1" t="str">
        <f t="array" ref="U199">IFERROR(INDEX('Исходник'!$1:$626,MATCH($A199,'Исходник'!$T:$T,0),MATCH(U$1,'Исходник'!$1:$1,0)))</f>
        <v/>
      </c>
      <c r="V199" s="27" t="str">
        <f t="shared" si="9"/>
        <v/>
      </c>
      <c r="W199" s="1" t="str">
        <f t="array" ref="W199">IFERROR(INDEX('Исходник'!$1:$626,MATCH($A199,'Исходник'!$T:$T,0),MATCH(W$1,'Исходник'!$1:$1,0)))</f>
        <v/>
      </c>
      <c r="X199" s="28">
        <f t="shared" si="10"/>
        <v>0</v>
      </c>
      <c r="Y199" s="1" t="str">
        <f t="array" ref="Y199">IFERROR(INDEX('Исходник'!$1:$626,MATCH($A199,'Исходник'!$T:$T,0),MATCH(Y$1,'Исходник'!$1:$1,0)))</f>
        <v/>
      </c>
      <c r="Z199" s="27">
        <f t="shared" si="11"/>
        <v>0</v>
      </c>
      <c r="AA199" s="27" t="str">
        <f t="shared" si="12"/>
        <v/>
      </c>
      <c r="AB199" s="1" t="str">
        <f t="array" ref="AB199">IFERROR(INDEX('Исходник'!$1:$626,MATCH($A199,'Исходник'!$T:$T,0),MATCH(AB$1,'Исходник'!$1:$1,0)))</f>
        <v/>
      </c>
      <c r="AC199" s="1" t="str">
        <f t="array" ref="AC199">IFERROR(INDEX('Исходник'!$1:$626,MATCH($A199,'Исходник'!$T:$T,0),MATCH(AC$1,'Исходник'!$1:$1,0)))</f>
        <v/>
      </c>
      <c r="AD199" s="27" t="str">
        <f t="shared" si="13"/>
        <v/>
      </c>
      <c r="AE199" s="1" t="str">
        <f t="array" ref="AE199">IFERROR(INDEX('Исходник'!$1:$626,MATCH($A199,'Исходник'!$T:$T,0),MATCH(AE$1,'Исходник'!$1:$1,0)))</f>
        <v/>
      </c>
      <c r="AF199" s="1" t="str">
        <f t="array" ref="AF199">IFERROR(INDEX('Исходник'!$1:$626,MATCH($A199,'Исходник'!$T:$T,0),MATCH(AF$1,'Исходник'!$1:$1,0)))</f>
        <v/>
      </c>
      <c r="AG199" s="27" t="str">
        <f t="shared" si="14"/>
        <v/>
      </c>
      <c r="AH199" s="1" t="str">
        <f t="array" ref="AH199">IFERROR(INDEX('Исходник'!$1:$626,MATCH($A199,'Исходник'!$T:$T,0),MATCH(AH$1,'Исходник'!$1:$1,0)))</f>
        <v/>
      </c>
      <c r="AI199" s="1" t="str">
        <f t="array" ref="AI199">IFERROR(INDEX('Исходник'!$1:$626,MATCH($A199,'Исходник'!$T:$T,0),MATCH(AI$1,'Исходник'!$1:$1,0)))</f>
        <v/>
      </c>
      <c r="AJ199" s="18">
        <f t="shared" si="15"/>
        <v>0</v>
      </c>
    </row>
    <row r="200" ht="15.75" customHeight="1">
      <c r="A200" s="27"/>
      <c r="B200" s="1" t="str">
        <f t="array" ref="B200">IFERROR(INDEX('Исходник'!$1:$626,MATCH($A200,'Исходник'!$T:$T,0),MATCH(B$1,'Исходник'!$1:$1,0)))</f>
        <v/>
      </c>
      <c r="C200" s="1" t="str">
        <f t="array" ref="C200">IFERROR(INDEX('Исходник'!$1:$626,MATCH($A200,'Исходник'!$T:$T,0),MATCH(C$1,'Исходник'!$1:$1,0)))</f>
        <v/>
      </c>
      <c r="D200" s="1" t="str">
        <f t="array" ref="D200">IFERROR(INDEX('Исходник'!$1:$626,MATCH($A200,'Исходник'!$T:$T,0),MATCH(D$1,'Исходник'!$1:$1,0)))</f>
        <v/>
      </c>
      <c r="E200" s="1" t="str">
        <f t="array" ref="E200">IFERROR(INDEX('Исходник'!$1:$626,MATCH($A200,'Исходник'!$T:$T,0),MATCH(E$1,'Исходник'!$1:$1,0)))</f>
        <v/>
      </c>
      <c r="F200" s="1" t="str">
        <f t="array" ref="F200">IFERROR(INDEX('Исходник'!$1:$626,MATCH($A200,'Исходник'!$T:$T,0),MATCH(F$1,'Исходник'!$1:$1,0)))</f>
        <v/>
      </c>
      <c r="G200" s="1" t="str">
        <f t="array" ref="G200">IFERROR(INDEX('Исходник'!$1:$626,MATCH($A200,'Исходник'!$T:$T,0),MATCH(G$1,'Исходник'!$1:$1,0)))</f>
        <v/>
      </c>
      <c r="H200" s="27">
        <f t="shared" si="1"/>
        <v>0</v>
      </c>
      <c r="I200" s="27" t="str">
        <f t="shared" si="2"/>
        <v/>
      </c>
      <c r="J200" s="1" t="str">
        <f t="array" ref="J200">IFERROR(INDEX('Исходник'!$1:$626,MATCH($A200,'Исходник'!$T:$T,0),MATCH(J$1,'Исходник'!$1:$1,0)))</f>
        <v/>
      </c>
      <c r="K200" s="27" t="str">
        <f t="shared" si="3"/>
        <v/>
      </c>
      <c r="L200" s="1" t="str">
        <f t="array" ref="L200">IFERROR(INDEX('Исходник'!$1:$626,MATCH($A200,'Исходник'!$T:$T,0),MATCH(L$1,'Исходник'!$1:$1,0)))</f>
        <v/>
      </c>
      <c r="M200" s="28">
        <f t="shared" si="4"/>
        <v>0</v>
      </c>
      <c r="N200" s="1" t="str">
        <f t="array" ref="N200">IFERROR(INDEX('Исходник'!$1:$626,MATCH($A200,'Исходник'!$T:$T,0),MATCH(N$1,'Исходник'!$1:$1,0)))</f>
        <v/>
      </c>
      <c r="O200" s="27">
        <f t="shared" si="5"/>
        <v>0</v>
      </c>
      <c r="P200" s="27" t="str">
        <f t="shared" si="6"/>
        <v/>
      </c>
      <c r="Q200" s="1" t="str">
        <f t="array" ref="Q200">IFERROR(INDEX('Исходник'!$1:$626,MATCH($A200,'Исходник'!$T:$T,0),MATCH(Q$1,'Исходник'!$1:$1,0)))</f>
        <v/>
      </c>
      <c r="R200" s="1" t="str">
        <f t="array" ref="R200">IFERROR(INDEX('Исходник'!$1:$626,MATCH($A200,'Исходник'!$T:$T,0),MATCH(R$1,'Исходник'!$1:$1,0)))</f>
        <v/>
      </c>
      <c r="S200" s="27">
        <f t="shared" si="7"/>
        <v>0</v>
      </c>
      <c r="T200" s="27" t="str">
        <f t="shared" si="8"/>
        <v/>
      </c>
      <c r="U200" s="1" t="str">
        <f t="array" ref="U200">IFERROR(INDEX('Исходник'!$1:$626,MATCH($A200,'Исходник'!$T:$T,0),MATCH(U$1,'Исходник'!$1:$1,0)))</f>
        <v/>
      </c>
      <c r="V200" s="27" t="str">
        <f t="shared" si="9"/>
        <v/>
      </c>
      <c r="W200" s="1" t="str">
        <f t="array" ref="W200">IFERROR(INDEX('Исходник'!$1:$626,MATCH($A200,'Исходник'!$T:$T,0),MATCH(W$1,'Исходник'!$1:$1,0)))</f>
        <v/>
      </c>
      <c r="X200" s="28">
        <f t="shared" si="10"/>
        <v>0</v>
      </c>
      <c r="Y200" s="1" t="str">
        <f t="array" ref="Y200">IFERROR(INDEX('Исходник'!$1:$626,MATCH($A200,'Исходник'!$T:$T,0),MATCH(Y$1,'Исходник'!$1:$1,0)))</f>
        <v/>
      </c>
      <c r="Z200" s="27">
        <f t="shared" si="11"/>
        <v>0</v>
      </c>
      <c r="AA200" s="27" t="str">
        <f t="shared" si="12"/>
        <v/>
      </c>
      <c r="AB200" s="1" t="str">
        <f t="array" ref="AB200">IFERROR(INDEX('Исходник'!$1:$626,MATCH($A200,'Исходник'!$T:$T,0),MATCH(AB$1,'Исходник'!$1:$1,0)))</f>
        <v/>
      </c>
      <c r="AC200" s="1" t="str">
        <f t="array" ref="AC200">IFERROR(INDEX('Исходник'!$1:$626,MATCH($A200,'Исходник'!$T:$T,0),MATCH(AC$1,'Исходник'!$1:$1,0)))</f>
        <v/>
      </c>
      <c r="AD200" s="27" t="str">
        <f t="shared" si="13"/>
        <v/>
      </c>
      <c r="AE200" s="1" t="str">
        <f t="array" ref="AE200">IFERROR(INDEX('Исходник'!$1:$626,MATCH($A200,'Исходник'!$T:$T,0),MATCH(AE$1,'Исходник'!$1:$1,0)))</f>
        <v/>
      </c>
      <c r="AF200" s="1" t="str">
        <f t="array" ref="AF200">IFERROR(INDEX('Исходник'!$1:$626,MATCH($A200,'Исходник'!$T:$T,0),MATCH(AF$1,'Исходник'!$1:$1,0)))</f>
        <v/>
      </c>
      <c r="AG200" s="27" t="str">
        <f t="shared" si="14"/>
        <v/>
      </c>
      <c r="AH200" s="1" t="str">
        <f t="array" ref="AH200">IFERROR(INDEX('Исходник'!$1:$626,MATCH($A200,'Исходник'!$T:$T,0),MATCH(AH$1,'Исходник'!$1:$1,0)))</f>
        <v/>
      </c>
      <c r="AI200" s="1" t="str">
        <f t="array" ref="AI200">IFERROR(INDEX('Исходник'!$1:$626,MATCH($A200,'Исходник'!$T:$T,0),MATCH(AI$1,'Исходник'!$1:$1,0)))</f>
        <v/>
      </c>
      <c r="AJ200" s="18">
        <f t="shared" si="15"/>
        <v>0</v>
      </c>
    </row>
    <row r="201" ht="15.75" customHeight="1">
      <c r="A201" s="27"/>
      <c r="B201" s="1" t="str">
        <f t="array" ref="B201">IFERROR(INDEX('Исходник'!$1:$626,MATCH($A201,'Исходник'!$T:$T,0),MATCH(B$1,'Исходник'!$1:$1,0)))</f>
        <v/>
      </c>
      <c r="C201" s="1" t="str">
        <f t="array" ref="C201">IFERROR(INDEX('Исходник'!$1:$626,MATCH($A201,'Исходник'!$T:$T,0),MATCH(C$1,'Исходник'!$1:$1,0)))</f>
        <v/>
      </c>
      <c r="D201" s="1" t="str">
        <f t="array" ref="D201">IFERROR(INDEX('Исходник'!$1:$626,MATCH($A201,'Исходник'!$T:$T,0),MATCH(D$1,'Исходник'!$1:$1,0)))</f>
        <v/>
      </c>
      <c r="E201" s="1" t="str">
        <f t="array" ref="E201">IFERROR(INDEX('Исходник'!$1:$626,MATCH($A201,'Исходник'!$T:$T,0),MATCH(E$1,'Исходник'!$1:$1,0)))</f>
        <v/>
      </c>
      <c r="F201" s="1" t="str">
        <f t="array" ref="F201">IFERROR(INDEX('Исходник'!$1:$626,MATCH($A201,'Исходник'!$T:$T,0),MATCH(F$1,'Исходник'!$1:$1,0)))</f>
        <v/>
      </c>
      <c r="G201" s="1" t="str">
        <f t="array" ref="G201">IFERROR(INDEX('Исходник'!$1:$626,MATCH($A201,'Исходник'!$T:$T,0),MATCH(G$1,'Исходник'!$1:$1,0)))</f>
        <v/>
      </c>
      <c r="H201" s="27">
        <f t="shared" si="1"/>
        <v>0</v>
      </c>
      <c r="I201" s="27" t="str">
        <f t="shared" si="2"/>
        <v/>
      </c>
      <c r="J201" s="1" t="str">
        <f t="array" ref="J201">IFERROR(INDEX('Исходник'!$1:$626,MATCH($A201,'Исходник'!$T:$T,0),MATCH(J$1,'Исходник'!$1:$1,0)))</f>
        <v/>
      </c>
      <c r="K201" s="27" t="str">
        <f t="shared" si="3"/>
        <v/>
      </c>
      <c r="L201" s="1" t="str">
        <f t="array" ref="L201">IFERROR(INDEX('Исходник'!$1:$626,MATCH($A201,'Исходник'!$T:$T,0),MATCH(L$1,'Исходник'!$1:$1,0)))</f>
        <v/>
      </c>
      <c r="M201" s="28">
        <f t="shared" si="4"/>
        <v>0</v>
      </c>
      <c r="N201" s="1" t="str">
        <f t="array" ref="N201">IFERROR(INDEX('Исходник'!$1:$626,MATCH($A201,'Исходник'!$T:$T,0),MATCH(N$1,'Исходник'!$1:$1,0)))</f>
        <v/>
      </c>
      <c r="O201" s="27">
        <f t="shared" si="5"/>
        <v>0</v>
      </c>
      <c r="P201" s="27" t="str">
        <f t="shared" si="6"/>
        <v/>
      </c>
      <c r="Q201" s="1" t="str">
        <f t="array" ref="Q201">IFERROR(INDEX('Исходник'!$1:$626,MATCH($A201,'Исходник'!$T:$T,0),MATCH(Q$1,'Исходник'!$1:$1,0)))</f>
        <v/>
      </c>
      <c r="R201" s="1" t="str">
        <f t="array" ref="R201">IFERROR(INDEX('Исходник'!$1:$626,MATCH($A201,'Исходник'!$T:$T,0),MATCH(R$1,'Исходник'!$1:$1,0)))</f>
        <v/>
      </c>
      <c r="S201" s="27">
        <f t="shared" si="7"/>
        <v>0</v>
      </c>
      <c r="T201" s="27" t="str">
        <f t="shared" si="8"/>
        <v/>
      </c>
      <c r="U201" s="1" t="str">
        <f t="array" ref="U201">IFERROR(INDEX('Исходник'!$1:$626,MATCH($A201,'Исходник'!$T:$T,0),MATCH(U$1,'Исходник'!$1:$1,0)))</f>
        <v/>
      </c>
      <c r="V201" s="27" t="str">
        <f t="shared" si="9"/>
        <v/>
      </c>
      <c r="W201" s="1" t="str">
        <f t="array" ref="W201">IFERROR(INDEX('Исходник'!$1:$626,MATCH($A201,'Исходник'!$T:$T,0),MATCH(W$1,'Исходник'!$1:$1,0)))</f>
        <v/>
      </c>
      <c r="X201" s="28">
        <f t="shared" si="10"/>
        <v>0</v>
      </c>
      <c r="Y201" s="1" t="str">
        <f t="array" ref="Y201">IFERROR(INDEX('Исходник'!$1:$626,MATCH($A201,'Исходник'!$T:$T,0),MATCH(Y$1,'Исходник'!$1:$1,0)))</f>
        <v/>
      </c>
      <c r="Z201" s="27">
        <f t="shared" si="11"/>
        <v>0</v>
      </c>
      <c r="AA201" s="27" t="str">
        <f t="shared" si="12"/>
        <v/>
      </c>
      <c r="AB201" s="1" t="str">
        <f t="array" ref="AB201">IFERROR(INDEX('Исходник'!$1:$626,MATCH($A201,'Исходник'!$T:$T,0),MATCH(AB$1,'Исходник'!$1:$1,0)))</f>
        <v/>
      </c>
      <c r="AC201" s="1" t="str">
        <f t="array" ref="AC201">IFERROR(INDEX('Исходник'!$1:$626,MATCH($A201,'Исходник'!$T:$T,0),MATCH(AC$1,'Исходник'!$1:$1,0)))</f>
        <v/>
      </c>
      <c r="AD201" s="27" t="str">
        <f t="shared" si="13"/>
        <v/>
      </c>
      <c r="AE201" s="1" t="str">
        <f t="array" ref="AE201">IFERROR(INDEX('Исходник'!$1:$626,MATCH($A201,'Исходник'!$T:$T,0),MATCH(AE$1,'Исходник'!$1:$1,0)))</f>
        <v/>
      </c>
      <c r="AF201" s="1" t="str">
        <f t="array" ref="AF201">IFERROR(INDEX('Исходник'!$1:$626,MATCH($A201,'Исходник'!$T:$T,0),MATCH(AF$1,'Исходник'!$1:$1,0)))</f>
        <v/>
      </c>
      <c r="AG201" s="27" t="str">
        <f t="shared" si="14"/>
        <v/>
      </c>
      <c r="AH201" s="1" t="str">
        <f t="array" ref="AH201">IFERROR(INDEX('Исходник'!$1:$626,MATCH($A201,'Исходник'!$T:$T,0),MATCH(AH$1,'Исходник'!$1:$1,0)))</f>
        <v/>
      </c>
      <c r="AI201" s="1" t="str">
        <f t="array" ref="AI201">IFERROR(INDEX('Исходник'!$1:$626,MATCH($A201,'Исходник'!$T:$T,0),MATCH(AI$1,'Исходник'!$1:$1,0)))</f>
        <v/>
      </c>
      <c r="AJ201" s="18">
        <f t="shared" si="15"/>
        <v>0</v>
      </c>
    </row>
    <row r="202" ht="15.75" customHeight="1">
      <c r="A202" s="27"/>
      <c r="B202" s="1" t="str">
        <f t="array" ref="B202">IFERROR(INDEX('Исходник'!$1:$626,MATCH($A202,'Исходник'!$T:$T,0),MATCH(B$1,'Исходник'!$1:$1,0)))</f>
        <v/>
      </c>
      <c r="C202" s="1" t="str">
        <f t="array" ref="C202">IFERROR(INDEX('Исходник'!$1:$626,MATCH($A202,'Исходник'!$T:$T,0),MATCH(C$1,'Исходник'!$1:$1,0)))</f>
        <v/>
      </c>
      <c r="D202" s="1" t="str">
        <f t="array" ref="D202">IFERROR(INDEX('Исходник'!$1:$626,MATCH($A202,'Исходник'!$T:$T,0),MATCH(D$1,'Исходник'!$1:$1,0)))</f>
        <v/>
      </c>
      <c r="E202" s="1" t="str">
        <f t="array" ref="E202">IFERROR(INDEX('Исходник'!$1:$626,MATCH($A202,'Исходник'!$T:$T,0),MATCH(E$1,'Исходник'!$1:$1,0)))</f>
        <v/>
      </c>
      <c r="F202" s="1" t="str">
        <f t="array" ref="F202">IFERROR(INDEX('Исходник'!$1:$626,MATCH($A202,'Исходник'!$T:$T,0),MATCH(F$1,'Исходник'!$1:$1,0)))</f>
        <v/>
      </c>
      <c r="G202" s="1" t="str">
        <f t="array" ref="G202">IFERROR(INDEX('Исходник'!$1:$626,MATCH($A202,'Исходник'!$T:$T,0),MATCH(G$1,'Исходник'!$1:$1,0)))</f>
        <v/>
      </c>
      <c r="H202" s="27">
        <f t="shared" si="1"/>
        <v>0</v>
      </c>
      <c r="I202" s="27" t="str">
        <f t="shared" si="2"/>
        <v/>
      </c>
      <c r="J202" s="1" t="str">
        <f t="array" ref="J202">IFERROR(INDEX('Исходник'!$1:$626,MATCH($A202,'Исходник'!$T:$T,0),MATCH(J$1,'Исходник'!$1:$1,0)))</f>
        <v/>
      </c>
      <c r="K202" s="27" t="str">
        <f t="shared" si="3"/>
        <v/>
      </c>
      <c r="L202" s="1" t="str">
        <f t="array" ref="L202">IFERROR(INDEX('Исходник'!$1:$626,MATCH($A202,'Исходник'!$T:$T,0),MATCH(L$1,'Исходник'!$1:$1,0)))</f>
        <v/>
      </c>
      <c r="M202" s="28">
        <f t="shared" si="4"/>
        <v>0</v>
      </c>
      <c r="N202" s="1" t="str">
        <f t="array" ref="N202">IFERROR(INDEX('Исходник'!$1:$626,MATCH($A202,'Исходник'!$T:$T,0),MATCH(N$1,'Исходник'!$1:$1,0)))</f>
        <v/>
      </c>
      <c r="O202" s="27">
        <f t="shared" si="5"/>
        <v>0</v>
      </c>
      <c r="P202" s="27" t="str">
        <f t="shared" si="6"/>
        <v/>
      </c>
      <c r="Q202" s="1" t="str">
        <f t="array" ref="Q202">IFERROR(INDEX('Исходник'!$1:$626,MATCH($A202,'Исходник'!$T:$T,0),MATCH(Q$1,'Исходник'!$1:$1,0)))</f>
        <v/>
      </c>
      <c r="R202" s="1" t="str">
        <f t="array" ref="R202">IFERROR(INDEX('Исходник'!$1:$626,MATCH($A202,'Исходник'!$T:$T,0),MATCH(R$1,'Исходник'!$1:$1,0)))</f>
        <v/>
      </c>
      <c r="S202" s="27">
        <f t="shared" si="7"/>
        <v>0</v>
      </c>
      <c r="T202" s="27" t="str">
        <f t="shared" si="8"/>
        <v/>
      </c>
      <c r="U202" s="1" t="str">
        <f t="array" ref="U202">IFERROR(INDEX('Исходник'!$1:$626,MATCH($A202,'Исходник'!$T:$T,0),MATCH(U$1,'Исходник'!$1:$1,0)))</f>
        <v/>
      </c>
      <c r="V202" s="27" t="str">
        <f t="shared" si="9"/>
        <v/>
      </c>
      <c r="W202" s="1" t="str">
        <f t="array" ref="W202">IFERROR(INDEX('Исходник'!$1:$626,MATCH($A202,'Исходник'!$T:$T,0),MATCH(W$1,'Исходник'!$1:$1,0)))</f>
        <v/>
      </c>
      <c r="X202" s="28">
        <f t="shared" si="10"/>
        <v>0</v>
      </c>
      <c r="Y202" s="1" t="str">
        <f t="array" ref="Y202">IFERROR(INDEX('Исходник'!$1:$626,MATCH($A202,'Исходник'!$T:$T,0),MATCH(Y$1,'Исходник'!$1:$1,0)))</f>
        <v/>
      </c>
      <c r="Z202" s="27">
        <f t="shared" si="11"/>
        <v>0</v>
      </c>
      <c r="AA202" s="27" t="str">
        <f t="shared" si="12"/>
        <v/>
      </c>
      <c r="AB202" s="1" t="str">
        <f t="array" ref="AB202">IFERROR(INDEX('Исходник'!$1:$626,MATCH($A202,'Исходник'!$T:$T,0),MATCH(AB$1,'Исходник'!$1:$1,0)))</f>
        <v/>
      </c>
      <c r="AC202" s="1" t="str">
        <f t="array" ref="AC202">IFERROR(INDEX('Исходник'!$1:$626,MATCH($A202,'Исходник'!$T:$T,0),MATCH(AC$1,'Исходник'!$1:$1,0)))</f>
        <v/>
      </c>
      <c r="AD202" s="27" t="str">
        <f t="shared" si="13"/>
        <v/>
      </c>
      <c r="AE202" s="1" t="str">
        <f t="array" ref="AE202">IFERROR(INDEX('Исходник'!$1:$626,MATCH($A202,'Исходник'!$T:$T,0),MATCH(AE$1,'Исходник'!$1:$1,0)))</f>
        <v/>
      </c>
      <c r="AF202" s="1" t="str">
        <f t="array" ref="AF202">IFERROR(INDEX('Исходник'!$1:$626,MATCH($A202,'Исходник'!$T:$T,0),MATCH(AF$1,'Исходник'!$1:$1,0)))</f>
        <v/>
      </c>
      <c r="AG202" s="27" t="str">
        <f t="shared" si="14"/>
        <v/>
      </c>
      <c r="AH202" s="1" t="str">
        <f t="array" ref="AH202">IFERROR(INDEX('Исходник'!$1:$626,MATCH($A202,'Исходник'!$T:$T,0),MATCH(AH$1,'Исходник'!$1:$1,0)))</f>
        <v/>
      </c>
      <c r="AI202" s="1" t="str">
        <f t="array" ref="AI202">IFERROR(INDEX('Исходник'!$1:$626,MATCH($A202,'Исходник'!$T:$T,0),MATCH(AI$1,'Исходник'!$1:$1,0)))</f>
        <v/>
      </c>
      <c r="AJ202" s="18">
        <f t="shared" si="15"/>
        <v>0</v>
      </c>
    </row>
    <row r="203" ht="15.75" customHeight="1">
      <c r="A203" s="27"/>
      <c r="B203" s="1" t="str">
        <f t="array" ref="B203">IFERROR(INDEX('Исходник'!$1:$626,MATCH($A203,'Исходник'!$T:$T,0),MATCH(B$1,'Исходник'!$1:$1,0)))</f>
        <v/>
      </c>
      <c r="C203" s="1" t="str">
        <f t="array" ref="C203">IFERROR(INDEX('Исходник'!$1:$626,MATCH($A203,'Исходник'!$T:$T,0),MATCH(C$1,'Исходник'!$1:$1,0)))</f>
        <v/>
      </c>
      <c r="D203" s="1" t="str">
        <f t="array" ref="D203">IFERROR(INDEX('Исходник'!$1:$626,MATCH($A203,'Исходник'!$T:$T,0),MATCH(D$1,'Исходник'!$1:$1,0)))</f>
        <v/>
      </c>
      <c r="E203" s="1" t="str">
        <f t="array" ref="E203">IFERROR(INDEX('Исходник'!$1:$626,MATCH($A203,'Исходник'!$T:$T,0),MATCH(E$1,'Исходник'!$1:$1,0)))</f>
        <v/>
      </c>
      <c r="F203" s="1" t="str">
        <f t="array" ref="F203">IFERROR(INDEX('Исходник'!$1:$626,MATCH($A203,'Исходник'!$T:$T,0),MATCH(F$1,'Исходник'!$1:$1,0)))</f>
        <v/>
      </c>
      <c r="G203" s="1" t="str">
        <f t="array" ref="G203">IFERROR(INDEX('Исходник'!$1:$626,MATCH($A203,'Исходник'!$T:$T,0),MATCH(G$1,'Исходник'!$1:$1,0)))</f>
        <v/>
      </c>
      <c r="H203" s="27">
        <f t="shared" si="1"/>
        <v>0</v>
      </c>
      <c r="I203" s="27" t="str">
        <f t="shared" si="2"/>
        <v/>
      </c>
      <c r="J203" s="1" t="str">
        <f t="array" ref="J203">IFERROR(INDEX('Исходник'!$1:$626,MATCH($A203,'Исходник'!$T:$T,0),MATCH(J$1,'Исходник'!$1:$1,0)))</f>
        <v/>
      </c>
      <c r="K203" s="27" t="str">
        <f t="shared" si="3"/>
        <v/>
      </c>
      <c r="L203" s="1" t="str">
        <f t="array" ref="L203">IFERROR(INDEX('Исходник'!$1:$626,MATCH($A203,'Исходник'!$T:$T,0),MATCH(L$1,'Исходник'!$1:$1,0)))</f>
        <v/>
      </c>
      <c r="M203" s="28">
        <f t="shared" si="4"/>
        <v>0</v>
      </c>
      <c r="N203" s="1" t="str">
        <f t="array" ref="N203">IFERROR(INDEX('Исходник'!$1:$626,MATCH($A203,'Исходник'!$T:$T,0),MATCH(N$1,'Исходник'!$1:$1,0)))</f>
        <v/>
      </c>
      <c r="O203" s="27">
        <f t="shared" si="5"/>
        <v>0</v>
      </c>
      <c r="P203" s="27" t="str">
        <f t="shared" si="6"/>
        <v/>
      </c>
      <c r="Q203" s="1" t="str">
        <f t="array" ref="Q203">IFERROR(INDEX('Исходник'!$1:$626,MATCH($A203,'Исходник'!$T:$T,0),MATCH(Q$1,'Исходник'!$1:$1,0)))</f>
        <v/>
      </c>
      <c r="R203" s="1" t="str">
        <f t="array" ref="R203">IFERROR(INDEX('Исходник'!$1:$626,MATCH($A203,'Исходник'!$T:$T,0),MATCH(R$1,'Исходник'!$1:$1,0)))</f>
        <v/>
      </c>
      <c r="S203" s="27">
        <f t="shared" si="7"/>
        <v>0</v>
      </c>
      <c r="T203" s="27" t="str">
        <f t="shared" si="8"/>
        <v/>
      </c>
      <c r="U203" s="1" t="str">
        <f t="array" ref="U203">IFERROR(INDEX('Исходник'!$1:$626,MATCH($A203,'Исходник'!$T:$T,0),MATCH(U$1,'Исходник'!$1:$1,0)))</f>
        <v/>
      </c>
      <c r="V203" s="27" t="str">
        <f t="shared" si="9"/>
        <v/>
      </c>
      <c r="W203" s="1" t="str">
        <f t="array" ref="W203">IFERROR(INDEX('Исходник'!$1:$626,MATCH($A203,'Исходник'!$T:$T,0),MATCH(W$1,'Исходник'!$1:$1,0)))</f>
        <v/>
      </c>
      <c r="X203" s="28">
        <f t="shared" si="10"/>
        <v>0</v>
      </c>
      <c r="Y203" s="1" t="str">
        <f t="array" ref="Y203">IFERROR(INDEX('Исходник'!$1:$626,MATCH($A203,'Исходник'!$T:$T,0),MATCH(Y$1,'Исходник'!$1:$1,0)))</f>
        <v/>
      </c>
      <c r="Z203" s="27">
        <f t="shared" si="11"/>
        <v>0</v>
      </c>
      <c r="AA203" s="27" t="str">
        <f t="shared" si="12"/>
        <v/>
      </c>
      <c r="AB203" s="1" t="str">
        <f t="array" ref="AB203">IFERROR(INDEX('Исходник'!$1:$626,MATCH($A203,'Исходник'!$T:$T,0),MATCH(AB$1,'Исходник'!$1:$1,0)))</f>
        <v/>
      </c>
      <c r="AC203" s="1" t="str">
        <f t="array" ref="AC203">IFERROR(INDEX('Исходник'!$1:$626,MATCH($A203,'Исходник'!$T:$T,0),MATCH(AC$1,'Исходник'!$1:$1,0)))</f>
        <v/>
      </c>
      <c r="AD203" s="27" t="str">
        <f t="shared" si="13"/>
        <v/>
      </c>
      <c r="AE203" s="1" t="str">
        <f t="array" ref="AE203">IFERROR(INDEX('Исходник'!$1:$626,MATCH($A203,'Исходник'!$T:$T,0),MATCH(AE$1,'Исходник'!$1:$1,0)))</f>
        <v/>
      </c>
      <c r="AF203" s="1" t="str">
        <f t="array" ref="AF203">IFERROR(INDEX('Исходник'!$1:$626,MATCH($A203,'Исходник'!$T:$T,0),MATCH(AF$1,'Исходник'!$1:$1,0)))</f>
        <v/>
      </c>
      <c r="AG203" s="27" t="str">
        <f t="shared" si="14"/>
        <v/>
      </c>
      <c r="AH203" s="1" t="str">
        <f t="array" ref="AH203">IFERROR(INDEX('Исходник'!$1:$626,MATCH($A203,'Исходник'!$T:$T,0),MATCH(AH$1,'Исходник'!$1:$1,0)))</f>
        <v/>
      </c>
      <c r="AI203" s="1" t="str">
        <f t="array" ref="AI203">IFERROR(INDEX('Исходник'!$1:$626,MATCH($A203,'Исходник'!$T:$T,0),MATCH(AI$1,'Исходник'!$1:$1,0)))</f>
        <v/>
      </c>
      <c r="AJ203" s="18">
        <f t="shared" si="15"/>
        <v>0</v>
      </c>
    </row>
    <row r="204" ht="15.75" customHeight="1">
      <c r="A204" s="27"/>
      <c r="B204" s="1" t="str">
        <f t="array" ref="B204">IFERROR(INDEX('Исходник'!$1:$626,MATCH($A204,'Исходник'!$T:$T,0),MATCH(B$1,'Исходник'!$1:$1,0)))</f>
        <v/>
      </c>
      <c r="C204" s="1" t="str">
        <f t="array" ref="C204">IFERROR(INDEX('Исходник'!$1:$626,MATCH($A204,'Исходник'!$T:$T,0),MATCH(C$1,'Исходник'!$1:$1,0)))</f>
        <v/>
      </c>
      <c r="D204" s="1" t="str">
        <f t="array" ref="D204">IFERROR(INDEX('Исходник'!$1:$626,MATCH($A204,'Исходник'!$T:$T,0),MATCH(D$1,'Исходник'!$1:$1,0)))</f>
        <v/>
      </c>
      <c r="E204" s="1" t="str">
        <f t="array" ref="E204">IFERROR(INDEX('Исходник'!$1:$626,MATCH($A204,'Исходник'!$T:$T,0),MATCH(E$1,'Исходник'!$1:$1,0)))</f>
        <v/>
      </c>
      <c r="F204" s="1" t="str">
        <f t="array" ref="F204">IFERROR(INDEX('Исходник'!$1:$626,MATCH($A204,'Исходник'!$T:$T,0),MATCH(F$1,'Исходник'!$1:$1,0)))</f>
        <v/>
      </c>
      <c r="G204" s="1" t="str">
        <f t="array" ref="G204">IFERROR(INDEX('Исходник'!$1:$626,MATCH($A204,'Исходник'!$T:$T,0),MATCH(G$1,'Исходник'!$1:$1,0)))</f>
        <v/>
      </c>
      <c r="H204" s="27">
        <f t="shared" si="1"/>
        <v>0</v>
      </c>
      <c r="I204" s="27" t="str">
        <f t="shared" si="2"/>
        <v/>
      </c>
      <c r="J204" s="1" t="str">
        <f t="array" ref="J204">IFERROR(INDEX('Исходник'!$1:$626,MATCH($A204,'Исходник'!$T:$T,0),MATCH(J$1,'Исходник'!$1:$1,0)))</f>
        <v/>
      </c>
      <c r="K204" s="27" t="str">
        <f t="shared" si="3"/>
        <v/>
      </c>
      <c r="L204" s="1" t="str">
        <f t="array" ref="L204">IFERROR(INDEX('Исходник'!$1:$626,MATCH($A204,'Исходник'!$T:$T,0),MATCH(L$1,'Исходник'!$1:$1,0)))</f>
        <v/>
      </c>
      <c r="M204" s="28">
        <f t="shared" si="4"/>
        <v>0</v>
      </c>
      <c r="N204" s="1" t="str">
        <f t="array" ref="N204">IFERROR(INDEX('Исходник'!$1:$626,MATCH($A204,'Исходник'!$T:$T,0),MATCH(N$1,'Исходник'!$1:$1,0)))</f>
        <v/>
      </c>
      <c r="O204" s="27">
        <f t="shared" si="5"/>
        <v>0</v>
      </c>
      <c r="P204" s="27" t="str">
        <f t="shared" si="6"/>
        <v/>
      </c>
      <c r="Q204" s="1" t="str">
        <f t="array" ref="Q204">IFERROR(INDEX('Исходник'!$1:$626,MATCH($A204,'Исходник'!$T:$T,0),MATCH(Q$1,'Исходник'!$1:$1,0)))</f>
        <v/>
      </c>
      <c r="R204" s="1" t="str">
        <f t="array" ref="R204">IFERROR(INDEX('Исходник'!$1:$626,MATCH($A204,'Исходник'!$T:$T,0),MATCH(R$1,'Исходник'!$1:$1,0)))</f>
        <v/>
      </c>
      <c r="S204" s="27">
        <f t="shared" si="7"/>
        <v>0</v>
      </c>
      <c r="T204" s="27" t="str">
        <f t="shared" si="8"/>
        <v/>
      </c>
      <c r="U204" s="1" t="str">
        <f t="array" ref="U204">IFERROR(INDEX('Исходник'!$1:$626,MATCH($A204,'Исходник'!$T:$T,0),MATCH(U$1,'Исходник'!$1:$1,0)))</f>
        <v/>
      </c>
      <c r="V204" s="27" t="str">
        <f t="shared" si="9"/>
        <v/>
      </c>
      <c r="W204" s="1" t="str">
        <f t="array" ref="W204">IFERROR(INDEX('Исходник'!$1:$626,MATCH($A204,'Исходник'!$T:$T,0),MATCH(W$1,'Исходник'!$1:$1,0)))</f>
        <v/>
      </c>
      <c r="X204" s="28">
        <f t="shared" si="10"/>
        <v>0</v>
      </c>
      <c r="Y204" s="1" t="str">
        <f t="array" ref="Y204">IFERROR(INDEX('Исходник'!$1:$626,MATCH($A204,'Исходник'!$T:$T,0),MATCH(Y$1,'Исходник'!$1:$1,0)))</f>
        <v/>
      </c>
      <c r="Z204" s="27">
        <f t="shared" si="11"/>
        <v>0</v>
      </c>
      <c r="AA204" s="27" t="str">
        <f t="shared" si="12"/>
        <v/>
      </c>
      <c r="AB204" s="1" t="str">
        <f t="array" ref="AB204">IFERROR(INDEX('Исходник'!$1:$626,MATCH($A204,'Исходник'!$T:$T,0),MATCH(AB$1,'Исходник'!$1:$1,0)))</f>
        <v/>
      </c>
      <c r="AC204" s="1" t="str">
        <f t="array" ref="AC204">IFERROR(INDEX('Исходник'!$1:$626,MATCH($A204,'Исходник'!$T:$T,0),MATCH(AC$1,'Исходник'!$1:$1,0)))</f>
        <v/>
      </c>
      <c r="AD204" s="27" t="str">
        <f t="shared" si="13"/>
        <v/>
      </c>
      <c r="AE204" s="1" t="str">
        <f t="array" ref="AE204">IFERROR(INDEX('Исходник'!$1:$626,MATCH($A204,'Исходник'!$T:$T,0),MATCH(AE$1,'Исходник'!$1:$1,0)))</f>
        <v/>
      </c>
      <c r="AF204" s="1" t="str">
        <f t="array" ref="AF204">IFERROR(INDEX('Исходник'!$1:$626,MATCH($A204,'Исходник'!$T:$T,0),MATCH(AF$1,'Исходник'!$1:$1,0)))</f>
        <v/>
      </c>
      <c r="AG204" s="27" t="str">
        <f t="shared" si="14"/>
        <v/>
      </c>
      <c r="AH204" s="1" t="str">
        <f t="array" ref="AH204">IFERROR(INDEX('Исходник'!$1:$626,MATCH($A204,'Исходник'!$T:$T,0),MATCH(AH$1,'Исходник'!$1:$1,0)))</f>
        <v/>
      </c>
      <c r="AI204" s="1" t="str">
        <f t="array" ref="AI204">IFERROR(INDEX('Исходник'!$1:$626,MATCH($A204,'Исходник'!$T:$T,0),MATCH(AI$1,'Исходник'!$1:$1,0)))</f>
        <v/>
      </c>
      <c r="AJ204" s="18">
        <f t="shared" si="15"/>
        <v>0</v>
      </c>
    </row>
    <row r="205" ht="15.75" customHeight="1">
      <c r="A205" s="27"/>
      <c r="B205" s="1" t="str">
        <f t="array" ref="B205">IFERROR(INDEX('Исходник'!$1:$626,MATCH($A205,'Исходник'!$T:$T,0),MATCH(B$1,'Исходник'!$1:$1,0)))</f>
        <v/>
      </c>
      <c r="C205" s="1" t="str">
        <f t="array" ref="C205">IFERROR(INDEX('Исходник'!$1:$626,MATCH($A205,'Исходник'!$T:$T,0),MATCH(C$1,'Исходник'!$1:$1,0)))</f>
        <v/>
      </c>
      <c r="D205" s="1" t="str">
        <f t="array" ref="D205">IFERROR(INDEX('Исходник'!$1:$626,MATCH($A205,'Исходник'!$T:$T,0),MATCH(D$1,'Исходник'!$1:$1,0)))</f>
        <v/>
      </c>
      <c r="E205" s="1" t="str">
        <f t="array" ref="E205">IFERROR(INDEX('Исходник'!$1:$626,MATCH($A205,'Исходник'!$T:$T,0),MATCH(E$1,'Исходник'!$1:$1,0)))</f>
        <v/>
      </c>
      <c r="F205" s="1" t="str">
        <f t="array" ref="F205">IFERROR(INDEX('Исходник'!$1:$626,MATCH($A205,'Исходник'!$T:$T,0),MATCH(F$1,'Исходник'!$1:$1,0)))</f>
        <v/>
      </c>
      <c r="G205" s="1" t="str">
        <f t="array" ref="G205">IFERROR(INDEX('Исходник'!$1:$626,MATCH($A205,'Исходник'!$T:$T,0),MATCH(G$1,'Исходник'!$1:$1,0)))</f>
        <v/>
      </c>
      <c r="H205" s="27">
        <f t="shared" si="1"/>
        <v>0</v>
      </c>
      <c r="I205" s="27" t="str">
        <f t="shared" si="2"/>
        <v/>
      </c>
      <c r="J205" s="1" t="str">
        <f t="array" ref="J205">IFERROR(INDEX('Исходник'!$1:$626,MATCH($A205,'Исходник'!$T:$T,0),MATCH(J$1,'Исходник'!$1:$1,0)))</f>
        <v/>
      </c>
      <c r="K205" s="27" t="str">
        <f t="shared" si="3"/>
        <v/>
      </c>
      <c r="L205" s="1" t="str">
        <f t="array" ref="L205">IFERROR(INDEX('Исходник'!$1:$626,MATCH($A205,'Исходник'!$T:$T,0),MATCH(L$1,'Исходник'!$1:$1,0)))</f>
        <v/>
      </c>
      <c r="M205" s="28">
        <f t="shared" si="4"/>
        <v>0</v>
      </c>
      <c r="N205" s="1" t="str">
        <f t="array" ref="N205">IFERROR(INDEX('Исходник'!$1:$626,MATCH($A205,'Исходник'!$T:$T,0),MATCH(N$1,'Исходник'!$1:$1,0)))</f>
        <v/>
      </c>
      <c r="O205" s="27">
        <f t="shared" si="5"/>
        <v>0</v>
      </c>
      <c r="P205" s="27" t="str">
        <f t="shared" si="6"/>
        <v/>
      </c>
      <c r="Q205" s="1" t="str">
        <f t="array" ref="Q205">IFERROR(INDEX('Исходник'!$1:$626,MATCH($A205,'Исходник'!$T:$T,0),MATCH(Q$1,'Исходник'!$1:$1,0)))</f>
        <v/>
      </c>
      <c r="R205" s="1" t="str">
        <f t="array" ref="R205">IFERROR(INDEX('Исходник'!$1:$626,MATCH($A205,'Исходник'!$T:$T,0),MATCH(R$1,'Исходник'!$1:$1,0)))</f>
        <v/>
      </c>
      <c r="S205" s="27">
        <f t="shared" si="7"/>
        <v>0</v>
      </c>
      <c r="T205" s="27" t="str">
        <f t="shared" si="8"/>
        <v/>
      </c>
      <c r="U205" s="1" t="str">
        <f t="array" ref="U205">IFERROR(INDEX('Исходник'!$1:$626,MATCH($A205,'Исходник'!$T:$T,0),MATCH(U$1,'Исходник'!$1:$1,0)))</f>
        <v/>
      </c>
      <c r="V205" s="27" t="str">
        <f t="shared" si="9"/>
        <v/>
      </c>
      <c r="W205" s="1" t="str">
        <f t="array" ref="W205">IFERROR(INDEX('Исходник'!$1:$626,MATCH($A205,'Исходник'!$T:$T,0),MATCH(W$1,'Исходник'!$1:$1,0)))</f>
        <v/>
      </c>
      <c r="X205" s="28">
        <f t="shared" si="10"/>
        <v>0</v>
      </c>
      <c r="Y205" s="1" t="str">
        <f t="array" ref="Y205">IFERROR(INDEX('Исходник'!$1:$626,MATCH($A205,'Исходник'!$T:$T,0),MATCH(Y$1,'Исходник'!$1:$1,0)))</f>
        <v/>
      </c>
      <c r="Z205" s="27">
        <f t="shared" si="11"/>
        <v>0</v>
      </c>
      <c r="AA205" s="27" t="str">
        <f t="shared" si="12"/>
        <v/>
      </c>
      <c r="AB205" s="1" t="str">
        <f t="array" ref="AB205">IFERROR(INDEX('Исходник'!$1:$626,MATCH($A205,'Исходник'!$T:$T,0),MATCH(AB$1,'Исходник'!$1:$1,0)))</f>
        <v/>
      </c>
      <c r="AC205" s="1" t="str">
        <f t="array" ref="AC205">IFERROR(INDEX('Исходник'!$1:$626,MATCH($A205,'Исходник'!$T:$T,0),MATCH(AC$1,'Исходник'!$1:$1,0)))</f>
        <v/>
      </c>
      <c r="AD205" s="27" t="str">
        <f t="shared" si="13"/>
        <v/>
      </c>
      <c r="AE205" s="1" t="str">
        <f t="array" ref="AE205">IFERROR(INDEX('Исходник'!$1:$626,MATCH($A205,'Исходник'!$T:$T,0),MATCH(AE$1,'Исходник'!$1:$1,0)))</f>
        <v/>
      </c>
      <c r="AF205" s="1" t="str">
        <f t="array" ref="AF205">IFERROR(INDEX('Исходник'!$1:$626,MATCH($A205,'Исходник'!$T:$T,0),MATCH(AF$1,'Исходник'!$1:$1,0)))</f>
        <v/>
      </c>
      <c r="AG205" s="27" t="str">
        <f t="shared" si="14"/>
        <v/>
      </c>
      <c r="AH205" s="1" t="str">
        <f t="array" ref="AH205">IFERROR(INDEX('Исходник'!$1:$626,MATCH($A205,'Исходник'!$T:$T,0),MATCH(AH$1,'Исходник'!$1:$1,0)))</f>
        <v/>
      </c>
      <c r="AI205" s="1" t="str">
        <f t="array" ref="AI205">IFERROR(INDEX('Исходник'!$1:$626,MATCH($A205,'Исходник'!$T:$T,0),MATCH(AI$1,'Исходник'!$1:$1,0)))</f>
        <v/>
      </c>
      <c r="AJ205" s="18">
        <f t="shared" si="15"/>
        <v>0</v>
      </c>
    </row>
    <row r="206" ht="15.75" customHeight="1">
      <c r="A206" s="27"/>
      <c r="B206" s="1" t="str">
        <f t="array" ref="B206">IFERROR(INDEX('Исходник'!$1:$626,MATCH($A206,'Исходник'!$T:$T,0),MATCH(B$1,'Исходник'!$1:$1,0)))</f>
        <v/>
      </c>
      <c r="C206" s="1" t="str">
        <f t="array" ref="C206">IFERROR(INDEX('Исходник'!$1:$626,MATCH($A206,'Исходник'!$T:$T,0),MATCH(C$1,'Исходник'!$1:$1,0)))</f>
        <v/>
      </c>
      <c r="D206" s="1" t="str">
        <f t="array" ref="D206">IFERROR(INDEX('Исходник'!$1:$626,MATCH($A206,'Исходник'!$T:$T,0),MATCH(D$1,'Исходник'!$1:$1,0)))</f>
        <v/>
      </c>
      <c r="E206" s="1" t="str">
        <f t="array" ref="E206">IFERROR(INDEX('Исходник'!$1:$626,MATCH($A206,'Исходник'!$T:$T,0),MATCH(E$1,'Исходник'!$1:$1,0)))</f>
        <v/>
      </c>
      <c r="F206" s="1" t="str">
        <f t="array" ref="F206">IFERROR(INDEX('Исходник'!$1:$626,MATCH($A206,'Исходник'!$T:$T,0),MATCH(F$1,'Исходник'!$1:$1,0)))</f>
        <v/>
      </c>
      <c r="G206" s="1" t="str">
        <f t="array" ref="G206">IFERROR(INDEX('Исходник'!$1:$626,MATCH($A206,'Исходник'!$T:$T,0),MATCH(G$1,'Исходник'!$1:$1,0)))</f>
        <v/>
      </c>
      <c r="H206" s="27">
        <f t="shared" si="1"/>
        <v>0</v>
      </c>
      <c r="I206" s="27" t="str">
        <f t="shared" si="2"/>
        <v/>
      </c>
      <c r="J206" s="1" t="str">
        <f t="array" ref="J206">IFERROR(INDEX('Исходник'!$1:$626,MATCH($A206,'Исходник'!$T:$T,0),MATCH(J$1,'Исходник'!$1:$1,0)))</f>
        <v/>
      </c>
      <c r="K206" s="27" t="str">
        <f t="shared" si="3"/>
        <v/>
      </c>
      <c r="L206" s="1" t="str">
        <f t="array" ref="L206">IFERROR(INDEX('Исходник'!$1:$626,MATCH($A206,'Исходник'!$T:$T,0),MATCH(L$1,'Исходник'!$1:$1,0)))</f>
        <v/>
      </c>
      <c r="M206" s="28">
        <f t="shared" si="4"/>
        <v>0</v>
      </c>
      <c r="N206" s="1" t="str">
        <f t="array" ref="N206">IFERROR(INDEX('Исходник'!$1:$626,MATCH($A206,'Исходник'!$T:$T,0),MATCH(N$1,'Исходник'!$1:$1,0)))</f>
        <v/>
      </c>
      <c r="O206" s="27">
        <f t="shared" si="5"/>
        <v>0</v>
      </c>
      <c r="P206" s="27" t="str">
        <f t="shared" si="6"/>
        <v/>
      </c>
      <c r="Q206" s="1" t="str">
        <f t="array" ref="Q206">IFERROR(INDEX('Исходник'!$1:$626,MATCH($A206,'Исходник'!$T:$T,0),MATCH(Q$1,'Исходник'!$1:$1,0)))</f>
        <v/>
      </c>
      <c r="R206" s="1" t="str">
        <f t="array" ref="R206">IFERROR(INDEX('Исходник'!$1:$626,MATCH($A206,'Исходник'!$T:$T,0),MATCH(R$1,'Исходник'!$1:$1,0)))</f>
        <v/>
      </c>
      <c r="S206" s="27">
        <f t="shared" si="7"/>
        <v>0</v>
      </c>
      <c r="T206" s="27" t="str">
        <f t="shared" si="8"/>
        <v/>
      </c>
      <c r="U206" s="1" t="str">
        <f t="array" ref="U206">IFERROR(INDEX('Исходник'!$1:$626,MATCH($A206,'Исходник'!$T:$T,0),MATCH(U$1,'Исходник'!$1:$1,0)))</f>
        <v/>
      </c>
      <c r="V206" s="27" t="str">
        <f t="shared" si="9"/>
        <v/>
      </c>
      <c r="W206" s="1" t="str">
        <f t="array" ref="W206">IFERROR(INDEX('Исходник'!$1:$626,MATCH($A206,'Исходник'!$T:$T,0),MATCH(W$1,'Исходник'!$1:$1,0)))</f>
        <v/>
      </c>
      <c r="X206" s="28">
        <f t="shared" si="10"/>
        <v>0</v>
      </c>
      <c r="Y206" s="1" t="str">
        <f t="array" ref="Y206">IFERROR(INDEX('Исходник'!$1:$626,MATCH($A206,'Исходник'!$T:$T,0),MATCH(Y$1,'Исходник'!$1:$1,0)))</f>
        <v/>
      </c>
      <c r="Z206" s="27">
        <f t="shared" si="11"/>
        <v>0</v>
      </c>
      <c r="AA206" s="27" t="str">
        <f t="shared" si="12"/>
        <v/>
      </c>
      <c r="AB206" s="1" t="str">
        <f t="array" ref="AB206">IFERROR(INDEX('Исходник'!$1:$626,MATCH($A206,'Исходник'!$T:$T,0),MATCH(AB$1,'Исходник'!$1:$1,0)))</f>
        <v/>
      </c>
      <c r="AC206" s="1" t="str">
        <f t="array" ref="AC206">IFERROR(INDEX('Исходник'!$1:$626,MATCH($A206,'Исходник'!$T:$T,0),MATCH(AC$1,'Исходник'!$1:$1,0)))</f>
        <v/>
      </c>
      <c r="AD206" s="27" t="str">
        <f t="shared" si="13"/>
        <v/>
      </c>
      <c r="AE206" s="1" t="str">
        <f t="array" ref="AE206">IFERROR(INDEX('Исходник'!$1:$626,MATCH($A206,'Исходник'!$T:$T,0),MATCH(AE$1,'Исходник'!$1:$1,0)))</f>
        <v/>
      </c>
      <c r="AF206" s="1" t="str">
        <f t="array" ref="AF206">IFERROR(INDEX('Исходник'!$1:$626,MATCH($A206,'Исходник'!$T:$T,0),MATCH(AF$1,'Исходник'!$1:$1,0)))</f>
        <v/>
      </c>
      <c r="AG206" s="27" t="str">
        <f t="shared" si="14"/>
        <v/>
      </c>
      <c r="AH206" s="1" t="str">
        <f t="array" ref="AH206">IFERROR(INDEX('Исходник'!$1:$626,MATCH($A206,'Исходник'!$T:$T,0),MATCH(AH$1,'Исходник'!$1:$1,0)))</f>
        <v/>
      </c>
      <c r="AI206" s="1" t="str">
        <f t="array" ref="AI206">IFERROR(INDEX('Исходник'!$1:$626,MATCH($A206,'Исходник'!$T:$T,0),MATCH(AI$1,'Исходник'!$1:$1,0)))</f>
        <v/>
      </c>
      <c r="AJ206" s="18">
        <f t="shared" si="15"/>
        <v>0</v>
      </c>
    </row>
    <row r="207" ht="15.75" customHeight="1">
      <c r="A207" s="27"/>
      <c r="B207" s="1" t="str">
        <f t="array" ref="B207">IFERROR(INDEX('Исходник'!$1:$626,MATCH($A207,'Исходник'!$T:$T,0),MATCH(B$1,'Исходник'!$1:$1,0)))</f>
        <v/>
      </c>
      <c r="C207" s="1" t="str">
        <f t="array" ref="C207">IFERROR(INDEX('Исходник'!$1:$626,MATCH($A207,'Исходник'!$T:$T,0),MATCH(C$1,'Исходник'!$1:$1,0)))</f>
        <v/>
      </c>
      <c r="D207" s="1" t="str">
        <f t="array" ref="D207">IFERROR(INDEX('Исходник'!$1:$626,MATCH($A207,'Исходник'!$T:$T,0),MATCH(D$1,'Исходник'!$1:$1,0)))</f>
        <v/>
      </c>
      <c r="E207" s="1" t="str">
        <f t="array" ref="E207">IFERROR(INDEX('Исходник'!$1:$626,MATCH($A207,'Исходник'!$T:$T,0),MATCH(E$1,'Исходник'!$1:$1,0)))</f>
        <v/>
      </c>
      <c r="F207" s="1" t="str">
        <f t="array" ref="F207">IFERROR(INDEX('Исходник'!$1:$626,MATCH($A207,'Исходник'!$T:$T,0),MATCH(F$1,'Исходник'!$1:$1,0)))</f>
        <v/>
      </c>
      <c r="G207" s="1" t="str">
        <f t="array" ref="G207">IFERROR(INDEX('Исходник'!$1:$626,MATCH($A207,'Исходник'!$T:$T,0),MATCH(G$1,'Исходник'!$1:$1,0)))</f>
        <v/>
      </c>
      <c r="H207" s="27">
        <f t="shared" si="1"/>
        <v>0</v>
      </c>
      <c r="I207" s="27" t="str">
        <f t="shared" si="2"/>
        <v/>
      </c>
      <c r="J207" s="1" t="str">
        <f t="array" ref="J207">IFERROR(INDEX('Исходник'!$1:$626,MATCH($A207,'Исходник'!$T:$T,0),MATCH(J$1,'Исходник'!$1:$1,0)))</f>
        <v/>
      </c>
      <c r="K207" s="27" t="str">
        <f t="shared" si="3"/>
        <v/>
      </c>
      <c r="L207" s="1" t="str">
        <f t="array" ref="L207">IFERROR(INDEX('Исходник'!$1:$626,MATCH($A207,'Исходник'!$T:$T,0),MATCH(L$1,'Исходник'!$1:$1,0)))</f>
        <v/>
      </c>
      <c r="M207" s="28">
        <f t="shared" si="4"/>
        <v>0</v>
      </c>
      <c r="N207" s="1" t="str">
        <f t="array" ref="N207">IFERROR(INDEX('Исходник'!$1:$626,MATCH($A207,'Исходник'!$T:$T,0),MATCH(N$1,'Исходник'!$1:$1,0)))</f>
        <v/>
      </c>
      <c r="O207" s="27">
        <f t="shared" si="5"/>
        <v>0</v>
      </c>
      <c r="P207" s="27" t="str">
        <f t="shared" si="6"/>
        <v/>
      </c>
      <c r="Q207" s="1" t="str">
        <f t="array" ref="Q207">IFERROR(INDEX('Исходник'!$1:$626,MATCH($A207,'Исходник'!$T:$T,0),MATCH(Q$1,'Исходник'!$1:$1,0)))</f>
        <v/>
      </c>
      <c r="R207" s="1" t="str">
        <f t="array" ref="R207">IFERROR(INDEX('Исходник'!$1:$626,MATCH($A207,'Исходник'!$T:$T,0),MATCH(R$1,'Исходник'!$1:$1,0)))</f>
        <v/>
      </c>
      <c r="S207" s="27">
        <f t="shared" si="7"/>
        <v>0</v>
      </c>
      <c r="T207" s="27" t="str">
        <f t="shared" si="8"/>
        <v/>
      </c>
      <c r="U207" s="1" t="str">
        <f t="array" ref="U207">IFERROR(INDEX('Исходник'!$1:$626,MATCH($A207,'Исходник'!$T:$T,0),MATCH(U$1,'Исходник'!$1:$1,0)))</f>
        <v/>
      </c>
      <c r="V207" s="27" t="str">
        <f t="shared" si="9"/>
        <v/>
      </c>
      <c r="W207" s="1" t="str">
        <f t="array" ref="W207">IFERROR(INDEX('Исходник'!$1:$626,MATCH($A207,'Исходник'!$T:$T,0),MATCH(W$1,'Исходник'!$1:$1,0)))</f>
        <v/>
      </c>
      <c r="X207" s="28">
        <f t="shared" si="10"/>
        <v>0</v>
      </c>
      <c r="Y207" s="1" t="str">
        <f t="array" ref="Y207">IFERROR(INDEX('Исходник'!$1:$626,MATCH($A207,'Исходник'!$T:$T,0),MATCH(Y$1,'Исходник'!$1:$1,0)))</f>
        <v/>
      </c>
      <c r="Z207" s="27">
        <f t="shared" si="11"/>
        <v>0</v>
      </c>
      <c r="AA207" s="27" t="str">
        <f t="shared" si="12"/>
        <v/>
      </c>
      <c r="AB207" s="1" t="str">
        <f t="array" ref="AB207">IFERROR(INDEX('Исходник'!$1:$626,MATCH($A207,'Исходник'!$T:$T,0),MATCH(AB$1,'Исходник'!$1:$1,0)))</f>
        <v/>
      </c>
      <c r="AC207" s="1" t="str">
        <f t="array" ref="AC207">IFERROR(INDEX('Исходник'!$1:$626,MATCH($A207,'Исходник'!$T:$T,0),MATCH(AC$1,'Исходник'!$1:$1,0)))</f>
        <v/>
      </c>
      <c r="AD207" s="27" t="str">
        <f t="shared" si="13"/>
        <v/>
      </c>
      <c r="AE207" s="1" t="str">
        <f t="array" ref="AE207">IFERROR(INDEX('Исходник'!$1:$626,MATCH($A207,'Исходник'!$T:$T,0),MATCH(AE$1,'Исходник'!$1:$1,0)))</f>
        <v/>
      </c>
      <c r="AF207" s="1" t="str">
        <f t="array" ref="AF207">IFERROR(INDEX('Исходник'!$1:$626,MATCH($A207,'Исходник'!$T:$T,0),MATCH(AF$1,'Исходник'!$1:$1,0)))</f>
        <v/>
      </c>
      <c r="AG207" s="27" t="str">
        <f t="shared" si="14"/>
        <v/>
      </c>
      <c r="AH207" s="1" t="str">
        <f t="array" ref="AH207">IFERROR(INDEX('Исходник'!$1:$626,MATCH($A207,'Исходник'!$T:$T,0),MATCH(AH$1,'Исходник'!$1:$1,0)))</f>
        <v/>
      </c>
      <c r="AI207" s="1" t="str">
        <f t="array" ref="AI207">IFERROR(INDEX('Исходник'!$1:$626,MATCH($A207,'Исходник'!$T:$T,0),MATCH(AI$1,'Исходник'!$1:$1,0)))</f>
        <v/>
      </c>
      <c r="AJ207" s="18">
        <f t="shared" si="15"/>
        <v>0</v>
      </c>
    </row>
    <row r="208" ht="15.75" customHeight="1">
      <c r="A208" s="27"/>
      <c r="B208" s="1" t="str">
        <f t="array" ref="B208">IFERROR(INDEX('Исходник'!$1:$626,MATCH($A208,'Исходник'!$T:$T,0),MATCH(B$1,'Исходник'!$1:$1,0)))</f>
        <v/>
      </c>
      <c r="C208" s="1" t="str">
        <f t="array" ref="C208">IFERROR(INDEX('Исходник'!$1:$626,MATCH($A208,'Исходник'!$T:$T,0),MATCH(C$1,'Исходник'!$1:$1,0)))</f>
        <v/>
      </c>
      <c r="D208" s="1" t="str">
        <f t="array" ref="D208">IFERROR(INDEX('Исходник'!$1:$626,MATCH($A208,'Исходник'!$T:$T,0),MATCH(D$1,'Исходник'!$1:$1,0)))</f>
        <v/>
      </c>
      <c r="E208" s="1" t="str">
        <f t="array" ref="E208">IFERROR(INDEX('Исходник'!$1:$626,MATCH($A208,'Исходник'!$T:$T,0),MATCH(E$1,'Исходник'!$1:$1,0)))</f>
        <v/>
      </c>
      <c r="F208" s="1" t="str">
        <f t="array" ref="F208">IFERROR(INDEX('Исходник'!$1:$626,MATCH($A208,'Исходник'!$T:$T,0),MATCH(F$1,'Исходник'!$1:$1,0)))</f>
        <v/>
      </c>
      <c r="G208" s="1" t="str">
        <f t="array" ref="G208">IFERROR(INDEX('Исходник'!$1:$626,MATCH($A208,'Исходник'!$T:$T,0),MATCH(G$1,'Исходник'!$1:$1,0)))</f>
        <v/>
      </c>
      <c r="H208" s="27">
        <f t="shared" si="1"/>
        <v>0</v>
      </c>
      <c r="I208" s="27" t="str">
        <f t="shared" si="2"/>
        <v/>
      </c>
      <c r="J208" s="1" t="str">
        <f t="array" ref="J208">IFERROR(INDEX('Исходник'!$1:$626,MATCH($A208,'Исходник'!$T:$T,0),MATCH(J$1,'Исходник'!$1:$1,0)))</f>
        <v/>
      </c>
      <c r="K208" s="27" t="str">
        <f t="shared" si="3"/>
        <v/>
      </c>
      <c r="L208" s="1" t="str">
        <f t="array" ref="L208">IFERROR(INDEX('Исходник'!$1:$626,MATCH($A208,'Исходник'!$T:$T,0),MATCH(L$1,'Исходник'!$1:$1,0)))</f>
        <v/>
      </c>
      <c r="M208" s="28">
        <f t="shared" si="4"/>
        <v>0</v>
      </c>
      <c r="N208" s="1" t="str">
        <f t="array" ref="N208">IFERROR(INDEX('Исходник'!$1:$626,MATCH($A208,'Исходник'!$T:$T,0),MATCH(N$1,'Исходник'!$1:$1,0)))</f>
        <v/>
      </c>
      <c r="O208" s="27">
        <f t="shared" si="5"/>
        <v>0</v>
      </c>
      <c r="P208" s="27" t="str">
        <f t="shared" si="6"/>
        <v/>
      </c>
      <c r="Q208" s="1" t="str">
        <f t="array" ref="Q208">IFERROR(INDEX('Исходник'!$1:$626,MATCH($A208,'Исходник'!$T:$T,0),MATCH(Q$1,'Исходник'!$1:$1,0)))</f>
        <v/>
      </c>
      <c r="R208" s="1" t="str">
        <f t="array" ref="R208">IFERROR(INDEX('Исходник'!$1:$626,MATCH($A208,'Исходник'!$T:$T,0),MATCH(R$1,'Исходник'!$1:$1,0)))</f>
        <v/>
      </c>
      <c r="S208" s="27">
        <f t="shared" si="7"/>
        <v>0</v>
      </c>
      <c r="T208" s="27" t="str">
        <f t="shared" si="8"/>
        <v/>
      </c>
      <c r="U208" s="1" t="str">
        <f t="array" ref="U208">IFERROR(INDEX('Исходник'!$1:$626,MATCH($A208,'Исходник'!$T:$T,0),MATCH(U$1,'Исходник'!$1:$1,0)))</f>
        <v/>
      </c>
      <c r="V208" s="27" t="str">
        <f t="shared" si="9"/>
        <v/>
      </c>
      <c r="W208" s="1" t="str">
        <f t="array" ref="W208">IFERROR(INDEX('Исходник'!$1:$626,MATCH($A208,'Исходник'!$T:$T,0),MATCH(W$1,'Исходник'!$1:$1,0)))</f>
        <v/>
      </c>
      <c r="X208" s="28">
        <f t="shared" si="10"/>
        <v>0</v>
      </c>
      <c r="Y208" s="1" t="str">
        <f t="array" ref="Y208">IFERROR(INDEX('Исходник'!$1:$626,MATCH($A208,'Исходник'!$T:$T,0),MATCH(Y$1,'Исходник'!$1:$1,0)))</f>
        <v/>
      </c>
      <c r="Z208" s="27">
        <f t="shared" si="11"/>
        <v>0</v>
      </c>
      <c r="AA208" s="27" t="str">
        <f t="shared" si="12"/>
        <v/>
      </c>
      <c r="AB208" s="1" t="str">
        <f t="array" ref="AB208">IFERROR(INDEX('Исходник'!$1:$626,MATCH($A208,'Исходник'!$T:$T,0),MATCH(AB$1,'Исходник'!$1:$1,0)))</f>
        <v/>
      </c>
      <c r="AC208" s="1" t="str">
        <f t="array" ref="AC208">IFERROR(INDEX('Исходник'!$1:$626,MATCH($A208,'Исходник'!$T:$T,0),MATCH(AC$1,'Исходник'!$1:$1,0)))</f>
        <v/>
      </c>
      <c r="AD208" s="27" t="str">
        <f t="shared" si="13"/>
        <v/>
      </c>
      <c r="AE208" s="1" t="str">
        <f t="array" ref="AE208">IFERROR(INDEX('Исходник'!$1:$626,MATCH($A208,'Исходник'!$T:$T,0),MATCH(AE$1,'Исходник'!$1:$1,0)))</f>
        <v/>
      </c>
      <c r="AF208" s="1" t="str">
        <f t="array" ref="AF208">IFERROR(INDEX('Исходник'!$1:$626,MATCH($A208,'Исходник'!$T:$T,0),MATCH(AF$1,'Исходник'!$1:$1,0)))</f>
        <v/>
      </c>
      <c r="AG208" s="27" t="str">
        <f t="shared" si="14"/>
        <v/>
      </c>
      <c r="AH208" s="1" t="str">
        <f t="array" ref="AH208">IFERROR(INDEX('Исходник'!$1:$626,MATCH($A208,'Исходник'!$T:$T,0),MATCH(AH$1,'Исходник'!$1:$1,0)))</f>
        <v/>
      </c>
      <c r="AI208" s="1" t="str">
        <f t="array" ref="AI208">IFERROR(INDEX('Исходник'!$1:$626,MATCH($A208,'Исходник'!$T:$T,0),MATCH(AI$1,'Исходник'!$1:$1,0)))</f>
        <v/>
      </c>
      <c r="AJ208" s="18">
        <f t="shared" si="15"/>
        <v>0</v>
      </c>
    </row>
    <row r="209" ht="15.75" customHeight="1">
      <c r="A209" s="27"/>
      <c r="B209" s="1" t="str">
        <f t="array" ref="B209">IFERROR(INDEX('Исходник'!$1:$626,MATCH($A209,'Исходник'!$T:$T,0),MATCH(B$1,'Исходник'!$1:$1,0)))</f>
        <v/>
      </c>
      <c r="C209" s="1" t="str">
        <f t="array" ref="C209">IFERROR(INDEX('Исходник'!$1:$626,MATCH($A209,'Исходник'!$T:$T,0),MATCH(C$1,'Исходник'!$1:$1,0)))</f>
        <v/>
      </c>
      <c r="D209" s="1" t="str">
        <f t="array" ref="D209">IFERROR(INDEX('Исходник'!$1:$626,MATCH($A209,'Исходник'!$T:$T,0),MATCH(D$1,'Исходник'!$1:$1,0)))</f>
        <v/>
      </c>
      <c r="E209" s="1" t="str">
        <f t="array" ref="E209">IFERROR(INDEX('Исходник'!$1:$626,MATCH($A209,'Исходник'!$T:$T,0),MATCH(E$1,'Исходник'!$1:$1,0)))</f>
        <v/>
      </c>
      <c r="F209" s="1" t="str">
        <f t="array" ref="F209">IFERROR(INDEX('Исходник'!$1:$626,MATCH($A209,'Исходник'!$T:$T,0),MATCH(F$1,'Исходник'!$1:$1,0)))</f>
        <v/>
      </c>
      <c r="G209" s="1" t="str">
        <f t="array" ref="G209">IFERROR(INDEX('Исходник'!$1:$626,MATCH($A209,'Исходник'!$T:$T,0),MATCH(G$1,'Исходник'!$1:$1,0)))</f>
        <v/>
      </c>
      <c r="H209" s="27">
        <f t="shared" si="1"/>
        <v>0</v>
      </c>
      <c r="I209" s="27" t="str">
        <f t="shared" si="2"/>
        <v/>
      </c>
      <c r="J209" s="1" t="str">
        <f t="array" ref="J209">IFERROR(INDEX('Исходник'!$1:$626,MATCH($A209,'Исходник'!$T:$T,0),MATCH(J$1,'Исходник'!$1:$1,0)))</f>
        <v/>
      </c>
      <c r="K209" s="27" t="str">
        <f t="shared" si="3"/>
        <v/>
      </c>
      <c r="L209" s="1" t="str">
        <f t="array" ref="L209">IFERROR(INDEX('Исходник'!$1:$626,MATCH($A209,'Исходник'!$T:$T,0),MATCH(L$1,'Исходник'!$1:$1,0)))</f>
        <v/>
      </c>
      <c r="M209" s="28">
        <f t="shared" si="4"/>
        <v>0</v>
      </c>
      <c r="N209" s="1" t="str">
        <f t="array" ref="N209">IFERROR(INDEX('Исходник'!$1:$626,MATCH($A209,'Исходник'!$T:$T,0),MATCH(N$1,'Исходник'!$1:$1,0)))</f>
        <v/>
      </c>
      <c r="O209" s="27">
        <f t="shared" si="5"/>
        <v>0</v>
      </c>
      <c r="P209" s="27" t="str">
        <f t="shared" si="6"/>
        <v/>
      </c>
      <c r="Q209" s="1" t="str">
        <f t="array" ref="Q209">IFERROR(INDEX('Исходник'!$1:$626,MATCH($A209,'Исходник'!$T:$T,0),MATCH(Q$1,'Исходник'!$1:$1,0)))</f>
        <v/>
      </c>
      <c r="R209" s="1" t="str">
        <f t="array" ref="R209">IFERROR(INDEX('Исходник'!$1:$626,MATCH($A209,'Исходник'!$T:$T,0),MATCH(R$1,'Исходник'!$1:$1,0)))</f>
        <v/>
      </c>
      <c r="S209" s="27">
        <f t="shared" si="7"/>
        <v>0</v>
      </c>
      <c r="T209" s="27" t="str">
        <f t="shared" si="8"/>
        <v/>
      </c>
      <c r="U209" s="1" t="str">
        <f t="array" ref="U209">IFERROR(INDEX('Исходник'!$1:$626,MATCH($A209,'Исходник'!$T:$T,0),MATCH(U$1,'Исходник'!$1:$1,0)))</f>
        <v/>
      </c>
      <c r="V209" s="27" t="str">
        <f t="shared" si="9"/>
        <v/>
      </c>
      <c r="W209" s="1" t="str">
        <f t="array" ref="W209">IFERROR(INDEX('Исходник'!$1:$626,MATCH($A209,'Исходник'!$T:$T,0),MATCH(W$1,'Исходник'!$1:$1,0)))</f>
        <v/>
      </c>
      <c r="X209" s="28">
        <f t="shared" si="10"/>
        <v>0</v>
      </c>
      <c r="Y209" s="1" t="str">
        <f t="array" ref="Y209">IFERROR(INDEX('Исходник'!$1:$626,MATCH($A209,'Исходник'!$T:$T,0),MATCH(Y$1,'Исходник'!$1:$1,0)))</f>
        <v/>
      </c>
      <c r="Z209" s="27">
        <f t="shared" si="11"/>
        <v>0</v>
      </c>
      <c r="AA209" s="27" t="str">
        <f t="shared" si="12"/>
        <v/>
      </c>
      <c r="AB209" s="1" t="str">
        <f t="array" ref="AB209">IFERROR(INDEX('Исходник'!$1:$626,MATCH($A209,'Исходник'!$T:$T,0),MATCH(AB$1,'Исходник'!$1:$1,0)))</f>
        <v/>
      </c>
      <c r="AC209" s="1" t="str">
        <f t="array" ref="AC209">IFERROR(INDEX('Исходник'!$1:$626,MATCH($A209,'Исходник'!$T:$T,0),MATCH(AC$1,'Исходник'!$1:$1,0)))</f>
        <v/>
      </c>
      <c r="AD209" s="27" t="str">
        <f t="shared" si="13"/>
        <v/>
      </c>
      <c r="AE209" s="1" t="str">
        <f t="array" ref="AE209">IFERROR(INDEX('Исходник'!$1:$626,MATCH($A209,'Исходник'!$T:$T,0),MATCH(AE$1,'Исходник'!$1:$1,0)))</f>
        <v/>
      </c>
      <c r="AF209" s="1" t="str">
        <f t="array" ref="AF209">IFERROR(INDEX('Исходник'!$1:$626,MATCH($A209,'Исходник'!$T:$T,0),MATCH(AF$1,'Исходник'!$1:$1,0)))</f>
        <v/>
      </c>
      <c r="AG209" s="27" t="str">
        <f t="shared" si="14"/>
        <v/>
      </c>
      <c r="AH209" s="1" t="str">
        <f t="array" ref="AH209">IFERROR(INDEX('Исходник'!$1:$626,MATCH($A209,'Исходник'!$T:$T,0),MATCH(AH$1,'Исходник'!$1:$1,0)))</f>
        <v/>
      </c>
      <c r="AI209" s="1" t="str">
        <f t="array" ref="AI209">IFERROR(INDEX('Исходник'!$1:$626,MATCH($A209,'Исходник'!$T:$T,0),MATCH(AI$1,'Исходник'!$1:$1,0)))</f>
        <v/>
      </c>
      <c r="AJ209" s="18">
        <f t="shared" si="15"/>
        <v>0</v>
      </c>
    </row>
    <row r="210" ht="15.75" customHeight="1">
      <c r="A210" s="27"/>
      <c r="B210" s="1" t="str">
        <f t="array" ref="B210">IFERROR(INDEX('Исходник'!$1:$626,MATCH($A210,'Исходник'!$T:$T,0),MATCH(B$1,'Исходник'!$1:$1,0)))</f>
        <v/>
      </c>
      <c r="C210" s="1" t="str">
        <f t="array" ref="C210">IFERROR(INDEX('Исходник'!$1:$626,MATCH($A210,'Исходник'!$T:$T,0),MATCH(C$1,'Исходник'!$1:$1,0)))</f>
        <v/>
      </c>
      <c r="D210" s="1" t="str">
        <f t="array" ref="D210">IFERROR(INDEX('Исходник'!$1:$626,MATCH($A210,'Исходник'!$T:$T,0),MATCH(D$1,'Исходник'!$1:$1,0)))</f>
        <v/>
      </c>
      <c r="E210" s="1" t="str">
        <f t="array" ref="E210">IFERROR(INDEX('Исходник'!$1:$626,MATCH($A210,'Исходник'!$T:$T,0),MATCH(E$1,'Исходник'!$1:$1,0)))</f>
        <v/>
      </c>
      <c r="F210" s="1" t="str">
        <f t="array" ref="F210">IFERROR(INDEX('Исходник'!$1:$626,MATCH($A210,'Исходник'!$T:$T,0),MATCH(F$1,'Исходник'!$1:$1,0)))</f>
        <v/>
      </c>
      <c r="G210" s="1" t="str">
        <f t="array" ref="G210">IFERROR(INDEX('Исходник'!$1:$626,MATCH($A210,'Исходник'!$T:$T,0),MATCH(G$1,'Исходник'!$1:$1,0)))</f>
        <v/>
      </c>
      <c r="H210" s="27">
        <f t="shared" si="1"/>
        <v>0</v>
      </c>
      <c r="I210" s="27" t="str">
        <f t="shared" si="2"/>
        <v/>
      </c>
      <c r="J210" s="1" t="str">
        <f t="array" ref="J210">IFERROR(INDEX('Исходник'!$1:$626,MATCH($A210,'Исходник'!$T:$T,0),MATCH(J$1,'Исходник'!$1:$1,0)))</f>
        <v/>
      </c>
      <c r="K210" s="27" t="str">
        <f t="shared" si="3"/>
        <v/>
      </c>
      <c r="L210" s="1" t="str">
        <f t="array" ref="L210">IFERROR(INDEX('Исходник'!$1:$626,MATCH($A210,'Исходник'!$T:$T,0),MATCH(L$1,'Исходник'!$1:$1,0)))</f>
        <v/>
      </c>
      <c r="M210" s="28">
        <f t="shared" si="4"/>
        <v>0</v>
      </c>
      <c r="N210" s="1" t="str">
        <f t="array" ref="N210">IFERROR(INDEX('Исходник'!$1:$626,MATCH($A210,'Исходник'!$T:$T,0),MATCH(N$1,'Исходник'!$1:$1,0)))</f>
        <v/>
      </c>
      <c r="O210" s="27">
        <f t="shared" si="5"/>
        <v>0</v>
      </c>
      <c r="P210" s="27" t="str">
        <f t="shared" si="6"/>
        <v/>
      </c>
      <c r="Q210" s="1" t="str">
        <f t="array" ref="Q210">IFERROR(INDEX('Исходник'!$1:$626,MATCH($A210,'Исходник'!$T:$T,0),MATCH(Q$1,'Исходник'!$1:$1,0)))</f>
        <v/>
      </c>
      <c r="R210" s="1" t="str">
        <f t="array" ref="R210">IFERROR(INDEX('Исходник'!$1:$626,MATCH($A210,'Исходник'!$T:$T,0),MATCH(R$1,'Исходник'!$1:$1,0)))</f>
        <v/>
      </c>
      <c r="S210" s="27">
        <f t="shared" si="7"/>
        <v>0</v>
      </c>
      <c r="T210" s="27" t="str">
        <f t="shared" si="8"/>
        <v/>
      </c>
      <c r="U210" s="1" t="str">
        <f t="array" ref="U210">IFERROR(INDEX('Исходник'!$1:$626,MATCH($A210,'Исходник'!$T:$T,0),MATCH(U$1,'Исходник'!$1:$1,0)))</f>
        <v/>
      </c>
      <c r="V210" s="27" t="str">
        <f t="shared" si="9"/>
        <v/>
      </c>
      <c r="W210" s="1" t="str">
        <f t="array" ref="W210">IFERROR(INDEX('Исходник'!$1:$626,MATCH($A210,'Исходник'!$T:$T,0),MATCH(W$1,'Исходник'!$1:$1,0)))</f>
        <v/>
      </c>
      <c r="X210" s="28">
        <f t="shared" si="10"/>
        <v>0</v>
      </c>
      <c r="Y210" s="1" t="str">
        <f t="array" ref="Y210">IFERROR(INDEX('Исходник'!$1:$626,MATCH($A210,'Исходник'!$T:$T,0),MATCH(Y$1,'Исходник'!$1:$1,0)))</f>
        <v/>
      </c>
      <c r="Z210" s="27">
        <f t="shared" si="11"/>
        <v>0</v>
      </c>
      <c r="AA210" s="27" t="str">
        <f t="shared" si="12"/>
        <v/>
      </c>
      <c r="AB210" s="1" t="str">
        <f t="array" ref="AB210">IFERROR(INDEX('Исходник'!$1:$626,MATCH($A210,'Исходник'!$T:$T,0),MATCH(AB$1,'Исходник'!$1:$1,0)))</f>
        <v/>
      </c>
      <c r="AC210" s="1" t="str">
        <f t="array" ref="AC210">IFERROR(INDEX('Исходник'!$1:$626,MATCH($A210,'Исходник'!$T:$T,0),MATCH(AC$1,'Исходник'!$1:$1,0)))</f>
        <v/>
      </c>
      <c r="AD210" s="27" t="str">
        <f t="shared" si="13"/>
        <v/>
      </c>
      <c r="AE210" s="1" t="str">
        <f t="array" ref="AE210">IFERROR(INDEX('Исходник'!$1:$626,MATCH($A210,'Исходник'!$T:$T,0),MATCH(AE$1,'Исходник'!$1:$1,0)))</f>
        <v/>
      </c>
      <c r="AF210" s="1" t="str">
        <f t="array" ref="AF210">IFERROR(INDEX('Исходник'!$1:$626,MATCH($A210,'Исходник'!$T:$T,0),MATCH(AF$1,'Исходник'!$1:$1,0)))</f>
        <v/>
      </c>
      <c r="AG210" s="27" t="str">
        <f t="shared" si="14"/>
        <v/>
      </c>
      <c r="AH210" s="1" t="str">
        <f t="array" ref="AH210">IFERROR(INDEX('Исходник'!$1:$626,MATCH($A210,'Исходник'!$T:$T,0),MATCH(AH$1,'Исходник'!$1:$1,0)))</f>
        <v/>
      </c>
      <c r="AI210" s="1" t="str">
        <f t="array" ref="AI210">IFERROR(INDEX('Исходник'!$1:$626,MATCH($A210,'Исходник'!$T:$T,0),MATCH(AI$1,'Исходник'!$1:$1,0)))</f>
        <v/>
      </c>
      <c r="AJ210" s="18">
        <f t="shared" si="15"/>
        <v>0</v>
      </c>
    </row>
    <row r="211" ht="15.75" customHeight="1">
      <c r="A211" s="27"/>
      <c r="B211" s="1" t="str">
        <f t="array" ref="B211">IFERROR(INDEX('Исходник'!$1:$626,MATCH($A211,'Исходник'!$T:$T,0),MATCH(B$1,'Исходник'!$1:$1,0)))</f>
        <v/>
      </c>
      <c r="C211" s="1" t="str">
        <f t="array" ref="C211">IFERROR(INDEX('Исходник'!$1:$626,MATCH($A211,'Исходник'!$T:$T,0),MATCH(C$1,'Исходник'!$1:$1,0)))</f>
        <v/>
      </c>
      <c r="D211" s="1" t="str">
        <f t="array" ref="D211">IFERROR(INDEX('Исходник'!$1:$626,MATCH($A211,'Исходник'!$T:$T,0),MATCH(D$1,'Исходник'!$1:$1,0)))</f>
        <v/>
      </c>
      <c r="E211" s="1" t="str">
        <f t="array" ref="E211">IFERROR(INDEX('Исходник'!$1:$626,MATCH($A211,'Исходник'!$T:$T,0),MATCH(E$1,'Исходник'!$1:$1,0)))</f>
        <v/>
      </c>
      <c r="F211" s="1" t="str">
        <f t="array" ref="F211">IFERROR(INDEX('Исходник'!$1:$626,MATCH($A211,'Исходник'!$T:$T,0),MATCH(F$1,'Исходник'!$1:$1,0)))</f>
        <v/>
      </c>
      <c r="G211" s="1" t="str">
        <f t="array" ref="G211">IFERROR(INDEX('Исходник'!$1:$626,MATCH($A211,'Исходник'!$T:$T,0),MATCH(G$1,'Исходник'!$1:$1,0)))</f>
        <v/>
      </c>
      <c r="H211" s="27">
        <f t="shared" si="1"/>
        <v>0</v>
      </c>
      <c r="I211" s="27" t="str">
        <f t="shared" si="2"/>
        <v/>
      </c>
      <c r="J211" s="1" t="str">
        <f t="array" ref="J211">IFERROR(INDEX('Исходник'!$1:$626,MATCH($A211,'Исходник'!$T:$T,0),MATCH(J$1,'Исходник'!$1:$1,0)))</f>
        <v/>
      </c>
      <c r="K211" s="27" t="str">
        <f t="shared" si="3"/>
        <v/>
      </c>
      <c r="L211" s="1" t="str">
        <f t="array" ref="L211">IFERROR(INDEX('Исходник'!$1:$626,MATCH($A211,'Исходник'!$T:$T,0),MATCH(L$1,'Исходник'!$1:$1,0)))</f>
        <v/>
      </c>
      <c r="M211" s="28">
        <f t="shared" si="4"/>
        <v>0</v>
      </c>
      <c r="N211" s="1" t="str">
        <f t="array" ref="N211">IFERROR(INDEX('Исходник'!$1:$626,MATCH($A211,'Исходник'!$T:$T,0),MATCH(N$1,'Исходник'!$1:$1,0)))</f>
        <v/>
      </c>
      <c r="O211" s="27">
        <f t="shared" si="5"/>
        <v>0</v>
      </c>
      <c r="P211" s="27" t="str">
        <f t="shared" si="6"/>
        <v/>
      </c>
      <c r="Q211" s="1" t="str">
        <f t="array" ref="Q211">IFERROR(INDEX('Исходник'!$1:$626,MATCH($A211,'Исходник'!$T:$T,0),MATCH(Q$1,'Исходник'!$1:$1,0)))</f>
        <v/>
      </c>
      <c r="R211" s="1" t="str">
        <f t="array" ref="R211">IFERROR(INDEX('Исходник'!$1:$626,MATCH($A211,'Исходник'!$T:$T,0),MATCH(R$1,'Исходник'!$1:$1,0)))</f>
        <v/>
      </c>
      <c r="S211" s="27">
        <f t="shared" si="7"/>
        <v>0</v>
      </c>
      <c r="T211" s="27" t="str">
        <f t="shared" si="8"/>
        <v/>
      </c>
      <c r="U211" s="1" t="str">
        <f t="array" ref="U211">IFERROR(INDEX('Исходник'!$1:$626,MATCH($A211,'Исходник'!$T:$T,0),MATCH(U$1,'Исходник'!$1:$1,0)))</f>
        <v/>
      </c>
      <c r="V211" s="27" t="str">
        <f t="shared" si="9"/>
        <v/>
      </c>
      <c r="W211" s="1" t="str">
        <f t="array" ref="W211">IFERROR(INDEX('Исходник'!$1:$626,MATCH($A211,'Исходник'!$T:$T,0),MATCH(W$1,'Исходник'!$1:$1,0)))</f>
        <v/>
      </c>
      <c r="X211" s="28">
        <f t="shared" si="10"/>
        <v>0</v>
      </c>
      <c r="Y211" s="1" t="str">
        <f t="array" ref="Y211">IFERROR(INDEX('Исходник'!$1:$626,MATCH($A211,'Исходник'!$T:$T,0),MATCH(Y$1,'Исходник'!$1:$1,0)))</f>
        <v/>
      </c>
      <c r="Z211" s="27">
        <f t="shared" si="11"/>
        <v>0</v>
      </c>
      <c r="AA211" s="27" t="str">
        <f t="shared" si="12"/>
        <v/>
      </c>
      <c r="AB211" s="1" t="str">
        <f t="array" ref="AB211">IFERROR(INDEX('Исходник'!$1:$626,MATCH($A211,'Исходник'!$T:$T,0),MATCH(AB$1,'Исходник'!$1:$1,0)))</f>
        <v/>
      </c>
      <c r="AC211" s="1" t="str">
        <f t="array" ref="AC211">IFERROR(INDEX('Исходник'!$1:$626,MATCH($A211,'Исходник'!$T:$T,0),MATCH(AC$1,'Исходник'!$1:$1,0)))</f>
        <v/>
      </c>
      <c r="AD211" s="27" t="str">
        <f t="shared" si="13"/>
        <v/>
      </c>
      <c r="AE211" s="1" t="str">
        <f t="array" ref="AE211">IFERROR(INDEX('Исходник'!$1:$626,MATCH($A211,'Исходник'!$T:$T,0),MATCH(AE$1,'Исходник'!$1:$1,0)))</f>
        <v/>
      </c>
      <c r="AF211" s="1" t="str">
        <f t="array" ref="AF211">IFERROR(INDEX('Исходник'!$1:$626,MATCH($A211,'Исходник'!$T:$T,0),MATCH(AF$1,'Исходник'!$1:$1,0)))</f>
        <v/>
      </c>
      <c r="AG211" s="27" t="str">
        <f t="shared" si="14"/>
        <v/>
      </c>
      <c r="AH211" s="1" t="str">
        <f t="array" ref="AH211">IFERROR(INDEX('Исходник'!$1:$626,MATCH($A211,'Исходник'!$T:$T,0),MATCH(AH$1,'Исходник'!$1:$1,0)))</f>
        <v/>
      </c>
      <c r="AI211" s="1" t="str">
        <f t="array" ref="AI211">IFERROR(INDEX('Исходник'!$1:$626,MATCH($A211,'Исходник'!$T:$T,0),MATCH(AI$1,'Исходник'!$1:$1,0)))</f>
        <v/>
      </c>
      <c r="AJ211" s="18">
        <f t="shared" si="15"/>
        <v>0</v>
      </c>
    </row>
    <row r="212" ht="15.75" customHeight="1">
      <c r="A212" s="27"/>
      <c r="B212" s="1" t="str">
        <f t="array" ref="B212">IFERROR(INDEX('Исходник'!$1:$626,MATCH($A212,'Исходник'!$T:$T,0),MATCH(B$1,'Исходник'!$1:$1,0)))</f>
        <v/>
      </c>
      <c r="C212" s="1" t="str">
        <f t="array" ref="C212">IFERROR(INDEX('Исходник'!$1:$626,MATCH($A212,'Исходник'!$T:$T,0),MATCH(C$1,'Исходник'!$1:$1,0)))</f>
        <v/>
      </c>
      <c r="D212" s="1" t="str">
        <f t="array" ref="D212">IFERROR(INDEX('Исходник'!$1:$626,MATCH($A212,'Исходник'!$T:$T,0),MATCH(D$1,'Исходник'!$1:$1,0)))</f>
        <v/>
      </c>
      <c r="E212" s="1" t="str">
        <f t="array" ref="E212">IFERROR(INDEX('Исходник'!$1:$626,MATCH($A212,'Исходник'!$T:$T,0),MATCH(E$1,'Исходник'!$1:$1,0)))</f>
        <v/>
      </c>
      <c r="F212" s="1" t="str">
        <f t="array" ref="F212">IFERROR(INDEX('Исходник'!$1:$626,MATCH($A212,'Исходник'!$T:$T,0),MATCH(F$1,'Исходник'!$1:$1,0)))</f>
        <v/>
      </c>
      <c r="G212" s="1" t="str">
        <f t="array" ref="G212">IFERROR(INDEX('Исходник'!$1:$626,MATCH($A212,'Исходник'!$T:$T,0),MATCH(G$1,'Исходник'!$1:$1,0)))</f>
        <v/>
      </c>
      <c r="H212" s="27">
        <f t="shared" si="1"/>
        <v>0</v>
      </c>
      <c r="I212" s="27" t="str">
        <f t="shared" si="2"/>
        <v/>
      </c>
      <c r="J212" s="1" t="str">
        <f t="array" ref="J212">IFERROR(INDEX('Исходник'!$1:$626,MATCH($A212,'Исходник'!$T:$T,0),MATCH(J$1,'Исходник'!$1:$1,0)))</f>
        <v/>
      </c>
      <c r="K212" s="27" t="str">
        <f t="shared" si="3"/>
        <v/>
      </c>
      <c r="L212" s="1" t="str">
        <f t="array" ref="L212">IFERROR(INDEX('Исходник'!$1:$626,MATCH($A212,'Исходник'!$T:$T,0),MATCH(L$1,'Исходник'!$1:$1,0)))</f>
        <v/>
      </c>
      <c r="M212" s="28">
        <f t="shared" si="4"/>
        <v>0</v>
      </c>
      <c r="N212" s="1" t="str">
        <f t="array" ref="N212">IFERROR(INDEX('Исходник'!$1:$626,MATCH($A212,'Исходник'!$T:$T,0),MATCH(N$1,'Исходник'!$1:$1,0)))</f>
        <v/>
      </c>
      <c r="O212" s="27">
        <f t="shared" si="5"/>
        <v>0</v>
      </c>
      <c r="P212" s="27" t="str">
        <f t="shared" si="6"/>
        <v/>
      </c>
      <c r="Q212" s="1" t="str">
        <f t="array" ref="Q212">IFERROR(INDEX('Исходник'!$1:$626,MATCH($A212,'Исходник'!$T:$T,0),MATCH(Q$1,'Исходник'!$1:$1,0)))</f>
        <v/>
      </c>
      <c r="R212" s="1" t="str">
        <f t="array" ref="R212">IFERROR(INDEX('Исходник'!$1:$626,MATCH($A212,'Исходник'!$T:$T,0),MATCH(R$1,'Исходник'!$1:$1,0)))</f>
        <v/>
      </c>
      <c r="S212" s="27">
        <f t="shared" si="7"/>
        <v>0</v>
      </c>
      <c r="T212" s="27" t="str">
        <f t="shared" si="8"/>
        <v/>
      </c>
      <c r="U212" s="1" t="str">
        <f t="array" ref="U212">IFERROR(INDEX('Исходник'!$1:$626,MATCH($A212,'Исходник'!$T:$T,0),MATCH(U$1,'Исходник'!$1:$1,0)))</f>
        <v/>
      </c>
      <c r="V212" s="27" t="str">
        <f t="shared" si="9"/>
        <v/>
      </c>
      <c r="W212" s="1" t="str">
        <f t="array" ref="W212">IFERROR(INDEX('Исходник'!$1:$626,MATCH($A212,'Исходник'!$T:$T,0),MATCH(W$1,'Исходник'!$1:$1,0)))</f>
        <v/>
      </c>
      <c r="X212" s="28">
        <f t="shared" si="10"/>
        <v>0</v>
      </c>
      <c r="Y212" s="1" t="str">
        <f t="array" ref="Y212">IFERROR(INDEX('Исходник'!$1:$626,MATCH($A212,'Исходник'!$T:$T,0),MATCH(Y$1,'Исходник'!$1:$1,0)))</f>
        <v/>
      </c>
      <c r="Z212" s="27">
        <f t="shared" si="11"/>
        <v>0</v>
      </c>
      <c r="AA212" s="27" t="str">
        <f t="shared" si="12"/>
        <v/>
      </c>
      <c r="AB212" s="1" t="str">
        <f t="array" ref="AB212">IFERROR(INDEX('Исходник'!$1:$626,MATCH($A212,'Исходник'!$T:$T,0),MATCH(AB$1,'Исходник'!$1:$1,0)))</f>
        <v/>
      </c>
      <c r="AC212" s="1" t="str">
        <f t="array" ref="AC212">IFERROR(INDEX('Исходник'!$1:$626,MATCH($A212,'Исходник'!$T:$T,0),MATCH(AC$1,'Исходник'!$1:$1,0)))</f>
        <v/>
      </c>
      <c r="AD212" s="27" t="str">
        <f t="shared" si="13"/>
        <v/>
      </c>
      <c r="AE212" s="1" t="str">
        <f t="array" ref="AE212">IFERROR(INDEX('Исходник'!$1:$626,MATCH($A212,'Исходник'!$T:$T,0),MATCH(AE$1,'Исходник'!$1:$1,0)))</f>
        <v/>
      </c>
      <c r="AF212" s="1" t="str">
        <f t="array" ref="AF212">IFERROR(INDEX('Исходник'!$1:$626,MATCH($A212,'Исходник'!$T:$T,0),MATCH(AF$1,'Исходник'!$1:$1,0)))</f>
        <v/>
      </c>
      <c r="AG212" s="27" t="str">
        <f t="shared" si="14"/>
        <v/>
      </c>
      <c r="AH212" s="1" t="str">
        <f t="array" ref="AH212">IFERROR(INDEX('Исходник'!$1:$626,MATCH($A212,'Исходник'!$T:$T,0),MATCH(AH$1,'Исходник'!$1:$1,0)))</f>
        <v/>
      </c>
      <c r="AI212" s="1" t="str">
        <f t="array" ref="AI212">IFERROR(INDEX('Исходник'!$1:$626,MATCH($A212,'Исходник'!$T:$T,0),MATCH(AI$1,'Исходник'!$1:$1,0)))</f>
        <v/>
      </c>
      <c r="AJ212" s="18">
        <f t="shared" si="15"/>
        <v>0</v>
      </c>
    </row>
    <row r="213" ht="15.75" customHeight="1">
      <c r="A213" s="27"/>
      <c r="B213" s="1" t="str">
        <f t="array" ref="B213">IFERROR(INDEX('Исходник'!$1:$626,MATCH($A213,'Исходник'!$T:$T,0),MATCH(B$1,'Исходник'!$1:$1,0)))</f>
        <v/>
      </c>
      <c r="C213" s="1" t="str">
        <f t="array" ref="C213">IFERROR(INDEX('Исходник'!$1:$626,MATCH($A213,'Исходник'!$T:$T,0),MATCH(C$1,'Исходник'!$1:$1,0)))</f>
        <v/>
      </c>
      <c r="D213" s="1" t="str">
        <f t="array" ref="D213">IFERROR(INDEX('Исходник'!$1:$626,MATCH($A213,'Исходник'!$T:$T,0),MATCH(D$1,'Исходник'!$1:$1,0)))</f>
        <v/>
      </c>
      <c r="E213" s="1" t="str">
        <f t="array" ref="E213">IFERROR(INDEX('Исходник'!$1:$626,MATCH($A213,'Исходник'!$T:$T,0),MATCH(E$1,'Исходник'!$1:$1,0)))</f>
        <v/>
      </c>
      <c r="F213" s="1" t="str">
        <f t="array" ref="F213">IFERROR(INDEX('Исходник'!$1:$626,MATCH($A213,'Исходник'!$T:$T,0),MATCH(F$1,'Исходник'!$1:$1,0)))</f>
        <v/>
      </c>
      <c r="G213" s="1" t="str">
        <f t="array" ref="G213">IFERROR(INDEX('Исходник'!$1:$626,MATCH($A213,'Исходник'!$T:$T,0),MATCH(G$1,'Исходник'!$1:$1,0)))</f>
        <v/>
      </c>
      <c r="H213" s="27">
        <f t="shared" si="1"/>
        <v>0</v>
      </c>
      <c r="I213" s="27" t="str">
        <f t="shared" si="2"/>
        <v/>
      </c>
      <c r="J213" s="1" t="str">
        <f t="array" ref="J213">IFERROR(INDEX('Исходник'!$1:$626,MATCH($A213,'Исходник'!$T:$T,0),MATCH(J$1,'Исходник'!$1:$1,0)))</f>
        <v/>
      </c>
      <c r="K213" s="27" t="str">
        <f t="shared" si="3"/>
        <v/>
      </c>
      <c r="L213" s="1" t="str">
        <f t="array" ref="L213">IFERROR(INDEX('Исходник'!$1:$626,MATCH($A213,'Исходник'!$T:$T,0),MATCH(L$1,'Исходник'!$1:$1,0)))</f>
        <v/>
      </c>
      <c r="M213" s="28">
        <f t="shared" si="4"/>
        <v>0</v>
      </c>
      <c r="N213" s="1" t="str">
        <f t="array" ref="N213">IFERROR(INDEX('Исходник'!$1:$626,MATCH($A213,'Исходник'!$T:$T,0),MATCH(N$1,'Исходник'!$1:$1,0)))</f>
        <v/>
      </c>
      <c r="O213" s="27">
        <f t="shared" si="5"/>
        <v>0</v>
      </c>
      <c r="P213" s="27" t="str">
        <f t="shared" si="6"/>
        <v/>
      </c>
      <c r="Q213" s="1" t="str">
        <f t="array" ref="Q213">IFERROR(INDEX('Исходник'!$1:$626,MATCH($A213,'Исходник'!$T:$T,0),MATCH(Q$1,'Исходник'!$1:$1,0)))</f>
        <v/>
      </c>
      <c r="R213" s="1" t="str">
        <f t="array" ref="R213">IFERROR(INDEX('Исходник'!$1:$626,MATCH($A213,'Исходник'!$T:$T,0),MATCH(R$1,'Исходник'!$1:$1,0)))</f>
        <v/>
      </c>
      <c r="S213" s="27">
        <f t="shared" si="7"/>
        <v>0</v>
      </c>
      <c r="T213" s="27" t="str">
        <f t="shared" si="8"/>
        <v/>
      </c>
      <c r="U213" s="1" t="str">
        <f t="array" ref="U213">IFERROR(INDEX('Исходник'!$1:$626,MATCH($A213,'Исходник'!$T:$T,0),MATCH(U$1,'Исходник'!$1:$1,0)))</f>
        <v/>
      </c>
      <c r="V213" s="27" t="str">
        <f t="shared" si="9"/>
        <v/>
      </c>
      <c r="W213" s="1" t="str">
        <f t="array" ref="W213">IFERROR(INDEX('Исходник'!$1:$626,MATCH($A213,'Исходник'!$T:$T,0),MATCH(W$1,'Исходник'!$1:$1,0)))</f>
        <v/>
      </c>
      <c r="X213" s="28">
        <f t="shared" si="10"/>
        <v>0</v>
      </c>
      <c r="Y213" s="1" t="str">
        <f t="array" ref="Y213">IFERROR(INDEX('Исходник'!$1:$626,MATCH($A213,'Исходник'!$T:$T,0),MATCH(Y$1,'Исходник'!$1:$1,0)))</f>
        <v/>
      </c>
      <c r="Z213" s="27">
        <f t="shared" si="11"/>
        <v>0</v>
      </c>
      <c r="AA213" s="27" t="str">
        <f t="shared" si="12"/>
        <v/>
      </c>
      <c r="AB213" s="1" t="str">
        <f t="array" ref="AB213">IFERROR(INDEX('Исходник'!$1:$626,MATCH($A213,'Исходник'!$T:$T,0),MATCH(AB$1,'Исходник'!$1:$1,0)))</f>
        <v/>
      </c>
      <c r="AC213" s="1" t="str">
        <f t="array" ref="AC213">IFERROR(INDEX('Исходник'!$1:$626,MATCH($A213,'Исходник'!$T:$T,0),MATCH(AC$1,'Исходник'!$1:$1,0)))</f>
        <v/>
      </c>
      <c r="AD213" s="27" t="str">
        <f t="shared" si="13"/>
        <v/>
      </c>
      <c r="AE213" s="1" t="str">
        <f t="array" ref="AE213">IFERROR(INDEX('Исходник'!$1:$626,MATCH($A213,'Исходник'!$T:$T,0),MATCH(AE$1,'Исходник'!$1:$1,0)))</f>
        <v/>
      </c>
      <c r="AF213" s="1" t="str">
        <f t="array" ref="AF213">IFERROR(INDEX('Исходник'!$1:$626,MATCH($A213,'Исходник'!$T:$T,0),MATCH(AF$1,'Исходник'!$1:$1,0)))</f>
        <v/>
      </c>
      <c r="AG213" s="27" t="str">
        <f t="shared" si="14"/>
        <v/>
      </c>
      <c r="AH213" s="1" t="str">
        <f t="array" ref="AH213">IFERROR(INDEX('Исходник'!$1:$626,MATCH($A213,'Исходник'!$T:$T,0),MATCH(AH$1,'Исходник'!$1:$1,0)))</f>
        <v/>
      </c>
      <c r="AI213" s="1" t="str">
        <f t="array" ref="AI213">IFERROR(INDEX('Исходник'!$1:$626,MATCH($A213,'Исходник'!$T:$T,0),MATCH(AI$1,'Исходник'!$1:$1,0)))</f>
        <v/>
      </c>
      <c r="AJ213" s="18">
        <f t="shared" si="15"/>
        <v>0</v>
      </c>
    </row>
    <row r="214" ht="15.75" customHeight="1">
      <c r="A214" s="27"/>
      <c r="B214" s="1" t="str">
        <f t="array" ref="B214">IFERROR(INDEX('Исходник'!$1:$626,MATCH($A214,'Исходник'!$T:$T,0),MATCH(B$1,'Исходник'!$1:$1,0)))</f>
        <v/>
      </c>
      <c r="C214" s="1" t="str">
        <f t="array" ref="C214">IFERROR(INDEX('Исходник'!$1:$626,MATCH($A214,'Исходник'!$T:$T,0),MATCH(C$1,'Исходник'!$1:$1,0)))</f>
        <v/>
      </c>
      <c r="D214" s="1" t="str">
        <f t="array" ref="D214">IFERROR(INDEX('Исходник'!$1:$626,MATCH($A214,'Исходник'!$T:$T,0),MATCH(D$1,'Исходник'!$1:$1,0)))</f>
        <v/>
      </c>
      <c r="E214" s="1" t="str">
        <f t="array" ref="E214">IFERROR(INDEX('Исходник'!$1:$626,MATCH($A214,'Исходник'!$T:$T,0),MATCH(E$1,'Исходник'!$1:$1,0)))</f>
        <v/>
      </c>
      <c r="F214" s="1" t="str">
        <f t="array" ref="F214">IFERROR(INDEX('Исходник'!$1:$626,MATCH($A214,'Исходник'!$T:$T,0),MATCH(F$1,'Исходник'!$1:$1,0)))</f>
        <v/>
      </c>
      <c r="G214" s="1" t="str">
        <f t="array" ref="G214">IFERROR(INDEX('Исходник'!$1:$626,MATCH($A214,'Исходник'!$T:$T,0),MATCH(G$1,'Исходник'!$1:$1,0)))</f>
        <v/>
      </c>
      <c r="H214" s="27">
        <f t="shared" si="1"/>
        <v>0</v>
      </c>
      <c r="I214" s="27" t="str">
        <f t="shared" si="2"/>
        <v/>
      </c>
      <c r="J214" s="1" t="str">
        <f t="array" ref="J214">IFERROR(INDEX('Исходник'!$1:$626,MATCH($A214,'Исходник'!$T:$T,0),MATCH(J$1,'Исходник'!$1:$1,0)))</f>
        <v/>
      </c>
      <c r="K214" s="27" t="str">
        <f t="shared" si="3"/>
        <v/>
      </c>
      <c r="L214" s="1" t="str">
        <f t="array" ref="L214">IFERROR(INDEX('Исходник'!$1:$626,MATCH($A214,'Исходник'!$T:$T,0),MATCH(L$1,'Исходник'!$1:$1,0)))</f>
        <v/>
      </c>
      <c r="M214" s="28">
        <f t="shared" si="4"/>
        <v>0</v>
      </c>
      <c r="N214" s="1" t="str">
        <f t="array" ref="N214">IFERROR(INDEX('Исходник'!$1:$626,MATCH($A214,'Исходник'!$T:$T,0),MATCH(N$1,'Исходник'!$1:$1,0)))</f>
        <v/>
      </c>
      <c r="O214" s="27">
        <f t="shared" si="5"/>
        <v>0</v>
      </c>
      <c r="P214" s="27" t="str">
        <f t="shared" si="6"/>
        <v/>
      </c>
      <c r="Q214" s="1" t="str">
        <f t="array" ref="Q214">IFERROR(INDEX('Исходник'!$1:$626,MATCH($A214,'Исходник'!$T:$T,0),MATCH(Q$1,'Исходник'!$1:$1,0)))</f>
        <v/>
      </c>
      <c r="R214" s="1" t="str">
        <f t="array" ref="R214">IFERROR(INDEX('Исходник'!$1:$626,MATCH($A214,'Исходник'!$T:$T,0),MATCH(R$1,'Исходник'!$1:$1,0)))</f>
        <v/>
      </c>
      <c r="S214" s="27">
        <f t="shared" si="7"/>
        <v>0</v>
      </c>
      <c r="T214" s="27" t="str">
        <f t="shared" si="8"/>
        <v/>
      </c>
      <c r="U214" s="1" t="str">
        <f t="array" ref="U214">IFERROR(INDEX('Исходник'!$1:$626,MATCH($A214,'Исходник'!$T:$T,0),MATCH(U$1,'Исходник'!$1:$1,0)))</f>
        <v/>
      </c>
      <c r="V214" s="27" t="str">
        <f t="shared" si="9"/>
        <v/>
      </c>
      <c r="W214" s="1" t="str">
        <f t="array" ref="W214">IFERROR(INDEX('Исходник'!$1:$626,MATCH($A214,'Исходник'!$T:$T,0),MATCH(W$1,'Исходник'!$1:$1,0)))</f>
        <v/>
      </c>
      <c r="X214" s="28">
        <f t="shared" si="10"/>
        <v>0</v>
      </c>
      <c r="Y214" s="1" t="str">
        <f t="array" ref="Y214">IFERROR(INDEX('Исходник'!$1:$626,MATCH($A214,'Исходник'!$T:$T,0),MATCH(Y$1,'Исходник'!$1:$1,0)))</f>
        <v/>
      </c>
      <c r="Z214" s="27">
        <f t="shared" si="11"/>
        <v>0</v>
      </c>
      <c r="AA214" s="27" t="str">
        <f t="shared" si="12"/>
        <v/>
      </c>
      <c r="AB214" s="1" t="str">
        <f t="array" ref="AB214">IFERROR(INDEX('Исходник'!$1:$626,MATCH($A214,'Исходник'!$T:$T,0),MATCH(AB$1,'Исходник'!$1:$1,0)))</f>
        <v/>
      </c>
      <c r="AC214" s="1" t="str">
        <f t="array" ref="AC214">IFERROR(INDEX('Исходник'!$1:$626,MATCH($A214,'Исходник'!$T:$T,0),MATCH(AC$1,'Исходник'!$1:$1,0)))</f>
        <v/>
      </c>
      <c r="AD214" s="27" t="str">
        <f t="shared" si="13"/>
        <v/>
      </c>
      <c r="AE214" s="1" t="str">
        <f t="array" ref="AE214">IFERROR(INDEX('Исходник'!$1:$626,MATCH($A214,'Исходник'!$T:$T,0),MATCH(AE$1,'Исходник'!$1:$1,0)))</f>
        <v/>
      </c>
      <c r="AF214" s="1" t="str">
        <f t="array" ref="AF214">IFERROR(INDEX('Исходник'!$1:$626,MATCH($A214,'Исходник'!$T:$T,0),MATCH(AF$1,'Исходник'!$1:$1,0)))</f>
        <v/>
      </c>
      <c r="AG214" s="27" t="str">
        <f t="shared" si="14"/>
        <v/>
      </c>
      <c r="AH214" s="1" t="str">
        <f t="array" ref="AH214">IFERROR(INDEX('Исходник'!$1:$626,MATCH($A214,'Исходник'!$T:$T,0),MATCH(AH$1,'Исходник'!$1:$1,0)))</f>
        <v/>
      </c>
      <c r="AI214" s="1" t="str">
        <f t="array" ref="AI214">IFERROR(INDEX('Исходник'!$1:$626,MATCH($A214,'Исходник'!$T:$T,0),MATCH(AI$1,'Исходник'!$1:$1,0)))</f>
        <v/>
      </c>
      <c r="AJ214" s="18">
        <f t="shared" si="15"/>
        <v>0</v>
      </c>
    </row>
    <row r="215" ht="15.75" customHeight="1">
      <c r="A215" s="27"/>
      <c r="B215" s="1" t="str">
        <f t="array" ref="B215">IFERROR(INDEX('Исходник'!$1:$626,MATCH($A215,'Исходник'!$T:$T,0),MATCH(B$1,'Исходник'!$1:$1,0)))</f>
        <v/>
      </c>
      <c r="C215" s="1" t="str">
        <f t="array" ref="C215">IFERROR(INDEX('Исходник'!$1:$626,MATCH($A215,'Исходник'!$T:$T,0),MATCH(C$1,'Исходник'!$1:$1,0)))</f>
        <v/>
      </c>
      <c r="D215" s="1" t="str">
        <f t="array" ref="D215">IFERROR(INDEX('Исходник'!$1:$626,MATCH($A215,'Исходник'!$T:$T,0),MATCH(D$1,'Исходник'!$1:$1,0)))</f>
        <v/>
      </c>
      <c r="E215" s="1" t="str">
        <f t="array" ref="E215">IFERROR(INDEX('Исходник'!$1:$626,MATCH($A215,'Исходник'!$T:$T,0),MATCH(E$1,'Исходник'!$1:$1,0)))</f>
        <v/>
      </c>
      <c r="F215" s="1" t="str">
        <f t="array" ref="F215">IFERROR(INDEX('Исходник'!$1:$626,MATCH($A215,'Исходник'!$T:$T,0),MATCH(F$1,'Исходник'!$1:$1,0)))</f>
        <v/>
      </c>
      <c r="G215" s="1" t="str">
        <f t="array" ref="G215">IFERROR(INDEX('Исходник'!$1:$626,MATCH($A215,'Исходник'!$T:$T,0),MATCH(G$1,'Исходник'!$1:$1,0)))</f>
        <v/>
      </c>
      <c r="H215" s="27">
        <f t="shared" si="1"/>
        <v>0</v>
      </c>
      <c r="I215" s="27" t="str">
        <f t="shared" si="2"/>
        <v/>
      </c>
      <c r="J215" s="1" t="str">
        <f t="array" ref="J215">IFERROR(INDEX('Исходник'!$1:$626,MATCH($A215,'Исходник'!$T:$T,0),MATCH(J$1,'Исходник'!$1:$1,0)))</f>
        <v/>
      </c>
      <c r="K215" s="27" t="str">
        <f t="shared" si="3"/>
        <v/>
      </c>
      <c r="L215" s="1" t="str">
        <f t="array" ref="L215">IFERROR(INDEX('Исходник'!$1:$626,MATCH($A215,'Исходник'!$T:$T,0),MATCH(L$1,'Исходник'!$1:$1,0)))</f>
        <v/>
      </c>
      <c r="M215" s="28">
        <f t="shared" si="4"/>
        <v>0</v>
      </c>
      <c r="N215" s="1" t="str">
        <f t="array" ref="N215">IFERROR(INDEX('Исходник'!$1:$626,MATCH($A215,'Исходник'!$T:$T,0),MATCH(N$1,'Исходник'!$1:$1,0)))</f>
        <v/>
      </c>
      <c r="O215" s="27">
        <f t="shared" si="5"/>
        <v>0</v>
      </c>
      <c r="P215" s="27" t="str">
        <f t="shared" si="6"/>
        <v/>
      </c>
      <c r="Q215" s="1" t="str">
        <f t="array" ref="Q215">IFERROR(INDEX('Исходник'!$1:$626,MATCH($A215,'Исходник'!$T:$T,0),MATCH(Q$1,'Исходник'!$1:$1,0)))</f>
        <v/>
      </c>
      <c r="R215" s="1" t="str">
        <f t="array" ref="R215">IFERROR(INDEX('Исходник'!$1:$626,MATCH($A215,'Исходник'!$T:$T,0),MATCH(R$1,'Исходник'!$1:$1,0)))</f>
        <v/>
      </c>
      <c r="S215" s="27">
        <f t="shared" si="7"/>
        <v>0</v>
      </c>
      <c r="T215" s="27" t="str">
        <f t="shared" si="8"/>
        <v/>
      </c>
      <c r="U215" s="1" t="str">
        <f t="array" ref="U215">IFERROR(INDEX('Исходник'!$1:$626,MATCH($A215,'Исходник'!$T:$T,0),MATCH(U$1,'Исходник'!$1:$1,0)))</f>
        <v/>
      </c>
      <c r="V215" s="27" t="str">
        <f t="shared" si="9"/>
        <v/>
      </c>
      <c r="W215" s="1" t="str">
        <f t="array" ref="W215">IFERROR(INDEX('Исходник'!$1:$626,MATCH($A215,'Исходник'!$T:$T,0),MATCH(W$1,'Исходник'!$1:$1,0)))</f>
        <v/>
      </c>
      <c r="X215" s="28">
        <f t="shared" si="10"/>
        <v>0</v>
      </c>
      <c r="Y215" s="1" t="str">
        <f t="array" ref="Y215">IFERROR(INDEX('Исходник'!$1:$626,MATCH($A215,'Исходник'!$T:$T,0),MATCH(Y$1,'Исходник'!$1:$1,0)))</f>
        <v/>
      </c>
      <c r="Z215" s="27">
        <f t="shared" si="11"/>
        <v>0</v>
      </c>
      <c r="AA215" s="27" t="str">
        <f t="shared" si="12"/>
        <v/>
      </c>
      <c r="AB215" s="1" t="str">
        <f t="array" ref="AB215">IFERROR(INDEX('Исходник'!$1:$626,MATCH($A215,'Исходник'!$T:$T,0),MATCH(AB$1,'Исходник'!$1:$1,0)))</f>
        <v/>
      </c>
      <c r="AC215" s="1" t="str">
        <f t="array" ref="AC215">IFERROR(INDEX('Исходник'!$1:$626,MATCH($A215,'Исходник'!$T:$T,0),MATCH(AC$1,'Исходник'!$1:$1,0)))</f>
        <v/>
      </c>
      <c r="AD215" s="27" t="str">
        <f t="shared" si="13"/>
        <v/>
      </c>
      <c r="AE215" s="1" t="str">
        <f t="array" ref="AE215">IFERROR(INDEX('Исходник'!$1:$626,MATCH($A215,'Исходник'!$T:$T,0),MATCH(AE$1,'Исходник'!$1:$1,0)))</f>
        <v/>
      </c>
      <c r="AF215" s="1" t="str">
        <f t="array" ref="AF215">IFERROR(INDEX('Исходник'!$1:$626,MATCH($A215,'Исходник'!$T:$T,0),MATCH(AF$1,'Исходник'!$1:$1,0)))</f>
        <v/>
      </c>
      <c r="AG215" s="27" t="str">
        <f t="shared" si="14"/>
        <v/>
      </c>
      <c r="AH215" s="1" t="str">
        <f t="array" ref="AH215">IFERROR(INDEX('Исходник'!$1:$626,MATCH($A215,'Исходник'!$T:$T,0),MATCH(AH$1,'Исходник'!$1:$1,0)))</f>
        <v/>
      </c>
      <c r="AI215" s="1" t="str">
        <f t="array" ref="AI215">IFERROR(INDEX('Исходник'!$1:$626,MATCH($A215,'Исходник'!$T:$T,0),MATCH(AI$1,'Исходник'!$1:$1,0)))</f>
        <v/>
      </c>
      <c r="AJ215" s="18">
        <f t="shared" si="15"/>
        <v>0</v>
      </c>
    </row>
    <row r="216" ht="15.75" customHeight="1">
      <c r="A216" s="27"/>
      <c r="B216" s="1" t="str">
        <f t="array" ref="B216">IFERROR(INDEX('Исходник'!$1:$626,MATCH($A216,'Исходник'!$T:$T,0),MATCH(B$1,'Исходник'!$1:$1,0)))</f>
        <v/>
      </c>
      <c r="C216" s="1" t="str">
        <f t="array" ref="C216">IFERROR(INDEX('Исходник'!$1:$626,MATCH($A216,'Исходник'!$T:$T,0),MATCH(C$1,'Исходник'!$1:$1,0)))</f>
        <v/>
      </c>
      <c r="D216" s="1" t="str">
        <f t="array" ref="D216">IFERROR(INDEX('Исходник'!$1:$626,MATCH($A216,'Исходник'!$T:$T,0),MATCH(D$1,'Исходник'!$1:$1,0)))</f>
        <v/>
      </c>
      <c r="E216" s="1" t="str">
        <f t="array" ref="E216">IFERROR(INDEX('Исходник'!$1:$626,MATCH($A216,'Исходник'!$T:$T,0),MATCH(E$1,'Исходник'!$1:$1,0)))</f>
        <v/>
      </c>
      <c r="F216" s="1" t="str">
        <f t="array" ref="F216">IFERROR(INDEX('Исходник'!$1:$626,MATCH($A216,'Исходник'!$T:$T,0),MATCH(F$1,'Исходник'!$1:$1,0)))</f>
        <v/>
      </c>
      <c r="G216" s="1" t="str">
        <f t="array" ref="G216">IFERROR(INDEX('Исходник'!$1:$626,MATCH($A216,'Исходник'!$T:$T,0),MATCH(G$1,'Исходник'!$1:$1,0)))</f>
        <v/>
      </c>
      <c r="H216" s="27">
        <f t="shared" si="1"/>
        <v>0</v>
      </c>
      <c r="I216" s="27" t="str">
        <f t="shared" si="2"/>
        <v/>
      </c>
      <c r="J216" s="1" t="str">
        <f t="array" ref="J216">IFERROR(INDEX('Исходник'!$1:$626,MATCH($A216,'Исходник'!$T:$T,0),MATCH(J$1,'Исходник'!$1:$1,0)))</f>
        <v/>
      </c>
      <c r="K216" s="27" t="str">
        <f t="shared" si="3"/>
        <v/>
      </c>
      <c r="L216" s="1" t="str">
        <f t="array" ref="L216">IFERROR(INDEX('Исходник'!$1:$626,MATCH($A216,'Исходник'!$T:$T,0),MATCH(L$1,'Исходник'!$1:$1,0)))</f>
        <v/>
      </c>
      <c r="M216" s="28">
        <f t="shared" si="4"/>
        <v>0</v>
      </c>
      <c r="N216" s="1" t="str">
        <f t="array" ref="N216">IFERROR(INDEX('Исходник'!$1:$626,MATCH($A216,'Исходник'!$T:$T,0),MATCH(N$1,'Исходник'!$1:$1,0)))</f>
        <v/>
      </c>
      <c r="O216" s="27">
        <f t="shared" si="5"/>
        <v>0</v>
      </c>
      <c r="P216" s="27" t="str">
        <f t="shared" si="6"/>
        <v/>
      </c>
      <c r="Q216" s="1" t="str">
        <f t="array" ref="Q216">IFERROR(INDEX('Исходник'!$1:$626,MATCH($A216,'Исходник'!$T:$T,0),MATCH(Q$1,'Исходник'!$1:$1,0)))</f>
        <v/>
      </c>
      <c r="R216" s="1" t="str">
        <f t="array" ref="R216">IFERROR(INDEX('Исходник'!$1:$626,MATCH($A216,'Исходник'!$T:$T,0),MATCH(R$1,'Исходник'!$1:$1,0)))</f>
        <v/>
      </c>
      <c r="S216" s="27">
        <f t="shared" si="7"/>
        <v>0</v>
      </c>
      <c r="T216" s="27" t="str">
        <f t="shared" si="8"/>
        <v/>
      </c>
      <c r="U216" s="1" t="str">
        <f t="array" ref="U216">IFERROR(INDEX('Исходник'!$1:$626,MATCH($A216,'Исходник'!$T:$T,0),MATCH(U$1,'Исходник'!$1:$1,0)))</f>
        <v/>
      </c>
      <c r="V216" s="27" t="str">
        <f t="shared" si="9"/>
        <v/>
      </c>
      <c r="W216" s="1" t="str">
        <f t="array" ref="W216">IFERROR(INDEX('Исходник'!$1:$626,MATCH($A216,'Исходник'!$T:$T,0),MATCH(W$1,'Исходник'!$1:$1,0)))</f>
        <v/>
      </c>
      <c r="X216" s="28">
        <f t="shared" si="10"/>
        <v>0</v>
      </c>
      <c r="Y216" s="1" t="str">
        <f t="array" ref="Y216">IFERROR(INDEX('Исходник'!$1:$626,MATCH($A216,'Исходник'!$T:$T,0),MATCH(Y$1,'Исходник'!$1:$1,0)))</f>
        <v/>
      </c>
      <c r="Z216" s="27">
        <f t="shared" si="11"/>
        <v>0</v>
      </c>
      <c r="AA216" s="27" t="str">
        <f t="shared" si="12"/>
        <v/>
      </c>
      <c r="AB216" s="1" t="str">
        <f t="array" ref="AB216">IFERROR(INDEX('Исходник'!$1:$626,MATCH($A216,'Исходник'!$T:$T,0),MATCH(AB$1,'Исходник'!$1:$1,0)))</f>
        <v/>
      </c>
      <c r="AC216" s="1" t="str">
        <f t="array" ref="AC216">IFERROR(INDEX('Исходник'!$1:$626,MATCH($A216,'Исходник'!$T:$T,0),MATCH(AC$1,'Исходник'!$1:$1,0)))</f>
        <v/>
      </c>
      <c r="AD216" s="27" t="str">
        <f t="shared" si="13"/>
        <v/>
      </c>
      <c r="AE216" s="1" t="str">
        <f t="array" ref="AE216">IFERROR(INDEX('Исходник'!$1:$626,MATCH($A216,'Исходник'!$T:$T,0),MATCH(AE$1,'Исходник'!$1:$1,0)))</f>
        <v/>
      </c>
      <c r="AF216" s="1" t="str">
        <f t="array" ref="AF216">IFERROR(INDEX('Исходник'!$1:$626,MATCH($A216,'Исходник'!$T:$T,0),MATCH(AF$1,'Исходник'!$1:$1,0)))</f>
        <v/>
      </c>
      <c r="AG216" s="27" t="str">
        <f t="shared" si="14"/>
        <v/>
      </c>
      <c r="AH216" s="1" t="str">
        <f t="array" ref="AH216">IFERROR(INDEX('Исходник'!$1:$626,MATCH($A216,'Исходник'!$T:$T,0),MATCH(AH$1,'Исходник'!$1:$1,0)))</f>
        <v/>
      </c>
      <c r="AI216" s="1" t="str">
        <f t="array" ref="AI216">IFERROR(INDEX('Исходник'!$1:$626,MATCH($A216,'Исходник'!$T:$T,0),MATCH(AI$1,'Исходник'!$1:$1,0)))</f>
        <v/>
      </c>
      <c r="AJ216" s="18">
        <f t="shared" si="15"/>
        <v>0</v>
      </c>
    </row>
    <row r="217" ht="15.75" customHeight="1">
      <c r="A217" s="27"/>
      <c r="B217" s="1" t="str">
        <f t="array" ref="B217">IFERROR(INDEX('Исходник'!$1:$626,MATCH($A217,'Исходник'!$T:$T,0),MATCH(B$1,'Исходник'!$1:$1,0)))</f>
        <v/>
      </c>
      <c r="C217" s="1" t="str">
        <f t="array" ref="C217">IFERROR(INDEX('Исходник'!$1:$626,MATCH($A217,'Исходник'!$T:$T,0),MATCH(C$1,'Исходник'!$1:$1,0)))</f>
        <v/>
      </c>
      <c r="D217" s="1" t="str">
        <f t="array" ref="D217">IFERROR(INDEX('Исходник'!$1:$626,MATCH($A217,'Исходник'!$T:$T,0),MATCH(D$1,'Исходник'!$1:$1,0)))</f>
        <v/>
      </c>
      <c r="E217" s="1" t="str">
        <f t="array" ref="E217">IFERROR(INDEX('Исходник'!$1:$626,MATCH($A217,'Исходник'!$T:$T,0),MATCH(E$1,'Исходник'!$1:$1,0)))</f>
        <v/>
      </c>
      <c r="F217" s="1" t="str">
        <f t="array" ref="F217">IFERROR(INDEX('Исходник'!$1:$626,MATCH($A217,'Исходник'!$T:$T,0),MATCH(F$1,'Исходник'!$1:$1,0)))</f>
        <v/>
      </c>
      <c r="G217" s="1" t="str">
        <f t="array" ref="G217">IFERROR(INDEX('Исходник'!$1:$626,MATCH($A217,'Исходник'!$T:$T,0),MATCH(G$1,'Исходник'!$1:$1,0)))</f>
        <v/>
      </c>
      <c r="H217" s="27">
        <f t="shared" si="1"/>
        <v>0</v>
      </c>
      <c r="I217" s="27" t="str">
        <f t="shared" si="2"/>
        <v/>
      </c>
      <c r="J217" s="1" t="str">
        <f t="array" ref="J217">IFERROR(INDEX('Исходник'!$1:$626,MATCH($A217,'Исходник'!$T:$T,0),MATCH(J$1,'Исходник'!$1:$1,0)))</f>
        <v/>
      </c>
      <c r="K217" s="27" t="str">
        <f t="shared" si="3"/>
        <v/>
      </c>
      <c r="L217" s="1" t="str">
        <f t="array" ref="L217">IFERROR(INDEX('Исходник'!$1:$626,MATCH($A217,'Исходник'!$T:$T,0),MATCH(L$1,'Исходник'!$1:$1,0)))</f>
        <v/>
      </c>
      <c r="M217" s="28">
        <f t="shared" si="4"/>
        <v>0</v>
      </c>
      <c r="N217" s="1" t="str">
        <f t="array" ref="N217">IFERROR(INDEX('Исходник'!$1:$626,MATCH($A217,'Исходник'!$T:$T,0),MATCH(N$1,'Исходник'!$1:$1,0)))</f>
        <v/>
      </c>
      <c r="O217" s="27">
        <f t="shared" si="5"/>
        <v>0</v>
      </c>
      <c r="P217" s="27" t="str">
        <f t="shared" si="6"/>
        <v/>
      </c>
      <c r="Q217" s="1" t="str">
        <f t="array" ref="Q217">IFERROR(INDEX('Исходник'!$1:$626,MATCH($A217,'Исходник'!$T:$T,0),MATCH(Q$1,'Исходник'!$1:$1,0)))</f>
        <v/>
      </c>
      <c r="R217" s="1" t="str">
        <f t="array" ref="R217">IFERROR(INDEX('Исходник'!$1:$626,MATCH($A217,'Исходник'!$T:$T,0),MATCH(R$1,'Исходник'!$1:$1,0)))</f>
        <v/>
      </c>
      <c r="S217" s="27">
        <f t="shared" si="7"/>
        <v>0</v>
      </c>
      <c r="T217" s="27" t="str">
        <f t="shared" si="8"/>
        <v/>
      </c>
      <c r="U217" s="1" t="str">
        <f t="array" ref="U217">IFERROR(INDEX('Исходник'!$1:$626,MATCH($A217,'Исходник'!$T:$T,0),MATCH(U$1,'Исходник'!$1:$1,0)))</f>
        <v/>
      </c>
      <c r="V217" s="27" t="str">
        <f t="shared" si="9"/>
        <v/>
      </c>
      <c r="W217" s="1" t="str">
        <f t="array" ref="W217">IFERROR(INDEX('Исходник'!$1:$626,MATCH($A217,'Исходник'!$T:$T,0),MATCH(W$1,'Исходник'!$1:$1,0)))</f>
        <v/>
      </c>
      <c r="X217" s="28">
        <f t="shared" si="10"/>
        <v>0</v>
      </c>
      <c r="Y217" s="1" t="str">
        <f t="array" ref="Y217">IFERROR(INDEX('Исходник'!$1:$626,MATCH($A217,'Исходник'!$T:$T,0),MATCH(Y$1,'Исходник'!$1:$1,0)))</f>
        <v/>
      </c>
      <c r="Z217" s="27">
        <f t="shared" si="11"/>
        <v>0</v>
      </c>
      <c r="AA217" s="27" t="str">
        <f t="shared" si="12"/>
        <v/>
      </c>
      <c r="AB217" s="1" t="str">
        <f t="array" ref="AB217">IFERROR(INDEX('Исходник'!$1:$626,MATCH($A217,'Исходник'!$T:$T,0),MATCH(AB$1,'Исходник'!$1:$1,0)))</f>
        <v/>
      </c>
      <c r="AC217" s="1" t="str">
        <f t="array" ref="AC217">IFERROR(INDEX('Исходник'!$1:$626,MATCH($A217,'Исходник'!$T:$T,0),MATCH(AC$1,'Исходник'!$1:$1,0)))</f>
        <v/>
      </c>
      <c r="AD217" s="27" t="str">
        <f t="shared" si="13"/>
        <v/>
      </c>
      <c r="AE217" s="1" t="str">
        <f t="array" ref="AE217">IFERROR(INDEX('Исходник'!$1:$626,MATCH($A217,'Исходник'!$T:$T,0),MATCH(AE$1,'Исходник'!$1:$1,0)))</f>
        <v/>
      </c>
      <c r="AF217" s="1" t="str">
        <f t="array" ref="AF217">IFERROR(INDEX('Исходник'!$1:$626,MATCH($A217,'Исходник'!$T:$T,0),MATCH(AF$1,'Исходник'!$1:$1,0)))</f>
        <v/>
      </c>
      <c r="AG217" s="27" t="str">
        <f t="shared" si="14"/>
        <v/>
      </c>
      <c r="AH217" s="1" t="str">
        <f t="array" ref="AH217">IFERROR(INDEX('Исходник'!$1:$626,MATCH($A217,'Исходник'!$T:$T,0),MATCH(AH$1,'Исходник'!$1:$1,0)))</f>
        <v/>
      </c>
      <c r="AI217" s="1" t="str">
        <f t="array" ref="AI217">IFERROR(INDEX('Исходник'!$1:$626,MATCH($A217,'Исходник'!$T:$T,0),MATCH(AI$1,'Исходник'!$1:$1,0)))</f>
        <v/>
      </c>
      <c r="AJ217" s="18">
        <f t="shared" si="15"/>
        <v>0</v>
      </c>
    </row>
    <row r="218" ht="15.75" customHeight="1">
      <c r="A218" s="27"/>
      <c r="B218" s="1" t="str">
        <f t="array" ref="B218">IFERROR(INDEX('Исходник'!$1:$626,MATCH($A218,'Исходник'!$T:$T,0),MATCH(B$1,'Исходник'!$1:$1,0)))</f>
        <v/>
      </c>
      <c r="C218" s="1" t="str">
        <f t="array" ref="C218">IFERROR(INDEX('Исходник'!$1:$626,MATCH($A218,'Исходник'!$T:$T,0),MATCH(C$1,'Исходник'!$1:$1,0)))</f>
        <v/>
      </c>
      <c r="D218" s="1" t="str">
        <f t="array" ref="D218">IFERROR(INDEX('Исходник'!$1:$626,MATCH($A218,'Исходник'!$T:$T,0),MATCH(D$1,'Исходник'!$1:$1,0)))</f>
        <v/>
      </c>
      <c r="E218" s="1" t="str">
        <f t="array" ref="E218">IFERROR(INDEX('Исходник'!$1:$626,MATCH($A218,'Исходник'!$T:$T,0),MATCH(E$1,'Исходник'!$1:$1,0)))</f>
        <v/>
      </c>
      <c r="F218" s="1" t="str">
        <f t="array" ref="F218">IFERROR(INDEX('Исходник'!$1:$626,MATCH($A218,'Исходник'!$T:$T,0),MATCH(F$1,'Исходник'!$1:$1,0)))</f>
        <v/>
      </c>
      <c r="G218" s="1" t="str">
        <f t="array" ref="G218">IFERROR(INDEX('Исходник'!$1:$626,MATCH($A218,'Исходник'!$T:$T,0),MATCH(G$1,'Исходник'!$1:$1,0)))</f>
        <v/>
      </c>
      <c r="H218" s="27">
        <f t="shared" si="1"/>
        <v>0</v>
      </c>
      <c r="I218" s="27" t="str">
        <f t="shared" si="2"/>
        <v/>
      </c>
      <c r="J218" s="1" t="str">
        <f t="array" ref="J218">IFERROR(INDEX('Исходник'!$1:$626,MATCH($A218,'Исходник'!$T:$T,0),MATCH(J$1,'Исходник'!$1:$1,0)))</f>
        <v/>
      </c>
      <c r="K218" s="27" t="str">
        <f t="shared" si="3"/>
        <v/>
      </c>
      <c r="L218" s="1" t="str">
        <f t="array" ref="L218">IFERROR(INDEX('Исходник'!$1:$626,MATCH($A218,'Исходник'!$T:$T,0),MATCH(L$1,'Исходник'!$1:$1,0)))</f>
        <v/>
      </c>
      <c r="M218" s="28">
        <f t="shared" si="4"/>
        <v>0</v>
      </c>
      <c r="N218" s="1" t="str">
        <f t="array" ref="N218">IFERROR(INDEX('Исходник'!$1:$626,MATCH($A218,'Исходник'!$T:$T,0),MATCH(N$1,'Исходник'!$1:$1,0)))</f>
        <v/>
      </c>
      <c r="O218" s="27">
        <f t="shared" si="5"/>
        <v>0</v>
      </c>
      <c r="P218" s="27" t="str">
        <f t="shared" si="6"/>
        <v/>
      </c>
      <c r="Q218" s="1" t="str">
        <f t="array" ref="Q218">IFERROR(INDEX('Исходник'!$1:$626,MATCH($A218,'Исходник'!$T:$T,0),MATCH(Q$1,'Исходник'!$1:$1,0)))</f>
        <v/>
      </c>
      <c r="R218" s="1" t="str">
        <f t="array" ref="R218">IFERROR(INDEX('Исходник'!$1:$626,MATCH($A218,'Исходник'!$T:$T,0),MATCH(R$1,'Исходник'!$1:$1,0)))</f>
        <v/>
      </c>
      <c r="S218" s="27">
        <f t="shared" si="7"/>
        <v>0</v>
      </c>
      <c r="T218" s="27" t="str">
        <f t="shared" si="8"/>
        <v/>
      </c>
      <c r="U218" s="1" t="str">
        <f t="array" ref="U218">IFERROR(INDEX('Исходник'!$1:$626,MATCH($A218,'Исходник'!$T:$T,0),MATCH(U$1,'Исходник'!$1:$1,0)))</f>
        <v/>
      </c>
      <c r="V218" s="27" t="str">
        <f t="shared" si="9"/>
        <v/>
      </c>
      <c r="W218" s="1" t="str">
        <f t="array" ref="W218">IFERROR(INDEX('Исходник'!$1:$626,MATCH($A218,'Исходник'!$T:$T,0),MATCH(W$1,'Исходник'!$1:$1,0)))</f>
        <v/>
      </c>
      <c r="X218" s="28">
        <f t="shared" si="10"/>
        <v>0</v>
      </c>
      <c r="Y218" s="1" t="str">
        <f t="array" ref="Y218">IFERROR(INDEX('Исходник'!$1:$626,MATCH($A218,'Исходник'!$T:$T,0),MATCH(Y$1,'Исходник'!$1:$1,0)))</f>
        <v/>
      </c>
      <c r="Z218" s="27">
        <f t="shared" si="11"/>
        <v>0</v>
      </c>
      <c r="AA218" s="27" t="str">
        <f t="shared" si="12"/>
        <v/>
      </c>
      <c r="AB218" s="1" t="str">
        <f t="array" ref="AB218">IFERROR(INDEX('Исходник'!$1:$626,MATCH($A218,'Исходник'!$T:$T,0),MATCH(AB$1,'Исходник'!$1:$1,0)))</f>
        <v/>
      </c>
      <c r="AC218" s="1" t="str">
        <f t="array" ref="AC218">IFERROR(INDEX('Исходник'!$1:$626,MATCH($A218,'Исходник'!$T:$T,0),MATCH(AC$1,'Исходник'!$1:$1,0)))</f>
        <v/>
      </c>
      <c r="AD218" s="27" t="str">
        <f t="shared" si="13"/>
        <v/>
      </c>
      <c r="AE218" s="1" t="str">
        <f t="array" ref="AE218">IFERROR(INDEX('Исходник'!$1:$626,MATCH($A218,'Исходник'!$T:$T,0),MATCH(AE$1,'Исходник'!$1:$1,0)))</f>
        <v/>
      </c>
      <c r="AF218" s="1" t="str">
        <f t="array" ref="AF218">IFERROR(INDEX('Исходник'!$1:$626,MATCH($A218,'Исходник'!$T:$T,0),MATCH(AF$1,'Исходник'!$1:$1,0)))</f>
        <v/>
      </c>
      <c r="AG218" s="27" t="str">
        <f t="shared" si="14"/>
        <v/>
      </c>
      <c r="AH218" s="1" t="str">
        <f t="array" ref="AH218">IFERROR(INDEX('Исходник'!$1:$626,MATCH($A218,'Исходник'!$T:$T,0),MATCH(AH$1,'Исходник'!$1:$1,0)))</f>
        <v/>
      </c>
      <c r="AI218" s="1" t="str">
        <f t="array" ref="AI218">IFERROR(INDEX('Исходник'!$1:$626,MATCH($A218,'Исходник'!$T:$T,0),MATCH(AI$1,'Исходник'!$1:$1,0)))</f>
        <v/>
      </c>
      <c r="AJ218" s="18">
        <f t="shared" si="15"/>
        <v>0</v>
      </c>
    </row>
    <row r="219" ht="15.75" customHeight="1">
      <c r="A219" s="27"/>
      <c r="B219" s="1" t="str">
        <f t="array" ref="B219">IFERROR(INDEX('Исходник'!$1:$626,MATCH($A219,'Исходник'!$T:$T,0),MATCH(B$1,'Исходник'!$1:$1,0)))</f>
        <v/>
      </c>
      <c r="C219" s="1" t="str">
        <f t="array" ref="C219">IFERROR(INDEX('Исходник'!$1:$626,MATCH($A219,'Исходник'!$T:$T,0),MATCH(C$1,'Исходник'!$1:$1,0)))</f>
        <v/>
      </c>
      <c r="D219" s="1" t="str">
        <f t="array" ref="D219">IFERROR(INDEX('Исходник'!$1:$626,MATCH($A219,'Исходник'!$T:$T,0),MATCH(D$1,'Исходник'!$1:$1,0)))</f>
        <v/>
      </c>
      <c r="E219" s="1" t="str">
        <f t="array" ref="E219">IFERROR(INDEX('Исходник'!$1:$626,MATCH($A219,'Исходник'!$T:$T,0),MATCH(E$1,'Исходник'!$1:$1,0)))</f>
        <v/>
      </c>
      <c r="F219" s="1" t="str">
        <f t="array" ref="F219">IFERROR(INDEX('Исходник'!$1:$626,MATCH($A219,'Исходник'!$T:$T,0),MATCH(F$1,'Исходник'!$1:$1,0)))</f>
        <v/>
      </c>
      <c r="G219" s="1" t="str">
        <f t="array" ref="G219">IFERROR(INDEX('Исходник'!$1:$626,MATCH($A219,'Исходник'!$T:$T,0),MATCH(G$1,'Исходник'!$1:$1,0)))</f>
        <v/>
      </c>
      <c r="H219" s="27">
        <f t="shared" si="1"/>
        <v>0</v>
      </c>
      <c r="I219" s="27" t="str">
        <f t="shared" si="2"/>
        <v/>
      </c>
      <c r="J219" s="1" t="str">
        <f t="array" ref="J219">IFERROR(INDEX('Исходник'!$1:$626,MATCH($A219,'Исходник'!$T:$T,0),MATCH(J$1,'Исходник'!$1:$1,0)))</f>
        <v/>
      </c>
      <c r="K219" s="27" t="str">
        <f t="shared" si="3"/>
        <v/>
      </c>
      <c r="L219" s="1" t="str">
        <f t="array" ref="L219">IFERROR(INDEX('Исходник'!$1:$626,MATCH($A219,'Исходник'!$T:$T,0),MATCH(L$1,'Исходник'!$1:$1,0)))</f>
        <v/>
      </c>
      <c r="M219" s="28">
        <f t="shared" si="4"/>
        <v>0</v>
      </c>
      <c r="N219" s="1" t="str">
        <f t="array" ref="N219">IFERROR(INDEX('Исходник'!$1:$626,MATCH($A219,'Исходник'!$T:$T,0),MATCH(N$1,'Исходник'!$1:$1,0)))</f>
        <v/>
      </c>
      <c r="O219" s="27">
        <f t="shared" si="5"/>
        <v>0</v>
      </c>
      <c r="P219" s="27" t="str">
        <f t="shared" si="6"/>
        <v/>
      </c>
      <c r="Q219" s="1" t="str">
        <f t="array" ref="Q219">IFERROR(INDEX('Исходник'!$1:$626,MATCH($A219,'Исходник'!$T:$T,0),MATCH(Q$1,'Исходник'!$1:$1,0)))</f>
        <v/>
      </c>
      <c r="R219" s="1" t="str">
        <f t="array" ref="R219">IFERROR(INDEX('Исходник'!$1:$626,MATCH($A219,'Исходник'!$T:$T,0),MATCH(R$1,'Исходник'!$1:$1,0)))</f>
        <v/>
      </c>
      <c r="S219" s="27">
        <f t="shared" si="7"/>
        <v>0</v>
      </c>
      <c r="T219" s="27" t="str">
        <f t="shared" si="8"/>
        <v/>
      </c>
      <c r="U219" s="1" t="str">
        <f t="array" ref="U219">IFERROR(INDEX('Исходник'!$1:$626,MATCH($A219,'Исходник'!$T:$T,0),MATCH(U$1,'Исходник'!$1:$1,0)))</f>
        <v/>
      </c>
      <c r="V219" s="27" t="str">
        <f t="shared" si="9"/>
        <v/>
      </c>
      <c r="W219" s="1" t="str">
        <f t="array" ref="W219">IFERROR(INDEX('Исходник'!$1:$626,MATCH($A219,'Исходник'!$T:$T,0),MATCH(W$1,'Исходник'!$1:$1,0)))</f>
        <v/>
      </c>
      <c r="X219" s="28">
        <f t="shared" si="10"/>
        <v>0</v>
      </c>
      <c r="Y219" s="1" t="str">
        <f t="array" ref="Y219">IFERROR(INDEX('Исходник'!$1:$626,MATCH($A219,'Исходник'!$T:$T,0),MATCH(Y$1,'Исходник'!$1:$1,0)))</f>
        <v/>
      </c>
      <c r="Z219" s="27">
        <f t="shared" si="11"/>
        <v>0</v>
      </c>
      <c r="AA219" s="27" t="str">
        <f t="shared" si="12"/>
        <v/>
      </c>
      <c r="AB219" s="1" t="str">
        <f t="array" ref="AB219">IFERROR(INDEX('Исходник'!$1:$626,MATCH($A219,'Исходник'!$T:$T,0),MATCH(AB$1,'Исходник'!$1:$1,0)))</f>
        <v/>
      </c>
      <c r="AC219" s="1" t="str">
        <f t="array" ref="AC219">IFERROR(INDEX('Исходник'!$1:$626,MATCH($A219,'Исходник'!$T:$T,0),MATCH(AC$1,'Исходник'!$1:$1,0)))</f>
        <v/>
      </c>
      <c r="AD219" s="27" t="str">
        <f t="shared" si="13"/>
        <v/>
      </c>
      <c r="AE219" s="1" t="str">
        <f t="array" ref="AE219">IFERROR(INDEX('Исходник'!$1:$626,MATCH($A219,'Исходник'!$T:$T,0),MATCH(AE$1,'Исходник'!$1:$1,0)))</f>
        <v/>
      </c>
      <c r="AF219" s="1" t="str">
        <f t="array" ref="AF219">IFERROR(INDEX('Исходник'!$1:$626,MATCH($A219,'Исходник'!$T:$T,0),MATCH(AF$1,'Исходник'!$1:$1,0)))</f>
        <v/>
      </c>
      <c r="AG219" s="27" t="str">
        <f t="shared" si="14"/>
        <v/>
      </c>
      <c r="AH219" s="1" t="str">
        <f t="array" ref="AH219">IFERROR(INDEX('Исходник'!$1:$626,MATCH($A219,'Исходник'!$T:$T,0),MATCH(AH$1,'Исходник'!$1:$1,0)))</f>
        <v/>
      </c>
      <c r="AI219" s="1" t="str">
        <f t="array" ref="AI219">IFERROR(INDEX('Исходник'!$1:$626,MATCH($A219,'Исходник'!$T:$T,0),MATCH(AI$1,'Исходник'!$1:$1,0)))</f>
        <v/>
      </c>
      <c r="AJ219" s="18">
        <f t="shared" si="15"/>
        <v>0</v>
      </c>
    </row>
    <row r="220" ht="15.75" customHeight="1">
      <c r="A220" s="27"/>
      <c r="B220" s="1" t="str">
        <f t="array" ref="B220">IFERROR(INDEX('Исходник'!$1:$626,MATCH($A220,'Исходник'!$T:$T,0),MATCH(B$1,'Исходник'!$1:$1,0)))</f>
        <v/>
      </c>
      <c r="C220" s="1" t="str">
        <f t="array" ref="C220">IFERROR(INDEX('Исходник'!$1:$626,MATCH($A220,'Исходник'!$T:$T,0),MATCH(C$1,'Исходник'!$1:$1,0)))</f>
        <v/>
      </c>
      <c r="D220" s="1" t="str">
        <f t="array" ref="D220">IFERROR(INDEX('Исходник'!$1:$626,MATCH($A220,'Исходник'!$T:$T,0),MATCH(D$1,'Исходник'!$1:$1,0)))</f>
        <v/>
      </c>
      <c r="E220" s="1" t="str">
        <f t="array" ref="E220">IFERROR(INDEX('Исходник'!$1:$626,MATCH($A220,'Исходник'!$T:$T,0),MATCH(E$1,'Исходник'!$1:$1,0)))</f>
        <v/>
      </c>
      <c r="F220" s="1" t="str">
        <f t="array" ref="F220">IFERROR(INDEX('Исходник'!$1:$626,MATCH($A220,'Исходник'!$T:$T,0),MATCH(F$1,'Исходник'!$1:$1,0)))</f>
        <v/>
      </c>
      <c r="G220" s="1" t="str">
        <f t="array" ref="G220">IFERROR(INDEX('Исходник'!$1:$626,MATCH($A220,'Исходник'!$T:$T,0),MATCH(G$1,'Исходник'!$1:$1,0)))</f>
        <v/>
      </c>
      <c r="H220" s="27">
        <f t="shared" si="1"/>
        <v>0</v>
      </c>
      <c r="I220" s="27" t="str">
        <f t="shared" si="2"/>
        <v/>
      </c>
      <c r="J220" s="1" t="str">
        <f t="array" ref="J220">IFERROR(INDEX('Исходник'!$1:$626,MATCH($A220,'Исходник'!$T:$T,0),MATCH(J$1,'Исходник'!$1:$1,0)))</f>
        <v/>
      </c>
      <c r="K220" s="27" t="str">
        <f t="shared" si="3"/>
        <v/>
      </c>
      <c r="L220" s="1" t="str">
        <f t="array" ref="L220">IFERROR(INDEX('Исходник'!$1:$626,MATCH($A220,'Исходник'!$T:$T,0),MATCH(L$1,'Исходник'!$1:$1,0)))</f>
        <v/>
      </c>
      <c r="M220" s="28">
        <f t="shared" si="4"/>
        <v>0</v>
      </c>
      <c r="N220" s="1" t="str">
        <f t="array" ref="N220">IFERROR(INDEX('Исходник'!$1:$626,MATCH($A220,'Исходник'!$T:$T,0),MATCH(N$1,'Исходник'!$1:$1,0)))</f>
        <v/>
      </c>
      <c r="O220" s="27">
        <f t="shared" si="5"/>
        <v>0</v>
      </c>
      <c r="P220" s="27" t="str">
        <f t="shared" si="6"/>
        <v/>
      </c>
      <c r="Q220" s="1" t="str">
        <f t="array" ref="Q220">IFERROR(INDEX('Исходник'!$1:$626,MATCH($A220,'Исходник'!$T:$T,0),MATCH(Q$1,'Исходник'!$1:$1,0)))</f>
        <v/>
      </c>
      <c r="R220" s="1" t="str">
        <f t="array" ref="R220">IFERROR(INDEX('Исходник'!$1:$626,MATCH($A220,'Исходник'!$T:$T,0),MATCH(R$1,'Исходник'!$1:$1,0)))</f>
        <v/>
      </c>
      <c r="S220" s="27">
        <f t="shared" si="7"/>
        <v>0</v>
      </c>
      <c r="T220" s="27" t="str">
        <f t="shared" si="8"/>
        <v/>
      </c>
      <c r="U220" s="1" t="str">
        <f t="array" ref="U220">IFERROR(INDEX('Исходник'!$1:$626,MATCH($A220,'Исходник'!$T:$T,0),MATCH(U$1,'Исходник'!$1:$1,0)))</f>
        <v/>
      </c>
      <c r="V220" s="27" t="str">
        <f t="shared" si="9"/>
        <v/>
      </c>
      <c r="W220" s="1" t="str">
        <f t="array" ref="W220">IFERROR(INDEX('Исходник'!$1:$626,MATCH($A220,'Исходник'!$T:$T,0),MATCH(W$1,'Исходник'!$1:$1,0)))</f>
        <v/>
      </c>
      <c r="X220" s="28">
        <f t="shared" si="10"/>
        <v>0</v>
      </c>
      <c r="Y220" s="1" t="str">
        <f t="array" ref="Y220">IFERROR(INDEX('Исходник'!$1:$626,MATCH($A220,'Исходник'!$T:$T,0),MATCH(Y$1,'Исходник'!$1:$1,0)))</f>
        <v/>
      </c>
      <c r="Z220" s="27">
        <f t="shared" si="11"/>
        <v>0</v>
      </c>
      <c r="AA220" s="27" t="str">
        <f t="shared" si="12"/>
        <v/>
      </c>
      <c r="AB220" s="1" t="str">
        <f t="array" ref="AB220">IFERROR(INDEX('Исходник'!$1:$626,MATCH($A220,'Исходник'!$T:$T,0),MATCH(AB$1,'Исходник'!$1:$1,0)))</f>
        <v/>
      </c>
      <c r="AC220" s="1" t="str">
        <f t="array" ref="AC220">IFERROR(INDEX('Исходник'!$1:$626,MATCH($A220,'Исходник'!$T:$T,0),MATCH(AC$1,'Исходник'!$1:$1,0)))</f>
        <v/>
      </c>
      <c r="AD220" s="27" t="str">
        <f t="shared" si="13"/>
        <v/>
      </c>
      <c r="AE220" s="1" t="str">
        <f t="array" ref="AE220">IFERROR(INDEX('Исходник'!$1:$626,MATCH($A220,'Исходник'!$T:$T,0),MATCH(AE$1,'Исходник'!$1:$1,0)))</f>
        <v/>
      </c>
      <c r="AF220" s="1" t="str">
        <f t="array" ref="AF220">IFERROR(INDEX('Исходник'!$1:$626,MATCH($A220,'Исходник'!$T:$T,0),MATCH(AF$1,'Исходник'!$1:$1,0)))</f>
        <v/>
      </c>
      <c r="AG220" s="27" t="str">
        <f t="shared" si="14"/>
        <v/>
      </c>
      <c r="AH220" s="1" t="str">
        <f t="array" ref="AH220">IFERROR(INDEX('Исходник'!$1:$626,MATCH($A220,'Исходник'!$T:$T,0),MATCH(AH$1,'Исходник'!$1:$1,0)))</f>
        <v/>
      </c>
      <c r="AI220" s="1" t="str">
        <f t="array" ref="AI220">IFERROR(INDEX('Исходник'!$1:$626,MATCH($A220,'Исходник'!$T:$T,0),MATCH(AI$1,'Исходник'!$1:$1,0)))</f>
        <v/>
      </c>
      <c r="AJ220" s="18">
        <f t="shared" si="15"/>
        <v>0</v>
      </c>
    </row>
    <row r="221" ht="15.75" customHeight="1">
      <c r="A221" s="27"/>
      <c r="B221" s="1" t="str">
        <f t="array" ref="B221">IFERROR(INDEX('Исходник'!$1:$626,MATCH($A221,'Исходник'!$T:$T,0),MATCH(B$1,'Исходник'!$1:$1,0)))</f>
        <v/>
      </c>
      <c r="C221" s="1" t="str">
        <f t="array" ref="C221">IFERROR(INDEX('Исходник'!$1:$626,MATCH($A221,'Исходник'!$T:$T,0),MATCH(C$1,'Исходник'!$1:$1,0)))</f>
        <v/>
      </c>
      <c r="D221" s="1" t="str">
        <f t="array" ref="D221">IFERROR(INDEX('Исходник'!$1:$626,MATCH($A221,'Исходник'!$T:$T,0),MATCH(D$1,'Исходник'!$1:$1,0)))</f>
        <v/>
      </c>
      <c r="E221" s="1" t="str">
        <f t="array" ref="E221">IFERROR(INDEX('Исходник'!$1:$626,MATCH($A221,'Исходник'!$T:$T,0),MATCH(E$1,'Исходник'!$1:$1,0)))</f>
        <v/>
      </c>
      <c r="F221" s="1" t="str">
        <f t="array" ref="F221">IFERROR(INDEX('Исходник'!$1:$626,MATCH($A221,'Исходник'!$T:$T,0),MATCH(F$1,'Исходник'!$1:$1,0)))</f>
        <v/>
      </c>
      <c r="G221" s="1" t="str">
        <f t="array" ref="G221">IFERROR(INDEX('Исходник'!$1:$626,MATCH($A221,'Исходник'!$T:$T,0),MATCH(G$1,'Исходник'!$1:$1,0)))</f>
        <v/>
      </c>
      <c r="H221" s="27">
        <f t="shared" si="1"/>
        <v>0</v>
      </c>
      <c r="I221" s="27" t="str">
        <f t="shared" si="2"/>
        <v/>
      </c>
      <c r="J221" s="1" t="str">
        <f t="array" ref="J221">IFERROR(INDEX('Исходник'!$1:$626,MATCH($A221,'Исходник'!$T:$T,0),MATCH(J$1,'Исходник'!$1:$1,0)))</f>
        <v/>
      </c>
      <c r="K221" s="27" t="str">
        <f t="shared" si="3"/>
        <v/>
      </c>
      <c r="L221" s="1" t="str">
        <f t="array" ref="L221">IFERROR(INDEX('Исходник'!$1:$626,MATCH($A221,'Исходник'!$T:$T,0),MATCH(L$1,'Исходник'!$1:$1,0)))</f>
        <v/>
      </c>
      <c r="M221" s="28">
        <f t="shared" si="4"/>
        <v>0</v>
      </c>
      <c r="N221" s="1" t="str">
        <f t="array" ref="N221">IFERROR(INDEX('Исходник'!$1:$626,MATCH($A221,'Исходник'!$T:$T,0),MATCH(N$1,'Исходник'!$1:$1,0)))</f>
        <v/>
      </c>
      <c r="O221" s="27">
        <f t="shared" si="5"/>
        <v>0</v>
      </c>
      <c r="P221" s="27" t="str">
        <f t="shared" si="6"/>
        <v/>
      </c>
      <c r="Q221" s="1" t="str">
        <f t="array" ref="Q221">IFERROR(INDEX('Исходник'!$1:$626,MATCH($A221,'Исходник'!$T:$T,0),MATCH(Q$1,'Исходник'!$1:$1,0)))</f>
        <v/>
      </c>
      <c r="R221" s="1" t="str">
        <f t="array" ref="R221">IFERROR(INDEX('Исходник'!$1:$626,MATCH($A221,'Исходник'!$T:$T,0),MATCH(R$1,'Исходник'!$1:$1,0)))</f>
        <v/>
      </c>
      <c r="S221" s="27">
        <f t="shared" si="7"/>
        <v>0</v>
      </c>
      <c r="T221" s="27" t="str">
        <f t="shared" si="8"/>
        <v/>
      </c>
      <c r="U221" s="1" t="str">
        <f t="array" ref="U221">IFERROR(INDEX('Исходник'!$1:$626,MATCH($A221,'Исходник'!$T:$T,0),MATCH(U$1,'Исходник'!$1:$1,0)))</f>
        <v/>
      </c>
      <c r="V221" s="27" t="str">
        <f t="shared" si="9"/>
        <v/>
      </c>
      <c r="W221" s="1" t="str">
        <f t="array" ref="W221">IFERROR(INDEX('Исходник'!$1:$626,MATCH($A221,'Исходник'!$T:$T,0),MATCH(W$1,'Исходник'!$1:$1,0)))</f>
        <v/>
      </c>
      <c r="X221" s="28">
        <f t="shared" si="10"/>
        <v>0</v>
      </c>
      <c r="Y221" s="1" t="str">
        <f t="array" ref="Y221">IFERROR(INDEX('Исходник'!$1:$626,MATCH($A221,'Исходник'!$T:$T,0),MATCH(Y$1,'Исходник'!$1:$1,0)))</f>
        <v/>
      </c>
      <c r="Z221" s="27">
        <f t="shared" si="11"/>
        <v>0</v>
      </c>
      <c r="AA221" s="27" t="str">
        <f t="shared" si="12"/>
        <v/>
      </c>
      <c r="AB221" s="1" t="str">
        <f t="array" ref="AB221">IFERROR(INDEX('Исходник'!$1:$626,MATCH($A221,'Исходник'!$T:$T,0),MATCH(AB$1,'Исходник'!$1:$1,0)))</f>
        <v/>
      </c>
      <c r="AC221" s="1" t="str">
        <f t="array" ref="AC221">IFERROR(INDEX('Исходник'!$1:$626,MATCH($A221,'Исходник'!$T:$T,0),MATCH(AC$1,'Исходник'!$1:$1,0)))</f>
        <v/>
      </c>
      <c r="AD221" s="27" t="str">
        <f t="shared" si="13"/>
        <v/>
      </c>
      <c r="AE221" s="1" t="str">
        <f t="array" ref="AE221">IFERROR(INDEX('Исходник'!$1:$626,MATCH($A221,'Исходник'!$T:$T,0),MATCH(AE$1,'Исходник'!$1:$1,0)))</f>
        <v/>
      </c>
      <c r="AF221" s="1" t="str">
        <f t="array" ref="AF221">IFERROR(INDEX('Исходник'!$1:$626,MATCH($A221,'Исходник'!$T:$T,0),MATCH(AF$1,'Исходник'!$1:$1,0)))</f>
        <v/>
      </c>
      <c r="AG221" s="27" t="str">
        <f t="shared" si="14"/>
        <v/>
      </c>
      <c r="AH221" s="1" t="str">
        <f t="array" ref="AH221">IFERROR(INDEX('Исходник'!$1:$626,MATCH($A221,'Исходник'!$T:$T,0),MATCH(AH$1,'Исходник'!$1:$1,0)))</f>
        <v/>
      </c>
      <c r="AI221" s="1" t="str">
        <f t="array" ref="AI221">IFERROR(INDEX('Исходник'!$1:$626,MATCH($A221,'Исходник'!$T:$T,0),MATCH(AI$1,'Исходник'!$1:$1,0)))</f>
        <v/>
      </c>
      <c r="AJ221" s="18">
        <f t="shared" si="15"/>
        <v>0</v>
      </c>
    </row>
    <row r="222" ht="15.75" customHeight="1">
      <c r="A222" s="27"/>
      <c r="B222" s="1" t="str">
        <f t="array" ref="B222">IFERROR(INDEX('Исходник'!$1:$626,MATCH($A222,'Исходник'!$T:$T,0),MATCH(B$1,'Исходник'!$1:$1,0)))</f>
        <v/>
      </c>
      <c r="C222" s="1" t="str">
        <f t="array" ref="C222">IFERROR(INDEX('Исходник'!$1:$626,MATCH($A222,'Исходник'!$T:$T,0),MATCH(C$1,'Исходник'!$1:$1,0)))</f>
        <v/>
      </c>
      <c r="D222" s="1" t="str">
        <f t="array" ref="D222">IFERROR(INDEX('Исходник'!$1:$626,MATCH($A222,'Исходник'!$T:$T,0),MATCH(D$1,'Исходник'!$1:$1,0)))</f>
        <v/>
      </c>
      <c r="E222" s="1" t="str">
        <f t="array" ref="E222">IFERROR(INDEX('Исходник'!$1:$626,MATCH($A222,'Исходник'!$T:$T,0),MATCH(E$1,'Исходник'!$1:$1,0)))</f>
        <v/>
      </c>
      <c r="F222" s="1" t="str">
        <f t="array" ref="F222">IFERROR(INDEX('Исходник'!$1:$626,MATCH($A222,'Исходник'!$T:$T,0),MATCH(F$1,'Исходник'!$1:$1,0)))</f>
        <v/>
      </c>
      <c r="G222" s="1" t="str">
        <f t="array" ref="G222">IFERROR(INDEX('Исходник'!$1:$626,MATCH($A222,'Исходник'!$T:$T,0),MATCH(G$1,'Исходник'!$1:$1,0)))</f>
        <v/>
      </c>
      <c r="H222" s="27">
        <f t="shared" si="1"/>
        <v>0</v>
      </c>
      <c r="I222" s="27" t="str">
        <f t="shared" si="2"/>
        <v/>
      </c>
      <c r="J222" s="1" t="str">
        <f t="array" ref="J222">IFERROR(INDEX('Исходник'!$1:$626,MATCH($A222,'Исходник'!$T:$T,0),MATCH(J$1,'Исходник'!$1:$1,0)))</f>
        <v/>
      </c>
      <c r="K222" s="27" t="str">
        <f t="shared" si="3"/>
        <v/>
      </c>
      <c r="L222" s="1" t="str">
        <f t="array" ref="L222">IFERROR(INDEX('Исходник'!$1:$626,MATCH($A222,'Исходник'!$T:$T,0),MATCH(L$1,'Исходник'!$1:$1,0)))</f>
        <v/>
      </c>
      <c r="M222" s="28">
        <f t="shared" si="4"/>
        <v>0</v>
      </c>
      <c r="N222" s="1" t="str">
        <f t="array" ref="N222">IFERROR(INDEX('Исходник'!$1:$626,MATCH($A222,'Исходник'!$T:$T,0),MATCH(N$1,'Исходник'!$1:$1,0)))</f>
        <v/>
      </c>
      <c r="O222" s="27">
        <f t="shared" si="5"/>
        <v>0</v>
      </c>
      <c r="P222" s="27" t="str">
        <f t="shared" si="6"/>
        <v/>
      </c>
      <c r="Q222" s="1" t="str">
        <f t="array" ref="Q222">IFERROR(INDEX('Исходник'!$1:$626,MATCH($A222,'Исходник'!$T:$T,0),MATCH(Q$1,'Исходник'!$1:$1,0)))</f>
        <v/>
      </c>
      <c r="R222" s="1" t="str">
        <f t="array" ref="R222">IFERROR(INDEX('Исходник'!$1:$626,MATCH($A222,'Исходник'!$T:$T,0),MATCH(R$1,'Исходник'!$1:$1,0)))</f>
        <v/>
      </c>
      <c r="S222" s="27">
        <f t="shared" si="7"/>
        <v>0</v>
      </c>
      <c r="T222" s="27" t="str">
        <f t="shared" si="8"/>
        <v/>
      </c>
      <c r="U222" s="1" t="str">
        <f t="array" ref="U222">IFERROR(INDEX('Исходник'!$1:$626,MATCH($A222,'Исходник'!$T:$T,0),MATCH(U$1,'Исходник'!$1:$1,0)))</f>
        <v/>
      </c>
      <c r="V222" s="27" t="str">
        <f t="shared" si="9"/>
        <v/>
      </c>
      <c r="W222" s="1" t="str">
        <f t="array" ref="W222">IFERROR(INDEX('Исходник'!$1:$626,MATCH($A222,'Исходник'!$T:$T,0),MATCH(W$1,'Исходник'!$1:$1,0)))</f>
        <v/>
      </c>
      <c r="X222" s="28">
        <f t="shared" si="10"/>
        <v>0</v>
      </c>
      <c r="Y222" s="1" t="str">
        <f t="array" ref="Y222">IFERROR(INDEX('Исходник'!$1:$626,MATCH($A222,'Исходник'!$T:$T,0),MATCH(Y$1,'Исходник'!$1:$1,0)))</f>
        <v/>
      </c>
      <c r="Z222" s="27">
        <f t="shared" si="11"/>
        <v>0</v>
      </c>
      <c r="AA222" s="27" t="str">
        <f t="shared" si="12"/>
        <v/>
      </c>
      <c r="AB222" s="1" t="str">
        <f t="array" ref="AB222">IFERROR(INDEX('Исходник'!$1:$626,MATCH($A222,'Исходник'!$T:$T,0),MATCH(AB$1,'Исходник'!$1:$1,0)))</f>
        <v/>
      </c>
      <c r="AC222" s="1" t="str">
        <f t="array" ref="AC222">IFERROR(INDEX('Исходник'!$1:$626,MATCH($A222,'Исходник'!$T:$T,0),MATCH(AC$1,'Исходник'!$1:$1,0)))</f>
        <v/>
      </c>
      <c r="AD222" s="27" t="str">
        <f t="shared" si="13"/>
        <v/>
      </c>
      <c r="AE222" s="1" t="str">
        <f t="array" ref="AE222">IFERROR(INDEX('Исходник'!$1:$626,MATCH($A222,'Исходник'!$T:$T,0),MATCH(AE$1,'Исходник'!$1:$1,0)))</f>
        <v/>
      </c>
      <c r="AF222" s="1" t="str">
        <f t="array" ref="AF222">IFERROR(INDEX('Исходник'!$1:$626,MATCH($A222,'Исходник'!$T:$T,0),MATCH(AF$1,'Исходник'!$1:$1,0)))</f>
        <v/>
      </c>
      <c r="AG222" s="27" t="str">
        <f t="shared" si="14"/>
        <v/>
      </c>
      <c r="AH222" s="1" t="str">
        <f t="array" ref="AH222">IFERROR(INDEX('Исходник'!$1:$626,MATCH($A222,'Исходник'!$T:$T,0),MATCH(AH$1,'Исходник'!$1:$1,0)))</f>
        <v/>
      </c>
      <c r="AI222" s="1" t="str">
        <f t="array" ref="AI222">IFERROR(INDEX('Исходник'!$1:$626,MATCH($A222,'Исходник'!$T:$T,0),MATCH(AI$1,'Исходник'!$1:$1,0)))</f>
        <v/>
      </c>
      <c r="AJ222" s="18">
        <f t="shared" si="15"/>
        <v>0</v>
      </c>
    </row>
    <row r="223" ht="15.75" customHeight="1">
      <c r="A223" s="27"/>
      <c r="B223" s="1" t="str">
        <f t="array" ref="B223">IFERROR(INDEX('Исходник'!$1:$626,MATCH($A223,'Исходник'!$T:$T,0),MATCH(B$1,'Исходник'!$1:$1,0)))</f>
        <v/>
      </c>
      <c r="C223" s="1" t="str">
        <f t="array" ref="C223">IFERROR(INDEX('Исходник'!$1:$626,MATCH($A223,'Исходник'!$T:$T,0),MATCH(C$1,'Исходник'!$1:$1,0)))</f>
        <v/>
      </c>
      <c r="D223" s="1" t="str">
        <f t="array" ref="D223">IFERROR(INDEX('Исходник'!$1:$626,MATCH($A223,'Исходник'!$T:$T,0),MATCH(D$1,'Исходник'!$1:$1,0)))</f>
        <v/>
      </c>
      <c r="E223" s="1" t="str">
        <f t="array" ref="E223">IFERROR(INDEX('Исходник'!$1:$626,MATCH($A223,'Исходник'!$T:$T,0),MATCH(E$1,'Исходник'!$1:$1,0)))</f>
        <v/>
      </c>
      <c r="F223" s="1" t="str">
        <f t="array" ref="F223">IFERROR(INDEX('Исходник'!$1:$626,MATCH($A223,'Исходник'!$T:$T,0),MATCH(F$1,'Исходник'!$1:$1,0)))</f>
        <v/>
      </c>
      <c r="G223" s="1" t="str">
        <f t="array" ref="G223">IFERROR(INDEX('Исходник'!$1:$626,MATCH($A223,'Исходник'!$T:$T,0),MATCH(G$1,'Исходник'!$1:$1,0)))</f>
        <v/>
      </c>
      <c r="H223" s="27">
        <f t="shared" si="1"/>
        <v>0</v>
      </c>
      <c r="I223" s="27" t="str">
        <f t="shared" si="2"/>
        <v/>
      </c>
      <c r="J223" s="1" t="str">
        <f t="array" ref="J223">IFERROR(INDEX('Исходник'!$1:$626,MATCH($A223,'Исходник'!$T:$T,0),MATCH(J$1,'Исходник'!$1:$1,0)))</f>
        <v/>
      </c>
      <c r="K223" s="27" t="str">
        <f t="shared" si="3"/>
        <v/>
      </c>
      <c r="L223" s="1" t="str">
        <f t="array" ref="L223">IFERROR(INDEX('Исходник'!$1:$626,MATCH($A223,'Исходник'!$T:$T,0),MATCH(L$1,'Исходник'!$1:$1,0)))</f>
        <v/>
      </c>
      <c r="M223" s="28">
        <f t="shared" si="4"/>
        <v>0</v>
      </c>
      <c r="N223" s="1" t="str">
        <f t="array" ref="N223">IFERROR(INDEX('Исходник'!$1:$626,MATCH($A223,'Исходник'!$T:$T,0),MATCH(N$1,'Исходник'!$1:$1,0)))</f>
        <v/>
      </c>
      <c r="O223" s="27">
        <f t="shared" si="5"/>
        <v>0</v>
      </c>
      <c r="P223" s="27" t="str">
        <f t="shared" si="6"/>
        <v/>
      </c>
      <c r="Q223" s="1" t="str">
        <f t="array" ref="Q223">IFERROR(INDEX('Исходник'!$1:$626,MATCH($A223,'Исходник'!$T:$T,0),MATCH(Q$1,'Исходник'!$1:$1,0)))</f>
        <v/>
      </c>
      <c r="R223" s="1" t="str">
        <f t="array" ref="R223">IFERROR(INDEX('Исходник'!$1:$626,MATCH($A223,'Исходник'!$T:$T,0),MATCH(R$1,'Исходник'!$1:$1,0)))</f>
        <v/>
      </c>
      <c r="S223" s="27">
        <f t="shared" si="7"/>
        <v>0</v>
      </c>
      <c r="T223" s="27" t="str">
        <f t="shared" si="8"/>
        <v/>
      </c>
      <c r="U223" s="1" t="str">
        <f t="array" ref="U223">IFERROR(INDEX('Исходник'!$1:$626,MATCH($A223,'Исходник'!$T:$T,0),MATCH(U$1,'Исходник'!$1:$1,0)))</f>
        <v/>
      </c>
      <c r="V223" s="27" t="str">
        <f t="shared" si="9"/>
        <v/>
      </c>
      <c r="W223" s="1" t="str">
        <f t="array" ref="W223">IFERROR(INDEX('Исходник'!$1:$626,MATCH($A223,'Исходник'!$T:$T,0),MATCH(W$1,'Исходник'!$1:$1,0)))</f>
        <v/>
      </c>
      <c r="X223" s="28">
        <f t="shared" si="10"/>
        <v>0</v>
      </c>
      <c r="Y223" s="1" t="str">
        <f t="array" ref="Y223">IFERROR(INDEX('Исходник'!$1:$626,MATCH($A223,'Исходник'!$T:$T,0),MATCH(Y$1,'Исходник'!$1:$1,0)))</f>
        <v/>
      </c>
      <c r="Z223" s="27">
        <f t="shared" si="11"/>
        <v>0</v>
      </c>
      <c r="AA223" s="27" t="str">
        <f t="shared" si="12"/>
        <v/>
      </c>
      <c r="AB223" s="1" t="str">
        <f t="array" ref="AB223">IFERROR(INDEX('Исходник'!$1:$626,MATCH($A223,'Исходник'!$T:$T,0),MATCH(AB$1,'Исходник'!$1:$1,0)))</f>
        <v/>
      </c>
      <c r="AC223" s="1" t="str">
        <f t="array" ref="AC223">IFERROR(INDEX('Исходник'!$1:$626,MATCH($A223,'Исходник'!$T:$T,0),MATCH(AC$1,'Исходник'!$1:$1,0)))</f>
        <v/>
      </c>
      <c r="AD223" s="27" t="str">
        <f t="shared" si="13"/>
        <v/>
      </c>
      <c r="AE223" s="1" t="str">
        <f t="array" ref="AE223">IFERROR(INDEX('Исходник'!$1:$626,MATCH($A223,'Исходник'!$T:$T,0),MATCH(AE$1,'Исходник'!$1:$1,0)))</f>
        <v/>
      </c>
      <c r="AF223" s="1" t="str">
        <f t="array" ref="AF223">IFERROR(INDEX('Исходник'!$1:$626,MATCH($A223,'Исходник'!$T:$T,0),MATCH(AF$1,'Исходник'!$1:$1,0)))</f>
        <v/>
      </c>
      <c r="AG223" s="27" t="str">
        <f t="shared" si="14"/>
        <v/>
      </c>
      <c r="AH223" s="1" t="str">
        <f t="array" ref="AH223">IFERROR(INDEX('Исходник'!$1:$626,MATCH($A223,'Исходник'!$T:$T,0),MATCH(AH$1,'Исходник'!$1:$1,0)))</f>
        <v/>
      </c>
      <c r="AI223" s="1" t="str">
        <f t="array" ref="AI223">IFERROR(INDEX('Исходник'!$1:$626,MATCH($A223,'Исходник'!$T:$T,0),MATCH(AI$1,'Исходник'!$1:$1,0)))</f>
        <v/>
      </c>
      <c r="AJ223" s="18">
        <f t="shared" si="15"/>
        <v>0</v>
      </c>
    </row>
    <row r="224" ht="15.75" customHeight="1">
      <c r="A224" s="27"/>
      <c r="B224" s="1" t="str">
        <f t="array" ref="B224">IFERROR(INDEX('Исходник'!$1:$626,MATCH($A224,'Исходник'!$T:$T,0),MATCH(B$1,'Исходник'!$1:$1,0)))</f>
        <v/>
      </c>
      <c r="C224" s="1" t="str">
        <f t="array" ref="C224">IFERROR(INDEX('Исходник'!$1:$626,MATCH($A224,'Исходник'!$T:$T,0),MATCH(C$1,'Исходник'!$1:$1,0)))</f>
        <v/>
      </c>
      <c r="D224" s="1" t="str">
        <f t="array" ref="D224">IFERROR(INDEX('Исходник'!$1:$626,MATCH($A224,'Исходник'!$T:$T,0),MATCH(D$1,'Исходник'!$1:$1,0)))</f>
        <v/>
      </c>
      <c r="E224" s="1" t="str">
        <f t="array" ref="E224">IFERROR(INDEX('Исходник'!$1:$626,MATCH($A224,'Исходник'!$T:$T,0),MATCH(E$1,'Исходник'!$1:$1,0)))</f>
        <v/>
      </c>
      <c r="F224" s="1" t="str">
        <f t="array" ref="F224">IFERROR(INDEX('Исходник'!$1:$626,MATCH($A224,'Исходник'!$T:$T,0),MATCH(F$1,'Исходник'!$1:$1,0)))</f>
        <v/>
      </c>
      <c r="G224" s="1" t="str">
        <f t="array" ref="G224">IFERROR(INDEX('Исходник'!$1:$626,MATCH($A224,'Исходник'!$T:$T,0),MATCH(G$1,'Исходник'!$1:$1,0)))</f>
        <v/>
      </c>
      <c r="H224" s="27">
        <f t="shared" si="1"/>
        <v>0</v>
      </c>
      <c r="I224" s="27" t="str">
        <f t="shared" si="2"/>
        <v/>
      </c>
      <c r="J224" s="1" t="str">
        <f t="array" ref="J224">IFERROR(INDEX('Исходник'!$1:$626,MATCH($A224,'Исходник'!$T:$T,0),MATCH(J$1,'Исходник'!$1:$1,0)))</f>
        <v/>
      </c>
      <c r="K224" s="27" t="str">
        <f t="shared" si="3"/>
        <v/>
      </c>
      <c r="L224" s="1" t="str">
        <f t="array" ref="L224">IFERROR(INDEX('Исходник'!$1:$626,MATCH($A224,'Исходник'!$T:$T,0),MATCH(L$1,'Исходник'!$1:$1,0)))</f>
        <v/>
      </c>
      <c r="M224" s="28">
        <f t="shared" si="4"/>
        <v>0</v>
      </c>
      <c r="N224" s="1" t="str">
        <f t="array" ref="N224">IFERROR(INDEX('Исходник'!$1:$626,MATCH($A224,'Исходник'!$T:$T,0),MATCH(N$1,'Исходник'!$1:$1,0)))</f>
        <v/>
      </c>
      <c r="O224" s="27">
        <f t="shared" si="5"/>
        <v>0</v>
      </c>
      <c r="P224" s="27" t="str">
        <f t="shared" si="6"/>
        <v/>
      </c>
      <c r="Q224" s="1" t="str">
        <f t="array" ref="Q224">IFERROR(INDEX('Исходник'!$1:$626,MATCH($A224,'Исходник'!$T:$T,0),MATCH(Q$1,'Исходник'!$1:$1,0)))</f>
        <v/>
      </c>
      <c r="R224" s="1" t="str">
        <f t="array" ref="R224">IFERROR(INDEX('Исходник'!$1:$626,MATCH($A224,'Исходник'!$T:$T,0),MATCH(R$1,'Исходник'!$1:$1,0)))</f>
        <v/>
      </c>
      <c r="S224" s="27">
        <f t="shared" si="7"/>
        <v>0</v>
      </c>
      <c r="T224" s="27" t="str">
        <f t="shared" si="8"/>
        <v/>
      </c>
      <c r="U224" s="1" t="str">
        <f t="array" ref="U224">IFERROR(INDEX('Исходник'!$1:$626,MATCH($A224,'Исходник'!$T:$T,0),MATCH(U$1,'Исходник'!$1:$1,0)))</f>
        <v/>
      </c>
      <c r="V224" s="27" t="str">
        <f t="shared" si="9"/>
        <v/>
      </c>
      <c r="W224" s="1" t="str">
        <f t="array" ref="W224">IFERROR(INDEX('Исходник'!$1:$626,MATCH($A224,'Исходник'!$T:$T,0),MATCH(W$1,'Исходник'!$1:$1,0)))</f>
        <v/>
      </c>
      <c r="X224" s="28">
        <f t="shared" si="10"/>
        <v>0</v>
      </c>
      <c r="Y224" s="1" t="str">
        <f t="array" ref="Y224">IFERROR(INDEX('Исходник'!$1:$626,MATCH($A224,'Исходник'!$T:$T,0),MATCH(Y$1,'Исходник'!$1:$1,0)))</f>
        <v/>
      </c>
      <c r="Z224" s="27">
        <f t="shared" si="11"/>
        <v>0</v>
      </c>
      <c r="AA224" s="27" t="str">
        <f t="shared" si="12"/>
        <v/>
      </c>
      <c r="AB224" s="1" t="str">
        <f t="array" ref="AB224">IFERROR(INDEX('Исходник'!$1:$626,MATCH($A224,'Исходник'!$T:$T,0),MATCH(AB$1,'Исходник'!$1:$1,0)))</f>
        <v/>
      </c>
      <c r="AC224" s="1" t="str">
        <f t="array" ref="AC224">IFERROR(INDEX('Исходник'!$1:$626,MATCH($A224,'Исходник'!$T:$T,0),MATCH(AC$1,'Исходник'!$1:$1,0)))</f>
        <v/>
      </c>
      <c r="AD224" s="27" t="str">
        <f t="shared" si="13"/>
        <v/>
      </c>
      <c r="AE224" s="1" t="str">
        <f t="array" ref="AE224">IFERROR(INDEX('Исходник'!$1:$626,MATCH($A224,'Исходник'!$T:$T,0),MATCH(AE$1,'Исходник'!$1:$1,0)))</f>
        <v/>
      </c>
      <c r="AF224" s="1" t="str">
        <f t="array" ref="AF224">IFERROR(INDEX('Исходник'!$1:$626,MATCH($A224,'Исходник'!$T:$T,0),MATCH(AF$1,'Исходник'!$1:$1,0)))</f>
        <v/>
      </c>
      <c r="AG224" s="27" t="str">
        <f t="shared" si="14"/>
        <v/>
      </c>
      <c r="AH224" s="1" t="str">
        <f t="array" ref="AH224">IFERROR(INDEX('Исходник'!$1:$626,MATCH($A224,'Исходник'!$T:$T,0),MATCH(AH$1,'Исходник'!$1:$1,0)))</f>
        <v/>
      </c>
      <c r="AI224" s="1" t="str">
        <f t="array" ref="AI224">IFERROR(INDEX('Исходник'!$1:$626,MATCH($A224,'Исходник'!$T:$T,0),MATCH(AI$1,'Исходник'!$1:$1,0)))</f>
        <v/>
      </c>
      <c r="AJ224" s="18">
        <f t="shared" si="15"/>
        <v>0</v>
      </c>
    </row>
    <row r="225" ht="15.75" customHeight="1">
      <c r="A225" s="27"/>
      <c r="B225" s="1" t="str">
        <f t="array" ref="B225">IFERROR(INDEX('Исходник'!$1:$626,MATCH($A225,'Исходник'!$T:$T,0),MATCH(B$1,'Исходник'!$1:$1,0)))</f>
        <v/>
      </c>
      <c r="C225" s="1" t="str">
        <f t="array" ref="C225">IFERROR(INDEX('Исходник'!$1:$626,MATCH($A225,'Исходник'!$T:$T,0),MATCH(C$1,'Исходник'!$1:$1,0)))</f>
        <v/>
      </c>
      <c r="D225" s="1" t="str">
        <f t="array" ref="D225">IFERROR(INDEX('Исходник'!$1:$626,MATCH($A225,'Исходник'!$T:$T,0),MATCH(D$1,'Исходник'!$1:$1,0)))</f>
        <v/>
      </c>
      <c r="E225" s="1" t="str">
        <f t="array" ref="E225">IFERROR(INDEX('Исходник'!$1:$626,MATCH($A225,'Исходник'!$T:$T,0),MATCH(E$1,'Исходник'!$1:$1,0)))</f>
        <v/>
      </c>
      <c r="F225" s="1" t="str">
        <f t="array" ref="F225">IFERROR(INDEX('Исходник'!$1:$626,MATCH($A225,'Исходник'!$T:$T,0),MATCH(F$1,'Исходник'!$1:$1,0)))</f>
        <v/>
      </c>
      <c r="G225" s="1" t="str">
        <f t="array" ref="G225">IFERROR(INDEX('Исходник'!$1:$626,MATCH($A225,'Исходник'!$T:$T,0),MATCH(G$1,'Исходник'!$1:$1,0)))</f>
        <v/>
      </c>
      <c r="H225" s="27">
        <f t="shared" si="1"/>
        <v>0</v>
      </c>
      <c r="I225" s="27" t="str">
        <f t="shared" si="2"/>
        <v/>
      </c>
      <c r="J225" s="1" t="str">
        <f t="array" ref="J225">IFERROR(INDEX('Исходник'!$1:$626,MATCH($A225,'Исходник'!$T:$T,0),MATCH(J$1,'Исходник'!$1:$1,0)))</f>
        <v/>
      </c>
      <c r="K225" s="27" t="str">
        <f t="shared" si="3"/>
        <v/>
      </c>
      <c r="L225" s="1" t="str">
        <f t="array" ref="L225">IFERROR(INDEX('Исходник'!$1:$626,MATCH($A225,'Исходник'!$T:$T,0),MATCH(L$1,'Исходник'!$1:$1,0)))</f>
        <v/>
      </c>
      <c r="M225" s="28">
        <f t="shared" si="4"/>
        <v>0</v>
      </c>
      <c r="N225" s="1" t="str">
        <f t="array" ref="N225">IFERROR(INDEX('Исходник'!$1:$626,MATCH($A225,'Исходник'!$T:$T,0),MATCH(N$1,'Исходник'!$1:$1,0)))</f>
        <v/>
      </c>
      <c r="O225" s="27">
        <f t="shared" si="5"/>
        <v>0</v>
      </c>
      <c r="P225" s="27" t="str">
        <f t="shared" si="6"/>
        <v/>
      </c>
      <c r="Q225" s="1" t="str">
        <f t="array" ref="Q225">IFERROR(INDEX('Исходник'!$1:$626,MATCH($A225,'Исходник'!$T:$T,0),MATCH(Q$1,'Исходник'!$1:$1,0)))</f>
        <v/>
      </c>
      <c r="R225" s="1" t="str">
        <f t="array" ref="R225">IFERROR(INDEX('Исходник'!$1:$626,MATCH($A225,'Исходник'!$T:$T,0),MATCH(R$1,'Исходник'!$1:$1,0)))</f>
        <v/>
      </c>
      <c r="S225" s="27">
        <f t="shared" si="7"/>
        <v>0</v>
      </c>
      <c r="T225" s="27" t="str">
        <f t="shared" si="8"/>
        <v/>
      </c>
      <c r="U225" s="1" t="str">
        <f t="array" ref="U225">IFERROR(INDEX('Исходник'!$1:$626,MATCH($A225,'Исходник'!$T:$T,0),MATCH(U$1,'Исходник'!$1:$1,0)))</f>
        <v/>
      </c>
      <c r="V225" s="27" t="str">
        <f t="shared" si="9"/>
        <v/>
      </c>
      <c r="W225" s="1" t="str">
        <f t="array" ref="W225">IFERROR(INDEX('Исходник'!$1:$626,MATCH($A225,'Исходник'!$T:$T,0),MATCH(W$1,'Исходник'!$1:$1,0)))</f>
        <v/>
      </c>
      <c r="X225" s="28">
        <f t="shared" si="10"/>
        <v>0</v>
      </c>
      <c r="Y225" s="1" t="str">
        <f t="array" ref="Y225">IFERROR(INDEX('Исходник'!$1:$626,MATCH($A225,'Исходник'!$T:$T,0),MATCH(Y$1,'Исходник'!$1:$1,0)))</f>
        <v/>
      </c>
      <c r="Z225" s="27">
        <f t="shared" si="11"/>
        <v>0</v>
      </c>
      <c r="AA225" s="27" t="str">
        <f t="shared" si="12"/>
        <v/>
      </c>
      <c r="AB225" s="1" t="str">
        <f t="array" ref="AB225">IFERROR(INDEX('Исходник'!$1:$626,MATCH($A225,'Исходник'!$T:$T,0),MATCH(AB$1,'Исходник'!$1:$1,0)))</f>
        <v/>
      </c>
      <c r="AC225" s="1" t="str">
        <f t="array" ref="AC225">IFERROR(INDEX('Исходник'!$1:$626,MATCH($A225,'Исходник'!$T:$T,0),MATCH(AC$1,'Исходник'!$1:$1,0)))</f>
        <v/>
      </c>
      <c r="AD225" s="27" t="str">
        <f t="shared" si="13"/>
        <v/>
      </c>
      <c r="AE225" s="1" t="str">
        <f t="array" ref="AE225">IFERROR(INDEX('Исходник'!$1:$626,MATCH($A225,'Исходник'!$T:$T,0),MATCH(AE$1,'Исходник'!$1:$1,0)))</f>
        <v/>
      </c>
      <c r="AF225" s="1" t="str">
        <f t="array" ref="AF225">IFERROR(INDEX('Исходник'!$1:$626,MATCH($A225,'Исходник'!$T:$T,0),MATCH(AF$1,'Исходник'!$1:$1,0)))</f>
        <v/>
      </c>
      <c r="AG225" s="27" t="str">
        <f t="shared" si="14"/>
        <v/>
      </c>
      <c r="AH225" s="1" t="str">
        <f t="array" ref="AH225">IFERROR(INDEX('Исходник'!$1:$626,MATCH($A225,'Исходник'!$T:$T,0),MATCH(AH$1,'Исходник'!$1:$1,0)))</f>
        <v/>
      </c>
      <c r="AI225" s="1" t="str">
        <f t="array" ref="AI225">IFERROR(INDEX('Исходник'!$1:$626,MATCH($A225,'Исходник'!$T:$T,0),MATCH(AI$1,'Исходник'!$1:$1,0)))</f>
        <v/>
      </c>
      <c r="AJ225" s="18">
        <f t="shared" si="15"/>
        <v>0</v>
      </c>
    </row>
    <row r="226" ht="15.75" customHeight="1">
      <c r="A226" s="27"/>
      <c r="B226" s="1" t="str">
        <f t="array" ref="B226">IFERROR(INDEX('Исходник'!$1:$626,MATCH($A226,'Исходник'!$T:$T,0),MATCH(B$1,'Исходник'!$1:$1,0)))</f>
        <v/>
      </c>
      <c r="C226" s="1" t="str">
        <f t="array" ref="C226">IFERROR(INDEX('Исходник'!$1:$626,MATCH($A226,'Исходник'!$T:$T,0),MATCH(C$1,'Исходник'!$1:$1,0)))</f>
        <v/>
      </c>
      <c r="D226" s="1" t="str">
        <f t="array" ref="D226">IFERROR(INDEX('Исходник'!$1:$626,MATCH($A226,'Исходник'!$T:$T,0),MATCH(D$1,'Исходник'!$1:$1,0)))</f>
        <v/>
      </c>
      <c r="E226" s="1" t="str">
        <f t="array" ref="E226">IFERROR(INDEX('Исходник'!$1:$626,MATCH($A226,'Исходник'!$T:$T,0),MATCH(E$1,'Исходник'!$1:$1,0)))</f>
        <v/>
      </c>
      <c r="F226" s="1" t="str">
        <f t="array" ref="F226">IFERROR(INDEX('Исходник'!$1:$626,MATCH($A226,'Исходник'!$T:$T,0),MATCH(F$1,'Исходник'!$1:$1,0)))</f>
        <v/>
      </c>
      <c r="G226" s="1" t="str">
        <f t="array" ref="G226">IFERROR(INDEX('Исходник'!$1:$626,MATCH($A226,'Исходник'!$T:$T,0),MATCH(G$1,'Исходник'!$1:$1,0)))</f>
        <v/>
      </c>
      <c r="H226" s="27">
        <f t="shared" si="1"/>
        <v>0</v>
      </c>
      <c r="I226" s="27" t="str">
        <f t="shared" si="2"/>
        <v/>
      </c>
      <c r="J226" s="1" t="str">
        <f t="array" ref="J226">IFERROR(INDEX('Исходник'!$1:$626,MATCH($A226,'Исходник'!$T:$T,0),MATCH(J$1,'Исходник'!$1:$1,0)))</f>
        <v/>
      </c>
      <c r="K226" s="27" t="str">
        <f t="shared" si="3"/>
        <v/>
      </c>
      <c r="L226" s="1" t="str">
        <f t="array" ref="L226">IFERROR(INDEX('Исходник'!$1:$626,MATCH($A226,'Исходник'!$T:$T,0),MATCH(L$1,'Исходник'!$1:$1,0)))</f>
        <v/>
      </c>
      <c r="M226" s="28">
        <f t="shared" si="4"/>
        <v>0</v>
      </c>
      <c r="N226" s="1" t="str">
        <f t="array" ref="N226">IFERROR(INDEX('Исходник'!$1:$626,MATCH($A226,'Исходник'!$T:$T,0),MATCH(N$1,'Исходник'!$1:$1,0)))</f>
        <v/>
      </c>
      <c r="O226" s="27">
        <f t="shared" si="5"/>
        <v>0</v>
      </c>
      <c r="P226" s="27" t="str">
        <f t="shared" si="6"/>
        <v/>
      </c>
      <c r="Q226" s="1" t="str">
        <f t="array" ref="Q226">IFERROR(INDEX('Исходник'!$1:$626,MATCH($A226,'Исходник'!$T:$T,0),MATCH(Q$1,'Исходник'!$1:$1,0)))</f>
        <v/>
      </c>
      <c r="R226" s="1" t="str">
        <f t="array" ref="R226">IFERROR(INDEX('Исходник'!$1:$626,MATCH($A226,'Исходник'!$T:$T,0),MATCH(R$1,'Исходник'!$1:$1,0)))</f>
        <v/>
      </c>
      <c r="S226" s="27">
        <f t="shared" si="7"/>
        <v>0</v>
      </c>
      <c r="T226" s="27" t="str">
        <f t="shared" si="8"/>
        <v/>
      </c>
      <c r="U226" s="1" t="str">
        <f t="array" ref="U226">IFERROR(INDEX('Исходник'!$1:$626,MATCH($A226,'Исходник'!$T:$T,0),MATCH(U$1,'Исходник'!$1:$1,0)))</f>
        <v/>
      </c>
      <c r="V226" s="27" t="str">
        <f t="shared" si="9"/>
        <v/>
      </c>
      <c r="W226" s="1" t="str">
        <f t="array" ref="W226">IFERROR(INDEX('Исходник'!$1:$626,MATCH($A226,'Исходник'!$T:$T,0),MATCH(W$1,'Исходник'!$1:$1,0)))</f>
        <v/>
      </c>
      <c r="X226" s="28">
        <f t="shared" si="10"/>
        <v>0</v>
      </c>
      <c r="Y226" s="1" t="str">
        <f t="array" ref="Y226">IFERROR(INDEX('Исходник'!$1:$626,MATCH($A226,'Исходник'!$T:$T,0),MATCH(Y$1,'Исходник'!$1:$1,0)))</f>
        <v/>
      </c>
      <c r="Z226" s="27">
        <f t="shared" si="11"/>
        <v>0</v>
      </c>
      <c r="AA226" s="27" t="str">
        <f t="shared" si="12"/>
        <v/>
      </c>
      <c r="AB226" s="1" t="str">
        <f t="array" ref="AB226">IFERROR(INDEX('Исходник'!$1:$626,MATCH($A226,'Исходник'!$T:$T,0),MATCH(AB$1,'Исходник'!$1:$1,0)))</f>
        <v/>
      </c>
      <c r="AC226" s="1" t="str">
        <f t="array" ref="AC226">IFERROR(INDEX('Исходник'!$1:$626,MATCH($A226,'Исходник'!$T:$T,0),MATCH(AC$1,'Исходник'!$1:$1,0)))</f>
        <v/>
      </c>
      <c r="AD226" s="27" t="str">
        <f t="shared" si="13"/>
        <v/>
      </c>
      <c r="AE226" s="1" t="str">
        <f t="array" ref="AE226">IFERROR(INDEX('Исходник'!$1:$626,MATCH($A226,'Исходник'!$T:$T,0),MATCH(AE$1,'Исходник'!$1:$1,0)))</f>
        <v/>
      </c>
      <c r="AF226" s="1" t="str">
        <f t="array" ref="AF226">IFERROR(INDEX('Исходник'!$1:$626,MATCH($A226,'Исходник'!$T:$T,0),MATCH(AF$1,'Исходник'!$1:$1,0)))</f>
        <v/>
      </c>
      <c r="AG226" s="27" t="str">
        <f t="shared" si="14"/>
        <v/>
      </c>
      <c r="AH226" s="1" t="str">
        <f t="array" ref="AH226">IFERROR(INDEX('Исходник'!$1:$626,MATCH($A226,'Исходник'!$T:$T,0),MATCH(AH$1,'Исходник'!$1:$1,0)))</f>
        <v/>
      </c>
      <c r="AI226" s="1" t="str">
        <f t="array" ref="AI226">IFERROR(INDEX('Исходник'!$1:$626,MATCH($A226,'Исходник'!$T:$T,0),MATCH(AI$1,'Исходник'!$1:$1,0)))</f>
        <v/>
      </c>
      <c r="AJ226" s="18">
        <f t="shared" si="15"/>
        <v>0</v>
      </c>
    </row>
    <row r="227" ht="15.75" customHeight="1">
      <c r="A227" s="27"/>
      <c r="B227" s="1" t="str">
        <f t="array" ref="B227">IFERROR(INDEX('Исходник'!$1:$626,MATCH($A227,'Исходник'!$T:$T,0),MATCH(B$1,'Исходник'!$1:$1,0)))</f>
        <v/>
      </c>
      <c r="C227" s="1" t="str">
        <f t="array" ref="C227">IFERROR(INDEX('Исходник'!$1:$626,MATCH($A227,'Исходник'!$T:$T,0),MATCH(C$1,'Исходник'!$1:$1,0)))</f>
        <v/>
      </c>
      <c r="D227" s="1" t="str">
        <f t="array" ref="D227">IFERROR(INDEX('Исходник'!$1:$626,MATCH($A227,'Исходник'!$T:$T,0),MATCH(D$1,'Исходник'!$1:$1,0)))</f>
        <v/>
      </c>
      <c r="E227" s="1" t="str">
        <f t="array" ref="E227">IFERROR(INDEX('Исходник'!$1:$626,MATCH($A227,'Исходник'!$T:$T,0),MATCH(E$1,'Исходник'!$1:$1,0)))</f>
        <v/>
      </c>
      <c r="F227" s="1" t="str">
        <f t="array" ref="F227">IFERROR(INDEX('Исходник'!$1:$626,MATCH($A227,'Исходник'!$T:$T,0),MATCH(F$1,'Исходник'!$1:$1,0)))</f>
        <v/>
      </c>
      <c r="G227" s="1" t="str">
        <f t="array" ref="G227">IFERROR(INDEX('Исходник'!$1:$626,MATCH($A227,'Исходник'!$T:$T,0),MATCH(G$1,'Исходник'!$1:$1,0)))</f>
        <v/>
      </c>
      <c r="H227" s="27">
        <f t="shared" si="1"/>
        <v>0</v>
      </c>
      <c r="I227" s="27" t="str">
        <f t="shared" si="2"/>
        <v/>
      </c>
      <c r="J227" s="1" t="str">
        <f t="array" ref="J227">IFERROR(INDEX('Исходник'!$1:$626,MATCH($A227,'Исходник'!$T:$T,0),MATCH(J$1,'Исходник'!$1:$1,0)))</f>
        <v/>
      </c>
      <c r="K227" s="27" t="str">
        <f t="shared" si="3"/>
        <v/>
      </c>
      <c r="L227" s="1" t="str">
        <f t="array" ref="L227">IFERROR(INDEX('Исходник'!$1:$626,MATCH($A227,'Исходник'!$T:$T,0),MATCH(L$1,'Исходник'!$1:$1,0)))</f>
        <v/>
      </c>
      <c r="M227" s="28">
        <f t="shared" si="4"/>
        <v>0</v>
      </c>
      <c r="N227" s="1" t="str">
        <f t="array" ref="N227">IFERROR(INDEX('Исходник'!$1:$626,MATCH($A227,'Исходник'!$T:$T,0),MATCH(N$1,'Исходник'!$1:$1,0)))</f>
        <v/>
      </c>
      <c r="O227" s="27">
        <f t="shared" si="5"/>
        <v>0</v>
      </c>
      <c r="P227" s="27" t="str">
        <f t="shared" si="6"/>
        <v/>
      </c>
      <c r="Q227" s="1" t="str">
        <f t="array" ref="Q227">IFERROR(INDEX('Исходник'!$1:$626,MATCH($A227,'Исходник'!$T:$T,0),MATCH(Q$1,'Исходник'!$1:$1,0)))</f>
        <v/>
      </c>
      <c r="R227" s="1" t="str">
        <f t="array" ref="R227">IFERROR(INDEX('Исходник'!$1:$626,MATCH($A227,'Исходник'!$T:$T,0),MATCH(R$1,'Исходник'!$1:$1,0)))</f>
        <v/>
      </c>
      <c r="S227" s="27">
        <f t="shared" si="7"/>
        <v>0</v>
      </c>
      <c r="T227" s="27" t="str">
        <f t="shared" si="8"/>
        <v/>
      </c>
      <c r="U227" s="1" t="str">
        <f t="array" ref="U227">IFERROR(INDEX('Исходник'!$1:$626,MATCH($A227,'Исходник'!$T:$T,0),MATCH(U$1,'Исходник'!$1:$1,0)))</f>
        <v/>
      </c>
      <c r="V227" s="27" t="str">
        <f t="shared" si="9"/>
        <v/>
      </c>
      <c r="W227" s="1" t="str">
        <f t="array" ref="W227">IFERROR(INDEX('Исходник'!$1:$626,MATCH($A227,'Исходник'!$T:$T,0),MATCH(W$1,'Исходник'!$1:$1,0)))</f>
        <v/>
      </c>
      <c r="X227" s="28">
        <f t="shared" si="10"/>
        <v>0</v>
      </c>
      <c r="Y227" s="1" t="str">
        <f t="array" ref="Y227">IFERROR(INDEX('Исходник'!$1:$626,MATCH($A227,'Исходник'!$T:$T,0),MATCH(Y$1,'Исходник'!$1:$1,0)))</f>
        <v/>
      </c>
      <c r="Z227" s="27">
        <f t="shared" si="11"/>
        <v>0</v>
      </c>
      <c r="AA227" s="27" t="str">
        <f t="shared" si="12"/>
        <v/>
      </c>
      <c r="AB227" s="1" t="str">
        <f t="array" ref="AB227">IFERROR(INDEX('Исходник'!$1:$626,MATCH($A227,'Исходник'!$T:$T,0),MATCH(AB$1,'Исходник'!$1:$1,0)))</f>
        <v/>
      </c>
      <c r="AC227" s="1" t="str">
        <f t="array" ref="AC227">IFERROR(INDEX('Исходник'!$1:$626,MATCH($A227,'Исходник'!$T:$T,0),MATCH(AC$1,'Исходник'!$1:$1,0)))</f>
        <v/>
      </c>
      <c r="AD227" s="27" t="str">
        <f t="shared" si="13"/>
        <v/>
      </c>
      <c r="AE227" s="1" t="str">
        <f t="array" ref="AE227">IFERROR(INDEX('Исходник'!$1:$626,MATCH($A227,'Исходник'!$T:$T,0),MATCH(AE$1,'Исходник'!$1:$1,0)))</f>
        <v/>
      </c>
      <c r="AF227" s="1" t="str">
        <f t="array" ref="AF227">IFERROR(INDEX('Исходник'!$1:$626,MATCH($A227,'Исходник'!$T:$T,0),MATCH(AF$1,'Исходник'!$1:$1,0)))</f>
        <v/>
      </c>
      <c r="AG227" s="27" t="str">
        <f t="shared" si="14"/>
        <v/>
      </c>
      <c r="AH227" s="1" t="str">
        <f t="array" ref="AH227">IFERROR(INDEX('Исходник'!$1:$626,MATCH($A227,'Исходник'!$T:$T,0),MATCH(AH$1,'Исходник'!$1:$1,0)))</f>
        <v/>
      </c>
      <c r="AI227" s="1" t="str">
        <f t="array" ref="AI227">IFERROR(INDEX('Исходник'!$1:$626,MATCH($A227,'Исходник'!$T:$T,0),MATCH(AI$1,'Исходник'!$1:$1,0)))</f>
        <v/>
      </c>
      <c r="AJ227" s="18">
        <f t="shared" si="15"/>
        <v>0</v>
      </c>
    </row>
    <row r="228" ht="15.75" customHeight="1">
      <c r="A228" s="27"/>
      <c r="B228" s="1" t="str">
        <f t="array" ref="B228">IFERROR(INDEX('Исходник'!$1:$626,MATCH($A228,'Исходник'!$T:$T,0),MATCH(B$1,'Исходник'!$1:$1,0)))</f>
        <v/>
      </c>
      <c r="C228" s="1" t="str">
        <f t="array" ref="C228">IFERROR(INDEX('Исходник'!$1:$626,MATCH($A228,'Исходник'!$T:$T,0),MATCH(C$1,'Исходник'!$1:$1,0)))</f>
        <v/>
      </c>
      <c r="D228" s="1" t="str">
        <f t="array" ref="D228">IFERROR(INDEX('Исходник'!$1:$626,MATCH($A228,'Исходник'!$T:$T,0),MATCH(D$1,'Исходник'!$1:$1,0)))</f>
        <v/>
      </c>
      <c r="E228" s="1" t="str">
        <f t="array" ref="E228">IFERROR(INDEX('Исходник'!$1:$626,MATCH($A228,'Исходник'!$T:$T,0),MATCH(E$1,'Исходник'!$1:$1,0)))</f>
        <v/>
      </c>
      <c r="F228" s="1" t="str">
        <f t="array" ref="F228">IFERROR(INDEX('Исходник'!$1:$626,MATCH($A228,'Исходник'!$T:$T,0),MATCH(F$1,'Исходник'!$1:$1,0)))</f>
        <v/>
      </c>
      <c r="G228" s="1" t="str">
        <f t="array" ref="G228">IFERROR(INDEX('Исходник'!$1:$626,MATCH($A228,'Исходник'!$T:$T,0),MATCH(G$1,'Исходник'!$1:$1,0)))</f>
        <v/>
      </c>
      <c r="H228" s="27">
        <f t="shared" si="1"/>
        <v>0</v>
      </c>
      <c r="I228" s="27" t="str">
        <f t="shared" si="2"/>
        <v/>
      </c>
      <c r="J228" s="1" t="str">
        <f t="array" ref="J228">IFERROR(INDEX('Исходник'!$1:$626,MATCH($A228,'Исходник'!$T:$T,0),MATCH(J$1,'Исходник'!$1:$1,0)))</f>
        <v/>
      </c>
      <c r="K228" s="27" t="str">
        <f t="shared" si="3"/>
        <v/>
      </c>
      <c r="L228" s="1" t="str">
        <f t="array" ref="L228">IFERROR(INDEX('Исходник'!$1:$626,MATCH($A228,'Исходник'!$T:$T,0),MATCH(L$1,'Исходник'!$1:$1,0)))</f>
        <v/>
      </c>
      <c r="M228" s="28">
        <f t="shared" si="4"/>
        <v>0</v>
      </c>
      <c r="N228" s="1" t="str">
        <f t="array" ref="N228">IFERROR(INDEX('Исходник'!$1:$626,MATCH($A228,'Исходник'!$T:$T,0),MATCH(N$1,'Исходник'!$1:$1,0)))</f>
        <v/>
      </c>
      <c r="O228" s="27">
        <f t="shared" si="5"/>
        <v>0</v>
      </c>
      <c r="P228" s="27" t="str">
        <f t="shared" si="6"/>
        <v/>
      </c>
      <c r="Q228" s="1" t="str">
        <f t="array" ref="Q228">IFERROR(INDEX('Исходник'!$1:$626,MATCH($A228,'Исходник'!$T:$T,0),MATCH(Q$1,'Исходник'!$1:$1,0)))</f>
        <v/>
      </c>
      <c r="R228" s="1" t="str">
        <f t="array" ref="R228">IFERROR(INDEX('Исходник'!$1:$626,MATCH($A228,'Исходник'!$T:$T,0),MATCH(R$1,'Исходник'!$1:$1,0)))</f>
        <v/>
      </c>
      <c r="S228" s="27">
        <f t="shared" si="7"/>
        <v>0</v>
      </c>
      <c r="T228" s="27" t="str">
        <f t="shared" si="8"/>
        <v/>
      </c>
      <c r="U228" s="1" t="str">
        <f t="array" ref="U228">IFERROR(INDEX('Исходник'!$1:$626,MATCH($A228,'Исходник'!$T:$T,0),MATCH(U$1,'Исходник'!$1:$1,0)))</f>
        <v/>
      </c>
      <c r="V228" s="27" t="str">
        <f t="shared" si="9"/>
        <v/>
      </c>
      <c r="W228" s="1" t="str">
        <f t="array" ref="W228">IFERROR(INDEX('Исходник'!$1:$626,MATCH($A228,'Исходник'!$T:$T,0),MATCH(W$1,'Исходник'!$1:$1,0)))</f>
        <v/>
      </c>
      <c r="X228" s="28">
        <f t="shared" si="10"/>
        <v>0</v>
      </c>
      <c r="Y228" s="1" t="str">
        <f t="array" ref="Y228">IFERROR(INDEX('Исходник'!$1:$626,MATCH($A228,'Исходник'!$T:$T,0),MATCH(Y$1,'Исходник'!$1:$1,0)))</f>
        <v/>
      </c>
      <c r="Z228" s="27">
        <f t="shared" si="11"/>
        <v>0</v>
      </c>
      <c r="AA228" s="27" t="str">
        <f t="shared" si="12"/>
        <v/>
      </c>
      <c r="AB228" s="1" t="str">
        <f t="array" ref="AB228">IFERROR(INDEX('Исходник'!$1:$626,MATCH($A228,'Исходник'!$T:$T,0),MATCH(AB$1,'Исходник'!$1:$1,0)))</f>
        <v/>
      </c>
      <c r="AC228" s="1" t="str">
        <f t="array" ref="AC228">IFERROR(INDEX('Исходник'!$1:$626,MATCH($A228,'Исходник'!$T:$T,0),MATCH(AC$1,'Исходник'!$1:$1,0)))</f>
        <v/>
      </c>
      <c r="AD228" s="27" t="str">
        <f t="shared" si="13"/>
        <v/>
      </c>
      <c r="AE228" s="1" t="str">
        <f t="array" ref="AE228">IFERROR(INDEX('Исходник'!$1:$626,MATCH($A228,'Исходник'!$T:$T,0),MATCH(AE$1,'Исходник'!$1:$1,0)))</f>
        <v/>
      </c>
      <c r="AF228" s="1" t="str">
        <f t="array" ref="AF228">IFERROR(INDEX('Исходник'!$1:$626,MATCH($A228,'Исходник'!$T:$T,0),MATCH(AF$1,'Исходник'!$1:$1,0)))</f>
        <v/>
      </c>
      <c r="AG228" s="27" t="str">
        <f t="shared" si="14"/>
        <v/>
      </c>
      <c r="AH228" s="1" t="str">
        <f t="array" ref="AH228">IFERROR(INDEX('Исходник'!$1:$626,MATCH($A228,'Исходник'!$T:$T,0),MATCH(AH$1,'Исходник'!$1:$1,0)))</f>
        <v/>
      </c>
      <c r="AI228" s="1" t="str">
        <f t="array" ref="AI228">IFERROR(INDEX('Исходник'!$1:$626,MATCH($A228,'Исходник'!$T:$T,0),MATCH(AI$1,'Исходник'!$1:$1,0)))</f>
        <v/>
      </c>
      <c r="AJ228" s="18">
        <f t="shared" si="15"/>
        <v>0</v>
      </c>
    </row>
    <row r="229" ht="15.75" customHeight="1">
      <c r="A229" s="27"/>
      <c r="B229" s="1" t="str">
        <f t="array" ref="B229">IFERROR(INDEX('Исходник'!$1:$626,MATCH($A229,'Исходник'!$T:$T,0),MATCH(B$1,'Исходник'!$1:$1,0)))</f>
        <v/>
      </c>
      <c r="C229" s="1" t="str">
        <f t="array" ref="C229">IFERROR(INDEX('Исходник'!$1:$626,MATCH($A229,'Исходник'!$T:$T,0),MATCH(C$1,'Исходник'!$1:$1,0)))</f>
        <v/>
      </c>
      <c r="D229" s="1" t="str">
        <f t="array" ref="D229">IFERROR(INDEX('Исходник'!$1:$626,MATCH($A229,'Исходник'!$T:$T,0),MATCH(D$1,'Исходник'!$1:$1,0)))</f>
        <v/>
      </c>
      <c r="E229" s="1" t="str">
        <f t="array" ref="E229">IFERROR(INDEX('Исходник'!$1:$626,MATCH($A229,'Исходник'!$T:$T,0),MATCH(E$1,'Исходник'!$1:$1,0)))</f>
        <v/>
      </c>
      <c r="F229" s="1" t="str">
        <f t="array" ref="F229">IFERROR(INDEX('Исходник'!$1:$626,MATCH($A229,'Исходник'!$T:$T,0),MATCH(F$1,'Исходник'!$1:$1,0)))</f>
        <v/>
      </c>
      <c r="G229" s="1" t="str">
        <f t="array" ref="G229">IFERROR(INDEX('Исходник'!$1:$626,MATCH($A229,'Исходник'!$T:$T,0),MATCH(G$1,'Исходник'!$1:$1,0)))</f>
        <v/>
      </c>
      <c r="H229" s="27">
        <f t="shared" si="1"/>
        <v>0</v>
      </c>
      <c r="I229" s="27" t="str">
        <f t="shared" si="2"/>
        <v/>
      </c>
      <c r="J229" s="1" t="str">
        <f t="array" ref="J229">IFERROR(INDEX('Исходник'!$1:$626,MATCH($A229,'Исходник'!$T:$T,0),MATCH(J$1,'Исходник'!$1:$1,0)))</f>
        <v/>
      </c>
      <c r="K229" s="27" t="str">
        <f t="shared" si="3"/>
        <v/>
      </c>
      <c r="L229" s="1" t="str">
        <f t="array" ref="L229">IFERROR(INDEX('Исходник'!$1:$626,MATCH($A229,'Исходник'!$T:$T,0),MATCH(L$1,'Исходник'!$1:$1,0)))</f>
        <v/>
      </c>
      <c r="M229" s="28">
        <f t="shared" si="4"/>
        <v>0</v>
      </c>
      <c r="N229" s="1" t="str">
        <f t="array" ref="N229">IFERROR(INDEX('Исходник'!$1:$626,MATCH($A229,'Исходник'!$T:$T,0),MATCH(N$1,'Исходник'!$1:$1,0)))</f>
        <v/>
      </c>
      <c r="O229" s="27">
        <f t="shared" si="5"/>
        <v>0</v>
      </c>
      <c r="P229" s="27" t="str">
        <f t="shared" si="6"/>
        <v/>
      </c>
      <c r="Q229" s="1" t="str">
        <f t="array" ref="Q229">IFERROR(INDEX('Исходник'!$1:$626,MATCH($A229,'Исходник'!$T:$T,0),MATCH(Q$1,'Исходник'!$1:$1,0)))</f>
        <v/>
      </c>
      <c r="R229" s="1" t="str">
        <f t="array" ref="R229">IFERROR(INDEX('Исходник'!$1:$626,MATCH($A229,'Исходник'!$T:$T,0),MATCH(R$1,'Исходник'!$1:$1,0)))</f>
        <v/>
      </c>
      <c r="S229" s="27">
        <f t="shared" si="7"/>
        <v>0</v>
      </c>
      <c r="T229" s="27" t="str">
        <f t="shared" si="8"/>
        <v/>
      </c>
      <c r="U229" s="1" t="str">
        <f t="array" ref="U229">IFERROR(INDEX('Исходник'!$1:$626,MATCH($A229,'Исходник'!$T:$T,0),MATCH(U$1,'Исходник'!$1:$1,0)))</f>
        <v/>
      </c>
      <c r="V229" s="27" t="str">
        <f t="shared" si="9"/>
        <v/>
      </c>
      <c r="W229" s="1" t="str">
        <f t="array" ref="W229">IFERROR(INDEX('Исходник'!$1:$626,MATCH($A229,'Исходник'!$T:$T,0),MATCH(W$1,'Исходник'!$1:$1,0)))</f>
        <v/>
      </c>
      <c r="X229" s="28">
        <f t="shared" si="10"/>
        <v>0</v>
      </c>
      <c r="Y229" s="1" t="str">
        <f t="array" ref="Y229">IFERROR(INDEX('Исходник'!$1:$626,MATCH($A229,'Исходник'!$T:$T,0),MATCH(Y$1,'Исходник'!$1:$1,0)))</f>
        <v/>
      </c>
      <c r="Z229" s="27">
        <f t="shared" si="11"/>
        <v>0</v>
      </c>
      <c r="AA229" s="27" t="str">
        <f t="shared" si="12"/>
        <v/>
      </c>
      <c r="AB229" s="1" t="str">
        <f t="array" ref="AB229">IFERROR(INDEX('Исходник'!$1:$626,MATCH($A229,'Исходник'!$T:$T,0),MATCH(AB$1,'Исходник'!$1:$1,0)))</f>
        <v/>
      </c>
      <c r="AC229" s="1" t="str">
        <f t="array" ref="AC229">IFERROR(INDEX('Исходник'!$1:$626,MATCH($A229,'Исходник'!$T:$T,0),MATCH(AC$1,'Исходник'!$1:$1,0)))</f>
        <v/>
      </c>
      <c r="AD229" s="27" t="str">
        <f t="shared" si="13"/>
        <v/>
      </c>
      <c r="AE229" s="1" t="str">
        <f t="array" ref="AE229">IFERROR(INDEX('Исходник'!$1:$626,MATCH($A229,'Исходник'!$T:$T,0),MATCH(AE$1,'Исходник'!$1:$1,0)))</f>
        <v/>
      </c>
      <c r="AF229" s="1" t="str">
        <f t="array" ref="AF229">IFERROR(INDEX('Исходник'!$1:$626,MATCH($A229,'Исходник'!$T:$T,0),MATCH(AF$1,'Исходник'!$1:$1,0)))</f>
        <v/>
      </c>
      <c r="AG229" s="27" t="str">
        <f t="shared" si="14"/>
        <v/>
      </c>
      <c r="AH229" s="1" t="str">
        <f t="array" ref="AH229">IFERROR(INDEX('Исходник'!$1:$626,MATCH($A229,'Исходник'!$T:$T,0),MATCH(AH$1,'Исходник'!$1:$1,0)))</f>
        <v/>
      </c>
      <c r="AI229" s="1" t="str">
        <f t="array" ref="AI229">IFERROR(INDEX('Исходник'!$1:$626,MATCH($A229,'Исходник'!$T:$T,0),MATCH(AI$1,'Исходник'!$1:$1,0)))</f>
        <v/>
      </c>
      <c r="AJ229" s="18">
        <f t="shared" si="15"/>
        <v>0</v>
      </c>
    </row>
    <row r="230" ht="15.75" customHeight="1">
      <c r="A230" s="27"/>
      <c r="B230" s="1" t="str">
        <f t="array" ref="B230">IFERROR(INDEX('Исходник'!$1:$626,MATCH($A230,'Исходник'!$T:$T,0),MATCH(B$1,'Исходник'!$1:$1,0)))</f>
        <v/>
      </c>
      <c r="C230" s="1" t="str">
        <f t="array" ref="C230">IFERROR(INDEX('Исходник'!$1:$626,MATCH($A230,'Исходник'!$T:$T,0),MATCH(C$1,'Исходник'!$1:$1,0)))</f>
        <v/>
      </c>
      <c r="D230" s="1" t="str">
        <f t="array" ref="D230">IFERROR(INDEX('Исходник'!$1:$626,MATCH($A230,'Исходник'!$T:$T,0),MATCH(D$1,'Исходник'!$1:$1,0)))</f>
        <v/>
      </c>
      <c r="E230" s="1" t="str">
        <f t="array" ref="E230">IFERROR(INDEX('Исходник'!$1:$626,MATCH($A230,'Исходник'!$T:$T,0),MATCH(E$1,'Исходник'!$1:$1,0)))</f>
        <v/>
      </c>
      <c r="F230" s="1" t="str">
        <f t="array" ref="F230">IFERROR(INDEX('Исходник'!$1:$626,MATCH($A230,'Исходник'!$T:$T,0),MATCH(F$1,'Исходник'!$1:$1,0)))</f>
        <v/>
      </c>
      <c r="G230" s="1" t="str">
        <f t="array" ref="G230">IFERROR(INDEX('Исходник'!$1:$626,MATCH($A230,'Исходник'!$T:$T,0),MATCH(G$1,'Исходник'!$1:$1,0)))</f>
        <v/>
      </c>
      <c r="H230" s="27">
        <f t="shared" si="1"/>
        <v>0</v>
      </c>
      <c r="I230" s="27" t="str">
        <f t="shared" si="2"/>
        <v/>
      </c>
      <c r="J230" s="1" t="str">
        <f t="array" ref="J230">IFERROR(INDEX('Исходник'!$1:$626,MATCH($A230,'Исходник'!$T:$T,0),MATCH(J$1,'Исходник'!$1:$1,0)))</f>
        <v/>
      </c>
      <c r="K230" s="27" t="str">
        <f t="shared" si="3"/>
        <v/>
      </c>
      <c r="L230" s="1" t="str">
        <f t="array" ref="L230">IFERROR(INDEX('Исходник'!$1:$626,MATCH($A230,'Исходник'!$T:$T,0),MATCH(L$1,'Исходник'!$1:$1,0)))</f>
        <v/>
      </c>
      <c r="M230" s="28">
        <f t="shared" si="4"/>
        <v>0</v>
      </c>
      <c r="N230" s="1" t="str">
        <f t="array" ref="N230">IFERROR(INDEX('Исходник'!$1:$626,MATCH($A230,'Исходник'!$T:$T,0),MATCH(N$1,'Исходник'!$1:$1,0)))</f>
        <v/>
      </c>
      <c r="O230" s="27">
        <f t="shared" si="5"/>
        <v>0</v>
      </c>
      <c r="P230" s="27" t="str">
        <f t="shared" si="6"/>
        <v/>
      </c>
      <c r="Q230" s="1" t="str">
        <f t="array" ref="Q230">IFERROR(INDEX('Исходник'!$1:$626,MATCH($A230,'Исходник'!$T:$T,0),MATCH(Q$1,'Исходник'!$1:$1,0)))</f>
        <v/>
      </c>
      <c r="R230" s="1" t="str">
        <f t="array" ref="R230">IFERROR(INDEX('Исходник'!$1:$626,MATCH($A230,'Исходник'!$T:$T,0),MATCH(R$1,'Исходник'!$1:$1,0)))</f>
        <v/>
      </c>
      <c r="S230" s="27">
        <f t="shared" si="7"/>
        <v>0</v>
      </c>
      <c r="T230" s="27" t="str">
        <f t="shared" si="8"/>
        <v/>
      </c>
      <c r="U230" s="1" t="str">
        <f t="array" ref="U230">IFERROR(INDEX('Исходник'!$1:$626,MATCH($A230,'Исходник'!$T:$T,0),MATCH(U$1,'Исходник'!$1:$1,0)))</f>
        <v/>
      </c>
      <c r="V230" s="27" t="str">
        <f t="shared" si="9"/>
        <v/>
      </c>
      <c r="W230" s="1" t="str">
        <f t="array" ref="W230">IFERROR(INDEX('Исходник'!$1:$626,MATCH($A230,'Исходник'!$T:$T,0),MATCH(W$1,'Исходник'!$1:$1,0)))</f>
        <v/>
      </c>
      <c r="X230" s="28">
        <f t="shared" si="10"/>
        <v>0</v>
      </c>
      <c r="Y230" s="1" t="str">
        <f t="array" ref="Y230">IFERROR(INDEX('Исходник'!$1:$626,MATCH($A230,'Исходник'!$T:$T,0),MATCH(Y$1,'Исходник'!$1:$1,0)))</f>
        <v/>
      </c>
      <c r="Z230" s="27">
        <f t="shared" si="11"/>
        <v>0</v>
      </c>
      <c r="AA230" s="27" t="str">
        <f t="shared" si="12"/>
        <v/>
      </c>
      <c r="AB230" s="1" t="str">
        <f t="array" ref="AB230">IFERROR(INDEX('Исходник'!$1:$626,MATCH($A230,'Исходник'!$T:$T,0),MATCH(AB$1,'Исходник'!$1:$1,0)))</f>
        <v/>
      </c>
      <c r="AC230" s="1" t="str">
        <f t="array" ref="AC230">IFERROR(INDEX('Исходник'!$1:$626,MATCH($A230,'Исходник'!$T:$T,0),MATCH(AC$1,'Исходник'!$1:$1,0)))</f>
        <v/>
      </c>
      <c r="AD230" s="27" t="str">
        <f t="shared" si="13"/>
        <v/>
      </c>
      <c r="AE230" s="1" t="str">
        <f t="array" ref="AE230">IFERROR(INDEX('Исходник'!$1:$626,MATCH($A230,'Исходник'!$T:$T,0),MATCH(AE$1,'Исходник'!$1:$1,0)))</f>
        <v/>
      </c>
      <c r="AF230" s="1" t="str">
        <f t="array" ref="AF230">IFERROR(INDEX('Исходник'!$1:$626,MATCH($A230,'Исходник'!$T:$T,0),MATCH(AF$1,'Исходник'!$1:$1,0)))</f>
        <v/>
      </c>
      <c r="AG230" s="27" t="str">
        <f t="shared" si="14"/>
        <v/>
      </c>
      <c r="AH230" s="1" t="str">
        <f t="array" ref="AH230">IFERROR(INDEX('Исходник'!$1:$626,MATCH($A230,'Исходник'!$T:$T,0),MATCH(AH$1,'Исходник'!$1:$1,0)))</f>
        <v/>
      </c>
      <c r="AI230" s="1" t="str">
        <f t="array" ref="AI230">IFERROR(INDEX('Исходник'!$1:$626,MATCH($A230,'Исходник'!$T:$T,0),MATCH(AI$1,'Исходник'!$1:$1,0)))</f>
        <v/>
      </c>
      <c r="AJ230" s="18">
        <f t="shared" si="15"/>
        <v>0</v>
      </c>
    </row>
    <row r="231" ht="15.75" customHeight="1">
      <c r="A231" s="27"/>
      <c r="B231" s="1" t="str">
        <f t="array" ref="B231">IFERROR(INDEX('Исходник'!$1:$626,MATCH($A231,'Исходник'!$T:$T,0),MATCH(B$1,'Исходник'!$1:$1,0)))</f>
        <v/>
      </c>
      <c r="C231" s="1" t="str">
        <f t="array" ref="C231">IFERROR(INDEX('Исходник'!$1:$626,MATCH($A231,'Исходник'!$T:$T,0),MATCH(C$1,'Исходник'!$1:$1,0)))</f>
        <v/>
      </c>
      <c r="D231" s="1" t="str">
        <f t="array" ref="D231">IFERROR(INDEX('Исходник'!$1:$626,MATCH($A231,'Исходник'!$T:$T,0),MATCH(D$1,'Исходник'!$1:$1,0)))</f>
        <v/>
      </c>
      <c r="E231" s="1" t="str">
        <f t="array" ref="E231">IFERROR(INDEX('Исходник'!$1:$626,MATCH($A231,'Исходник'!$T:$T,0),MATCH(E$1,'Исходник'!$1:$1,0)))</f>
        <v/>
      </c>
      <c r="F231" s="1" t="str">
        <f t="array" ref="F231">IFERROR(INDEX('Исходник'!$1:$626,MATCH($A231,'Исходник'!$T:$T,0),MATCH(F$1,'Исходник'!$1:$1,0)))</f>
        <v/>
      </c>
      <c r="G231" s="1" t="str">
        <f t="array" ref="G231">IFERROR(INDEX('Исходник'!$1:$626,MATCH($A231,'Исходник'!$T:$T,0),MATCH(G$1,'Исходник'!$1:$1,0)))</f>
        <v/>
      </c>
      <c r="H231" s="27">
        <f t="shared" si="1"/>
        <v>0</v>
      </c>
      <c r="I231" s="27" t="str">
        <f t="shared" si="2"/>
        <v/>
      </c>
      <c r="J231" s="1" t="str">
        <f t="array" ref="J231">IFERROR(INDEX('Исходник'!$1:$626,MATCH($A231,'Исходник'!$T:$T,0),MATCH(J$1,'Исходник'!$1:$1,0)))</f>
        <v/>
      </c>
      <c r="K231" s="27" t="str">
        <f t="shared" si="3"/>
        <v/>
      </c>
      <c r="L231" s="1" t="str">
        <f t="array" ref="L231">IFERROR(INDEX('Исходник'!$1:$626,MATCH($A231,'Исходник'!$T:$T,0),MATCH(L$1,'Исходник'!$1:$1,0)))</f>
        <v/>
      </c>
      <c r="M231" s="28">
        <f t="shared" si="4"/>
        <v>0</v>
      </c>
      <c r="N231" s="1" t="str">
        <f t="array" ref="N231">IFERROR(INDEX('Исходник'!$1:$626,MATCH($A231,'Исходник'!$T:$T,0),MATCH(N$1,'Исходник'!$1:$1,0)))</f>
        <v/>
      </c>
      <c r="O231" s="27">
        <f t="shared" si="5"/>
        <v>0</v>
      </c>
      <c r="P231" s="27" t="str">
        <f t="shared" si="6"/>
        <v/>
      </c>
      <c r="Q231" s="1" t="str">
        <f t="array" ref="Q231">IFERROR(INDEX('Исходник'!$1:$626,MATCH($A231,'Исходник'!$T:$T,0),MATCH(Q$1,'Исходник'!$1:$1,0)))</f>
        <v/>
      </c>
      <c r="R231" s="1" t="str">
        <f t="array" ref="R231">IFERROR(INDEX('Исходник'!$1:$626,MATCH($A231,'Исходник'!$T:$T,0),MATCH(R$1,'Исходник'!$1:$1,0)))</f>
        <v/>
      </c>
      <c r="S231" s="27">
        <f t="shared" si="7"/>
        <v>0</v>
      </c>
      <c r="T231" s="27" t="str">
        <f t="shared" si="8"/>
        <v/>
      </c>
      <c r="U231" s="1" t="str">
        <f t="array" ref="U231">IFERROR(INDEX('Исходник'!$1:$626,MATCH($A231,'Исходник'!$T:$T,0),MATCH(U$1,'Исходник'!$1:$1,0)))</f>
        <v/>
      </c>
      <c r="V231" s="27" t="str">
        <f t="shared" si="9"/>
        <v/>
      </c>
      <c r="W231" s="1" t="str">
        <f t="array" ref="W231">IFERROR(INDEX('Исходник'!$1:$626,MATCH($A231,'Исходник'!$T:$T,0),MATCH(W$1,'Исходник'!$1:$1,0)))</f>
        <v/>
      </c>
      <c r="X231" s="28">
        <f t="shared" si="10"/>
        <v>0</v>
      </c>
      <c r="Y231" s="1" t="str">
        <f t="array" ref="Y231">IFERROR(INDEX('Исходник'!$1:$626,MATCH($A231,'Исходник'!$T:$T,0),MATCH(Y$1,'Исходник'!$1:$1,0)))</f>
        <v/>
      </c>
      <c r="Z231" s="27">
        <f t="shared" si="11"/>
        <v>0</v>
      </c>
      <c r="AA231" s="27" t="str">
        <f t="shared" si="12"/>
        <v/>
      </c>
      <c r="AB231" s="1" t="str">
        <f t="array" ref="AB231">IFERROR(INDEX('Исходник'!$1:$626,MATCH($A231,'Исходник'!$T:$T,0),MATCH(AB$1,'Исходник'!$1:$1,0)))</f>
        <v/>
      </c>
      <c r="AC231" s="1" t="str">
        <f t="array" ref="AC231">IFERROR(INDEX('Исходник'!$1:$626,MATCH($A231,'Исходник'!$T:$T,0),MATCH(AC$1,'Исходник'!$1:$1,0)))</f>
        <v/>
      </c>
      <c r="AD231" s="27" t="str">
        <f t="shared" si="13"/>
        <v/>
      </c>
      <c r="AE231" s="1" t="str">
        <f t="array" ref="AE231">IFERROR(INDEX('Исходник'!$1:$626,MATCH($A231,'Исходник'!$T:$T,0),MATCH(AE$1,'Исходник'!$1:$1,0)))</f>
        <v/>
      </c>
      <c r="AF231" s="1" t="str">
        <f t="array" ref="AF231">IFERROR(INDEX('Исходник'!$1:$626,MATCH($A231,'Исходник'!$T:$T,0),MATCH(AF$1,'Исходник'!$1:$1,0)))</f>
        <v/>
      </c>
      <c r="AG231" s="27" t="str">
        <f t="shared" si="14"/>
        <v/>
      </c>
      <c r="AH231" s="1" t="str">
        <f t="array" ref="AH231">IFERROR(INDEX('Исходник'!$1:$626,MATCH($A231,'Исходник'!$T:$T,0),MATCH(AH$1,'Исходник'!$1:$1,0)))</f>
        <v/>
      </c>
      <c r="AI231" s="1" t="str">
        <f t="array" ref="AI231">IFERROR(INDEX('Исходник'!$1:$626,MATCH($A231,'Исходник'!$T:$T,0),MATCH(AI$1,'Исходник'!$1:$1,0)))</f>
        <v/>
      </c>
      <c r="AJ231" s="18">
        <f t="shared" si="15"/>
        <v>0</v>
      </c>
    </row>
    <row r="232" ht="15.75" customHeight="1">
      <c r="A232" s="27"/>
      <c r="B232" s="1" t="str">
        <f t="array" ref="B232">IFERROR(INDEX('Исходник'!$1:$626,MATCH($A232,'Исходник'!$T:$T,0),MATCH(B$1,'Исходник'!$1:$1,0)))</f>
        <v/>
      </c>
      <c r="C232" s="1" t="str">
        <f t="array" ref="C232">IFERROR(INDEX('Исходник'!$1:$626,MATCH($A232,'Исходник'!$T:$T,0),MATCH(C$1,'Исходник'!$1:$1,0)))</f>
        <v/>
      </c>
      <c r="D232" s="1" t="str">
        <f t="array" ref="D232">IFERROR(INDEX('Исходник'!$1:$626,MATCH($A232,'Исходник'!$T:$T,0),MATCH(D$1,'Исходник'!$1:$1,0)))</f>
        <v/>
      </c>
      <c r="E232" s="1" t="str">
        <f t="array" ref="E232">IFERROR(INDEX('Исходник'!$1:$626,MATCH($A232,'Исходник'!$T:$T,0),MATCH(E$1,'Исходник'!$1:$1,0)))</f>
        <v/>
      </c>
      <c r="F232" s="1" t="str">
        <f t="array" ref="F232">IFERROR(INDEX('Исходник'!$1:$626,MATCH($A232,'Исходник'!$T:$T,0),MATCH(F$1,'Исходник'!$1:$1,0)))</f>
        <v/>
      </c>
      <c r="G232" s="1" t="str">
        <f t="array" ref="G232">IFERROR(INDEX('Исходник'!$1:$626,MATCH($A232,'Исходник'!$T:$T,0),MATCH(G$1,'Исходник'!$1:$1,0)))</f>
        <v/>
      </c>
      <c r="H232" s="27">
        <f t="shared" si="1"/>
        <v>0</v>
      </c>
      <c r="I232" s="27" t="str">
        <f t="shared" si="2"/>
        <v/>
      </c>
      <c r="J232" s="1" t="str">
        <f t="array" ref="J232">IFERROR(INDEX('Исходник'!$1:$626,MATCH($A232,'Исходник'!$T:$T,0),MATCH(J$1,'Исходник'!$1:$1,0)))</f>
        <v/>
      </c>
      <c r="K232" s="27" t="str">
        <f t="shared" si="3"/>
        <v/>
      </c>
      <c r="L232" s="1" t="str">
        <f t="array" ref="L232">IFERROR(INDEX('Исходник'!$1:$626,MATCH($A232,'Исходник'!$T:$T,0),MATCH(L$1,'Исходник'!$1:$1,0)))</f>
        <v/>
      </c>
      <c r="M232" s="28">
        <f t="shared" si="4"/>
        <v>0</v>
      </c>
      <c r="N232" s="1" t="str">
        <f t="array" ref="N232">IFERROR(INDEX('Исходник'!$1:$626,MATCH($A232,'Исходник'!$T:$T,0),MATCH(N$1,'Исходник'!$1:$1,0)))</f>
        <v/>
      </c>
      <c r="O232" s="27">
        <f t="shared" si="5"/>
        <v>0</v>
      </c>
      <c r="P232" s="27" t="str">
        <f t="shared" si="6"/>
        <v/>
      </c>
      <c r="Q232" s="1" t="str">
        <f t="array" ref="Q232">IFERROR(INDEX('Исходник'!$1:$626,MATCH($A232,'Исходник'!$T:$T,0),MATCH(Q$1,'Исходник'!$1:$1,0)))</f>
        <v/>
      </c>
      <c r="R232" s="1" t="str">
        <f t="array" ref="R232">IFERROR(INDEX('Исходник'!$1:$626,MATCH($A232,'Исходник'!$T:$T,0),MATCH(R$1,'Исходник'!$1:$1,0)))</f>
        <v/>
      </c>
      <c r="S232" s="27">
        <f t="shared" si="7"/>
        <v>0</v>
      </c>
      <c r="T232" s="27" t="str">
        <f t="shared" si="8"/>
        <v/>
      </c>
      <c r="U232" s="1" t="str">
        <f t="array" ref="U232">IFERROR(INDEX('Исходник'!$1:$626,MATCH($A232,'Исходник'!$T:$T,0),MATCH(U$1,'Исходник'!$1:$1,0)))</f>
        <v/>
      </c>
      <c r="V232" s="27" t="str">
        <f t="shared" si="9"/>
        <v/>
      </c>
      <c r="W232" s="1" t="str">
        <f t="array" ref="W232">IFERROR(INDEX('Исходник'!$1:$626,MATCH($A232,'Исходник'!$T:$T,0),MATCH(W$1,'Исходник'!$1:$1,0)))</f>
        <v/>
      </c>
      <c r="X232" s="28">
        <f t="shared" si="10"/>
        <v>0</v>
      </c>
      <c r="Y232" s="1" t="str">
        <f t="array" ref="Y232">IFERROR(INDEX('Исходник'!$1:$626,MATCH($A232,'Исходник'!$T:$T,0),MATCH(Y$1,'Исходник'!$1:$1,0)))</f>
        <v/>
      </c>
      <c r="Z232" s="27">
        <f t="shared" si="11"/>
        <v>0</v>
      </c>
      <c r="AA232" s="27" t="str">
        <f t="shared" si="12"/>
        <v/>
      </c>
      <c r="AB232" s="1" t="str">
        <f t="array" ref="AB232">IFERROR(INDEX('Исходник'!$1:$626,MATCH($A232,'Исходник'!$T:$T,0),MATCH(AB$1,'Исходник'!$1:$1,0)))</f>
        <v/>
      </c>
      <c r="AC232" s="1" t="str">
        <f t="array" ref="AC232">IFERROR(INDEX('Исходник'!$1:$626,MATCH($A232,'Исходник'!$T:$T,0),MATCH(AC$1,'Исходник'!$1:$1,0)))</f>
        <v/>
      </c>
      <c r="AD232" s="27" t="str">
        <f t="shared" si="13"/>
        <v/>
      </c>
      <c r="AE232" s="1" t="str">
        <f t="array" ref="AE232">IFERROR(INDEX('Исходник'!$1:$626,MATCH($A232,'Исходник'!$T:$T,0),MATCH(AE$1,'Исходник'!$1:$1,0)))</f>
        <v/>
      </c>
      <c r="AF232" s="1" t="str">
        <f t="array" ref="AF232">IFERROR(INDEX('Исходник'!$1:$626,MATCH($A232,'Исходник'!$T:$T,0),MATCH(AF$1,'Исходник'!$1:$1,0)))</f>
        <v/>
      </c>
      <c r="AG232" s="27" t="str">
        <f t="shared" si="14"/>
        <v/>
      </c>
      <c r="AH232" s="1" t="str">
        <f t="array" ref="AH232">IFERROR(INDEX('Исходник'!$1:$626,MATCH($A232,'Исходник'!$T:$T,0),MATCH(AH$1,'Исходник'!$1:$1,0)))</f>
        <v/>
      </c>
      <c r="AI232" s="1" t="str">
        <f t="array" ref="AI232">IFERROR(INDEX('Исходник'!$1:$626,MATCH($A232,'Исходник'!$T:$T,0),MATCH(AI$1,'Исходник'!$1:$1,0)))</f>
        <v/>
      </c>
      <c r="AJ232" s="18">
        <f t="shared" si="15"/>
        <v>0</v>
      </c>
    </row>
    <row r="233" ht="15.75" customHeight="1">
      <c r="A233" s="27"/>
      <c r="B233" s="1" t="str">
        <f t="array" ref="B233">IFERROR(INDEX('Исходник'!$1:$626,MATCH($A233,'Исходник'!$T:$T,0),MATCH(B$1,'Исходник'!$1:$1,0)))</f>
        <v/>
      </c>
      <c r="C233" s="1" t="str">
        <f t="array" ref="C233">IFERROR(INDEX('Исходник'!$1:$626,MATCH($A233,'Исходник'!$T:$T,0),MATCH(C$1,'Исходник'!$1:$1,0)))</f>
        <v/>
      </c>
      <c r="D233" s="1" t="str">
        <f t="array" ref="D233">IFERROR(INDEX('Исходник'!$1:$626,MATCH($A233,'Исходник'!$T:$T,0),MATCH(D$1,'Исходник'!$1:$1,0)))</f>
        <v/>
      </c>
      <c r="E233" s="1" t="str">
        <f t="array" ref="E233">IFERROR(INDEX('Исходник'!$1:$626,MATCH($A233,'Исходник'!$T:$T,0),MATCH(E$1,'Исходник'!$1:$1,0)))</f>
        <v/>
      </c>
      <c r="F233" s="1" t="str">
        <f t="array" ref="F233">IFERROR(INDEX('Исходник'!$1:$626,MATCH($A233,'Исходник'!$T:$T,0),MATCH(F$1,'Исходник'!$1:$1,0)))</f>
        <v/>
      </c>
      <c r="G233" s="1" t="str">
        <f t="array" ref="G233">IFERROR(INDEX('Исходник'!$1:$626,MATCH($A233,'Исходник'!$T:$T,0),MATCH(G$1,'Исходник'!$1:$1,0)))</f>
        <v/>
      </c>
      <c r="H233" s="27">
        <f t="shared" si="1"/>
        <v>0</v>
      </c>
      <c r="I233" s="27" t="str">
        <f t="shared" si="2"/>
        <v/>
      </c>
      <c r="J233" s="1" t="str">
        <f t="array" ref="J233">IFERROR(INDEX('Исходник'!$1:$626,MATCH($A233,'Исходник'!$T:$T,0),MATCH(J$1,'Исходник'!$1:$1,0)))</f>
        <v/>
      </c>
      <c r="K233" s="27" t="str">
        <f t="shared" si="3"/>
        <v/>
      </c>
      <c r="L233" s="1" t="str">
        <f t="array" ref="L233">IFERROR(INDEX('Исходник'!$1:$626,MATCH($A233,'Исходник'!$T:$T,0),MATCH(L$1,'Исходник'!$1:$1,0)))</f>
        <v/>
      </c>
      <c r="M233" s="28">
        <f t="shared" si="4"/>
        <v>0</v>
      </c>
      <c r="N233" s="1" t="str">
        <f t="array" ref="N233">IFERROR(INDEX('Исходник'!$1:$626,MATCH($A233,'Исходник'!$T:$T,0),MATCH(N$1,'Исходник'!$1:$1,0)))</f>
        <v/>
      </c>
      <c r="O233" s="27">
        <f t="shared" si="5"/>
        <v>0</v>
      </c>
      <c r="P233" s="27" t="str">
        <f t="shared" si="6"/>
        <v/>
      </c>
      <c r="Q233" s="1" t="str">
        <f t="array" ref="Q233">IFERROR(INDEX('Исходник'!$1:$626,MATCH($A233,'Исходник'!$T:$T,0),MATCH(Q$1,'Исходник'!$1:$1,0)))</f>
        <v/>
      </c>
      <c r="R233" s="1" t="str">
        <f t="array" ref="R233">IFERROR(INDEX('Исходник'!$1:$626,MATCH($A233,'Исходник'!$T:$T,0),MATCH(R$1,'Исходник'!$1:$1,0)))</f>
        <v/>
      </c>
      <c r="S233" s="27">
        <f t="shared" si="7"/>
        <v>0</v>
      </c>
      <c r="T233" s="27" t="str">
        <f t="shared" si="8"/>
        <v/>
      </c>
      <c r="U233" s="1" t="str">
        <f t="array" ref="U233">IFERROR(INDEX('Исходник'!$1:$626,MATCH($A233,'Исходник'!$T:$T,0),MATCH(U$1,'Исходник'!$1:$1,0)))</f>
        <v/>
      </c>
      <c r="V233" s="27" t="str">
        <f t="shared" si="9"/>
        <v/>
      </c>
      <c r="W233" s="1" t="str">
        <f t="array" ref="W233">IFERROR(INDEX('Исходник'!$1:$626,MATCH($A233,'Исходник'!$T:$T,0),MATCH(W$1,'Исходник'!$1:$1,0)))</f>
        <v/>
      </c>
      <c r="X233" s="28">
        <f t="shared" si="10"/>
        <v>0</v>
      </c>
      <c r="Y233" s="1" t="str">
        <f t="array" ref="Y233">IFERROR(INDEX('Исходник'!$1:$626,MATCH($A233,'Исходник'!$T:$T,0),MATCH(Y$1,'Исходник'!$1:$1,0)))</f>
        <v/>
      </c>
      <c r="Z233" s="27">
        <f t="shared" si="11"/>
        <v>0</v>
      </c>
      <c r="AA233" s="27" t="str">
        <f t="shared" si="12"/>
        <v/>
      </c>
      <c r="AB233" s="1" t="str">
        <f t="array" ref="AB233">IFERROR(INDEX('Исходник'!$1:$626,MATCH($A233,'Исходник'!$T:$T,0),MATCH(AB$1,'Исходник'!$1:$1,0)))</f>
        <v/>
      </c>
      <c r="AC233" s="1" t="str">
        <f t="array" ref="AC233">IFERROR(INDEX('Исходник'!$1:$626,MATCH($A233,'Исходник'!$T:$T,0),MATCH(AC$1,'Исходник'!$1:$1,0)))</f>
        <v/>
      </c>
      <c r="AD233" s="27" t="str">
        <f t="shared" si="13"/>
        <v/>
      </c>
      <c r="AE233" s="1" t="str">
        <f t="array" ref="AE233">IFERROR(INDEX('Исходник'!$1:$626,MATCH($A233,'Исходник'!$T:$T,0),MATCH(AE$1,'Исходник'!$1:$1,0)))</f>
        <v/>
      </c>
      <c r="AF233" s="1" t="str">
        <f t="array" ref="AF233">IFERROR(INDEX('Исходник'!$1:$626,MATCH($A233,'Исходник'!$T:$T,0),MATCH(AF$1,'Исходник'!$1:$1,0)))</f>
        <v/>
      </c>
      <c r="AG233" s="27" t="str">
        <f t="shared" si="14"/>
        <v/>
      </c>
      <c r="AH233" s="1" t="str">
        <f t="array" ref="AH233">IFERROR(INDEX('Исходник'!$1:$626,MATCH($A233,'Исходник'!$T:$T,0),MATCH(AH$1,'Исходник'!$1:$1,0)))</f>
        <v/>
      </c>
      <c r="AI233" s="1" t="str">
        <f t="array" ref="AI233">IFERROR(INDEX('Исходник'!$1:$626,MATCH($A233,'Исходник'!$T:$T,0),MATCH(AI$1,'Исходник'!$1:$1,0)))</f>
        <v/>
      </c>
      <c r="AJ233" s="18">
        <f t="shared" si="15"/>
        <v>0</v>
      </c>
    </row>
    <row r="234" ht="15.75" customHeight="1">
      <c r="A234" s="27"/>
      <c r="B234" s="1" t="str">
        <f t="array" ref="B234">IFERROR(INDEX('Исходник'!$1:$626,MATCH($A234,'Исходник'!$T:$T,0),MATCH(B$1,'Исходник'!$1:$1,0)))</f>
        <v/>
      </c>
      <c r="C234" s="1" t="str">
        <f t="array" ref="C234">IFERROR(INDEX('Исходник'!$1:$626,MATCH($A234,'Исходник'!$T:$T,0),MATCH(C$1,'Исходник'!$1:$1,0)))</f>
        <v/>
      </c>
      <c r="D234" s="1" t="str">
        <f t="array" ref="D234">IFERROR(INDEX('Исходник'!$1:$626,MATCH($A234,'Исходник'!$T:$T,0),MATCH(D$1,'Исходник'!$1:$1,0)))</f>
        <v/>
      </c>
      <c r="E234" s="1" t="str">
        <f t="array" ref="E234">IFERROR(INDEX('Исходник'!$1:$626,MATCH($A234,'Исходник'!$T:$T,0),MATCH(E$1,'Исходник'!$1:$1,0)))</f>
        <v/>
      </c>
      <c r="F234" s="1" t="str">
        <f t="array" ref="F234">IFERROR(INDEX('Исходник'!$1:$626,MATCH($A234,'Исходник'!$T:$T,0),MATCH(F$1,'Исходник'!$1:$1,0)))</f>
        <v/>
      </c>
      <c r="G234" s="1" t="str">
        <f t="array" ref="G234">IFERROR(INDEX('Исходник'!$1:$626,MATCH($A234,'Исходник'!$T:$T,0),MATCH(G$1,'Исходник'!$1:$1,0)))</f>
        <v/>
      </c>
      <c r="H234" s="27">
        <f t="shared" si="1"/>
        <v>0</v>
      </c>
      <c r="I234" s="27" t="str">
        <f t="shared" si="2"/>
        <v/>
      </c>
      <c r="J234" s="1" t="str">
        <f t="array" ref="J234">IFERROR(INDEX('Исходник'!$1:$626,MATCH($A234,'Исходник'!$T:$T,0),MATCH(J$1,'Исходник'!$1:$1,0)))</f>
        <v/>
      </c>
      <c r="K234" s="27" t="str">
        <f t="shared" si="3"/>
        <v/>
      </c>
      <c r="L234" s="1" t="str">
        <f t="array" ref="L234">IFERROR(INDEX('Исходник'!$1:$626,MATCH($A234,'Исходник'!$T:$T,0),MATCH(L$1,'Исходник'!$1:$1,0)))</f>
        <v/>
      </c>
      <c r="M234" s="28">
        <f t="shared" si="4"/>
        <v>0</v>
      </c>
      <c r="N234" s="1" t="str">
        <f t="array" ref="N234">IFERROR(INDEX('Исходник'!$1:$626,MATCH($A234,'Исходник'!$T:$T,0),MATCH(N$1,'Исходник'!$1:$1,0)))</f>
        <v/>
      </c>
      <c r="O234" s="27">
        <f t="shared" si="5"/>
        <v>0</v>
      </c>
      <c r="P234" s="27" t="str">
        <f t="shared" si="6"/>
        <v/>
      </c>
      <c r="Q234" s="1" t="str">
        <f t="array" ref="Q234">IFERROR(INDEX('Исходник'!$1:$626,MATCH($A234,'Исходник'!$T:$T,0),MATCH(Q$1,'Исходник'!$1:$1,0)))</f>
        <v/>
      </c>
      <c r="R234" s="1" t="str">
        <f t="array" ref="R234">IFERROR(INDEX('Исходник'!$1:$626,MATCH($A234,'Исходник'!$T:$T,0),MATCH(R$1,'Исходник'!$1:$1,0)))</f>
        <v/>
      </c>
      <c r="S234" s="27">
        <f t="shared" si="7"/>
        <v>0</v>
      </c>
      <c r="T234" s="27" t="str">
        <f t="shared" si="8"/>
        <v/>
      </c>
      <c r="U234" s="1" t="str">
        <f t="array" ref="U234">IFERROR(INDEX('Исходник'!$1:$626,MATCH($A234,'Исходник'!$T:$T,0),MATCH(U$1,'Исходник'!$1:$1,0)))</f>
        <v/>
      </c>
      <c r="V234" s="27" t="str">
        <f t="shared" si="9"/>
        <v/>
      </c>
      <c r="W234" s="1" t="str">
        <f t="array" ref="W234">IFERROR(INDEX('Исходник'!$1:$626,MATCH($A234,'Исходник'!$T:$T,0),MATCH(W$1,'Исходник'!$1:$1,0)))</f>
        <v/>
      </c>
      <c r="X234" s="28">
        <f t="shared" si="10"/>
        <v>0</v>
      </c>
      <c r="Y234" s="1" t="str">
        <f t="array" ref="Y234">IFERROR(INDEX('Исходник'!$1:$626,MATCH($A234,'Исходник'!$T:$T,0),MATCH(Y$1,'Исходник'!$1:$1,0)))</f>
        <v/>
      </c>
      <c r="Z234" s="27">
        <f t="shared" si="11"/>
        <v>0</v>
      </c>
      <c r="AA234" s="27" t="str">
        <f t="shared" si="12"/>
        <v/>
      </c>
      <c r="AB234" s="1" t="str">
        <f t="array" ref="AB234">IFERROR(INDEX('Исходник'!$1:$626,MATCH($A234,'Исходник'!$T:$T,0),MATCH(AB$1,'Исходник'!$1:$1,0)))</f>
        <v/>
      </c>
      <c r="AC234" s="1" t="str">
        <f t="array" ref="AC234">IFERROR(INDEX('Исходник'!$1:$626,MATCH($A234,'Исходник'!$T:$T,0),MATCH(AC$1,'Исходник'!$1:$1,0)))</f>
        <v/>
      </c>
      <c r="AD234" s="27" t="str">
        <f t="shared" si="13"/>
        <v/>
      </c>
      <c r="AE234" s="1" t="str">
        <f t="array" ref="AE234">IFERROR(INDEX('Исходник'!$1:$626,MATCH($A234,'Исходник'!$T:$T,0),MATCH(AE$1,'Исходник'!$1:$1,0)))</f>
        <v/>
      </c>
      <c r="AF234" s="1" t="str">
        <f t="array" ref="AF234">IFERROR(INDEX('Исходник'!$1:$626,MATCH($A234,'Исходник'!$T:$T,0),MATCH(AF$1,'Исходник'!$1:$1,0)))</f>
        <v/>
      </c>
      <c r="AG234" s="27" t="str">
        <f t="shared" si="14"/>
        <v/>
      </c>
      <c r="AH234" s="1" t="str">
        <f t="array" ref="AH234">IFERROR(INDEX('Исходник'!$1:$626,MATCH($A234,'Исходник'!$T:$T,0),MATCH(AH$1,'Исходник'!$1:$1,0)))</f>
        <v/>
      </c>
      <c r="AI234" s="1" t="str">
        <f t="array" ref="AI234">IFERROR(INDEX('Исходник'!$1:$626,MATCH($A234,'Исходник'!$T:$T,0),MATCH(AI$1,'Исходник'!$1:$1,0)))</f>
        <v/>
      </c>
      <c r="AJ234" s="18">
        <f t="shared" si="15"/>
        <v>0</v>
      </c>
    </row>
    <row r="235" ht="15.75" customHeight="1">
      <c r="A235" s="27"/>
      <c r="B235" s="1" t="str">
        <f t="array" ref="B235">IFERROR(INDEX('Исходник'!$1:$626,MATCH($A235,'Исходник'!$T:$T,0),MATCH(B$1,'Исходник'!$1:$1,0)))</f>
        <v/>
      </c>
      <c r="C235" s="1" t="str">
        <f t="array" ref="C235">IFERROR(INDEX('Исходник'!$1:$626,MATCH($A235,'Исходник'!$T:$T,0),MATCH(C$1,'Исходник'!$1:$1,0)))</f>
        <v/>
      </c>
      <c r="D235" s="1" t="str">
        <f t="array" ref="D235">IFERROR(INDEX('Исходник'!$1:$626,MATCH($A235,'Исходник'!$T:$T,0),MATCH(D$1,'Исходник'!$1:$1,0)))</f>
        <v/>
      </c>
      <c r="E235" s="1" t="str">
        <f t="array" ref="E235">IFERROR(INDEX('Исходник'!$1:$626,MATCH($A235,'Исходник'!$T:$T,0),MATCH(E$1,'Исходник'!$1:$1,0)))</f>
        <v/>
      </c>
      <c r="F235" s="1" t="str">
        <f t="array" ref="F235">IFERROR(INDEX('Исходник'!$1:$626,MATCH($A235,'Исходник'!$T:$T,0),MATCH(F$1,'Исходник'!$1:$1,0)))</f>
        <v/>
      </c>
      <c r="G235" s="1" t="str">
        <f t="array" ref="G235">IFERROR(INDEX('Исходник'!$1:$626,MATCH($A235,'Исходник'!$T:$T,0),MATCH(G$1,'Исходник'!$1:$1,0)))</f>
        <v/>
      </c>
      <c r="H235" s="27">
        <f t="shared" si="1"/>
        <v>0</v>
      </c>
      <c r="I235" s="27" t="str">
        <f t="shared" si="2"/>
        <v/>
      </c>
      <c r="J235" s="1" t="str">
        <f t="array" ref="J235">IFERROR(INDEX('Исходник'!$1:$626,MATCH($A235,'Исходник'!$T:$T,0),MATCH(J$1,'Исходник'!$1:$1,0)))</f>
        <v/>
      </c>
      <c r="K235" s="27" t="str">
        <f t="shared" si="3"/>
        <v/>
      </c>
      <c r="L235" s="1" t="str">
        <f t="array" ref="L235">IFERROR(INDEX('Исходник'!$1:$626,MATCH($A235,'Исходник'!$T:$T,0),MATCH(L$1,'Исходник'!$1:$1,0)))</f>
        <v/>
      </c>
      <c r="M235" s="28">
        <f t="shared" si="4"/>
        <v>0</v>
      </c>
      <c r="N235" s="1" t="str">
        <f t="array" ref="N235">IFERROR(INDEX('Исходник'!$1:$626,MATCH($A235,'Исходник'!$T:$T,0),MATCH(N$1,'Исходник'!$1:$1,0)))</f>
        <v/>
      </c>
      <c r="O235" s="27">
        <f t="shared" si="5"/>
        <v>0</v>
      </c>
      <c r="P235" s="27" t="str">
        <f t="shared" si="6"/>
        <v/>
      </c>
      <c r="Q235" s="1" t="str">
        <f t="array" ref="Q235">IFERROR(INDEX('Исходник'!$1:$626,MATCH($A235,'Исходник'!$T:$T,0),MATCH(Q$1,'Исходник'!$1:$1,0)))</f>
        <v/>
      </c>
      <c r="R235" s="1" t="str">
        <f t="array" ref="R235">IFERROR(INDEX('Исходник'!$1:$626,MATCH($A235,'Исходник'!$T:$T,0),MATCH(R$1,'Исходник'!$1:$1,0)))</f>
        <v/>
      </c>
      <c r="S235" s="27">
        <f t="shared" si="7"/>
        <v>0</v>
      </c>
      <c r="T235" s="27" t="str">
        <f t="shared" si="8"/>
        <v/>
      </c>
      <c r="U235" s="1" t="str">
        <f t="array" ref="U235">IFERROR(INDEX('Исходник'!$1:$626,MATCH($A235,'Исходник'!$T:$T,0),MATCH(U$1,'Исходник'!$1:$1,0)))</f>
        <v/>
      </c>
      <c r="V235" s="27" t="str">
        <f t="shared" si="9"/>
        <v/>
      </c>
      <c r="W235" s="1" t="str">
        <f t="array" ref="W235">IFERROR(INDEX('Исходник'!$1:$626,MATCH($A235,'Исходник'!$T:$T,0),MATCH(W$1,'Исходник'!$1:$1,0)))</f>
        <v/>
      </c>
      <c r="X235" s="28">
        <f t="shared" si="10"/>
        <v>0</v>
      </c>
      <c r="Y235" s="1" t="str">
        <f t="array" ref="Y235">IFERROR(INDEX('Исходник'!$1:$626,MATCH($A235,'Исходник'!$T:$T,0),MATCH(Y$1,'Исходник'!$1:$1,0)))</f>
        <v/>
      </c>
      <c r="Z235" s="27">
        <f t="shared" si="11"/>
        <v>0</v>
      </c>
      <c r="AA235" s="27" t="str">
        <f t="shared" si="12"/>
        <v/>
      </c>
      <c r="AB235" s="1" t="str">
        <f t="array" ref="AB235">IFERROR(INDEX('Исходник'!$1:$626,MATCH($A235,'Исходник'!$T:$T,0),MATCH(AB$1,'Исходник'!$1:$1,0)))</f>
        <v/>
      </c>
      <c r="AC235" s="1" t="str">
        <f t="array" ref="AC235">IFERROR(INDEX('Исходник'!$1:$626,MATCH($A235,'Исходник'!$T:$T,0),MATCH(AC$1,'Исходник'!$1:$1,0)))</f>
        <v/>
      </c>
      <c r="AD235" s="27" t="str">
        <f t="shared" si="13"/>
        <v/>
      </c>
      <c r="AE235" s="1" t="str">
        <f t="array" ref="AE235">IFERROR(INDEX('Исходник'!$1:$626,MATCH($A235,'Исходник'!$T:$T,0),MATCH(AE$1,'Исходник'!$1:$1,0)))</f>
        <v/>
      </c>
      <c r="AF235" s="1" t="str">
        <f t="array" ref="AF235">IFERROR(INDEX('Исходник'!$1:$626,MATCH($A235,'Исходник'!$T:$T,0),MATCH(AF$1,'Исходник'!$1:$1,0)))</f>
        <v/>
      </c>
      <c r="AG235" s="27" t="str">
        <f t="shared" si="14"/>
        <v/>
      </c>
      <c r="AH235" s="1" t="str">
        <f t="array" ref="AH235">IFERROR(INDEX('Исходник'!$1:$626,MATCH($A235,'Исходник'!$T:$T,0),MATCH(AH$1,'Исходник'!$1:$1,0)))</f>
        <v/>
      </c>
      <c r="AI235" s="1" t="str">
        <f t="array" ref="AI235">IFERROR(INDEX('Исходник'!$1:$626,MATCH($A235,'Исходник'!$T:$T,0),MATCH(AI$1,'Исходник'!$1:$1,0)))</f>
        <v/>
      </c>
      <c r="AJ235" s="18">
        <f t="shared" si="15"/>
        <v>0</v>
      </c>
    </row>
    <row r="236" ht="15.75" customHeight="1">
      <c r="A236" s="27"/>
      <c r="B236" s="1" t="str">
        <f t="array" ref="B236">IFERROR(INDEX('Исходник'!$1:$626,MATCH($A236,'Исходник'!$T:$T,0),MATCH(B$1,'Исходник'!$1:$1,0)))</f>
        <v/>
      </c>
      <c r="C236" s="1" t="str">
        <f t="array" ref="C236">IFERROR(INDEX('Исходник'!$1:$626,MATCH($A236,'Исходник'!$T:$T,0),MATCH(C$1,'Исходник'!$1:$1,0)))</f>
        <v/>
      </c>
      <c r="D236" s="1" t="str">
        <f t="array" ref="D236">IFERROR(INDEX('Исходник'!$1:$626,MATCH($A236,'Исходник'!$T:$T,0),MATCH(D$1,'Исходник'!$1:$1,0)))</f>
        <v/>
      </c>
      <c r="E236" s="1" t="str">
        <f t="array" ref="E236">IFERROR(INDEX('Исходник'!$1:$626,MATCH($A236,'Исходник'!$T:$T,0),MATCH(E$1,'Исходник'!$1:$1,0)))</f>
        <v/>
      </c>
      <c r="F236" s="1" t="str">
        <f t="array" ref="F236">IFERROR(INDEX('Исходник'!$1:$626,MATCH($A236,'Исходник'!$T:$T,0),MATCH(F$1,'Исходник'!$1:$1,0)))</f>
        <v/>
      </c>
      <c r="G236" s="1" t="str">
        <f t="array" ref="G236">IFERROR(INDEX('Исходник'!$1:$626,MATCH($A236,'Исходник'!$T:$T,0),MATCH(G$1,'Исходник'!$1:$1,0)))</f>
        <v/>
      </c>
      <c r="H236" s="27">
        <f t="shared" si="1"/>
        <v>0</v>
      </c>
      <c r="I236" s="27" t="str">
        <f t="shared" si="2"/>
        <v/>
      </c>
      <c r="J236" s="1" t="str">
        <f t="array" ref="J236">IFERROR(INDEX('Исходник'!$1:$626,MATCH($A236,'Исходник'!$T:$T,0),MATCH(J$1,'Исходник'!$1:$1,0)))</f>
        <v/>
      </c>
      <c r="K236" s="27" t="str">
        <f t="shared" si="3"/>
        <v/>
      </c>
      <c r="L236" s="1" t="str">
        <f t="array" ref="L236">IFERROR(INDEX('Исходник'!$1:$626,MATCH($A236,'Исходник'!$T:$T,0),MATCH(L$1,'Исходник'!$1:$1,0)))</f>
        <v/>
      </c>
      <c r="M236" s="28">
        <f t="shared" si="4"/>
        <v>0</v>
      </c>
      <c r="N236" s="1" t="str">
        <f t="array" ref="N236">IFERROR(INDEX('Исходник'!$1:$626,MATCH($A236,'Исходник'!$T:$T,0),MATCH(N$1,'Исходник'!$1:$1,0)))</f>
        <v/>
      </c>
      <c r="O236" s="27">
        <f t="shared" si="5"/>
        <v>0</v>
      </c>
      <c r="P236" s="27" t="str">
        <f t="shared" si="6"/>
        <v/>
      </c>
      <c r="Q236" s="1" t="str">
        <f t="array" ref="Q236">IFERROR(INDEX('Исходник'!$1:$626,MATCH($A236,'Исходник'!$T:$T,0),MATCH(Q$1,'Исходник'!$1:$1,0)))</f>
        <v/>
      </c>
      <c r="R236" s="1" t="str">
        <f t="array" ref="R236">IFERROR(INDEX('Исходник'!$1:$626,MATCH($A236,'Исходник'!$T:$T,0),MATCH(R$1,'Исходник'!$1:$1,0)))</f>
        <v/>
      </c>
      <c r="S236" s="27">
        <f t="shared" si="7"/>
        <v>0</v>
      </c>
      <c r="T236" s="27" t="str">
        <f t="shared" si="8"/>
        <v/>
      </c>
      <c r="U236" s="1" t="str">
        <f t="array" ref="U236">IFERROR(INDEX('Исходник'!$1:$626,MATCH($A236,'Исходник'!$T:$T,0),MATCH(U$1,'Исходник'!$1:$1,0)))</f>
        <v/>
      </c>
      <c r="V236" s="27" t="str">
        <f t="shared" si="9"/>
        <v/>
      </c>
      <c r="W236" s="1" t="str">
        <f t="array" ref="W236">IFERROR(INDEX('Исходник'!$1:$626,MATCH($A236,'Исходник'!$T:$T,0),MATCH(W$1,'Исходник'!$1:$1,0)))</f>
        <v/>
      </c>
      <c r="X236" s="28">
        <f t="shared" si="10"/>
        <v>0</v>
      </c>
      <c r="Y236" s="1" t="str">
        <f t="array" ref="Y236">IFERROR(INDEX('Исходник'!$1:$626,MATCH($A236,'Исходник'!$T:$T,0),MATCH(Y$1,'Исходник'!$1:$1,0)))</f>
        <v/>
      </c>
      <c r="Z236" s="27">
        <f t="shared" si="11"/>
        <v>0</v>
      </c>
      <c r="AA236" s="27" t="str">
        <f t="shared" si="12"/>
        <v/>
      </c>
      <c r="AB236" s="1" t="str">
        <f t="array" ref="AB236">IFERROR(INDEX('Исходник'!$1:$626,MATCH($A236,'Исходник'!$T:$T,0),MATCH(AB$1,'Исходник'!$1:$1,0)))</f>
        <v/>
      </c>
      <c r="AC236" s="1" t="str">
        <f t="array" ref="AC236">IFERROR(INDEX('Исходник'!$1:$626,MATCH($A236,'Исходник'!$T:$T,0),MATCH(AC$1,'Исходник'!$1:$1,0)))</f>
        <v/>
      </c>
      <c r="AD236" s="27" t="str">
        <f t="shared" si="13"/>
        <v/>
      </c>
      <c r="AE236" s="1" t="str">
        <f t="array" ref="AE236">IFERROR(INDEX('Исходник'!$1:$626,MATCH($A236,'Исходник'!$T:$T,0),MATCH(AE$1,'Исходник'!$1:$1,0)))</f>
        <v/>
      </c>
      <c r="AF236" s="1" t="str">
        <f t="array" ref="AF236">IFERROR(INDEX('Исходник'!$1:$626,MATCH($A236,'Исходник'!$T:$T,0),MATCH(AF$1,'Исходник'!$1:$1,0)))</f>
        <v/>
      </c>
      <c r="AG236" s="27" t="str">
        <f t="shared" si="14"/>
        <v/>
      </c>
      <c r="AH236" s="1" t="str">
        <f t="array" ref="AH236">IFERROR(INDEX('Исходник'!$1:$626,MATCH($A236,'Исходник'!$T:$T,0),MATCH(AH$1,'Исходник'!$1:$1,0)))</f>
        <v/>
      </c>
      <c r="AI236" s="1" t="str">
        <f t="array" ref="AI236">IFERROR(INDEX('Исходник'!$1:$626,MATCH($A236,'Исходник'!$T:$T,0),MATCH(AI$1,'Исходник'!$1:$1,0)))</f>
        <v/>
      </c>
      <c r="AJ236" s="18">
        <f t="shared" si="15"/>
        <v>0</v>
      </c>
    </row>
    <row r="237" ht="15.75" customHeight="1">
      <c r="A237" s="27"/>
      <c r="B237" s="1" t="str">
        <f t="array" ref="B237">IFERROR(INDEX('Исходник'!$1:$626,MATCH($A237,'Исходник'!$T:$T,0),MATCH(B$1,'Исходник'!$1:$1,0)))</f>
        <v/>
      </c>
      <c r="C237" s="1" t="str">
        <f t="array" ref="C237">IFERROR(INDEX('Исходник'!$1:$626,MATCH($A237,'Исходник'!$T:$T,0),MATCH(C$1,'Исходник'!$1:$1,0)))</f>
        <v/>
      </c>
      <c r="D237" s="1" t="str">
        <f t="array" ref="D237">IFERROR(INDEX('Исходник'!$1:$626,MATCH($A237,'Исходник'!$T:$T,0),MATCH(D$1,'Исходник'!$1:$1,0)))</f>
        <v/>
      </c>
      <c r="E237" s="1" t="str">
        <f t="array" ref="E237">IFERROR(INDEX('Исходник'!$1:$626,MATCH($A237,'Исходник'!$T:$T,0),MATCH(E$1,'Исходник'!$1:$1,0)))</f>
        <v/>
      </c>
      <c r="F237" s="1" t="str">
        <f t="array" ref="F237">IFERROR(INDEX('Исходник'!$1:$626,MATCH($A237,'Исходник'!$T:$T,0),MATCH(F$1,'Исходник'!$1:$1,0)))</f>
        <v/>
      </c>
      <c r="G237" s="1" t="str">
        <f t="array" ref="G237">IFERROR(INDEX('Исходник'!$1:$626,MATCH($A237,'Исходник'!$T:$T,0),MATCH(G$1,'Исходник'!$1:$1,0)))</f>
        <v/>
      </c>
      <c r="H237" s="27">
        <f t="shared" si="1"/>
        <v>0</v>
      </c>
      <c r="I237" s="27" t="str">
        <f t="shared" si="2"/>
        <v/>
      </c>
      <c r="J237" s="1" t="str">
        <f t="array" ref="J237">IFERROR(INDEX('Исходник'!$1:$626,MATCH($A237,'Исходник'!$T:$T,0),MATCH(J$1,'Исходник'!$1:$1,0)))</f>
        <v/>
      </c>
      <c r="K237" s="27" t="str">
        <f t="shared" si="3"/>
        <v/>
      </c>
      <c r="L237" s="1" t="str">
        <f t="array" ref="L237">IFERROR(INDEX('Исходник'!$1:$626,MATCH($A237,'Исходник'!$T:$T,0),MATCH(L$1,'Исходник'!$1:$1,0)))</f>
        <v/>
      </c>
      <c r="M237" s="28">
        <f t="shared" si="4"/>
        <v>0</v>
      </c>
      <c r="N237" s="1" t="str">
        <f t="array" ref="N237">IFERROR(INDEX('Исходник'!$1:$626,MATCH($A237,'Исходник'!$T:$T,0),MATCH(N$1,'Исходник'!$1:$1,0)))</f>
        <v/>
      </c>
      <c r="O237" s="27">
        <f t="shared" si="5"/>
        <v>0</v>
      </c>
      <c r="P237" s="27" t="str">
        <f t="shared" si="6"/>
        <v/>
      </c>
      <c r="Q237" s="1" t="str">
        <f t="array" ref="Q237">IFERROR(INDEX('Исходник'!$1:$626,MATCH($A237,'Исходник'!$T:$T,0),MATCH(Q$1,'Исходник'!$1:$1,0)))</f>
        <v/>
      </c>
      <c r="R237" s="1" t="str">
        <f t="array" ref="R237">IFERROR(INDEX('Исходник'!$1:$626,MATCH($A237,'Исходник'!$T:$T,0),MATCH(R$1,'Исходник'!$1:$1,0)))</f>
        <v/>
      </c>
      <c r="S237" s="27">
        <f t="shared" si="7"/>
        <v>0</v>
      </c>
      <c r="T237" s="27" t="str">
        <f t="shared" si="8"/>
        <v/>
      </c>
      <c r="U237" s="1" t="str">
        <f t="array" ref="U237">IFERROR(INDEX('Исходник'!$1:$626,MATCH($A237,'Исходник'!$T:$T,0),MATCH(U$1,'Исходник'!$1:$1,0)))</f>
        <v/>
      </c>
      <c r="V237" s="27" t="str">
        <f t="shared" si="9"/>
        <v/>
      </c>
      <c r="W237" s="1" t="str">
        <f t="array" ref="W237">IFERROR(INDEX('Исходник'!$1:$626,MATCH($A237,'Исходник'!$T:$T,0),MATCH(W$1,'Исходник'!$1:$1,0)))</f>
        <v/>
      </c>
      <c r="X237" s="28">
        <f t="shared" si="10"/>
        <v>0</v>
      </c>
      <c r="Y237" s="1" t="str">
        <f t="array" ref="Y237">IFERROR(INDEX('Исходник'!$1:$626,MATCH($A237,'Исходник'!$T:$T,0),MATCH(Y$1,'Исходник'!$1:$1,0)))</f>
        <v/>
      </c>
      <c r="Z237" s="27">
        <f t="shared" si="11"/>
        <v>0</v>
      </c>
      <c r="AA237" s="27" t="str">
        <f t="shared" si="12"/>
        <v/>
      </c>
      <c r="AB237" s="1" t="str">
        <f t="array" ref="AB237">IFERROR(INDEX('Исходник'!$1:$626,MATCH($A237,'Исходник'!$T:$T,0),MATCH(AB$1,'Исходник'!$1:$1,0)))</f>
        <v/>
      </c>
      <c r="AC237" s="1" t="str">
        <f t="array" ref="AC237">IFERROR(INDEX('Исходник'!$1:$626,MATCH($A237,'Исходник'!$T:$T,0),MATCH(AC$1,'Исходник'!$1:$1,0)))</f>
        <v/>
      </c>
      <c r="AD237" s="27" t="str">
        <f t="shared" si="13"/>
        <v/>
      </c>
      <c r="AE237" s="1" t="str">
        <f t="array" ref="AE237">IFERROR(INDEX('Исходник'!$1:$626,MATCH($A237,'Исходник'!$T:$T,0),MATCH(AE$1,'Исходник'!$1:$1,0)))</f>
        <v/>
      </c>
      <c r="AF237" s="1" t="str">
        <f t="array" ref="AF237">IFERROR(INDEX('Исходник'!$1:$626,MATCH($A237,'Исходник'!$T:$T,0),MATCH(AF$1,'Исходник'!$1:$1,0)))</f>
        <v/>
      </c>
      <c r="AG237" s="27" t="str">
        <f t="shared" si="14"/>
        <v/>
      </c>
      <c r="AH237" s="1" t="str">
        <f t="array" ref="AH237">IFERROR(INDEX('Исходник'!$1:$626,MATCH($A237,'Исходник'!$T:$T,0),MATCH(AH$1,'Исходник'!$1:$1,0)))</f>
        <v/>
      </c>
      <c r="AI237" s="1" t="str">
        <f t="array" ref="AI237">IFERROR(INDEX('Исходник'!$1:$626,MATCH($A237,'Исходник'!$T:$T,0),MATCH(AI$1,'Исходник'!$1:$1,0)))</f>
        <v/>
      </c>
      <c r="AJ237" s="18">
        <f t="shared" si="15"/>
        <v>0</v>
      </c>
    </row>
    <row r="238" ht="15.75" customHeight="1">
      <c r="A238" s="27"/>
      <c r="B238" s="1" t="str">
        <f t="array" ref="B238">IFERROR(INDEX('Исходник'!$1:$626,MATCH($A238,'Исходник'!$T:$T,0),MATCH(B$1,'Исходник'!$1:$1,0)))</f>
        <v/>
      </c>
      <c r="C238" s="1" t="str">
        <f t="array" ref="C238">IFERROR(INDEX('Исходник'!$1:$626,MATCH($A238,'Исходник'!$T:$T,0),MATCH(C$1,'Исходник'!$1:$1,0)))</f>
        <v/>
      </c>
      <c r="D238" s="1" t="str">
        <f t="array" ref="D238">IFERROR(INDEX('Исходник'!$1:$626,MATCH($A238,'Исходник'!$T:$T,0),MATCH(D$1,'Исходник'!$1:$1,0)))</f>
        <v/>
      </c>
      <c r="E238" s="1" t="str">
        <f t="array" ref="E238">IFERROR(INDEX('Исходник'!$1:$626,MATCH($A238,'Исходник'!$T:$T,0),MATCH(E$1,'Исходник'!$1:$1,0)))</f>
        <v/>
      </c>
      <c r="F238" s="1" t="str">
        <f t="array" ref="F238">IFERROR(INDEX('Исходник'!$1:$626,MATCH($A238,'Исходник'!$T:$T,0),MATCH(F$1,'Исходник'!$1:$1,0)))</f>
        <v/>
      </c>
      <c r="G238" s="1" t="str">
        <f t="array" ref="G238">IFERROR(INDEX('Исходник'!$1:$626,MATCH($A238,'Исходник'!$T:$T,0),MATCH(G$1,'Исходник'!$1:$1,0)))</f>
        <v/>
      </c>
      <c r="H238" s="27">
        <f t="shared" si="1"/>
        <v>0</v>
      </c>
      <c r="I238" s="27" t="str">
        <f t="shared" si="2"/>
        <v/>
      </c>
      <c r="J238" s="1" t="str">
        <f t="array" ref="J238">IFERROR(INDEX('Исходник'!$1:$626,MATCH($A238,'Исходник'!$T:$T,0),MATCH(J$1,'Исходник'!$1:$1,0)))</f>
        <v/>
      </c>
      <c r="K238" s="27" t="str">
        <f t="shared" si="3"/>
        <v/>
      </c>
      <c r="L238" s="1" t="str">
        <f t="array" ref="L238">IFERROR(INDEX('Исходник'!$1:$626,MATCH($A238,'Исходник'!$T:$T,0),MATCH(L$1,'Исходник'!$1:$1,0)))</f>
        <v/>
      </c>
      <c r="M238" s="28">
        <f t="shared" si="4"/>
        <v>0</v>
      </c>
      <c r="N238" s="1" t="str">
        <f t="array" ref="N238">IFERROR(INDEX('Исходник'!$1:$626,MATCH($A238,'Исходник'!$T:$T,0),MATCH(N$1,'Исходник'!$1:$1,0)))</f>
        <v/>
      </c>
      <c r="O238" s="27">
        <f t="shared" si="5"/>
        <v>0</v>
      </c>
      <c r="P238" s="27" t="str">
        <f t="shared" si="6"/>
        <v/>
      </c>
      <c r="Q238" s="1" t="str">
        <f t="array" ref="Q238">IFERROR(INDEX('Исходник'!$1:$626,MATCH($A238,'Исходник'!$T:$T,0),MATCH(Q$1,'Исходник'!$1:$1,0)))</f>
        <v/>
      </c>
      <c r="R238" s="1" t="str">
        <f t="array" ref="R238">IFERROR(INDEX('Исходник'!$1:$626,MATCH($A238,'Исходник'!$T:$T,0),MATCH(R$1,'Исходник'!$1:$1,0)))</f>
        <v/>
      </c>
      <c r="S238" s="27">
        <f t="shared" si="7"/>
        <v>0</v>
      </c>
      <c r="T238" s="27" t="str">
        <f t="shared" si="8"/>
        <v/>
      </c>
      <c r="U238" s="1" t="str">
        <f t="array" ref="U238">IFERROR(INDEX('Исходник'!$1:$626,MATCH($A238,'Исходник'!$T:$T,0),MATCH(U$1,'Исходник'!$1:$1,0)))</f>
        <v/>
      </c>
      <c r="V238" s="27" t="str">
        <f t="shared" si="9"/>
        <v/>
      </c>
      <c r="W238" s="1" t="str">
        <f t="array" ref="W238">IFERROR(INDEX('Исходник'!$1:$626,MATCH($A238,'Исходник'!$T:$T,0),MATCH(W$1,'Исходник'!$1:$1,0)))</f>
        <v/>
      </c>
      <c r="X238" s="28">
        <f t="shared" si="10"/>
        <v>0</v>
      </c>
      <c r="Y238" s="1" t="str">
        <f t="array" ref="Y238">IFERROR(INDEX('Исходник'!$1:$626,MATCH($A238,'Исходник'!$T:$T,0),MATCH(Y$1,'Исходник'!$1:$1,0)))</f>
        <v/>
      </c>
      <c r="Z238" s="27">
        <f t="shared" si="11"/>
        <v>0</v>
      </c>
      <c r="AA238" s="27" t="str">
        <f t="shared" si="12"/>
        <v/>
      </c>
      <c r="AB238" s="1" t="str">
        <f t="array" ref="AB238">IFERROR(INDEX('Исходник'!$1:$626,MATCH($A238,'Исходник'!$T:$T,0),MATCH(AB$1,'Исходник'!$1:$1,0)))</f>
        <v/>
      </c>
      <c r="AC238" s="1" t="str">
        <f t="array" ref="AC238">IFERROR(INDEX('Исходник'!$1:$626,MATCH($A238,'Исходник'!$T:$T,0),MATCH(AC$1,'Исходник'!$1:$1,0)))</f>
        <v/>
      </c>
      <c r="AD238" s="27" t="str">
        <f t="shared" si="13"/>
        <v/>
      </c>
      <c r="AE238" s="1" t="str">
        <f t="array" ref="AE238">IFERROR(INDEX('Исходник'!$1:$626,MATCH($A238,'Исходник'!$T:$T,0),MATCH(AE$1,'Исходник'!$1:$1,0)))</f>
        <v/>
      </c>
      <c r="AF238" s="1" t="str">
        <f t="array" ref="AF238">IFERROR(INDEX('Исходник'!$1:$626,MATCH($A238,'Исходник'!$T:$T,0),MATCH(AF$1,'Исходник'!$1:$1,0)))</f>
        <v/>
      </c>
      <c r="AG238" s="27" t="str">
        <f t="shared" si="14"/>
        <v/>
      </c>
      <c r="AH238" s="1" t="str">
        <f t="array" ref="AH238">IFERROR(INDEX('Исходник'!$1:$626,MATCH($A238,'Исходник'!$T:$T,0),MATCH(AH$1,'Исходник'!$1:$1,0)))</f>
        <v/>
      </c>
      <c r="AI238" s="1" t="str">
        <f t="array" ref="AI238">IFERROR(INDEX('Исходник'!$1:$626,MATCH($A238,'Исходник'!$T:$T,0),MATCH(AI$1,'Исходник'!$1:$1,0)))</f>
        <v/>
      </c>
      <c r="AJ238" s="18">
        <f t="shared" si="15"/>
        <v>0</v>
      </c>
    </row>
    <row r="239" ht="15.75" customHeight="1">
      <c r="A239" s="27"/>
      <c r="B239" s="1" t="str">
        <f t="array" ref="B239">IFERROR(INDEX('Исходник'!$1:$626,MATCH($A239,'Исходник'!$T:$T,0),MATCH(B$1,'Исходник'!$1:$1,0)))</f>
        <v/>
      </c>
      <c r="C239" s="1" t="str">
        <f t="array" ref="C239">IFERROR(INDEX('Исходник'!$1:$626,MATCH($A239,'Исходник'!$T:$T,0),MATCH(C$1,'Исходник'!$1:$1,0)))</f>
        <v/>
      </c>
      <c r="D239" s="1" t="str">
        <f t="array" ref="D239">IFERROR(INDEX('Исходник'!$1:$626,MATCH($A239,'Исходник'!$T:$T,0),MATCH(D$1,'Исходник'!$1:$1,0)))</f>
        <v/>
      </c>
      <c r="E239" s="1" t="str">
        <f t="array" ref="E239">IFERROR(INDEX('Исходник'!$1:$626,MATCH($A239,'Исходник'!$T:$T,0),MATCH(E$1,'Исходник'!$1:$1,0)))</f>
        <v/>
      </c>
      <c r="F239" s="1" t="str">
        <f t="array" ref="F239">IFERROR(INDEX('Исходник'!$1:$626,MATCH($A239,'Исходник'!$T:$T,0),MATCH(F$1,'Исходник'!$1:$1,0)))</f>
        <v/>
      </c>
      <c r="G239" s="1" t="str">
        <f t="array" ref="G239">IFERROR(INDEX('Исходник'!$1:$626,MATCH($A239,'Исходник'!$T:$T,0),MATCH(G$1,'Исходник'!$1:$1,0)))</f>
        <v/>
      </c>
      <c r="H239" s="27">
        <f t="shared" si="1"/>
        <v>0</v>
      </c>
      <c r="I239" s="27" t="str">
        <f t="shared" si="2"/>
        <v/>
      </c>
      <c r="J239" s="1" t="str">
        <f t="array" ref="J239">IFERROR(INDEX('Исходник'!$1:$626,MATCH($A239,'Исходник'!$T:$T,0),MATCH(J$1,'Исходник'!$1:$1,0)))</f>
        <v/>
      </c>
      <c r="K239" s="27" t="str">
        <f t="shared" si="3"/>
        <v/>
      </c>
      <c r="L239" s="1" t="str">
        <f t="array" ref="L239">IFERROR(INDEX('Исходник'!$1:$626,MATCH($A239,'Исходник'!$T:$T,0),MATCH(L$1,'Исходник'!$1:$1,0)))</f>
        <v/>
      </c>
      <c r="M239" s="28">
        <f t="shared" si="4"/>
        <v>0</v>
      </c>
      <c r="N239" s="1" t="str">
        <f t="array" ref="N239">IFERROR(INDEX('Исходник'!$1:$626,MATCH($A239,'Исходник'!$T:$T,0),MATCH(N$1,'Исходник'!$1:$1,0)))</f>
        <v/>
      </c>
      <c r="O239" s="27">
        <f t="shared" si="5"/>
        <v>0</v>
      </c>
      <c r="P239" s="27" t="str">
        <f t="shared" si="6"/>
        <v/>
      </c>
      <c r="Q239" s="1" t="str">
        <f t="array" ref="Q239">IFERROR(INDEX('Исходник'!$1:$626,MATCH($A239,'Исходник'!$T:$T,0),MATCH(Q$1,'Исходник'!$1:$1,0)))</f>
        <v/>
      </c>
      <c r="R239" s="1" t="str">
        <f t="array" ref="R239">IFERROR(INDEX('Исходник'!$1:$626,MATCH($A239,'Исходник'!$T:$T,0),MATCH(R$1,'Исходник'!$1:$1,0)))</f>
        <v/>
      </c>
      <c r="S239" s="27">
        <f t="shared" si="7"/>
        <v>0</v>
      </c>
      <c r="T239" s="27" t="str">
        <f t="shared" si="8"/>
        <v/>
      </c>
      <c r="U239" s="1" t="str">
        <f t="array" ref="U239">IFERROR(INDEX('Исходник'!$1:$626,MATCH($A239,'Исходник'!$T:$T,0),MATCH(U$1,'Исходник'!$1:$1,0)))</f>
        <v/>
      </c>
      <c r="V239" s="27" t="str">
        <f t="shared" si="9"/>
        <v/>
      </c>
      <c r="W239" s="1" t="str">
        <f t="array" ref="W239">IFERROR(INDEX('Исходник'!$1:$626,MATCH($A239,'Исходник'!$T:$T,0),MATCH(W$1,'Исходник'!$1:$1,0)))</f>
        <v/>
      </c>
      <c r="X239" s="28">
        <f t="shared" si="10"/>
        <v>0</v>
      </c>
      <c r="Y239" s="1" t="str">
        <f t="array" ref="Y239">IFERROR(INDEX('Исходник'!$1:$626,MATCH($A239,'Исходник'!$T:$T,0),MATCH(Y$1,'Исходник'!$1:$1,0)))</f>
        <v/>
      </c>
      <c r="Z239" s="27">
        <f t="shared" si="11"/>
        <v>0</v>
      </c>
      <c r="AA239" s="27" t="str">
        <f t="shared" si="12"/>
        <v/>
      </c>
      <c r="AB239" s="1" t="str">
        <f t="array" ref="AB239">IFERROR(INDEX('Исходник'!$1:$626,MATCH($A239,'Исходник'!$T:$T,0),MATCH(AB$1,'Исходник'!$1:$1,0)))</f>
        <v/>
      </c>
      <c r="AC239" s="1" t="str">
        <f t="array" ref="AC239">IFERROR(INDEX('Исходник'!$1:$626,MATCH($A239,'Исходник'!$T:$T,0),MATCH(AC$1,'Исходник'!$1:$1,0)))</f>
        <v/>
      </c>
      <c r="AD239" s="27" t="str">
        <f t="shared" si="13"/>
        <v/>
      </c>
      <c r="AE239" s="1" t="str">
        <f t="array" ref="AE239">IFERROR(INDEX('Исходник'!$1:$626,MATCH($A239,'Исходник'!$T:$T,0),MATCH(AE$1,'Исходник'!$1:$1,0)))</f>
        <v/>
      </c>
      <c r="AF239" s="1" t="str">
        <f t="array" ref="AF239">IFERROR(INDEX('Исходник'!$1:$626,MATCH($A239,'Исходник'!$T:$T,0),MATCH(AF$1,'Исходник'!$1:$1,0)))</f>
        <v/>
      </c>
      <c r="AG239" s="27" t="str">
        <f t="shared" si="14"/>
        <v/>
      </c>
      <c r="AH239" s="1" t="str">
        <f t="array" ref="AH239">IFERROR(INDEX('Исходник'!$1:$626,MATCH($A239,'Исходник'!$T:$T,0),MATCH(AH$1,'Исходник'!$1:$1,0)))</f>
        <v/>
      </c>
      <c r="AI239" s="1" t="str">
        <f t="array" ref="AI239">IFERROR(INDEX('Исходник'!$1:$626,MATCH($A239,'Исходник'!$T:$T,0),MATCH(AI$1,'Исходник'!$1:$1,0)))</f>
        <v/>
      </c>
      <c r="AJ239" s="18">
        <f t="shared" si="15"/>
        <v>0</v>
      </c>
    </row>
    <row r="240" ht="15.75" customHeight="1">
      <c r="A240" s="27"/>
      <c r="B240" s="1" t="str">
        <f t="array" ref="B240">IFERROR(INDEX('Исходник'!$1:$626,MATCH($A240,'Исходник'!$T:$T,0),MATCH(B$1,'Исходник'!$1:$1,0)))</f>
        <v/>
      </c>
      <c r="C240" s="1" t="str">
        <f t="array" ref="C240">IFERROR(INDEX('Исходник'!$1:$626,MATCH($A240,'Исходник'!$T:$T,0),MATCH(C$1,'Исходник'!$1:$1,0)))</f>
        <v/>
      </c>
      <c r="D240" s="1" t="str">
        <f t="array" ref="D240">IFERROR(INDEX('Исходник'!$1:$626,MATCH($A240,'Исходник'!$T:$T,0),MATCH(D$1,'Исходник'!$1:$1,0)))</f>
        <v/>
      </c>
      <c r="E240" s="1" t="str">
        <f t="array" ref="E240">IFERROR(INDEX('Исходник'!$1:$626,MATCH($A240,'Исходник'!$T:$T,0),MATCH(E$1,'Исходник'!$1:$1,0)))</f>
        <v/>
      </c>
      <c r="F240" s="1" t="str">
        <f t="array" ref="F240">IFERROR(INDEX('Исходник'!$1:$626,MATCH($A240,'Исходник'!$T:$T,0),MATCH(F$1,'Исходник'!$1:$1,0)))</f>
        <v/>
      </c>
      <c r="G240" s="1" t="str">
        <f t="array" ref="G240">IFERROR(INDEX('Исходник'!$1:$626,MATCH($A240,'Исходник'!$T:$T,0),MATCH(G$1,'Исходник'!$1:$1,0)))</f>
        <v/>
      </c>
      <c r="H240" s="27">
        <f t="shared" si="1"/>
        <v>0</v>
      </c>
      <c r="I240" s="27" t="str">
        <f t="shared" si="2"/>
        <v/>
      </c>
      <c r="J240" s="1" t="str">
        <f t="array" ref="J240">IFERROR(INDEX('Исходник'!$1:$626,MATCH($A240,'Исходник'!$T:$T,0),MATCH(J$1,'Исходник'!$1:$1,0)))</f>
        <v/>
      </c>
      <c r="K240" s="27" t="str">
        <f t="shared" si="3"/>
        <v/>
      </c>
      <c r="L240" s="1" t="str">
        <f t="array" ref="L240">IFERROR(INDEX('Исходник'!$1:$626,MATCH($A240,'Исходник'!$T:$T,0),MATCH(L$1,'Исходник'!$1:$1,0)))</f>
        <v/>
      </c>
      <c r="M240" s="28">
        <f t="shared" si="4"/>
        <v>0</v>
      </c>
      <c r="N240" s="1" t="str">
        <f t="array" ref="N240">IFERROR(INDEX('Исходник'!$1:$626,MATCH($A240,'Исходник'!$T:$T,0),MATCH(N$1,'Исходник'!$1:$1,0)))</f>
        <v/>
      </c>
      <c r="O240" s="27">
        <f t="shared" si="5"/>
        <v>0</v>
      </c>
      <c r="P240" s="27" t="str">
        <f t="shared" si="6"/>
        <v/>
      </c>
      <c r="Q240" s="1" t="str">
        <f t="array" ref="Q240">IFERROR(INDEX('Исходник'!$1:$626,MATCH($A240,'Исходник'!$T:$T,0),MATCH(Q$1,'Исходник'!$1:$1,0)))</f>
        <v/>
      </c>
      <c r="R240" s="1" t="str">
        <f t="array" ref="R240">IFERROR(INDEX('Исходник'!$1:$626,MATCH($A240,'Исходник'!$T:$T,0),MATCH(R$1,'Исходник'!$1:$1,0)))</f>
        <v/>
      </c>
      <c r="S240" s="27">
        <f t="shared" si="7"/>
        <v>0</v>
      </c>
      <c r="T240" s="27" t="str">
        <f t="shared" si="8"/>
        <v/>
      </c>
      <c r="U240" s="1" t="str">
        <f t="array" ref="U240">IFERROR(INDEX('Исходник'!$1:$626,MATCH($A240,'Исходник'!$T:$T,0),MATCH(U$1,'Исходник'!$1:$1,0)))</f>
        <v/>
      </c>
      <c r="V240" s="27" t="str">
        <f t="shared" si="9"/>
        <v/>
      </c>
      <c r="W240" s="1" t="str">
        <f t="array" ref="W240">IFERROR(INDEX('Исходник'!$1:$626,MATCH($A240,'Исходник'!$T:$T,0),MATCH(W$1,'Исходник'!$1:$1,0)))</f>
        <v/>
      </c>
      <c r="X240" s="28">
        <f t="shared" si="10"/>
        <v>0</v>
      </c>
      <c r="Y240" s="1" t="str">
        <f t="array" ref="Y240">IFERROR(INDEX('Исходник'!$1:$626,MATCH($A240,'Исходник'!$T:$T,0),MATCH(Y$1,'Исходник'!$1:$1,0)))</f>
        <v/>
      </c>
      <c r="Z240" s="27">
        <f t="shared" si="11"/>
        <v>0</v>
      </c>
      <c r="AA240" s="27" t="str">
        <f t="shared" si="12"/>
        <v/>
      </c>
      <c r="AB240" s="1" t="str">
        <f t="array" ref="AB240">IFERROR(INDEX('Исходник'!$1:$626,MATCH($A240,'Исходник'!$T:$T,0),MATCH(AB$1,'Исходник'!$1:$1,0)))</f>
        <v/>
      </c>
      <c r="AC240" s="1" t="str">
        <f t="array" ref="AC240">IFERROR(INDEX('Исходник'!$1:$626,MATCH($A240,'Исходник'!$T:$T,0),MATCH(AC$1,'Исходник'!$1:$1,0)))</f>
        <v/>
      </c>
      <c r="AD240" s="27" t="str">
        <f t="shared" si="13"/>
        <v/>
      </c>
      <c r="AE240" s="1" t="str">
        <f t="array" ref="AE240">IFERROR(INDEX('Исходник'!$1:$626,MATCH($A240,'Исходник'!$T:$T,0),MATCH(AE$1,'Исходник'!$1:$1,0)))</f>
        <v/>
      </c>
      <c r="AF240" s="1" t="str">
        <f t="array" ref="AF240">IFERROR(INDEX('Исходник'!$1:$626,MATCH($A240,'Исходник'!$T:$T,0),MATCH(AF$1,'Исходник'!$1:$1,0)))</f>
        <v/>
      </c>
      <c r="AG240" s="27" t="str">
        <f t="shared" si="14"/>
        <v/>
      </c>
      <c r="AH240" s="1" t="str">
        <f t="array" ref="AH240">IFERROR(INDEX('Исходник'!$1:$626,MATCH($A240,'Исходник'!$T:$T,0),MATCH(AH$1,'Исходник'!$1:$1,0)))</f>
        <v/>
      </c>
      <c r="AI240" s="1" t="str">
        <f t="array" ref="AI240">IFERROR(INDEX('Исходник'!$1:$626,MATCH($A240,'Исходник'!$T:$T,0),MATCH(AI$1,'Исходник'!$1:$1,0)))</f>
        <v/>
      </c>
      <c r="AJ240" s="18">
        <f t="shared" si="15"/>
        <v>0</v>
      </c>
    </row>
    <row r="241" ht="15.75" customHeight="1">
      <c r="A241" s="27"/>
      <c r="B241" s="1" t="str">
        <f t="array" ref="B241">IFERROR(INDEX('Исходник'!$1:$626,MATCH($A241,'Исходник'!$T:$T,0),MATCH(B$1,'Исходник'!$1:$1,0)))</f>
        <v/>
      </c>
      <c r="C241" s="1" t="str">
        <f t="array" ref="C241">IFERROR(INDEX('Исходник'!$1:$626,MATCH($A241,'Исходник'!$T:$T,0),MATCH(C$1,'Исходник'!$1:$1,0)))</f>
        <v/>
      </c>
      <c r="D241" s="1" t="str">
        <f t="array" ref="D241">IFERROR(INDEX('Исходник'!$1:$626,MATCH($A241,'Исходник'!$T:$T,0),MATCH(D$1,'Исходник'!$1:$1,0)))</f>
        <v/>
      </c>
      <c r="E241" s="1" t="str">
        <f t="array" ref="E241">IFERROR(INDEX('Исходник'!$1:$626,MATCH($A241,'Исходник'!$T:$T,0),MATCH(E$1,'Исходник'!$1:$1,0)))</f>
        <v/>
      </c>
      <c r="F241" s="1" t="str">
        <f t="array" ref="F241">IFERROR(INDEX('Исходник'!$1:$626,MATCH($A241,'Исходник'!$T:$T,0),MATCH(F$1,'Исходник'!$1:$1,0)))</f>
        <v/>
      </c>
      <c r="G241" s="1" t="str">
        <f t="array" ref="G241">IFERROR(INDEX('Исходник'!$1:$626,MATCH($A241,'Исходник'!$T:$T,0),MATCH(G$1,'Исходник'!$1:$1,0)))</f>
        <v/>
      </c>
      <c r="H241" s="27">
        <f t="shared" si="1"/>
        <v>0</v>
      </c>
      <c r="I241" s="27" t="str">
        <f t="shared" si="2"/>
        <v/>
      </c>
      <c r="J241" s="1" t="str">
        <f t="array" ref="J241">IFERROR(INDEX('Исходник'!$1:$626,MATCH($A241,'Исходник'!$T:$T,0),MATCH(J$1,'Исходник'!$1:$1,0)))</f>
        <v/>
      </c>
      <c r="K241" s="27" t="str">
        <f t="shared" si="3"/>
        <v/>
      </c>
      <c r="L241" s="1" t="str">
        <f t="array" ref="L241">IFERROR(INDEX('Исходник'!$1:$626,MATCH($A241,'Исходник'!$T:$T,0),MATCH(L$1,'Исходник'!$1:$1,0)))</f>
        <v/>
      </c>
      <c r="M241" s="28">
        <f t="shared" si="4"/>
        <v>0</v>
      </c>
      <c r="N241" s="1" t="str">
        <f t="array" ref="N241">IFERROR(INDEX('Исходник'!$1:$626,MATCH($A241,'Исходник'!$T:$T,0),MATCH(N$1,'Исходник'!$1:$1,0)))</f>
        <v/>
      </c>
      <c r="O241" s="27">
        <f t="shared" si="5"/>
        <v>0</v>
      </c>
      <c r="P241" s="27" t="str">
        <f t="shared" si="6"/>
        <v/>
      </c>
      <c r="Q241" s="1" t="str">
        <f t="array" ref="Q241">IFERROR(INDEX('Исходник'!$1:$626,MATCH($A241,'Исходник'!$T:$T,0),MATCH(Q$1,'Исходник'!$1:$1,0)))</f>
        <v/>
      </c>
      <c r="R241" s="1" t="str">
        <f t="array" ref="R241">IFERROR(INDEX('Исходник'!$1:$626,MATCH($A241,'Исходник'!$T:$T,0),MATCH(R$1,'Исходник'!$1:$1,0)))</f>
        <v/>
      </c>
      <c r="S241" s="27">
        <f t="shared" si="7"/>
        <v>0</v>
      </c>
      <c r="T241" s="27" t="str">
        <f t="shared" si="8"/>
        <v/>
      </c>
      <c r="U241" s="1" t="str">
        <f t="array" ref="U241">IFERROR(INDEX('Исходник'!$1:$626,MATCH($A241,'Исходник'!$T:$T,0),MATCH(U$1,'Исходник'!$1:$1,0)))</f>
        <v/>
      </c>
      <c r="V241" s="27" t="str">
        <f t="shared" si="9"/>
        <v/>
      </c>
      <c r="W241" s="1" t="str">
        <f t="array" ref="W241">IFERROR(INDEX('Исходник'!$1:$626,MATCH($A241,'Исходник'!$T:$T,0),MATCH(W$1,'Исходник'!$1:$1,0)))</f>
        <v/>
      </c>
      <c r="X241" s="28">
        <f t="shared" si="10"/>
        <v>0</v>
      </c>
      <c r="Y241" s="1" t="str">
        <f t="array" ref="Y241">IFERROR(INDEX('Исходник'!$1:$626,MATCH($A241,'Исходник'!$T:$T,0),MATCH(Y$1,'Исходник'!$1:$1,0)))</f>
        <v/>
      </c>
      <c r="Z241" s="27">
        <f t="shared" si="11"/>
        <v>0</v>
      </c>
      <c r="AA241" s="27" t="str">
        <f t="shared" si="12"/>
        <v/>
      </c>
      <c r="AB241" s="1" t="str">
        <f t="array" ref="AB241">IFERROR(INDEX('Исходник'!$1:$626,MATCH($A241,'Исходник'!$T:$T,0),MATCH(AB$1,'Исходник'!$1:$1,0)))</f>
        <v/>
      </c>
      <c r="AC241" s="1" t="str">
        <f t="array" ref="AC241">IFERROR(INDEX('Исходник'!$1:$626,MATCH($A241,'Исходник'!$T:$T,0),MATCH(AC$1,'Исходник'!$1:$1,0)))</f>
        <v/>
      </c>
      <c r="AD241" s="27" t="str">
        <f t="shared" si="13"/>
        <v/>
      </c>
      <c r="AE241" s="1" t="str">
        <f t="array" ref="AE241">IFERROR(INDEX('Исходник'!$1:$626,MATCH($A241,'Исходник'!$T:$T,0),MATCH(AE$1,'Исходник'!$1:$1,0)))</f>
        <v/>
      </c>
      <c r="AF241" s="1" t="str">
        <f t="array" ref="AF241">IFERROR(INDEX('Исходник'!$1:$626,MATCH($A241,'Исходник'!$T:$T,0),MATCH(AF$1,'Исходник'!$1:$1,0)))</f>
        <v/>
      </c>
      <c r="AG241" s="27" t="str">
        <f t="shared" si="14"/>
        <v/>
      </c>
      <c r="AH241" s="1" t="str">
        <f t="array" ref="AH241">IFERROR(INDEX('Исходник'!$1:$626,MATCH($A241,'Исходник'!$T:$T,0),MATCH(AH$1,'Исходник'!$1:$1,0)))</f>
        <v/>
      </c>
      <c r="AI241" s="1" t="str">
        <f t="array" ref="AI241">IFERROR(INDEX('Исходник'!$1:$626,MATCH($A241,'Исходник'!$T:$T,0),MATCH(AI$1,'Исходник'!$1:$1,0)))</f>
        <v/>
      </c>
      <c r="AJ241" s="18">
        <f t="shared" si="15"/>
        <v>0</v>
      </c>
    </row>
    <row r="242" ht="15.75" customHeight="1">
      <c r="A242" s="27"/>
      <c r="B242" s="1" t="str">
        <f t="array" ref="B242">IFERROR(INDEX('Исходник'!$1:$626,MATCH($A242,'Исходник'!$T:$T,0),MATCH(B$1,'Исходник'!$1:$1,0)))</f>
        <v/>
      </c>
      <c r="C242" s="1" t="str">
        <f t="array" ref="C242">IFERROR(INDEX('Исходник'!$1:$626,MATCH($A242,'Исходник'!$T:$T,0),MATCH(C$1,'Исходник'!$1:$1,0)))</f>
        <v/>
      </c>
      <c r="D242" s="1" t="str">
        <f t="array" ref="D242">IFERROR(INDEX('Исходник'!$1:$626,MATCH($A242,'Исходник'!$T:$T,0),MATCH(D$1,'Исходник'!$1:$1,0)))</f>
        <v/>
      </c>
      <c r="E242" s="1" t="str">
        <f t="array" ref="E242">IFERROR(INDEX('Исходник'!$1:$626,MATCH($A242,'Исходник'!$T:$T,0),MATCH(E$1,'Исходник'!$1:$1,0)))</f>
        <v/>
      </c>
      <c r="F242" s="1" t="str">
        <f t="array" ref="F242">IFERROR(INDEX('Исходник'!$1:$626,MATCH($A242,'Исходник'!$T:$T,0),MATCH(F$1,'Исходник'!$1:$1,0)))</f>
        <v/>
      </c>
      <c r="G242" s="1" t="str">
        <f t="array" ref="G242">IFERROR(INDEX('Исходник'!$1:$626,MATCH($A242,'Исходник'!$T:$T,0),MATCH(G$1,'Исходник'!$1:$1,0)))</f>
        <v/>
      </c>
      <c r="H242" s="27">
        <f t="shared" si="1"/>
        <v>0</v>
      </c>
      <c r="I242" s="27" t="str">
        <f t="shared" si="2"/>
        <v/>
      </c>
      <c r="J242" s="1" t="str">
        <f t="array" ref="J242">IFERROR(INDEX('Исходник'!$1:$626,MATCH($A242,'Исходник'!$T:$T,0),MATCH(J$1,'Исходник'!$1:$1,0)))</f>
        <v/>
      </c>
      <c r="K242" s="27" t="str">
        <f t="shared" si="3"/>
        <v/>
      </c>
      <c r="L242" s="1" t="str">
        <f t="array" ref="L242">IFERROR(INDEX('Исходник'!$1:$626,MATCH($A242,'Исходник'!$T:$T,0),MATCH(L$1,'Исходник'!$1:$1,0)))</f>
        <v/>
      </c>
      <c r="M242" s="28">
        <f t="shared" si="4"/>
        <v>0</v>
      </c>
      <c r="N242" s="1" t="str">
        <f t="array" ref="N242">IFERROR(INDEX('Исходник'!$1:$626,MATCH($A242,'Исходник'!$T:$T,0),MATCH(N$1,'Исходник'!$1:$1,0)))</f>
        <v/>
      </c>
      <c r="O242" s="27">
        <f t="shared" si="5"/>
        <v>0</v>
      </c>
      <c r="P242" s="27" t="str">
        <f t="shared" si="6"/>
        <v/>
      </c>
      <c r="Q242" s="1" t="str">
        <f t="array" ref="Q242">IFERROR(INDEX('Исходник'!$1:$626,MATCH($A242,'Исходник'!$T:$T,0),MATCH(Q$1,'Исходник'!$1:$1,0)))</f>
        <v/>
      </c>
      <c r="R242" s="1" t="str">
        <f t="array" ref="R242">IFERROR(INDEX('Исходник'!$1:$626,MATCH($A242,'Исходник'!$T:$T,0),MATCH(R$1,'Исходник'!$1:$1,0)))</f>
        <v/>
      </c>
      <c r="S242" s="27">
        <f t="shared" si="7"/>
        <v>0</v>
      </c>
      <c r="T242" s="27" t="str">
        <f t="shared" si="8"/>
        <v/>
      </c>
      <c r="U242" s="1" t="str">
        <f t="array" ref="U242">IFERROR(INDEX('Исходник'!$1:$626,MATCH($A242,'Исходник'!$T:$T,0),MATCH(U$1,'Исходник'!$1:$1,0)))</f>
        <v/>
      </c>
      <c r="V242" s="27" t="str">
        <f t="shared" si="9"/>
        <v/>
      </c>
      <c r="W242" s="1" t="str">
        <f t="array" ref="W242">IFERROR(INDEX('Исходник'!$1:$626,MATCH($A242,'Исходник'!$T:$T,0),MATCH(W$1,'Исходник'!$1:$1,0)))</f>
        <v/>
      </c>
      <c r="X242" s="28">
        <f t="shared" si="10"/>
        <v>0</v>
      </c>
      <c r="Y242" s="1" t="str">
        <f t="array" ref="Y242">IFERROR(INDEX('Исходник'!$1:$626,MATCH($A242,'Исходник'!$T:$T,0),MATCH(Y$1,'Исходник'!$1:$1,0)))</f>
        <v/>
      </c>
      <c r="Z242" s="27">
        <f t="shared" si="11"/>
        <v>0</v>
      </c>
      <c r="AA242" s="27" t="str">
        <f t="shared" si="12"/>
        <v/>
      </c>
      <c r="AB242" s="1" t="str">
        <f t="array" ref="AB242">IFERROR(INDEX('Исходник'!$1:$626,MATCH($A242,'Исходник'!$T:$T,0),MATCH(AB$1,'Исходник'!$1:$1,0)))</f>
        <v/>
      </c>
      <c r="AC242" s="1" t="str">
        <f t="array" ref="AC242">IFERROR(INDEX('Исходник'!$1:$626,MATCH($A242,'Исходник'!$T:$T,0),MATCH(AC$1,'Исходник'!$1:$1,0)))</f>
        <v/>
      </c>
      <c r="AD242" s="27" t="str">
        <f t="shared" si="13"/>
        <v/>
      </c>
      <c r="AE242" s="1" t="str">
        <f t="array" ref="AE242">IFERROR(INDEX('Исходник'!$1:$626,MATCH($A242,'Исходник'!$T:$T,0),MATCH(AE$1,'Исходник'!$1:$1,0)))</f>
        <v/>
      </c>
      <c r="AF242" s="1" t="str">
        <f t="array" ref="AF242">IFERROR(INDEX('Исходник'!$1:$626,MATCH($A242,'Исходник'!$T:$T,0),MATCH(AF$1,'Исходник'!$1:$1,0)))</f>
        <v/>
      </c>
      <c r="AG242" s="27" t="str">
        <f t="shared" si="14"/>
        <v/>
      </c>
      <c r="AH242" s="1" t="str">
        <f t="array" ref="AH242">IFERROR(INDEX('Исходник'!$1:$626,MATCH($A242,'Исходник'!$T:$T,0),MATCH(AH$1,'Исходник'!$1:$1,0)))</f>
        <v/>
      </c>
      <c r="AI242" s="1" t="str">
        <f t="array" ref="AI242">IFERROR(INDEX('Исходник'!$1:$626,MATCH($A242,'Исходник'!$T:$T,0),MATCH(AI$1,'Исходник'!$1:$1,0)))</f>
        <v/>
      </c>
      <c r="AJ242" s="18">
        <f t="shared" si="15"/>
        <v>0</v>
      </c>
    </row>
    <row r="243" ht="15.75" customHeight="1">
      <c r="A243" s="27"/>
      <c r="B243" s="1" t="str">
        <f t="array" ref="B243">IFERROR(INDEX('Исходник'!$1:$626,MATCH($A243,'Исходник'!$T:$T,0),MATCH(B$1,'Исходник'!$1:$1,0)))</f>
        <v/>
      </c>
      <c r="C243" s="1" t="str">
        <f t="array" ref="C243">IFERROR(INDEX('Исходник'!$1:$626,MATCH($A243,'Исходник'!$T:$T,0),MATCH(C$1,'Исходник'!$1:$1,0)))</f>
        <v/>
      </c>
      <c r="D243" s="1" t="str">
        <f t="array" ref="D243">IFERROR(INDEX('Исходник'!$1:$626,MATCH($A243,'Исходник'!$T:$T,0),MATCH(D$1,'Исходник'!$1:$1,0)))</f>
        <v/>
      </c>
      <c r="E243" s="1" t="str">
        <f t="array" ref="E243">IFERROR(INDEX('Исходник'!$1:$626,MATCH($A243,'Исходник'!$T:$T,0),MATCH(E$1,'Исходник'!$1:$1,0)))</f>
        <v/>
      </c>
      <c r="F243" s="1" t="str">
        <f t="array" ref="F243">IFERROR(INDEX('Исходник'!$1:$626,MATCH($A243,'Исходник'!$T:$T,0),MATCH(F$1,'Исходник'!$1:$1,0)))</f>
        <v/>
      </c>
      <c r="G243" s="1" t="str">
        <f t="array" ref="G243">IFERROR(INDEX('Исходник'!$1:$626,MATCH($A243,'Исходник'!$T:$T,0),MATCH(G$1,'Исходник'!$1:$1,0)))</f>
        <v/>
      </c>
      <c r="H243" s="27">
        <f t="shared" si="1"/>
        <v>0</v>
      </c>
      <c r="I243" s="27" t="str">
        <f t="shared" si="2"/>
        <v/>
      </c>
      <c r="J243" s="1" t="str">
        <f t="array" ref="J243">IFERROR(INDEX('Исходник'!$1:$626,MATCH($A243,'Исходник'!$T:$T,0),MATCH(J$1,'Исходник'!$1:$1,0)))</f>
        <v/>
      </c>
      <c r="K243" s="27" t="str">
        <f t="shared" si="3"/>
        <v/>
      </c>
      <c r="L243" s="1" t="str">
        <f t="array" ref="L243">IFERROR(INDEX('Исходник'!$1:$626,MATCH($A243,'Исходник'!$T:$T,0),MATCH(L$1,'Исходник'!$1:$1,0)))</f>
        <v/>
      </c>
      <c r="M243" s="28">
        <f t="shared" si="4"/>
        <v>0</v>
      </c>
      <c r="N243" s="1" t="str">
        <f t="array" ref="N243">IFERROR(INDEX('Исходник'!$1:$626,MATCH($A243,'Исходник'!$T:$T,0),MATCH(N$1,'Исходник'!$1:$1,0)))</f>
        <v/>
      </c>
      <c r="O243" s="27">
        <f t="shared" si="5"/>
        <v>0</v>
      </c>
      <c r="P243" s="27" t="str">
        <f t="shared" si="6"/>
        <v/>
      </c>
      <c r="Q243" s="1" t="str">
        <f t="array" ref="Q243">IFERROR(INDEX('Исходник'!$1:$626,MATCH($A243,'Исходник'!$T:$T,0),MATCH(Q$1,'Исходник'!$1:$1,0)))</f>
        <v/>
      </c>
      <c r="R243" s="1" t="str">
        <f t="array" ref="R243">IFERROR(INDEX('Исходник'!$1:$626,MATCH($A243,'Исходник'!$T:$T,0),MATCH(R$1,'Исходник'!$1:$1,0)))</f>
        <v/>
      </c>
      <c r="S243" s="27">
        <f t="shared" si="7"/>
        <v>0</v>
      </c>
      <c r="T243" s="27" t="str">
        <f t="shared" si="8"/>
        <v/>
      </c>
      <c r="U243" s="1" t="str">
        <f t="array" ref="U243">IFERROR(INDEX('Исходник'!$1:$626,MATCH($A243,'Исходник'!$T:$T,0),MATCH(U$1,'Исходник'!$1:$1,0)))</f>
        <v/>
      </c>
      <c r="V243" s="27" t="str">
        <f t="shared" si="9"/>
        <v/>
      </c>
      <c r="W243" s="1" t="str">
        <f t="array" ref="W243">IFERROR(INDEX('Исходник'!$1:$626,MATCH($A243,'Исходник'!$T:$T,0),MATCH(W$1,'Исходник'!$1:$1,0)))</f>
        <v/>
      </c>
      <c r="X243" s="28">
        <f t="shared" si="10"/>
        <v>0</v>
      </c>
      <c r="Y243" s="1" t="str">
        <f t="array" ref="Y243">IFERROR(INDEX('Исходник'!$1:$626,MATCH($A243,'Исходник'!$T:$T,0),MATCH(Y$1,'Исходник'!$1:$1,0)))</f>
        <v/>
      </c>
      <c r="Z243" s="27">
        <f t="shared" si="11"/>
        <v>0</v>
      </c>
      <c r="AA243" s="27" t="str">
        <f t="shared" si="12"/>
        <v/>
      </c>
      <c r="AB243" s="1" t="str">
        <f t="array" ref="AB243">IFERROR(INDEX('Исходник'!$1:$626,MATCH($A243,'Исходник'!$T:$T,0),MATCH(AB$1,'Исходник'!$1:$1,0)))</f>
        <v/>
      </c>
      <c r="AC243" s="1" t="str">
        <f t="array" ref="AC243">IFERROR(INDEX('Исходник'!$1:$626,MATCH($A243,'Исходник'!$T:$T,0),MATCH(AC$1,'Исходник'!$1:$1,0)))</f>
        <v/>
      </c>
      <c r="AD243" s="27" t="str">
        <f t="shared" si="13"/>
        <v/>
      </c>
      <c r="AE243" s="1" t="str">
        <f t="array" ref="AE243">IFERROR(INDEX('Исходник'!$1:$626,MATCH($A243,'Исходник'!$T:$T,0),MATCH(AE$1,'Исходник'!$1:$1,0)))</f>
        <v/>
      </c>
      <c r="AF243" s="1" t="str">
        <f t="array" ref="AF243">IFERROR(INDEX('Исходник'!$1:$626,MATCH($A243,'Исходник'!$T:$T,0),MATCH(AF$1,'Исходник'!$1:$1,0)))</f>
        <v/>
      </c>
      <c r="AG243" s="27" t="str">
        <f t="shared" si="14"/>
        <v/>
      </c>
      <c r="AH243" s="1" t="str">
        <f t="array" ref="AH243">IFERROR(INDEX('Исходник'!$1:$626,MATCH($A243,'Исходник'!$T:$T,0),MATCH(AH$1,'Исходник'!$1:$1,0)))</f>
        <v/>
      </c>
      <c r="AI243" s="1" t="str">
        <f t="array" ref="AI243">IFERROR(INDEX('Исходник'!$1:$626,MATCH($A243,'Исходник'!$T:$T,0),MATCH(AI$1,'Исходник'!$1:$1,0)))</f>
        <v/>
      </c>
      <c r="AJ243" s="18">
        <f t="shared" si="15"/>
        <v>0</v>
      </c>
    </row>
    <row r="244" ht="15.75" customHeight="1">
      <c r="A244" s="27"/>
      <c r="B244" s="1" t="str">
        <f t="array" ref="B244">IFERROR(INDEX('Исходник'!$1:$626,MATCH($A244,'Исходник'!$T:$T,0),MATCH(B$1,'Исходник'!$1:$1,0)))</f>
        <v/>
      </c>
      <c r="C244" s="1" t="str">
        <f t="array" ref="C244">IFERROR(INDEX('Исходник'!$1:$626,MATCH($A244,'Исходник'!$T:$T,0),MATCH(C$1,'Исходник'!$1:$1,0)))</f>
        <v/>
      </c>
      <c r="D244" s="1" t="str">
        <f t="array" ref="D244">IFERROR(INDEX('Исходник'!$1:$626,MATCH($A244,'Исходник'!$T:$T,0),MATCH(D$1,'Исходник'!$1:$1,0)))</f>
        <v/>
      </c>
      <c r="E244" s="1" t="str">
        <f t="array" ref="E244">IFERROR(INDEX('Исходник'!$1:$626,MATCH($A244,'Исходник'!$T:$T,0),MATCH(E$1,'Исходник'!$1:$1,0)))</f>
        <v/>
      </c>
      <c r="F244" s="1" t="str">
        <f t="array" ref="F244">IFERROR(INDEX('Исходник'!$1:$626,MATCH($A244,'Исходник'!$T:$T,0),MATCH(F$1,'Исходник'!$1:$1,0)))</f>
        <v/>
      </c>
      <c r="G244" s="1" t="str">
        <f t="array" ref="G244">IFERROR(INDEX('Исходник'!$1:$626,MATCH($A244,'Исходник'!$T:$T,0),MATCH(G$1,'Исходник'!$1:$1,0)))</f>
        <v/>
      </c>
      <c r="H244" s="27">
        <f t="shared" si="1"/>
        <v>0</v>
      </c>
      <c r="I244" s="27" t="str">
        <f t="shared" si="2"/>
        <v/>
      </c>
      <c r="J244" s="1" t="str">
        <f t="array" ref="J244">IFERROR(INDEX('Исходник'!$1:$626,MATCH($A244,'Исходник'!$T:$T,0),MATCH(J$1,'Исходник'!$1:$1,0)))</f>
        <v/>
      </c>
      <c r="K244" s="27" t="str">
        <f t="shared" si="3"/>
        <v/>
      </c>
      <c r="L244" s="1" t="str">
        <f t="array" ref="L244">IFERROR(INDEX('Исходник'!$1:$626,MATCH($A244,'Исходник'!$T:$T,0),MATCH(L$1,'Исходник'!$1:$1,0)))</f>
        <v/>
      </c>
      <c r="M244" s="28">
        <f t="shared" si="4"/>
        <v>0</v>
      </c>
      <c r="N244" s="1" t="str">
        <f t="array" ref="N244">IFERROR(INDEX('Исходник'!$1:$626,MATCH($A244,'Исходник'!$T:$T,0),MATCH(N$1,'Исходник'!$1:$1,0)))</f>
        <v/>
      </c>
      <c r="O244" s="27">
        <f t="shared" si="5"/>
        <v>0</v>
      </c>
      <c r="P244" s="27" t="str">
        <f t="shared" si="6"/>
        <v/>
      </c>
      <c r="Q244" s="1" t="str">
        <f t="array" ref="Q244">IFERROR(INDEX('Исходник'!$1:$626,MATCH($A244,'Исходник'!$T:$T,0),MATCH(Q$1,'Исходник'!$1:$1,0)))</f>
        <v/>
      </c>
      <c r="R244" s="1" t="str">
        <f t="array" ref="R244">IFERROR(INDEX('Исходник'!$1:$626,MATCH($A244,'Исходник'!$T:$T,0),MATCH(R$1,'Исходник'!$1:$1,0)))</f>
        <v/>
      </c>
      <c r="S244" s="27">
        <f t="shared" si="7"/>
        <v>0</v>
      </c>
      <c r="T244" s="27" t="str">
        <f t="shared" si="8"/>
        <v/>
      </c>
      <c r="U244" s="1" t="str">
        <f t="array" ref="U244">IFERROR(INDEX('Исходник'!$1:$626,MATCH($A244,'Исходник'!$T:$T,0),MATCH(U$1,'Исходник'!$1:$1,0)))</f>
        <v/>
      </c>
      <c r="V244" s="27" t="str">
        <f t="shared" si="9"/>
        <v/>
      </c>
      <c r="W244" s="1" t="str">
        <f t="array" ref="W244">IFERROR(INDEX('Исходник'!$1:$626,MATCH($A244,'Исходник'!$T:$T,0),MATCH(W$1,'Исходник'!$1:$1,0)))</f>
        <v/>
      </c>
      <c r="X244" s="28">
        <f t="shared" si="10"/>
        <v>0</v>
      </c>
      <c r="Y244" s="1" t="str">
        <f t="array" ref="Y244">IFERROR(INDEX('Исходник'!$1:$626,MATCH($A244,'Исходник'!$T:$T,0),MATCH(Y$1,'Исходник'!$1:$1,0)))</f>
        <v/>
      </c>
      <c r="Z244" s="27">
        <f t="shared" si="11"/>
        <v>0</v>
      </c>
      <c r="AA244" s="27" t="str">
        <f t="shared" si="12"/>
        <v/>
      </c>
      <c r="AB244" s="1" t="str">
        <f t="array" ref="AB244">IFERROR(INDEX('Исходник'!$1:$626,MATCH($A244,'Исходник'!$T:$T,0),MATCH(AB$1,'Исходник'!$1:$1,0)))</f>
        <v/>
      </c>
      <c r="AC244" s="1" t="str">
        <f t="array" ref="AC244">IFERROR(INDEX('Исходник'!$1:$626,MATCH($A244,'Исходник'!$T:$T,0),MATCH(AC$1,'Исходник'!$1:$1,0)))</f>
        <v/>
      </c>
      <c r="AD244" s="27" t="str">
        <f t="shared" si="13"/>
        <v/>
      </c>
      <c r="AE244" s="1" t="str">
        <f t="array" ref="AE244">IFERROR(INDEX('Исходник'!$1:$626,MATCH($A244,'Исходник'!$T:$T,0),MATCH(AE$1,'Исходник'!$1:$1,0)))</f>
        <v/>
      </c>
      <c r="AF244" s="1" t="str">
        <f t="array" ref="AF244">IFERROR(INDEX('Исходник'!$1:$626,MATCH($A244,'Исходник'!$T:$T,0),MATCH(AF$1,'Исходник'!$1:$1,0)))</f>
        <v/>
      </c>
      <c r="AG244" s="27" t="str">
        <f t="shared" si="14"/>
        <v/>
      </c>
      <c r="AH244" s="1" t="str">
        <f t="array" ref="AH244">IFERROR(INDEX('Исходник'!$1:$626,MATCH($A244,'Исходник'!$T:$T,0),MATCH(AH$1,'Исходник'!$1:$1,0)))</f>
        <v/>
      </c>
      <c r="AI244" s="1" t="str">
        <f t="array" ref="AI244">IFERROR(INDEX('Исходник'!$1:$626,MATCH($A244,'Исходник'!$T:$T,0),MATCH(AI$1,'Исходник'!$1:$1,0)))</f>
        <v/>
      </c>
      <c r="AJ244" s="18">
        <f t="shared" si="15"/>
        <v>0</v>
      </c>
    </row>
    <row r="245" ht="15.75" customHeight="1">
      <c r="A245" s="27"/>
      <c r="B245" s="1" t="str">
        <f t="array" ref="B245">IFERROR(INDEX('Исходник'!$1:$626,MATCH($A245,'Исходник'!$T:$T,0),MATCH(B$1,'Исходник'!$1:$1,0)))</f>
        <v/>
      </c>
      <c r="C245" s="1" t="str">
        <f t="array" ref="C245">IFERROR(INDEX('Исходник'!$1:$626,MATCH($A245,'Исходник'!$T:$T,0),MATCH(C$1,'Исходник'!$1:$1,0)))</f>
        <v/>
      </c>
      <c r="D245" s="1" t="str">
        <f t="array" ref="D245">IFERROR(INDEX('Исходник'!$1:$626,MATCH($A245,'Исходник'!$T:$T,0),MATCH(D$1,'Исходник'!$1:$1,0)))</f>
        <v/>
      </c>
      <c r="E245" s="1" t="str">
        <f t="array" ref="E245">IFERROR(INDEX('Исходник'!$1:$626,MATCH($A245,'Исходник'!$T:$T,0),MATCH(E$1,'Исходник'!$1:$1,0)))</f>
        <v/>
      </c>
      <c r="F245" s="1" t="str">
        <f t="array" ref="F245">IFERROR(INDEX('Исходник'!$1:$626,MATCH($A245,'Исходник'!$T:$T,0),MATCH(F$1,'Исходник'!$1:$1,0)))</f>
        <v/>
      </c>
      <c r="G245" s="1" t="str">
        <f t="array" ref="G245">IFERROR(INDEX('Исходник'!$1:$626,MATCH($A245,'Исходник'!$T:$T,0),MATCH(G$1,'Исходник'!$1:$1,0)))</f>
        <v/>
      </c>
      <c r="H245" s="27">
        <f t="shared" si="1"/>
        <v>0</v>
      </c>
      <c r="I245" s="27" t="str">
        <f t="shared" si="2"/>
        <v/>
      </c>
      <c r="J245" s="1" t="str">
        <f t="array" ref="J245">IFERROR(INDEX('Исходник'!$1:$626,MATCH($A245,'Исходник'!$T:$T,0),MATCH(J$1,'Исходник'!$1:$1,0)))</f>
        <v/>
      </c>
      <c r="K245" s="27" t="str">
        <f t="shared" si="3"/>
        <v/>
      </c>
      <c r="L245" s="1" t="str">
        <f t="array" ref="L245">IFERROR(INDEX('Исходник'!$1:$626,MATCH($A245,'Исходник'!$T:$T,0),MATCH(L$1,'Исходник'!$1:$1,0)))</f>
        <v/>
      </c>
      <c r="M245" s="28">
        <f t="shared" si="4"/>
        <v>0</v>
      </c>
      <c r="N245" s="1" t="str">
        <f t="array" ref="N245">IFERROR(INDEX('Исходник'!$1:$626,MATCH($A245,'Исходник'!$T:$T,0),MATCH(N$1,'Исходник'!$1:$1,0)))</f>
        <v/>
      </c>
      <c r="O245" s="27">
        <f t="shared" si="5"/>
        <v>0</v>
      </c>
      <c r="P245" s="27" t="str">
        <f t="shared" si="6"/>
        <v/>
      </c>
      <c r="Q245" s="1" t="str">
        <f t="array" ref="Q245">IFERROR(INDEX('Исходник'!$1:$626,MATCH($A245,'Исходник'!$T:$T,0),MATCH(Q$1,'Исходник'!$1:$1,0)))</f>
        <v/>
      </c>
      <c r="R245" s="1" t="str">
        <f t="array" ref="R245">IFERROR(INDEX('Исходник'!$1:$626,MATCH($A245,'Исходник'!$T:$T,0),MATCH(R$1,'Исходник'!$1:$1,0)))</f>
        <v/>
      </c>
      <c r="S245" s="27">
        <f t="shared" si="7"/>
        <v>0</v>
      </c>
      <c r="T245" s="27" t="str">
        <f t="shared" si="8"/>
        <v/>
      </c>
      <c r="U245" s="1" t="str">
        <f t="array" ref="U245">IFERROR(INDEX('Исходник'!$1:$626,MATCH($A245,'Исходник'!$T:$T,0),MATCH(U$1,'Исходник'!$1:$1,0)))</f>
        <v/>
      </c>
      <c r="V245" s="27" t="str">
        <f t="shared" si="9"/>
        <v/>
      </c>
      <c r="W245" s="1" t="str">
        <f t="array" ref="W245">IFERROR(INDEX('Исходник'!$1:$626,MATCH($A245,'Исходник'!$T:$T,0),MATCH(W$1,'Исходник'!$1:$1,0)))</f>
        <v/>
      </c>
      <c r="X245" s="28">
        <f t="shared" si="10"/>
        <v>0</v>
      </c>
      <c r="Y245" s="1" t="str">
        <f t="array" ref="Y245">IFERROR(INDEX('Исходник'!$1:$626,MATCH($A245,'Исходник'!$T:$T,0),MATCH(Y$1,'Исходник'!$1:$1,0)))</f>
        <v/>
      </c>
      <c r="Z245" s="27">
        <f t="shared" si="11"/>
        <v>0</v>
      </c>
      <c r="AA245" s="27" t="str">
        <f t="shared" si="12"/>
        <v/>
      </c>
      <c r="AB245" s="1" t="str">
        <f t="array" ref="AB245">IFERROR(INDEX('Исходник'!$1:$626,MATCH($A245,'Исходник'!$T:$T,0),MATCH(AB$1,'Исходник'!$1:$1,0)))</f>
        <v/>
      </c>
      <c r="AC245" s="1" t="str">
        <f t="array" ref="AC245">IFERROR(INDEX('Исходник'!$1:$626,MATCH($A245,'Исходник'!$T:$T,0),MATCH(AC$1,'Исходник'!$1:$1,0)))</f>
        <v/>
      </c>
      <c r="AD245" s="27" t="str">
        <f t="shared" si="13"/>
        <v/>
      </c>
      <c r="AE245" s="1" t="str">
        <f t="array" ref="AE245">IFERROR(INDEX('Исходник'!$1:$626,MATCH($A245,'Исходник'!$T:$T,0),MATCH(AE$1,'Исходник'!$1:$1,0)))</f>
        <v/>
      </c>
      <c r="AF245" s="1" t="str">
        <f t="array" ref="AF245">IFERROR(INDEX('Исходник'!$1:$626,MATCH($A245,'Исходник'!$T:$T,0),MATCH(AF$1,'Исходник'!$1:$1,0)))</f>
        <v/>
      </c>
      <c r="AG245" s="27" t="str">
        <f t="shared" si="14"/>
        <v/>
      </c>
      <c r="AH245" s="1" t="str">
        <f t="array" ref="AH245">IFERROR(INDEX('Исходник'!$1:$626,MATCH($A245,'Исходник'!$T:$T,0),MATCH(AH$1,'Исходник'!$1:$1,0)))</f>
        <v/>
      </c>
      <c r="AI245" s="1" t="str">
        <f t="array" ref="AI245">IFERROR(INDEX('Исходник'!$1:$626,MATCH($A245,'Исходник'!$T:$T,0),MATCH(AI$1,'Исходник'!$1:$1,0)))</f>
        <v/>
      </c>
      <c r="AJ245" s="18">
        <f t="shared" si="15"/>
        <v>0</v>
      </c>
    </row>
    <row r="246" ht="15.75" customHeight="1">
      <c r="A246" s="27"/>
      <c r="B246" s="1" t="str">
        <f t="array" ref="B246">IFERROR(INDEX('Исходник'!$1:$626,MATCH($A246,'Исходник'!$T:$T,0),MATCH(B$1,'Исходник'!$1:$1,0)))</f>
        <v/>
      </c>
      <c r="C246" s="1" t="str">
        <f t="array" ref="C246">IFERROR(INDEX('Исходник'!$1:$626,MATCH($A246,'Исходник'!$T:$T,0),MATCH(C$1,'Исходник'!$1:$1,0)))</f>
        <v/>
      </c>
      <c r="D246" s="1" t="str">
        <f t="array" ref="D246">IFERROR(INDEX('Исходник'!$1:$626,MATCH($A246,'Исходник'!$T:$T,0),MATCH(D$1,'Исходник'!$1:$1,0)))</f>
        <v/>
      </c>
      <c r="E246" s="1" t="str">
        <f t="array" ref="E246">IFERROR(INDEX('Исходник'!$1:$626,MATCH($A246,'Исходник'!$T:$T,0),MATCH(E$1,'Исходник'!$1:$1,0)))</f>
        <v/>
      </c>
      <c r="F246" s="1" t="str">
        <f t="array" ref="F246">IFERROR(INDEX('Исходник'!$1:$626,MATCH($A246,'Исходник'!$T:$T,0),MATCH(F$1,'Исходник'!$1:$1,0)))</f>
        <v/>
      </c>
      <c r="G246" s="1" t="str">
        <f t="array" ref="G246">IFERROR(INDEX('Исходник'!$1:$626,MATCH($A246,'Исходник'!$T:$T,0),MATCH(G$1,'Исходник'!$1:$1,0)))</f>
        <v/>
      </c>
      <c r="H246" s="27">
        <f t="shared" si="1"/>
        <v>0</v>
      </c>
      <c r="I246" s="27" t="str">
        <f t="shared" si="2"/>
        <v/>
      </c>
      <c r="J246" s="1" t="str">
        <f t="array" ref="J246">IFERROR(INDEX('Исходник'!$1:$626,MATCH($A246,'Исходник'!$T:$T,0),MATCH(J$1,'Исходник'!$1:$1,0)))</f>
        <v/>
      </c>
      <c r="K246" s="27" t="str">
        <f t="shared" si="3"/>
        <v/>
      </c>
      <c r="L246" s="1" t="str">
        <f t="array" ref="L246">IFERROR(INDEX('Исходник'!$1:$626,MATCH($A246,'Исходник'!$T:$T,0),MATCH(L$1,'Исходник'!$1:$1,0)))</f>
        <v/>
      </c>
      <c r="M246" s="28">
        <f t="shared" si="4"/>
        <v>0</v>
      </c>
      <c r="N246" s="1" t="str">
        <f t="array" ref="N246">IFERROR(INDEX('Исходник'!$1:$626,MATCH($A246,'Исходник'!$T:$T,0),MATCH(N$1,'Исходник'!$1:$1,0)))</f>
        <v/>
      </c>
      <c r="O246" s="27">
        <f t="shared" si="5"/>
        <v>0</v>
      </c>
      <c r="P246" s="27" t="str">
        <f t="shared" si="6"/>
        <v/>
      </c>
      <c r="Q246" s="1" t="str">
        <f t="array" ref="Q246">IFERROR(INDEX('Исходник'!$1:$626,MATCH($A246,'Исходник'!$T:$T,0),MATCH(Q$1,'Исходник'!$1:$1,0)))</f>
        <v/>
      </c>
      <c r="R246" s="1" t="str">
        <f t="array" ref="R246">IFERROR(INDEX('Исходник'!$1:$626,MATCH($A246,'Исходник'!$T:$T,0),MATCH(R$1,'Исходник'!$1:$1,0)))</f>
        <v/>
      </c>
      <c r="S246" s="27">
        <f t="shared" si="7"/>
        <v>0</v>
      </c>
      <c r="T246" s="27" t="str">
        <f t="shared" si="8"/>
        <v/>
      </c>
      <c r="U246" s="1" t="str">
        <f t="array" ref="U246">IFERROR(INDEX('Исходник'!$1:$626,MATCH($A246,'Исходник'!$T:$T,0),MATCH(U$1,'Исходник'!$1:$1,0)))</f>
        <v/>
      </c>
      <c r="V246" s="27" t="str">
        <f t="shared" si="9"/>
        <v/>
      </c>
      <c r="W246" s="1" t="str">
        <f t="array" ref="W246">IFERROR(INDEX('Исходник'!$1:$626,MATCH($A246,'Исходник'!$T:$T,0),MATCH(W$1,'Исходник'!$1:$1,0)))</f>
        <v/>
      </c>
      <c r="X246" s="28">
        <f t="shared" si="10"/>
        <v>0</v>
      </c>
      <c r="Y246" s="1" t="str">
        <f t="array" ref="Y246">IFERROR(INDEX('Исходник'!$1:$626,MATCH($A246,'Исходник'!$T:$T,0),MATCH(Y$1,'Исходник'!$1:$1,0)))</f>
        <v/>
      </c>
      <c r="Z246" s="27">
        <f t="shared" si="11"/>
        <v>0</v>
      </c>
      <c r="AA246" s="27" t="str">
        <f t="shared" si="12"/>
        <v/>
      </c>
      <c r="AB246" s="1" t="str">
        <f t="array" ref="AB246">IFERROR(INDEX('Исходник'!$1:$626,MATCH($A246,'Исходник'!$T:$T,0),MATCH(AB$1,'Исходник'!$1:$1,0)))</f>
        <v/>
      </c>
      <c r="AC246" s="1" t="str">
        <f t="array" ref="AC246">IFERROR(INDEX('Исходник'!$1:$626,MATCH($A246,'Исходник'!$T:$T,0),MATCH(AC$1,'Исходник'!$1:$1,0)))</f>
        <v/>
      </c>
      <c r="AD246" s="27" t="str">
        <f t="shared" si="13"/>
        <v/>
      </c>
      <c r="AE246" s="1" t="str">
        <f t="array" ref="AE246">IFERROR(INDEX('Исходник'!$1:$626,MATCH($A246,'Исходник'!$T:$T,0),MATCH(AE$1,'Исходник'!$1:$1,0)))</f>
        <v/>
      </c>
      <c r="AF246" s="1" t="str">
        <f t="array" ref="AF246">IFERROR(INDEX('Исходник'!$1:$626,MATCH($A246,'Исходник'!$T:$T,0),MATCH(AF$1,'Исходник'!$1:$1,0)))</f>
        <v/>
      </c>
      <c r="AG246" s="27" t="str">
        <f t="shared" si="14"/>
        <v/>
      </c>
      <c r="AH246" s="1" t="str">
        <f t="array" ref="AH246">IFERROR(INDEX('Исходник'!$1:$626,MATCH($A246,'Исходник'!$T:$T,0),MATCH(AH$1,'Исходник'!$1:$1,0)))</f>
        <v/>
      </c>
      <c r="AI246" s="1" t="str">
        <f t="array" ref="AI246">IFERROR(INDEX('Исходник'!$1:$626,MATCH($A246,'Исходник'!$T:$T,0),MATCH(AI$1,'Исходник'!$1:$1,0)))</f>
        <v/>
      </c>
      <c r="AJ246" s="18">
        <f t="shared" si="15"/>
        <v>0</v>
      </c>
    </row>
    <row r="247" ht="15.75" customHeight="1">
      <c r="A247" s="27"/>
      <c r="B247" s="1" t="str">
        <f t="array" ref="B247">IFERROR(INDEX('Исходник'!$1:$626,MATCH($A247,'Исходник'!$T:$T,0),MATCH(B$1,'Исходник'!$1:$1,0)))</f>
        <v/>
      </c>
      <c r="C247" s="1" t="str">
        <f t="array" ref="C247">IFERROR(INDEX('Исходник'!$1:$626,MATCH($A247,'Исходник'!$T:$T,0),MATCH(C$1,'Исходник'!$1:$1,0)))</f>
        <v/>
      </c>
      <c r="D247" s="1" t="str">
        <f t="array" ref="D247">IFERROR(INDEX('Исходник'!$1:$626,MATCH($A247,'Исходник'!$T:$T,0),MATCH(D$1,'Исходник'!$1:$1,0)))</f>
        <v/>
      </c>
      <c r="E247" s="1" t="str">
        <f t="array" ref="E247">IFERROR(INDEX('Исходник'!$1:$626,MATCH($A247,'Исходник'!$T:$T,0),MATCH(E$1,'Исходник'!$1:$1,0)))</f>
        <v/>
      </c>
      <c r="F247" s="1" t="str">
        <f t="array" ref="F247">IFERROR(INDEX('Исходник'!$1:$626,MATCH($A247,'Исходник'!$T:$T,0),MATCH(F$1,'Исходник'!$1:$1,0)))</f>
        <v/>
      </c>
      <c r="G247" s="1" t="str">
        <f t="array" ref="G247">IFERROR(INDEX('Исходник'!$1:$626,MATCH($A247,'Исходник'!$T:$T,0),MATCH(G$1,'Исходник'!$1:$1,0)))</f>
        <v/>
      </c>
      <c r="H247" s="27">
        <f t="shared" si="1"/>
        <v>0</v>
      </c>
      <c r="I247" s="27" t="str">
        <f t="shared" si="2"/>
        <v/>
      </c>
      <c r="J247" s="1" t="str">
        <f t="array" ref="J247">IFERROR(INDEX('Исходник'!$1:$626,MATCH($A247,'Исходник'!$T:$T,0),MATCH(J$1,'Исходник'!$1:$1,0)))</f>
        <v/>
      </c>
      <c r="K247" s="27" t="str">
        <f t="shared" si="3"/>
        <v/>
      </c>
      <c r="L247" s="1" t="str">
        <f t="array" ref="L247">IFERROR(INDEX('Исходник'!$1:$626,MATCH($A247,'Исходник'!$T:$T,0),MATCH(L$1,'Исходник'!$1:$1,0)))</f>
        <v/>
      </c>
      <c r="M247" s="28">
        <f t="shared" si="4"/>
        <v>0</v>
      </c>
      <c r="N247" s="1" t="str">
        <f t="array" ref="N247">IFERROR(INDEX('Исходник'!$1:$626,MATCH($A247,'Исходник'!$T:$T,0),MATCH(N$1,'Исходник'!$1:$1,0)))</f>
        <v/>
      </c>
      <c r="O247" s="27">
        <f t="shared" si="5"/>
        <v>0</v>
      </c>
      <c r="P247" s="27" t="str">
        <f t="shared" si="6"/>
        <v/>
      </c>
      <c r="Q247" s="1" t="str">
        <f t="array" ref="Q247">IFERROR(INDEX('Исходник'!$1:$626,MATCH($A247,'Исходник'!$T:$T,0),MATCH(Q$1,'Исходник'!$1:$1,0)))</f>
        <v/>
      </c>
      <c r="R247" s="1" t="str">
        <f t="array" ref="R247">IFERROR(INDEX('Исходник'!$1:$626,MATCH($A247,'Исходник'!$T:$T,0),MATCH(R$1,'Исходник'!$1:$1,0)))</f>
        <v/>
      </c>
      <c r="S247" s="27">
        <f t="shared" si="7"/>
        <v>0</v>
      </c>
      <c r="T247" s="27" t="str">
        <f t="shared" si="8"/>
        <v/>
      </c>
      <c r="U247" s="1" t="str">
        <f t="array" ref="U247">IFERROR(INDEX('Исходник'!$1:$626,MATCH($A247,'Исходник'!$T:$T,0),MATCH(U$1,'Исходник'!$1:$1,0)))</f>
        <v/>
      </c>
      <c r="V247" s="27" t="str">
        <f t="shared" si="9"/>
        <v/>
      </c>
      <c r="W247" s="1" t="str">
        <f t="array" ref="W247">IFERROR(INDEX('Исходник'!$1:$626,MATCH($A247,'Исходник'!$T:$T,0),MATCH(W$1,'Исходник'!$1:$1,0)))</f>
        <v/>
      </c>
      <c r="X247" s="28">
        <f t="shared" si="10"/>
        <v>0</v>
      </c>
      <c r="Y247" s="1" t="str">
        <f t="array" ref="Y247">IFERROR(INDEX('Исходник'!$1:$626,MATCH($A247,'Исходник'!$T:$T,0),MATCH(Y$1,'Исходник'!$1:$1,0)))</f>
        <v/>
      </c>
      <c r="Z247" s="27">
        <f t="shared" si="11"/>
        <v>0</v>
      </c>
      <c r="AA247" s="27" t="str">
        <f t="shared" si="12"/>
        <v/>
      </c>
      <c r="AB247" s="1" t="str">
        <f t="array" ref="AB247">IFERROR(INDEX('Исходник'!$1:$626,MATCH($A247,'Исходник'!$T:$T,0),MATCH(AB$1,'Исходник'!$1:$1,0)))</f>
        <v/>
      </c>
      <c r="AC247" s="1" t="str">
        <f t="array" ref="AC247">IFERROR(INDEX('Исходник'!$1:$626,MATCH($A247,'Исходник'!$T:$T,0),MATCH(AC$1,'Исходник'!$1:$1,0)))</f>
        <v/>
      </c>
      <c r="AD247" s="27" t="str">
        <f t="shared" si="13"/>
        <v/>
      </c>
      <c r="AE247" s="1" t="str">
        <f t="array" ref="AE247">IFERROR(INDEX('Исходник'!$1:$626,MATCH($A247,'Исходник'!$T:$T,0),MATCH(AE$1,'Исходник'!$1:$1,0)))</f>
        <v/>
      </c>
      <c r="AF247" s="1" t="str">
        <f t="array" ref="AF247">IFERROR(INDEX('Исходник'!$1:$626,MATCH($A247,'Исходник'!$T:$T,0),MATCH(AF$1,'Исходник'!$1:$1,0)))</f>
        <v/>
      </c>
      <c r="AG247" s="27" t="str">
        <f t="shared" si="14"/>
        <v/>
      </c>
      <c r="AH247" s="1" t="str">
        <f t="array" ref="AH247">IFERROR(INDEX('Исходник'!$1:$626,MATCH($A247,'Исходник'!$T:$T,0),MATCH(AH$1,'Исходник'!$1:$1,0)))</f>
        <v/>
      </c>
      <c r="AI247" s="1" t="str">
        <f t="array" ref="AI247">IFERROR(INDEX('Исходник'!$1:$626,MATCH($A247,'Исходник'!$T:$T,0),MATCH(AI$1,'Исходник'!$1:$1,0)))</f>
        <v/>
      </c>
      <c r="AJ247" s="18">
        <f t="shared" si="15"/>
        <v>0</v>
      </c>
    </row>
    <row r="248" ht="15.75" customHeight="1">
      <c r="A248" s="27"/>
      <c r="B248" s="1" t="str">
        <f t="array" ref="B248">IFERROR(INDEX('Исходник'!$1:$626,MATCH($A248,'Исходник'!$T:$T,0),MATCH(B$1,'Исходник'!$1:$1,0)))</f>
        <v/>
      </c>
      <c r="C248" s="1" t="str">
        <f t="array" ref="C248">IFERROR(INDEX('Исходник'!$1:$626,MATCH($A248,'Исходник'!$T:$T,0),MATCH(C$1,'Исходник'!$1:$1,0)))</f>
        <v/>
      </c>
      <c r="D248" s="1" t="str">
        <f t="array" ref="D248">IFERROR(INDEX('Исходник'!$1:$626,MATCH($A248,'Исходник'!$T:$T,0),MATCH(D$1,'Исходник'!$1:$1,0)))</f>
        <v/>
      </c>
      <c r="E248" s="1" t="str">
        <f t="array" ref="E248">IFERROR(INDEX('Исходник'!$1:$626,MATCH($A248,'Исходник'!$T:$T,0),MATCH(E$1,'Исходник'!$1:$1,0)))</f>
        <v/>
      </c>
      <c r="F248" s="1" t="str">
        <f t="array" ref="F248">IFERROR(INDEX('Исходник'!$1:$626,MATCH($A248,'Исходник'!$T:$T,0),MATCH(F$1,'Исходник'!$1:$1,0)))</f>
        <v/>
      </c>
      <c r="G248" s="1" t="str">
        <f t="array" ref="G248">IFERROR(INDEX('Исходник'!$1:$626,MATCH($A248,'Исходник'!$T:$T,0),MATCH(G$1,'Исходник'!$1:$1,0)))</f>
        <v/>
      </c>
      <c r="H248" s="27">
        <f t="shared" si="1"/>
        <v>0</v>
      </c>
      <c r="I248" s="27" t="str">
        <f t="shared" si="2"/>
        <v/>
      </c>
      <c r="J248" s="1" t="str">
        <f t="array" ref="J248">IFERROR(INDEX('Исходник'!$1:$626,MATCH($A248,'Исходник'!$T:$T,0),MATCH(J$1,'Исходник'!$1:$1,0)))</f>
        <v/>
      </c>
      <c r="K248" s="27" t="str">
        <f t="shared" si="3"/>
        <v/>
      </c>
      <c r="L248" s="1" t="str">
        <f t="array" ref="L248">IFERROR(INDEX('Исходник'!$1:$626,MATCH($A248,'Исходник'!$T:$T,0),MATCH(L$1,'Исходник'!$1:$1,0)))</f>
        <v/>
      </c>
      <c r="M248" s="28">
        <f t="shared" si="4"/>
        <v>0</v>
      </c>
      <c r="N248" s="1" t="str">
        <f t="array" ref="N248">IFERROR(INDEX('Исходник'!$1:$626,MATCH($A248,'Исходник'!$T:$T,0),MATCH(N$1,'Исходник'!$1:$1,0)))</f>
        <v/>
      </c>
      <c r="O248" s="27">
        <f t="shared" si="5"/>
        <v>0</v>
      </c>
      <c r="P248" s="27" t="str">
        <f t="shared" si="6"/>
        <v/>
      </c>
      <c r="Q248" s="1" t="str">
        <f t="array" ref="Q248">IFERROR(INDEX('Исходник'!$1:$626,MATCH($A248,'Исходник'!$T:$T,0),MATCH(Q$1,'Исходник'!$1:$1,0)))</f>
        <v/>
      </c>
      <c r="R248" s="1" t="str">
        <f t="array" ref="R248">IFERROR(INDEX('Исходник'!$1:$626,MATCH($A248,'Исходник'!$T:$T,0),MATCH(R$1,'Исходник'!$1:$1,0)))</f>
        <v/>
      </c>
      <c r="S248" s="27">
        <f t="shared" si="7"/>
        <v>0</v>
      </c>
      <c r="T248" s="27" t="str">
        <f t="shared" si="8"/>
        <v/>
      </c>
      <c r="U248" s="1" t="str">
        <f t="array" ref="U248">IFERROR(INDEX('Исходник'!$1:$626,MATCH($A248,'Исходник'!$T:$T,0),MATCH(U$1,'Исходник'!$1:$1,0)))</f>
        <v/>
      </c>
      <c r="V248" s="27" t="str">
        <f t="shared" si="9"/>
        <v/>
      </c>
      <c r="W248" s="1" t="str">
        <f t="array" ref="W248">IFERROR(INDEX('Исходник'!$1:$626,MATCH($A248,'Исходник'!$T:$T,0),MATCH(W$1,'Исходник'!$1:$1,0)))</f>
        <v/>
      </c>
      <c r="X248" s="28">
        <f t="shared" si="10"/>
        <v>0</v>
      </c>
      <c r="Y248" s="1" t="str">
        <f t="array" ref="Y248">IFERROR(INDEX('Исходник'!$1:$626,MATCH($A248,'Исходник'!$T:$T,0),MATCH(Y$1,'Исходник'!$1:$1,0)))</f>
        <v/>
      </c>
      <c r="Z248" s="27">
        <f t="shared" si="11"/>
        <v>0</v>
      </c>
      <c r="AA248" s="27" t="str">
        <f t="shared" si="12"/>
        <v/>
      </c>
      <c r="AB248" s="1" t="str">
        <f t="array" ref="AB248">IFERROR(INDEX('Исходник'!$1:$626,MATCH($A248,'Исходник'!$T:$T,0),MATCH(AB$1,'Исходник'!$1:$1,0)))</f>
        <v/>
      </c>
      <c r="AC248" s="1" t="str">
        <f t="array" ref="AC248">IFERROR(INDEX('Исходник'!$1:$626,MATCH($A248,'Исходник'!$T:$T,0),MATCH(AC$1,'Исходник'!$1:$1,0)))</f>
        <v/>
      </c>
      <c r="AD248" s="27" t="str">
        <f t="shared" si="13"/>
        <v/>
      </c>
      <c r="AE248" s="1" t="str">
        <f t="array" ref="AE248">IFERROR(INDEX('Исходник'!$1:$626,MATCH($A248,'Исходник'!$T:$T,0),MATCH(AE$1,'Исходник'!$1:$1,0)))</f>
        <v/>
      </c>
      <c r="AF248" s="1" t="str">
        <f t="array" ref="AF248">IFERROR(INDEX('Исходник'!$1:$626,MATCH($A248,'Исходник'!$T:$T,0),MATCH(AF$1,'Исходник'!$1:$1,0)))</f>
        <v/>
      </c>
      <c r="AG248" s="27" t="str">
        <f t="shared" si="14"/>
        <v/>
      </c>
      <c r="AH248" s="1" t="str">
        <f t="array" ref="AH248">IFERROR(INDEX('Исходник'!$1:$626,MATCH($A248,'Исходник'!$T:$T,0),MATCH(AH$1,'Исходник'!$1:$1,0)))</f>
        <v/>
      </c>
      <c r="AI248" s="1" t="str">
        <f t="array" ref="AI248">IFERROR(INDEX('Исходник'!$1:$626,MATCH($A248,'Исходник'!$T:$T,0),MATCH(AI$1,'Исходник'!$1:$1,0)))</f>
        <v/>
      </c>
      <c r="AJ248" s="18">
        <f t="shared" si="15"/>
        <v>0</v>
      </c>
    </row>
    <row r="249" ht="15.75" customHeight="1">
      <c r="A249" s="27"/>
      <c r="B249" s="1" t="str">
        <f t="array" ref="B249">IFERROR(INDEX('Исходник'!$1:$626,MATCH($A249,'Исходник'!$T:$T,0),MATCH(B$1,'Исходник'!$1:$1,0)))</f>
        <v/>
      </c>
      <c r="C249" s="1" t="str">
        <f t="array" ref="C249">IFERROR(INDEX('Исходник'!$1:$626,MATCH($A249,'Исходник'!$T:$T,0),MATCH(C$1,'Исходник'!$1:$1,0)))</f>
        <v/>
      </c>
      <c r="D249" s="1" t="str">
        <f t="array" ref="D249">IFERROR(INDEX('Исходник'!$1:$626,MATCH($A249,'Исходник'!$T:$T,0),MATCH(D$1,'Исходник'!$1:$1,0)))</f>
        <v/>
      </c>
      <c r="E249" s="1" t="str">
        <f t="array" ref="E249">IFERROR(INDEX('Исходник'!$1:$626,MATCH($A249,'Исходник'!$T:$T,0),MATCH(E$1,'Исходник'!$1:$1,0)))</f>
        <v/>
      </c>
      <c r="F249" s="1" t="str">
        <f t="array" ref="F249">IFERROR(INDEX('Исходник'!$1:$626,MATCH($A249,'Исходник'!$T:$T,0),MATCH(F$1,'Исходник'!$1:$1,0)))</f>
        <v/>
      </c>
      <c r="G249" s="1" t="str">
        <f t="array" ref="G249">IFERROR(INDEX('Исходник'!$1:$626,MATCH($A249,'Исходник'!$T:$T,0),MATCH(G$1,'Исходник'!$1:$1,0)))</f>
        <v/>
      </c>
      <c r="H249" s="27">
        <f t="shared" si="1"/>
        <v>0</v>
      </c>
      <c r="I249" s="27" t="str">
        <f t="shared" si="2"/>
        <v/>
      </c>
      <c r="J249" s="1" t="str">
        <f t="array" ref="J249">IFERROR(INDEX('Исходник'!$1:$626,MATCH($A249,'Исходник'!$T:$T,0),MATCH(J$1,'Исходник'!$1:$1,0)))</f>
        <v/>
      </c>
      <c r="K249" s="27" t="str">
        <f t="shared" si="3"/>
        <v/>
      </c>
      <c r="L249" s="1" t="str">
        <f t="array" ref="L249">IFERROR(INDEX('Исходник'!$1:$626,MATCH($A249,'Исходник'!$T:$T,0),MATCH(L$1,'Исходник'!$1:$1,0)))</f>
        <v/>
      </c>
      <c r="M249" s="28">
        <f t="shared" si="4"/>
        <v>0</v>
      </c>
      <c r="N249" s="1" t="str">
        <f t="array" ref="N249">IFERROR(INDEX('Исходник'!$1:$626,MATCH($A249,'Исходник'!$T:$T,0),MATCH(N$1,'Исходник'!$1:$1,0)))</f>
        <v/>
      </c>
      <c r="O249" s="27">
        <f t="shared" si="5"/>
        <v>0</v>
      </c>
      <c r="P249" s="27" t="str">
        <f t="shared" si="6"/>
        <v/>
      </c>
      <c r="Q249" s="1" t="str">
        <f t="array" ref="Q249">IFERROR(INDEX('Исходник'!$1:$626,MATCH($A249,'Исходник'!$T:$T,0),MATCH(Q$1,'Исходник'!$1:$1,0)))</f>
        <v/>
      </c>
      <c r="R249" s="1" t="str">
        <f t="array" ref="R249">IFERROR(INDEX('Исходник'!$1:$626,MATCH($A249,'Исходник'!$T:$T,0),MATCH(R$1,'Исходник'!$1:$1,0)))</f>
        <v/>
      </c>
      <c r="S249" s="27">
        <f t="shared" si="7"/>
        <v>0</v>
      </c>
      <c r="T249" s="27" t="str">
        <f t="shared" si="8"/>
        <v/>
      </c>
      <c r="U249" s="1" t="str">
        <f t="array" ref="U249">IFERROR(INDEX('Исходник'!$1:$626,MATCH($A249,'Исходник'!$T:$T,0),MATCH(U$1,'Исходник'!$1:$1,0)))</f>
        <v/>
      </c>
      <c r="V249" s="27" t="str">
        <f t="shared" si="9"/>
        <v/>
      </c>
      <c r="W249" s="1" t="str">
        <f t="array" ref="W249">IFERROR(INDEX('Исходник'!$1:$626,MATCH($A249,'Исходник'!$T:$T,0),MATCH(W$1,'Исходник'!$1:$1,0)))</f>
        <v/>
      </c>
      <c r="X249" s="28">
        <f t="shared" si="10"/>
        <v>0</v>
      </c>
      <c r="Y249" s="1" t="str">
        <f t="array" ref="Y249">IFERROR(INDEX('Исходник'!$1:$626,MATCH($A249,'Исходник'!$T:$T,0),MATCH(Y$1,'Исходник'!$1:$1,0)))</f>
        <v/>
      </c>
      <c r="Z249" s="27">
        <f t="shared" si="11"/>
        <v>0</v>
      </c>
      <c r="AA249" s="27" t="str">
        <f t="shared" si="12"/>
        <v/>
      </c>
      <c r="AB249" s="1" t="str">
        <f t="array" ref="AB249">IFERROR(INDEX('Исходник'!$1:$626,MATCH($A249,'Исходник'!$T:$T,0),MATCH(AB$1,'Исходник'!$1:$1,0)))</f>
        <v/>
      </c>
      <c r="AC249" s="1" t="str">
        <f t="array" ref="AC249">IFERROR(INDEX('Исходник'!$1:$626,MATCH($A249,'Исходник'!$T:$T,0),MATCH(AC$1,'Исходник'!$1:$1,0)))</f>
        <v/>
      </c>
      <c r="AD249" s="27" t="str">
        <f t="shared" si="13"/>
        <v/>
      </c>
      <c r="AE249" s="1" t="str">
        <f t="array" ref="AE249">IFERROR(INDEX('Исходник'!$1:$626,MATCH($A249,'Исходник'!$T:$T,0),MATCH(AE$1,'Исходник'!$1:$1,0)))</f>
        <v/>
      </c>
      <c r="AF249" s="1" t="str">
        <f t="array" ref="AF249">IFERROR(INDEX('Исходник'!$1:$626,MATCH($A249,'Исходник'!$T:$T,0),MATCH(AF$1,'Исходник'!$1:$1,0)))</f>
        <v/>
      </c>
      <c r="AG249" s="27" t="str">
        <f t="shared" si="14"/>
        <v/>
      </c>
      <c r="AH249" s="1" t="str">
        <f t="array" ref="AH249">IFERROR(INDEX('Исходник'!$1:$626,MATCH($A249,'Исходник'!$T:$T,0),MATCH(AH$1,'Исходник'!$1:$1,0)))</f>
        <v/>
      </c>
      <c r="AI249" s="1" t="str">
        <f t="array" ref="AI249">IFERROR(INDEX('Исходник'!$1:$626,MATCH($A249,'Исходник'!$T:$T,0),MATCH(AI$1,'Исходник'!$1:$1,0)))</f>
        <v/>
      </c>
      <c r="AJ249" s="18">
        <f t="shared" si="15"/>
        <v>0</v>
      </c>
    </row>
    <row r="250" ht="15.75" customHeight="1">
      <c r="A250" s="27"/>
      <c r="B250" s="1" t="str">
        <f t="array" ref="B250">IFERROR(INDEX('Исходник'!$1:$626,MATCH($A250,'Исходник'!$T:$T,0),MATCH(B$1,'Исходник'!$1:$1,0)))</f>
        <v/>
      </c>
      <c r="C250" s="1" t="str">
        <f t="array" ref="C250">IFERROR(INDEX('Исходник'!$1:$626,MATCH($A250,'Исходник'!$T:$T,0),MATCH(C$1,'Исходник'!$1:$1,0)))</f>
        <v/>
      </c>
      <c r="D250" s="1" t="str">
        <f t="array" ref="D250">IFERROR(INDEX('Исходник'!$1:$626,MATCH($A250,'Исходник'!$T:$T,0),MATCH(D$1,'Исходник'!$1:$1,0)))</f>
        <v/>
      </c>
      <c r="E250" s="1" t="str">
        <f t="array" ref="E250">IFERROR(INDEX('Исходник'!$1:$626,MATCH($A250,'Исходник'!$T:$T,0),MATCH(E$1,'Исходник'!$1:$1,0)))</f>
        <v/>
      </c>
      <c r="F250" s="1" t="str">
        <f t="array" ref="F250">IFERROR(INDEX('Исходник'!$1:$626,MATCH($A250,'Исходник'!$T:$T,0),MATCH(F$1,'Исходник'!$1:$1,0)))</f>
        <v/>
      </c>
      <c r="G250" s="1" t="str">
        <f t="array" ref="G250">IFERROR(INDEX('Исходник'!$1:$626,MATCH($A250,'Исходник'!$T:$T,0),MATCH(G$1,'Исходник'!$1:$1,0)))</f>
        <v/>
      </c>
      <c r="H250" s="27">
        <f t="shared" si="1"/>
        <v>0</v>
      </c>
      <c r="I250" s="27" t="str">
        <f t="shared" si="2"/>
        <v/>
      </c>
      <c r="J250" s="1" t="str">
        <f t="array" ref="J250">IFERROR(INDEX('Исходник'!$1:$626,MATCH($A250,'Исходник'!$T:$T,0),MATCH(J$1,'Исходник'!$1:$1,0)))</f>
        <v/>
      </c>
      <c r="K250" s="27" t="str">
        <f t="shared" si="3"/>
        <v/>
      </c>
      <c r="L250" s="1" t="str">
        <f t="array" ref="L250">IFERROR(INDEX('Исходник'!$1:$626,MATCH($A250,'Исходник'!$T:$T,0),MATCH(L$1,'Исходник'!$1:$1,0)))</f>
        <v/>
      </c>
      <c r="M250" s="28">
        <f t="shared" si="4"/>
        <v>0</v>
      </c>
      <c r="N250" s="1" t="str">
        <f t="array" ref="N250">IFERROR(INDEX('Исходник'!$1:$626,MATCH($A250,'Исходник'!$T:$T,0),MATCH(N$1,'Исходник'!$1:$1,0)))</f>
        <v/>
      </c>
      <c r="O250" s="27">
        <f t="shared" si="5"/>
        <v>0</v>
      </c>
      <c r="P250" s="27" t="str">
        <f t="shared" si="6"/>
        <v/>
      </c>
      <c r="Q250" s="1" t="str">
        <f t="array" ref="Q250">IFERROR(INDEX('Исходник'!$1:$626,MATCH($A250,'Исходник'!$T:$T,0),MATCH(Q$1,'Исходник'!$1:$1,0)))</f>
        <v/>
      </c>
      <c r="R250" s="1" t="str">
        <f t="array" ref="R250">IFERROR(INDEX('Исходник'!$1:$626,MATCH($A250,'Исходник'!$T:$T,0),MATCH(R$1,'Исходник'!$1:$1,0)))</f>
        <v/>
      </c>
      <c r="S250" s="27">
        <f t="shared" si="7"/>
        <v>0</v>
      </c>
      <c r="T250" s="27" t="str">
        <f t="shared" si="8"/>
        <v/>
      </c>
      <c r="U250" s="1" t="str">
        <f t="array" ref="U250">IFERROR(INDEX('Исходник'!$1:$626,MATCH($A250,'Исходник'!$T:$T,0),MATCH(U$1,'Исходник'!$1:$1,0)))</f>
        <v/>
      </c>
      <c r="V250" s="27" t="str">
        <f t="shared" si="9"/>
        <v/>
      </c>
      <c r="W250" s="1" t="str">
        <f t="array" ref="W250">IFERROR(INDEX('Исходник'!$1:$626,MATCH($A250,'Исходник'!$T:$T,0),MATCH(W$1,'Исходник'!$1:$1,0)))</f>
        <v/>
      </c>
      <c r="X250" s="28">
        <f t="shared" si="10"/>
        <v>0</v>
      </c>
      <c r="Y250" s="1" t="str">
        <f t="array" ref="Y250">IFERROR(INDEX('Исходник'!$1:$626,MATCH($A250,'Исходник'!$T:$T,0),MATCH(Y$1,'Исходник'!$1:$1,0)))</f>
        <v/>
      </c>
      <c r="Z250" s="27">
        <f t="shared" si="11"/>
        <v>0</v>
      </c>
      <c r="AA250" s="27" t="str">
        <f t="shared" si="12"/>
        <v/>
      </c>
      <c r="AB250" s="1" t="str">
        <f t="array" ref="AB250">IFERROR(INDEX('Исходник'!$1:$626,MATCH($A250,'Исходник'!$T:$T,0),MATCH(AB$1,'Исходник'!$1:$1,0)))</f>
        <v/>
      </c>
      <c r="AC250" s="1" t="str">
        <f t="array" ref="AC250">IFERROR(INDEX('Исходник'!$1:$626,MATCH($A250,'Исходник'!$T:$T,0),MATCH(AC$1,'Исходник'!$1:$1,0)))</f>
        <v/>
      </c>
      <c r="AD250" s="27" t="str">
        <f t="shared" si="13"/>
        <v/>
      </c>
      <c r="AE250" s="1" t="str">
        <f t="array" ref="AE250">IFERROR(INDEX('Исходник'!$1:$626,MATCH($A250,'Исходник'!$T:$T,0),MATCH(AE$1,'Исходник'!$1:$1,0)))</f>
        <v/>
      </c>
      <c r="AF250" s="1" t="str">
        <f t="array" ref="AF250">IFERROR(INDEX('Исходник'!$1:$626,MATCH($A250,'Исходник'!$T:$T,0),MATCH(AF$1,'Исходник'!$1:$1,0)))</f>
        <v/>
      </c>
      <c r="AG250" s="27" t="str">
        <f t="shared" si="14"/>
        <v/>
      </c>
      <c r="AH250" s="1" t="str">
        <f t="array" ref="AH250">IFERROR(INDEX('Исходник'!$1:$626,MATCH($A250,'Исходник'!$T:$T,0),MATCH(AH$1,'Исходник'!$1:$1,0)))</f>
        <v/>
      </c>
      <c r="AI250" s="1" t="str">
        <f t="array" ref="AI250">IFERROR(INDEX('Исходник'!$1:$626,MATCH($A250,'Исходник'!$T:$T,0),MATCH(AI$1,'Исходник'!$1:$1,0)))</f>
        <v/>
      </c>
      <c r="AJ250" s="18">
        <f t="shared" si="15"/>
        <v>0</v>
      </c>
    </row>
    <row r="251" ht="15.75" customHeight="1">
      <c r="A251" s="27"/>
      <c r="B251" s="1" t="str">
        <f t="array" ref="B251">IFERROR(INDEX('Исходник'!$1:$626,MATCH($A251,'Исходник'!$T:$T,0),MATCH(B$1,'Исходник'!$1:$1,0)))</f>
        <v/>
      </c>
      <c r="C251" s="1" t="str">
        <f t="array" ref="C251">IFERROR(INDEX('Исходник'!$1:$626,MATCH($A251,'Исходник'!$T:$T,0),MATCH(C$1,'Исходник'!$1:$1,0)))</f>
        <v/>
      </c>
      <c r="D251" s="1" t="str">
        <f t="array" ref="D251">IFERROR(INDEX('Исходник'!$1:$626,MATCH($A251,'Исходник'!$T:$T,0),MATCH(D$1,'Исходник'!$1:$1,0)))</f>
        <v/>
      </c>
      <c r="E251" s="1" t="str">
        <f t="array" ref="E251">IFERROR(INDEX('Исходник'!$1:$626,MATCH($A251,'Исходник'!$T:$T,0),MATCH(E$1,'Исходник'!$1:$1,0)))</f>
        <v/>
      </c>
      <c r="F251" s="1" t="str">
        <f t="array" ref="F251">IFERROR(INDEX('Исходник'!$1:$626,MATCH($A251,'Исходник'!$T:$T,0),MATCH(F$1,'Исходник'!$1:$1,0)))</f>
        <v/>
      </c>
      <c r="G251" s="1" t="str">
        <f t="array" ref="G251">IFERROR(INDEX('Исходник'!$1:$626,MATCH($A251,'Исходник'!$T:$T,0),MATCH(G$1,'Исходник'!$1:$1,0)))</f>
        <v/>
      </c>
      <c r="H251" s="27">
        <f t="shared" si="1"/>
        <v>0</v>
      </c>
      <c r="I251" s="27" t="str">
        <f t="shared" si="2"/>
        <v/>
      </c>
      <c r="J251" s="1" t="str">
        <f t="array" ref="J251">IFERROR(INDEX('Исходник'!$1:$626,MATCH($A251,'Исходник'!$T:$T,0),MATCH(J$1,'Исходник'!$1:$1,0)))</f>
        <v/>
      </c>
      <c r="K251" s="27" t="str">
        <f t="shared" si="3"/>
        <v/>
      </c>
      <c r="L251" s="1" t="str">
        <f t="array" ref="L251">IFERROR(INDEX('Исходник'!$1:$626,MATCH($A251,'Исходник'!$T:$T,0),MATCH(L$1,'Исходник'!$1:$1,0)))</f>
        <v/>
      </c>
      <c r="M251" s="28">
        <f t="shared" si="4"/>
        <v>0</v>
      </c>
      <c r="N251" s="1" t="str">
        <f t="array" ref="N251">IFERROR(INDEX('Исходник'!$1:$626,MATCH($A251,'Исходник'!$T:$T,0),MATCH(N$1,'Исходник'!$1:$1,0)))</f>
        <v/>
      </c>
      <c r="O251" s="27">
        <f t="shared" si="5"/>
        <v>0</v>
      </c>
      <c r="P251" s="27" t="str">
        <f t="shared" si="6"/>
        <v/>
      </c>
      <c r="Q251" s="1" t="str">
        <f t="array" ref="Q251">IFERROR(INDEX('Исходник'!$1:$626,MATCH($A251,'Исходник'!$T:$T,0),MATCH(Q$1,'Исходник'!$1:$1,0)))</f>
        <v/>
      </c>
      <c r="R251" s="1" t="str">
        <f t="array" ref="R251">IFERROR(INDEX('Исходник'!$1:$626,MATCH($A251,'Исходник'!$T:$T,0),MATCH(R$1,'Исходник'!$1:$1,0)))</f>
        <v/>
      </c>
      <c r="S251" s="27">
        <f t="shared" si="7"/>
        <v>0</v>
      </c>
      <c r="T251" s="27" t="str">
        <f t="shared" si="8"/>
        <v/>
      </c>
      <c r="U251" s="1" t="str">
        <f t="array" ref="U251">IFERROR(INDEX('Исходник'!$1:$626,MATCH($A251,'Исходник'!$T:$T,0),MATCH(U$1,'Исходник'!$1:$1,0)))</f>
        <v/>
      </c>
      <c r="V251" s="27" t="str">
        <f t="shared" si="9"/>
        <v/>
      </c>
      <c r="W251" s="1" t="str">
        <f t="array" ref="W251">IFERROR(INDEX('Исходник'!$1:$626,MATCH($A251,'Исходник'!$T:$T,0),MATCH(W$1,'Исходник'!$1:$1,0)))</f>
        <v/>
      </c>
      <c r="X251" s="28">
        <f t="shared" si="10"/>
        <v>0</v>
      </c>
      <c r="Y251" s="1" t="str">
        <f t="array" ref="Y251">IFERROR(INDEX('Исходник'!$1:$626,MATCH($A251,'Исходник'!$T:$T,0),MATCH(Y$1,'Исходник'!$1:$1,0)))</f>
        <v/>
      </c>
      <c r="Z251" s="27">
        <f t="shared" si="11"/>
        <v>0</v>
      </c>
      <c r="AA251" s="27" t="str">
        <f t="shared" si="12"/>
        <v/>
      </c>
      <c r="AB251" s="1" t="str">
        <f t="array" ref="AB251">IFERROR(INDEX('Исходник'!$1:$626,MATCH($A251,'Исходник'!$T:$T,0),MATCH(AB$1,'Исходник'!$1:$1,0)))</f>
        <v/>
      </c>
      <c r="AC251" s="1" t="str">
        <f t="array" ref="AC251">IFERROR(INDEX('Исходник'!$1:$626,MATCH($A251,'Исходник'!$T:$T,0),MATCH(AC$1,'Исходник'!$1:$1,0)))</f>
        <v/>
      </c>
      <c r="AD251" s="27" t="str">
        <f t="shared" si="13"/>
        <v/>
      </c>
      <c r="AE251" s="1" t="str">
        <f t="array" ref="AE251">IFERROR(INDEX('Исходник'!$1:$626,MATCH($A251,'Исходник'!$T:$T,0),MATCH(AE$1,'Исходник'!$1:$1,0)))</f>
        <v/>
      </c>
      <c r="AF251" s="1" t="str">
        <f t="array" ref="AF251">IFERROR(INDEX('Исходник'!$1:$626,MATCH($A251,'Исходник'!$T:$T,0),MATCH(AF$1,'Исходник'!$1:$1,0)))</f>
        <v/>
      </c>
      <c r="AG251" s="27" t="str">
        <f t="shared" si="14"/>
        <v/>
      </c>
      <c r="AH251" s="1" t="str">
        <f t="array" ref="AH251">IFERROR(INDEX('Исходник'!$1:$626,MATCH($A251,'Исходник'!$T:$T,0),MATCH(AH$1,'Исходник'!$1:$1,0)))</f>
        <v/>
      </c>
      <c r="AI251" s="1" t="str">
        <f t="array" ref="AI251">IFERROR(INDEX('Исходник'!$1:$626,MATCH($A251,'Исходник'!$T:$T,0),MATCH(AI$1,'Исходник'!$1:$1,0)))</f>
        <v/>
      </c>
      <c r="AJ251" s="18">
        <f t="shared" si="15"/>
        <v>0</v>
      </c>
    </row>
    <row r="252" ht="15.75" customHeight="1">
      <c r="A252" s="27"/>
      <c r="B252" s="1" t="str">
        <f t="array" ref="B252">IFERROR(INDEX('Исходник'!$1:$626,MATCH($A252,'Исходник'!$T:$T,0),MATCH(B$1,'Исходник'!$1:$1,0)))</f>
        <v/>
      </c>
      <c r="C252" s="1" t="str">
        <f t="array" ref="C252">IFERROR(INDEX('Исходник'!$1:$626,MATCH($A252,'Исходник'!$T:$T,0),MATCH(C$1,'Исходник'!$1:$1,0)))</f>
        <v/>
      </c>
      <c r="D252" s="1" t="str">
        <f t="array" ref="D252">IFERROR(INDEX('Исходник'!$1:$626,MATCH($A252,'Исходник'!$T:$T,0),MATCH(D$1,'Исходник'!$1:$1,0)))</f>
        <v/>
      </c>
      <c r="E252" s="1" t="str">
        <f t="array" ref="E252">IFERROR(INDEX('Исходник'!$1:$626,MATCH($A252,'Исходник'!$T:$T,0),MATCH(E$1,'Исходник'!$1:$1,0)))</f>
        <v/>
      </c>
      <c r="F252" s="1" t="str">
        <f t="array" ref="F252">IFERROR(INDEX('Исходник'!$1:$626,MATCH($A252,'Исходник'!$T:$T,0),MATCH(F$1,'Исходник'!$1:$1,0)))</f>
        <v/>
      </c>
      <c r="G252" s="1" t="str">
        <f t="array" ref="G252">IFERROR(INDEX('Исходник'!$1:$626,MATCH($A252,'Исходник'!$T:$T,0),MATCH(G$1,'Исходник'!$1:$1,0)))</f>
        <v/>
      </c>
      <c r="H252" s="27">
        <f t="shared" si="1"/>
        <v>0</v>
      </c>
      <c r="I252" s="27" t="str">
        <f t="shared" si="2"/>
        <v/>
      </c>
      <c r="J252" s="1" t="str">
        <f t="array" ref="J252">IFERROR(INDEX('Исходник'!$1:$626,MATCH($A252,'Исходник'!$T:$T,0),MATCH(J$1,'Исходник'!$1:$1,0)))</f>
        <v/>
      </c>
      <c r="K252" s="27" t="str">
        <f t="shared" si="3"/>
        <v/>
      </c>
      <c r="L252" s="1" t="str">
        <f t="array" ref="L252">IFERROR(INDEX('Исходник'!$1:$626,MATCH($A252,'Исходник'!$T:$T,0),MATCH(L$1,'Исходник'!$1:$1,0)))</f>
        <v/>
      </c>
      <c r="M252" s="28">
        <f t="shared" si="4"/>
        <v>0</v>
      </c>
      <c r="N252" s="1" t="str">
        <f t="array" ref="N252">IFERROR(INDEX('Исходник'!$1:$626,MATCH($A252,'Исходник'!$T:$T,0),MATCH(N$1,'Исходник'!$1:$1,0)))</f>
        <v/>
      </c>
      <c r="O252" s="27">
        <f t="shared" si="5"/>
        <v>0</v>
      </c>
      <c r="P252" s="27" t="str">
        <f t="shared" si="6"/>
        <v/>
      </c>
      <c r="Q252" s="1" t="str">
        <f t="array" ref="Q252">IFERROR(INDEX('Исходник'!$1:$626,MATCH($A252,'Исходник'!$T:$T,0),MATCH(Q$1,'Исходник'!$1:$1,0)))</f>
        <v/>
      </c>
      <c r="R252" s="1" t="str">
        <f t="array" ref="R252">IFERROR(INDEX('Исходник'!$1:$626,MATCH($A252,'Исходник'!$T:$T,0),MATCH(R$1,'Исходник'!$1:$1,0)))</f>
        <v/>
      </c>
      <c r="S252" s="27">
        <f t="shared" si="7"/>
        <v>0</v>
      </c>
      <c r="T252" s="27" t="str">
        <f t="shared" si="8"/>
        <v/>
      </c>
      <c r="U252" s="1" t="str">
        <f t="array" ref="U252">IFERROR(INDEX('Исходник'!$1:$626,MATCH($A252,'Исходник'!$T:$T,0),MATCH(U$1,'Исходник'!$1:$1,0)))</f>
        <v/>
      </c>
      <c r="V252" s="27" t="str">
        <f t="shared" si="9"/>
        <v/>
      </c>
      <c r="W252" s="1" t="str">
        <f t="array" ref="W252">IFERROR(INDEX('Исходник'!$1:$626,MATCH($A252,'Исходник'!$T:$T,0),MATCH(W$1,'Исходник'!$1:$1,0)))</f>
        <v/>
      </c>
      <c r="X252" s="28">
        <f t="shared" si="10"/>
        <v>0</v>
      </c>
      <c r="Y252" s="1" t="str">
        <f t="array" ref="Y252">IFERROR(INDEX('Исходник'!$1:$626,MATCH($A252,'Исходник'!$T:$T,0),MATCH(Y$1,'Исходник'!$1:$1,0)))</f>
        <v/>
      </c>
      <c r="Z252" s="27">
        <f t="shared" si="11"/>
        <v>0</v>
      </c>
      <c r="AA252" s="27" t="str">
        <f t="shared" si="12"/>
        <v/>
      </c>
      <c r="AB252" s="1" t="str">
        <f t="array" ref="AB252">IFERROR(INDEX('Исходник'!$1:$626,MATCH($A252,'Исходник'!$T:$T,0),MATCH(AB$1,'Исходник'!$1:$1,0)))</f>
        <v/>
      </c>
      <c r="AC252" s="1" t="str">
        <f t="array" ref="AC252">IFERROR(INDEX('Исходник'!$1:$626,MATCH($A252,'Исходник'!$T:$T,0),MATCH(AC$1,'Исходник'!$1:$1,0)))</f>
        <v/>
      </c>
      <c r="AD252" s="27" t="str">
        <f t="shared" si="13"/>
        <v/>
      </c>
      <c r="AE252" s="1" t="str">
        <f t="array" ref="AE252">IFERROR(INDEX('Исходник'!$1:$626,MATCH($A252,'Исходник'!$T:$T,0),MATCH(AE$1,'Исходник'!$1:$1,0)))</f>
        <v/>
      </c>
      <c r="AF252" s="1" t="str">
        <f t="array" ref="AF252">IFERROR(INDEX('Исходник'!$1:$626,MATCH($A252,'Исходник'!$T:$T,0),MATCH(AF$1,'Исходник'!$1:$1,0)))</f>
        <v/>
      </c>
      <c r="AG252" s="27" t="str">
        <f t="shared" si="14"/>
        <v/>
      </c>
      <c r="AH252" s="1" t="str">
        <f t="array" ref="AH252">IFERROR(INDEX('Исходник'!$1:$626,MATCH($A252,'Исходник'!$T:$T,0),MATCH(AH$1,'Исходник'!$1:$1,0)))</f>
        <v/>
      </c>
      <c r="AI252" s="1" t="str">
        <f t="array" ref="AI252">IFERROR(INDEX('Исходник'!$1:$626,MATCH($A252,'Исходник'!$T:$T,0),MATCH(AI$1,'Исходник'!$1:$1,0)))</f>
        <v/>
      </c>
      <c r="AJ252" s="18">
        <f t="shared" si="15"/>
        <v>0</v>
      </c>
    </row>
    <row r="253" ht="15.75" customHeight="1">
      <c r="A253" s="27"/>
      <c r="B253" s="1" t="str">
        <f t="array" ref="B253">IFERROR(INDEX('Исходник'!$1:$626,MATCH($A253,'Исходник'!$T:$T,0),MATCH(B$1,'Исходник'!$1:$1,0)))</f>
        <v/>
      </c>
      <c r="C253" s="1" t="str">
        <f t="array" ref="C253">IFERROR(INDEX('Исходник'!$1:$626,MATCH($A253,'Исходник'!$T:$T,0),MATCH(C$1,'Исходник'!$1:$1,0)))</f>
        <v/>
      </c>
      <c r="D253" s="1" t="str">
        <f t="array" ref="D253">IFERROR(INDEX('Исходник'!$1:$626,MATCH($A253,'Исходник'!$T:$T,0),MATCH(D$1,'Исходник'!$1:$1,0)))</f>
        <v/>
      </c>
      <c r="E253" s="1" t="str">
        <f t="array" ref="E253">IFERROR(INDEX('Исходник'!$1:$626,MATCH($A253,'Исходник'!$T:$T,0),MATCH(E$1,'Исходник'!$1:$1,0)))</f>
        <v/>
      </c>
      <c r="F253" s="1" t="str">
        <f t="array" ref="F253">IFERROR(INDEX('Исходник'!$1:$626,MATCH($A253,'Исходник'!$T:$T,0),MATCH(F$1,'Исходник'!$1:$1,0)))</f>
        <v/>
      </c>
      <c r="G253" s="1" t="str">
        <f t="array" ref="G253">IFERROR(INDEX('Исходник'!$1:$626,MATCH($A253,'Исходник'!$T:$T,0),MATCH(G$1,'Исходник'!$1:$1,0)))</f>
        <v/>
      </c>
      <c r="H253" s="27">
        <f t="shared" si="1"/>
        <v>0</v>
      </c>
      <c r="I253" s="27" t="str">
        <f t="shared" si="2"/>
        <v/>
      </c>
      <c r="J253" s="1" t="str">
        <f t="array" ref="J253">IFERROR(INDEX('Исходник'!$1:$626,MATCH($A253,'Исходник'!$T:$T,0),MATCH(J$1,'Исходник'!$1:$1,0)))</f>
        <v/>
      </c>
      <c r="K253" s="27" t="str">
        <f t="shared" si="3"/>
        <v/>
      </c>
      <c r="L253" s="1" t="str">
        <f t="array" ref="L253">IFERROR(INDEX('Исходник'!$1:$626,MATCH($A253,'Исходник'!$T:$T,0),MATCH(L$1,'Исходник'!$1:$1,0)))</f>
        <v/>
      </c>
      <c r="M253" s="28">
        <f t="shared" si="4"/>
        <v>0</v>
      </c>
      <c r="N253" s="1" t="str">
        <f t="array" ref="N253">IFERROR(INDEX('Исходник'!$1:$626,MATCH($A253,'Исходник'!$T:$T,0),MATCH(N$1,'Исходник'!$1:$1,0)))</f>
        <v/>
      </c>
      <c r="O253" s="27">
        <f t="shared" si="5"/>
        <v>0</v>
      </c>
      <c r="P253" s="27" t="str">
        <f t="shared" si="6"/>
        <v/>
      </c>
      <c r="Q253" s="1" t="str">
        <f t="array" ref="Q253">IFERROR(INDEX('Исходник'!$1:$626,MATCH($A253,'Исходник'!$T:$T,0),MATCH(Q$1,'Исходник'!$1:$1,0)))</f>
        <v/>
      </c>
      <c r="R253" s="1" t="str">
        <f t="array" ref="R253">IFERROR(INDEX('Исходник'!$1:$626,MATCH($A253,'Исходник'!$T:$T,0),MATCH(R$1,'Исходник'!$1:$1,0)))</f>
        <v/>
      </c>
      <c r="S253" s="27">
        <f t="shared" si="7"/>
        <v>0</v>
      </c>
      <c r="T253" s="27" t="str">
        <f t="shared" si="8"/>
        <v/>
      </c>
      <c r="U253" s="1" t="str">
        <f t="array" ref="U253">IFERROR(INDEX('Исходник'!$1:$626,MATCH($A253,'Исходник'!$T:$T,0),MATCH(U$1,'Исходник'!$1:$1,0)))</f>
        <v/>
      </c>
      <c r="V253" s="27" t="str">
        <f t="shared" si="9"/>
        <v/>
      </c>
      <c r="W253" s="1" t="str">
        <f t="array" ref="W253">IFERROR(INDEX('Исходник'!$1:$626,MATCH($A253,'Исходник'!$T:$T,0),MATCH(W$1,'Исходник'!$1:$1,0)))</f>
        <v/>
      </c>
      <c r="X253" s="28">
        <f t="shared" si="10"/>
        <v>0</v>
      </c>
      <c r="Y253" s="1" t="str">
        <f t="array" ref="Y253">IFERROR(INDEX('Исходник'!$1:$626,MATCH($A253,'Исходник'!$T:$T,0),MATCH(Y$1,'Исходник'!$1:$1,0)))</f>
        <v/>
      </c>
      <c r="Z253" s="27">
        <f t="shared" si="11"/>
        <v>0</v>
      </c>
      <c r="AA253" s="27" t="str">
        <f t="shared" si="12"/>
        <v/>
      </c>
      <c r="AB253" s="1" t="str">
        <f t="array" ref="AB253">IFERROR(INDEX('Исходник'!$1:$626,MATCH($A253,'Исходник'!$T:$T,0),MATCH(AB$1,'Исходник'!$1:$1,0)))</f>
        <v/>
      </c>
      <c r="AC253" s="1" t="str">
        <f t="array" ref="AC253">IFERROR(INDEX('Исходник'!$1:$626,MATCH($A253,'Исходник'!$T:$T,0),MATCH(AC$1,'Исходник'!$1:$1,0)))</f>
        <v/>
      </c>
      <c r="AD253" s="27" t="str">
        <f t="shared" si="13"/>
        <v/>
      </c>
      <c r="AE253" s="1" t="str">
        <f t="array" ref="AE253">IFERROR(INDEX('Исходник'!$1:$626,MATCH($A253,'Исходник'!$T:$T,0),MATCH(AE$1,'Исходник'!$1:$1,0)))</f>
        <v/>
      </c>
      <c r="AF253" s="1" t="str">
        <f t="array" ref="AF253">IFERROR(INDEX('Исходник'!$1:$626,MATCH($A253,'Исходник'!$T:$T,0),MATCH(AF$1,'Исходник'!$1:$1,0)))</f>
        <v/>
      </c>
      <c r="AG253" s="27" t="str">
        <f t="shared" si="14"/>
        <v/>
      </c>
      <c r="AH253" s="1" t="str">
        <f t="array" ref="AH253">IFERROR(INDEX('Исходник'!$1:$626,MATCH($A253,'Исходник'!$T:$T,0),MATCH(AH$1,'Исходник'!$1:$1,0)))</f>
        <v/>
      </c>
      <c r="AI253" s="1" t="str">
        <f t="array" ref="AI253">IFERROR(INDEX('Исходник'!$1:$626,MATCH($A253,'Исходник'!$T:$T,0),MATCH(AI$1,'Исходник'!$1:$1,0)))</f>
        <v/>
      </c>
      <c r="AJ253" s="18">
        <f t="shared" si="15"/>
        <v>0</v>
      </c>
    </row>
    <row r="254" ht="15.75" customHeight="1">
      <c r="A254" s="27"/>
      <c r="B254" s="1" t="str">
        <f t="array" ref="B254">IFERROR(INDEX('Исходник'!$1:$626,MATCH($A254,'Исходник'!$T:$T,0),MATCH(B$1,'Исходник'!$1:$1,0)))</f>
        <v/>
      </c>
      <c r="C254" s="1" t="str">
        <f t="array" ref="C254">IFERROR(INDEX('Исходник'!$1:$626,MATCH($A254,'Исходник'!$T:$T,0),MATCH(C$1,'Исходник'!$1:$1,0)))</f>
        <v/>
      </c>
      <c r="D254" s="1" t="str">
        <f t="array" ref="D254">IFERROR(INDEX('Исходник'!$1:$626,MATCH($A254,'Исходник'!$T:$T,0),MATCH(D$1,'Исходник'!$1:$1,0)))</f>
        <v/>
      </c>
      <c r="E254" s="1" t="str">
        <f t="array" ref="E254">IFERROR(INDEX('Исходник'!$1:$626,MATCH($A254,'Исходник'!$T:$T,0),MATCH(E$1,'Исходник'!$1:$1,0)))</f>
        <v/>
      </c>
      <c r="F254" s="1" t="str">
        <f t="array" ref="F254">IFERROR(INDEX('Исходник'!$1:$626,MATCH($A254,'Исходник'!$T:$T,0),MATCH(F$1,'Исходник'!$1:$1,0)))</f>
        <v/>
      </c>
      <c r="G254" s="1" t="str">
        <f t="array" ref="G254">IFERROR(INDEX('Исходник'!$1:$626,MATCH($A254,'Исходник'!$T:$T,0),MATCH(G$1,'Исходник'!$1:$1,0)))</f>
        <v/>
      </c>
      <c r="H254" s="27">
        <f t="shared" si="1"/>
        <v>0</v>
      </c>
      <c r="I254" s="27" t="str">
        <f t="shared" si="2"/>
        <v/>
      </c>
      <c r="J254" s="1" t="str">
        <f t="array" ref="J254">IFERROR(INDEX('Исходник'!$1:$626,MATCH($A254,'Исходник'!$T:$T,0),MATCH(J$1,'Исходник'!$1:$1,0)))</f>
        <v/>
      </c>
      <c r="K254" s="27" t="str">
        <f t="shared" si="3"/>
        <v/>
      </c>
      <c r="L254" s="1" t="str">
        <f t="array" ref="L254">IFERROR(INDEX('Исходник'!$1:$626,MATCH($A254,'Исходник'!$T:$T,0),MATCH(L$1,'Исходник'!$1:$1,0)))</f>
        <v/>
      </c>
      <c r="M254" s="28">
        <f t="shared" si="4"/>
        <v>0</v>
      </c>
      <c r="N254" s="1" t="str">
        <f t="array" ref="N254">IFERROR(INDEX('Исходник'!$1:$626,MATCH($A254,'Исходник'!$T:$T,0),MATCH(N$1,'Исходник'!$1:$1,0)))</f>
        <v/>
      </c>
      <c r="O254" s="27">
        <f t="shared" si="5"/>
        <v>0</v>
      </c>
      <c r="P254" s="27" t="str">
        <f t="shared" si="6"/>
        <v/>
      </c>
      <c r="Q254" s="1" t="str">
        <f t="array" ref="Q254">IFERROR(INDEX('Исходник'!$1:$626,MATCH($A254,'Исходник'!$T:$T,0),MATCH(Q$1,'Исходник'!$1:$1,0)))</f>
        <v/>
      </c>
      <c r="R254" s="1" t="str">
        <f t="array" ref="R254">IFERROR(INDEX('Исходник'!$1:$626,MATCH($A254,'Исходник'!$T:$T,0),MATCH(R$1,'Исходник'!$1:$1,0)))</f>
        <v/>
      </c>
      <c r="S254" s="27">
        <f t="shared" si="7"/>
        <v>0</v>
      </c>
      <c r="T254" s="27" t="str">
        <f t="shared" si="8"/>
        <v/>
      </c>
      <c r="U254" s="1" t="str">
        <f t="array" ref="U254">IFERROR(INDEX('Исходник'!$1:$626,MATCH($A254,'Исходник'!$T:$T,0),MATCH(U$1,'Исходник'!$1:$1,0)))</f>
        <v/>
      </c>
      <c r="V254" s="27" t="str">
        <f t="shared" si="9"/>
        <v/>
      </c>
      <c r="W254" s="1" t="str">
        <f t="array" ref="W254">IFERROR(INDEX('Исходник'!$1:$626,MATCH($A254,'Исходник'!$T:$T,0),MATCH(W$1,'Исходник'!$1:$1,0)))</f>
        <v/>
      </c>
      <c r="X254" s="28">
        <f t="shared" si="10"/>
        <v>0</v>
      </c>
      <c r="Y254" s="1" t="str">
        <f t="array" ref="Y254">IFERROR(INDEX('Исходник'!$1:$626,MATCH($A254,'Исходник'!$T:$T,0),MATCH(Y$1,'Исходник'!$1:$1,0)))</f>
        <v/>
      </c>
      <c r="Z254" s="27">
        <f t="shared" si="11"/>
        <v>0</v>
      </c>
      <c r="AA254" s="27" t="str">
        <f t="shared" si="12"/>
        <v/>
      </c>
      <c r="AB254" s="1" t="str">
        <f t="array" ref="AB254">IFERROR(INDEX('Исходник'!$1:$626,MATCH($A254,'Исходник'!$T:$T,0),MATCH(AB$1,'Исходник'!$1:$1,0)))</f>
        <v/>
      </c>
      <c r="AC254" s="1" t="str">
        <f t="array" ref="AC254">IFERROR(INDEX('Исходник'!$1:$626,MATCH($A254,'Исходник'!$T:$T,0),MATCH(AC$1,'Исходник'!$1:$1,0)))</f>
        <v/>
      </c>
      <c r="AD254" s="27" t="str">
        <f t="shared" si="13"/>
        <v/>
      </c>
      <c r="AE254" s="1" t="str">
        <f t="array" ref="AE254">IFERROR(INDEX('Исходник'!$1:$626,MATCH($A254,'Исходник'!$T:$T,0),MATCH(AE$1,'Исходник'!$1:$1,0)))</f>
        <v/>
      </c>
      <c r="AF254" s="1" t="str">
        <f t="array" ref="AF254">IFERROR(INDEX('Исходник'!$1:$626,MATCH($A254,'Исходник'!$T:$T,0),MATCH(AF$1,'Исходник'!$1:$1,0)))</f>
        <v/>
      </c>
      <c r="AG254" s="27" t="str">
        <f t="shared" si="14"/>
        <v/>
      </c>
      <c r="AH254" s="1" t="str">
        <f t="array" ref="AH254">IFERROR(INDEX('Исходник'!$1:$626,MATCH($A254,'Исходник'!$T:$T,0),MATCH(AH$1,'Исходник'!$1:$1,0)))</f>
        <v/>
      </c>
      <c r="AI254" s="1" t="str">
        <f t="array" ref="AI254">IFERROR(INDEX('Исходник'!$1:$626,MATCH($A254,'Исходник'!$T:$T,0),MATCH(AI$1,'Исходник'!$1:$1,0)))</f>
        <v/>
      </c>
      <c r="AJ254" s="18">
        <f t="shared" si="15"/>
        <v>0</v>
      </c>
    </row>
    <row r="255" ht="15.75" customHeight="1">
      <c r="A255" s="27"/>
      <c r="B255" s="1" t="str">
        <f t="array" ref="B255">IFERROR(INDEX('Исходник'!$1:$626,MATCH($A255,'Исходник'!$T:$T,0),MATCH(B$1,'Исходник'!$1:$1,0)))</f>
        <v/>
      </c>
      <c r="C255" s="1" t="str">
        <f t="array" ref="C255">IFERROR(INDEX('Исходник'!$1:$626,MATCH($A255,'Исходник'!$T:$T,0),MATCH(C$1,'Исходник'!$1:$1,0)))</f>
        <v/>
      </c>
      <c r="D255" s="1" t="str">
        <f t="array" ref="D255">IFERROR(INDEX('Исходник'!$1:$626,MATCH($A255,'Исходник'!$T:$T,0),MATCH(D$1,'Исходник'!$1:$1,0)))</f>
        <v/>
      </c>
      <c r="E255" s="1" t="str">
        <f t="array" ref="E255">IFERROR(INDEX('Исходник'!$1:$626,MATCH($A255,'Исходник'!$T:$T,0),MATCH(E$1,'Исходник'!$1:$1,0)))</f>
        <v/>
      </c>
      <c r="F255" s="1" t="str">
        <f t="array" ref="F255">IFERROR(INDEX('Исходник'!$1:$626,MATCH($A255,'Исходник'!$T:$T,0),MATCH(F$1,'Исходник'!$1:$1,0)))</f>
        <v/>
      </c>
      <c r="G255" s="1" t="str">
        <f t="array" ref="G255">IFERROR(INDEX('Исходник'!$1:$626,MATCH($A255,'Исходник'!$T:$T,0),MATCH(G$1,'Исходник'!$1:$1,0)))</f>
        <v/>
      </c>
      <c r="H255" s="27">
        <f t="shared" si="1"/>
        <v>0</v>
      </c>
      <c r="I255" s="27" t="str">
        <f t="shared" si="2"/>
        <v/>
      </c>
      <c r="J255" s="1" t="str">
        <f t="array" ref="J255">IFERROR(INDEX('Исходник'!$1:$626,MATCH($A255,'Исходник'!$T:$T,0),MATCH(J$1,'Исходник'!$1:$1,0)))</f>
        <v/>
      </c>
      <c r="K255" s="27" t="str">
        <f t="shared" si="3"/>
        <v/>
      </c>
      <c r="L255" s="1" t="str">
        <f t="array" ref="L255">IFERROR(INDEX('Исходник'!$1:$626,MATCH($A255,'Исходник'!$T:$T,0),MATCH(L$1,'Исходник'!$1:$1,0)))</f>
        <v/>
      </c>
      <c r="M255" s="28">
        <f t="shared" si="4"/>
        <v>0</v>
      </c>
      <c r="N255" s="1" t="str">
        <f t="array" ref="N255">IFERROR(INDEX('Исходник'!$1:$626,MATCH($A255,'Исходник'!$T:$T,0),MATCH(N$1,'Исходник'!$1:$1,0)))</f>
        <v/>
      </c>
      <c r="O255" s="27">
        <f t="shared" si="5"/>
        <v>0</v>
      </c>
      <c r="P255" s="27" t="str">
        <f t="shared" si="6"/>
        <v/>
      </c>
      <c r="Q255" s="1" t="str">
        <f t="array" ref="Q255">IFERROR(INDEX('Исходник'!$1:$626,MATCH($A255,'Исходник'!$T:$T,0),MATCH(Q$1,'Исходник'!$1:$1,0)))</f>
        <v/>
      </c>
      <c r="R255" s="1" t="str">
        <f t="array" ref="R255">IFERROR(INDEX('Исходник'!$1:$626,MATCH($A255,'Исходник'!$T:$T,0),MATCH(R$1,'Исходник'!$1:$1,0)))</f>
        <v/>
      </c>
      <c r="S255" s="27">
        <f t="shared" si="7"/>
        <v>0</v>
      </c>
      <c r="T255" s="27" t="str">
        <f t="shared" si="8"/>
        <v/>
      </c>
      <c r="U255" s="1" t="str">
        <f t="array" ref="U255">IFERROR(INDEX('Исходник'!$1:$626,MATCH($A255,'Исходник'!$T:$T,0),MATCH(U$1,'Исходник'!$1:$1,0)))</f>
        <v/>
      </c>
      <c r="V255" s="27" t="str">
        <f t="shared" si="9"/>
        <v/>
      </c>
      <c r="W255" s="1" t="str">
        <f t="array" ref="W255">IFERROR(INDEX('Исходник'!$1:$626,MATCH($A255,'Исходник'!$T:$T,0),MATCH(W$1,'Исходник'!$1:$1,0)))</f>
        <v/>
      </c>
      <c r="X255" s="28">
        <f t="shared" si="10"/>
        <v>0</v>
      </c>
      <c r="Y255" s="1" t="str">
        <f t="array" ref="Y255">IFERROR(INDEX('Исходник'!$1:$626,MATCH($A255,'Исходник'!$T:$T,0),MATCH(Y$1,'Исходник'!$1:$1,0)))</f>
        <v/>
      </c>
      <c r="Z255" s="27">
        <f t="shared" si="11"/>
        <v>0</v>
      </c>
      <c r="AA255" s="27" t="str">
        <f t="shared" si="12"/>
        <v/>
      </c>
      <c r="AB255" s="1" t="str">
        <f t="array" ref="AB255">IFERROR(INDEX('Исходник'!$1:$626,MATCH($A255,'Исходник'!$T:$T,0),MATCH(AB$1,'Исходник'!$1:$1,0)))</f>
        <v/>
      </c>
      <c r="AC255" s="1" t="str">
        <f t="array" ref="AC255">IFERROR(INDEX('Исходник'!$1:$626,MATCH($A255,'Исходник'!$T:$T,0),MATCH(AC$1,'Исходник'!$1:$1,0)))</f>
        <v/>
      </c>
      <c r="AD255" s="27" t="str">
        <f t="shared" si="13"/>
        <v/>
      </c>
      <c r="AE255" s="1" t="str">
        <f t="array" ref="AE255">IFERROR(INDEX('Исходник'!$1:$626,MATCH($A255,'Исходник'!$T:$T,0),MATCH(AE$1,'Исходник'!$1:$1,0)))</f>
        <v/>
      </c>
      <c r="AF255" s="1" t="str">
        <f t="array" ref="AF255">IFERROR(INDEX('Исходник'!$1:$626,MATCH($A255,'Исходник'!$T:$T,0),MATCH(AF$1,'Исходник'!$1:$1,0)))</f>
        <v/>
      </c>
      <c r="AG255" s="27" t="str">
        <f t="shared" si="14"/>
        <v/>
      </c>
      <c r="AH255" s="1" t="str">
        <f t="array" ref="AH255">IFERROR(INDEX('Исходник'!$1:$626,MATCH($A255,'Исходник'!$T:$T,0),MATCH(AH$1,'Исходник'!$1:$1,0)))</f>
        <v/>
      </c>
      <c r="AI255" s="1" t="str">
        <f t="array" ref="AI255">IFERROR(INDEX('Исходник'!$1:$626,MATCH($A255,'Исходник'!$T:$T,0),MATCH(AI$1,'Исходник'!$1:$1,0)))</f>
        <v/>
      </c>
      <c r="AJ255" s="18">
        <f t="shared" si="15"/>
        <v>0</v>
      </c>
    </row>
    <row r="256" ht="15.75" customHeight="1">
      <c r="A256" s="27"/>
      <c r="B256" s="1" t="str">
        <f t="array" ref="B256">IFERROR(INDEX('Исходник'!$1:$626,MATCH($A256,'Исходник'!$T:$T,0),MATCH(B$1,'Исходник'!$1:$1,0)))</f>
        <v/>
      </c>
      <c r="C256" s="1" t="str">
        <f t="array" ref="C256">IFERROR(INDEX('Исходник'!$1:$626,MATCH($A256,'Исходник'!$T:$T,0),MATCH(C$1,'Исходник'!$1:$1,0)))</f>
        <v/>
      </c>
      <c r="D256" s="1" t="str">
        <f t="array" ref="D256">IFERROR(INDEX('Исходник'!$1:$626,MATCH($A256,'Исходник'!$T:$T,0),MATCH(D$1,'Исходник'!$1:$1,0)))</f>
        <v/>
      </c>
      <c r="E256" s="1" t="str">
        <f t="array" ref="E256">IFERROR(INDEX('Исходник'!$1:$626,MATCH($A256,'Исходник'!$T:$T,0),MATCH(E$1,'Исходник'!$1:$1,0)))</f>
        <v/>
      </c>
      <c r="F256" s="1" t="str">
        <f t="array" ref="F256">IFERROR(INDEX('Исходник'!$1:$626,MATCH($A256,'Исходник'!$T:$T,0),MATCH(F$1,'Исходник'!$1:$1,0)))</f>
        <v/>
      </c>
      <c r="G256" s="1" t="str">
        <f t="array" ref="G256">IFERROR(INDEX('Исходник'!$1:$626,MATCH($A256,'Исходник'!$T:$T,0),MATCH(G$1,'Исходник'!$1:$1,0)))</f>
        <v/>
      </c>
      <c r="H256" s="27">
        <f t="shared" si="1"/>
        <v>0</v>
      </c>
      <c r="I256" s="27" t="str">
        <f t="shared" si="2"/>
        <v/>
      </c>
      <c r="J256" s="1" t="str">
        <f t="array" ref="J256">IFERROR(INDEX('Исходник'!$1:$626,MATCH($A256,'Исходник'!$T:$T,0),MATCH(J$1,'Исходник'!$1:$1,0)))</f>
        <v/>
      </c>
      <c r="K256" s="27" t="str">
        <f t="shared" si="3"/>
        <v/>
      </c>
      <c r="L256" s="1" t="str">
        <f t="array" ref="L256">IFERROR(INDEX('Исходник'!$1:$626,MATCH($A256,'Исходник'!$T:$T,0),MATCH(L$1,'Исходник'!$1:$1,0)))</f>
        <v/>
      </c>
      <c r="M256" s="28">
        <f t="shared" si="4"/>
        <v>0</v>
      </c>
      <c r="N256" s="1" t="str">
        <f t="array" ref="N256">IFERROR(INDEX('Исходник'!$1:$626,MATCH($A256,'Исходник'!$T:$T,0),MATCH(N$1,'Исходник'!$1:$1,0)))</f>
        <v/>
      </c>
      <c r="O256" s="27">
        <f t="shared" si="5"/>
        <v>0</v>
      </c>
      <c r="P256" s="27" t="str">
        <f t="shared" si="6"/>
        <v/>
      </c>
      <c r="Q256" s="1" t="str">
        <f t="array" ref="Q256">IFERROR(INDEX('Исходник'!$1:$626,MATCH($A256,'Исходник'!$T:$T,0),MATCH(Q$1,'Исходник'!$1:$1,0)))</f>
        <v/>
      </c>
      <c r="R256" s="1" t="str">
        <f t="array" ref="R256">IFERROR(INDEX('Исходник'!$1:$626,MATCH($A256,'Исходник'!$T:$T,0),MATCH(R$1,'Исходник'!$1:$1,0)))</f>
        <v/>
      </c>
      <c r="S256" s="27">
        <f t="shared" si="7"/>
        <v>0</v>
      </c>
      <c r="T256" s="27" t="str">
        <f t="shared" si="8"/>
        <v/>
      </c>
      <c r="U256" s="1" t="str">
        <f t="array" ref="U256">IFERROR(INDEX('Исходник'!$1:$626,MATCH($A256,'Исходник'!$T:$T,0),MATCH(U$1,'Исходник'!$1:$1,0)))</f>
        <v/>
      </c>
      <c r="V256" s="27" t="str">
        <f t="shared" si="9"/>
        <v/>
      </c>
      <c r="W256" s="1" t="str">
        <f t="array" ref="W256">IFERROR(INDEX('Исходник'!$1:$626,MATCH($A256,'Исходник'!$T:$T,0),MATCH(W$1,'Исходник'!$1:$1,0)))</f>
        <v/>
      </c>
      <c r="X256" s="28">
        <f t="shared" si="10"/>
        <v>0</v>
      </c>
      <c r="Y256" s="1" t="str">
        <f t="array" ref="Y256">IFERROR(INDEX('Исходник'!$1:$626,MATCH($A256,'Исходник'!$T:$T,0),MATCH(Y$1,'Исходник'!$1:$1,0)))</f>
        <v/>
      </c>
      <c r="Z256" s="27">
        <f t="shared" si="11"/>
        <v>0</v>
      </c>
      <c r="AA256" s="27" t="str">
        <f t="shared" si="12"/>
        <v/>
      </c>
      <c r="AB256" s="1" t="str">
        <f t="array" ref="AB256">IFERROR(INDEX('Исходник'!$1:$626,MATCH($A256,'Исходник'!$T:$T,0),MATCH(AB$1,'Исходник'!$1:$1,0)))</f>
        <v/>
      </c>
      <c r="AC256" s="1" t="str">
        <f t="array" ref="AC256">IFERROR(INDEX('Исходник'!$1:$626,MATCH($A256,'Исходник'!$T:$T,0),MATCH(AC$1,'Исходник'!$1:$1,0)))</f>
        <v/>
      </c>
      <c r="AD256" s="27" t="str">
        <f t="shared" si="13"/>
        <v/>
      </c>
      <c r="AE256" s="1" t="str">
        <f t="array" ref="AE256">IFERROR(INDEX('Исходник'!$1:$626,MATCH($A256,'Исходник'!$T:$T,0),MATCH(AE$1,'Исходник'!$1:$1,0)))</f>
        <v/>
      </c>
      <c r="AF256" s="1" t="str">
        <f t="array" ref="AF256">IFERROR(INDEX('Исходник'!$1:$626,MATCH($A256,'Исходник'!$T:$T,0),MATCH(AF$1,'Исходник'!$1:$1,0)))</f>
        <v/>
      </c>
      <c r="AG256" s="27" t="str">
        <f t="shared" si="14"/>
        <v/>
      </c>
      <c r="AH256" s="1" t="str">
        <f t="array" ref="AH256">IFERROR(INDEX('Исходник'!$1:$626,MATCH($A256,'Исходник'!$T:$T,0),MATCH(AH$1,'Исходник'!$1:$1,0)))</f>
        <v/>
      </c>
      <c r="AI256" s="1" t="str">
        <f t="array" ref="AI256">IFERROR(INDEX('Исходник'!$1:$626,MATCH($A256,'Исходник'!$T:$T,0),MATCH(AI$1,'Исходник'!$1:$1,0)))</f>
        <v/>
      </c>
      <c r="AJ256" s="18">
        <f t="shared" si="15"/>
        <v>0</v>
      </c>
    </row>
    <row r="257" ht="15.75" customHeight="1">
      <c r="A257" s="27"/>
      <c r="B257" s="1" t="str">
        <f t="array" ref="B257">IFERROR(INDEX('Исходник'!$1:$626,MATCH($A257,'Исходник'!$T:$T,0),MATCH(B$1,'Исходник'!$1:$1,0)))</f>
        <v/>
      </c>
      <c r="C257" s="1" t="str">
        <f t="array" ref="C257">IFERROR(INDEX('Исходник'!$1:$626,MATCH($A257,'Исходник'!$T:$T,0),MATCH(C$1,'Исходник'!$1:$1,0)))</f>
        <v/>
      </c>
      <c r="D257" s="1" t="str">
        <f t="array" ref="D257">IFERROR(INDEX('Исходник'!$1:$626,MATCH($A257,'Исходник'!$T:$T,0),MATCH(D$1,'Исходник'!$1:$1,0)))</f>
        <v/>
      </c>
      <c r="E257" s="1" t="str">
        <f t="array" ref="E257">IFERROR(INDEX('Исходник'!$1:$626,MATCH($A257,'Исходник'!$T:$T,0),MATCH(E$1,'Исходник'!$1:$1,0)))</f>
        <v/>
      </c>
      <c r="F257" s="1" t="str">
        <f t="array" ref="F257">IFERROR(INDEX('Исходник'!$1:$626,MATCH($A257,'Исходник'!$T:$T,0),MATCH(F$1,'Исходник'!$1:$1,0)))</f>
        <v/>
      </c>
      <c r="G257" s="1" t="str">
        <f t="array" ref="G257">IFERROR(INDEX('Исходник'!$1:$626,MATCH($A257,'Исходник'!$T:$T,0),MATCH(G$1,'Исходник'!$1:$1,0)))</f>
        <v/>
      </c>
      <c r="H257" s="27">
        <f t="shared" si="1"/>
        <v>0</v>
      </c>
      <c r="I257" s="27" t="str">
        <f t="shared" si="2"/>
        <v/>
      </c>
      <c r="J257" s="1" t="str">
        <f t="array" ref="J257">IFERROR(INDEX('Исходник'!$1:$626,MATCH($A257,'Исходник'!$T:$T,0),MATCH(J$1,'Исходник'!$1:$1,0)))</f>
        <v/>
      </c>
      <c r="K257" s="27" t="str">
        <f t="shared" si="3"/>
        <v/>
      </c>
      <c r="L257" s="1" t="str">
        <f t="array" ref="L257">IFERROR(INDEX('Исходник'!$1:$626,MATCH($A257,'Исходник'!$T:$T,0),MATCH(L$1,'Исходник'!$1:$1,0)))</f>
        <v/>
      </c>
      <c r="M257" s="28">
        <f t="shared" si="4"/>
        <v>0</v>
      </c>
      <c r="N257" s="1" t="str">
        <f t="array" ref="N257">IFERROR(INDEX('Исходник'!$1:$626,MATCH($A257,'Исходник'!$T:$T,0),MATCH(N$1,'Исходник'!$1:$1,0)))</f>
        <v/>
      </c>
      <c r="O257" s="27">
        <f t="shared" si="5"/>
        <v>0</v>
      </c>
      <c r="P257" s="27" t="str">
        <f t="shared" si="6"/>
        <v/>
      </c>
      <c r="Q257" s="1" t="str">
        <f t="array" ref="Q257">IFERROR(INDEX('Исходник'!$1:$626,MATCH($A257,'Исходник'!$T:$T,0),MATCH(Q$1,'Исходник'!$1:$1,0)))</f>
        <v/>
      </c>
      <c r="R257" s="1" t="str">
        <f t="array" ref="R257">IFERROR(INDEX('Исходник'!$1:$626,MATCH($A257,'Исходник'!$T:$T,0),MATCH(R$1,'Исходник'!$1:$1,0)))</f>
        <v/>
      </c>
      <c r="S257" s="27">
        <f t="shared" si="7"/>
        <v>0</v>
      </c>
      <c r="T257" s="27" t="str">
        <f t="shared" si="8"/>
        <v/>
      </c>
      <c r="U257" s="1" t="str">
        <f t="array" ref="U257">IFERROR(INDEX('Исходник'!$1:$626,MATCH($A257,'Исходник'!$T:$T,0),MATCH(U$1,'Исходник'!$1:$1,0)))</f>
        <v/>
      </c>
      <c r="V257" s="27" t="str">
        <f t="shared" si="9"/>
        <v/>
      </c>
      <c r="W257" s="1" t="str">
        <f t="array" ref="W257">IFERROR(INDEX('Исходник'!$1:$626,MATCH($A257,'Исходник'!$T:$T,0),MATCH(W$1,'Исходник'!$1:$1,0)))</f>
        <v/>
      </c>
      <c r="X257" s="28">
        <f t="shared" si="10"/>
        <v>0</v>
      </c>
      <c r="Y257" s="1" t="str">
        <f t="array" ref="Y257">IFERROR(INDEX('Исходник'!$1:$626,MATCH($A257,'Исходник'!$T:$T,0),MATCH(Y$1,'Исходник'!$1:$1,0)))</f>
        <v/>
      </c>
      <c r="Z257" s="27">
        <f t="shared" si="11"/>
        <v>0</v>
      </c>
      <c r="AA257" s="27" t="str">
        <f t="shared" si="12"/>
        <v/>
      </c>
      <c r="AB257" s="1" t="str">
        <f t="array" ref="AB257">IFERROR(INDEX('Исходник'!$1:$626,MATCH($A257,'Исходник'!$T:$T,0),MATCH(AB$1,'Исходник'!$1:$1,0)))</f>
        <v/>
      </c>
      <c r="AC257" s="1" t="str">
        <f t="array" ref="AC257">IFERROR(INDEX('Исходник'!$1:$626,MATCH($A257,'Исходник'!$T:$T,0),MATCH(AC$1,'Исходник'!$1:$1,0)))</f>
        <v/>
      </c>
      <c r="AD257" s="27" t="str">
        <f t="shared" si="13"/>
        <v/>
      </c>
      <c r="AE257" s="1" t="str">
        <f t="array" ref="AE257">IFERROR(INDEX('Исходник'!$1:$626,MATCH($A257,'Исходник'!$T:$T,0),MATCH(AE$1,'Исходник'!$1:$1,0)))</f>
        <v/>
      </c>
      <c r="AF257" s="1" t="str">
        <f t="array" ref="AF257">IFERROR(INDEX('Исходник'!$1:$626,MATCH($A257,'Исходник'!$T:$T,0),MATCH(AF$1,'Исходник'!$1:$1,0)))</f>
        <v/>
      </c>
      <c r="AG257" s="27" t="str">
        <f t="shared" si="14"/>
        <v/>
      </c>
      <c r="AH257" s="1" t="str">
        <f t="array" ref="AH257">IFERROR(INDEX('Исходник'!$1:$626,MATCH($A257,'Исходник'!$T:$T,0),MATCH(AH$1,'Исходник'!$1:$1,0)))</f>
        <v/>
      </c>
      <c r="AI257" s="1" t="str">
        <f t="array" ref="AI257">IFERROR(INDEX('Исходник'!$1:$626,MATCH($A257,'Исходник'!$T:$T,0),MATCH(AI$1,'Исходник'!$1:$1,0)))</f>
        <v/>
      </c>
      <c r="AJ257" s="18">
        <f t="shared" si="15"/>
        <v>0</v>
      </c>
    </row>
    <row r="258" ht="15.75" customHeight="1">
      <c r="A258" s="27"/>
      <c r="B258" s="1" t="str">
        <f t="array" ref="B258">IFERROR(INDEX('Исходник'!$1:$626,MATCH($A258,'Исходник'!$T:$T,0),MATCH(B$1,'Исходник'!$1:$1,0)))</f>
        <v/>
      </c>
      <c r="C258" s="1" t="str">
        <f t="array" ref="C258">IFERROR(INDEX('Исходник'!$1:$626,MATCH($A258,'Исходник'!$T:$T,0),MATCH(C$1,'Исходник'!$1:$1,0)))</f>
        <v/>
      </c>
      <c r="D258" s="1" t="str">
        <f t="array" ref="D258">IFERROR(INDEX('Исходник'!$1:$626,MATCH($A258,'Исходник'!$T:$T,0),MATCH(D$1,'Исходник'!$1:$1,0)))</f>
        <v/>
      </c>
      <c r="E258" s="1" t="str">
        <f t="array" ref="E258">IFERROR(INDEX('Исходник'!$1:$626,MATCH($A258,'Исходник'!$T:$T,0),MATCH(E$1,'Исходник'!$1:$1,0)))</f>
        <v/>
      </c>
      <c r="F258" s="1" t="str">
        <f t="array" ref="F258">IFERROR(INDEX('Исходник'!$1:$626,MATCH($A258,'Исходник'!$T:$T,0),MATCH(F$1,'Исходник'!$1:$1,0)))</f>
        <v/>
      </c>
      <c r="G258" s="1" t="str">
        <f t="array" ref="G258">IFERROR(INDEX('Исходник'!$1:$626,MATCH($A258,'Исходник'!$T:$T,0),MATCH(G$1,'Исходник'!$1:$1,0)))</f>
        <v/>
      </c>
      <c r="H258" s="27">
        <f t="shared" si="1"/>
        <v>0</v>
      </c>
      <c r="I258" s="27" t="str">
        <f t="shared" si="2"/>
        <v/>
      </c>
      <c r="J258" s="1" t="str">
        <f t="array" ref="J258">IFERROR(INDEX('Исходник'!$1:$626,MATCH($A258,'Исходник'!$T:$T,0),MATCH(J$1,'Исходник'!$1:$1,0)))</f>
        <v/>
      </c>
      <c r="K258" s="27" t="str">
        <f t="shared" si="3"/>
        <v/>
      </c>
      <c r="L258" s="1" t="str">
        <f t="array" ref="L258">IFERROR(INDEX('Исходник'!$1:$626,MATCH($A258,'Исходник'!$T:$T,0),MATCH(L$1,'Исходник'!$1:$1,0)))</f>
        <v/>
      </c>
      <c r="M258" s="28">
        <f t="shared" si="4"/>
        <v>0</v>
      </c>
      <c r="N258" s="1" t="str">
        <f t="array" ref="N258">IFERROR(INDEX('Исходник'!$1:$626,MATCH($A258,'Исходник'!$T:$T,0),MATCH(N$1,'Исходник'!$1:$1,0)))</f>
        <v/>
      </c>
      <c r="O258" s="27">
        <f t="shared" si="5"/>
        <v>0</v>
      </c>
      <c r="P258" s="27" t="str">
        <f t="shared" si="6"/>
        <v/>
      </c>
      <c r="Q258" s="1" t="str">
        <f t="array" ref="Q258">IFERROR(INDEX('Исходник'!$1:$626,MATCH($A258,'Исходник'!$T:$T,0),MATCH(Q$1,'Исходник'!$1:$1,0)))</f>
        <v/>
      </c>
      <c r="R258" s="1" t="str">
        <f t="array" ref="R258">IFERROR(INDEX('Исходник'!$1:$626,MATCH($A258,'Исходник'!$T:$T,0),MATCH(R$1,'Исходник'!$1:$1,0)))</f>
        <v/>
      </c>
      <c r="S258" s="27">
        <f t="shared" si="7"/>
        <v>0</v>
      </c>
      <c r="T258" s="27" t="str">
        <f t="shared" si="8"/>
        <v/>
      </c>
      <c r="U258" s="1" t="str">
        <f t="array" ref="U258">IFERROR(INDEX('Исходник'!$1:$626,MATCH($A258,'Исходник'!$T:$T,0),MATCH(U$1,'Исходник'!$1:$1,0)))</f>
        <v/>
      </c>
      <c r="V258" s="27" t="str">
        <f t="shared" si="9"/>
        <v/>
      </c>
      <c r="W258" s="1" t="str">
        <f t="array" ref="W258">IFERROR(INDEX('Исходник'!$1:$626,MATCH($A258,'Исходник'!$T:$T,0),MATCH(W$1,'Исходник'!$1:$1,0)))</f>
        <v/>
      </c>
      <c r="X258" s="28">
        <f t="shared" si="10"/>
        <v>0</v>
      </c>
      <c r="Y258" s="1" t="str">
        <f t="array" ref="Y258">IFERROR(INDEX('Исходник'!$1:$626,MATCH($A258,'Исходник'!$T:$T,0),MATCH(Y$1,'Исходник'!$1:$1,0)))</f>
        <v/>
      </c>
      <c r="Z258" s="27">
        <f t="shared" si="11"/>
        <v>0</v>
      </c>
      <c r="AA258" s="27" t="str">
        <f t="shared" si="12"/>
        <v/>
      </c>
      <c r="AB258" s="1" t="str">
        <f t="array" ref="AB258">IFERROR(INDEX('Исходник'!$1:$626,MATCH($A258,'Исходник'!$T:$T,0),MATCH(AB$1,'Исходник'!$1:$1,0)))</f>
        <v/>
      </c>
      <c r="AC258" s="1" t="str">
        <f t="array" ref="AC258">IFERROR(INDEX('Исходник'!$1:$626,MATCH($A258,'Исходник'!$T:$T,0),MATCH(AC$1,'Исходник'!$1:$1,0)))</f>
        <v/>
      </c>
      <c r="AD258" s="27" t="str">
        <f t="shared" si="13"/>
        <v/>
      </c>
      <c r="AE258" s="1" t="str">
        <f t="array" ref="AE258">IFERROR(INDEX('Исходник'!$1:$626,MATCH($A258,'Исходник'!$T:$T,0),MATCH(AE$1,'Исходник'!$1:$1,0)))</f>
        <v/>
      </c>
      <c r="AF258" s="1" t="str">
        <f t="array" ref="AF258">IFERROR(INDEX('Исходник'!$1:$626,MATCH($A258,'Исходник'!$T:$T,0),MATCH(AF$1,'Исходник'!$1:$1,0)))</f>
        <v/>
      </c>
      <c r="AG258" s="27" t="str">
        <f t="shared" si="14"/>
        <v/>
      </c>
      <c r="AH258" s="1" t="str">
        <f t="array" ref="AH258">IFERROR(INDEX('Исходник'!$1:$626,MATCH($A258,'Исходник'!$T:$T,0),MATCH(AH$1,'Исходник'!$1:$1,0)))</f>
        <v/>
      </c>
      <c r="AI258" s="1" t="str">
        <f t="array" ref="AI258">IFERROR(INDEX('Исходник'!$1:$626,MATCH($A258,'Исходник'!$T:$T,0),MATCH(AI$1,'Исходник'!$1:$1,0)))</f>
        <v/>
      </c>
      <c r="AJ258" s="18">
        <f t="shared" si="15"/>
        <v>0</v>
      </c>
    </row>
    <row r="259" ht="15.75" customHeight="1">
      <c r="A259" s="27"/>
      <c r="B259" s="1" t="str">
        <f t="array" ref="B259">IFERROR(INDEX('Исходник'!$1:$626,MATCH($A259,'Исходник'!$T:$T,0),MATCH(B$1,'Исходник'!$1:$1,0)))</f>
        <v/>
      </c>
      <c r="C259" s="1" t="str">
        <f t="array" ref="C259">IFERROR(INDEX('Исходник'!$1:$626,MATCH($A259,'Исходник'!$T:$T,0),MATCH(C$1,'Исходник'!$1:$1,0)))</f>
        <v/>
      </c>
      <c r="D259" s="1" t="str">
        <f t="array" ref="D259">IFERROR(INDEX('Исходник'!$1:$626,MATCH($A259,'Исходник'!$T:$T,0),MATCH(D$1,'Исходник'!$1:$1,0)))</f>
        <v/>
      </c>
      <c r="E259" s="1" t="str">
        <f t="array" ref="E259">IFERROR(INDEX('Исходник'!$1:$626,MATCH($A259,'Исходник'!$T:$T,0),MATCH(E$1,'Исходник'!$1:$1,0)))</f>
        <v/>
      </c>
      <c r="F259" s="1" t="str">
        <f t="array" ref="F259">IFERROR(INDEX('Исходник'!$1:$626,MATCH($A259,'Исходник'!$T:$T,0),MATCH(F$1,'Исходник'!$1:$1,0)))</f>
        <v/>
      </c>
      <c r="G259" s="1" t="str">
        <f t="array" ref="G259">IFERROR(INDEX('Исходник'!$1:$626,MATCH($A259,'Исходник'!$T:$T,0),MATCH(G$1,'Исходник'!$1:$1,0)))</f>
        <v/>
      </c>
      <c r="H259" s="27">
        <f t="shared" si="1"/>
        <v>0</v>
      </c>
      <c r="I259" s="27" t="str">
        <f t="shared" si="2"/>
        <v/>
      </c>
      <c r="J259" s="1" t="str">
        <f t="array" ref="J259">IFERROR(INDEX('Исходник'!$1:$626,MATCH($A259,'Исходник'!$T:$T,0),MATCH(J$1,'Исходник'!$1:$1,0)))</f>
        <v/>
      </c>
      <c r="K259" s="27" t="str">
        <f t="shared" si="3"/>
        <v/>
      </c>
      <c r="L259" s="1" t="str">
        <f t="array" ref="L259">IFERROR(INDEX('Исходник'!$1:$626,MATCH($A259,'Исходник'!$T:$T,0),MATCH(L$1,'Исходник'!$1:$1,0)))</f>
        <v/>
      </c>
      <c r="M259" s="28">
        <f t="shared" si="4"/>
        <v>0</v>
      </c>
      <c r="N259" s="1" t="str">
        <f t="array" ref="N259">IFERROR(INDEX('Исходник'!$1:$626,MATCH($A259,'Исходник'!$T:$T,0),MATCH(N$1,'Исходник'!$1:$1,0)))</f>
        <v/>
      </c>
      <c r="O259" s="27">
        <f t="shared" si="5"/>
        <v>0</v>
      </c>
      <c r="P259" s="27" t="str">
        <f t="shared" si="6"/>
        <v/>
      </c>
      <c r="Q259" s="1" t="str">
        <f t="array" ref="Q259">IFERROR(INDEX('Исходник'!$1:$626,MATCH($A259,'Исходник'!$T:$T,0),MATCH(Q$1,'Исходник'!$1:$1,0)))</f>
        <v/>
      </c>
      <c r="R259" s="1" t="str">
        <f t="array" ref="R259">IFERROR(INDEX('Исходник'!$1:$626,MATCH($A259,'Исходник'!$T:$T,0),MATCH(R$1,'Исходник'!$1:$1,0)))</f>
        <v/>
      </c>
      <c r="S259" s="27">
        <f t="shared" si="7"/>
        <v>0</v>
      </c>
      <c r="T259" s="27" t="str">
        <f t="shared" si="8"/>
        <v/>
      </c>
      <c r="U259" s="1" t="str">
        <f t="array" ref="U259">IFERROR(INDEX('Исходник'!$1:$626,MATCH($A259,'Исходник'!$T:$T,0),MATCH(U$1,'Исходник'!$1:$1,0)))</f>
        <v/>
      </c>
      <c r="V259" s="27" t="str">
        <f t="shared" si="9"/>
        <v/>
      </c>
      <c r="W259" s="1" t="str">
        <f t="array" ref="W259">IFERROR(INDEX('Исходник'!$1:$626,MATCH($A259,'Исходник'!$T:$T,0),MATCH(W$1,'Исходник'!$1:$1,0)))</f>
        <v/>
      </c>
      <c r="X259" s="28">
        <f t="shared" si="10"/>
        <v>0</v>
      </c>
      <c r="Y259" s="1" t="str">
        <f t="array" ref="Y259">IFERROR(INDEX('Исходник'!$1:$626,MATCH($A259,'Исходник'!$T:$T,0),MATCH(Y$1,'Исходник'!$1:$1,0)))</f>
        <v/>
      </c>
      <c r="Z259" s="27">
        <f t="shared" si="11"/>
        <v>0</v>
      </c>
      <c r="AA259" s="27" t="str">
        <f t="shared" si="12"/>
        <v/>
      </c>
      <c r="AB259" s="1" t="str">
        <f t="array" ref="AB259">IFERROR(INDEX('Исходник'!$1:$626,MATCH($A259,'Исходник'!$T:$T,0),MATCH(AB$1,'Исходник'!$1:$1,0)))</f>
        <v/>
      </c>
      <c r="AC259" s="1" t="str">
        <f t="array" ref="AC259">IFERROR(INDEX('Исходник'!$1:$626,MATCH($A259,'Исходник'!$T:$T,0),MATCH(AC$1,'Исходник'!$1:$1,0)))</f>
        <v/>
      </c>
      <c r="AD259" s="27" t="str">
        <f t="shared" si="13"/>
        <v/>
      </c>
      <c r="AE259" s="1" t="str">
        <f t="array" ref="AE259">IFERROR(INDEX('Исходник'!$1:$626,MATCH($A259,'Исходник'!$T:$T,0),MATCH(AE$1,'Исходник'!$1:$1,0)))</f>
        <v/>
      </c>
      <c r="AF259" s="1" t="str">
        <f t="array" ref="AF259">IFERROR(INDEX('Исходник'!$1:$626,MATCH($A259,'Исходник'!$T:$T,0),MATCH(AF$1,'Исходник'!$1:$1,0)))</f>
        <v/>
      </c>
      <c r="AG259" s="27" t="str">
        <f t="shared" si="14"/>
        <v/>
      </c>
      <c r="AH259" s="1" t="str">
        <f t="array" ref="AH259">IFERROR(INDEX('Исходник'!$1:$626,MATCH($A259,'Исходник'!$T:$T,0),MATCH(AH$1,'Исходник'!$1:$1,0)))</f>
        <v/>
      </c>
      <c r="AI259" s="1" t="str">
        <f t="array" ref="AI259">IFERROR(INDEX('Исходник'!$1:$626,MATCH($A259,'Исходник'!$T:$T,0),MATCH(AI$1,'Исходник'!$1:$1,0)))</f>
        <v/>
      </c>
      <c r="AJ259" s="18">
        <f t="shared" si="15"/>
        <v>0</v>
      </c>
    </row>
    <row r="260" ht="15.75" customHeight="1">
      <c r="A260" s="27"/>
      <c r="B260" s="1" t="str">
        <f t="array" ref="B260">IFERROR(INDEX('Исходник'!$1:$626,MATCH($A260,'Исходник'!$T:$T,0),MATCH(B$1,'Исходник'!$1:$1,0)))</f>
        <v/>
      </c>
      <c r="C260" s="1" t="str">
        <f t="array" ref="C260">IFERROR(INDEX('Исходник'!$1:$626,MATCH($A260,'Исходник'!$T:$T,0),MATCH(C$1,'Исходник'!$1:$1,0)))</f>
        <v/>
      </c>
      <c r="D260" s="1" t="str">
        <f t="array" ref="D260">IFERROR(INDEX('Исходник'!$1:$626,MATCH($A260,'Исходник'!$T:$T,0),MATCH(D$1,'Исходник'!$1:$1,0)))</f>
        <v/>
      </c>
      <c r="E260" s="1" t="str">
        <f t="array" ref="E260">IFERROR(INDEX('Исходник'!$1:$626,MATCH($A260,'Исходник'!$T:$T,0),MATCH(E$1,'Исходник'!$1:$1,0)))</f>
        <v/>
      </c>
      <c r="F260" s="1" t="str">
        <f t="array" ref="F260">IFERROR(INDEX('Исходник'!$1:$626,MATCH($A260,'Исходник'!$T:$T,0),MATCH(F$1,'Исходник'!$1:$1,0)))</f>
        <v/>
      </c>
      <c r="G260" s="1" t="str">
        <f t="array" ref="G260">IFERROR(INDEX('Исходник'!$1:$626,MATCH($A260,'Исходник'!$T:$T,0),MATCH(G$1,'Исходник'!$1:$1,0)))</f>
        <v/>
      </c>
      <c r="H260" s="27">
        <f t="shared" si="1"/>
        <v>0</v>
      </c>
      <c r="I260" s="27" t="str">
        <f t="shared" si="2"/>
        <v/>
      </c>
      <c r="J260" s="1" t="str">
        <f t="array" ref="J260">IFERROR(INDEX('Исходник'!$1:$626,MATCH($A260,'Исходник'!$T:$T,0),MATCH(J$1,'Исходник'!$1:$1,0)))</f>
        <v/>
      </c>
      <c r="K260" s="27" t="str">
        <f t="shared" si="3"/>
        <v/>
      </c>
      <c r="L260" s="1" t="str">
        <f t="array" ref="L260">IFERROR(INDEX('Исходник'!$1:$626,MATCH($A260,'Исходник'!$T:$T,0),MATCH(L$1,'Исходник'!$1:$1,0)))</f>
        <v/>
      </c>
      <c r="M260" s="28">
        <f t="shared" si="4"/>
        <v>0</v>
      </c>
      <c r="N260" s="1" t="str">
        <f t="array" ref="N260">IFERROR(INDEX('Исходник'!$1:$626,MATCH($A260,'Исходник'!$T:$T,0),MATCH(N$1,'Исходник'!$1:$1,0)))</f>
        <v/>
      </c>
      <c r="O260" s="27">
        <f t="shared" si="5"/>
        <v>0</v>
      </c>
      <c r="P260" s="27" t="str">
        <f t="shared" si="6"/>
        <v/>
      </c>
      <c r="Q260" s="1" t="str">
        <f t="array" ref="Q260">IFERROR(INDEX('Исходник'!$1:$626,MATCH($A260,'Исходник'!$T:$T,0),MATCH(Q$1,'Исходник'!$1:$1,0)))</f>
        <v/>
      </c>
      <c r="R260" s="1" t="str">
        <f t="array" ref="R260">IFERROR(INDEX('Исходник'!$1:$626,MATCH($A260,'Исходник'!$T:$T,0),MATCH(R$1,'Исходник'!$1:$1,0)))</f>
        <v/>
      </c>
      <c r="S260" s="27">
        <f t="shared" si="7"/>
        <v>0</v>
      </c>
      <c r="T260" s="27" t="str">
        <f t="shared" si="8"/>
        <v/>
      </c>
      <c r="U260" s="1" t="str">
        <f t="array" ref="U260">IFERROR(INDEX('Исходник'!$1:$626,MATCH($A260,'Исходник'!$T:$T,0),MATCH(U$1,'Исходник'!$1:$1,0)))</f>
        <v/>
      </c>
      <c r="V260" s="27" t="str">
        <f t="shared" si="9"/>
        <v/>
      </c>
      <c r="W260" s="1" t="str">
        <f t="array" ref="W260">IFERROR(INDEX('Исходник'!$1:$626,MATCH($A260,'Исходник'!$T:$T,0),MATCH(W$1,'Исходник'!$1:$1,0)))</f>
        <v/>
      </c>
      <c r="X260" s="28">
        <f t="shared" si="10"/>
        <v>0</v>
      </c>
      <c r="Y260" s="1" t="str">
        <f t="array" ref="Y260">IFERROR(INDEX('Исходник'!$1:$626,MATCH($A260,'Исходник'!$T:$T,0),MATCH(Y$1,'Исходник'!$1:$1,0)))</f>
        <v/>
      </c>
      <c r="Z260" s="27">
        <f t="shared" si="11"/>
        <v>0</v>
      </c>
      <c r="AA260" s="27" t="str">
        <f t="shared" si="12"/>
        <v/>
      </c>
      <c r="AB260" s="1" t="str">
        <f t="array" ref="AB260">IFERROR(INDEX('Исходник'!$1:$626,MATCH($A260,'Исходник'!$T:$T,0),MATCH(AB$1,'Исходник'!$1:$1,0)))</f>
        <v/>
      </c>
      <c r="AC260" s="1" t="str">
        <f t="array" ref="AC260">IFERROR(INDEX('Исходник'!$1:$626,MATCH($A260,'Исходник'!$T:$T,0),MATCH(AC$1,'Исходник'!$1:$1,0)))</f>
        <v/>
      </c>
      <c r="AD260" s="27" t="str">
        <f t="shared" si="13"/>
        <v/>
      </c>
      <c r="AE260" s="1" t="str">
        <f t="array" ref="AE260">IFERROR(INDEX('Исходник'!$1:$626,MATCH($A260,'Исходник'!$T:$T,0),MATCH(AE$1,'Исходник'!$1:$1,0)))</f>
        <v/>
      </c>
      <c r="AF260" s="1" t="str">
        <f t="array" ref="AF260">IFERROR(INDEX('Исходник'!$1:$626,MATCH($A260,'Исходник'!$T:$T,0),MATCH(AF$1,'Исходник'!$1:$1,0)))</f>
        <v/>
      </c>
      <c r="AG260" s="27" t="str">
        <f t="shared" si="14"/>
        <v/>
      </c>
      <c r="AH260" s="1" t="str">
        <f t="array" ref="AH260">IFERROR(INDEX('Исходник'!$1:$626,MATCH($A260,'Исходник'!$T:$T,0),MATCH(AH$1,'Исходник'!$1:$1,0)))</f>
        <v/>
      </c>
      <c r="AI260" s="1" t="str">
        <f t="array" ref="AI260">IFERROR(INDEX('Исходник'!$1:$626,MATCH($A260,'Исходник'!$T:$T,0),MATCH(AI$1,'Исходник'!$1:$1,0)))</f>
        <v/>
      </c>
      <c r="AJ260" s="18">
        <f t="shared" si="15"/>
        <v>0</v>
      </c>
    </row>
    <row r="261" ht="15.75" customHeight="1">
      <c r="A261" s="27"/>
      <c r="B261" s="1" t="str">
        <f t="array" ref="B261">IFERROR(INDEX('Исходник'!$1:$626,MATCH($A261,'Исходник'!$T:$T,0),MATCH(B$1,'Исходник'!$1:$1,0)))</f>
        <v/>
      </c>
      <c r="C261" s="1" t="str">
        <f t="array" ref="C261">IFERROR(INDEX('Исходник'!$1:$626,MATCH($A261,'Исходник'!$T:$T,0),MATCH(C$1,'Исходник'!$1:$1,0)))</f>
        <v/>
      </c>
      <c r="D261" s="1" t="str">
        <f t="array" ref="D261">IFERROR(INDEX('Исходник'!$1:$626,MATCH($A261,'Исходник'!$T:$T,0),MATCH(D$1,'Исходник'!$1:$1,0)))</f>
        <v/>
      </c>
      <c r="E261" s="1" t="str">
        <f t="array" ref="E261">IFERROR(INDEX('Исходник'!$1:$626,MATCH($A261,'Исходник'!$T:$T,0),MATCH(E$1,'Исходник'!$1:$1,0)))</f>
        <v/>
      </c>
      <c r="F261" s="1" t="str">
        <f t="array" ref="F261">IFERROR(INDEX('Исходник'!$1:$626,MATCH($A261,'Исходник'!$T:$T,0),MATCH(F$1,'Исходник'!$1:$1,0)))</f>
        <v/>
      </c>
      <c r="G261" s="1" t="str">
        <f t="array" ref="G261">IFERROR(INDEX('Исходник'!$1:$626,MATCH($A261,'Исходник'!$T:$T,0),MATCH(G$1,'Исходник'!$1:$1,0)))</f>
        <v/>
      </c>
      <c r="H261" s="27">
        <f t="shared" si="1"/>
        <v>0</v>
      </c>
      <c r="I261" s="27" t="str">
        <f t="shared" si="2"/>
        <v/>
      </c>
      <c r="J261" s="1" t="str">
        <f t="array" ref="J261">IFERROR(INDEX('Исходник'!$1:$626,MATCH($A261,'Исходник'!$T:$T,0),MATCH(J$1,'Исходник'!$1:$1,0)))</f>
        <v/>
      </c>
      <c r="K261" s="27" t="str">
        <f t="shared" si="3"/>
        <v/>
      </c>
      <c r="L261" s="1" t="str">
        <f t="array" ref="L261">IFERROR(INDEX('Исходник'!$1:$626,MATCH($A261,'Исходник'!$T:$T,0),MATCH(L$1,'Исходник'!$1:$1,0)))</f>
        <v/>
      </c>
      <c r="M261" s="28">
        <f t="shared" si="4"/>
        <v>0</v>
      </c>
      <c r="N261" s="1" t="str">
        <f t="array" ref="N261">IFERROR(INDEX('Исходник'!$1:$626,MATCH($A261,'Исходник'!$T:$T,0),MATCH(N$1,'Исходник'!$1:$1,0)))</f>
        <v/>
      </c>
      <c r="O261" s="27">
        <f t="shared" si="5"/>
        <v>0</v>
      </c>
      <c r="P261" s="27" t="str">
        <f t="shared" si="6"/>
        <v/>
      </c>
      <c r="Q261" s="1" t="str">
        <f t="array" ref="Q261">IFERROR(INDEX('Исходник'!$1:$626,MATCH($A261,'Исходник'!$T:$T,0),MATCH(Q$1,'Исходник'!$1:$1,0)))</f>
        <v/>
      </c>
      <c r="R261" s="1" t="str">
        <f t="array" ref="R261">IFERROR(INDEX('Исходник'!$1:$626,MATCH($A261,'Исходник'!$T:$T,0),MATCH(R$1,'Исходник'!$1:$1,0)))</f>
        <v/>
      </c>
      <c r="S261" s="27">
        <f t="shared" si="7"/>
        <v>0</v>
      </c>
      <c r="T261" s="27" t="str">
        <f t="shared" si="8"/>
        <v/>
      </c>
      <c r="U261" s="1" t="str">
        <f t="array" ref="U261">IFERROR(INDEX('Исходник'!$1:$626,MATCH($A261,'Исходник'!$T:$T,0),MATCH(U$1,'Исходник'!$1:$1,0)))</f>
        <v/>
      </c>
      <c r="V261" s="27" t="str">
        <f t="shared" si="9"/>
        <v/>
      </c>
      <c r="W261" s="1" t="str">
        <f t="array" ref="W261">IFERROR(INDEX('Исходник'!$1:$626,MATCH($A261,'Исходник'!$T:$T,0),MATCH(W$1,'Исходник'!$1:$1,0)))</f>
        <v/>
      </c>
      <c r="X261" s="28">
        <f t="shared" si="10"/>
        <v>0</v>
      </c>
      <c r="Y261" s="1" t="str">
        <f t="array" ref="Y261">IFERROR(INDEX('Исходник'!$1:$626,MATCH($A261,'Исходник'!$T:$T,0),MATCH(Y$1,'Исходник'!$1:$1,0)))</f>
        <v/>
      </c>
      <c r="Z261" s="27">
        <f t="shared" si="11"/>
        <v>0</v>
      </c>
      <c r="AA261" s="27" t="str">
        <f t="shared" si="12"/>
        <v/>
      </c>
      <c r="AB261" s="1" t="str">
        <f t="array" ref="AB261">IFERROR(INDEX('Исходник'!$1:$626,MATCH($A261,'Исходник'!$T:$T,0),MATCH(AB$1,'Исходник'!$1:$1,0)))</f>
        <v/>
      </c>
      <c r="AC261" s="1" t="str">
        <f t="array" ref="AC261">IFERROR(INDEX('Исходник'!$1:$626,MATCH($A261,'Исходник'!$T:$T,0),MATCH(AC$1,'Исходник'!$1:$1,0)))</f>
        <v/>
      </c>
      <c r="AD261" s="27" t="str">
        <f t="shared" si="13"/>
        <v/>
      </c>
      <c r="AE261" s="1" t="str">
        <f t="array" ref="AE261">IFERROR(INDEX('Исходник'!$1:$626,MATCH($A261,'Исходник'!$T:$T,0),MATCH(AE$1,'Исходник'!$1:$1,0)))</f>
        <v/>
      </c>
      <c r="AF261" s="1" t="str">
        <f t="array" ref="AF261">IFERROR(INDEX('Исходник'!$1:$626,MATCH($A261,'Исходник'!$T:$T,0),MATCH(AF$1,'Исходник'!$1:$1,0)))</f>
        <v/>
      </c>
      <c r="AG261" s="27" t="str">
        <f t="shared" si="14"/>
        <v/>
      </c>
      <c r="AH261" s="1" t="str">
        <f t="array" ref="AH261">IFERROR(INDEX('Исходник'!$1:$626,MATCH($A261,'Исходник'!$T:$T,0),MATCH(AH$1,'Исходник'!$1:$1,0)))</f>
        <v/>
      </c>
      <c r="AI261" s="1" t="str">
        <f t="array" ref="AI261">IFERROR(INDEX('Исходник'!$1:$626,MATCH($A261,'Исходник'!$T:$T,0),MATCH(AI$1,'Исходник'!$1:$1,0)))</f>
        <v/>
      </c>
      <c r="AJ261" s="18">
        <f t="shared" si="15"/>
        <v>0</v>
      </c>
    </row>
    <row r="262" ht="15.75" customHeight="1">
      <c r="A262" s="27"/>
      <c r="B262" s="1" t="str">
        <f t="array" ref="B262">IFERROR(INDEX('Исходник'!$1:$626,MATCH($A262,'Исходник'!$T:$T,0),MATCH(B$1,'Исходник'!$1:$1,0)))</f>
        <v/>
      </c>
      <c r="C262" s="1" t="str">
        <f t="array" ref="C262">IFERROR(INDEX('Исходник'!$1:$626,MATCH($A262,'Исходник'!$T:$T,0),MATCH(C$1,'Исходник'!$1:$1,0)))</f>
        <v/>
      </c>
      <c r="D262" s="1" t="str">
        <f t="array" ref="D262">IFERROR(INDEX('Исходник'!$1:$626,MATCH($A262,'Исходник'!$T:$T,0),MATCH(D$1,'Исходник'!$1:$1,0)))</f>
        <v/>
      </c>
      <c r="E262" s="1" t="str">
        <f t="array" ref="E262">IFERROR(INDEX('Исходник'!$1:$626,MATCH($A262,'Исходник'!$T:$T,0),MATCH(E$1,'Исходник'!$1:$1,0)))</f>
        <v/>
      </c>
      <c r="F262" s="1" t="str">
        <f t="array" ref="F262">IFERROR(INDEX('Исходник'!$1:$626,MATCH($A262,'Исходник'!$T:$T,0),MATCH(F$1,'Исходник'!$1:$1,0)))</f>
        <v/>
      </c>
      <c r="G262" s="1" t="str">
        <f t="array" ref="G262">IFERROR(INDEX('Исходник'!$1:$626,MATCH($A262,'Исходник'!$T:$T,0),MATCH(G$1,'Исходник'!$1:$1,0)))</f>
        <v/>
      </c>
      <c r="H262" s="27">
        <f t="shared" si="1"/>
        <v>0</v>
      </c>
      <c r="I262" s="27" t="str">
        <f t="shared" si="2"/>
        <v/>
      </c>
      <c r="J262" s="1" t="str">
        <f t="array" ref="J262">IFERROR(INDEX('Исходник'!$1:$626,MATCH($A262,'Исходник'!$T:$T,0),MATCH(J$1,'Исходник'!$1:$1,0)))</f>
        <v/>
      </c>
      <c r="K262" s="27" t="str">
        <f t="shared" si="3"/>
        <v/>
      </c>
      <c r="L262" s="1" t="str">
        <f t="array" ref="L262">IFERROR(INDEX('Исходник'!$1:$626,MATCH($A262,'Исходник'!$T:$T,0),MATCH(L$1,'Исходник'!$1:$1,0)))</f>
        <v/>
      </c>
      <c r="M262" s="28">
        <f t="shared" si="4"/>
        <v>0</v>
      </c>
      <c r="N262" s="1" t="str">
        <f t="array" ref="N262">IFERROR(INDEX('Исходник'!$1:$626,MATCH($A262,'Исходник'!$T:$T,0),MATCH(N$1,'Исходник'!$1:$1,0)))</f>
        <v/>
      </c>
      <c r="O262" s="27">
        <f t="shared" si="5"/>
        <v>0</v>
      </c>
      <c r="P262" s="27" t="str">
        <f t="shared" si="6"/>
        <v/>
      </c>
      <c r="Q262" s="1" t="str">
        <f t="array" ref="Q262">IFERROR(INDEX('Исходник'!$1:$626,MATCH($A262,'Исходник'!$T:$T,0),MATCH(Q$1,'Исходник'!$1:$1,0)))</f>
        <v/>
      </c>
      <c r="R262" s="1" t="str">
        <f t="array" ref="R262">IFERROR(INDEX('Исходник'!$1:$626,MATCH($A262,'Исходник'!$T:$T,0),MATCH(R$1,'Исходник'!$1:$1,0)))</f>
        <v/>
      </c>
      <c r="S262" s="27">
        <f t="shared" si="7"/>
        <v>0</v>
      </c>
      <c r="T262" s="27" t="str">
        <f t="shared" si="8"/>
        <v/>
      </c>
      <c r="U262" s="1" t="str">
        <f t="array" ref="U262">IFERROR(INDEX('Исходник'!$1:$626,MATCH($A262,'Исходник'!$T:$T,0),MATCH(U$1,'Исходник'!$1:$1,0)))</f>
        <v/>
      </c>
      <c r="V262" s="27" t="str">
        <f t="shared" si="9"/>
        <v/>
      </c>
      <c r="W262" s="1" t="str">
        <f t="array" ref="W262">IFERROR(INDEX('Исходник'!$1:$626,MATCH($A262,'Исходник'!$T:$T,0),MATCH(W$1,'Исходник'!$1:$1,0)))</f>
        <v/>
      </c>
      <c r="X262" s="28">
        <f t="shared" si="10"/>
        <v>0</v>
      </c>
      <c r="Y262" s="1" t="str">
        <f t="array" ref="Y262">IFERROR(INDEX('Исходник'!$1:$626,MATCH($A262,'Исходник'!$T:$T,0),MATCH(Y$1,'Исходник'!$1:$1,0)))</f>
        <v/>
      </c>
      <c r="Z262" s="27">
        <f t="shared" si="11"/>
        <v>0</v>
      </c>
      <c r="AA262" s="27" t="str">
        <f t="shared" si="12"/>
        <v/>
      </c>
      <c r="AB262" s="1" t="str">
        <f t="array" ref="AB262">IFERROR(INDEX('Исходник'!$1:$626,MATCH($A262,'Исходник'!$T:$T,0),MATCH(AB$1,'Исходник'!$1:$1,0)))</f>
        <v/>
      </c>
      <c r="AC262" s="1" t="str">
        <f t="array" ref="AC262">IFERROR(INDEX('Исходник'!$1:$626,MATCH($A262,'Исходник'!$T:$T,0),MATCH(AC$1,'Исходник'!$1:$1,0)))</f>
        <v/>
      </c>
      <c r="AD262" s="27" t="str">
        <f t="shared" si="13"/>
        <v/>
      </c>
      <c r="AE262" s="1" t="str">
        <f t="array" ref="AE262">IFERROR(INDEX('Исходник'!$1:$626,MATCH($A262,'Исходник'!$T:$T,0),MATCH(AE$1,'Исходник'!$1:$1,0)))</f>
        <v/>
      </c>
      <c r="AF262" s="1" t="str">
        <f t="array" ref="AF262">IFERROR(INDEX('Исходник'!$1:$626,MATCH($A262,'Исходник'!$T:$T,0),MATCH(AF$1,'Исходник'!$1:$1,0)))</f>
        <v/>
      </c>
      <c r="AG262" s="27" t="str">
        <f t="shared" si="14"/>
        <v/>
      </c>
      <c r="AH262" s="1" t="str">
        <f t="array" ref="AH262">IFERROR(INDEX('Исходник'!$1:$626,MATCH($A262,'Исходник'!$T:$T,0),MATCH(AH$1,'Исходник'!$1:$1,0)))</f>
        <v/>
      </c>
      <c r="AI262" s="1" t="str">
        <f t="array" ref="AI262">IFERROR(INDEX('Исходник'!$1:$626,MATCH($A262,'Исходник'!$T:$T,0),MATCH(AI$1,'Исходник'!$1:$1,0)))</f>
        <v/>
      </c>
      <c r="AJ262" s="18">
        <f t="shared" si="15"/>
        <v>0</v>
      </c>
    </row>
    <row r="263" ht="15.75" customHeight="1">
      <c r="A263" s="27"/>
      <c r="B263" s="1" t="str">
        <f t="array" ref="B263">IFERROR(INDEX('Исходник'!$1:$626,MATCH($A263,'Исходник'!$T:$T,0),MATCH(B$1,'Исходник'!$1:$1,0)))</f>
        <v/>
      </c>
      <c r="C263" s="1" t="str">
        <f t="array" ref="C263">IFERROR(INDEX('Исходник'!$1:$626,MATCH($A263,'Исходник'!$T:$T,0),MATCH(C$1,'Исходник'!$1:$1,0)))</f>
        <v/>
      </c>
      <c r="D263" s="1" t="str">
        <f t="array" ref="D263">IFERROR(INDEX('Исходник'!$1:$626,MATCH($A263,'Исходник'!$T:$T,0),MATCH(D$1,'Исходник'!$1:$1,0)))</f>
        <v/>
      </c>
      <c r="E263" s="1" t="str">
        <f t="array" ref="E263">IFERROR(INDEX('Исходник'!$1:$626,MATCH($A263,'Исходник'!$T:$T,0),MATCH(E$1,'Исходник'!$1:$1,0)))</f>
        <v/>
      </c>
      <c r="F263" s="1" t="str">
        <f t="array" ref="F263">IFERROR(INDEX('Исходник'!$1:$626,MATCH($A263,'Исходник'!$T:$T,0),MATCH(F$1,'Исходник'!$1:$1,0)))</f>
        <v/>
      </c>
      <c r="G263" s="1" t="str">
        <f t="array" ref="G263">IFERROR(INDEX('Исходник'!$1:$626,MATCH($A263,'Исходник'!$T:$T,0),MATCH(G$1,'Исходник'!$1:$1,0)))</f>
        <v/>
      </c>
      <c r="H263" s="27">
        <f t="shared" si="1"/>
        <v>0</v>
      </c>
      <c r="I263" s="27" t="str">
        <f t="shared" si="2"/>
        <v/>
      </c>
      <c r="J263" s="1" t="str">
        <f t="array" ref="J263">IFERROR(INDEX('Исходник'!$1:$626,MATCH($A263,'Исходник'!$T:$T,0),MATCH(J$1,'Исходник'!$1:$1,0)))</f>
        <v/>
      </c>
      <c r="K263" s="27" t="str">
        <f t="shared" si="3"/>
        <v/>
      </c>
      <c r="L263" s="1" t="str">
        <f t="array" ref="L263">IFERROR(INDEX('Исходник'!$1:$626,MATCH($A263,'Исходник'!$T:$T,0),MATCH(L$1,'Исходник'!$1:$1,0)))</f>
        <v/>
      </c>
      <c r="M263" s="28">
        <f t="shared" si="4"/>
        <v>0</v>
      </c>
      <c r="N263" s="1" t="str">
        <f t="array" ref="N263">IFERROR(INDEX('Исходник'!$1:$626,MATCH($A263,'Исходник'!$T:$T,0),MATCH(N$1,'Исходник'!$1:$1,0)))</f>
        <v/>
      </c>
      <c r="O263" s="27">
        <f t="shared" si="5"/>
        <v>0</v>
      </c>
      <c r="P263" s="27" t="str">
        <f t="shared" si="6"/>
        <v/>
      </c>
      <c r="Q263" s="1" t="str">
        <f t="array" ref="Q263">IFERROR(INDEX('Исходник'!$1:$626,MATCH($A263,'Исходник'!$T:$T,0),MATCH(Q$1,'Исходник'!$1:$1,0)))</f>
        <v/>
      </c>
      <c r="R263" s="1" t="str">
        <f t="array" ref="R263">IFERROR(INDEX('Исходник'!$1:$626,MATCH($A263,'Исходник'!$T:$T,0),MATCH(R$1,'Исходник'!$1:$1,0)))</f>
        <v/>
      </c>
      <c r="S263" s="27">
        <f t="shared" si="7"/>
        <v>0</v>
      </c>
      <c r="T263" s="27" t="str">
        <f t="shared" si="8"/>
        <v/>
      </c>
      <c r="U263" s="1" t="str">
        <f t="array" ref="U263">IFERROR(INDEX('Исходник'!$1:$626,MATCH($A263,'Исходник'!$T:$T,0),MATCH(U$1,'Исходник'!$1:$1,0)))</f>
        <v/>
      </c>
      <c r="V263" s="27" t="str">
        <f t="shared" si="9"/>
        <v/>
      </c>
      <c r="W263" s="1" t="str">
        <f t="array" ref="W263">IFERROR(INDEX('Исходник'!$1:$626,MATCH($A263,'Исходник'!$T:$T,0),MATCH(W$1,'Исходник'!$1:$1,0)))</f>
        <v/>
      </c>
      <c r="X263" s="28">
        <f t="shared" si="10"/>
        <v>0</v>
      </c>
      <c r="Y263" s="1" t="str">
        <f t="array" ref="Y263">IFERROR(INDEX('Исходник'!$1:$626,MATCH($A263,'Исходник'!$T:$T,0),MATCH(Y$1,'Исходник'!$1:$1,0)))</f>
        <v/>
      </c>
      <c r="Z263" s="27">
        <f t="shared" si="11"/>
        <v>0</v>
      </c>
      <c r="AA263" s="27" t="str">
        <f t="shared" si="12"/>
        <v/>
      </c>
      <c r="AB263" s="1" t="str">
        <f t="array" ref="AB263">IFERROR(INDEX('Исходник'!$1:$626,MATCH($A263,'Исходник'!$T:$T,0),MATCH(AB$1,'Исходник'!$1:$1,0)))</f>
        <v/>
      </c>
      <c r="AC263" s="1" t="str">
        <f t="array" ref="AC263">IFERROR(INDEX('Исходник'!$1:$626,MATCH($A263,'Исходник'!$T:$T,0),MATCH(AC$1,'Исходник'!$1:$1,0)))</f>
        <v/>
      </c>
      <c r="AD263" s="27" t="str">
        <f t="shared" si="13"/>
        <v/>
      </c>
      <c r="AE263" s="1" t="str">
        <f t="array" ref="AE263">IFERROR(INDEX('Исходник'!$1:$626,MATCH($A263,'Исходник'!$T:$T,0),MATCH(AE$1,'Исходник'!$1:$1,0)))</f>
        <v/>
      </c>
      <c r="AF263" s="1" t="str">
        <f t="array" ref="AF263">IFERROR(INDEX('Исходник'!$1:$626,MATCH($A263,'Исходник'!$T:$T,0),MATCH(AF$1,'Исходник'!$1:$1,0)))</f>
        <v/>
      </c>
      <c r="AG263" s="27" t="str">
        <f t="shared" si="14"/>
        <v/>
      </c>
      <c r="AH263" s="1" t="str">
        <f t="array" ref="AH263">IFERROR(INDEX('Исходник'!$1:$626,MATCH($A263,'Исходник'!$T:$T,0),MATCH(AH$1,'Исходник'!$1:$1,0)))</f>
        <v/>
      </c>
      <c r="AI263" s="1" t="str">
        <f t="array" ref="AI263">IFERROR(INDEX('Исходник'!$1:$626,MATCH($A263,'Исходник'!$T:$T,0),MATCH(AI$1,'Исходник'!$1:$1,0)))</f>
        <v/>
      </c>
      <c r="AJ263" s="18">
        <f t="shared" si="15"/>
        <v>0</v>
      </c>
    </row>
    <row r="264" ht="15.75" customHeight="1">
      <c r="A264" s="27"/>
      <c r="B264" s="1" t="str">
        <f t="array" ref="B264">IFERROR(INDEX('Исходник'!$1:$626,MATCH($A264,'Исходник'!$T:$T,0),MATCH(B$1,'Исходник'!$1:$1,0)))</f>
        <v/>
      </c>
      <c r="C264" s="1" t="str">
        <f t="array" ref="C264">IFERROR(INDEX('Исходник'!$1:$626,MATCH($A264,'Исходник'!$T:$T,0),MATCH(C$1,'Исходник'!$1:$1,0)))</f>
        <v/>
      </c>
      <c r="D264" s="1" t="str">
        <f t="array" ref="D264">IFERROR(INDEX('Исходник'!$1:$626,MATCH($A264,'Исходник'!$T:$T,0),MATCH(D$1,'Исходник'!$1:$1,0)))</f>
        <v/>
      </c>
      <c r="E264" s="1" t="str">
        <f t="array" ref="E264">IFERROR(INDEX('Исходник'!$1:$626,MATCH($A264,'Исходник'!$T:$T,0),MATCH(E$1,'Исходник'!$1:$1,0)))</f>
        <v/>
      </c>
      <c r="F264" s="1" t="str">
        <f t="array" ref="F264">IFERROR(INDEX('Исходник'!$1:$626,MATCH($A264,'Исходник'!$T:$T,0),MATCH(F$1,'Исходник'!$1:$1,0)))</f>
        <v/>
      </c>
      <c r="G264" s="1" t="str">
        <f t="array" ref="G264">IFERROR(INDEX('Исходник'!$1:$626,MATCH($A264,'Исходник'!$T:$T,0),MATCH(G$1,'Исходник'!$1:$1,0)))</f>
        <v/>
      </c>
      <c r="H264" s="27">
        <f t="shared" si="1"/>
        <v>0</v>
      </c>
      <c r="I264" s="27" t="str">
        <f t="shared" si="2"/>
        <v/>
      </c>
      <c r="J264" s="1" t="str">
        <f t="array" ref="J264">IFERROR(INDEX('Исходник'!$1:$626,MATCH($A264,'Исходник'!$T:$T,0),MATCH(J$1,'Исходник'!$1:$1,0)))</f>
        <v/>
      </c>
      <c r="K264" s="27" t="str">
        <f t="shared" si="3"/>
        <v/>
      </c>
      <c r="L264" s="1" t="str">
        <f t="array" ref="L264">IFERROR(INDEX('Исходник'!$1:$626,MATCH($A264,'Исходник'!$T:$T,0),MATCH(L$1,'Исходник'!$1:$1,0)))</f>
        <v/>
      </c>
      <c r="M264" s="28">
        <f t="shared" si="4"/>
        <v>0</v>
      </c>
      <c r="N264" s="1" t="str">
        <f t="array" ref="N264">IFERROR(INDEX('Исходник'!$1:$626,MATCH($A264,'Исходник'!$T:$T,0),MATCH(N$1,'Исходник'!$1:$1,0)))</f>
        <v/>
      </c>
      <c r="O264" s="27">
        <f t="shared" si="5"/>
        <v>0</v>
      </c>
      <c r="P264" s="27" t="str">
        <f t="shared" si="6"/>
        <v/>
      </c>
      <c r="Q264" s="1" t="str">
        <f t="array" ref="Q264">IFERROR(INDEX('Исходник'!$1:$626,MATCH($A264,'Исходник'!$T:$T,0),MATCH(Q$1,'Исходник'!$1:$1,0)))</f>
        <v/>
      </c>
      <c r="R264" s="1" t="str">
        <f t="array" ref="R264">IFERROR(INDEX('Исходник'!$1:$626,MATCH($A264,'Исходник'!$T:$T,0),MATCH(R$1,'Исходник'!$1:$1,0)))</f>
        <v/>
      </c>
      <c r="S264" s="27">
        <f t="shared" si="7"/>
        <v>0</v>
      </c>
      <c r="T264" s="27" t="str">
        <f t="shared" si="8"/>
        <v/>
      </c>
      <c r="U264" s="1" t="str">
        <f t="array" ref="U264">IFERROR(INDEX('Исходник'!$1:$626,MATCH($A264,'Исходник'!$T:$T,0),MATCH(U$1,'Исходник'!$1:$1,0)))</f>
        <v/>
      </c>
      <c r="V264" s="27" t="str">
        <f t="shared" si="9"/>
        <v/>
      </c>
      <c r="W264" s="1" t="str">
        <f t="array" ref="W264">IFERROR(INDEX('Исходник'!$1:$626,MATCH($A264,'Исходник'!$T:$T,0),MATCH(W$1,'Исходник'!$1:$1,0)))</f>
        <v/>
      </c>
      <c r="X264" s="28">
        <f t="shared" si="10"/>
        <v>0</v>
      </c>
      <c r="Y264" s="1" t="str">
        <f t="array" ref="Y264">IFERROR(INDEX('Исходник'!$1:$626,MATCH($A264,'Исходник'!$T:$T,0),MATCH(Y$1,'Исходник'!$1:$1,0)))</f>
        <v/>
      </c>
      <c r="Z264" s="27">
        <f t="shared" si="11"/>
        <v>0</v>
      </c>
      <c r="AA264" s="27" t="str">
        <f t="shared" si="12"/>
        <v/>
      </c>
      <c r="AB264" s="1" t="str">
        <f t="array" ref="AB264">IFERROR(INDEX('Исходник'!$1:$626,MATCH($A264,'Исходник'!$T:$T,0),MATCH(AB$1,'Исходник'!$1:$1,0)))</f>
        <v/>
      </c>
      <c r="AC264" s="1" t="str">
        <f t="array" ref="AC264">IFERROR(INDEX('Исходник'!$1:$626,MATCH($A264,'Исходник'!$T:$T,0),MATCH(AC$1,'Исходник'!$1:$1,0)))</f>
        <v/>
      </c>
      <c r="AD264" s="27" t="str">
        <f t="shared" si="13"/>
        <v/>
      </c>
      <c r="AE264" s="1" t="str">
        <f t="array" ref="AE264">IFERROR(INDEX('Исходник'!$1:$626,MATCH($A264,'Исходник'!$T:$T,0),MATCH(AE$1,'Исходник'!$1:$1,0)))</f>
        <v/>
      </c>
      <c r="AF264" s="1" t="str">
        <f t="array" ref="AF264">IFERROR(INDEX('Исходник'!$1:$626,MATCH($A264,'Исходник'!$T:$T,0),MATCH(AF$1,'Исходник'!$1:$1,0)))</f>
        <v/>
      </c>
      <c r="AG264" s="27" t="str">
        <f t="shared" si="14"/>
        <v/>
      </c>
      <c r="AH264" s="1" t="str">
        <f t="array" ref="AH264">IFERROR(INDEX('Исходник'!$1:$626,MATCH($A264,'Исходник'!$T:$T,0),MATCH(AH$1,'Исходник'!$1:$1,0)))</f>
        <v/>
      </c>
      <c r="AI264" s="1" t="str">
        <f t="array" ref="AI264">IFERROR(INDEX('Исходник'!$1:$626,MATCH($A264,'Исходник'!$T:$T,0),MATCH(AI$1,'Исходник'!$1:$1,0)))</f>
        <v/>
      </c>
      <c r="AJ264" s="18">
        <f t="shared" si="15"/>
        <v>0</v>
      </c>
    </row>
    <row r="265" ht="15.75" customHeight="1">
      <c r="A265" s="27"/>
      <c r="B265" s="1" t="str">
        <f t="array" ref="B265">IFERROR(INDEX('Исходник'!$1:$626,MATCH($A265,'Исходник'!$T:$T,0),MATCH(B$1,'Исходник'!$1:$1,0)))</f>
        <v/>
      </c>
      <c r="C265" s="1" t="str">
        <f t="array" ref="C265">IFERROR(INDEX('Исходник'!$1:$626,MATCH($A265,'Исходник'!$T:$T,0),MATCH(C$1,'Исходник'!$1:$1,0)))</f>
        <v/>
      </c>
      <c r="D265" s="1" t="str">
        <f t="array" ref="D265">IFERROR(INDEX('Исходник'!$1:$626,MATCH($A265,'Исходник'!$T:$T,0),MATCH(D$1,'Исходник'!$1:$1,0)))</f>
        <v/>
      </c>
      <c r="E265" s="1" t="str">
        <f t="array" ref="E265">IFERROR(INDEX('Исходник'!$1:$626,MATCH($A265,'Исходник'!$T:$T,0),MATCH(E$1,'Исходник'!$1:$1,0)))</f>
        <v/>
      </c>
      <c r="F265" s="1" t="str">
        <f t="array" ref="F265">IFERROR(INDEX('Исходник'!$1:$626,MATCH($A265,'Исходник'!$T:$T,0),MATCH(F$1,'Исходник'!$1:$1,0)))</f>
        <v/>
      </c>
      <c r="G265" s="1" t="str">
        <f t="array" ref="G265">IFERROR(INDEX('Исходник'!$1:$626,MATCH($A265,'Исходник'!$T:$T,0),MATCH(G$1,'Исходник'!$1:$1,0)))</f>
        <v/>
      </c>
      <c r="H265" s="27">
        <f t="shared" si="1"/>
        <v>0</v>
      </c>
      <c r="I265" s="27" t="str">
        <f t="shared" si="2"/>
        <v/>
      </c>
      <c r="J265" s="1" t="str">
        <f t="array" ref="J265">IFERROR(INDEX('Исходник'!$1:$626,MATCH($A265,'Исходник'!$T:$T,0),MATCH(J$1,'Исходник'!$1:$1,0)))</f>
        <v/>
      </c>
      <c r="K265" s="27" t="str">
        <f t="shared" si="3"/>
        <v/>
      </c>
      <c r="L265" s="1" t="str">
        <f t="array" ref="L265">IFERROR(INDEX('Исходник'!$1:$626,MATCH($A265,'Исходник'!$T:$T,0),MATCH(L$1,'Исходник'!$1:$1,0)))</f>
        <v/>
      </c>
      <c r="M265" s="28">
        <f t="shared" si="4"/>
        <v>0</v>
      </c>
      <c r="N265" s="1" t="str">
        <f t="array" ref="N265">IFERROR(INDEX('Исходник'!$1:$626,MATCH($A265,'Исходник'!$T:$T,0),MATCH(N$1,'Исходник'!$1:$1,0)))</f>
        <v/>
      </c>
      <c r="O265" s="27">
        <f t="shared" si="5"/>
        <v>0</v>
      </c>
      <c r="P265" s="27" t="str">
        <f t="shared" si="6"/>
        <v/>
      </c>
      <c r="Q265" s="1" t="str">
        <f t="array" ref="Q265">IFERROR(INDEX('Исходник'!$1:$626,MATCH($A265,'Исходник'!$T:$T,0),MATCH(Q$1,'Исходник'!$1:$1,0)))</f>
        <v/>
      </c>
      <c r="R265" s="1" t="str">
        <f t="array" ref="R265">IFERROR(INDEX('Исходник'!$1:$626,MATCH($A265,'Исходник'!$T:$T,0),MATCH(R$1,'Исходник'!$1:$1,0)))</f>
        <v/>
      </c>
      <c r="S265" s="27">
        <f t="shared" si="7"/>
        <v>0</v>
      </c>
      <c r="T265" s="27" t="str">
        <f t="shared" si="8"/>
        <v/>
      </c>
      <c r="U265" s="1" t="str">
        <f t="array" ref="U265">IFERROR(INDEX('Исходник'!$1:$626,MATCH($A265,'Исходник'!$T:$T,0),MATCH(U$1,'Исходник'!$1:$1,0)))</f>
        <v/>
      </c>
      <c r="V265" s="27" t="str">
        <f t="shared" si="9"/>
        <v/>
      </c>
      <c r="W265" s="1" t="str">
        <f t="array" ref="W265">IFERROR(INDEX('Исходник'!$1:$626,MATCH($A265,'Исходник'!$T:$T,0),MATCH(W$1,'Исходник'!$1:$1,0)))</f>
        <v/>
      </c>
      <c r="X265" s="28">
        <f t="shared" si="10"/>
        <v>0</v>
      </c>
      <c r="Y265" s="1" t="str">
        <f t="array" ref="Y265">IFERROR(INDEX('Исходник'!$1:$626,MATCH($A265,'Исходник'!$T:$T,0),MATCH(Y$1,'Исходник'!$1:$1,0)))</f>
        <v/>
      </c>
      <c r="Z265" s="27">
        <f t="shared" si="11"/>
        <v>0</v>
      </c>
      <c r="AA265" s="27" t="str">
        <f t="shared" si="12"/>
        <v/>
      </c>
      <c r="AB265" s="1" t="str">
        <f t="array" ref="AB265">IFERROR(INDEX('Исходник'!$1:$626,MATCH($A265,'Исходник'!$T:$T,0),MATCH(AB$1,'Исходник'!$1:$1,0)))</f>
        <v/>
      </c>
      <c r="AC265" s="1" t="str">
        <f t="array" ref="AC265">IFERROR(INDEX('Исходник'!$1:$626,MATCH($A265,'Исходник'!$T:$T,0),MATCH(AC$1,'Исходник'!$1:$1,0)))</f>
        <v/>
      </c>
      <c r="AD265" s="27" t="str">
        <f t="shared" si="13"/>
        <v/>
      </c>
      <c r="AE265" s="1" t="str">
        <f t="array" ref="AE265">IFERROR(INDEX('Исходник'!$1:$626,MATCH($A265,'Исходник'!$T:$T,0),MATCH(AE$1,'Исходник'!$1:$1,0)))</f>
        <v/>
      </c>
      <c r="AF265" s="1" t="str">
        <f t="array" ref="AF265">IFERROR(INDEX('Исходник'!$1:$626,MATCH($A265,'Исходник'!$T:$T,0),MATCH(AF$1,'Исходник'!$1:$1,0)))</f>
        <v/>
      </c>
      <c r="AG265" s="27" t="str">
        <f t="shared" si="14"/>
        <v/>
      </c>
      <c r="AH265" s="1" t="str">
        <f t="array" ref="AH265">IFERROR(INDEX('Исходник'!$1:$626,MATCH($A265,'Исходник'!$T:$T,0),MATCH(AH$1,'Исходник'!$1:$1,0)))</f>
        <v/>
      </c>
      <c r="AI265" s="1" t="str">
        <f t="array" ref="AI265">IFERROR(INDEX('Исходник'!$1:$626,MATCH($A265,'Исходник'!$T:$T,0),MATCH(AI$1,'Исходник'!$1:$1,0)))</f>
        <v/>
      </c>
      <c r="AJ265" s="18">
        <f t="shared" si="15"/>
        <v>0</v>
      </c>
    </row>
    <row r="266" ht="15.75" customHeight="1">
      <c r="A266" s="27"/>
      <c r="B266" s="1" t="str">
        <f t="array" ref="B266">IFERROR(INDEX('Исходник'!$1:$626,MATCH($A266,'Исходник'!$T:$T,0),MATCH(B$1,'Исходник'!$1:$1,0)))</f>
        <v/>
      </c>
      <c r="C266" s="1" t="str">
        <f t="array" ref="C266">IFERROR(INDEX('Исходник'!$1:$626,MATCH($A266,'Исходник'!$T:$T,0),MATCH(C$1,'Исходник'!$1:$1,0)))</f>
        <v/>
      </c>
      <c r="D266" s="1" t="str">
        <f t="array" ref="D266">IFERROR(INDEX('Исходник'!$1:$626,MATCH($A266,'Исходник'!$T:$T,0),MATCH(D$1,'Исходник'!$1:$1,0)))</f>
        <v/>
      </c>
      <c r="E266" s="1" t="str">
        <f t="array" ref="E266">IFERROR(INDEX('Исходник'!$1:$626,MATCH($A266,'Исходник'!$T:$T,0),MATCH(E$1,'Исходник'!$1:$1,0)))</f>
        <v/>
      </c>
      <c r="F266" s="1" t="str">
        <f t="array" ref="F266">IFERROR(INDEX('Исходник'!$1:$626,MATCH($A266,'Исходник'!$T:$T,0),MATCH(F$1,'Исходник'!$1:$1,0)))</f>
        <v/>
      </c>
      <c r="G266" s="1" t="str">
        <f t="array" ref="G266">IFERROR(INDEX('Исходник'!$1:$626,MATCH($A266,'Исходник'!$T:$T,0),MATCH(G$1,'Исходник'!$1:$1,0)))</f>
        <v/>
      </c>
      <c r="H266" s="27">
        <f t="shared" si="1"/>
        <v>0</v>
      </c>
      <c r="I266" s="27" t="str">
        <f t="shared" si="2"/>
        <v/>
      </c>
      <c r="J266" s="1" t="str">
        <f t="array" ref="J266">IFERROR(INDEX('Исходник'!$1:$626,MATCH($A266,'Исходник'!$T:$T,0),MATCH(J$1,'Исходник'!$1:$1,0)))</f>
        <v/>
      </c>
      <c r="K266" s="27" t="str">
        <f t="shared" si="3"/>
        <v/>
      </c>
      <c r="L266" s="1" t="str">
        <f t="array" ref="L266">IFERROR(INDEX('Исходник'!$1:$626,MATCH($A266,'Исходник'!$T:$T,0),MATCH(L$1,'Исходник'!$1:$1,0)))</f>
        <v/>
      </c>
      <c r="M266" s="28">
        <f t="shared" si="4"/>
        <v>0</v>
      </c>
      <c r="N266" s="1" t="str">
        <f t="array" ref="N266">IFERROR(INDEX('Исходник'!$1:$626,MATCH($A266,'Исходник'!$T:$T,0),MATCH(N$1,'Исходник'!$1:$1,0)))</f>
        <v/>
      </c>
      <c r="O266" s="27">
        <f t="shared" si="5"/>
        <v>0</v>
      </c>
      <c r="P266" s="27" t="str">
        <f t="shared" si="6"/>
        <v/>
      </c>
      <c r="Q266" s="1" t="str">
        <f t="array" ref="Q266">IFERROR(INDEX('Исходник'!$1:$626,MATCH($A266,'Исходник'!$T:$T,0),MATCH(Q$1,'Исходник'!$1:$1,0)))</f>
        <v/>
      </c>
      <c r="R266" s="1" t="str">
        <f t="array" ref="R266">IFERROR(INDEX('Исходник'!$1:$626,MATCH($A266,'Исходник'!$T:$T,0),MATCH(R$1,'Исходник'!$1:$1,0)))</f>
        <v/>
      </c>
      <c r="S266" s="27">
        <f t="shared" si="7"/>
        <v>0</v>
      </c>
      <c r="T266" s="27" t="str">
        <f t="shared" si="8"/>
        <v/>
      </c>
      <c r="U266" s="1" t="str">
        <f t="array" ref="U266">IFERROR(INDEX('Исходник'!$1:$626,MATCH($A266,'Исходник'!$T:$T,0),MATCH(U$1,'Исходник'!$1:$1,0)))</f>
        <v/>
      </c>
      <c r="V266" s="27" t="str">
        <f t="shared" si="9"/>
        <v/>
      </c>
      <c r="W266" s="1" t="str">
        <f t="array" ref="W266">IFERROR(INDEX('Исходник'!$1:$626,MATCH($A266,'Исходник'!$T:$T,0),MATCH(W$1,'Исходник'!$1:$1,0)))</f>
        <v/>
      </c>
      <c r="X266" s="28">
        <f t="shared" si="10"/>
        <v>0</v>
      </c>
      <c r="Y266" s="1" t="str">
        <f t="array" ref="Y266">IFERROR(INDEX('Исходник'!$1:$626,MATCH($A266,'Исходник'!$T:$T,0),MATCH(Y$1,'Исходник'!$1:$1,0)))</f>
        <v/>
      </c>
      <c r="Z266" s="27">
        <f t="shared" si="11"/>
        <v>0</v>
      </c>
      <c r="AA266" s="27" t="str">
        <f t="shared" si="12"/>
        <v/>
      </c>
      <c r="AB266" s="1" t="str">
        <f t="array" ref="AB266">IFERROR(INDEX('Исходник'!$1:$626,MATCH($A266,'Исходник'!$T:$T,0),MATCH(AB$1,'Исходник'!$1:$1,0)))</f>
        <v/>
      </c>
      <c r="AC266" s="1" t="str">
        <f t="array" ref="AC266">IFERROR(INDEX('Исходник'!$1:$626,MATCH($A266,'Исходник'!$T:$T,0),MATCH(AC$1,'Исходник'!$1:$1,0)))</f>
        <v/>
      </c>
      <c r="AD266" s="27" t="str">
        <f t="shared" si="13"/>
        <v/>
      </c>
      <c r="AE266" s="1" t="str">
        <f t="array" ref="AE266">IFERROR(INDEX('Исходник'!$1:$626,MATCH($A266,'Исходник'!$T:$T,0),MATCH(AE$1,'Исходник'!$1:$1,0)))</f>
        <v/>
      </c>
      <c r="AF266" s="1" t="str">
        <f t="array" ref="AF266">IFERROR(INDEX('Исходник'!$1:$626,MATCH($A266,'Исходник'!$T:$T,0),MATCH(AF$1,'Исходник'!$1:$1,0)))</f>
        <v/>
      </c>
      <c r="AG266" s="27" t="str">
        <f t="shared" si="14"/>
        <v/>
      </c>
      <c r="AH266" s="1" t="str">
        <f t="array" ref="AH266">IFERROR(INDEX('Исходник'!$1:$626,MATCH($A266,'Исходник'!$T:$T,0),MATCH(AH$1,'Исходник'!$1:$1,0)))</f>
        <v/>
      </c>
      <c r="AI266" s="1" t="str">
        <f t="array" ref="AI266">IFERROR(INDEX('Исходник'!$1:$626,MATCH($A266,'Исходник'!$T:$T,0),MATCH(AI$1,'Исходник'!$1:$1,0)))</f>
        <v/>
      </c>
      <c r="AJ266" s="18">
        <f t="shared" si="15"/>
        <v>0</v>
      </c>
    </row>
    <row r="267" ht="15.75" customHeight="1">
      <c r="A267" s="27"/>
      <c r="B267" s="1" t="str">
        <f t="array" ref="B267">IFERROR(INDEX('Исходник'!$1:$626,MATCH($A267,'Исходник'!$T:$T,0),MATCH(B$1,'Исходник'!$1:$1,0)))</f>
        <v/>
      </c>
      <c r="C267" s="1" t="str">
        <f t="array" ref="C267">IFERROR(INDEX('Исходник'!$1:$626,MATCH($A267,'Исходник'!$T:$T,0),MATCH(C$1,'Исходник'!$1:$1,0)))</f>
        <v/>
      </c>
      <c r="D267" s="1" t="str">
        <f t="array" ref="D267">IFERROR(INDEX('Исходник'!$1:$626,MATCH($A267,'Исходник'!$T:$T,0),MATCH(D$1,'Исходник'!$1:$1,0)))</f>
        <v/>
      </c>
      <c r="E267" s="1" t="str">
        <f t="array" ref="E267">IFERROR(INDEX('Исходник'!$1:$626,MATCH($A267,'Исходник'!$T:$T,0),MATCH(E$1,'Исходник'!$1:$1,0)))</f>
        <v/>
      </c>
      <c r="F267" s="1" t="str">
        <f t="array" ref="F267">IFERROR(INDEX('Исходник'!$1:$626,MATCH($A267,'Исходник'!$T:$T,0),MATCH(F$1,'Исходник'!$1:$1,0)))</f>
        <v/>
      </c>
      <c r="G267" s="1" t="str">
        <f t="array" ref="G267">IFERROR(INDEX('Исходник'!$1:$626,MATCH($A267,'Исходник'!$T:$T,0),MATCH(G$1,'Исходник'!$1:$1,0)))</f>
        <v/>
      </c>
      <c r="H267" s="27">
        <f t="shared" si="1"/>
        <v>0</v>
      </c>
      <c r="I267" s="27" t="str">
        <f t="shared" si="2"/>
        <v/>
      </c>
      <c r="J267" s="1" t="str">
        <f t="array" ref="J267">IFERROR(INDEX('Исходник'!$1:$626,MATCH($A267,'Исходник'!$T:$T,0),MATCH(J$1,'Исходник'!$1:$1,0)))</f>
        <v/>
      </c>
      <c r="K267" s="27" t="str">
        <f t="shared" si="3"/>
        <v/>
      </c>
      <c r="L267" s="1" t="str">
        <f t="array" ref="L267">IFERROR(INDEX('Исходник'!$1:$626,MATCH($A267,'Исходник'!$T:$T,0),MATCH(L$1,'Исходник'!$1:$1,0)))</f>
        <v/>
      </c>
      <c r="M267" s="28">
        <f t="shared" si="4"/>
        <v>0</v>
      </c>
      <c r="N267" s="1" t="str">
        <f t="array" ref="N267">IFERROR(INDEX('Исходник'!$1:$626,MATCH($A267,'Исходник'!$T:$T,0),MATCH(N$1,'Исходник'!$1:$1,0)))</f>
        <v/>
      </c>
      <c r="O267" s="27">
        <f t="shared" si="5"/>
        <v>0</v>
      </c>
      <c r="P267" s="27" t="str">
        <f t="shared" si="6"/>
        <v/>
      </c>
      <c r="Q267" s="1" t="str">
        <f t="array" ref="Q267">IFERROR(INDEX('Исходник'!$1:$626,MATCH($A267,'Исходник'!$T:$T,0),MATCH(Q$1,'Исходник'!$1:$1,0)))</f>
        <v/>
      </c>
      <c r="R267" s="1" t="str">
        <f t="array" ref="R267">IFERROR(INDEX('Исходник'!$1:$626,MATCH($A267,'Исходник'!$T:$T,0),MATCH(R$1,'Исходник'!$1:$1,0)))</f>
        <v/>
      </c>
      <c r="S267" s="27">
        <f t="shared" si="7"/>
        <v>0</v>
      </c>
      <c r="T267" s="27" t="str">
        <f t="shared" si="8"/>
        <v/>
      </c>
      <c r="U267" s="1" t="str">
        <f t="array" ref="U267">IFERROR(INDEX('Исходник'!$1:$626,MATCH($A267,'Исходник'!$T:$T,0),MATCH(U$1,'Исходник'!$1:$1,0)))</f>
        <v/>
      </c>
      <c r="V267" s="27" t="str">
        <f t="shared" si="9"/>
        <v/>
      </c>
      <c r="W267" s="1" t="str">
        <f t="array" ref="W267">IFERROR(INDEX('Исходник'!$1:$626,MATCH($A267,'Исходник'!$T:$T,0),MATCH(W$1,'Исходник'!$1:$1,0)))</f>
        <v/>
      </c>
      <c r="X267" s="28">
        <f t="shared" si="10"/>
        <v>0</v>
      </c>
      <c r="Y267" s="1" t="str">
        <f t="array" ref="Y267">IFERROR(INDEX('Исходник'!$1:$626,MATCH($A267,'Исходник'!$T:$T,0),MATCH(Y$1,'Исходник'!$1:$1,0)))</f>
        <v/>
      </c>
      <c r="Z267" s="27">
        <f t="shared" si="11"/>
        <v>0</v>
      </c>
      <c r="AA267" s="27" t="str">
        <f t="shared" si="12"/>
        <v/>
      </c>
      <c r="AB267" s="1" t="str">
        <f t="array" ref="AB267">IFERROR(INDEX('Исходник'!$1:$626,MATCH($A267,'Исходник'!$T:$T,0),MATCH(AB$1,'Исходник'!$1:$1,0)))</f>
        <v/>
      </c>
      <c r="AC267" s="1" t="str">
        <f t="array" ref="AC267">IFERROR(INDEX('Исходник'!$1:$626,MATCH($A267,'Исходник'!$T:$T,0),MATCH(AC$1,'Исходник'!$1:$1,0)))</f>
        <v/>
      </c>
      <c r="AD267" s="27" t="str">
        <f t="shared" si="13"/>
        <v/>
      </c>
      <c r="AE267" s="1" t="str">
        <f t="array" ref="AE267">IFERROR(INDEX('Исходник'!$1:$626,MATCH($A267,'Исходник'!$T:$T,0),MATCH(AE$1,'Исходник'!$1:$1,0)))</f>
        <v/>
      </c>
      <c r="AF267" s="1" t="str">
        <f t="array" ref="AF267">IFERROR(INDEX('Исходник'!$1:$626,MATCH($A267,'Исходник'!$T:$T,0),MATCH(AF$1,'Исходник'!$1:$1,0)))</f>
        <v/>
      </c>
      <c r="AG267" s="27" t="str">
        <f t="shared" si="14"/>
        <v/>
      </c>
      <c r="AH267" s="1" t="str">
        <f t="array" ref="AH267">IFERROR(INDEX('Исходник'!$1:$626,MATCH($A267,'Исходник'!$T:$T,0),MATCH(AH$1,'Исходник'!$1:$1,0)))</f>
        <v/>
      </c>
      <c r="AI267" s="1" t="str">
        <f t="array" ref="AI267">IFERROR(INDEX('Исходник'!$1:$626,MATCH($A267,'Исходник'!$T:$T,0),MATCH(AI$1,'Исходник'!$1:$1,0)))</f>
        <v/>
      </c>
      <c r="AJ267" s="18">
        <f t="shared" si="15"/>
        <v>0</v>
      </c>
    </row>
    <row r="268" ht="15.75" customHeight="1">
      <c r="A268" s="27"/>
      <c r="B268" s="1" t="str">
        <f t="array" ref="B268">IFERROR(INDEX('Исходник'!$1:$626,MATCH($A268,'Исходник'!$T:$T,0),MATCH(B$1,'Исходник'!$1:$1,0)))</f>
        <v/>
      </c>
      <c r="C268" s="1" t="str">
        <f t="array" ref="C268">IFERROR(INDEX('Исходник'!$1:$626,MATCH($A268,'Исходник'!$T:$T,0),MATCH(C$1,'Исходник'!$1:$1,0)))</f>
        <v/>
      </c>
      <c r="D268" s="1" t="str">
        <f t="array" ref="D268">IFERROR(INDEX('Исходник'!$1:$626,MATCH($A268,'Исходник'!$T:$T,0),MATCH(D$1,'Исходник'!$1:$1,0)))</f>
        <v/>
      </c>
      <c r="E268" s="1" t="str">
        <f t="array" ref="E268">IFERROR(INDEX('Исходник'!$1:$626,MATCH($A268,'Исходник'!$T:$T,0),MATCH(E$1,'Исходник'!$1:$1,0)))</f>
        <v/>
      </c>
      <c r="F268" s="1" t="str">
        <f t="array" ref="F268">IFERROR(INDEX('Исходник'!$1:$626,MATCH($A268,'Исходник'!$T:$T,0),MATCH(F$1,'Исходник'!$1:$1,0)))</f>
        <v/>
      </c>
      <c r="G268" s="1" t="str">
        <f t="array" ref="G268">IFERROR(INDEX('Исходник'!$1:$626,MATCH($A268,'Исходник'!$T:$T,0),MATCH(G$1,'Исходник'!$1:$1,0)))</f>
        <v/>
      </c>
      <c r="H268" s="27">
        <f t="shared" si="1"/>
        <v>0</v>
      </c>
      <c r="I268" s="27" t="str">
        <f t="shared" si="2"/>
        <v/>
      </c>
      <c r="J268" s="1" t="str">
        <f t="array" ref="J268">IFERROR(INDEX('Исходник'!$1:$626,MATCH($A268,'Исходник'!$T:$T,0),MATCH(J$1,'Исходник'!$1:$1,0)))</f>
        <v/>
      </c>
      <c r="K268" s="27" t="str">
        <f t="shared" si="3"/>
        <v/>
      </c>
      <c r="L268" s="1" t="str">
        <f t="array" ref="L268">IFERROR(INDEX('Исходник'!$1:$626,MATCH($A268,'Исходник'!$T:$T,0),MATCH(L$1,'Исходник'!$1:$1,0)))</f>
        <v/>
      </c>
      <c r="M268" s="28">
        <f t="shared" si="4"/>
        <v>0</v>
      </c>
      <c r="N268" s="1" t="str">
        <f t="array" ref="N268">IFERROR(INDEX('Исходник'!$1:$626,MATCH($A268,'Исходник'!$T:$T,0),MATCH(N$1,'Исходник'!$1:$1,0)))</f>
        <v/>
      </c>
      <c r="O268" s="27">
        <f t="shared" si="5"/>
        <v>0</v>
      </c>
      <c r="P268" s="27" t="str">
        <f t="shared" si="6"/>
        <v/>
      </c>
      <c r="Q268" s="1" t="str">
        <f t="array" ref="Q268">IFERROR(INDEX('Исходник'!$1:$626,MATCH($A268,'Исходник'!$T:$T,0),MATCH(Q$1,'Исходник'!$1:$1,0)))</f>
        <v/>
      </c>
      <c r="R268" s="1" t="str">
        <f t="array" ref="R268">IFERROR(INDEX('Исходник'!$1:$626,MATCH($A268,'Исходник'!$T:$T,0),MATCH(R$1,'Исходник'!$1:$1,0)))</f>
        <v/>
      </c>
      <c r="S268" s="27">
        <f t="shared" si="7"/>
        <v>0</v>
      </c>
      <c r="T268" s="27" t="str">
        <f t="shared" si="8"/>
        <v/>
      </c>
      <c r="U268" s="1" t="str">
        <f t="array" ref="U268">IFERROR(INDEX('Исходник'!$1:$626,MATCH($A268,'Исходник'!$T:$T,0),MATCH(U$1,'Исходник'!$1:$1,0)))</f>
        <v/>
      </c>
      <c r="V268" s="27" t="str">
        <f t="shared" si="9"/>
        <v/>
      </c>
      <c r="W268" s="1" t="str">
        <f t="array" ref="W268">IFERROR(INDEX('Исходник'!$1:$626,MATCH($A268,'Исходник'!$T:$T,0),MATCH(W$1,'Исходник'!$1:$1,0)))</f>
        <v/>
      </c>
      <c r="X268" s="28">
        <f t="shared" si="10"/>
        <v>0</v>
      </c>
      <c r="Y268" s="1" t="str">
        <f t="array" ref="Y268">IFERROR(INDEX('Исходник'!$1:$626,MATCH($A268,'Исходник'!$T:$T,0),MATCH(Y$1,'Исходник'!$1:$1,0)))</f>
        <v/>
      </c>
      <c r="Z268" s="27">
        <f t="shared" si="11"/>
        <v>0</v>
      </c>
      <c r="AA268" s="27" t="str">
        <f t="shared" si="12"/>
        <v/>
      </c>
      <c r="AB268" s="1" t="str">
        <f t="array" ref="AB268">IFERROR(INDEX('Исходник'!$1:$626,MATCH($A268,'Исходник'!$T:$T,0),MATCH(AB$1,'Исходник'!$1:$1,0)))</f>
        <v/>
      </c>
      <c r="AC268" s="1" t="str">
        <f t="array" ref="AC268">IFERROR(INDEX('Исходник'!$1:$626,MATCH($A268,'Исходник'!$T:$T,0),MATCH(AC$1,'Исходник'!$1:$1,0)))</f>
        <v/>
      </c>
      <c r="AD268" s="27" t="str">
        <f t="shared" si="13"/>
        <v/>
      </c>
      <c r="AE268" s="1" t="str">
        <f t="array" ref="AE268">IFERROR(INDEX('Исходник'!$1:$626,MATCH($A268,'Исходник'!$T:$T,0),MATCH(AE$1,'Исходник'!$1:$1,0)))</f>
        <v/>
      </c>
      <c r="AF268" s="1" t="str">
        <f t="array" ref="AF268">IFERROR(INDEX('Исходник'!$1:$626,MATCH($A268,'Исходник'!$T:$T,0),MATCH(AF$1,'Исходник'!$1:$1,0)))</f>
        <v/>
      </c>
      <c r="AG268" s="27" t="str">
        <f t="shared" si="14"/>
        <v/>
      </c>
      <c r="AH268" s="1" t="str">
        <f t="array" ref="AH268">IFERROR(INDEX('Исходник'!$1:$626,MATCH($A268,'Исходник'!$T:$T,0),MATCH(AH$1,'Исходник'!$1:$1,0)))</f>
        <v/>
      </c>
      <c r="AI268" s="1" t="str">
        <f t="array" ref="AI268">IFERROR(INDEX('Исходник'!$1:$626,MATCH($A268,'Исходник'!$T:$T,0),MATCH(AI$1,'Исходник'!$1:$1,0)))</f>
        <v/>
      </c>
      <c r="AJ268" s="18">
        <f t="shared" si="15"/>
        <v>0</v>
      </c>
    </row>
    <row r="269" ht="15.75" customHeight="1">
      <c r="A269" s="27"/>
      <c r="B269" s="1" t="str">
        <f t="array" ref="B269">IFERROR(INDEX('Исходник'!$1:$626,MATCH($A269,'Исходник'!$T:$T,0),MATCH(B$1,'Исходник'!$1:$1,0)))</f>
        <v/>
      </c>
      <c r="C269" s="1" t="str">
        <f t="array" ref="C269">IFERROR(INDEX('Исходник'!$1:$626,MATCH($A269,'Исходник'!$T:$T,0),MATCH(C$1,'Исходник'!$1:$1,0)))</f>
        <v/>
      </c>
      <c r="D269" s="1" t="str">
        <f t="array" ref="D269">IFERROR(INDEX('Исходник'!$1:$626,MATCH($A269,'Исходник'!$T:$T,0),MATCH(D$1,'Исходник'!$1:$1,0)))</f>
        <v/>
      </c>
      <c r="E269" s="1" t="str">
        <f t="array" ref="E269">IFERROR(INDEX('Исходник'!$1:$626,MATCH($A269,'Исходник'!$T:$T,0),MATCH(E$1,'Исходник'!$1:$1,0)))</f>
        <v/>
      </c>
      <c r="F269" s="1" t="str">
        <f t="array" ref="F269">IFERROR(INDEX('Исходник'!$1:$626,MATCH($A269,'Исходник'!$T:$T,0),MATCH(F$1,'Исходник'!$1:$1,0)))</f>
        <v/>
      </c>
      <c r="G269" s="1" t="str">
        <f t="array" ref="G269">IFERROR(INDEX('Исходник'!$1:$626,MATCH($A269,'Исходник'!$T:$T,0),MATCH(G$1,'Исходник'!$1:$1,0)))</f>
        <v/>
      </c>
      <c r="H269" s="27">
        <f t="shared" si="1"/>
        <v>0</v>
      </c>
      <c r="I269" s="27" t="str">
        <f t="shared" si="2"/>
        <v/>
      </c>
      <c r="J269" s="1" t="str">
        <f t="array" ref="J269">IFERROR(INDEX('Исходник'!$1:$626,MATCH($A269,'Исходник'!$T:$T,0),MATCH(J$1,'Исходник'!$1:$1,0)))</f>
        <v/>
      </c>
      <c r="K269" s="27" t="str">
        <f t="shared" si="3"/>
        <v/>
      </c>
      <c r="L269" s="1" t="str">
        <f t="array" ref="L269">IFERROR(INDEX('Исходник'!$1:$626,MATCH($A269,'Исходник'!$T:$T,0),MATCH(L$1,'Исходник'!$1:$1,0)))</f>
        <v/>
      </c>
      <c r="M269" s="28">
        <f t="shared" si="4"/>
        <v>0</v>
      </c>
      <c r="N269" s="1" t="str">
        <f t="array" ref="N269">IFERROR(INDEX('Исходник'!$1:$626,MATCH($A269,'Исходник'!$T:$T,0),MATCH(N$1,'Исходник'!$1:$1,0)))</f>
        <v/>
      </c>
      <c r="O269" s="27">
        <f t="shared" si="5"/>
        <v>0</v>
      </c>
      <c r="P269" s="27" t="str">
        <f t="shared" si="6"/>
        <v/>
      </c>
      <c r="Q269" s="1" t="str">
        <f t="array" ref="Q269">IFERROR(INDEX('Исходник'!$1:$626,MATCH($A269,'Исходник'!$T:$T,0),MATCH(Q$1,'Исходник'!$1:$1,0)))</f>
        <v/>
      </c>
      <c r="R269" s="1" t="str">
        <f t="array" ref="R269">IFERROR(INDEX('Исходник'!$1:$626,MATCH($A269,'Исходник'!$T:$T,0),MATCH(R$1,'Исходник'!$1:$1,0)))</f>
        <v/>
      </c>
      <c r="S269" s="27">
        <f t="shared" si="7"/>
        <v>0</v>
      </c>
      <c r="T269" s="27" t="str">
        <f t="shared" si="8"/>
        <v/>
      </c>
      <c r="U269" s="1" t="str">
        <f t="array" ref="U269">IFERROR(INDEX('Исходник'!$1:$626,MATCH($A269,'Исходник'!$T:$T,0),MATCH(U$1,'Исходник'!$1:$1,0)))</f>
        <v/>
      </c>
      <c r="V269" s="27" t="str">
        <f t="shared" si="9"/>
        <v/>
      </c>
      <c r="W269" s="1" t="str">
        <f t="array" ref="W269">IFERROR(INDEX('Исходник'!$1:$626,MATCH($A269,'Исходник'!$T:$T,0),MATCH(W$1,'Исходник'!$1:$1,0)))</f>
        <v/>
      </c>
      <c r="X269" s="28">
        <f t="shared" si="10"/>
        <v>0</v>
      </c>
      <c r="Y269" s="1" t="str">
        <f t="array" ref="Y269">IFERROR(INDEX('Исходник'!$1:$626,MATCH($A269,'Исходник'!$T:$T,0),MATCH(Y$1,'Исходник'!$1:$1,0)))</f>
        <v/>
      </c>
      <c r="Z269" s="27">
        <f t="shared" si="11"/>
        <v>0</v>
      </c>
      <c r="AA269" s="27" t="str">
        <f t="shared" si="12"/>
        <v/>
      </c>
      <c r="AB269" s="1" t="str">
        <f t="array" ref="AB269">IFERROR(INDEX('Исходник'!$1:$626,MATCH($A269,'Исходник'!$T:$T,0),MATCH(AB$1,'Исходник'!$1:$1,0)))</f>
        <v/>
      </c>
      <c r="AC269" s="1" t="str">
        <f t="array" ref="AC269">IFERROR(INDEX('Исходник'!$1:$626,MATCH($A269,'Исходник'!$T:$T,0),MATCH(AC$1,'Исходник'!$1:$1,0)))</f>
        <v/>
      </c>
      <c r="AD269" s="27" t="str">
        <f t="shared" si="13"/>
        <v/>
      </c>
      <c r="AE269" s="1" t="str">
        <f t="array" ref="AE269">IFERROR(INDEX('Исходник'!$1:$626,MATCH($A269,'Исходник'!$T:$T,0),MATCH(AE$1,'Исходник'!$1:$1,0)))</f>
        <v/>
      </c>
      <c r="AF269" s="1" t="str">
        <f t="array" ref="AF269">IFERROR(INDEX('Исходник'!$1:$626,MATCH($A269,'Исходник'!$T:$T,0),MATCH(AF$1,'Исходник'!$1:$1,0)))</f>
        <v/>
      </c>
      <c r="AG269" s="27" t="str">
        <f t="shared" si="14"/>
        <v/>
      </c>
      <c r="AH269" s="1" t="str">
        <f t="array" ref="AH269">IFERROR(INDEX('Исходник'!$1:$626,MATCH($A269,'Исходник'!$T:$T,0),MATCH(AH$1,'Исходник'!$1:$1,0)))</f>
        <v/>
      </c>
      <c r="AI269" s="1" t="str">
        <f t="array" ref="AI269">IFERROR(INDEX('Исходник'!$1:$626,MATCH($A269,'Исходник'!$T:$T,0),MATCH(AI$1,'Исходник'!$1:$1,0)))</f>
        <v/>
      </c>
      <c r="AJ269" s="18">
        <f t="shared" si="15"/>
        <v>0</v>
      </c>
    </row>
    <row r="270" ht="15.75" customHeight="1">
      <c r="A270" s="27"/>
      <c r="B270" s="1" t="str">
        <f t="array" ref="B270">IFERROR(INDEX('Исходник'!$1:$626,MATCH($A270,'Исходник'!$T:$T,0),MATCH(B$1,'Исходник'!$1:$1,0)))</f>
        <v/>
      </c>
      <c r="C270" s="1" t="str">
        <f t="array" ref="C270">IFERROR(INDEX('Исходник'!$1:$626,MATCH($A270,'Исходник'!$T:$T,0),MATCH(C$1,'Исходник'!$1:$1,0)))</f>
        <v/>
      </c>
      <c r="D270" s="1" t="str">
        <f t="array" ref="D270">IFERROR(INDEX('Исходник'!$1:$626,MATCH($A270,'Исходник'!$T:$T,0),MATCH(D$1,'Исходник'!$1:$1,0)))</f>
        <v/>
      </c>
      <c r="E270" s="1" t="str">
        <f t="array" ref="E270">IFERROR(INDEX('Исходник'!$1:$626,MATCH($A270,'Исходник'!$T:$T,0),MATCH(E$1,'Исходник'!$1:$1,0)))</f>
        <v/>
      </c>
      <c r="F270" s="1" t="str">
        <f t="array" ref="F270">IFERROR(INDEX('Исходник'!$1:$626,MATCH($A270,'Исходник'!$T:$T,0),MATCH(F$1,'Исходник'!$1:$1,0)))</f>
        <v/>
      </c>
      <c r="G270" s="1" t="str">
        <f t="array" ref="G270">IFERROR(INDEX('Исходник'!$1:$626,MATCH($A270,'Исходник'!$T:$T,0),MATCH(G$1,'Исходник'!$1:$1,0)))</f>
        <v/>
      </c>
      <c r="H270" s="27">
        <f t="shared" si="1"/>
        <v>0</v>
      </c>
      <c r="I270" s="27" t="str">
        <f t="shared" si="2"/>
        <v/>
      </c>
      <c r="J270" s="1" t="str">
        <f t="array" ref="J270">IFERROR(INDEX('Исходник'!$1:$626,MATCH($A270,'Исходник'!$T:$T,0),MATCH(J$1,'Исходник'!$1:$1,0)))</f>
        <v/>
      </c>
      <c r="K270" s="27" t="str">
        <f t="shared" si="3"/>
        <v/>
      </c>
      <c r="L270" s="1" t="str">
        <f t="array" ref="L270">IFERROR(INDEX('Исходник'!$1:$626,MATCH($A270,'Исходник'!$T:$T,0),MATCH(L$1,'Исходник'!$1:$1,0)))</f>
        <v/>
      </c>
      <c r="M270" s="28">
        <f t="shared" si="4"/>
        <v>0</v>
      </c>
      <c r="N270" s="1" t="str">
        <f t="array" ref="N270">IFERROR(INDEX('Исходник'!$1:$626,MATCH($A270,'Исходник'!$T:$T,0),MATCH(N$1,'Исходник'!$1:$1,0)))</f>
        <v/>
      </c>
      <c r="O270" s="27">
        <f t="shared" si="5"/>
        <v>0</v>
      </c>
      <c r="P270" s="27" t="str">
        <f t="shared" si="6"/>
        <v/>
      </c>
      <c r="Q270" s="1" t="str">
        <f t="array" ref="Q270">IFERROR(INDEX('Исходник'!$1:$626,MATCH($A270,'Исходник'!$T:$T,0),MATCH(Q$1,'Исходник'!$1:$1,0)))</f>
        <v/>
      </c>
      <c r="R270" s="1" t="str">
        <f t="array" ref="R270">IFERROR(INDEX('Исходник'!$1:$626,MATCH($A270,'Исходник'!$T:$T,0),MATCH(R$1,'Исходник'!$1:$1,0)))</f>
        <v/>
      </c>
      <c r="S270" s="27">
        <f t="shared" si="7"/>
        <v>0</v>
      </c>
      <c r="T270" s="27" t="str">
        <f t="shared" si="8"/>
        <v/>
      </c>
      <c r="U270" s="1" t="str">
        <f t="array" ref="U270">IFERROR(INDEX('Исходник'!$1:$626,MATCH($A270,'Исходник'!$T:$T,0),MATCH(U$1,'Исходник'!$1:$1,0)))</f>
        <v/>
      </c>
      <c r="V270" s="27" t="str">
        <f t="shared" si="9"/>
        <v/>
      </c>
      <c r="W270" s="1" t="str">
        <f t="array" ref="W270">IFERROR(INDEX('Исходник'!$1:$626,MATCH($A270,'Исходник'!$T:$T,0),MATCH(W$1,'Исходник'!$1:$1,0)))</f>
        <v/>
      </c>
      <c r="X270" s="28">
        <f t="shared" si="10"/>
        <v>0</v>
      </c>
      <c r="Y270" s="1" t="str">
        <f t="array" ref="Y270">IFERROR(INDEX('Исходник'!$1:$626,MATCH($A270,'Исходник'!$T:$T,0),MATCH(Y$1,'Исходник'!$1:$1,0)))</f>
        <v/>
      </c>
      <c r="Z270" s="27">
        <f t="shared" si="11"/>
        <v>0</v>
      </c>
      <c r="AA270" s="27" t="str">
        <f t="shared" si="12"/>
        <v/>
      </c>
      <c r="AB270" s="1" t="str">
        <f t="array" ref="AB270">IFERROR(INDEX('Исходник'!$1:$626,MATCH($A270,'Исходник'!$T:$T,0),MATCH(AB$1,'Исходник'!$1:$1,0)))</f>
        <v/>
      </c>
      <c r="AC270" s="1" t="str">
        <f t="array" ref="AC270">IFERROR(INDEX('Исходник'!$1:$626,MATCH($A270,'Исходник'!$T:$T,0),MATCH(AC$1,'Исходник'!$1:$1,0)))</f>
        <v/>
      </c>
      <c r="AD270" s="27" t="str">
        <f t="shared" si="13"/>
        <v/>
      </c>
      <c r="AE270" s="1" t="str">
        <f t="array" ref="AE270">IFERROR(INDEX('Исходник'!$1:$626,MATCH($A270,'Исходник'!$T:$T,0),MATCH(AE$1,'Исходник'!$1:$1,0)))</f>
        <v/>
      </c>
      <c r="AF270" s="1" t="str">
        <f t="array" ref="AF270">IFERROR(INDEX('Исходник'!$1:$626,MATCH($A270,'Исходник'!$T:$T,0),MATCH(AF$1,'Исходник'!$1:$1,0)))</f>
        <v/>
      </c>
      <c r="AG270" s="27" t="str">
        <f t="shared" si="14"/>
        <v/>
      </c>
      <c r="AH270" s="1" t="str">
        <f t="array" ref="AH270">IFERROR(INDEX('Исходник'!$1:$626,MATCH($A270,'Исходник'!$T:$T,0),MATCH(AH$1,'Исходник'!$1:$1,0)))</f>
        <v/>
      </c>
      <c r="AI270" s="1" t="str">
        <f t="array" ref="AI270">IFERROR(INDEX('Исходник'!$1:$626,MATCH($A270,'Исходник'!$T:$T,0),MATCH(AI$1,'Исходник'!$1:$1,0)))</f>
        <v/>
      </c>
      <c r="AJ270" s="18">
        <f t="shared" si="15"/>
        <v>0</v>
      </c>
    </row>
    <row r="271" ht="15.75" customHeight="1">
      <c r="A271" s="27"/>
      <c r="B271" s="1" t="str">
        <f t="array" ref="B271">IFERROR(INDEX('Исходник'!$1:$626,MATCH($A271,'Исходник'!$T:$T,0),MATCH(B$1,'Исходник'!$1:$1,0)))</f>
        <v/>
      </c>
      <c r="C271" s="1" t="str">
        <f t="array" ref="C271">IFERROR(INDEX('Исходник'!$1:$626,MATCH($A271,'Исходник'!$T:$T,0),MATCH(C$1,'Исходник'!$1:$1,0)))</f>
        <v/>
      </c>
      <c r="D271" s="1" t="str">
        <f t="array" ref="D271">IFERROR(INDEX('Исходник'!$1:$626,MATCH($A271,'Исходник'!$T:$T,0),MATCH(D$1,'Исходник'!$1:$1,0)))</f>
        <v/>
      </c>
      <c r="E271" s="1" t="str">
        <f t="array" ref="E271">IFERROR(INDEX('Исходник'!$1:$626,MATCH($A271,'Исходник'!$T:$T,0),MATCH(E$1,'Исходник'!$1:$1,0)))</f>
        <v/>
      </c>
      <c r="F271" s="1" t="str">
        <f t="array" ref="F271">IFERROR(INDEX('Исходник'!$1:$626,MATCH($A271,'Исходник'!$T:$T,0),MATCH(F$1,'Исходник'!$1:$1,0)))</f>
        <v/>
      </c>
      <c r="G271" s="1" t="str">
        <f t="array" ref="G271">IFERROR(INDEX('Исходник'!$1:$626,MATCH($A271,'Исходник'!$T:$T,0),MATCH(G$1,'Исходник'!$1:$1,0)))</f>
        <v/>
      </c>
      <c r="H271" s="27">
        <f t="shared" si="1"/>
        <v>0</v>
      </c>
      <c r="I271" s="27" t="str">
        <f t="shared" si="2"/>
        <v/>
      </c>
      <c r="J271" s="1" t="str">
        <f t="array" ref="J271">IFERROR(INDEX('Исходник'!$1:$626,MATCH($A271,'Исходник'!$T:$T,0),MATCH(J$1,'Исходник'!$1:$1,0)))</f>
        <v/>
      </c>
      <c r="K271" s="27" t="str">
        <f t="shared" si="3"/>
        <v/>
      </c>
      <c r="L271" s="1" t="str">
        <f t="array" ref="L271">IFERROR(INDEX('Исходник'!$1:$626,MATCH($A271,'Исходник'!$T:$T,0),MATCH(L$1,'Исходник'!$1:$1,0)))</f>
        <v/>
      </c>
      <c r="M271" s="28">
        <f t="shared" si="4"/>
        <v>0</v>
      </c>
      <c r="N271" s="1" t="str">
        <f t="array" ref="N271">IFERROR(INDEX('Исходник'!$1:$626,MATCH($A271,'Исходник'!$T:$T,0),MATCH(N$1,'Исходник'!$1:$1,0)))</f>
        <v/>
      </c>
      <c r="O271" s="27">
        <f t="shared" si="5"/>
        <v>0</v>
      </c>
      <c r="P271" s="27" t="str">
        <f t="shared" si="6"/>
        <v/>
      </c>
      <c r="Q271" s="1" t="str">
        <f t="array" ref="Q271">IFERROR(INDEX('Исходник'!$1:$626,MATCH($A271,'Исходник'!$T:$T,0),MATCH(Q$1,'Исходник'!$1:$1,0)))</f>
        <v/>
      </c>
      <c r="R271" s="1" t="str">
        <f t="array" ref="R271">IFERROR(INDEX('Исходник'!$1:$626,MATCH($A271,'Исходник'!$T:$T,0),MATCH(R$1,'Исходник'!$1:$1,0)))</f>
        <v/>
      </c>
      <c r="S271" s="27">
        <f t="shared" si="7"/>
        <v>0</v>
      </c>
      <c r="T271" s="27" t="str">
        <f t="shared" si="8"/>
        <v/>
      </c>
      <c r="U271" s="1" t="str">
        <f t="array" ref="U271">IFERROR(INDEX('Исходник'!$1:$626,MATCH($A271,'Исходник'!$T:$T,0),MATCH(U$1,'Исходник'!$1:$1,0)))</f>
        <v/>
      </c>
      <c r="V271" s="27" t="str">
        <f t="shared" si="9"/>
        <v/>
      </c>
      <c r="W271" s="1" t="str">
        <f t="array" ref="W271">IFERROR(INDEX('Исходник'!$1:$626,MATCH($A271,'Исходник'!$T:$T,0),MATCH(W$1,'Исходник'!$1:$1,0)))</f>
        <v/>
      </c>
      <c r="X271" s="28">
        <f t="shared" si="10"/>
        <v>0</v>
      </c>
      <c r="Y271" s="1" t="str">
        <f t="array" ref="Y271">IFERROR(INDEX('Исходник'!$1:$626,MATCH($A271,'Исходник'!$T:$T,0),MATCH(Y$1,'Исходник'!$1:$1,0)))</f>
        <v/>
      </c>
      <c r="Z271" s="27">
        <f t="shared" si="11"/>
        <v>0</v>
      </c>
      <c r="AA271" s="27" t="str">
        <f t="shared" si="12"/>
        <v/>
      </c>
      <c r="AB271" s="1" t="str">
        <f t="array" ref="AB271">IFERROR(INDEX('Исходник'!$1:$626,MATCH($A271,'Исходник'!$T:$T,0),MATCH(AB$1,'Исходник'!$1:$1,0)))</f>
        <v/>
      </c>
      <c r="AC271" s="1" t="str">
        <f t="array" ref="AC271">IFERROR(INDEX('Исходник'!$1:$626,MATCH($A271,'Исходник'!$T:$T,0),MATCH(AC$1,'Исходник'!$1:$1,0)))</f>
        <v/>
      </c>
      <c r="AD271" s="27" t="str">
        <f t="shared" si="13"/>
        <v/>
      </c>
      <c r="AE271" s="1" t="str">
        <f t="array" ref="AE271">IFERROR(INDEX('Исходник'!$1:$626,MATCH($A271,'Исходник'!$T:$T,0),MATCH(AE$1,'Исходник'!$1:$1,0)))</f>
        <v/>
      </c>
      <c r="AF271" s="1" t="str">
        <f t="array" ref="AF271">IFERROR(INDEX('Исходник'!$1:$626,MATCH($A271,'Исходник'!$T:$T,0),MATCH(AF$1,'Исходник'!$1:$1,0)))</f>
        <v/>
      </c>
      <c r="AG271" s="27" t="str">
        <f t="shared" si="14"/>
        <v/>
      </c>
      <c r="AH271" s="1" t="str">
        <f t="array" ref="AH271">IFERROR(INDEX('Исходник'!$1:$626,MATCH($A271,'Исходник'!$T:$T,0),MATCH(AH$1,'Исходник'!$1:$1,0)))</f>
        <v/>
      </c>
      <c r="AI271" s="1" t="str">
        <f t="array" ref="AI271">IFERROR(INDEX('Исходник'!$1:$626,MATCH($A271,'Исходник'!$T:$T,0),MATCH(AI$1,'Исходник'!$1:$1,0)))</f>
        <v/>
      </c>
      <c r="AJ271" s="18">
        <f t="shared" si="15"/>
        <v>0</v>
      </c>
    </row>
    <row r="272" ht="15.75" customHeight="1">
      <c r="A272" s="27"/>
      <c r="B272" s="1" t="str">
        <f t="array" ref="B272">IFERROR(INDEX('Исходник'!$1:$626,MATCH($A272,'Исходник'!$T:$T,0),MATCH(B$1,'Исходник'!$1:$1,0)))</f>
        <v/>
      </c>
      <c r="C272" s="1" t="str">
        <f t="array" ref="C272">IFERROR(INDEX('Исходник'!$1:$626,MATCH($A272,'Исходник'!$T:$T,0),MATCH(C$1,'Исходник'!$1:$1,0)))</f>
        <v/>
      </c>
      <c r="D272" s="1" t="str">
        <f t="array" ref="D272">IFERROR(INDEX('Исходник'!$1:$626,MATCH($A272,'Исходник'!$T:$T,0),MATCH(D$1,'Исходник'!$1:$1,0)))</f>
        <v/>
      </c>
      <c r="E272" s="1" t="str">
        <f t="array" ref="E272">IFERROR(INDEX('Исходник'!$1:$626,MATCH($A272,'Исходник'!$T:$T,0),MATCH(E$1,'Исходник'!$1:$1,0)))</f>
        <v/>
      </c>
      <c r="F272" s="1" t="str">
        <f t="array" ref="F272">IFERROR(INDEX('Исходник'!$1:$626,MATCH($A272,'Исходник'!$T:$T,0),MATCH(F$1,'Исходник'!$1:$1,0)))</f>
        <v/>
      </c>
      <c r="G272" s="1" t="str">
        <f t="array" ref="G272">IFERROR(INDEX('Исходник'!$1:$626,MATCH($A272,'Исходник'!$T:$T,0),MATCH(G$1,'Исходник'!$1:$1,0)))</f>
        <v/>
      </c>
      <c r="H272" s="27">
        <f t="shared" si="1"/>
        <v>0</v>
      </c>
      <c r="I272" s="27" t="str">
        <f t="shared" si="2"/>
        <v/>
      </c>
      <c r="J272" s="1" t="str">
        <f t="array" ref="J272">IFERROR(INDEX('Исходник'!$1:$626,MATCH($A272,'Исходник'!$T:$T,0),MATCH(J$1,'Исходник'!$1:$1,0)))</f>
        <v/>
      </c>
      <c r="K272" s="27" t="str">
        <f t="shared" si="3"/>
        <v/>
      </c>
      <c r="L272" s="1" t="str">
        <f t="array" ref="L272">IFERROR(INDEX('Исходник'!$1:$626,MATCH($A272,'Исходник'!$T:$T,0),MATCH(L$1,'Исходник'!$1:$1,0)))</f>
        <v/>
      </c>
      <c r="M272" s="28">
        <f t="shared" si="4"/>
        <v>0</v>
      </c>
      <c r="N272" s="1" t="str">
        <f t="array" ref="N272">IFERROR(INDEX('Исходник'!$1:$626,MATCH($A272,'Исходник'!$T:$T,0),MATCH(N$1,'Исходник'!$1:$1,0)))</f>
        <v/>
      </c>
      <c r="O272" s="27">
        <f t="shared" si="5"/>
        <v>0</v>
      </c>
      <c r="P272" s="27" t="str">
        <f t="shared" si="6"/>
        <v/>
      </c>
      <c r="Q272" s="1" t="str">
        <f t="array" ref="Q272">IFERROR(INDEX('Исходник'!$1:$626,MATCH($A272,'Исходник'!$T:$T,0),MATCH(Q$1,'Исходник'!$1:$1,0)))</f>
        <v/>
      </c>
      <c r="R272" s="1" t="str">
        <f t="array" ref="R272">IFERROR(INDEX('Исходник'!$1:$626,MATCH($A272,'Исходник'!$T:$T,0),MATCH(R$1,'Исходник'!$1:$1,0)))</f>
        <v/>
      </c>
      <c r="S272" s="27">
        <f t="shared" si="7"/>
        <v>0</v>
      </c>
      <c r="T272" s="27" t="str">
        <f t="shared" si="8"/>
        <v/>
      </c>
      <c r="U272" s="1" t="str">
        <f t="array" ref="U272">IFERROR(INDEX('Исходник'!$1:$626,MATCH($A272,'Исходник'!$T:$T,0),MATCH(U$1,'Исходник'!$1:$1,0)))</f>
        <v/>
      </c>
      <c r="V272" s="27" t="str">
        <f t="shared" si="9"/>
        <v/>
      </c>
      <c r="W272" s="1" t="str">
        <f t="array" ref="W272">IFERROR(INDEX('Исходник'!$1:$626,MATCH($A272,'Исходник'!$T:$T,0),MATCH(W$1,'Исходник'!$1:$1,0)))</f>
        <v/>
      </c>
      <c r="X272" s="28">
        <f t="shared" si="10"/>
        <v>0</v>
      </c>
      <c r="Y272" s="1" t="str">
        <f t="array" ref="Y272">IFERROR(INDEX('Исходник'!$1:$626,MATCH($A272,'Исходник'!$T:$T,0),MATCH(Y$1,'Исходник'!$1:$1,0)))</f>
        <v/>
      </c>
      <c r="Z272" s="27">
        <f t="shared" si="11"/>
        <v>0</v>
      </c>
      <c r="AA272" s="27" t="str">
        <f t="shared" si="12"/>
        <v/>
      </c>
      <c r="AB272" s="1" t="str">
        <f t="array" ref="AB272">IFERROR(INDEX('Исходник'!$1:$626,MATCH($A272,'Исходник'!$T:$T,0),MATCH(AB$1,'Исходник'!$1:$1,0)))</f>
        <v/>
      </c>
      <c r="AC272" s="1" t="str">
        <f t="array" ref="AC272">IFERROR(INDEX('Исходник'!$1:$626,MATCH($A272,'Исходник'!$T:$T,0),MATCH(AC$1,'Исходник'!$1:$1,0)))</f>
        <v/>
      </c>
      <c r="AD272" s="27" t="str">
        <f t="shared" si="13"/>
        <v/>
      </c>
      <c r="AE272" s="1" t="str">
        <f t="array" ref="AE272">IFERROR(INDEX('Исходник'!$1:$626,MATCH($A272,'Исходник'!$T:$T,0),MATCH(AE$1,'Исходник'!$1:$1,0)))</f>
        <v/>
      </c>
      <c r="AF272" s="1" t="str">
        <f t="array" ref="AF272">IFERROR(INDEX('Исходник'!$1:$626,MATCH($A272,'Исходник'!$T:$T,0),MATCH(AF$1,'Исходник'!$1:$1,0)))</f>
        <v/>
      </c>
      <c r="AG272" s="27" t="str">
        <f t="shared" si="14"/>
        <v/>
      </c>
      <c r="AH272" s="1" t="str">
        <f t="array" ref="AH272">IFERROR(INDEX('Исходник'!$1:$626,MATCH($A272,'Исходник'!$T:$T,0),MATCH(AH$1,'Исходник'!$1:$1,0)))</f>
        <v/>
      </c>
      <c r="AI272" s="1" t="str">
        <f t="array" ref="AI272">IFERROR(INDEX('Исходник'!$1:$626,MATCH($A272,'Исходник'!$T:$T,0),MATCH(AI$1,'Исходник'!$1:$1,0)))</f>
        <v/>
      </c>
      <c r="AJ272" s="18">
        <f t="shared" si="15"/>
        <v>0</v>
      </c>
    </row>
    <row r="273" ht="15.75" customHeight="1">
      <c r="A273" s="27"/>
      <c r="B273" s="1" t="str">
        <f t="array" ref="B273">IFERROR(INDEX('Исходник'!$1:$626,MATCH($A273,'Исходник'!$T:$T,0),MATCH(B$1,'Исходник'!$1:$1,0)))</f>
        <v/>
      </c>
      <c r="C273" s="1" t="str">
        <f t="array" ref="C273">IFERROR(INDEX('Исходник'!$1:$626,MATCH($A273,'Исходник'!$T:$T,0),MATCH(C$1,'Исходник'!$1:$1,0)))</f>
        <v/>
      </c>
      <c r="D273" s="1" t="str">
        <f t="array" ref="D273">IFERROR(INDEX('Исходник'!$1:$626,MATCH($A273,'Исходник'!$T:$T,0),MATCH(D$1,'Исходник'!$1:$1,0)))</f>
        <v/>
      </c>
      <c r="E273" s="1" t="str">
        <f t="array" ref="E273">IFERROR(INDEX('Исходник'!$1:$626,MATCH($A273,'Исходник'!$T:$T,0),MATCH(E$1,'Исходник'!$1:$1,0)))</f>
        <v/>
      </c>
      <c r="F273" s="1" t="str">
        <f t="array" ref="F273">IFERROR(INDEX('Исходник'!$1:$626,MATCH($A273,'Исходник'!$T:$T,0),MATCH(F$1,'Исходник'!$1:$1,0)))</f>
        <v/>
      </c>
      <c r="G273" s="1" t="str">
        <f t="array" ref="G273">IFERROR(INDEX('Исходник'!$1:$626,MATCH($A273,'Исходник'!$T:$T,0),MATCH(G$1,'Исходник'!$1:$1,0)))</f>
        <v/>
      </c>
      <c r="H273" s="27">
        <f t="shared" si="1"/>
        <v>0</v>
      </c>
      <c r="I273" s="27" t="str">
        <f t="shared" si="2"/>
        <v/>
      </c>
      <c r="J273" s="1" t="str">
        <f t="array" ref="J273">IFERROR(INDEX('Исходник'!$1:$626,MATCH($A273,'Исходник'!$T:$T,0),MATCH(J$1,'Исходник'!$1:$1,0)))</f>
        <v/>
      </c>
      <c r="K273" s="27" t="str">
        <f t="shared" si="3"/>
        <v/>
      </c>
      <c r="L273" s="1" t="str">
        <f t="array" ref="L273">IFERROR(INDEX('Исходник'!$1:$626,MATCH($A273,'Исходник'!$T:$T,0),MATCH(L$1,'Исходник'!$1:$1,0)))</f>
        <v/>
      </c>
      <c r="M273" s="28">
        <f t="shared" si="4"/>
        <v>0</v>
      </c>
      <c r="N273" s="1" t="str">
        <f t="array" ref="N273">IFERROR(INDEX('Исходник'!$1:$626,MATCH($A273,'Исходник'!$T:$T,0),MATCH(N$1,'Исходник'!$1:$1,0)))</f>
        <v/>
      </c>
      <c r="O273" s="27">
        <f t="shared" si="5"/>
        <v>0</v>
      </c>
      <c r="P273" s="27" t="str">
        <f t="shared" si="6"/>
        <v/>
      </c>
      <c r="Q273" s="1" t="str">
        <f t="array" ref="Q273">IFERROR(INDEX('Исходник'!$1:$626,MATCH($A273,'Исходник'!$T:$T,0),MATCH(Q$1,'Исходник'!$1:$1,0)))</f>
        <v/>
      </c>
      <c r="R273" s="1" t="str">
        <f t="array" ref="R273">IFERROR(INDEX('Исходник'!$1:$626,MATCH($A273,'Исходник'!$T:$T,0),MATCH(R$1,'Исходник'!$1:$1,0)))</f>
        <v/>
      </c>
      <c r="S273" s="27">
        <f t="shared" si="7"/>
        <v>0</v>
      </c>
      <c r="T273" s="27" t="str">
        <f t="shared" si="8"/>
        <v/>
      </c>
      <c r="U273" s="1" t="str">
        <f t="array" ref="U273">IFERROR(INDEX('Исходник'!$1:$626,MATCH($A273,'Исходник'!$T:$T,0),MATCH(U$1,'Исходник'!$1:$1,0)))</f>
        <v/>
      </c>
      <c r="V273" s="27" t="str">
        <f t="shared" si="9"/>
        <v/>
      </c>
      <c r="W273" s="1" t="str">
        <f t="array" ref="W273">IFERROR(INDEX('Исходник'!$1:$626,MATCH($A273,'Исходник'!$T:$T,0),MATCH(W$1,'Исходник'!$1:$1,0)))</f>
        <v/>
      </c>
      <c r="X273" s="28">
        <f t="shared" si="10"/>
        <v>0</v>
      </c>
      <c r="Y273" s="1" t="str">
        <f t="array" ref="Y273">IFERROR(INDEX('Исходник'!$1:$626,MATCH($A273,'Исходник'!$T:$T,0),MATCH(Y$1,'Исходник'!$1:$1,0)))</f>
        <v/>
      </c>
      <c r="Z273" s="27">
        <f t="shared" si="11"/>
        <v>0</v>
      </c>
      <c r="AA273" s="27" t="str">
        <f t="shared" si="12"/>
        <v/>
      </c>
      <c r="AB273" s="1" t="str">
        <f t="array" ref="AB273">IFERROR(INDEX('Исходник'!$1:$626,MATCH($A273,'Исходник'!$T:$T,0),MATCH(AB$1,'Исходник'!$1:$1,0)))</f>
        <v/>
      </c>
      <c r="AC273" s="1" t="str">
        <f t="array" ref="AC273">IFERROR(INDEX('Исходник'!$1:$626,MATCH($A273,'Исходник'!$T:$T,0),MATCH(AC$1,'Исходник'!$1:$1,0)))</f>
        <v/>
      </c>
      <c r="AD273" s="27" t="str">
        <f t="shared" si="13"/>
        <v/>
      </c>
      <c r="AE273" s="1" t="str">
        <f t="array" ref="AE273">IFERROR(INDEX('Исходник'!$1:$626,MATCH($A273,'Исходник'!$T:$T,0),MATCH(AE$1,'Исходник'!$1:$1,0)))</f>
        <v/>
      </c>
      <c r="AF273" s="1" t="str">
        <f t="array" ref="AF273">IFERROR(INDEX('Исходник'!$1:$626,MATCH($A273,'Исходник'!$T:$T,0),MATCH(AF$1,'Исходник'!$1:$1,0)))</f>
        <v/>
      </c>
      <c r="AG273" s="27" t="str">
        <f t="shared" si="14"/>
        <v/>
      </c>
      <c r="AH273" s="1" t="str">
        <f t="array" ref="AH273">IFERROR(INDEX('Исходник'!$1:$626,MATCH($A273,'Исходник'!$T:$T,0),MATCH(AH$1,'Исходник'!$1:$1,0)))</f>
        <v/>
      </c>
      <c r="AI273" s="1" t="str">
        <f t="array" ref="AI273">IFERROR(INDEX('Исходник'!$1:$626,MATCH($A273,'Исходник'!$T:$T,0),MATCH(AI$1,'Исходник'!$1:$1,0)))</f>
        <v/>
      </c>
      <c r="AJ273" s="18">
        <f t="shared" si="15"/>
        <v>0</v>
      </c>
    </row>
    <row r="274" ht="15.75" customHeight="1">
      <c r="A274" s="27"/>
      <c r="B274" s="1" t="str">
        <f t="array" ref="B274">IFERROR(INDEX('Исходник'!$1:$626,MATCH($A274,'Исходник'!$T:$T,0),MATCH(B$1,'Исходник'!$1:$1,0)))</f>
        <v/>
      </c>
      <c r="C274" s="1" t="str">
        <f t="array" ref="C274">IFERROR(INDEX('Исходник'!$1:$626,MATCH($A274,'Исходник'!$T:$T,0),MATCH(C$1,'Исходник'!$1:$1,0)))</f>
        <v/>
      </c>
      <c r="D274" s="1" t="str">
        <f t="array" ref="D274">IFERROR(INDEX('Исходник'!$1:$626,MATCH($A274,'Исходник'!$T:$T,0),MATCH(D$1,'Исходник'!$1:$1,0)))</f>
        <v/>
      </c>
      <c r="E274" s="1" t="str">
        <f t="array" ref="E274">IFERROR(INDEX('Исходник'!$1:$626,MATCH($A274,'Исходник'!$T:$T,0),MATCH(E$1,'Исходник'!$1:$1,0)))</f>
        <v/>
      </c>
      <c r="F274" s="1" t="str">
        <f t="array" ref="F274">IFERROR(INDEX('Исходник'!$1:$626,MATCH($A274,'Исходник'!$T:$T,0),MATCH(F$1,'Исходник'!$1:$1,0)))</f>
        <v/>
      </c>
      <c r="G274" s="1" t="str">
        <f t="array" ref="G274">IFERROR(INDEX('Исходник'!$1:$626,MATCH($A274,'Исходник'!$T:$T,0),MATCH(G$1,'Исходник'!$1:$1,0)))</f>
        <v/>
      </c>
      <c r="H274" s="27">
        <f t="shared" si="1"/>
        <v>0</v>
      </c>
      <c r="I274" s="27" t="str">
        <f t="shared" si="2"/>
        <v/>
      </c>
      <c r="J274" s="1" t="str">
        <f t="array" ref="J274">IFERROR(INDEX('Исходник'!$1:$626,MATCH($A274,'Исходник'!$T:$T,0),MATCH(J$1,'Исходник'!$1:$1,0)))</f>
        <v/>
      </c>
      <c r="K274" s="27" t="str">
        <f t="shared" si="3"/>
        <v/>
      </c>
      <c r="L274" s="1" t="str">
        <f t="array" ref="L274">IFERROR(INDEX('Исходник'!$1:$626,MATCH($A274,'Исходник'!$T:$T,0),MATCH(L$1,'Исходник'!$1:$1,0)))</f>
        <v/>
      </c>
      <c r="M274" s="28">
        <f t="shared" si="4"/>
        <v>0</v>
      </c>
      <c r="N274" s="1" t="str">
        <f t="array" ref="N274">IFERROR(INDEX('Исходник'!$1:$626,MATCH($A274,'Исходник'!$T:$T,0),MATCH(N$1,'Исходник'!$1:$1,0)))</f>
        <v/>
      </c>
      <c r="O274" s="27">
        <f t="shared" si="5"/>
        <v>0</v>
      </c>
      <c r="P274" s="27" t="str">
        <f t="shared" si="6"/>
        <v/>
      </c>
      <c r="Q274" s="1" t="str">
        <f t="array" ref="Q274">IFERROR(INDEX('Исходник'!$1:$626,MATCH($A274,'Исходник'!$T:$T,0),MATCH(Q$1,'Исходник'!$1:$1,0)))</f>
        <v/>
      </c>
      <c r="R274" s="1" t="str">
        <f t="array" ref="R274">IFERROR(INDEX('Исходник'!$1:$626,MATCH($A274,'Исходник'!$T:$T,0),MATCH(R$1,'Исходник'!$1:$1,0)))</f>
        <v/>
      </c>
      <c r="S274" s="27">
        <f t="shared" si="7"/>
        <v>0</v>
      </c>
      <c r="T274" s="27" t="str">
        <f t="shared" si="8"/>
        <v/>
      </c>
      <c r="U274" s="1" t="str">
        <f t="array" ref="U274">IFERROR(INDEX('Исходник'!$1:$626,MATCH($A274,'Исходник'!$T:$T,0),MATCH(U$1,'Исходник'!$1:$1,0)))</f>
        <v/>
      </c>
      <c r="V274" s="27" t="str">
        <f t="shared" si="9"/>
        <v/>
      </c>
      <c r="W274" s="1" t="str">
        <f t="array" ref="W274">IFERROR(INDEX('Исходник'!$1:$626,MATCH($A274,'Исходник'!$T:$T,0),MATCH(W$1,'Исходник'!$1:$1,0)))</f>
        <v/>
      </c>
      <c r="X274" s="28">
        <f t="shared" si="10"/>
        <v>0</v>
      </c>
      <c r="Y274" s="1" t="str">
        <f t="array" ref="Y274">IFERROR(INDEX('Исходник'!$1:$626,MATCH($A274,'Исходник'!$T:$T,0),MATCH(Y$1,'Исходник'!$1:$1,0)))</f>
        <v/>
      </c>
      <c r="Z274" s="27">
        <f t="shared" si="11"/>
        <v>0</v>
      </c>
      <c r="AA274" s="27" t="str">
        <f t="shared" si="12"/>
        <v/>
      </c>
      <c r="AB274" s="1" t="str">
        <f t="array" ref="AB274">IFERROR(INDEX('Исходник'!$1:$626,MATCH($A274,'Исходник'!$T:$T,0),MATCH(AB$1,'Исходник'!$1:$1,0)))</f>
        <v/>
      </c>
      <c r="AC274" s="1" t="str">
        <f t="array" ref="AC274">IFERROR(INDEX('Исходник'!$1:$626,MATCH($A274,'Исходник'!$T:$T,0),MATCH(AC$1,'Исходник'!$1:$1,0)))</f>
        <v/>
      </c>
      <c r="AD274" s="27" t="str">
        <f t="shared" si="13"/>
        <v/>
      </c>
      <c r="AE274" s="1" t="str">
        <f t="array" ref="AE274">IFERROR(INDEX('Исходник'!$1:$626,MATCH($A274,'Исходник'!$T:$T,0),MATCH(AE$1,'Исходник'!$1:$1,0)))</f>
        <v/>
      </c>
      <c r="AF274" s="1" t="str">
        <f t="array" ref="AF274">IFERROR(INDEX('Исходник'!$1:$626,MATCH($A274,'Исходник'!$T:$T,0),MATCH(AF$1,'Исходник'!$1:$1,0)))</f>
        <v/>
      </c>
      <c r="AG274" s="27" t="str">
        <f t="shared" si="14"/>
        <v/>
      </c>
      <c r="AH274" s="1" t="str">
        <f t="array" ref="AH274">IFERROR(INDEX('Исходник'!$1:$626,MATCH($A274,'Исходник'!$T:$T,0),MATCH(AH$1,'Исходник'!$1:$1,0)))</f>
        <v/>
      </c>
      <c r="AI274" s="1" t="str">
        <f t="array" ref="AI274">IFERROR(INDEX('Исходник'!$1:$626,MATCH($A274,'Исходник'!$T:$T,0),MATCH(AI$1,'Исходник'!$1:$1,0)))</f>
        <v/>
      </c>
      <c r="AJ274" s="18">
        <f t="shared" si="15"/>
        <v>0</v>
      </c>
    </row>
    <row r="275" ht="15.75" customHeight="1">
      <c r="A275" s="27"/>
      <c r="B275" s="1" t="str">
        <f t="array" ref="B275">IFERROR(INDEX('Исходник'!$1:$626,MATCH($A275,'Исходник'!$T:$T,0),MATCH(B$1,'Исходник'!$1:$1,0)))</f>
        <v/>
      </c>
      <c r="C275" s="1" t="str">
        <f t="array" ref="C275">IFERROR(INDEX('Исходник'!$1:$626,MATCH($A275,'Исходник'!$T:$T,0),MATCH(C$1,'Исходник'!$1:$1,0)))</f>
        <v/>
      </c>
      <c r="D275" s="1" t="str">
        <f t="array" ref="D275">IFERROR(INDEX('Исходник'!$1:$626,MATCH($A275,'Исходник'!$T:$T,0),MATCH(D$1,'Исходник'!$1:$1,0)))</f>
        <v/>
      </c>
      <c r="E275" s="1" t="str">
        <f t="array" ref="E275">IFERROR(INDEX('Исходник'!$1:$626,MATCH($A275,'Исходник'!$T:$T,0),MATCH(E$1,'Исходник'!$1:$1,0)))</f>
        <v/>
      </c>
      <c r="F275" s="1" t="str">
        <f t="array" ref="F275">IFERROR(INDEX('Исходник'!$1:$626,MATCH($A275,'Исходник'!$T:$T,0),MATCH(F$1,'Исходник'!$1:$1,0)))</f>
        <v/>
      </c>
      <c r="G275" s="1" t="str">
        <f t="array" ref="G275">IFERROR(INDEX('Исходник'!$1:$626,MATCH($A275,'Исходник'!$T:$T,0),MATCH(G$1,'Исходник'!$1:$1,0)))</f>
        <v/>
      </c>
      <c r="H275" s="27">
        <f t="shared" si="1"/>
        <v>0</v>
      </c>
      <c r="I275" s="27" t="str">
        <f t="shared" si="2"/>
        <v/>
      </c>
      <c r="J275" s="1" t="str">
        <f t="array" ref="J275">IFERROR(INDEX('Исходник'!$1:$626,MATCH($A275,'Исходник'!$T:$T,0),MATCH(J$1,'Исходник'!$1:$1,0)))</f>
        <v/>
      </c>
      <c r="K275" s="27" t="str">
        <f t="shared" si="3"/>
        <v/>
      </c>
      <c r="L275" s="1" t="str">
        <f t="array" ref="L275">IFERROR(INDEX('Исходник'!$1:$626,MATCH($A275,'Исходник'!$T:$T,0),MATCH(L$1,'Исходник'!$1:$1,0)))</f>
        <v/>
      </c>
      <c r="M275" s="28">
        <f t="shared" si="4"/>
        <v>0</v>
      </c>
      <c r="N275" s="1" t="str">
        <f t="array" ref="N275">IFERROR(INDEX('Исходник'!$1:$626,MATCH($A275,'Исходник'!$T:$T,0),MATCH(N$1,'Исходник'!$1:$1,0)))</f>
        <v/>
      </c>
      <c r="O275" s="27">
        <f t="shared" si="5"/>
        <v>0</v>
      </c>
      <c r="P275" s="27" t="str">
        <f t="shared" si="6"/>
        <v/>
      </c>
      <c r="Q275" s="1" t="str">
        <f t="array" ref="Q275">IFERROR(INDEX('Исходник'!$1:$626,MATCH($A275,'Исходник'!$T:$T,0),MATCH(Q$1,'Исходник'!$1:$1,0)))</f>
        <v/>
      </c>
      <c r="R275" s="1" t="str">
        <f t="array" ref="R275">IFERROR(INDEX('Исходник'!$1:$626,MATCH($A275,'Исходник'!$T:$T,0),MATCH(R$1,'Исходник'!$1:$1,0)))</f>
        <v/>
      </c>
      <c r="S275" s="27">
        <f t="shared" si="7"/>
        <v>0</v>
      </c>
      <c r="T275" s="27" t="str">
        <f t="shared" si="8"/>
        <v/>
      </c>
      <c r="U275" s="1" t="str">
        <f t="array" ref="U275">IFERROR(INDEX('Исходник'!$1:$626,MATCH($A275,'Исходник'!$T:$T,0),MATCH(U$1,'Исходник'!$1:$1,0)))</f>
        <v/>
      </c>
      <c r="V275" s="27" t="str">
        <f t="shared" si="9"/>
        <v/>
      </c>
      <c r="W275" s="1" t="str">
        <f t="array" ref="W275">IFERROR(INDEX('Исходник'!$1:$626,MATCH($A275,'Исходник'!$T:$T,0),MATCH(W$1,'Исходник'!$1:$1,0)))</f>
        <v/>
      </c>
      <c r="X275" s="28">
        <f t="shared" si="10"/>
        <v>0</v>
      </c>
      <c r="Y275" s="1" t="str">
        <f t="array" ref="Y275">IFERROR(INDEX('Исходник'!$1:$626,MATCH($A275,'Исходник'!$T:$T,0),MATCH(Y$1,'Исходник'!$1:$1,0)))</f>
        <v/>
      </c>
      <c r="Z275" s="27">
        <f t="shared" si="11"/>
        <v>0</v>
      </c>
      <c r="AA275" s="27" t="str">
        <f t="shared" si="12"/>
        <v/>
      </c>
      <c r="AB275" s="1" t="str">
        <f t="array" ref="AB275">IFERROR(INDEX('Исходник'!$1:$626,MATCH($A275,'Исходник'!$T:$T,0),MATCH(AB$1,'Исходник'!$1:$1,0)))</f>
        <v/>
      </c>
      <c r="AC275" s="1" t="str">
        <f t="array" ref="AC275">IFERROR(INDEX('Исходник'!$1:$626,MATCH($A275,'Исходник'!$T:$T,0),MATCH(AC$1,'Исходник'!$1:$1,0)))</f>
        <v/>
      </c>
      <c r="AD275" s="27" t="str">
        <f t="shared" si="13"/>
        <v/>
      </c>
      <c r="AE275" s="1" t="str">
        <f t="array" ref="AE275">IFERROR(INDEX('Исходник'!$1:$626,MATCH($A275,'Исходник'!$T:$T,0),MATCH(AE$1,'Исходник'!$1:$1,0)))</f>
        <v/>
      </c>
      <c r="AF275" s="1" t="str">
        <f t="array" ref="AF275">IFERROR(INDEX('Исходник'!$1:$626,MATCH($A275,'Исходник'!$T:$T,0),MATCH(AF$1,'Исходник'!$1:$1,0)))</f>
        <v/>
      </c>
      <c r="AG275" s="27" t="str">
        <f t="shared" si="14"/>
        <v/>
      </c>
      <c r="AH275" s="1" t="str">
        <f t="array" ref="AH275">IFERROR(INDEX('Исходник'!$1:$626,MATCH($A275,'Исходник'!$T:$T,0),MATCH(AH$1,'Исходник'!$1:$1,0)))</f>
        <v/>
      </c>
      <c r="AI275" s="1" t="str">
        <f t="array" ref="AI275">IFERROR(INDEX('Исходник'!$1:$626,MATCH($A275,'Исходник'!$T:$T,0),MATCH(AI$1,'Исходник'!$1:$1,0)))</f>
        <v/>
      </c>
      <c r="AJ275" s="18">
        <f t="shared" si="15"/>
        <v>0</v>
      </c>
    </row>
    <row r="276" ht="15.75" customHeight="1">
      <c r="A276" s="27"/>
      <c r="B276" s="1" t="str">
        <f t="array" ref="B276">IFERROR(INDEX('Исходник'!$1:$626,MATCH($A276,'Исходник'!$T:$T,0),MATCH(B$1,'Исходник'!$1:$1,0)))</f>
        <v/>
      </c>
      <c r="C276" s="1" t="str">
        <f t="array" ref="C276">IFERROR(INDEX('Исходник'!$1:$626,MATCH($A276,'Исходник'!$T:$T,0),MATCH(C$1,'Исходник'!$1:$1,0)))</f>
        <v/>
      </c>
      <c r="D276" s="1" t="str">
        <f t="array" ref="D276">IFERROR(INDEX('Исходник'!$1:$626,MATCH($A276,'Исходник'!$T:$T,0),MATCH(D$1,'Исходник'!$1:$1,0)))</f>
        <v/>
      </c>
      <c r="E276" s="1" t="str">
        <f t="array" ref="E276">IFERROR(INDEX('Исходник'!$1:$626,MATCH($A276,'Исходник'!$T:$T,0),MATCH(E$1,'Исходник'!$1:$1,0)))</f>
        <v/>
      </c>
      <c r="F276" s="1" t="str">
        <f t="array" ref="F276">IFERROR(INDEX('Исходник'!$1:$626,MATCH($A276,'Исходник'!$T:$T,0),MATCH(F$1,'Исходник'!$1:$1,0)))</f>
        <v/>
      </c>
      <c r="G276" s="1" t="str">
        <f t="array" ref="G276">IFERROR(INDEX('Исходник'!$1:$626,MATCH($A276,'Исходник'!$T:$T,0),MATCH(G$1,'Исходник'!$1:$1,0)))</f>
        <v/>
      </c>
      <c r="H276" s="27">
        <f t="shared" si="1"/>
        <v>0</v>
      </c>
      <c r="I276" s="27" t="str">
        <f t="shared" si="2"/>
        <v/>
      </c>
      <c r="J276" s="1" t="str">
        <f t="array" ref="J276">IFERROR(INDEX('Исходник'!$1:$626,MATCH($A276,'Исходник'!$T:$T,0),MATCH(J$1,'Исходник'!$1:$1,0)))</f>
        <v/>
      </c>
      <c r="K276" s="27" t="str">
        <f t="shared" si="3"/>
        <v/>
      </c>
      <c r="L276" s="1" t="str">
        <f t="array" ref="L276">IFERROR(INDEX('Исходник'!$1:$626,MATCH($A276,'Исходник'!$T:$T,0),MATCH(L$1,'Исходник'!$1:$1,0)))</f>
        <v/>
      </c>
      <c r="M276" s="28">
        <f t="shared" si="4"/>
        <v>0</v>
      </c>
      <c r="N276" s="1" t="str">
        <f t="array" ref="N276">IFERROR(INDEX('Исходник'!$1:$626,MATCH($A276,'Исходник'!$T:$T,0),MATCH(N$1,'Исходник'!$1:$1,0)))</f>
        <v/>
      </c>
      <c r="O276" s="27">
        <f t="shared" si="5"/>
        <v>0</v>
      </c>
      <c r="P276" s="27" t="str">
        <f t="shared" si="6"/>
        <v/>
      </c>
      <c r="Q276" s="1" t="str">
        <f t="array" ref="Q276">IFERROR(INDEX('Исходник'!$1:$626,MATCH($A276,'Исходник'!$T:$T,0),MATCH(Q$1,'Исходник'!$1:$1,0)))</f>
        <v/>
      </c>
      <c r="R276" s="1" t="str">
        <f t="array" ref="R276">IFERROR(INDEX('Исходник'!$1:$626,MATCH($A276,'Исходник'!$T:$T,0),MATCH(R$1,'Исходник'!$1:$1,0)))</f>
        <v/>
      </c>
      <c r="S276" s="27">
        <f t="shared" si="7"/>
        <v>0</v>
      </c>
      <c r="T276" s="27" t="str">
        <f t="shared" si="8"/>
        <v/>
      </c>
      <c r="U276" s="1" t="str">
        <f t="array" ref="U276">IFERROR(INDEX('Исходник'!$1:$626,MATCH($A276,'Исходник'!$T:$T,0),MATCH(U$1,'Исходник'!$1:$1,0)))</f>
        <v/>
      </c>
      <c r="V276" s="27" t="str">
        <f t="shared" si="9"/>
        <v/>
      </c>
      <c r="W276" s="1" t="str">
        <f t="array" ref="W276">IFERROR(INDEX('Исходник'!$1:$626,MATCH($A276,'Исходник'!$T:$T,0),MATCH(W$1,'Исходник'!$1:$1,0)))</f>
        <v/>
      </c>
      <c r="X276" s="28">
        <f t="shared" si="10"/>
        <v>0</v>
      </c>
      <c r="Y276" s="1" t="str">
        <f t="array" ref="Y276">IFERROR(INDEX('Исходник'!$1:$626,MATCH($A276,'Исходник'!$T:$T,0),MATCH(Y$1,'Исходник'!$1:$1,0)))</f>
        <v/>
      </c>
      <c r="Z276" s="27">
        <f t="shared" si="11"/>
        <v>0</v>
      </c>
      <c r="AA276" s="27" t="str">
        <f t="shared" si="12"/>
        <v/>
      </c>
      <c r="AB276" s="1" t="str">
        <f t="array" ref="AB276">IFERROR(INDEX('Исходник'!$1:$626,MATCH($A276,'Исходник'!$T:$T,0),MATCH(AB$1,'Исходник'!$1:$1,0)))</f>
        <v/>
      </c>
      <c r="AC276" s="1" t="str">
        <f t="array" ref="AC276">IFERROR(INDEX('Исходник'!$1:$626,MATCH($A276,'Исходник'!$T:$T,0),MATCH(AC$1,'Исходник'!$1:$1,0)))</f>
        <v/>
      </c>
      <c r="AD276" s="27" t="str">
        <f t="shared" si="13"/>
        <v/>
      </c>
      <c r="AE276" s="1" t="str">
        <f t="array" ref="AE276">IFERROR(INDEX('Исходник'!$1:$626,MATCH($A276,'Исходник'!$T:$T,0),MATCH(AE$1,'Исходник'!$1:$1,0)))</f>
        <v/>
      </c>
      <c r="AF276" s="1" t="str">
        <f t="array" ref="AF276">IFERROR(INDEX('Исходник'!$1:$626,MATCH($A276,'Исходник'!$T:$T,0),MATCH(AF$1,'Исходник'!$1:$1,0)))</f>
        <v/>
      </c>
      <c r="AG276" s="27" t="str">
        <f t="shared" si="14"/>
        <v/>
      </c>
      <c r="AH276" s="1" t="str">
        <f t="array" ref="AH276">IFERROR(INDEX('Исходник'!$1:$626,MATCH($A276,'Исходник'!$T:$T,0),MATCH(AH$1,'Исходник'!$1:$1,0)))</f>
        <v/>
      </c>
      <c r="AI276" s="1" t="str">
        <f t="array" ref="AI276">IFERROR(INDEX('Исходник'!$1:$626,MATCH($A276,'Исходник'!$T:$T,0),MATCH(AI$1,'Исходник'!$1:$1,0)))</f>
        <v/>
      </c>
      <c r="AJ276" s="18">
        <f t="shared" si="15"/>
        <v>0</v>
      </c>
    </row>
    <row r="277" ht="15.75" customHeight="1">
      <c r="A277" s="27"/>
      <c r="B277" s="1" t="str">
        <f t="array" ref="B277">IFERROR(INDEX('Исходник'!$1:$626,MATCH($A277,'Исходник'!$T:$T,0),MATCH(B$1,'Исходник'!$1:$1,0)))</f>
        <v/>
      </c>
      <c r="C277" s="1" t="str">
        <f t="array" ref="C277">IFERROR(INDEX('Исходник'!$1:$626,MATCH($A277,'Исходник'!$T:$T,0),MATCH(C$1,'Исходник'!$1:$1,0)))</f>
        <v/>
      </c>
      <c r="D277" s="1" t="str">
        <f t="array" ref="D277">IFERROR(INDEX('Исходник'!$1:$626,MATCH($A277,'Исходник'!$T:$T,0),MATCH(D$1,'Исходник'!$1:$1,0)))</f>
        <v/>
      </c>
      <c r="E277" s="1" t="str">
        <f t="array" ref="E277">IFERROR(INDEX('Исходник'!$1:$626,MATCH($A277,'Исходник'!$T:$T,0),MATCH(E$1,'Исходник'!$1:$1,0)))</f>
        <v/>
      </c>
      <c r="F277" s="1" t="str">
        <f t="array" ref="F277">IFERROR(INDEX('Исходник'!$1:$626,MATCH($A277,'Исходник'!$T:$T,0),MATCH(F$1,'Исходник'!$1:$1,0)))</f>
        <v/>
      </c>
      <c r="G277" s="1" t="str">
        <f t="array" ref="G277">IFERROR(INDEX('Исходник'!$1:$626,MATCH($A277,'Исходник'!$T:$T,0),MATCH(G$1,'Исходник'!$1:$1,0)))</f>
        <v/>
      </c>
      <c r="H277" s="27">
        <f t="shared" si="1"/>
        <v>0</v>
      </c>
      <c r="I277" s="27" t="str">
        <f t="shared" si="2"/>
        <v/>
      </c>
      <c r="J277" s="1" t="str">
        <f t="array" ref="J277">IFERROR(INDEX('Исходник'!$1:$626,MATCH($A277,'Исходник'!$T:$T,0),MATCH(J$1,'Исходник'!$1:$1,0)))</f>
        <v/>
      </c>
      <c r="K277" s="27" t="str">
        <f t="shared" si="3"/>
        <v/>
      </c>
      <c r="L277" s="1" t="str">
        <f t="array" ref="L277">IFERROR(INDEX('Исходник'!$1:$626,MATCH($A277,'Исходник'!$T:$T,0),MATCH(L$1,'Исходник'!$1:$1,0)))</f>
        <v/>
      </c>
      <c r="M277" s="28">
        <f t="shared" si="4"/>
        <v>0</v>
      </c>
      <c r="N277" s="1" t="str">
        <f t="array" ref="N277">IFERROR(INDEX('Исходник'!$1:$626,MATCH($A277,'Исходник'!$T:$T,0),MATCH(N$1,'Исходник'!$1:$1,0)))</f>
        <v/>
      </c>
      <c r="O277" s="27">
        <f t="shared" si="5"/>
        <v>0</v>
      </c>
      <c r="P277" s="27" t="str">
        <f t="shared" si="6"/>
        <v/>
      </c>
      <c r="Q277" s="1" t="str">
        <f t="array" ref="Q277">IFERROR(INDEX('Исходник'!$1:$626,MATCH($A277,'Исходник'!$T:$T,0),MATCH(Q$1,'Исходник'!$1:$1,0)))</f>
        <v/>
      </c>
      <c r="R277" s="1" t="str">
        <f t="array" ref="R277">IFERROR(INDEX('Исходник'!$1:$626,MATCH($A277,'Исходник'!$T:$T,0),MATCH(R$1,'Исходник'!$1:$1,0)))</f>
        <v/>
      </c>
      <c r="S277" s="27">
        <f t="shared" si="7"/>
        <v>0</v>
      </c>
      <c r="T277" s="27" t="str">
        <f t="shared" si="8"/>
        <v/>
      </c>
      <c r="U277" s="1" t="str">
        <f t="array" ref="U277">IFERROR(INDEX('Исходник'!$1:$626,MATCH($A277,'Исходник'!$T:$T,0),MATCH(U$1,'Исходник'!$1:$1,0)))</f>
        <v/>
      </c>
      <c r="V277" s="27" t="str">
        <f t="shared" si="9"/>
        <v/>
      </c>
      <c r="W277" s="1" t="str">
        <f t="array" ref="W277">IFERROR(INDEX('Исходник'!$1:$626,MATCH($A277,'Исходник'!$T:$T,0),MATCH(W$1,'Исходник'!$1:$1,0)))</f>
        <v/>
      </c>
      <c r="X277" s="28">
        <f t="shared" si="10"/>
        <v>0</v>
      </c>
      <c r="Y277" s="1" t="str">
        <f t="array" ref="Y277">IFERROR(INDEX('Исходник'!$1:$626,MATCH($A277,'Исходник'!$T:$T,0),MATCH(Y$1,'Исходник'!$1:$1,0)))</f>
        <v/>
      </c>
      <c r="Z277" s="27">
        <f t="shared" si="11"/>
        <v>0</v>
      </c>
      <c r="AA277" s="27" t="str">
        <f t="shared" si="12"/>
        <v/>
      </c>
      <c r="AB277" s="1" t="str">
        <f t="array" ref="AB277">IFERROR(INDEX('Исходник'!$1:$626,MATCH($A277,'Исходник'!$T:$T,0),MATCH(AB$1,'Исходник'!$1:$1,0)))</f>
        <v/>
      </c>
      <c r="AC277" s="1" t="str">
        <f t="array" ref="AC277">IFERROR(INDEX('Исходник'!$1:$626,MATCH($A277,'Исходник'!$T:$T,0),MATCH(AC$1,'Исходник'!$1:$1,0)))</f>
        <v/>
      </c>
      <c r="AD277" s="27" t="str">
        <f t="shared" si="13"/>
        <v/>
      </c>
      <c r="AE277" s="1" t="str">
        <f t="array" ref="AE277">IFERROR(INDEX('Исходник'!$1:$626,MATCH($A277,'Исходник'!$T:$T,0),MATCH(AE$1,'Исходник'!$1:$1,0)))</f>
        <v/>
      </c>
      <c r="AF277" s="1" t="str">
        <f t="array" ref="AF277">IFERROR(INDEX('Исходник'!$1:$626,MATCH($A277,'Исходник'!$T:$T,0),MATCH(AF$1,'Исходник'!$1:$1,0)))</f>
        <v/>
      </c>
      <c r="AG277" s="27" t="str">
        <f t="shared" si="14"/>
        <v/>
      </c>
      <c r="AH277" s="1" t="str">
        <f t="array" ref="AH277">IFERROR(INDEX('Исходник'!$1:$626,MATCH($A277,'Исходник'!$T:$T,0),MATCH(AH$1,'Исходник'!$1:$1,0)))</f>
        <v/>
      </c>
      <c r="AI277" s="1" t="str">
        <f t="array" ref="AI277">IFERROR(INDEX('Исходник'!$1:$626,MATCH($A277,'Исходник'!$T:$T,0),MATCH(AI$1,'Исходник'!$1:$1,0)))</f>
        <v/>
      </c>
      <c r="AJ277" s="18">
        <f t="shared" si="15"/>
        <v>0</v>
      </c>
    </row>
    <row r="278" ht="15.75" customHeight="1">
      <c r="A278" s="27"/>
      <c r="B278" s="1" t="str">
        <f t="array" ref="B278">IFERROR(INDEX('Исходник'!$1:$626,MATCH($A278,'Исходник'!$T:$T,0),MATCH(B$1,'Исходник'!$1:$1,0)))</f>
        <v/>
      </c>
      <c r="C278" s="1" t="str">
        <f t="array" ref="C278">IFERROR(INDEX('Исходник'!$1:$626,MATCH($A278,'Исходник'!$T:$T,0),MATCH(C$1,'Исходник'!$1:$1,0)))</f>
        <v/>
      </c>
      <c r="D278" s="1" t="str">
        <f t="array" ref="D278">IFERROR(INDEX('Исходник'!$1:$626,MATCH($A278,'Исходник'!$T:$T,0),MATCH(D$1,'Исходник'!$1:$1,0)))</f>
        <v/>
      </c>
      <c r="E278" s="1" t="str">
        <f t="array" ref="E278">IFERROR(INDEX('Исходник'!$1:$626,MATCH($A278,'Исходник'!$T:$T,0),MATCH(E$1,'Исходник'!$1:$1,0)))</f>
        <v/>
      </c>
      <c r="F278" s="1" t="str">
        <f t="array" ref="F278">IFERROR(INDEX('Исходник'!$1:$626,MATCH($A278,'Исходник'!$T:$T,0),MATCH(F$1,'Исходник'!$1:$1,0)))</f>
        <v/>
      </c>
      <c r="G278" s="1" t="str">
        <f t="array" ref="G278">IFERROR(INDEX('Исходник'!$1:$626,MATCH($A278,'Исходник'!$T:$T,0),MATCH(G$1,'Исходник'!$1:$1,0)))</f>
        <v/>
      </c>
      <c r="H278" s="27">
        <f t="shared" si="1"/>
        <v>0</v>
      </c>
      <c r="I278" s="27" t="str">
        <f t="shared" si="2"/>
        <v/>
      </c>
      <c r="J278" s="1" t="str">
        <f t="array" ref="J278">IFERROR(INDEX('Исходник'!$1:$626,MATCH($A278,'Исходник'!$T:$T,0),MATCH(J$1,'Исходник'!$1:$1,0)))</f>
        <v/>
      </c>
      <c r="K278" s="27" t="str">
        <f t="shared" si="3"/>
        <v/>
      </c>
      <c r="L278" s="1" t="str">
        <f t="array" ref="L278">IFERROR(INDEX('Исходник'!$1:$626,MATCH($A278,'Исходник'!$T:$T,0),MATCH(L$1,'Исходник'!$1:$1,0)))</f>
        <v/>
      </c>
      <c r="M278" s="28">
        <f t="shared" si="4"/>
        <v>0</v>
      </c>
      <c r="N278" s="1" t="str">
        <f t="array" ref="N278">IFERROR(INDEX('Исходник'!$1:$626,MATCH($A278,'Исходник'!$T:$T,0),MATCH(N$1,'Исходник'!$1:$1,0)))</f>
        <v/>
      </c>
      <c r="O278" s="27">
        <f t="shared" si="5"/>
        <v>0</v>
      </c>
      <c r="P278" s="27" t="str">
        <f t="shared" si="6"/>
        <v/>
      </c>
      <c r="Q278" s="1" t="str">
        <f t="array" ref="Q278">IFERROR(INDEX('Исходник'!$1:$626,MATCH($A278,'Исходник'!$T:$T,0),MATCH(Q$1,'Исходник'!$1:$1,0)))</f>
        <v/>
      </c>
      <c r="R278" s="1" t="str">
        <f t="array" ref="R278">IFERROR(INDEX('Исходник'!$1:$626,MATCH($A278,'Исходник'!$T:$T,0),MATCH(R$1,'Исходник'!$1:$1,0)))</f>
        <v/>
      </c>
      <c r="S278" s="27">
        <f t="shared" si="7"/>
        <v>0</v>
      </c>
      <c r="T278" s="27" t="str">
        <f t="shared" si="8"/>
        <v/>
      </c>
      <c r="U278" s="1" t="str">
        <f t="array" ref="U278">IFERROR(INDEX('Исходник'!$1:$626,MATCH($A278,'Исходник'!$T:$T,0),MATCH(U$1,'Исходник'!$1:$1,0)))</f>
        <v/>
      </c>
      <c r="V278" s="27" t="str">
        <f t="shared" si="9"/>
        <v/>
      </c>
      <c r="W278" s="1" t="str">
        <f t="array" ref="W278">IFERROR(INDEX('Исходник'!$1:$626,MATCH($A278,'Исходник'!$T:$T,0),MATCH(W$1,'Исходник'!$1:$1,0)))</f>
        <v/>
      </c>
      <c r="X278" s="28">
        <f t="shared" si="10"/>
        <v>0</v>
      </c>
      <c r="Y278" s="1" t="str">
        <f t="array" ref="Y278">IFERROR(INDEX('Исходник'!$1:$626,MATCH($A278,'Исходник'!$T:$T,0),MATCH(Y$1,'Исходник'!$1:$1,0)))</f>
        <v/>
      </c>
      <c r="Z278" s="27">
        <f t="shared" si="11"/>
        <v>0</v>
      </c>
      <c r="AA278" s="27" t="str">
        <f t="shared" si="12"/>
        <v/>
      </c>
      <c r="AB278" s="1" t="str">
        <f t="array" ref="AB278">IFERROR(INDEX('Исходник'!$1:$626,MATCH($A278,'Исходник'!$T:$T,0),MATCH(AB$1,'Исходник'!$1:$1,0)))</f>
        <v/>
      </c>
      <c r="AC278" s="1" t="str">
        <f t="array" ref="AC278">IFERROR(INDEX('Исходник'!$1:$626,MATCH($A278,'Исходник'!$T:$T,0),MATCH(AC$1,'Исходник'!$1:$1,0)))</f>
        <v/>
      </c>
      <c r="AD278" s="27" t="str">
        <f t="shared" si="13"/>
        <v/>
      </c>
      <c r="AE278" s="1" t="str">
        <f t="array" ref="AE278">IFERROR(INDEX('Исходник'!$1:$626,MATCH($A278,'Исходник'!$T:$T,0),MATCH(AE$1,'Исходник'!$1:$1,0)))</f>
        <v/>
      </c>
      <c r="AF278" s="1" t="str">
        <f t="array" ref="AF278">IFERROR(INDEX('Исходник'!$1:$626,MATCH($A278,'Исходник'!$T:$T,0),MATCH(AF$1,'Исходник'!$1:$1,0)))</f>
        <v/>
      </c>
      <c r="AG278" s="27" t="str">
        <f t="shared" si="14"/>
        <v/>
      </c>
      <c r="AH278" s="1" t="str">
        <f t="array" ref="AH278">IFERROR(INDEX('Исходник'!$1:$626,MATCH($A278,'Исходник'!$T:$T,0),MATCH(AH$1,'Исходник'!$1:$1,0)))</f>
        <v/>
      </c>
      <c r="AI278" s="1" t="str">
        <f t="array" ref="AI278">IFERROR(INDEX('Исходник'!$1:$626,MATCH($A278,'Исходник'!$T:$T,0),MATCH(AI$1,'Исходник'!$1:$1,0)))</f>
        <v/>
      </c>
      <c r="AJ278" s="18">
        <f t="shared" si="15"/>
        <v>0</v>
      </c>
    </row>
    <row r="279" ht="15.75" customHeight="1">
      <c r="A279" s="27"/>
      <c r="B279" s="1" t="str">
        <f t="array" ref="B279">IFERROR(INDEX('Исходник'!$1:$626,MATCH($A279,'Исходник'!$T:$T,0),MATCH(B$1,'Исходник'!$1:$1,0)))</f>
        <v/>
      </c>
      <c r="C279" s="1" t="str">
        <f t="array" ref="C279">IFERROR(INDEX('Исходник'!$1:$626,MATCH($A279,'Исходник'!$T:$T,0),MATCH(C$1,'Исходник'!$1:$1,0)))</f>
        <v/>
      </c>
      <c r="D279" s="1" t="str">
        <f t="array" ref="D279">IFERROR(INDEX('Исходник'!$1:$626,MATCH($A279,'Исходник'!$T:$T,0),MATCH(D$1,'Исходник'!$1:$1,0)))</f>
        <v/>
      </c>
      <c r="E279" s="1" t="str">
        <f t="array" ref="E279">IFERROR(INDEX('Исходник'!$1:$626,MATCH($A279,'Исходник'!$T:$T,0),MATCH(E$1,'Исходник'!$1:$1,0)))</f>
        <v/>
      </c>
      <c r="F279" s="1" t="str">
        <f t="array" ref="F279">IFERROR(INDEX('Исходник'!$1:$626,MATCH($A279,'Исходник'!$T:$T,0),MATCH(F$1,'Исходник'!$1:$1,0)))</f>
        <v/>
      </c>
      <c r="G279" s="1" t="str">
        <f t="array" ref="G279">IFERROR(INDEX('Исходник'!$1:$626,MATCH($A279,'Исходник'!$T:$T,0),MATCH(G$1,'Исходник'!$1:$1,0)))</f>
        <v/>
      </c>
      <c r="H279" s="27">
        <f t="shared" si="1"/>
        <v>0</v>
      </c>
      <c r="I279" s="27" t="str">
        <f t="shared" si="2"/>
        <v/>
      </c>
      <c r="J279" s="1" t="str">
        <f t="array" ref="J279">IFERROR(INDEX('Исходник'!$1:$626,MATCH($A279,'Исходник'!$T:$T,0),MATCH(J$1,'Исходник'!$1:$1,0)))</f>
        <v/>
      </c>
      <c r="K279" s="27" t="str">
        <f t="shared" si="3"/>
        <v/>
      </c>
      <c r="L279" s="1" t="str">
        <f t="array" ref="L279">IFERROR(INDEX('Исходник'!$1:$626,MATCH($A279,'Исходник'!$T:$T,0),MATCH(L$1,'Исходник'!$1:$1,0)))</f>
        <v/>
      </c>
      <c r="M279" s="28">
        <f t="shared" si="4"/>
        <v>0</v>
      </c>
      <c r="N279" s="1" t="str">
        <f t="array" ref="N279">IFERROR(INDEX('Исходник'!$1:$626,MATCH($A279,'Исходник'!$T:$T,0),MATCH(N$1,'Исходник'!$1:$1,0)))</f>
        <v/>
      </c>
      <c r="O279" s="27">
        <f t="shared" si="5"/>
        <v>0</v>
      </c>
      <c r="P279" s="27" t="str">
        <f t="shared" si="6"/>
        <v/>
      </c>
      <c r="Q279" s="1" t="str">
        <f t="array" ref="Q279">IFERROR(INDEX('Исходник'!$1:$626,MATCH($A279,'Исходник'!$T:$T,0),MATCH(Q$1,'Исходник'!$1:$1,0)))</f>
        <v/>
      </c>
      <c r="R279" s="1" t="str">
        <f t="array" ref="R279">IFERROR(INDEX('Исходник'!$1:$626,MATCH($A279,'Исходник'!$T:$T,0),MATCH(R$1,'Исходник'!$1:$1,0)))</f>
        <v/>
      </c>
      <c r="S279" s="27">
        <f t="shared" si="7"/>
        <v>0</v>
      </c>
      <c r="T279" s="27" t="str">
        <f t="shared" si="8"/>
        <v/>
      </c>
      <c r="U279" s="1" t="str">
        <f t="array" ref="U279">IFERROR(INDEX('Исходник'!$1:$626,MATCH($A279,'Исходник'!$T:$T,0),MATCH(U$1,'Исходник'!$1:$1,0)))</f>
        <v/>
      </c>
      <c r="V279" s="27" t="str">
        <f t="shared" si="9"/>
        <v/>
      </c>
      <c r="W279" s="1" t="str">
        <f t="array" ref="W279">IFERROR(INDEX('Исходник'!$1:$626,MATCH($A279,'Исходник'!$T:$T,0),MATCH(W$1,'Исходник'!$1:$1,0)))</f>
        <v/>
      </c>
      <c r="X279" s="28">
        <f t="shared" si="10"/>
        <v>0</v>
      </c>
      <c r="Y279" s="1" t="str">
        <f t="array" ref="Y279">IFERROR(INDEX('Исходник'!$1:$626,MATCH($A279,'Исходник'!$T:$T,0),MATCH(Y$1,'Исходник'!$1:$1,0)))</f>
        <v/>
      </c>
      <c r="Z279" s="27">
        <f t="shared" si="11"/>
        <v>0</v>
      </c>
      <c r="AA279" s="27" t="str">
        <f t="shared" si="12"/>
        <v/>
      </c>
      <c r="AB279" s="1" t="str">
        <f t="array" ref="AB279">IFERROR(INDEX('Исходник'!$1:$626,MATCH($A279,'Исходник'!$T:$T,0),MATCH(AB$1,'Исходник'!$1:$1,0)))</f>
        <v/>
      </c>
      <c r="AC279" s="1" t="str">
        <f t="array" ref="AC279">IFERROR(INDEX('Исходник'!$1:$626,MATCH($A279,'Исходник'!$T:$T,0),MATCH(AC$1,'Исходник'!$1:$1,0)))</f>
        <v/>
      </c>
      <c r="AD279" s="27" t="str">
        <f t="shared" si="13"/>
        <v/>
      </c>
      <c r="AE279" s="1" t="str">
        <f t="array" ref="AE279">IFERROR(INDEX('Исходник'!$1:$626,MATCH($A279,'Исходник'!$T:$T,0),MATCH(AE$1,'Исходник'!$1:$1,0)))</f>
        <v/>
      </c>
      <c r="AF279" s="1" t="str">
        <f t="array" ref="AF279">IFERROR(INDEX('Исходник'!$1:$626,MATCH($A279,'Исходник'!$T:$T,0),MATCH(AF$1,'Исходник'!$1:$1,0)))</f>
        <v/>
      </c>
      <c r="AG279" s="27" t="str">
        <f t="shared" si="14"/>
        <v/>
      </c>
      <c r="AH279" s="1" t="str">
        <f t="array" ref="AH279">IFERROR(INDEX('Исходник'!$1:$626,MATCH($A279,'Исходник'!$T:$T,0),MATCH(AH$1,'Исходник'!$1:$1,0)))</f>
        <v/>
      </c>
      <c r="AI279" s="1" t="str">
        <f t="array" ref="AI279">IFERROR(INDEX('Исходник'!$1:$626,MATCH($A279,'Исходник'!$T:$T,0),MATCH(AI$1,'Исходник'!$1:$1,0)))</f>
        <v/>
      </c>
      <c r="AJ279" s="18">
        <f t="shared" si="15"/>
        <v>0</v>
      </c>
    </row>
    <row r="280" ht="15.75" customHeight="1">
      <c r="A280" s="27"/>
      <c r="B280" s="1" t="str">
        <f t="array" ref="B280">IFERROR(INDEX('Исходник'!$1:$626,MATCH($A280,'Исходник'!$T:$T,0),MATCH(B$1,'Исходник'!$1:$1,0)))</f>
        <v/>
      </c>
      <c r="C280" s="1" t="str">
        <f t="array" ref="C280">IFERROR(INDEX('Исходник'!$1:$626,MATCH($A280,'Исходник'!$T:$T,0),MATCH(C$1,'Исходник'!$1:$1,0)))</f>
        <v/>
      </c>
      <c r="D280" s="1" t="str">
        <f t="array" ref="D280">IFERROR(INDEX('Исходник'!$1:$626,MATCH($A280,'Исходник'!$T:$T,0),MATCH(D$1,'Исходник'!$1:$1,0)))</f>
        <v/>
      </c>
      <c r="E280" s="1" t="str">
        <f t="array" ref="E280">IFERROR(INDEX('Исходник'!$1:$626,MATCH($A280,'Исходник'!$T:$T,0),MATCH(E$1,'Исходник'!$1:$1,0)))</f>
        <v/>
      </c>
      <c r="F280" s="1" t="str">
        <f t="array" ref="F280">IFERROR(INDEX('Исходник'!$1:$626,MATCH($A280,'Исходник'!$T:$T,0),MATCH(F$1,'Исходник'!$1:$1,0)))</f>
        <v/>
      </c>
      <c r="G280" s="1" t="str">
        <f t="array" ref="G280">IFERROR(INDEX('Исходник'!$1:$626,MATCH($A280,'Исходник'!$T:$T,0),MATCH(G$1,'Исходник'!$1:$1,0)))</f>
        <v/>
      </c>
      <c r="H280" s="27">
        <f t="shared" si="1"/>
        <v>0</v>
      </c>
      <c r="I280" s="27" t="str">
        <f t="shared" si="2"/>
        <v/>
      </c>
      <c r="J280" s="1" t="str">
        <f t="array" ref="J280">IFERROR(INDEX('Исходник'!$1:$626,MATCH($A280,'Исходник'!$T:$T,0),MATCH(J$1,'Исходник'!$1:$1,0)))</f>
        <v/>
      </c>
      <c r="K280" s="27" t="str">
        <f t="shared" si="3"/>
        <v/>
      </c>
      <c r="L280" s="1" t="str">
        <f t="array" ref="L280">IFERROR(INDEX('Исходник'!$1:$626,MATCH($A280,'Исходник'!$T:$T,0),MATCH(L$1,'Исходник'!$1:$1,0)))</f>
        <v/>
      </c>
      <c r="M280" s="28">
        <f t="shared" si="4"/>
        <v>0</v>
      </c>
      <c r="N280" s="1" t="str">
        <f t="array" ref="N280">IFERROR(INDEX('Исходник'!$1:$626,MATCH($A280,'Исходник'!$T:$T,0),MATCH(N$1,'Исходник'!$1:$1,0)))</f>
        <v/>
      </c>
      <c r="O280" s="27">
        <f t="shared" si="5"/>
        <v>0</v>
      </c>
      <c r="P280" s="27" t="str">
        <f t="shared" si="6"/>
        <v/>
      </c>
      <c r="Q280" s="1" t="str">
        <f t="array" ref="Q280">IFERROR(INDEX('Исходник'!$1:$626,MATCH($A280,'Исходник'!$T:$T,0),MATCH(Q$1,'Исходник'!$1:$1,0)))</f>
        <v/>
      </c>
      <c r="R280" s="1" t="str">
        <f t="array" ref="R280">IFERROR(INDEX('Исходник'!$1:$626,MATCH($A280,'Исходник'!$T:$T,0),MATCH(R$1,'Исходник'!$1:$1,0)))</f>
        <v/>
      </c>
      <c r="S280" s="27">
        <f t="shared" si="7"/>
        <v>0</v>
      </c>
      <c r="T280" s="27" t="str">
        <f t="shared" si="8"/>
        <v/>
      </c>
      <c r="U280" s="1" t="str">
        <f t="array" ref="U280">IFERROR(INDEX('Исходник'!$1:$626,MATCH($A280,'Исходник'!$T:$T,0),MATCH(U$1,'Исходник'!$1:$1,0)))</f>
        <v/>
      </c>
      <c r="V280" s="27" t="str">
        <f t="shared" si="9"/>
        <v/>
      </c>
      <c r="W280" s="1" t="str">
        <f t="array" ref="W280">IFERROR(INDEX('Исходник'!$1:$626,MATCH($A280,'Исходник'!$T:$T,0),MATCH(W$1,'Исходник'!$1:$1,0)))</f>
        <v/>
      </c>
      <c r="X280" s="28">
        <f t="shared" si="10"/>
        <v>0</v>
      </c>
      <c r="Y280" s="1" t="str">
        <f t="array" ref="Y280">IFERROR(INDEX('Исходник'!$1:$626,MATCH($A280,'Исходник'!$T:$T,0),MATCH(Y$1,'Исходник'!$1:$1,0)))</f>
        <v/>
      </c>
      <c r="Z280" s="27">
        <f t="shared" si="11"/>
        <v>0</v>
      </c>
      <c r="AA280" s="27" t="str">
        <f t="shared" si="12"/>
        <v/>
      </c>
      <c r="AB280" s="1" t="str">
        <f t="array" ref="AB280">IFERROR(INDEX('Исходник'!$1:$626,MATCH($A280,'Исходник'!$T:$T,0),MATCH(AB$1,'Исходник'!$1:$1,0)))</f>
        <v/>
      </c>
      <c r="AC280" s="1" t="str">
        <f t="array" ref="AC280">IFERROR(INDEX('Исходник'!$1:$626,MATCH($A280,'Исходник'!$T:$T,0),MATCH(AC$1,'Исходник'!$1:$1,0)))</f>
        <v/>
      </c>
      <c r="AD280" s="27" t="str">
        <f t="shared" si="13"/>
        <v/>
      </c>
      <c r="AE280" s="1" t="str">
        <f t="array" ref="AE280">IFERROR(INDEX('Исходник'!$1:$626,MATCH($A280,'Исходник'!$T:$T,0),MATCH(AE$1,'Исходник'!$1:$1,0)))</f>
        <v/>
      </c>
      <c r="AF280" s="1" t="str">
        <f t="array" ref="AF280">IFERROR(INDEX('Исходник'!$1:$626,MATCH($A280,'Исходник'!$T:$T,0),MATCH(AF$1,'Исходник'!$1:$1,0)))</f>
        <v/>
      </c>
      <c r="AG280" s="27" t="str">
        <f t="shared" si="14"/>
        <v/>
      </c>
      <c r="AH280" s="1" t="str">
        <f t="array" ref="AH280">IFERROR(INDEX('Исходник'!$1:$626,MATCH($A280,'Исходник'!$T:$T,0),MATCH(AH$1,'Исходник'!$1:$1,0)))</f>
        <v/>
      </c>
      <c r="AI280" s="1" t="str">
        <f t="array" ref="AI280">IFERROR(INDEX('Исходник'!$1:$626,MATCH($A280,'Исходник'!$T:$T,0),MATCH(AI$1,'Исходник'!$1:$1,0)))</f>
        <v/>
      </c>
      <c r="AJ280" s="18">
        <f t="shared" si="15"/>
        <v>0</v>
      </c>
    </row>
    <row r="281" ht="15.75" customHeight="1">
      <c r="A281" s="27"/>
      <c r="B281" s="1" t="str">
        <f t="array" ref="B281">IFERROR(INDEX('Исходник'!$1:$626,MATCH($A281,'Исходник'!$T:$T,0),MATCH(B$1,'Исходник'!$1:$1,0)))</f>
        <v/>
      </c>
      <c r="C281" s="1" t="str">
        <f t="array" ref="C281">IFERROR(INDEX('Исходник'!$1:$626,MATCH($A281,'Исходник'!$T:$T,0),MATCH(C$1,'Исходник'!$1:$1,0)))</f>
        <v/>
      </c>
      <c r="D281" s="1" t="str">
        <f t="array" ref="D281">IFERROR(INDEX('Исходник'!$1:$626,MATCH($A281,'Исходник'!$T:$T,0),MATCH(D$1,'Исходник'!$1:$1,0)))</f>
        <v/>
      </c>
      <c r="E281" s="1" t="str">
        <f t="array" ref="E281">IFERROR(INDEX('Исходник'!$1:$626,MATCH($A281,'Исходник'!$T:$T,0),MATCH(E$1,'Исходник'!$1:$1,0)))</f>
        <v/>
      </c>
      <c r="F281" s="1" t="str">
        <f t="array" ref="F281">IFERROR(INDEX('Исходник'!$1:$626,MATCH($A281,'Исходник'!$T:$T,0),MATCH(F$1,'Исходник'!$1:$1,0)))</f>
        <v/>
      </c>
      <c r="G281" s="1" t="str">
        <f t="array" ref="G281">IFERROR(INDEX('Исходник'!$1:$626,MATCH($A281,'Исходник'!$T:$T,0),MATCH(G$1,'Исходник'!$1:$1,0)))</f>
        <v/>
      </c>
      <c r="H281" s="27">
        <f t="shared" si="1"/>
        <v>0</v>
      </c>
      <c r="I281" s="27" t="str">
        <f t="shared" si="2"/>
        <v/>
      </c>
      <c r="J281" s="1" t="str">
        <f t="array" ref="J281">IFERROR(INDEX('Исходник'!$1:$626,MATCH($A281,'Исходник'!$T:$T,0),MATCH(J$1,'Исходник'!$1:$1,0)))</f>
        <v/>
      </c>
      <c r="K281" s="27" t="str">
        <f t="shared" si="3"/>
        <v/>
      </c>
      <c r="L281" s="1" t="str">
        <f t="array" ref="L281">IFERROR(INDEX('Исходник'!$1:$626,MATCH($A281,'Исходник'!$T:$T,0),MATCH(L$1,'Исходник'!$1:$1,0)))</f>
        <v/>
      </c>
      <c r="M281" s="28">
        <f t="shared" si="4"/>
        <v>0</v>
      </c>
      <c r="N281" s="1" t="str">
        <f t="array" ref="N281">IFERROR(INDEX('Исходник'!$1:$626,MATCH($A281,'Исходник'!$T:$T,0),MATCH(N$1,'Исходник'!$1:$1,0)))</f>
        <v/>
      </c>
      <c r="O281" s="27">
        <f t="shared" si="5"/>
        <v>0</v>
      </c>
      <c r="P281" s="27" t="str">
        <f t="shared" si="6"/>
        <v/>
      </c>
      <c r="Q281" s="1" t="str">
        <f t="array" ref="Q281">IFERROR(INDEX('Исходник'!$1:$626,MATCH($A281,'Исходник'!$T:$T,0),MATCH(Q$1,'Исходник'!$1:$1,0)))</f>
        <v/>
      </c>
      <c r="R281" s="1" t="str">
        <f t="array" ref="R281">IFERROR(INDEX('Исходник'!$1:$626,MATCH($A281,'Исходник'!$T:$T,0),MATCH(R$1,'Исходник'!$1:$1,0)))</f>
        <v/>
      </c>
      <c r="S281" s="27">
        <f t="shared" si="7"/>
        <v>0</v>
      </c>
      <c r="T281" s="27" t="str">
        <f t="shared" si="8"/>
        <v/>
      </c>
      <c r="U281" s="1" t="str">
        <f t="array" ref="U281">IFERROR(INDEX('Исходник'!$1:$626,MATCH($A281,'Исходник'!$T:$T,0),MATCH(U$1,'Исходник'!$1:$1,0)))</f>
        <v/>
      </c>
      <c r="V281" s="27" t="str">
        <f t="shared" si="9"/>
        <v/>
      </c>
      <c r="W281" s="1" t="str">
        <f t="array" ref="W281">IFERROR(INDEX('Исходник'!$1:$626,MATCH($A281,'Исходник'!$T:$T,0),MATCH(W$1,'Исходник'!$1:$1,0)))</f>
        <v/>
      </c>
      <c r="X281" s="28">
        <f t="shared" si="10"/>
        <v>0</v>
      </c>
      <c r="Y281" s="1" t="str">
        <f t="array" ref="Y281">IFERROR(INDEX('Исходник'!$1:$626,MATCH($A281,'Исходник'!$T:$T,0),MATCH(Y$1,'Исходник'!$1:$1,0)))</f>
        <v/>
      </c>
      <c r="Z281" s="27">
        <f t="shared" si="11"/>
        <v>0</v>
      </c>
      <c r="AA281" s="27" t="str">
        <f t="shared" si="12"/>
        <v/>
      </c>
      <c r="AB281" s="1" t="str">
        <f t="array" ref="AB281">IFERROR(INDEX('Исходник'!$1:$626,MATCH($A281,'Исходник'!$T:$T,0),MATCH(AB$1,'Исходник'!$1:$1,0)))</f>
        <v/>
      </c>
      <c r="AC281" s="1" t="str">
        <f t="array" ref="AC281">IFERROR(INDEX('Исходник'!$1:$626,MATCH($A281,'Исходник'!$T:$T,0),MATCH(AC$1,'Исходник'!$1:$1,0)))</f>
        <v/>
      </c>
      <c r="AD281" s="27" t="str">
        <f t="shared" si="13"/>
        <v/>
      </c>
      <c r="AE281" s="1" t="str">
        <f t="array" ref="AE281">IFERROR(INDEX('Исходник'!$1:$626,MATCH($A281,'Исходник'!$T:$T,0),MATCH(AE$1,'Исходник'!$1:$1,0)))</f>
        <v/>
      </c>
      <c r="AF281" s="1" t="str">
        <f t="array" ref="AF281">IFERROR(INDEX('Исходник'!$1:$626,MATCH($A281,'Исходник'!$T:$T,0),MATCH(AF$1,'Исходник'!$1:$1,0)))</f>
        <v/>
      </c>
      <c r="AG281" s="27" t="str">
        <f t="shared" si="14"/>
        <v/>
      </c>
      <c r="AH281" s="1" t="str">
        <f t="array" ref="AH281">IFERROR(INDEX('Исходник'!$1:$626,MATCH($A281,'Исходник'!$T:$T,0),MATCH(AH$1,'Исходник'!$1:$1,0)))</f>
        <v/>
      </c>
      <c r="AI281" s="1" t="str">
        <f t="array" ref="AI281">IFERROR(INDEX('Исходник'!$1:$626,MATCH($A281,'Исходник'!$T:$T,0),MATCH(AI$1,'Исходник'!$1:$1,0)))</f>
        <v/>
      </c>
      <c r="AJ281" s="18">
        <f t="shared" si="15"/>
        <v>0</v>
      </c>
    </row>
    <row r="282" ht="15.75" customHeight="1">
      <c r="A282" s="27"/>
      <c r="B282" s="1" t="str">
        <f t="array" ref="B282">IFERROR(INDEX('Исходник'!$1:$626,MATCH($A282,'Исходник'!$T:$T,0),MATCH(B$1,'Исходник'!$1:$1,0)))</f>
        <v/>
      </c>
      <c r="C282" s="1" t="str">
        <f t="array" ref="C282">IFERROR(INDEX('Исходник'!$1:$626,MATCH($A282,'Исходник'!$T:$T,0),MATCH(C$1,'Исходник'!$1:$1,0)))</f>
        <v/>
      </c>
      <c r="D282" s="1" t="str">
        <f t="array" ref="D282">IFERROR(INDEX('Исходник'!$1:$626,MATCH($A282,'Исходник'!$T:$T,0),MATCH(D$1,'Исходник'!$1:$1,0)))</f>
        <v/>
      </c>
      <c r="E282" s="1" t="str">
        <f t="array" ref="E282">IFERROR(INDEX('Исходник'!$1:$626,MATCH($A282,'Исходник'!$T:$T,0),MATCH(E$1,'Исходник'!$1:$1,0)))</f>
        <v/>
      </c>
      <c r="F282" s="1" t="str">
        <f t="array" ref="F282">IFERROR(INDEX('Исходник'!$1:$626,MATCH($A282,'Исходник'!$T:$T,0),MATCH(F$1,'Исходник'!$1:$1,0)))</f>
        <v/>
      </c>
      <c r="G282" s="1" t="str">
        <f t="array" ref="G282">IFERROR(INDEX('Исходник'!$1:$626,MATCH($A282,'Исходник'!$T:$T,0),MATCH(G$1,'Исходник'!$1:$1,0)))</f>
        <v/>
      </c>
      <c r="H282" s="27">
        <f t="shared" si="1"/>
        <v>0</v>
      </c>
      <c r="I282" s="27" t="str">
        <f t="shared" si="2"/>
        <v/>
      </c>
      <c r="J282" s="1" t="str">
        <f t="array" ref="J282">IFERROR(INDEX('Исходник'!$1:$626,MATCH($A282,'Исходник'!$T:$T,0),MATCH(J$1,'Исходник'!$1:$1,0)))</f>
        <v/>
      </c>
      <c r="K282" s="27" t="str">
        <f t="shared" si="3"/>
        <v/>
      </c>
      <c r="L282" s="1" t="str">
        <f t="array" ref="L282">IFERROR(INDEX('Исходник'!$1:$626,MATCH($A282,'Исходник'!$T:$T,0),MATCH(L$1,'Исходник'!$1:$1,0)))</f>
        <v/>
      </c>
      <c r="M282" s="28">
        <f t="shared" si="4"/>
        <v>0</v>
      </c>
      <c r="N282" s="1" t="str">
        <f t="array" ref="N282">IFERROR(INDEX('Исходник'!$1:$626,MATCH($A282,'Исходник'!$T:$T,0),MATCH(N$1,'Исходник'!$1:$1,0)))</f>
        <v/>
      </c>
      <c r="O282" s="27">
        <f t="shared" si="5"/>
        <v>0</v>
      </c>
      <c r="P282" s="27" t="str">
        <f t="shared" si="6"/>
        <v/>
      </c>
      <c r="Q282" s="1" t="str">
        <f t="array" ref="Q282">IFERROR(INDEX('Исходник'!$1:$626,MATCH($A282,'Исходник'!$T:$T,0),MATCH(Q$1,'Исходник'!$1:$1,0)))</f>
        <v/>
      </c>
      <c r="R282" s="1" t="str">
        <f t="array" ref="R282">IFERROR(INDEX('Исходник'!$1:$626,MATCH($A282,'Исходник'!$T:$T,0),MATCH(R$1,'Исходник'!$1:$1,0)))</f>
        <v/>
      </c>
      <c r="S282" s="27">
        <f t="shared" si="7"/>
        <v>0</v>
      </c>
      <c r="T282" s="27" t="str">
        <f t="shared" si="8"/>
        <v/>
      </c>
      <c r="U282" s="1" t="str">
        <f t="array" ref="U282">IFERROR(INDEX('Исходник'!$1:$626,MATCH($A282,'Исходник'!$T:$T,0),MATCH(U$1,'Исходник'!$1:$1,0)))</f>
        <v/>
      </c>
      <c r="V282" s="27" t="str">
        <f t="shared" si="9"/>
        <v/>
      </c>
      <c r="W282" s="1" t="str">
        <f t="array" ref="W282">IFERROR(INDEX('Исходник'!$1:$626,MATCH($A282,'Исходник'!$T:$T,0),MATCH(W$1,'Исходник'!$1:$1,0)))</f>
        <v/>
      </c>
      <c r="X282" s="28">
        <f t="shared" si="10"/>
        <v>0</v>
      </c>
      <c r="Y282" s="1" t="str">
        <f t="array" ref="Y282">IFERROR(INDEX('Исходник'!$1:$626,MATCH($A282,'Исходник'!$T:$T,0),MATCH(Y$1,'Исходник'!$1:$1,0)))</f>
        <v/>
      </c>
      <c r="Z282" s="27">
        <f t="shared" si="11"/>
        <v>0</v>
      </c>
      <c r="AA282" s="27" t="str">
        <f t="shared" si="12"/>
        <v/>
      </c>
      <c r="AB282" s="1" t="str">
        <f t="array" ref="AB282">IFERROR(INDEX('Исходник'!$1:$626,MATCH($A282,'Исходник'!$T:$T,0),MATCH(AB$1,'Исходник'!$1:$1,0)))</f>
        <v/>
      </c>
      <c r="AC282" s="1" t="str">
        <f t="array" ref="AC282">IFERROR(INDEX('Исходник'!$1:$626,MATCH($A282,'Исходник'!$T:$T,0),MATCH(AC$1,'Исходник'!$1:$1,0)))</f>
        <v/>
      </c>
      <c r="AD282" s="27" t="str">
        <f t="shared" si="13"/>
        <v/>
      </c>
      <c r="AE282" s="1" t="str">
        <f t="array" ref="AE282">IFERROR(INDEX('Исходник'!$1:$626,MATCH($A282,'Исходник'!$T:$T,0),MATCH(AE$1,'Исходник'!$1:$1,0)))</f>
        <v/>
      </c>
      <c r="AF282" s="1" t="str">
        <f t="array" ref="AF282">IFERROR(INDEX('Исходник'!$1:$626,MATCH($A282,'Исходник'!$T:$T,0),MATCH(AF$1,'Исходник'!$1:$1,0)))</f>
        <v/>
      </c>
      <c r="AG282" s="27" t="str">
        <f t="shared" si="14"/>
        <v/>
      </c>
      <c r="AH282" s="1" t="str">
        <f t="array" ref="AH282">IFERROR(INDEX('Исходник'!$1:$626,MATCH($A282,'Исходник'!$T:$T,0),MATCH(AH$1,'Исходник'!$1:$1,0)))</f>
        <v/>
      </c>
      <c r="AI282" s="1" t="str">
        <f t="array" ref="AI282">IFERROR(INDEX('Исходник'!$1:$626,MATCH($A282,'Исходник'!$T:$T,0),MATCH(AI$1,'Исходник'!$1:$1,0)))</f>
        <v/>
      </c>
      <c r="AJ282" s="18">
        <f t="shared" si="15"/>
        <v>0</v>
      </c>
    </row>
    <row r="283" ht="15.75" customHeight="1">
      <c r="A283" s="27"/>
      <c r="B283" s="1" t="str">
        <f t="array" ref="B283">IFERROR(INDEX('Исходник'!$1:$626,MATCH($A283,'Исходник'!$T:$T,0),MATCH(B$1,'Исходник'!$1:$1,0)))</f>
        <v/>
      </c>
      <c r="C283" s="1" t="str">
        <f t="array" ref="C283">IFERROR(INDEX('Исходник'!$1:$626,MATCH($A283,'Исходник'!$T:$T,0),MATCH(C$1,'Исходник'!$1:$1,0)))</f>
        <v/>
      </c>
      <c r="D283" s="1" t="str">
        <f t="array" ref="D283">IFERROR(INDEX('Исходник'!$1:$626,MATCH($A283,'Исходник'!$T:$T,0),MATCH(D$1,'Исходник'!$1:$1,0)))</f>
        <v/>
      </c>
      <c r="E283" s="1" t="str">
        <f t="array" ref="E283">IFERROR(INDEX('Исходник'!$1:$626,MATCH($A283,'Исходник'!$T:$T,0),MATCH(E$1,'Исходник'!$1:$1,0)))</f>
        <v/>
      </c>
      <c r="F283" s="1" t="str">
        <f t="array" ref="F283">IFERROR(INDEX('Исходник'!$1:$626,MATCH($A283,'Исходник'!$T:$T,0),MATCH(F$1,'Исходник'!$1:$1,0)))</f>
        <v/>
      </c>
      <c r="G283" s="1" t="str">
        <f t="array" ref="G283">IFERROR(INDEX('Исходник'!$1:$626,MATCH($A283,'Исходник'!$T:$T,0),MATCH(G$1,'Исходник'!$1:$1,0)))</f>
        <v/>
      </c>
      <c r="H283" s="27">
        <f t="shared" si="1"/>
        <v>0</v>
      </c>
      <c r="I283" s="27" t="str">
        <f t="shared" si="2"/>
        <v/>
      </c>
      <c r="J283" s="1" t="str">
        <f t="array" ref="J283">IFERROR(INDEX('Исходник'!$1:$626,MATCH($A283,'Исходник'!$T:$T,0),MATCH(J$1,'Исходник'!$1:$1,0)))</f>
        <v/>
      </c>
      <c r="K283" s="27" t="str">
        <f t="shared" si="3"/>
        <v/>
      </c>
      <c r="L283" s="1" t="str">
        <f t="array" ref="L283">IFERROR(INDEX('Исходник'!$1:$626,MATCH($A283,'Исходник'!$T:$T,0),MATCH(L$1,'Исходник'!$1:$1,0)))</f>
        <v/>
      </c>
      <c r="M283" s="28">
        <f t="shared" si="4"/>
        <v>0</v>
      </c>
      <c r="N283" s="1" t="str">
        <f t="array" ref="N283">IFERROR(INDEX('Исходник'!$1:$626,MATCH($A283,'Исходник'!$T:$T,0),MATCH(N$1,'Исходник'!$1:$1,0)))</f>
        <v/>
      </c>
      <c r="O283" s="27">
        <f t="shared" si="5"/>
        <v>0</v>
      </c>
      <c r="P283" s="27" t="str">
        <f t="shared" si="6"/>
        <v/>
      </c>
      <c r="Q283" s="1" t="str">
        <f t="array" ref="Q283">IFERROR(INDEX('Исходник'!$1:$626,MATCH($A283,'Исходник'!$T:$T,0),MATCH(Q$1,'Исходник'!$1:$1,0)))</f>
        <v/>
      </c>
      <c r="R283" s="1" t="str">
        <f t="array" ref="R283">IFERROR(INDEX('Исходник'!$1:$626,MATCH($A283,'Исходник'!$T:$T,0),MATCH(R$1,'Исходник'!$1:$1,0)))</f>
        <v/>
      </c>
      <c r="S283" s="27">
        <f t="shared" si="7"/>
        <v>0</v>
      </c>
      <c r="T283" s="27" t="str">
        <f t="shared" si="8"/>
        <v/>
      </c>
      <c r="U283" s="1" t="str">
        <f t="array" ref="U283">IFERROR(INDEX('Исходник'!$1:$626,MATCH($A283,'Исходник'!$T:$T,0),MATCH(U$1,'Исходник'!$1:$1,0)))</f>
        <v/>
      </c>
      <c r="V283" s="27" t="str">
        <f t="shared" si="9"/>
        <v/>
      </c>
      <c r="W283" s="1" t="str">
        <f t="array" ref="W283">IFERROR(INDEX('Исходник'!$1:$626,MATCH($A283,'Исходник'!$T:$T,0),MATCH(W$1,'Исходник'!$1:$1,0)))</f>
        <v/>
      </c>
      <c r="X283" s="28">
        <f t="shared" si="10"/>
        <v>0</v>
      </c>
      <c r="Y283" s="1" t="str">
        <f t="array" ref="Y283">IFERROR(INDEX('Исходник'!$1:$626,MATCH($A283,'Исходник'!$T:$T,0),MATCH(Y$1,'Исходник'!$1:$1,0)))</f>
        <v/>
      </c>
      <c r="Z283" s="27">
        <f t="shared" si="11"/>
        <v>0</v>
      </c>
      <c r="AA283" s="27" t="str">
        <f t="shared" si="12"/>
        <v/>
      </c>
      <c r="AB283" s="1" t="str">
        <f t="array" ref="AB283">IFERROR(INDEX('Исходник'!$1:$626,MATCH($A283,'Исходник'!$T:$T,0),MATCH(AB$1,'Исходник'!$1:$1,0)))</f>
        <v/>
      </c>
      <c r="AC283" s="1" t="str">
        <f t="array" ref="AC283">IFERROR(INDEX('Исходник'!$1:$626,MATCH($A283,'Исходник'!$T:$T,0),MATCH(AC$1,'Исходник'!$1:$1,0)))</f>
        <v/>
      </c>
      <c r="AD283" s="27" t="str">
        <f t="shared" si="13"/>
        <v/>
      </c>
      <c r="AE283" s="1" t="str">
        <f t="array" ref="AE283">IFERROR(INDEX('Исходник'!$1:$626,MATCH($A283,'Исходник'!$T:$T,0),MATCH(AE$1,'Исходник'!$1:$1,0)))</f>
        <v/>
      </c>
      <c r="AF283" s="1" t="str">
        <f t="array" ref="AF283">IFERROR(INDEX('Исходник'!$1:$626,MATCH($A283,'Исходник'!$T:$T,0),MATCH(AF$1,'Исходник'!$1:$1,0)))</f>
        <v/>
      </c>
      <c r="AG283" s="27" t="str">
        <f t="shared" si="14"/>
        <v/>
      </c>
      <c r="AH283" s="1" t="str">
        <f t="array" ref="AH283">IFERROR(INDEX('Исходник'!$1:$626,MATCH($A283,'Исходник'!$T:$T,0),MATCH(AH$1,'Исходник'!$1:$1,0)))</f>
        <v/>
      </c>
      <c r="AI283" s="1" t="str">
        <f t="array" ref="AI283">IFERROR(INDEX('Исходник'!$1:$626,MATCH($A283,'Исходник'!$T:$T,0),MATCH(AI$1,'Исходник'!$1:$1,0)))</f>
        <v/>
      </c>
      <c r="AJ283" s="18">
        <f t="shared" si="15"/>
        <v>0</v>
      </c>
    </row>
    <row r="284" ht="15.75" customHeight="1">
      <c r="A284" s="27"/>
      <c r="B284" s="1" t="str">
        <f t="array" ref="B284">IFERROR(INDEX('Исходник'!$1:$626,MATCH($A284,'Исходник'!$T:$T,0),MATCH(B$1,'Исходник'!$1:$1,0)))</f>
        <v/>
      </c>
      <c r="C284" s="1" t="str">
        <f t="array" ref="C284">IFERROR(INDEX('Исходник'!$1:$626,MATCH($A284,'Исходник'!$T:$T,0),MATCH(C$1,'Исходник'!$1:$1,0)))</f>
        <v/>
      </c>
      <c r="D284" s="1" t="str">
        <f t="array" ref="D284">IFERROR(INDEX('Исходник'!$1:$626,MATCH($A284,'Исходник'!$T:$T,0),MATCH(D$1,'Исходник'!$1:$1,0)))</f>
        <v/>
      </c>
      <c r="E284" s="1" t="str">
        <f t="array" ref="E284">IFERROR(INDEX('Исходник'!$1:$626,MATCH($A284,'Исходник'!$T:$T,0),MATCH(E$1,'Исходник'!$1:$1,0)))</f>
        <v/>
      </c>
      <c r="F284" s="1" t="str">
        <f t="array" ref="F284">IFERROR(INDEX('Исходник'!$1:$626,MATCH($A284,'Исходник'!$T:$T,0),MATCH(F$1,'Исходник'!$1:$1,0)))</f>
        <v/>
      </c>
      <c r="G284" s="1" t="str">
        <f t="array" ref="G284">IFERROR(INDEX('Исходник'!$1:$626,MATCH($A284,'Исходник'!$T:$T,0),MATCH(G$1,'Исходник'!$1:$1,0)))</f>
        <v/>
      </c>
      <c r="H284" s="27">
        <f t="shared" si="1"/>
        <v>0</v>
      </c>
      <c r="I284" s="27" t="str">
        <f t="shared" si="2"/>
        <v/>
      </c>
      <c r="J284" s="1" t="str">
        <f t="array" ref="J284">IFERROR(INDEX('Исходник'!$1:$626,MATCH($A284,'Исходник'!$T:$T,0),MATCH(J$1,'Исходник'!$1:$1,0)))</f>
        <v/>
      </c>
      <c r="K284" s="27" t="str">
        <f t="shared" si="3"/>
        <v/>
      </c>
      <c r="L284" s="1" t="str">
        <f t="array" ref="L284">IFERROR(INDEX('Исходник'!$1:$626,MATCH($A284,'Исходник'!$T:$T,0),MATCH(L$1,'Исходник'!$1:$1,0)))</f>
        <v/>
      </c>
      <c r="M284" s="28">
        <f t="shared" si="4"/>
        <v>0</v>
      </c>
      <c r="N284" s="1" t="str">
        <f t="array" ref="N284">IFERROR(INDEX('Исходник'!$1:$626,MATCH($A284,'Исходник'!$T:$T,0),MATCH(N$1,'Исходник'!$1:$1,0)))</f>
        <v/>
      </c>
      <c r="O284" s="27">
        <f t="shared" si="5"/>
        <v>0</v>
      </c>
      <c r="P284" s="27" t="str">
        <f t="shared" si="6"/>
        <v/>
      </c>
      <c r="Q284" s="1" t="str">
        <f t="array" ref="Q284">IFERROR(INDEX('Исходник'!$1:$626,MATCH($A284,'Исходник'!$T:$T,0),MATCH(Q$1,'Исходник'!$1:$1,0)))</f>
        <v/>
      </c>
      <c r="R284" s="1" t="str">
        <f t="array" ref="R284">IFERROR(INDEX('Исходник'!$1:$626,MATCH($A284,'Исходник'!$T:$T,0),MATCH(R$1,'Исходник'!$1:$1,0)))</f>
        <v/>
      </c>
      <c r="S284" s="27">
        <f t="shared" si="7"/>
        <v>0</v>
      </c>
      <c r="T284" s="27" t="str">
        <f t="shared" si="8"/>
        <v/>
      </c>
      <c r="U284" s="1" t="str">
        <f t="array" ref="U284">IFERROR(INDEX('Исходник'!$1:$626,MATCH($A284,'Исходник'!$T:$T,0),MATCH(U$1,'Исходник'!$1:$1,0)))</f>
        <v/>
      </c>
      <c r="V284" s="27" t="str">
        <f t="shared" si="9"/>
        <v/>
      </c>
      <c r="W284" s="1" t="str">
        <f t="array" ref="W284">IFERROR(INDEX('Исходник'!$1:$626,MATCH($A284,'Исходник'!$T:$T,0),MATCH(W$1,'Исходник'!$1:$1,0)))</f>
        <v/>
      </c>
      <c r="X284" s="28">
        <f t="shared" si="10"/>
        <v>0</v>
      </c>
      <c r="Y284" s="1" t="str">
        <f t="array" ref="Y284">IFERROR(INDEX('Исходник'!$1:$626,MATCH($A284,'Исходник'!$T:$T,0),MATCH(Y$1,'Исходник'!$1:$1,0)))</f>
        <v/>
      </c>
      <c r="Z284" s="27">
        <f t="shared" si="11"/>
        <v>0</v>
      </c>
      <c r="AA284" s="27" t="str">
        <f t="shared" si="12"/>
        <v/>
      </c>
      <c r="AB284" s="1" t="str">
        <f t="array" ref="AB284">IFERROR(INDEX('Исходник'!$1:$626,MATCH($A284,'Исходник'!$T:$T,0),MATCH(AB$1,'Исходник'!$1:$1,0)))</f>
        <v/>
      </c>
      <c r="AC284" s="1" t="str">
        <f t="array" ref="AC284">IFERROR(INDEX('Исходник'!$1:$626,MATCH($A284,'Исходник'!$T:$T,0),MATCH(AC$1,'Исходник'!$1:$1,0)))</f>
        <v/>
      </c>
      <c r="AD284" s="27" t="str">
        <f t="shared" si="13"/>
        <v/>
      </c>
      <c r="AE284" s="1" t="str">
        <f t="array" ref="AE284">IFERROR(INDEX('Исходник'!$1:$626,MATCH($A284,'Исходник'!$T:$T,0),MATCH(AE$1,'Исходник'!$1:$1,0)))</f>
        <v/>
      </c>
      <c r="AF284" s="1" t="str">
        <f t="array" ref="AF284">IFERROR(INDEX('Исходник'!$1:$626,MATCH($A284,'Исходник'!$T:$T,0),MATCH(AF$1,'Исходник'!$1:$1,0)))</f>
        <v/>
      </c>
      <c r="AG284" s="27" t="str">
        <f t="shared" si="14"/>
        <v/>
      </c>
      <c r="AH284" s="1" t="str">
        <f t="array" ref="AH284">IFERROR(INDEX('Исходник'!$1:$626,MATCH($A284,'Исходник'!$T:$T,0),MATCH(AH$1,'Исходник'!$1:$1,0)))</f>
        <v/>
      </c>
      <c r="AI284" s="1" t="str">
        <f t="array" ref="AI284">IFERROR(INDEX('Исходник'!$1:$626,MATCH($A284,'Исходник'!$T:$T,0),MATCH(AI$1,'Исходник'!$1:$1,0)))</f>
        <v/>
      </c>
      <c r="AJ284" s="18">
        <f t="shared" si="15"/>
        <v>0</v>
      </c>
    </row>
    <row r="285" ht="15.75" customHeight="1">
      <c r="A285" s="27"/>
      <c r="B285" s="1" t="str">
        <f t="array" ref="B285">IFERROR(INDEX('Исходник'!$1:$626,MATCH($A285,'Исходник'!$T:$T,0),MATCH(B$1,'Исходник'!$1:$1,0)))</f>
        <v/>
      </c>
      <c r="C285" s="1" t="str">
        <f t="array" ref="C285">IFERROR(INDEX('Исходник'!$1:$626,MATCH($A285,'Исходник'!$T:$T,0),MATCH(C$1,'Исходник'!$1:$1,0)))</f>
        <v/>
      </c>
      <c r="D285" s="1" t="str">
        <f t="array" ref="D285">IFERROR(INDEX('Исходник'!$1:$626,MATCH($A285,'Исходник'!$T:$T,0),MATCH(D$1,'Исходник'!$1:$1,0)))</f>
        <v/>
      </c>
      <c r="E285" s="1" t="str">
        <f t="array" ref="E285">IFERROR(INDEX('Исходник'!$1:$626,MATCH($A285,'Исходник'!$T:$T,0),MATCH(E$1,'Исходник'!$1:$1,0)))</f>
        <v/>
      </c>
      <c r="F285" s="1" t="str">
        <f t="array" ref="F285">IFERROR(INDEX('Исходник'!$1:$626,MATCH($A285,'Исходник'!$T:$T,0),MATCH(F$1,'Исходник'!$1:$1,0)))</f>
        <v/>
      </c>
      <c r="G285" s="1" t="str">
        <f t="array" ref="G285">IFERROR(INDEX('Исходник'!$1:$626,MATCH($A285,'Исходник'!$T:$T,0),MATCH(G$1,'Исходник'!$1:$1,0)))</f>
        <v/>
      </c>
      <c r="H285" s="27">
        <f t="shared" si="1"/>
        <v>0</v>
      </c>
      <c r="I285" s="27" t="str">
        <f t="shared" si="2"/>
        <v/>
      </c>
      <c r="J285" s="1" t="str">
        <f t="array" ref="J285">IFERROR(INDEX('Исходник'!$1:$626,MATCH($A285,'Исходник'!$T:$T,0),MATCH(J$1,'Исходник'!$1:$1,0)))</f>
        <v/>
      </c>
      <c r="K285" s="27" t="str">
        <f t="shared" si="3"/>
        <v/>
      </c>
      <c r="L285" s="1" t="str">
        <f t="array" ref="L285">IFERROR(INDEX('Исходник'!$1:$626,MATCH($A285,'Исходник'!$T:$T,0),MATCH(L$1,'Исходник'!$1:$1,0)))</f>
        <v/>
      </c>
      <c r="M285" s="28">
        <f t="shared" si="4"/>
        <v>0</v>
      </c>
      <c r="N285" s="1" t="str">
        <f t="array" ref="N285">IFERROR(INDEX('Исходник'!$1:$626,MATCH($A285,'Исходник'!$T:$T,0),MATCH(N$1,'Исходник'!$1:$1,0)))</f>
        <v/>
      </c>
      <c r="O285" s="27">
        <f t="shared" si="5"/>
        <v>0</v>
      </c>
      <c r="P285" s="27" t="str">
        <f t="shared" si="6"/>
        <v/>
      </c>
      <c r="Q285" s="1" t="str">
        <f t="array" ref="Q285">IFERROR(INDEX('Исходник'!$1:$626,MATCH($A285,'Исходник'!$T:$T,0),MATCH(Q$1,'Исходник'!$1:$1,0)))</f>
        <v/>
      </c>
      <c r="R285" s="1" t="str">
        <f t="array" ref="R285">IFERROR(INDEX('Исходник'!$1:$626,MATCH($A285,'Исходник'!$T:$T,0),MATCH(R$1,'Исходник'!$1:$1,0)))</f>
        <v/>
      </c>
      <c r="S285" s="27">
        <f t="shared" si="7"/>
        <v>0</v>
      </c>
      <c r="T285" s="27" t="str">
        <f t="shared" si="8"/>
        <v/>
      </c>
      <c r="U285" s="1" t="str">
        <f t="array" ref="U285">IFERROR(INDEX('Исходник'!$1:$626,MATCH($A285,'Исходник'!$T:$T,0),MATCH(U$1,'Исходник'!$1:$1,0)))</f>
        <v/>
      </c>
      <c r="V285" s="27" t="str">
        <f t="shared" si="9"/>
        <v/>
      </c>
      <c r="W285" s="1" t="str">
        <f t="array" ref="W285">IFERROR(INDEX('Исходник'!$1:$626,MATCH($A285,'Исходник'!$T:$T,0),MATCH(W$1,'Исходник'!$1:$1,0)))</f>
        <v/>
      </c>
      <c r="X285" s="28">
        <f t="shared" si="10"/>
        <v>0</v>
      </c>
      <c r="Y285" s="1" t="str">
        <f t="array" ref="Y285">IFERROR(INDEX('Исходник'!$1:$626,MATCH($A285,'Исходник'!$T:$T,0),MATCH(Y$1,'Исходник'!$1:$1,0)))</f>
        <v/>
      </c>
      <c r="Z285" s="27">
        <f t="shared" si="11"/>
        <v>0</v>
      </c>
      <c r="AA285" s="27" t="str">
        <f t="shared" si="12"/>
        <v/>
      </c>
      <c r="AB285" s="1" t="str">
        <f t="array" ref="AB285">IFERROR(INDEX('Исходник'!$1:$626,MATCH($A285,'Исходник'!$T:$T,0),MATCH(AB$1,'Исходник'!$1:$1,0)))</f>
        <v/>
      </c>
      <c r="AC285" s="1" t="str">
        <f t="array" ref="AC285">IFERROR(INDEX('Исходник'!$1:$626,MATCH($A285,'Исходник'!$T:$T,0),MATCH(AC$1,'Исходник'!$1:$1,0)))</f>
        <v/>
      </c>
      <c r="AD285" s="27" t="str">
        <f t="shared" si="13"/>
        <v/>
      </c>
      <c r="AE285" s="1" t="str">
        <f t="array" ref="AE285">IFERROR(INDEX('Исходник'!$1:$626,MATCH($A285,'Исходник'!$T:$T,0),MATCH(AE$1,'Исходник'!$1:$1,0)))</f>
        <v/>
      </c>
      <c r="AF285" s="1" t="str">
        <f t="array" ref="AF285">IFERROR(INDEX('Исходник'!$1:$626,MATCH($A285,'Исходник'!$T:$T,0),MATCH(AF$1,'Исходник'!$1:$1,0)))</f>
        <v/>
      </c>
      <c r="AG285" s="27" t="str">
        <f t="shared" si="14"/>
        <v/>
      </c>
      <c r="AH285" s="1" t="str">
        <f t="array" ref="AH285">IFERROR(INDEX('Исходник'!$1:$626,MATCH($A285,'Исходник'!$T:$T,0),MATCH(AH$1,'Исходник'!$1:$1,0)))</f>
        <v/>
      </c>
      <c r="AI285" s="1" t="str">
        <f t="array" ref="AI285">IFERROR(INDEX('Исходник'!$1:$626,MATCH($A285,'Исходник'!$T:$T,0),MATCH(AI$1,'Исходник'!$1:$1,0)))</f>
        <v/>
      </c>
      <c r="AJ285" s="18">
        <f t="shared" si="15"/>
        <v>0</v>
      </c>
    </row>
    <row r="286" ht="15.75" customHeight="1">
      <c r="A286" s="27"/>
      <c r="B286" s="1" t="str">
        <f t="array" ref="B286">IFERROR(INDEX('Исходник'!$1:$626,MATCH($A286,'Исходник'!$T:$T,0),MATCH(B$1,'Исходник'!$1:$1,0)))</f>
        <v/>
      </c>
      <c r="C286" s="1" t="str">
        <f t="array" ref="C286">IFERROR(INDEX('Исходник'!$1:$626,MATCH($A286,'Исходник'!$T:$T,0),MATCH(C$1,'Исходник'!$1:$1,0)))</f>
        <v/>
      </c>
      <c r="D286" s="1" t="str">
        <f t="array" ref="D286">IFERROR(INDEX('Исходник'!$1:$626,MATCH($A286,'Исходник'!$T:$T,0),MATCH(D$1,'Исходник'!$1:$1,0)))</f>
        <v/>
      </c>
      <c r="E286" s="1" t="str">
        <f t="array" ref="E286">IFERROR(INDEX('Исходник'!$1:$626,MATCH($A286,'Исходник'!$T:$T,0),MATCH(E$1,'Исходник'!$1:$1,0)))</f>
        <v/>
      </c>
      <c r="F286" s="1" t="str">
        <f t="array" ref="F286">IFERROR(INDEX('Исходник'!$1:$626,MATCH($A286,'Исходник'!$T:$T,0),MATCH(F$1,'Исходник'!$1:$1,0)))</f>
        <v/>
      </c>
      <c r="G286" s="1" t="str">
        <f t="array" ref="G286">IFERROR(INDEX('Исходник'!$1:$626,MATCH($A286,'Исходник'!$T:$T,0),MATCH(G$1,'Исходник'!$1:$1,0)))</f>
        <v/>
      </c>
      <c r="H286" s="27">
        <f t="shared" si="1"/>
        <v>0</v>
      </c>
      <c r="I286" s="27" t="str">
        <f t="shared" si="2"/>
        <v/>
      </c>
      <c r="J286" s="1" t="str">
        <f t="array" ref="J286">IFERROR(INDEX('Исходник'!$1:$626,MATCH($A286,'Исходник'!$T:$T,0),MATCH(J$1,'Исходник'!$1:$1,0)))</f>
        <v/>
      </c>
      <c r="K286" s="27" t="str">
        <f t="shared" si="3"/>
        <v/>
      </c>
      <c r="L286" s="1" t="str">
        <f t="array" ref="L286">IFERROR(INDEX('Исходник'!$1:$626,MATCH($A286,'Исходник'!$T:$T,0),MATCH(L$1,'Исходник'!$1:$1,0)))</f>
        <v/>
      </c>
      <c r="M286" s="28">
        <f t="shared" si="4"/>
        <v>0</v>
      </c>
      <c r="N286" s="1" t="str">
        <f t="array" ref="N286">IFERROR(INDEX('Исходник'!$1:$626,MATCH($A286,'Исходник'!$T:$T,0),MATCH(N$1,'Исходник'!$1:$1,0)))</f>
        <v/>
      </c>
      <c r="O286" s="27">
        <f t="shared" si="5"/>
        <v>0</v>
      </c>
      <c r="P286" s="27" t="str">
        <f t="shared" si="6"/>
        <v/>
      </c>
      <c r="Q286" s="1" t="str">
        <f t="array" ref="Q286">IFERROR(INDEX('Исходник'!$1:$626,MATCH($A286,'Исходник'!$T:$T,0),MATCH(Q$1,'Исходник'!$1:$1,0)))</f>
        <v/>
      </c>
      <c r="R286" s="1" t="str">
        <f t="array" ref="R286">IFERROR(INDEX('Исходник'!$1:$626,MATCH($A286,'Исходник'!$T:$T,0),MATCH(R$1,'Исходник'!$1:$1,0)))</f>
        <v/>
      </c>
      <c r="S286" s="27">
        <f t="shared" si="7"/>
        <v>0</v>
      </c>
      <c r="T286" s="27" t="str">
        <f t="shared" si="8"/>
        <v/>
      </c>
      <c r="U286" s="1" t="str">
        <f t="array" ref="U286">IFERROR(INDEX('Исходник'!$1:$626,MATCH($A286,'Исходник'!$T:$T,0),MATCH(U$1,'Исходник'!$1:$1,0)))</f>
        <v/>
      </c>
      <c r="V286" s="27" t="str">
        <f t="shared" si="9"/>
        <v/>
      </c>
      <c r="W286" s="1" t="str">
        <f t="array" ref="W286">IFERROR(INDEX('Исходник'!$1:$626,MATCH($A286,'Исходник'!$T:$T,0),MATCH(W$1,'Исходник'!$1:$1,0)))</f>
        <v/>
      </c>
      <c r="X286" s="28">
        <f t="shared" si="10"/>
        <v>0</v>
      </c>
      <c r="Y286" s="1" t="str">
        <f t="array" ref="Y286">IFERROR(INDEX('Исходник'!$1:$626,MATCH($A286,'Исходник'!$T:$T,0),MATCH(Y$1,'Исходник'!$1:$1,0)))</f>
        <v/>
      </c>
      <c r="Z286" s="27">
        <f t="shared" si="11"/>
        <v>0</v>
      </c>
      <c r="AA286" s="27" t="str">
        <f t="shared" si="12"/>
        <v/>
      </c>
      <c r="AB286" s="1" t="str">
        <f t="array" ref="AB286">IFERROR(INDEX('Исходник'!$1:$626,MATCH($A286,'Исходник'!$T:$T,0),MATCH(AB$1,'Исходник'!$1:$1,0)))</f>
        <v/>
      </c>
      <c r="AC286" s="1" t="str">
        <f t="array" ref="AC286">IFERROR(INDEX('Исходник'!$1:$626,MATCH($A286,'Исходник'!$T:$T,0),MATCH(AC$1,'Исходник'!$1:$1,0)))</f>
        <v/>
      </c>
      <c r="AD286" s="27" t="str">
        <f t="shared" si="13"/>
        <v/>
      </c>
      <c r="AE286" s="1" t="str">
        <f t="array" ref="AE286">IFERROR(INDEX('Исходник'!$1:$626,MATCH($A286,'Исходник'!$T:$T,0),MATCH(AE$1,'Исходник'!$1:$1,0)))</f>
        <v/>
      </c>
      <c r="AF286" s="1" t="str">
        <f t="array" ref="AF286">IFERROR(INDEX('Исходник'!$1:$626,MATCH($A286,'Исходник'!$T:$T,0),MATCH(AF$1,'Исходник'!$1:$1,0)))</f>
        <v/>
      </c>
      <c r="AG286" s="27" t="str">
        <f t="shared" si="14"/>
        <v/>
      </c>
      <c r="AH286" s="1" t="str">
        <f t="array" ref="AH286">IFERROR(INDEX('Исходник'!$1:$626,MATCH($A286,'Исходник'!$T:$T,0),MATCH(AH$1,'Исходник'!$1:$1,0)))</f>
        <v/>
      </c>
      <c r="AI286" s="1" t="str">
        <f t="array" ref="AI286">IFERROR(INDEX('Исходник'!$1:$626,MATCH($A286,'Исходник'!$T:$T,0),MATCH(AI$1,'Исходник'!$1:$1,0)))</f>
        <v/>
      </c>
      <c r="AJ286" s="18">
        <f t="shared" si="15"/>
        <v>0</v>
      </c>
    </row>
    <row r="287" ht="15.75" customHeight="1">
      <c r="A287" s="27"/>
      <c r="B287" s="1" t="str">
        <f t="array" ref="B287">IFERROR(INDEX('Исходник'!$1:$626,MATCH($A287,'Исходник'!$T:$T,0),MATCH(B$1,'Исходник'!$1:$1,0)))</f>
        <v/>
      </c>
      <c r="C287" s="1" t="str">
        <f t="array" ref="C287">IFERROR(INDEX('Исходник'!$1:$626,MATCH($A287,'Исходник'!$T:$T,0),MATCH(C$1,'Исходник'!$1:$1,0)))</f>
        <v/>
      </c>
      <c r="D287" s="1" t="str">
        <f t="array" ref="D287">IFERROR(INDEX('Исходник'!$1:$626,MATCH($A287,'Исходник'!$T:$T,0),MATCH(D$1,'Исходник'!$1:$1,0)))</f>
        <v/>
      </c>
      <c r="E287" s="1" t="str">
        <f t="array" ref="E287">IFERROR(INDEX('Исходник'!$1:$626,MATCH($A287,'Исходник'!$T:$T,0),MATCH(E$1,'Исходник'!$1:$1,0)))</f>
        <v/>
      </c>
      <c r="F287" s="1" t="str">
        <f t="array" ref="F287">IFERROR(INDEX('Исходник'!$1:$626,MATCH($A287,'Исходник'!$T:$T,0),MATCH(F$1,'Исходник'!$1:$1,0)))</f>
        <v/>
      </c>
      <c r="G287" s="1" t="str">
        <f t="array" ref="G287">IFERROR(INDEX('Исходник'!$1:$626,MATCH($A287,'Исходник'!$T:$T,0),MATCH(G$1,'Исходник'!$1:$1,0)))</f>
        <v/>
      </c>
      <c r="H287" s="27">
        <f t="shared" si="1"/>
        <v>0</v>
      </c>
      <c r="I287" s="27" t="str">
        <f t="shared" si="2"/>
        <v/>
      </c>
      <c r="J287" s="1" t="str">
        <f t="array" ref="J287">IFERROR(INDEX('Исходник'!$1:$626,MATCH($A287,'Исходник'!$T:$T,0),MATCH(J$1,'Исходник'!$1:$1,0)))</f>
        <v/>
      </c>
      <c r="K287" s="27" t="str">
        <f t="shared" si="3"/>
        <v/>
      </c>
      <c r="L287" s="1" t="str">
        <f t="array" ref="L287">IFERROR(INDEX('Исходник'!$1:$626,MATCH($A287,'Исходник'!$T:$T,0),MATCH(L$1,'Исходник'!$1:$1,0)))</f>
        <v/>
      </c>
      <c r="M287" s="28">
        <f t="shared" si="4"/>
        <v>0</v>
      </c>
      <c r="N287" s="1" t="str">
        <f t="array" ref="N287">IFERROR(INDEX('Исходник'!$1:$626,MATCH($A287,'Исходник'!$T:$T,0),MATCH(N$1,'Исходник'!$1:$1,0)))</f>
        <v/>
      </c>
      <c r="O287" s="27">
        <f t="shared" si="5"/>
        <v>0</v>
      </c>
      <c r="P287" s="27" t="str">
        <f t="shared" si="6"/>
        <v/>
      </c>
      <c r="Q287" s="1" t="str">
        <f t="array" ref="Q287">IFERROR(INDEX('Исходник'!$1:$626,MATCH($A287,'Исходник'!$T:$T,0),MATCH(Q$1,'Исходник'!$1:$1,0)))</f>
        <v/>
      </c>
      <c r="R287" s="1" t="str">
        <f t="array" ref="R287">IFERROR(INDEX('Исходник'!$1:$626,MATCH($A287,'Исходник'!$T:$T,0),MATCH(R$1,'Исходник'!$1:$1,0)))</f>
        <v/>
      </c>
      <c r="S287" s="27">
        <f t="shared" si="7"/>
        <v>0</v>
      </c>
      <c r="T287" s="27" t="str">
        <f t="shared" si="8"/>
        <v/>
      </c>
      <c r="U287" s="1" t="str">
        <f t="array" ref="U287">IFERROR(INDEX('Исходник'!$1:$626,MATCH($A287,'Исходник'!$T:$T,0),MATCH(U$1,'Исходник'!$1:$1,0)))</f>
        <v/>
      </c>
      <c r="V287" s="27" t="str">
        <f t="shared" si="9"/>
        <v/>
      </c>
      <c r="W287" s="1" t="str">
        <f t="array" ref="W287">IFERROR(INDEX('Исходник'!$1:$626,MATCH($A287,'Исходник'!$T:$T,0),MATCH(W$1,'Исходник'!$1:$1,0)))</f>
        <v/>
      </c>
      <c r="X287" s="28">
        <f t="shared" si="10"/>
        <v>0</v>
      </c>
      <c r="Y287" s="1" t="str">
        <f t="array" ref="Y287">IFERROR(INDEX('Исходник'!$1:$626,MATCH($A287,'Исходник'!$T:$T,0),MATCH(Y$1,'Исходник'!$1:$1,0)))</f>
        <v/>
      </c>
      <c r="Z287" s="27">
        <f t="shared" si="11"/>
        <v>0</v>
      </c>
      <c r="AA287" s="27" t="str">
        <f t="shared" si="12"/>
        <v/>
      </c>
      <c r="AB287" s="1" t="str">
        <f t="array" ref="AB287">IFERROR(INDEX('Исходник'!$1:$626,MATCH($A287,'Исходник'!$T:$T,0),MATCH(AB$1,'Исходник'!$1:$1,0)))</f>
        <v/>
      </c>
      <c r="AC287" s="1" t="str">
        <f t="array" ref="AC287">IFERROR(INDEX('Исходник'!$1:$626,MATCH($A287,'Исходник'!$T:$T,0),MATCH(AC$1,'Исходник'!$1:$1,0)))</f>
        <v/>
      </c>
      <c r="AD287" s="27" t="str">
        <f t="shared" si="13"/>
        <v/>
      </c>
      <c r="AE287" s="1" t="str">
        <f t="array" ref="AE287">IFERROR(INDEX('Исходник'!$1:$626,MATCH($A287,'Исходник'!$T:$T,0),MATCH(AE$1,'Исходник'!$1:$1,0)))</f>
        <v/>
      </c>
      <c r="AF287" s="1" t="str">
        <f t="array" ref="AF287">IFERROR(INDEX('Исходник'!$1:$626,MATCH($A287,'Исходник'!$T:$T,0),MATCH(AF$1,'Исходник'!$1:$1,0)))</f>
        <v/>
      </c>
      <c r="AG287" s="27" t="str">
        <f t="shared" si="14"/>
        <v/>
      </c>
      <c r="AH287" s="1" t="str">
        <f t="array" ref="AH287">IFERROR(INDEX('Исходник'!$1:$626,MATCH($A287,'Исходник'!$T:$T,0),MATCH(AH$1,'Исходник'!$1:$1,0)))</f>
        <v/>
      </c>
      <c r="AI287" s="1" t="str">
        <f t="array" ref="AI287">IFERROR(INDEX('Исходник'!$1:$626,MATCH($A287,'Исходник'!$T:$T,0),MATCH(AI$1,'Исходник'!$1:$1,0)))</f>
        <v/>
      </c>
      <c r="AJ287" s="18">
        <f t="shared" si="15"/>
        <v>0</v>
      </c>
    </row>
    <row r="288" ht="15.75" customHeight="1">
      <c r="A288" s="27"/>
      <c r="B288" s="1" t="str">
        <f t="array" ref="B288">IFERROR(INDEX('Исходник'!$1:$626,MATCH($A288,'Исходник'!$T:$T,0),MATCH(B$1,'Исходник'!$1:$1,0)))</f>
        <v/>
      </c>
      <c r="C288" s="1" t="str">
        <f t="array" ref="C288">IFERROR(INDEX('Исходник'!$1:$626,MATCH($A288,'Исходник'!$T:$T,0),MATCH(C$1,'Исходник'!$1:$1,0)))</f>
        <v/>
      </c>
      <c r="D288" s="1" t="str">
        <f t="array" ref="D288">IFERROR(INDEX('Исходник'!$1:$626,MATCH($A288,'Исходник'!$T:$T,0),MATCH(D$1,'Исходник'!$1:$1,0)))</f>
        <v/>
      </c>
      <c r="E288" s="1" t="str">
        <f t="array" ref="E288">IFERROR(INDEX('Исходник'!$1:$626,MATCH($A288,'Исходник'!$T:$T,0),MATCH(E$1,'Исходник'!$1:$1,0)))</f>
        <v/>
      </c>
      <c r="F288" s="1" t="str">
        <f t="array" ref="F288">IFERROR(INDEX('Исходник'!$1:$626,MATCH($A288,'Исходник'!$T:$T,0),MATCH(F$1,'Исходник'!$1:$1,0)))</f>
        <v/>
      </c>
      <c r="G288" s="1" t="str">
        <f t="array" ref="G288">IFERROR(INDEX('Исходник'!$1:$626,MATCH($A288,'Исходник'!$T:$T,0),MATCH(G$1,'Исходник'!$1:$1,0)))</f>
        <v/>
      </c>
      <c r="H288" s="27">
        <f t="shared" si="1"/>
        <v>0</v>
      </c>
      <c r="I288" s="27" t="str">
        <f t="shared" si="2"/>
        <v/>
      </c>
      <c r="J288" s="1" t="str">
        <f t="array" ref="J288">IFERROR(INDEX('Исходник'!$1:$626,MATCH($A288,'Исходник'!$T:$T,0),MATCH(J$1,'Исходник'!$1:$1,0)))</f>
        <v/>
      </c>
      <c r="K288" s="27" t="str">
        <f t="shared" si="3"/>
        <v/>
      </c>
      <c r="L288" s="1" t="str">
        <f t="array" ref="L288">IFERROR(INDEX('Исходник'!$1:$626,MATCH($A288,'Исходник'!$T:$T,0),MATCH(L$1,'Исходник'!$1:$1,0)))</f>
        <v/>
      </c>
      <c r="M288" s="28">
        <f t="shared" si="4"/>
        <v>0</v>
      </c>
      <c r="N288" s="1" t="str">
        <f t="array" ref="N288">IFERROR(INDEX('Исходник'!$1:$626,MATCH($A288,'Исходник'!$T:$T,0),MATCH(N$1,'Исходник'!$1:$1,0)))</f>
        <v/>
      </c>
      <c r="O288" s="27">
        <f t="shared" si="5"/>
        <v>0</v>
      </c>
      <c r="P288" s="27" t="str">
        <f t="shared" si="6"/>
        <v/>
      </c>
      <c r="Q288" s="1" t="str">
        <f t="array" ref="Q288">IFERROR(INDEX('Исходник'!$1:$626,MATCH($A288,'Исходник'!$T:$T,0),MATCH(Q$1,'Исходник'!$1:$1,0)))</f>
        <v/>
      </c>
      <c r="R288" s="1" t="str">
        <f t="array" ref="R288">IFERROR(INDEX('Исходник'!$1:$626,MATCH($A288,'Исходник'!$T:$T,0),MATCH(R$1,'Исходник'!$1:$1,0)))</f>
        <v/>
      </c>
      <c r="S288" s="27">
        <f t="shared" si="7"/>
        <v>0</v>
      </c>
      <c r="T288" s="27" t="str">
        <f t="shared" si="8"/>
        <v/>
      </c>
      <c r="U288" s="1" t="str">
        <f t="array" ref="U288">IFERROR(INDEX('Исходник'!$1:$626,MATCH($A288,'Исходник'!$T:$T,0),MATCH(U$1,'Исходник'!$1:$1,0)))</f>
        <v/>
      </c>
      <c r="V288" s="27" t="str">
        <f t="shared" si="9"/>
        <v/>
      </c>
      <c r="W288" s="1" t="str">
        <f t="array" ref="W288">IFERROR(INDEX('Исходник'!$1:$626,MATCH($A288,'Исходник'!$T:$T,0),MATCH(W$1,'Исходник'!$1:$1,0)))</f>
        <v/>
      </c>
      <c r="X288" s="28">
        <f t="shared" si="10"/>
        <v>0</v>
      </c>
      <c r="Y288" s="1" t="str">
        <f t="array" ref="Y288">IFERROR(INDEX('Исходник'!$1:$626,MATCH($A288,'Исходник'!$T:$T,0),MATCH(Y$1,'Исходник'!$1:$1,0)))</f>
        <v/>
      </c>
      <c r="Z288" s="27">
        <f t="shared" si="11"/>
        <v>0</v>
      </c>
      <c r="AA288" s="27" t="str">
        <f t="shared" si="12"/>
        <v/>
      </c>
      <c r="AB288" s="1" t="str">
        <f t="array" ref="AB288">IFERROR(INDEX('Исходник'!$1:$626,MATCH($A288,'Исходник'!$T:$T,0),MATCH(AB$1,'Исходник'!$1:$1,0)))</f>
        <v/>
      </c>
      <c r="AC288" s="1" t="str">
        <f t="array" ref="AC288">IFERROR(INDEX('Исходник'!$1:$626,MATCH($A288,'Исходник'!$T:$T,0),MATCH(AC$1,'Исходник'!$1:$1,0)))</f>
        <v/>
      </c>
      <c r="AD288" s="27" t="str">
        <f t="shared" si="13"/>
        <v/>
      </c>
      <c r="AE288" s="1" t="str">
        <f t="array" ref="AE288">IFERROR(INDEX('Исходник'!$1:$626,MATCH($A288,'Исходник'!$T:$T,0),MATCH(AE$1,'Исходник'!$1:$1,0)))</f>
        <v/>
      </c>
      <c r="AF288" s="1" t="str">
        <f t="array" ref="AF288">IFERROR(INDEX('Исходник'!$1:$626,MATCH($A288,'Исходник'!$T:$T,0),MATCH(AF$1,'Исходник'!$1:$1,0)))</f>
        <v/>
      </c>
      <c r="AG288" s="27" t="str">
        <f t="shared" si="14"/>
        <v/>
      </c>
      <c r="AH288" s="1" t="str">
        <f t="array" ref="AH288">IFERROR(INDEX('Исходник'!$1:$626,MATCH($A288,'Исходник'!$T:$T,0),MATCH(AH$1,'Исходник'!$1:$1,0)))</f>
        <v/>
      </c>
      <c r="AI288" s="1" t="str">
        <f t="array" ref="AI288">IFERROR(INDEX('Исходник'!$1:$626,MATCH($A288,'Исходник'!$T:$T,0),MATCH(AI$1,'Исходник'!$1:$1,0)))</f>
        <v/>
      </c>
      <c r="AJ288" s="18">
        <f t="shared" si="15"/>
        <v>0</v>
      </c>
    </row>
    <row r="289" ht="15.75" customHeight="1">
      <c r="A289" s="27"/>
      <c r="B289" s="1" t="str">
        <f t="array" ref="B289">IFERROR(INDEX('Исходник'!$1:$626,MATCH($A289,'Исходник'!$T:$T,0),MATCH(B$1,'Исходник'!$1:$1,0)))</f>
        <v/>
      </c>
      <c r="C289" s="1" t="str">
        <f t="array" ref="C289">IFERROR(INDEX('Исходник'!$1:$626,MATCH($A289,'Исходник'!$T:$T,0),MATCH(C$1,'Исходник'!$1:$1,0)))</f>
        <v/>
      </c>
      <c r="D289" s="1" t="str">
        <f t="array" ref="D289">IFERROR(INDEX('Исходник'!$1:$626,MATCH($A289,'Исходник'!$T:$T,0),MATCH(D$1,'Исходник'!$1:$1,0)))</f>
        <v/>
      </c>
      <c r="E289" s="1" t="str">
        <f t="array" ref="E289">IFERROR(INDEX('Исходник'!$1:$626,MATCH($A289,'Исходник'!$T:$T,0),MATCH(E$1,'Исходник'!$1:$1,0)))</f>
        <v/>
      </c>
      <c r="F289" s="1" t="str">
        <f t="array" ref="F289">IFERROR(INDEX('Исходник'!$1:$626,MATCH($A289,'Исходник'!$T:$T,0),MATCH(F$1,'Исходник'!$1:$1,0)))</f>
        <v/>
      </c>
      <c r="G289" s="1" t="str">
        <f t="array" ref="G289">IFERROR(INDEX('Исходник'!$1:$626,MATCH($A289,'Исходник'!$T:$T,0),MATCH(G$1,'Исходник'!$1:$1,0)))</f>
        <v/>
      </c>
      <c r="H289" s="27">
        <f t="shared" si="1"/>
        <v>0</v>
      </c>
      <c r="I289" s="27" t="str">
        <f t="shared" si="2"/>
        <v/>
      </c>
      <c r="J289" s="1" t="str">
        <f t="array" ref="J289">IFERROR(INDEX('Исходник'!$1:$626,MATCH($A289,'Исходник'!$T:$T,0),MATCH(J$1,'Исходник'!$1:$1,0)))</f>
        <v/>
      </c>
      <c r="K289" s="27" t="str">
        <f t="shared" si="3"/>
        <v/>
      </c>
      <c r="L289" s="1" t="str">
        <f t="array" ref="L289">IFERROR(INDEX('Исходник'!$1:$626,MATCH($A289,'Исходник'!$T:$T,0),MATCH(L$1,'Исходник'!$1:$1,0)))</f>
        <v/>
      </c>
      <c r="M289" s="28">
        <f t="shared" si="4"/>
        <v>0</v>
      </c>
      <c r="N289" s="1" t="str">
        <f t="array" ref="N289">IFERROR(INDEX('Исходник'!$1:$626,MATCH($A289,'Исходник'!$T:$T,0),MATCH(N$1,'Исходник'!$1:$1,0)))</f>
        <v/>
      </c>
      <c r="O289" s="27">
        <f t="shared" si="5"/>
        <v>0</v>
      </c>
      <c r="P289" s="27" t="str">
        <f t="shared" si="6"/>
        <v/>
      </c>
      <c r="Q289" s="1" t="str">
        <f t="array" ref="Q289">IFERROR(INDEX('Исходник'!$1:$626,MATCH($A289,'Исходник'!$T:$T,0),MATCH(Q$1,'Исходник'!$1:$1,0)))</f>
        <v/>
      </c>
      <c r="R289" s="1" t="str">
        <f t="array" ref="R289">IFERROR(INDEX('Исходник'!$1:$626,MATCH($A289,'Исходник'!$T:$T,0),MATCH(R$1,'Исходник'!$1:$1,0)))</f>
        <v/>
      </c>
      <c r="S289" s="27">
        <f t="shared" si="7"/>
        <v>0</v>
      </c>
      <c r="T289" s="27" t="str">
        <f t="shared" si="8"/>
        <v/>
      </c>
      <c r="U289" s="1" t="str">
        <f t="array" ref="U289">IFERROR(INDEX('Исходник'!$1:$626,MATCH($A289,'Исходник'!$T:$T,0),MATCH(U$1,'Исходник'!$1:$1,0)))</f>
        <v/>
      </c>
      <c r="V289" s="27" t="str">
        <f t="shared" si="9"/>
        <v/>
      </c>
      <c r="W289" s="1" t="str">
        <f t="array" ref="W289">IFERROR(INDEX('Исходник'!$1:$626,MATCH($A289,'Исходник'!$T:$T,0),MATCH(W$1,'Исходник'!$1:$1,0)))</f>
        <v/>
      </c>
      <c r="X289" s="28">
        <f t="shared" si="10"/>
        <v>0</v>
      </c>
      <c r="Y289" s="1" t="str">
        <f t="array" ref="Y289">IFERROR(INDEX('Исходник'!$1:$626,MATCH($A289,'Исходник'!$T:$T,0),MATCH(Y$1,'Исходник'!$1:$1,0)))</f>
        <v/>
      </c>
      <c r="Z289" s="27">
        <f t="shared" si="11"/>
        <v>0</v>
      </c>
      <c r="AA289" s="27" t="str">
        <f t="shared" si="12"/>
        <v/>
      </c>
      <c r="AB289" s="1" t="str">
        <f t="array" ref="AB289">IFERROR(INDEX('Исходник'!$1:$626,MATCH($A289,'Исходник'!$T:$T,0),MATCH(AB$1,'Исходник'!$1:$1,0)))</f>
        <v/>
      </c>
      <c r="AC289" s="1" t="str">
        <f t="array" ref="AC289">IFERROR(INDEX('Исходник'!$1:$626,MATCH($A289,'Исходник'!$T:$T,0),MATCH(AC$1,'Исходник'!$1:$1,0)))</f>
        <v/>
      </c>
      <c r="AD289" s="27" t="str">
        <f t="shared" si="13"/>
        <v/>
      </c>
      <c r="AE289" s="1" t="str">
        <f t="array" ref="AE289">IFERROR(INDEX('Исходник'!$1:$626,MATCH($A289,'Исходник'!$T:$T,0),MATCH(AE$1,'Исходник'!$1:$1,0)))</f>
        <v/>
      </c>
      <c r="AF289" s="1" t="str">
        <f t="array" ref="AF289">IFERROR(INDEX('Исходник'!$1:$626,MATCH($A289,'Исходник'!$T:$T,0),MATCH(AF$1,'Исходник'!$1:$1,0)))</f>
        <v/>
      </c>
      <c r="AG289" s="27" t="str">
        <f t="shared" si="14"/>
        <v/>
      </c>
      <c r="AH289" s="1" t="str">
        <f t="array" ref="AH289">IFERROR(INDEX('Исходник'!$1:$626,MATCH($A289,'Исходник'!$T:$T,0),MATCH(AH$1,'Исходник'!$1:$1,0)))</f>
        <v/>
      </c>
      <c r="AI289" s="1" t="str">
        <f t="array" ref="AI289">IFERROR(INDEX('Исходник'!$1:$626,MATCH($A289,'Исходник'!$T:$T,0),MATCH(AI$1,'Исходник'!$1:$1,0)))</f>
        <v/>
      </c>
      <c r="AJ289" s="18">
        <f t="shared" si="15"/>
        <v>0</v>
      </c>
    </row>
    <row r="290" ht="15.75" customHeight="1">
      <c r="A290" s="27"/>
      <c r="B290" s="1" t="str">
        <f t="array" ref="B290">IFERROR(INDEX('Исходник'!$1:$626,MATCH($A290,'Исходник'!$T:$T,0),MATCH(B$1,'Исходник'!$1:$1,0)))</f>
        <v/>
      </c>
      <c r="C290" s="1" t="str">
        <f t="array" ref="C290">IFERROR(INDEX('Исходник'!$1:$626,MATCH($A290,'Исходник'!$T:$T,0),MATCH(C$1,'Исходник'!$1:$1,0)))</f>
        <v/>
      </c>
      <c r="D290" s="1" t="str">
        <f t="array" ref="D290">IFERROR(INDEX('Исходник'!$1:$626,MATCH($A290,'Исходник'!$T:$T,0),MATCH(D$1,'Исходник'!$1:$1,0)))</f>
        <v/>
      </c>
      <c r="E290" s="1" t="str">
        <f t="array" ref="E290">IFERROR(INDEX('Исходник'!$1:$626,MATCH($A290,'Исходник'!$T:$T,0),MATCH(E$1,'Исходник'!$1:$1,0)))</f>
        <v/>
      </c>
      <c r="F290" s="1" t="str">
        <f t="array" ref="F290">IFERROR(INDEX('Исходник'!$1:$626,MATCH($A290,'Исходник'!$T:$T,0),MATCH(F$1,'Исходник'!$1:$1,0)))</f>
        <v/>
      </c>
      <c r="G290" s="1" t="str">
        <f t="array" ref="G290">IFERROR(INDEX('Исходник'!$1:$626,MATCH($A290,'Исходник'!$T:$T,0),MATCH(G$1,'Исходник'!$1:$1,0)))</f>
        <v/>
      </c>
      <c r="H290" s="27">
        <f t="shared" si="1"/>
        <v>0</v>
      </c>
      <c r="I290" s="27" t="str">
        <f t="shared" si="2"/>
        <v/>
      </c>
      <c r="J290" s="1" t="str">
        <f t="array" ref="J290">IFERROR(INDEX('Исходник'!$1:$626,MATCH($A290,'Исходник'!$T:$T,0),MATCH(J$1,'Исходник'!$1:$1,0)))</f>
        <v/>
      </c>
      <c r="K290" s="27" t="str">
        <f t="shared" si="3"/>
        <v/>
      </c>
      <c r="L290" s="1" t="str">
        <f t="array" ref="L290">IFERROR(INDEX('Исходник'!$1:$626,MATCH($A290,'Исходник'!$T:$T,0),MATCH(L$1,'Исходник'!$1:$1,0)))</f>
        <v/>
      </c>
      <c r="M290" s="28">
        <f t="shared" si="4"/>
        <v>0</v>
      </c>
      <c r="N290" s="1" t="str">
        <f t="array" ref="N290">IFERROR(INDEX('Исходник'!$1:$626,MATCH($A290,'Исходник'!$T:$T,0),MATCH(N$1,'Исходник'!$1:$1,0)))</f>
        <v/>
      </c>
      <c r="O290" s="27">
        <f t="shared" si="5"/>
        <v>0</v>
      </c>
      <c r="P290" s="27" t="str">
        <f t="shared" si="6"/>
        <v/>
      </c>
      <c r="Q290" s="1" t="str">
        <f t="array" ref="Q290">IFERROR(INDEX('Исходник'!$1:$626,MATCH($A290,'Исходник'!$T:$T,0),MATCH(Q$1,'Исходник'!$1:$1,0)))</f>
        <v/>
      </c>
      <c r="R290" s="1" t="str">
        <f t="array" ref="R290">IFERROR(INDEX('Исходник'!$1:$626,MATCH($A290,'Исходник'!$T:$T,0),MATCH(R$1,'Исходник'!$1:$1,0)))</f>
        <v/>
      </c>
      <c r="S290" s="27">
        <f t="shared" si="7"/>
        <v>0</v>
      </c>
      <c r="T290" s="27" t="str">
        <f t="shared" si="8"/>
        <v/>
      </c>
      <c r="U290" s="1" t="str">
        <f t="array" ref="U290">IFERROR(INDEX('Исходник'!$1:$626,MATCH($A290,'Исходник'!$T:$T,0),MATCH(U$1,'Исходник'!$1:$1,0)))</f>
        <v/>
      </c>
      <c r="V290" s="27" t="str">
        <f t="shared" si="9"/>
        <v/>
      </c>
      <c r="W290" s="1" t="str">
        <f t="array" ref="W290">IFERROR(INDEX('Исходник'!$1:$626,MATCH($A290,'Исходник'!$T:$T,0),MATCH(W$1,'Исходник'!$1:$1,0)))</f>
        <v/>
      </c>
      <c r="X290" s="28">
        <f t="shared" si="10"/>
        <v>0</v>
      </c>
      <c r="Y290" s="1" t="str">
        <f t="array" ref="Y290">IFERROR(INDEX('Исходник'!$1:$626,MATCH($A290,'Исходник'!$T:$T,0),MATCH(Y$1,'Исходник'!$1:$1,0)))</f>
        <v/>
      </c>
      <c r="Z290" s="27">
        <f t="shared" si="11"/>
        <v>0</v>
      </c>
      <c r="AA290" s="27" t="str">
        <f t="shared" si="12"/>
        <v/>
      </c>
      <c r="AB290" s="1" t="str">
        <f t="array" ref="AB290">IFERROR(INDEX('Исходник'!$1:$626,MATCH($A290,'Исходник'!$T:$T,0),MATCH(AB$1,'Исходник'!$1:$1,0)))</f>
        <v/>
      </c>
      <c r="AC290" s="1" t="str">
        <f t="array" ref="AC290">IFERROR(INDEX('Исходник'!$1:$626,MATCH($A290,'Исходник'!$T:$T,0),MATCH(AC$1,'Исходник'!$1:$1,0)))</f>
        <v/>
      </c>
      <c r="AD290" s="27" t="str">
        <f t="shared" si="13"/>
        <v/>
      </c>
      <c r="AE290" s="1" t="str">
        <f t="array" ref="AE290">IFERROR(INDEX('Исходник'!$1:$626,MATCH($A290,'Исходник'!$T:$T,0),MATCH(AE$1,'Исходник'!$1:$1,0)))</f>
        <v/>
      </c>
      <c r="AF290" s="1" t="str">
        <f t="array" ref="AF290">IFERROR(INDEX('Исходник'!$1:$626,MATCH($A290,'Исходник'!$T:$T,0),MATCH(AF$1,'Исходник'!$1:$1,0)))</f>
        <v/>
      </c>
      <c r="AG290" s="27" t="str">
        <f t="shared" si="14"/>
        <v/>
      </c>
      <c r="AH290" s="1" t="str">
        <f t="array" ref="AH290">IFERROR(INDEX('Исходник'!$1:$626,MATCH($A290,'Исходник'!$T:$T,0),MATCH(AH$1,'Исходник'!$1:$1,0)))</f>
        <v/>
      </c>
      <c r="AI290" s="1" t="str">
        <f t="array" ref="AI290">IFERROR(INDEX('Исходник'!$1:$626,MATCH($A290,'Исходник'!$T:$T,0),MATCH(AI$1,'Исходник'!$1:$1,0)))</f>
        <v/>
      </c>
      <c r="AJ290" s="18">
        <f t="shared" si="15"/>
        <v>0</v>
      </c>
    </row>
    <row r="291" ht="15.75" customHeight="1">
      <c r="A291" s="27"/>
      <c r="B291" s="1" t="str">
        <f t="array" ref="B291">IFERROR(INDEX('Исходник'!$1:$626,MATCH($A291,'Исходник'!$T:$T,0),MATCH(B$1,'Исходник'!$1:$1,0)))</f>
        <v/>
      </c>
      <c r="C291" s="1" t="str">
        <f t="array" ref="C291">IFERROR(INDEX('Исходник'!$1:$626,MATCH($A291,'Исходник'!$T:$T,0),MATCH(C$1,'Исходник'!$1:$1,0)))</f>
        <v/>
      </c>
      <c r="D291" s="1" t="str">
        <f t="array" ref="D291">IFERROR(INDEX('Исходник'!$1:$626,MATCH($A291,'Исходник'!$T:$T,0),MATCH(D$1,'Исходник'!$1:$1,0)))</f>
        <v/>
      </c>
      <c r="E291" s="1" t="str">
        <f t="array" ref="E291">IFERROR(INDEX('Исходник'!$1:$626,MATCH($A291,'Исходник'!$T:$T,0),MATCH(E$1,'Исходник'!$1:$1,0)))</f>
        <v/>
      </c>
      <c r="F291" s="1" t="str">
        <f t="array" ref="F291">IFERROR(INDEX('Исходник'!$1:$626,MATCH($A291,'Исходник'!$T:$T,0),MATCH(F$1,'Исходник'!$1:$1,0)))</f>
        <v/>
      </c>
      <c r="G291" s="1" t="str">
        <f t="array" ref="G291">IFERROR(INDEX('Исходник'!$1:$626,MATCH($A291,'Исходник'!$T:$T,0),MATCH(G$1,'Исходник'!$1:$1,0)))</f>
        <v/>
      </c>
      <c r="H291" s="27">
        <f t="shared" si="1"/>
        <v>0</v>
      </c>
      <c r="I291" s="27" t="str">
        <f t="shared" si="2"/>
        <v/>
      </c>
      <c r="J291" s="1" t="str">
        <f t="array" ref="J291">IFERROR(INDEX('Исходник'!$1:$626,MATCH($A291,'Исходник'!$T:$T,0),MATCH(J$1,'Исходник'!$1:$1,0)))</f>
        <v/>
      </c>
      <c r="K291" s="27" t="str">
        <f t="shared" si="3"/>
        <v/>
      </c>
      <c r="L291" s="1" t="str">
        <f t="array" ref="L291">IFERROR(INDEX('Исходник'!$1:$626,MATCH($A291,'Исходник'!$T:$T,0),MATCH(L$1,'Исходник'!$1:$1,0)))</f>
        <v/>
      </c>
      <c r="M291" s="28">
        <f t="shared" si="4"/>
        <v>0</v>
      </c>
      <c r="N291" s="1" t="str">
        <f t="array" ref="N291">IFERROR(INDEX('Исходник'!$1:$626,MATCH($A291,'Исходник'!$T:$T,0),MATCH(N$1,'Исходник'!$1:$1,0)))</f>
        <v/>
      </c>
      <c r="O291" s="27">
        <f t="shared" si="5"/>
        <v>0</v>
      </c>
      <c r="P291" s="27" t="str">
        <f t="shared" si="6"/>
        <v/>
      </c>
      <c r="Q291" s="1" t="str">
        <f t="array" ref="Q291">IFERROR(INDEX('Исходник'!$1:$626,MATCH($A291,'Исходник'!$T:$T,0),MATCH(Q$1,'Исходник'!$1:$1,0)))</f>
        <v/>
      </c>
      <c r="R291" s="1" t="str">
        <f t="array" ref="R291">IFERROR(INDEX('Исходник'!$1:$626,MATCH($A291,'Исходник'!$T:$T,0),MATCH(R$1,'Исходник'!$1:$1,0)))</f>
        <v/>
      </c>
      <c r="S291" s="27">
        <f t="shared" si="7"/>
        <v>0</v>
      </c>
      <c r="T291" s="27" t="str">
        <f t="shared" si="8"/>
        <v/>
      </c>
      <c r="U291" s="1" t="str">
        <f t="array" ref="U291">IFERROR(INDEX('Исходник'!$1:$626,MATCH($A291,'Исходник'!$T:$T,0),MATCH(U$1,'Исходник'!$1:$1,0)))</f>
        <v/>
      </c>
      <c r="V291" s="27" t="str">
        <f t="shared" si="9"/>
        <v/>
      </c>
      <c r="W291" s="1" t="str">
        <f t="array" ref="W291">IFERROR(INDEX('Исходник'!$1:$626,MATCH($A291,'Исходник'!$T:$T,0),MATCH(W$1,'Исходник'!$1:$1,0)))</f>
        <v/>
      </c>
      <c r="X291" s="28">
        <f t="shared" si="10"/>
        <v>0</v>
      </c>
      <c r="Y291" s="1" t="str">
        <f t="array" ref="Y291">IFERROR(INDEX('Исходник'!$1:$626,MATCH($A291,'Исходник'!$T:$T,0),MATCH(Y$1,'Исходник'!$1:$1,0)))</f>
        <v/>
      </c>
      <c r="Z291" s="27">
        <f t="shared" si="11"/>
        <v>0</v>
      </c>
      <c r="AA291" s="27" t="str">
        <f t="shared" si="12"/>
        <v/>
      </c>
      <c r="AB291" s="1" t="str">
        <f t="array" ref="AB291">IFERROR(INDEX('Исходник'!$1:$626,MATCH($A291,'Исходник'!$T:$T,0),MATCH(AB$1,'Исходник'!$1:$1,0)))</f>
        <v/>
      </c>
      <c r="AC291" s="1" t="str">
        <f t="array" ref="AC291">IFERROR(INDEX('Исходник'!$1:$626,MATCH($A291,'Исходник'!$T:$T,0),MATCH(AC$1,'Исходник'!$1:$1,0)))</f>
        <v/>
      </c>
      <c r="AD291" s="27" t="str">
        <f t="shared" si="13"/>
        <v/>
      </c>
      <c r="AE291" s="1" t="str">
        <f t="array" ref="AE291">IFERROR(INDEX('Исходник'!$1:$626,MATCH($A291,'Исходник'!$T:$T,0),MATCH(AE$1,'Исходник'!$1:$1,0)))</f>
        <v/>
      </c>
      <c r="AF291" s="1" t="str">
        <f t="array" ref="AF291">IFERROR(INDEX('Исходник'!$1:$626,MATCH($A291,'Исходник'!$T:$T,0),MATCH(AF$1,'Исходник'!$1:$1,0)))</f>
        <v/>
      </c>
      <c r="AG291" s="27" t="str">
        <f t="shared" si="14"/>
        <v/>
      </c>
      <c r="AH291" s="1" t="str">
        <f t="array" ref="AH291">IFERROR(INDEX('Исходник'!$1:$626,MATCH($A291,'Исходник'!$T:$T,0),MATCH(AH$1,'Исходник'!$1:$1,0)))</f>
        <v/>
      </c>
      <c r="AI291" s="1" t="str">
        <f t="array" ref="AI291">IFERROR(INDEX('Исходник'!$1:$626,MATCH($A291,'Исходник'!$T:$T,0),MATCH(AI$1,'Исходник'!$1:$1,0)))</f>
        <v/>
      </c>
      <c r="AJ291" s="18">
        <f t="shared" si="15"/>
        <v>0</v>
      </c>
    </row>
    <row r="292" ht="15.75" customHeight="1">
      <c r="A292" s="27"/>
      <c r="B292" s="1" t="str">
        <f t="array" ref="B292">IFERROR(INDEX('Исходник'!$1:$626,MATCH($A292,'Исходник'!$T:$T,0),MATCH(B$1,'Исходник'!$1:$1,0)))</f>
        <v/>
      </c>
      <c r="C292" s="1" t="str">
        <f t="array" ref="C292">IFERROR(INDEX('Исходник'!$1:$626,MATCH($A292,'Исходник'!$T:$T,0),MATCH(C$1,'Исходник'!$1:$1,0)))</f>
        <v/>
      </c>
      <c r="D292" s="1" t="str">
        <f t="array" ref="D292">IFERROR(INDEX('Исходник'!$1:$626,MATCH($A292,'Исходник'!$T:$T,0),MATCH(D$1,'Исходник'!$1:$1,0)))</f>
        <v/>
      </c>
      <c r="E292" s="1" t="str">
        <f t="array" ref="E292">IFERROR(INDEX('Исходник'!$1:$626,MATCH($A292,'Исходник'!$T:$T,0),MATCH(E$1,'Исходник'!$1:$1,0)))</f>
        <v/>
      </c>
      <c r="F292" s="1" t="str">
        <f t="array" ref="F292">IFERROR(INDEX('Исходник'!$1:$626,MATCH($A292,'Исходник'!$T:$T,0),MATCH(F$1,'Исходник'!$1:$1,0)))</f>
        <v/>
      </c>
      <c r="G292" s="1" t="str">
        <f t="array" ref="G292">IFERROR(INDEX('Исходник'!$1:$626,MATCH($A292,'Исходник'!$T:$T,0),MATCH(G$1,'Исходник'!$1:$1,0)))</f>
        <v/>
      </c>
      <c r="H292" s="27">
        <f t="shared" si="1"/>
        <v>0</v>
      </c>
      <c r="I292" s="27" t="str">
        <f t="shared" si="2"/>
        <v/>
      </c>
      <c r="J292" s="1" t="str">
        <f t="array" ref="J292">IFERROR(INDEX('Исходник'!$1:$626,MATCH($A292,'Исходник'!$T:$T,0),MATCH(J$1,'Исходник'!$1:$1,0)))</f>
        <v/>
      </c>
      <c r="K292" s="27" t="str">
        <f t="shared" si="3"/>
        <v/>
      </c>
      <c r="L292" s="1" t="str">
        <f t="array" ref="L292">IFERROR(INDEX('Исходник'!$1:$626,MATCH($A292,'Исходник'!$T:$T,0),MATCH(L$1,'Исходник'!$1:$1,0)))</f>
        <v/>
      </c>
      <c r="M292" s="28">
        <f t="shared" si="4"/>
        <v>0</v>
      </c>
      <c r="N292" s="1" t="str">
        <f t="array" ref="N292">IFERROR(INDEX('Исходник'!$1:$626,MATCH($A292,'Исходник'!$T:$T,0),MATCH(N$1,'Исходник'!$1:$1,0)))</f>
        <v/>
      </c>
      <c r="O292" s="27">
        <f t="shared" si="5"/>
        <v>0</v>
      </c>
      <c r="P292" s="27" t="str">
        <f t="shared" si="6"/>
        <v/>
      </c>
      <c r="Q292" s="1" t="str">
        <f t="array" ref="Q292">IFERROR(INDEX('Исходник'!$1:$626,MATCH($A292,'Исходник'!$T:$T,0),MATCH(Q$1,'Исходник'!$1:$1,0)))</f>
        <v/>
      </c>
      <c r="R292" s="1" t="str">
        <f t="array" ref="R292">IFERROR(INDEX('Исходник'!$1:$626,MATCH($A292,'Исходник'!$T:$T,0),MATCH(R$1,'Исходник'!$1:$1,0)))</f>
        <v/>
      </c>
      <c r="S292" s="27">
        <f t="shared" si="7"/>
        <v>0</v>
      </c>
      <c r="T292" s="27" t="str">
        <f t="shared" si="8"/>
        <v/>
      </c>
      <c r="U292" s="1" t="str">
        <f t="array" ref="U292">IFERROR(INDEX('Исходник'!$1:$626,MATCH($A292,'Исходник'!$T:$T,0),MATCH(U$1,'Исходник'!$1:$1,0)))</f>
        <v/>
      </c>
      <c r="V292" s="27" t="str">
        <f t="shared" si="9"/>
        <v/>
      </c>
      <c r="W292" s="1" t="str">
        <f t="array" ref="W292">IFERROR(INDEX('Исходник'!$1:$626,MATCH($A292,'Исходник'!$T:$T,0),MATCH(W$1,'Исходник'!$1:$1,0)))</f>
        <v/>
      </c>
      <c r="X292" s="28">
        <f t="shared" si="10"/>
        <v>0</v>
      </c>
      <c r="Y292" s="1" t="str">
        <f t="array" ref="Y292">IFERROR(INDEX('Исходник'!$1:$626,MATCH($A292,'Исходник'!$T:$T,0),MATCH(Y$1,'Исходник'!$1:$1,0)))</f>
        <v/>
      </c>
      <c r="Z292" s="27">
        <f t="shared" si="11"/>
        <v>0</v>
      </c>
      <c r="AA292" s="27" t="str">
        <f t="shared" si="12"/>
        <v/>
      </c>
      <c r="AB292" s="1" t="str">
        <f t="array" ref="AB292">IFERROR(INDEX('Исходник'!$1:$626,MATCH($A292,'Исходник'!$T:$T,0),MATCH(AB$1,'Исходник'!$1:$1,0)))</f>
        <v/>
      </c>
      <c r="AC292" s="1" t="str">
        <f t="array" ref="AC292">IFERROR(INDEX('Исходник'!$1:$626,MATCH($A292,'Исходник'!$T:$T,0),MATCH(AC$1,'Исходник'!$1:$1,0)))</f>
        <v/>
      </c>
      <c r="AD292" s="27" t="str">
        <f t="shared" si="13"/>
        <v/>
      </c>
      <c r="AE292" s="1" t="str">
        <f t="array" ref="AE292">IFERROR(INDEX('Исходник'!$1:$626,MATCH($A292,'Исходник'!$T:$T,0),MATCH(AE$1,'Исходник'!$1:$1,0)))</f>
        <v/>
      </c>
      <c r="AF292" s="1" t="str">
        <f t="array" ref="AF292">IFERROR(INDEX('Исходник'!$1:$626,MATCH($A292,'Исходник'!$T:$T,0),MATCH(AF$1,'Исходник'!$1:$1,0)))</f>
        <v/>
      </c>
      <c r="AG292" s="27" t="str">
        <f t="shared" si="14"/>
        <v/>
      </c>
      <c r="AH292" s="1" t="str">
        <f t="array" ref="AH292">IFERROR(INDEX('Исходник'!$1:$626,MATCH($A292,'Исходник'!$T:$T,0),MATCH(AH$1,'Исходник'!$1:$1,0)))</f>
        <v/>
      </c>
      <c r="AI292" s="1" t="str">
        <f t="array" ref="AI292">IFERROR(INDEX('Исходник'!$1:$626,MATCH($A292,'Исходник'!$T:$T,0),MATCH(AI$1,'Исходник'!$1:$1,0)))</f>
        <v/>
      </c>
      <c r="AJ292" s="18">
        <f t="shared" si="15"/>
        <v>0</v>
      </c>
    </row>
    <row r="293" ht="15.75" customHeight="1">
      <c r="A293" s="27"/>
      <c r="B293" s="1" t="str">
        <f t="array" ref="B293">IFERROR(INDEX('Исходник'!$1:$626,MATCH($A293,'Исходник'!$T:$T,0),MATCH(B$1,'Исходник'!$1:$1,0)))</f>
        <v/>
      </c>
      <c r="C293" s="1" t="str">
        <f t="array" ref="C293">IFERROR(INDEX('Исходник'!$1:$626,MATCH($A293,'Исходник'!$T:$T,0),MATCH(C$1,'Исходник'!$1:$1,0)))</f>
        <v/>
      </c>
      <c r="D293" s="1" t="str">
        <f t="array" ref="D293">IFERROR(INDEX('Исходник'!$1:$626,MATCH($A293,'Исходник'!$T:$T,0),MATCH(D$1,'Исходник'!$1:$1,0)))</f>
        <v/>
      </c>
      <c r="E293" s="1" t="str">
        <f t="array" ref="E293">IFERROR(INDEX('Исходник'!$1:$626,MATCH($A293,'Исходник'!$T:$T,0),MATCH(E$1,'Исходник'!$1:$1,0)))</f>
        <v/>
      </c>
      <c r="F293" s="1" t="str">
        <f t="array" ref="F293">IFERROR(INDEX('Исходник'!$1:$626,MATCH($A293,'Исходник'!$T:$T,0),MATCH(F$1,'Исходник'!$1:$1,0)))</f>
        <v/>
      </c>
      <c r="G293" s="1" t="str">
        <f t="array" ref="G293">IFERROR(INDEX('Исходник'!$1:$626,MATCH($A293,'Исходник'!$T:$T,0),MATCH(G$1,'Исходник'!$1:$1,0)))</f>
        <v/>
      </c>
      <c r="H293" s="27">
        <f t="shared" si="1"/>
        <v>0</v>
      </c>
      <c r="I293" s="27" t="str">
        <f t="shared" si="2"/>
        <v/>
      </c>
      <c r="J293" s="1" t="str">
        <f t="array" ref="J293">IFERROR(INDEX('Исходник'!$1:$626,MATCH($A293,'Исходник'!$T:$T,0),MATCH(J$1,'Исходник'!$1:$1,0)))</f>
        <v/>
      </c>
      <c r="K293" s="27" t="str">
        <f t="shared" si="3"/>
        <v/>
      </c>
      <c r="L293" s="1" t="str">
        <f t="array" ref="L293">IFERROR(INDEX('Исходник'!$1:$626,MATCH($A293,'Исходник'!$T:$T,0),MATCH(L$1,'Исходник'!$1:$1,0)))</f>
        <v/>
      </c>
      <c r="M293" s="28">
        <f t="shared" si="4"/>
        <v>0</v>
      </c>
      <c r="N293" s="1" t="str">
        <f t="array" ref="N293">IFERROR(INDEX('Исходник'!$1:$626,MATCH($A293,'Исходник'!$T:$T,0),MATCH(N$1,'Исходник'!$1:$1,0)))</f>
        <v/>
      </c>
      <c r="O293" s="27">
        <f t="shared" si="5"/>
        <v>0</v>
      </c>
      <c r="P293" s="27" t="str">
        <f t="shared" si="6"/>
        <v/>
      </c>
      <c r="Q293" s="1" t="str">
        <f t="array" ref="Q293">IFERROR(INDEX('Исходник'!$1:$626,MATCH($A293,'Исходник'!$T:$T,0),MATCH(Q$1,'Исходник'!$1:$1,0)))</f>
        <v/>
      </c>
      <c r="R293" s="1" t="str">
        <f t="array" ref="R293">IFERROR(INDEX('Исходник'!$1:$626,MATCH($A293,'Исходник'!$T:$T,0),MATCH(R$1,'Исходник'!$1:$1,0)))</f>
        <v/>
      </c>
      <c r="S293" s="27">
        <f t="shared" si="7"/>
        <v>0</v>
      </c>
      <c r="T293" s="27" t="str">
        <f t="shared" si="8"/>
        <v/>
      </c>
      <c r="U293" s="1" t="str">
        <f t="array" ref="U293">IFERROR(INDEX('Исходник'!$1:$626,MATCH($A293,'Исходник'!$T:$T,0),MATCH(U$1,'Исходник'!$1:$1,0)))</f>
        <v/>
      </c>
      <c r="V293" s="27" t="str">
        <f t="shared" si="9"/>
        <v/>
      </c>
      <c r="W293" s="1" t="str">
        <f t="array" ref="W293">IFERROR(INDEX('Исходник'!$1:$626,MATCH($A293,'Исходник'!$T:$T,0),MATCH(W$1,'Исходник'!$1:$1,0)))</f>
        <v/>
      </c>
      <c r="X293" s="28">
        <f t="shared" si="10"/>
        <v>0</v>
      </c>
      <c r="Y293" s="1" t="str">
        <f t="array" ref="Y293">IFERROR(INDEX('Исходник'!$1:$626,MATCH($A293,'Исходник'!$T:$T,0),MATCH(Y$1,'Исходник'!$1:$1,0)))</f>
        <v/>
      </c>
      <c r="Z293" s="27">
        <f t="shared" si="11"/>
        <v>0</v>
      </c>
      <c r="AA293" s="27" t="str">
        <f t="shared" si="12"/>
        <v/>
      </c>
      <c r="AB293" s="1" t="str">
        <f t="array" ref="AB293">IFERROR(INDEX('Исходник'!$1:$626,MATCH($A293,'Исходник'!$T:$T,0),MATCH(AB$1,'Исходник'!$1:$1,0)))</f>
        <v/>
      </c>
      <c r="AC293" s="1" t="str">
        <f t="array" ref="AC293">IFERROR(INDEX('Исходник'!$1:$626,MATCH($A293,'Исходник'!$T:$T,0),MATCH(AC$1,'Исходник'!$1:$1,0)))</f>
        <v/>
      </c>
      <c r="AD293" s="27" t="str">
        <f t="shared" si="13"/>
        <v/>
      </c>
      <c r="AE293" s="1" t="str">
        <f t="array" ref="AE293">IFERROR(INDEX('Исходник'!$1:$626,MATCH($A293,'Исходник'!$T:$T,0),MATCH(AE$1,'Исходник'!$1:$1,0)))</f>
        <v/>
      </c>
      <c r="AF293" s="1" t="str">
        <f t="array" ref="AF293">IFERROR(INDEX('Исходник'!$1:$626,MATCH($A293,'Исходник'!$T:$T,0),MATCH(AF$1,'Исходник'!$1:$1,0)))</f>
        <v/>
      </c>
      <c r="AG293" s="27" t="str">
        <f t="shared" si="14"/>
        <v/>
      </c>
      <c r="AH293" s="1" t="str">
        <f t="array" ref="AH293">IFERROR(INDEX('Исходник'!$1:$626,MATCH($A293,'Исходник'!$T:$T,0),MATCH(AH$1,'Исходник'!$1:$1,0)))</f>
        <v/>
      </c>
      <c r="AI293" s="1" t="str">
        <f t="array" ref="AI293">IFERROR(INDEX('Исходник'!$1:$626,MATCH($A293,'Исходник'!$T:$T,0),MATCH(AI$1,'Исходник'!$1:$1,0)))</f>
        <v/>
      </c>
      <c r="AJ293" s="18">
        <f t="shared" si="15"/>
        <v>0</v>
      </c>
    </row>
    <row r="294" ht="15.75" customHeight="1">
      <c r="A294" s="27"/>
      <c r="B294" s="1" t="str">
        <f t="array" ref="B294">IFERROR(INDEX('Исходник'!$1:$626,MATCH($A294,'Исходник'!$T:$T,0),MATCH(B$1,'Исходник'!$1:$1,0)))</f>
        <v/>
      </c>
      <c r="C294" s="1" t="str">
        <f t="array" ref="C294">IFERROR(INDEX('Исходник'!$1:$626,MATCH($A294,'Исходник'!$T:$T,0),MATCH(C$1,'Исходник'!$1:$1,0)))</f>
        <v/>
      </c>
      <c r="D294" s="1" t="str">
        <f t="array" ref="D294">IFERROR(INDEX('Исходник'!$1:$626,MATCH($A294,'Исходник'!$T:$T,0),MATCH(D$1,'Исходник'!$1:$1,0)))</f>
        <v/>
      </c>
      <c r="E294" s="1" t="str">
        <f t="array" ref="E294">IFERROR(INDEX('Исходник'!$1:$626,MATCH($A294,'Исходник'!$T:$T,0),MATCH(E$1,'Исходник'!$1:$1,0)))</f>
        <v/>
      </c>
      <c r="F294" s="1" t="str">
        <f t="array" ref="F294">IFERROR(INDEX('Исходник'!$1:$626,MATCH($A294,'Исходник'!$T:$T,0),MATCH(F$1,'Исходник'!$1:$1,0)))</f>
        <v/>
      </c>
      <c r="G294" s="1" t="str">
        <f t="array" ref="G294">IFERROR(INDEX('Исходник'!$1:$626,MATCH($A294,'Исходник'!$T:$T,0),MATCH(G$1,'Исходник'!$1:$1,0)))</f>
        <v/>
      </c>
      <c r="H294" s="27">
        <f t="shared" si="1"/>
        <v>0</v>
      </c>
      <c r="I294" s="27" t="str">
        <f t="shared" si="2"/>
        <v/>
      </c>
      <c r="J294" s="1" t="str">
        <f t="array" ref="J294">IFERROR(INDEX('Исходник'!$1:$626,MATCH($A294,'Исходник'!$T:$T,0),MATCH(J$1,'Исходник'!$1:$1,0)))</f>
        <v/>
      </c>
      <c r="K294" s="27" t="str">
        <f t="shared" si="3"/>
        <v/>
      </c>
      <c r="L294" s="1" t="str">
        <f t="array" ref="L294">IFERROR(INDEX('Исходник'!$1:$626,MATCH($A294,'Исходник'!$T:$T,0),MATCH(L$1,'Исходник'!$1:$1,0)))</f>
        <v/>
      </c>
      <c r="M294" s="28">
        <f t="shared" si="4"/>
        <v>0</v>
      </c>
      <c r="N294" s="1" t="str">
        <f t="array" ref="N294">IFERROR(INDEX('Исходник'!$1:$626,MATCH($A294,'Исходник'!$T:$T,0),MATCH(N$1,'Исходник'!$1:$1,0)))</f>
        <v/>
      </c>
      <c r="O294" s="27">
        <f t="shared" si="5"/>
        <v>0</v>
      </c>
      <c r="P294" s="27" t="str">
        <f t="shared" si="6"/>
        <v/>
      </c>
      <c r="Q294" s="1" t="str">
        <f t="array" ref="Q294">IFERROR(INDEX('Исходник'!$1:$626,MATCH($A294,'Исходник'!$T:$T,0),MATCH(Q$1,'Исходник'!$1:$1,0)))</f>
        <v/>
      </c>
      <c r="R294" s="1" t="str">
        <f t="array" ref="R294">IFERROR(INDEX('Исходник'!$1:$626,MATCH($A294,'Исходник'!$T:$T,0),MATCH(R$1,'Исходник'!$1:$1,0)))</f>
        <v/>
      </c>
      <c r="S294" s="27">
        <f t="shared" si="7"/>
        <v>0</v>
      </c>
      <c r="T294" s="27" t="str">
        <f t="shared" si="8"/>
        <v/>
      </c>
      <c r="U294" s="1" t="str">
        <f t="array" ref="U294">IFERROR(INDEX('Исходник'!$1:$626,MATCH($A294,'Исходник'!$T:$T,0),MATCH(U$1,'Исходник'!$1:$1,0)))</f>
        <v/>
      </c>
      <c r="V294" s="27" t="str">
        <f t="shared" si="9"/>
        <v/>
      </c>
      <c r="W294" s="1" t="str">
        <f t="array" ref="W294">IFERROR(INDEX('Исходник'!$1:$626,MATCH($A294,'Исходник'!$T:$T,0),MATCH(W$1,'Исходник'!$1:$1,0)))</f>
        <v/>
      </c>
      <c r="X294" s="28">
        <f t="shared" si="10"/>
        <v>0</v>
      </c>
      <c r="Y294" s="1" t="str">
        <f t="array" ref="Y294">IFERROR(INDEX('Исходник'!$1:$626,MATCH($A294,'Исходник'!$T:$T,0),MATCH(Y$1,'Исходник'!$1:$1,0)))</f>
        <v/>
      </c>
      <c r="Z294" s="27">
        <f t="shared" si="11"/>
        <v>0</v>
      </c>
      <c r="AA294" s="27" t="str">
        <f t="shared" si="12"/>
        <v/>
      </c>
      <c r="AB294" s="1" t="str">
        <f t="array" ref="AB294">IFERROR(INDEX('Исходник'!$1:$626,MATCH($A294,'Исходник'!$T:$T,0),MATCH(AB$1,'Исходник'!$1:$1,0)))</f>
        <v/>
      </c>
      <c r="AC294" s="1" t="str">
        <f t="array" ref="AC294">IFERROR(INDEX('Исходник'!$1:$626,MATCH($A294,'Исходник'!$T:$T,0),MATCH(AC$1,'Исходник'!$1:$1,0)))</f>
        <v/>
      </c>
      <c r="AD294" s="27" t="str">
        <f t="shared" si="13"/>
        <v/>
      </c>
      <c r="AE294" s="1" t="str">
        <f t="array" ref="AE294">IFERROR(INDEX('Исходник'!$1:$626,MATCH($A294,'Исходник'!$T:$T,0),MATCH(AE$1,'Исходник'!$1:$1,0)))</f>
        <v/>
      </c>
      <c r="AF294" s="1" t="str">
        <f t="array" ref="AF294">IFERROR(INDEX('Исходник'!$1:$626,MATCH($A294,'Исходник'!$T:$T,0),MATCH(AF$1,'Исходник'!$1:$1,0)))</f>
        <v/>
      </c>
      <c r="AG294" s="27" t="str">
        <f t="shared" si="14"/>
        <v/>
      </c>
      <c r="AH294" s="1" t="str">
        <f t="array" ref="AH294">IFERROR(INDEX('Исходник'!$1:$626,MATCH($A294,'Исходник'!$T:$T,0),MATCH(AH$1,'Исходник'!$1:$1,0)))</f>
        <v/>
      </c>
      <c r="AI294" s="1" t="str">
        <f t="array" ref="AI294">IFERROR(INDEX('Исходник'!$1:$626,MATCH($A294,'Исходник'!$T:$T,0),MATCH(AI$1,'Исходник'!$1:$1,0)))</f>
        <v/>
      </c>
      <c r="AJ294" s="18">
        <f t="shared" si="15"/>
        <v>0</v>
      </c>
    </row>
    <row r="295" ht="15.75" customHeight="1">
      <c r="A295" s="27"/>
      <c r="B295" s="1" t="str">
        <f t="array" ref="B295">IFERROR(INDEX('Исходник'!$1:$626,MATCH($A295,'Исходник'!$T:$T,0),MATCH(B$1,'Исходник'!$1:$1,0)))</f>
        <v/>
      </c>
      <c r="C295" s="1" t="str">
        <f t="array" ref="C295">IFERROR(INDEX('Исходник'!$1:$626,MATCH($A295,'Исходник'!$T:$T,0),MATCH(C$1,'Исходник'!$1:$1,0)))</f>
        <v/>
      </c>
      <c r="D295" s="1" t="str">
        <f t="array" ref="D295">IFERROR(INDEX('Исходник'!$1:$626,MATCH($A295,'Исходник'!$T:$T,0),MATCH(D$1,'Исходник'!$1:$1,0)))</f>
        <v/>
      </c>
      <c r="E295" s="1" t="str">
        <f t="array" ref="E295">IFERROR(INDEX('Исходник'!$1:$626,MATCH($A295,'Исходник'!$T:$T,0),MATCH(E$1,'Исходник'!$1:$1,0)))</f>
        <v/>
      </c>
      <c r="F295" s="1" t="str">
        <f t="array" ref="F295">IFERROR(INDEX('Исходник'!$1:$626,MATCH($A295,'Исходник'!$T:$T,0),MATCH(F$1,'Исходник'!$1:$1,0)))</f>
        <v/>
      </c>
      <c r="G295" s="1" t="str">
        <f t="array" ref="G295">IFERROR(INDEX('Исходник'!$1:$626,MATCH($A295,'Исходник'!$T:$T,0),MATCH(G$1,'Исходник'!$1:$1,0)))</f>
        <v/>
      </c>
      <c r="H295" s="27">
        <f t="shared" si="1"/>
        <v>0</v>
      </c>
      <c r="I295" s="27" t="str">
        <f t="shared" si="2"/>
        <v/>
      </c>
      <c r="J295" s="1" t="str">
        <f t="array" ref="J295">IFERROR(INDEX('Исходник'!$1:$626,MATCH($A295,'Исходник'!$T:$T,0),MATCH(J$1,'Исходник'!$1:$1,0)))</f>
        <v/>
      </c>
      <c r="K295" s="27" t="str">
        <f t="shared" si="3"/>
        <v/>
      </c>
      <c r="L295" s="1" t="str">
        <f t="array" ref="L295">IFERROR(INDEX('Исходник'!$1:$626,MATCH($A295,'Исходник'!$T:$T,0),MATCH(L$1,'Исходник'!$1:$1,0)))</f>
        <v/>
      </c>
      <c r="M295" s="28">
        <f t="shared" si="4"/>
        <v>0</v>
      </c>
      <c r="N295" s="1" t="str">
        <f t="array" ref="N295">IFERROR(INDEX('Исходник'!$1:$626,MATCH($A295,'Исходник'!$T:$T,0),MATCH(N$1,'Исходник'!$1:$1,0)))</f>
        <v/>
      </c>
      <c r="O295" s="27">
        <f t="shared" si="5"/>
        <v>0</v>
      </c>
      <c r="P295" s="27" t="str">
        <f t="shared" si="6"/>
        <v/>
      </c>
      <c r="Q295" s="1" t="str">
        <f t="array" ref="Q295">IFERROR(INDEX('Исходник'!$1:$626,MATCH($A295,'Исходник'!$T:$T,0),MATCH(Q$1,'Исходник'!$1:$1,0)))</f>
        <v/>
      </c>
      <c r="R295" s="1" t="str">
        <f t="array" ref="R295">IFERROR(INDEX('Исходник'!$1:$626,MATCH($A295,'Исходник'!$T:$T,0),MATCH(R$1,'Исходник'!$1:$1,0)))</f>
        <v/>
      </c>
      <c r="S295" s="27">
        <f t="shared" si="7"/>
        <v>0</v>
      </c>
      <c r="T295" s="27" t="str">
        <f t="shared" si="8"/>
        <v/>
      </c>
      <c r="U295" s="1" t="str">
        <f t="array" ref="U295">IFERROR(INDEX('Исходник'!$1:$626,MATCH($A295,'Исходник'!$T:$T,0),MATCH(U$1,'Исходник'!$1:$1,0)))</f>
        <v/>
      </c>
      <c r="V295" s="27" t="str">
        <f t="shared" si="9"/>
        <v/>
      </c>
      <c r="W295" s="1" t="str">
        <f t="array" ref="W295">IFERROR(INDEX('Исходник'!$1:$626,MATCH($A295,'Исходник'!$T:$T,0),MATCH(W$1,'Исходник'!$1:$1,0)))</f>
        <v/>
      </c>
      <c r="X295" s="28">
        <f t="shared" si="10"/>
        <v>0</v>
      </c>
      <c r="Y295" s="1" t="str">
        <f t="array" ref="Y295">IFERROR(INDEX('Исходник'!$1:$626,MATCH($A295,'Исходник'!$T:$T,0),MATCH(Y$1,'Исходник'!$1:$1,0)))</f>
        <v/>
      </c>
      <c r="Z295" s="27">
        <f t="shared" si="11"/>
        <v>0</v>
      </c>
      <c r="AA295" s="27" t="str">
        <f t="shared" si="12"/>
        <v/>
      </c>
      <c r="AB295" s="1" t="str">
        <f t="array" ref="AB295">IFERROR(INDEX('Исходник'!$1:$626,MATCH($A295,'Исходник'!$T:$T,0),MATCH(AB$1,'Исходник'!$1:$1,0)))</f>
        <v/>
      </c>
      <c r="AC295" s="1" t="str">
        <f t="array" ref="AC295">IFERROR(INDEX('Исходник'!$1:$626,MATCH($A295,'Исходник'!$T:$T,0),MATCH(AC$1,'Исходник'!$1:$1,0)))</f>
        <v/>
      </c>
      <c r="AD295" s="27" t="str">
        <f t="shared" si="13"/>
        <v/>
      </c>
      <c r="AE295" s="1" t="str">
        <f t="array" ref="AE295">IFERROR(INDEX('Исходник'!$1:$626,MATCH($A295,'Исходник'!$T:$T,0),MATCH(AE$1,'Исходник'!$1:$1,0)))</f>
        <v/>
      </c>
      <c r="AF295" s="1" t="str">
        <f t="array" ref="AF295">IFERROR(INDEX('Исходник'!$1:$626,MATCH($A295,'Исходник'!$T:$T,0),MATCH(AF$1,'Исходник'!$1:$1,0)))</f>
        <v/>
      </c>
      <c r="AG295" s="27" t="str">
        <f t="shared" si="14"/>
        <v/>
      </c>
      <c r="AH295" s="1" t="str">
        <f t="array" ref="AH295">IFERROR(INDEX('Исходник'!$1:$626,MATCH($A295,'Исходник'!$T:$T,0),MATCH(AH$1,'Исходник'!$1:$1,0)))</f>
        <v/>
      </c>
      <c r="AI295" s="1" t="str">
        <f t="array" ref="AI295">IFERROR(INDEX('Исходник'!$1:$626,MATCH($A295,'Исходник'!$T:$T,0),MATCH(AI$1,'Исходник'!$1:$1,0)))</f>
        <v/>
      </c>
      <c r="AJ295" s="18">
        <f t="shared" si="15"/>
        <v>0</v>
      </c>
    </row>
    <row r="296" ht="15.75" customHeight="1">
      <c r="A296" s="27"/>
      <c r="B296" s="1" t="str">
        <f t="array" ref="B296">IFERROR(INDEX('Исходник'!$1:$626,MATCH($A296,'Исходник'!$T:$T,0),MATCH(B$1,'Исходник'!$1:$1,0)))</f>
        <v/>
      </c>
      <c r="C296" s="1" t="str">
        <f t="array" ref="C296">IFERROR(INDEX('Исходник'!$1:$626,MATCH($A296,'Исходник'!$T:$T,0),MATCH(C$1,'Исходник'!$1:$1,0)))</f>
        <v/>
      </c>
      <c r="D296" s="1" t="str">
        <f t="array" ref="D296">IFERROR(INDEX('Исходник'!$1:$626,MATCH($A296,'Исходник'!$T:$T,0),MATCH(D$1,'Исходник'!$1:$1,0)))</f>
        <v/>
      </c>
      <c r="E296" s="1" t="str">
        <f t="array" ref="E296">IFERROR(INDEX('Исходник'!$1:$626,MATCH($A296,'Исходник'!$T:$T,0),MATCH(E$1,'Исходник'!$1:$1,0)))</f>
        <v/>
      </c>
      <c r="F296" s="1" t="str">
        <f t="array" ref="F296">IFERROR(INDEX('Исходник'!$1:$626,MATCH($A296,'Исходник'!$T:$T,0),MATCH(F$1,'Исходник'!$1:$1,0)))</f>
        <v/>
      </c>
      <c r="G296" s="1" t="str">
        <f t="array" ref="G296">IFERROR(INDEX('Исходник'!$1:$626,MATCH($A296,'Исходник'!$T:$T,0),MATCH(G$1,'Исходник'!$1:$1,0)))</f>
        <v/>
      </c>
      <c r="H296" s="27">
        <f t="shared" si="1"/>
        <v>0</v>
      </c>
      <c r="I296" s="27" t="str">
        <f t="shared" si="2"/>
        <v/>
      </c>
      <c r="J296" s="1" t="str">
        <f t="array" ref="J296">IFERROR(INDEX('Исходник'!$1:$626,MATCH($A296,'Исходник'!$T:$T,0),MATCH(J$1,'Исходник'!$1:$1,0)))</f>
        <v/>
      </c>
      <c r="K296" s="27" t="str">
        <f t="shared" si="3"/>
        <v/>
      </c>
      <c r="L296" s="1" t="str">
        <f t="array" ref="L296">IFERROR(INDEX('Исходник'!$1:$626,MATCH($A296,'Исходник'!$T:$T,0),MATCH(L$1,'Исходник'!$1:$1,0)))</f>
        <v/>
      </c>
      <c r="M296" s="28">
        <f t="shared" si="4"/>
        <v>0</v>
      </c>
      <c r="N296" s="1" t="str">
        <f t="array" ref="N296">IFERROR(INDEX('Исходник'!$1:$626,MATCH($A296,'Исходник'!$T:$T,0),MATCH(N$1,'Исходник'!$1:$1,0)))</f>
        <v/>
      </c>
      <c r="O296" s="27">
        <f t="shared" si="5"/>
        <v>0</v>
      </c>
      <c r="P296" s="27" t="str">
        <f t="shared" si="6"/>
        <v/>
      </c>
      <c r="Q296" s="1" t="str">
        <f t="array" ref="Q296">IFERROR(INDEX('Исходник'!$1:$626,MATCH($A296,'Исходник'!$T:$T,0),MATCH(Q$1,'Исходник'!$1:$1,0)))</f>
        <v/>
      </c>
      <c r="R296" s="1" t="str">
        <f t="array" ref="R296">IFERROR(INDEX('Исходник'!$1:$626,MATCH($A296,'Исходник'!$T:$T,0),MATCH(R$1,'Исходник'!$1:$1,0)))</f>
        <v/>
      </c>
      <c r="S296" s="27">
        <f t="shared" si="7"/>
        <v>0</v>
      </c>
      <c r="T296" s="27" t="str">
        <f t="shared" si="8"/>
        <v/>
      </c>
      <c r="U296" s="1" t="str">
        <f t="array" ref="U296">IFERROR(INDEX('Исходник'!$1:$626,MATCH($A296,'Исходник'!$T:$T,0),MATCH(U$1,'Исходник'!$1:$1,0)))</f>
        <v/>
      </c>
      <c r="V296" s="27" t="str">
        <f t="shared" si="9"/>
        <v/>
      </c>
      <c r="W296" s="1" t="str">
        <f t="array" ref="W296">IFERROR(INDEX('Исходник'!$1:$626,MATCH($A296,'Исходник'!$T:$T,0),MATCH(W$1,'Исходник'!$1:$1,0)))</f>
        <v/>
      </c>
      <c r="X296" s="28">
        <f t="shared" si="10"/>
        <v>0</v>
      </c>
      <c r="Y296" s="1" t="str">
        <f t="array" ref="Y296">IFERROR(INDEX('Исходник'!$1:$626,MATCH($A296,'Исходник'!$T:$T,0),MATCH(Y$1,'Исходник'!$1:$1,0)))</f>
        <v/>
      </c>
      <c r="Z296" s="27">
        <f t="shared" si="11"/>
        <v>0</v>
      </c>
      <c r="AA296" s="27" t="str">
        <f t="shared" si="12"/>
        <v/>
      </c>
      <c r="AB296" s="1" t="str">
        <f t="array" ref="AB296">IFERROR(INDEX('Исходник'!$1:$626,MATCH($A296,'Исходник'!$T:$T,0),MATCH(AB$1,'Исходник'!$1:$1,0)))</f>
        <v/>
      </c>
      <c r="AC296" s="1" t="str">
        <f t="array" ref="AC296">IFERROR(INDEX('Исходник'!$1:$626,MATCH($A296,'Исходник'!$T:$T,0),MATCH(AC$1,'Исходник'!$1:$1,0)))</f>
        <v/>
      </c>
      <c r="AD296" s="27" t="str">
        <f t="shared" si="13"/>
        <v/>
      </c>
      <c r="AE296" s="1" t="str">
        <f t="array" ref="AE296">IFERROR(INDEX('Исходник'!$1:$626,MATCH($A296,'Исходник'!$T:$T,0),MATCH(AE$1,'Исходник'!$1:$1,0)))</f>
        <v/>
      </c>
      <c r="AF296" s="1" t="str">
        <f t="array" ref="AF296">IFERROR(INDEX('Исходник'!$1:$626,MATCH($A296,'Исходник'!$T:$T,0),MATCH(AF$1,'Исходник'!$1:$1,0)))</f>
        <v/>
      </c>
      <c r="AG296" s="27" t="str">
        <f t="shared" si="14"/>
        <v/>
      </c>
      <c r="AH296" s="1" t="str">
        <f t="array" ref="AH296">IFERROR(INDEX('Исходник'!$1:$626,MATCH($A296,'Исходник'!$T:$T,0),MATCH(AH$1,'Исходник'!$1:$1,0)))</f>
        <v/>
      </c>
      <c r="AI296" s="1" t="str">
        <f t="array" ref="AI296">IFERROR(INDEX('Исходник'!$1:$626,MATCH($A296,'Исходник'!$T:$T,0),MATCH(AI$1,'Исходник'!$1:$1,0)))</f>
        <v/>
      </c>
      <c r="AJ296" s="18">
        <f t="shared" si="15"/>
        <v>0</v>
      </c>
    </row>
    <row r="297" ht="15.75" customHeight="1">
      <c r="A297" s="27"/>
      <c r="B297" s="1" t="str">
        <f t="array" ref="B297">IFERROR(INDEX('Исходник'!$1:$626,MATCH($A297,'Исходник'!$T:$T,0),MATCH(B$1,'Исходник'!$1:$1,0)))</f>
        <v/>
      </c>
      <c r="C297" s="1" t="str">
        <f t="array" ref="C297">IFERROR(INDEX('Исходник'!$1:$626,MATCH($A297,'Исходник'!$T:$T,0),MATCH(C$1,'Исходник'!$1:$1,0)))</f>
        <v/>
      </c>
      <c r="D297" s="1" t="str">
        <f t="array" ref="D297">IFERROR(INDEX('Исходник'!$1:$626,MATCH($A297,'Исходник'!$T:$T,0),MATCH(D$1,'Исходник'!$1:$1,0)))</f>
        <v/>
      </c>
      <c r="E297" s="1" t="str">
        <f t="array" ref="E297">IFERROR(INDEX('Исходник'!$1:$626,MATCH($A297,'Исходник'!$T:$T,0),MATCH(E$1,'Исходник'!$1:$1,0)))</f>
        <v/>
      </c>
      <c r="F297" s="1" t="str">
        <f t="array" ref="F297">IFERROR(INDEX('Исходник'!$1:$626,MATCH($A297,'Исходник'!$T:$T,0),MATCH(F$1,'Исходник'!$1:$1,0)))</f>
        <v/>
      </c>
      <c r="G297" s="1" t="str">
        <f t="array" ref="G297">IFERROR(INDEX('Исходник'!$1:$626,MATCH($A297,'Исходник'!$T:$T,0),MATCH(G$1,'Исходник'!$1:$1,0)))</f>
        <v/>
      </c>
      <c r="H297" s="27">
        <f t="shared" si="1"/>
        <v>0</v>
      </c>
      <c r="I297" s="27" t="str">
        <f t="shared" si="2"/>
        <v/>
      </c>
      <c r="J297" s="1" t="str">
        <f t="array" ref="J297">IFERROR(INDEX('Исходник'!$1:$626,MATCH($A297,'Исходник'!$T:$T,0),MATCH(J$1,'Исходник'!$1:$1,0)))</f>
        <v/>
      </c>
      <c r="K297" s="27" t="str">
        <f t="shared" si="3"/>
        <v/>
      </c>
      <c r="L297" s="1" t="str">
        <f t="array" ref="L297">IFERROR(INDEX('Исходник'!$1:$626,MATCH($A297,'Исходник'!$T:$T,0),MATCH(L$1,'Исходник'!$1:$1,0)))</f>
        <v/>
      </c>
      <c r="M297" s="28">
        <f t="shared" si="4"/>
        <v>0</v>
      </c>
      <c r="N297" s="1" t="str">
        <f t="array" ref="N297">IFERROR(INDEX('Исходник'!$1:$626,MATCH($A297,'Исходник'!$T:$T,0),MATCH(N$1,'Исходник'!$1:$1,0)))</f>
        <v/>
      </c>
      <c r="O297" s="27">
        <f t="shared" si="5"/>
        <v>0</v>
      </c>
      <c r="P297" s="27" t="str">
        <f t="shared" si="6"/>
        <v/>
      </c>
      <c r="Q297" s="1" t="str">
        <f t="array" ref="Q297">IFERROR(INDEX('Исходник'!$1:$626,MATCH($A297,'Исходник'!$T:$T,0),MATCH(Q$1,'Исходник'!$1:$1,0)))</f>
        <v/>
      </c>
      <c r="R297" s="1" t="str">
        <f t="array" ref="R297">IFERROR(INDEX('Исходник'!$1:$626,MATCH($A297,'Исходник'!$T:$T,0),MATCH(R$1,'Исходник'!$1:$1,0)))</f>
        <v/>
      </c>
      <c r="S297" s="27">
        <f t="shared" si="7"/>
        <v>0</v>
      </c>
      <c r="T297" s="27" t="str">
        <f t="shared" si="8"/>
        <v/>
      </c>
      <c r="U297" s="1" t="str">
        <f t="array" ref="U297">IFERROR(INDEX('Исходник'!$1:$626,MATCH($A297,'Исходник'!$T:$T,0),MATCH(U$1,'Исходник'!$1:$1,0)))</f>
        <v/>
      </c>
      <c r="V297" s="27" t="str">
        <f t="shared" si="9"/>
        <v/>
      </c>
      <c r="W297" s="1" t="str">
        <f t="array" ref="W297">IFERROR(INDEX('Исходник'!$1:$626,MATCH($A297,'Исходник'!$T:$T,0),MATCH(W$1,'Исходник'!$1:$1,0)))</f>
        <v/>
      </c>
      <c r="X297" s="28">
        <f t="shared" si="10"/>
        <v>0</v>
      </c>
      <c r="Y297" s="1" t="str">
        <f t="array" ref="Y297">IFERROR(INDEX('Исходник'!$1:$626,MATCH($A297,'Исходник'!$T:$T,0),MATCH(Y$1,'Исходник'!$1:$1,0)))</f>
        <v/>
      </c>
      <c r="Z297" s="27">
        <f t="shared" si="11"/>
        <v>0</v>
      </c>
      <c r="AA297" s="27" t="str">
        <f t="shared" si="12"/>
        <v/>
      </c>
      <c r="AB297" s="1" t="str">
        <f t="array" ref="AB297">IFERROR(INDEX('Исходник'!$1:$626,MATCH($A297,'Исходник'!$T:$T,0),MATCH(AB$1,'Исходник'!$1:$1,0)))</f>
        <v/>
      </c>
      <c r="AC297" s="1" t="str">
        <f t="array" ref="AC297">IFERROR(INDEX('Исходник'!$1:$626,MATCH($A297,'Исходник'!$T:$T,0),MATCH(AC$1,'Исходник'!$1:$1,0)))</f>
        <v/>
      </c>
      <c r="AD297" s="27" t="str">
        <f t="shared" si="13"/>
        <v/>
      </c>
      <c r="AE297" s="1" t="str">
        <f t="array" ref="AE297">IFERROR(INDEX('Исходник'!$1:$626,MATCH($A297,'Исходник'!$T:$T,0),MATCH(AE$1,'Исходник'!$1:$1,0)))</f>
        <v/>
      </c>
      <c r="AF297" s="1" t="str">
        <f t="array" ref="AF297">IFERROR(INDEX('Исходник'!$1:$626,MATCH($A297,'Исходник'!$T:$T,0),MATCH(AF$1,'Исходник'!$1:$1,0)))</f>
        <v/>
      </c>
      <c r="AG297" s="27" t="str">
        <f t="shared" si="14"/>
        <v/>
      </c>
      <c r="AH297" s="1" t="str">
        <f t="array" ref="AH297">IFERROR(INDEX('Исходник'!$1:$626,MATCH($A297,'Исходник'!$T:$T,0),MATCH(AH$1,'Исходник'!$1:$1,0)))</f>
        <v/>
      </c>
      <c r="AI297" s="1" t="str">
        <f t="array" ref="AI297">IFERROR(INDEX('Исходник'!$1:$626,MATCH($A297,'Исходник'!$T:$T,0),MATCH(AI$1,'Исходник'!$1:$1,0)))</f>
        <v/>
      </c>
      <c r="AJ297" s="18">
        <f t="shared" si="15"/>
        <v>0</v>
      </c>
    </row>
    <row r="298" ht="15.75" customHeight="1">
      <c r="A298" s="27"/>
      <c r="B298" s="1" t="str">
        <f t="array" ref="B298">IFERROR(INDEX('Исходник'!$1:$626,MATCH($A298,'Исходник'!$T:$T,0),MATCH(B$1,'Исходник'!$1:$1,0)))</f>
        <v/>
      </c>
      <c r="C298" s="1" t="str">
        <f t="array" ref="C298">IFERROR(INDEX('Исходник'!$1:$626,MATCH($A298,'Исходник'!$T:$T,0),MATCH(C$1,'Исходник'!$1:$1,0)))</f>
        <v/>
      </c>
      <c r="D298" s="1" t="str">
        <f t="array" ref="D298">IFERROR(INDEX('Исходник'!$1:$626,MATCH($A298,'Исходник'!$T:$T,0),MATCH(D$1,'Исходник'!$1:$1,0)))</f>
        <v/>
      </c>
      <c r="E298" s="1" t="str">
        <f t="array" ref="E298">IFERROR(INDEX('Исходник'!$1:$626,MATCH($A298,'Исходник'!$T:$T,0),MATCH(E$1,'Исходник'!$1:$1,0)))</f>
        <v/>
      </c>
      <c r="F298" s="1" t="str">
        <f t="array" ref="F298">IFERROR(INDEX('Исходник'!$1:$626,MATCH($A298,'Исходник'!$T:$T,0),MATCH(F$1,'Исходник'!$1:$1,0)))</f>
        <v/>
      </c>
      <c r="G298" s="1" t="str">
        <f t="array" ref="G298">IFERROR(INDEX('Исходник'!$1:$626,MATCH($A298,'Исходник'!$T:$T,0),MATCH(G$1,'Исходник'!$1:$1,0)))</f>
        <v/>
      </c>
      <c r="H298" s="27">
        <f t="shared" si="1"/>
        <v>0</v>
      </c>
      <c r="I298" s="27" t="str">
        <f t="shared" si="2"/>
        <v/>
      </c>
      <c r="J298" s="1" t="str">
        <f t="array" ref="J298">IFERROR(INDEX('Исходник'!$1:$626,MATCH($A298,'Исходник'!$T:$T,0),MATCH(J$1,'Исходник'!$1:$1,0)))</f>
        <v/>
      </c>
      <c r="K298" s="27" t="str">
        <f t="shared" si="3"/>
        <v/>
      </c>
      <c r="L298" s="1" t="str">
        <f t="array" ref="L298">IFERROR(INDEX('Исходник'!$1:$626,MATCH($A298,'Исходник'!$T:$T,0),MATCH(L$1,'Исходник'!$1:$1,0)))</f>
        <v/>
      </c>
      <c r="M298" s="28">
        <f t="shared" si="4"/>
        <v>0</v>
      </c>
      <c r="N298" s="1" t="str">
        <f t="array" ref="N298">IFERROR(INDEX('Исходник'!$1:$626,MATCH($A298,'Исходник'!$T:$T,0),MATCH(N$1,'Исходник'!$1:$1,0)))</f>
        <v/>
      </c>
      <c r="O298" s="27">
        <f t="shared" si="5"/>
        <v>0</v>
      </c>
      <c r="P298" s="27" t="str">
        <f t="shared" si="6"/>
        <v/>
      </c>
      <c r="Q298" s="1" t="str">
        <f t="array" ref="Q298">IFERROR(INDEX('Исходник'!$1:$626,MATCH($A298,'Исходник'!$T:$T,0),MATCH(Q$1,'Исходник'!$1:$1,0)))</f>
        <v/>
      </c>
      <c r="R298" s="1" t="str">
        <f t="array" ref="R298">IFERROR(INDEX('Исходник'!$1:$626,MATCH($A298,'Исходник'!$T:$T,0),MATCH(R$1,'Исходник'!$1:$1,0)))</f>
        <v/>
      </c>
      <c r="S298" s="27">
        <f t="shared" si="7"/>
        <v>0</v>
      </c>
      <c r="T298" s="27" t="str">
        <f t="shared" si="8"/>
        <v/>
      </c>
      <c r="U298" s="1" t="str">
        <f t="array" ref="U298">IFERROR(INDEX('Исходник'!$1:$626,MATCH($A298,'Исходник'!$T:$T,0),MATCH(U$1,'Исходник'!$1:$1,0)))</f>
        <v/>
      </c>
      <c r="V298" s="27" t="str">
        <f t="shared" si="9"/>
        <v/>
      </c>
      <c r="W298" s="1" t="str">
        <f t="array" ref="W298">IFERROR(INDEX('Исходник'!$1:$626,MATCH($A298,'Исходник'!$T:$T,0),MATCH(W$1,'Исходник'!$1:$1,0)))</f>
        <v/>
      </c>
      <c r="X298" s="28">
        <f t="shared" si="10"/>
        <v>0</v>
      </c>
      <c r="Y298" s="1" t="str">
        <f t="array" ref="Y298">IFERROR(INDEX('Исходник'!$1:$626,MATCH($A298,'Исходник'!$T:$T,0),MATCH(Y$1,'Исходник'!$1:$1,0)))</f>
        <v/>
      </c>
      <c r="Z298" s="27">
        <f t="shared" si="11"/>
        <v>0</v>
      </c>
      <c r="AA298" s="27" t="str">
        <f t="shared" si="12"/>
        <v/>
      </c>
      <c r="AB298" s="1" t="str">
        <f t="array" ref="AB298">IFERROR(INDEX('Исходник'!$1:$626,MATCH($A298,'Исходник'!$T:$T,0),MATCH(AB$1,'Исходник'!$1:$1,0)))</f>
        <v/>
      </c>
      <c r="AC298" s="1" t="str">
        <f t="array" ref="AC298">IFERROR(INDEX('Исходник'!$1:$626,MATCH($A298,'Исходник'!$T:$T,0),MATCH(AC$1,'Исходник'!$1:$1,0)))</f>
        <v/>
      </c>
      <c r="AD298" s="27" t="str">
        <f t="shared" si="13"/>
        <v/>
      </c>
      <c r="AE298" s="1" t="str">
        <f t="array" ref="AE298">IFERROR(INDEX('Исходник'!$1:$626,MATCH($A298,'Исходник'!$T:$T,0),MATCH(AE$1,'Исходник'!$1:$1,0)))</f>
        <v/>
      </c>
      <c r="AF298" s="1" t="str">
        <f t="array" ref="AF298">IFERROR(INDEX('Исходник'!$1:$626,MATCH($A298,'Исходник'!$T:$T,0),MATCH(AF$1,'Исходник'!$1:$1,0)))</f>
        <v/>
      </c>
      <c r="AG298" s="27" t="str">
        <f t="shared" si="14"/>
        <v/>
      </c>
      <c r="AH298" s="1" t="str">
        <f t="array" ref="AH298">IFERROR(INDEX('Исходник'!$1:$626,MATCH($A298,'Исходник'!$T:$T,0),MATCH(AH$1,'Исходник'!$1:$1,0)))</f>
        <v/>
      </c>
      <c r="AI298" s="1" t="str">
        <f t="array" ref="AI298">IFERROR(INDEX('Исходник'!$1:$626,MATCH($A298,'Исходник'!$T:$T,0),MATCH(AI$1,'Исходник'!$1:$1,0)))</f>
        <v/>
      </c>
      <c r="AJ298" s="18">
        <f t="shared" si="15"/>
        <v>0</v>
      </c>
    </row>
    <row r="299" ht="15.75" customHeight="1">
      <c r="A299" s="27"/>
      <c r="B299" s="1" t="str">
        <f t="array" ref="B299">IFERROR(INDEX('Исходник'!$1:$626,MATCH($A299,'Исходник'!$T:$T,0),MATCH(B$1,'Исходник'!$1:$1,0)))</f>
        <v/>
      </c>
      <c r="C299" s="1" t="str">
        <f t="array" ref="C299">IFERROR(INDEX('Исходник'!$1:$626,MATCH($A299,'Исходник'!$T:$T,0),MATCH(C$1,'Исходник'!$1:$1,0)))</f>
        <v/>
      </c>
      <c r="D299" s="1" t="str">
        <f t="array" ref="D299">IFERROR(INDEX('Исходник'!$1:$626,MATCH($A299,'Исходник'!$T:$T,0),MATCH(D$1,'Исходник'!$1:$1,0)))</f>
        <v/>
      </c>
      <c r="E299" s="1" t="str">
        <f t="array" ref="E299">IFERROR(INDEX('Исходник'!$1:$626,MATCH($A299,'Исходник'!$T:$T,0),MATCH(E$1,'Исходник'!$1:$1,0)))</f>
        <v/>
      </c>
      <c r="F299" s="1" t="str">
        <f t="array" ref="F299">IFERROR(INDEX('Исходник'!$1:$626,MATCH($A299,'Исходник'!$T:$T,0),MATCH(F$1,'Исходник'!$1:$1,0)))</f>
        <v/>
      </c>
      <c r="G299" s="1" t="str">
        <f t="array" ref="G299">IFERROR(INDEX('Исходник'!$1:$626,MATCH($A299,'Исходник'!$T:$T,0),MATCH(G$1,'Исходник'!$1:$1,0)))</f>
        <v/>
      </c>
      <c r="H299" s="27">
        <f t="shared" si="1"/>
        <v>0</v>
      </c>
      <c r="I299" s="27" t="str">
        <f t="shared" si="2"/>
        <v/>
      </c>
      <c r="J299" s="1" t="str">
        <f t="array" ref="J299">IFERROR(INDEX('Исходник'!$1:$626,MATCH($A299,'Исходник'!$T:$T,0),MATCH(J$1,'Исходник'!$1:$1,0)))</f>
        <v/>
      </c>
      <c r="K299" s="27" t="str">
        <f t="shared" si="3"/>
        <v/>
      </c>
      <c r="L299" s="1" t="str">
        <f t="array" ref="L299">IFERROR(INDEX('Исходник'!$1:$626,MATCH($A299,'Исходник'!$T:$T,0),MATCH(L$1,'Исходник'!$1:$1,0)))</f>
        <v/>
      </c>
      <c r="M299" s="28">
        <f t="shared" si="4"/>
        <v>0</v>
      </c>
      <c r="N299" s="1" t="str">
        <f t="array" ref="N299">IFERROR(INDEX('Исходник'!$1:$626,MATCH($A299,'Исходник'!$T:$T,0),MATCH(N$1,'Исходник'!$1:$1,0)))</f>
        <v/>
      </c>
      <c r="O299" s="27">
        <f t="shared" si="5"/>
        <v>0</v>
      </c>
      <c r="P299" s="27" t="str">
        <f t="shared" si="6"/>
        <v/>
      </c>
      <c r="Q299" s="1" t="str">
        <f t="array" ref="Q299">IFERROR(INDEX('Исходник'!$1:$626,MATCH($A299,'Исходник'!$T:$T,0),MATCH(Q$1,'Исходник'!$1:$1,0)))</f>
        <v/>
      </c>
      <c r="R299" s="1" t="str">
        <f t="array" ref="R299">IFERROR(INDEX('Исходник'!$1:$626,MATCH($A299,'Исходник'!$T:$T,0),MATCH(R$1,'Исходник'!$1:$1,0)))</f>
        <v/>
      </c>
      <c r="S299" s="27">
        <f t="shared" si="7"/>
        <v>0</v>
      </c>
      <c r="T299" s="27" t="str">
        <f t="shared" si="8"/>
        <v/>
      </c>
      <c r="U299" s="1" t="str">
        <f t="array" ref="U299">IFERROR(INDEX('Исходник'!$1:$626,MATCH($A299,'Исходник'!$T:$T,0),MATCH(U$1,'Исходник'!$1:$1,0)))</f>
        <v/>
      </c>
      <c r="V299" s="27" t="str">
        <f t="shared" si="9"/>
        <v/>
      </c>
      <c r="W299" s="1" t="str">
        <f t="array" ref="W299">IFERROR(INDEX('Исходник'!$1:$626,MATCH($A299,'Исходник'!$T:$T,0),MATCH(W$1,'Исходник'!$1:$1,0)))</f>
        <v/>
      </c>
      <c r="X299" s="28">
        <f t="shared" si="10"/>
        <v>0</v>
      </c>
      <c r="Y299" s="1" t="str">
        <f t="array" ref="Y299">IFERROR(INDEX('Исходник'!$1:$626,MATCH($A299,'Исходник'!$T:$T,0),MATCH(Y$1,'Исходник'!$1:$1,0)))</f>
        <v/>
      </c>
      <c r="Z299" s="27">
        <f t="shared" si="11"/>
        <v>0</v>
      </c>
      <c r="AA299" s="27" t="str">
        <f t="shared" si="12"/>
        <v/>
      </c>
      <c r="AB299" s="1" t="str">
        <f t="array" ref="AB299">IFERROR(INDEX('Исходник'!$1:$626,MATCH($A299,'Исходник'!$T:$T,0),MATCH(AB$1,'Исходник'!$1:$1,0)))</f>
        <v/>
      </c>
      <c r="AC299" s="1" t="str">
        <f t="array" ref="AC299">IFERROR(INDEX('Исходник'!$1:$626,MATCH($A299,'Исходник'!$T:$T,0),MATCH(AC$1,'Исходник'!$1:$1,0)))</f>
        <v/>
      </c>
      <c r="AD299" s="27" t="str">
        <f t="shared" si="13"/>
        <v/>
      </c>
      <c r="AE299" s="1" t="str">
        <f t="array" ref="AE299">IFERROR(INDEX('Исходник'!$1:$626,MATCH($A299,'Исходник'!$T:$T,0),MATCH(AE$1,'Исходник'!$1:$1,0)))</f>
        <v/>
      </c>
      <c r="AF299" s="1" t="str">
        <f t="array" ref="AF299">IFERROR(INDEX('Исходник'!$1:$626,MATCH($A299,'Исходник'!$T:$T,0),MATCH(AF$1,'Исходник'!$1:$1,0)))</f>
        <v/>
      </c>
      <c r="AG299" s="27" t="str">
        <f t="shared" si="14"/>
        <v/>
      </c>
      <c r="AH299" s="1" t="str">
        <f t="array" ref="AH299">IFERROR(INDEX('Исходник'!$1:$626,MATCH($A299,'Исходник'!$T:$T,0),MATCH(AH$1,'Исходник'!$1:$1,0)))</f>
        <v/>
      </c>
      <c r="AI299" s="1" t="str">
        <f t="array" ref="AI299">IFERROR(INDEX('Исходник'!$1:$626,MATCH($A299,'Исходник'!$T:$T,0),MATCH(AI$1,'Исходник'!$1:$1,0)))</f>
        <v/>
      </c>
      <c r="AJ299" s="18">
        <f t="shared" si="15"/>
        <v>0</v>
      </c>
    </row>
    <row r="300" ht="15.75" customHeight="1">
      <c r="A300" s="27"/>
      <c r="B300" s="1" t="str">
        <f t="array" ref="B300">IFERROR(INDEX('Исходник'!$1:$626,MATCH($A300,'Исходник'!$T:$T,0),MATCH(B$1,'Исходник'!$1:$1,0)))</f>
        <v/>
      </c>
      <c r="C300" s="1" t="str">
        <f t="array" ref="C300">IFERROR(INDEX('Исходник'!$1:$626,MATCH($A300,'Исходник'!$T:$T,0),MATCH(C$1,'Исходник'!$1:$1,0)))</f>
        <v/>
      </c>
      <c r="D300" s="1" t="str">
        <f t="array" ref="D300">IFERROR(INDEX('Исходник'!$1:$626,MATCH($A300,'Исходник'!$T:$T,0),MATCH(D$1,'Исходник'!$1:$1,0)))</f>
        <v/>
      </c>
      <c r="E300" s="1" t="str">
        <f t="array" ref="E300">IFERROR(INDEX('Исходник'!$1:$626,MATCH($A300,'Исходник'!$T:$T,0),MATCH(E$1,'Исходник'!$1:$1,0)))</f>
        <v/>
      </c>
      <c r="F300" s="1" t="str">
        <f t="array" ref="F300">IFERROR(INDEX('Исходник'!$1:$626,MATCH($A300,'Исходник'!$T:$T,0),MATCH(F$1,'Исходник'!$1:$1,0)))</f>
        <v/>
      </c>
      <c r="G300" s="1" t="str">
        <f t="array" ref="G300">IFERROR(INDEX('Исходник'!$1:$626,MATCH($A300,'Исходник'!$T:$T,0),MATCH(G$1,'Исходник'!$1:$1,0)))</f>
        <v/>
      </c>
      <c r="H300" s="27">
        <f t="shared" si="1"/>
        <v>0</v>
      </c>
      <c r="I300" s="27" t="str">
        <f t="shared" si="2"/>
        <v/>
      </c>
      <c r="J300" s="1" t="str">
        <f t="array" ref="J300">IFERROR(INDEX('Исходник'!$1:$626,MATCH($A300,'Исходник'!$T:$T,0),MATCH(J$1,'Исходник'!$1:$1,0)))</f>
        <v/>
      </c>
      <c r="K300" s="27" t="str">
        <f t="shared" si="3"/>
        <v/>
      </c>
      <c r="L300" s="1" t="str">
        <f t="array" ref="L300">IFERROR(INDEX('Исходник'!$1:$626,MATCH($A300,'Исходник'!$T:$T,0),MATCH(L$1,'Исходник'!$1:$1,0)))</f>
        <v/>
      </c>
      <c r="M300" s="28">
        <f t="shared" si="4"/>
        <v>0</v>
      </c>
      <c r="N300" s="1" t="str">
        <f t="array" ref="N300">IFERROR(INDEX('Исходник'!$1:$626,MATCH($A300,'Исходник'!$T:$T,0),MATCH(N$1,'Исходник'!$1:$1,0)))</f>
        <v/>
      </c>
      <c r="O300" s="27">
        <f t="shared" si="5"/>
        <v>0</v>
      </c>
      <c r="P300" s="27" t="str">
        <f t="shared" si="6"/>
        <v/>
      </c>
      <c r="Q300" s="1" t="str">
        <f t="array" ref="Q300">IFERROR(INDEX('Исходник'!$1:$626,MATCH($A300,'Исходник'!$T:$T,0),MATCH(Q$1,'Исходник'!$1:$1,0)))</f>
        <v/>
      </c>
      <c r="R300" s="1" t="str">
        <f t="array" ref="R300">IFERROR(INDEX('Исходник'!$1:$626,MATCH($A300,'Исходник'!$T:$T,0),MATCH(R$1,'Исходник'!$1:$1,0)))</f>
        <v/>
      </c>
      <c r="S300" s="27">
        <f t="shared" si="7"/>
        <v>0</v>
      </c>
      <c r="T300" s="27" t="str">
        <f t="shared" si="8"/>
        <v/>
      </c>
      <c r="U300" s="1" t="str">
        <f t="array" ref="U300">IFERROR(INDEX('Исходник'!$1:$626,MATCH($A300,'Исходник'!$T:$T,0),MATCH(U$1,'Исходник'!$1:$1,0)))</f>
        <v/>
      </c>
      <c r="V300" s="27" t="str">
        <f t="shared" si="9"/>
        <v/>
      </c>
      <c r="W300" s="1" t="str">
        <f t="array" ref="W300">IFERROR(INDEX('Исходник'!$1:$626,MATCH($A300,'Исходник'!$T:$T,0),MATCH(W$1,'Исходник'!$1:$1,0)))</f>
        <v/>
      </c>
      <c r="X300" s="28">
        <f t="shared" si="10"/>
        <v>0</v>
      </c>
      <c r="Y300" s="1" t="str">
        <f t="array" ref="Y300">IFERROR(INDEX('Исходник'!$1:$626,MATCH($A300,'Исходник'!$T:$T,0),MATCH(Y$1,'Исходник'!$1:$1,0)))</f>
        <v/>
      </c>
      <c r="Z300" s="27">
        <f t="shared" si="11"/>
        <v>0</v>
      </c>
      <c r="AA300" s="27" t="str">
        <f t="shared" si="12"/>
        <v/>
      </c>
      <c r="AB300" s="1" t="str">
        <f t="array" ref="AB300">IFERROR(INDEX('Исходник'!$1:$626,MATCH($A300,'Исходник'!$T:$T,0),MATCH(AB$1,'Исходник'!$1:$1,0)))</f>
        <v/>
      </c>
      <c r="AC300" s="1" t="str">
        <f t="array" ref="AC300">IFERROR(INDEX('Исходник'!$1:$626,MATCH($A300,'Исходник'!$T:$T,0),MATCH(AC$1,'Исходник'!$1:$1,0)))</f>
        <v/>
      </c>
      <c r="AD300" s="27" t="str">
        <f t="shared" si="13"/>
        <v/>
      </c>
      <c r="AE300" s="1" t="str">
        <f t="array" ref="AE300">IFERROR(INDEX('Исходник'!$1:$626,MATCH($A300,'Исходник'!$T:$T,0),MATCH(AE$1,'Исходник'!$1:$1,0)))</f>
        <v/>
      </c>
      <c r="AF300" s="1" t="str">
        <f t="array" ref="AF300">IFERROR(INDEX('Исходник'!$1:$626,MATCH($A300,'Исходник'!$T:$T,0),MATCH(AF$1,'Исходник'!$1:$1,0)))</f>
        <v/>
      </c>
      <c r="AG300" s="27" t="str">
        <f t="shared" si="14"/>
        <v/>
      </c>
      <c r="AH300" s="1" t="str">
        <f t="array" ref="AH300">IFERROR(INDEX('Исходник'!$1:$626,MATCH($A300,'Исходник'!$T:$T,0),MATCH(AH$1,'Исходник'!$1:$1,0)))</f>
        <v/>
      </c>
      <c r="AI300" s="1" t="str">
        <f t="array" ref="AI300">IFERROR(INDEX('Исходник'!$1:$626,MATCH($A300,'Исходник'!$T:$T,0),MATCH(AI$1,'Исходник'!$1:$1,0)))</f>
        <v/>
      </c>
      <c r="AJ300" s="18">
        <f t="shared" si="15"/>
        <v>0</v>
      </c>
    </row>
    <row r="301" ht="15.75" customHeight="1">
      <c r="A301" s="27"/>
      <c r="B301" s="1" t="str">
        <f t="array" ref="B301">IFERROR(INDEX('Исходник'!$1:$626,MATCH($A301,'Исходник'!$T:$T,0),MATCH(B$1,'Исходник'!$1:$1,0)))</f>
        <v/>
      </c>
      <c r="C301" s="1" t="str">
        <f t="array" ref="C301">IFERROR(INDEX('Исходник'!$1:$626,MATCH($A301,'Исходник'!$T:$T,0),MATCH(C$1,'Исходник'!$1:$1,0)))</f>
        <v/>
      </c>
      <c r="D301" s="1" t="str">
        <f t="array" ref="D301">IFERROR(INDEX('Исходник'!$1:$626,MATCH($A301,'Исходник'!$T:$T,0),MATCH(D$1,'Исходник'!$1:$1,0)))</f>
        <v/>
      </c>
      <c r="E301" s="1" t="str">
        <f t="array" ref="E301">IFERROR(INDEX('Исходник'!$1:$626,MATCH($A301,'Исходник'!$T:$T,0),MATCH(E$1,'Исходник'!$1:$1,0)))</f>
        <v/>
      </c>
      <c r="F301" s="1" t="str">
        <f t="array" ref="F301">IFERROR(INDEX('Исходник'!$1:$626,MATCH($A301,'Исходник'!$T:$T,0),MATCH(F$1,'Исходник'!$1:$1,0)))</f>
        <v/>
      </c>
      <c r="G301" s="1" t="str">
        <f t="array" ref="G301">IFERROR(INDEX('Исходник'!$1:$626,MATCH($A301,'Исходник'!$T:$T,0),MATCH(G$1,'Исходник'!$1:$1,0)))</f>
        <v/>
      </c>
      <c r="H301" s="27">
        <f t="shared" si="1"/>
        <v>0</v>
      </c>
      <c r="I301" s="27" t="str">
        <f t="shared" si="2"/>
        <v/>
      </c>
      <c r="J301" s="1" t="str">
        <f t="array" ref="J301">IFERROR(INDEX('Исходник'!$1:$626,MATCH($A301,'Исходник'!$T:$T,0),MATCH(J$1,'Исходник'!$1:$1,0)))</f>
        <v/>
      </c>
      <c r="K301" s="27" t="str">
        <f t="shared" si="3"/>
        <v/>
      </c>
      <c r="L301" s="1" t="str">
        <f t="array" ref="L301">IFERROR(INDEX('Исходник'!$1:$626,MATCH($A301,'Исходник'!$T:$T,0),MATCH(L$1,'Исходник'!$1:$1,0)))</f>
        <v/>
      </c>
      <c r="M301" s="28">
        <f t="shared" si="4"/>
        <v>0</v>
      </c>
      <c r="N301" s="1" t="str">
        <f t="array" ref="N301">IFERROR(INDEX('Исходник'!$1:$626,MATCH($A301,'Исходник'!$T:$T,0),MATCH(N$1,'Исходник'!$1:$1,0)))</f>
        <v/>
      </c>
      <c r="O301" s="27">
        <f t="shared" si="5"/>
        <v>0</v>
      </c>
      <c r="P301" s="27" t="str">
        <f t="shared" si="6"/>
        <v/>
      </c>
      <c r="Q301" s="1" t="str">
        <f t="array" ref="Q301">IFERROR(INDEX('Исходник'!$1:$626,MATCH($A301,'Исходник'!$T:$T,0),MATCH(Q$1,'Исходник'!$1:$1,0)))</f>
        <v/>
      </c>
      <c r="R301" s="1" t="str">
        <f t="array" ref="R301">IFERROR(INDEX('Исходник'!$1:$626,MATCH($A301,'Исходник'!$T:$T,0),MATCH(R$1,'Исходник'!$1:$1,0)))</f>
        <v/>
      </c>
      <c r="S301" s="27">
        <f t="shared" si="7"/>
        <v>0</v>
      </c>
      <c r="T301" s="27" t="str">
        <f t="shared" si="8"/>
        <v/>
      </c>
      <c r="U301" s="1" t="str">
        <f t="array" ref="U301">IFERROR(INDEX('Исходник'!$1:$626,MATCH($A301,'Исходник'!$T:$T,0),MATCH(U$1,'Исходник'!$1:$1,0)))</f>
        <v/>
      </c>
      <c r="V301" s="27" t="str">
        <f t="shared" si="9"/>
        <v/>
      </c>
      <c r="W301" s="1" t="str">
        <f t="array" ref="W301">IFERROR(INDEX('Исходник'!$1:$626,MATCH($A301,'Исходник'!$T:$T,0),MATCH(W$1,'Исходник'!$1:$1,0)))</f>
        <v/>
      </c>
      <c r="X301" s="28">
        <f t="shared" si="10"/>
        <v>0</v>
      </c>
      <c r="Y301" s="1" t="str">
        <f t="array" ref="Y301">IFERROR(INDEX('Исходник'!$1:$626,MATCH($A301,'Исходник'!$T:$T,0),MATCH(Y$1,'Исходник'!$1:$1,0)))</f>
        <v/>
      </c>
      <c r="Z301" s="27">
        <f t="shared" si="11"/>
        <v>0</v>
      </c>
      <c r="AA301" s="27" t="str">
        <f t="shared" si="12"/>
        <v/>
      </c>
      <c r="AB301" s="1" t="str">
        <f t="array" ref="AB301">IFERROR(INDEX('Исходник'!$1:$626,MATCH($A301,'Исходник'!$T:$T,0),MATCH(AB$1,'Исходник'!$1:$1,0)))</f>
        <v/>
      </c>
      <c r="AC301" s="1" t="str">
        <f t="array" ref="AC301">IFERROR(INDEX('Исходник'!$1:$626,MATCH($A301,'Исходник'!$T:$T,0),MATCH(AC$1,'Исходник'!$1:$1,0)))</f>
        <v/>
      </c>
      <c r="AD301" s="27" t="str">
        <f t="shared" si="13"/>
        <v/>
      </c>
      <c r="AE301" s="1" t="str">
        <f t="array" ref="AE301">IFERROR(INDEX('Исходник'!$1:$626,MATCH($A301,'Исходник'!$T:$T,0),MATCH(AE$1,'Исходник'!$1:$1,0)))</f>
        <v/>
      </c>
      <c r="AF301" s="1" t="str">
        <f t="array" ref="AF301">IFERROR(INDEX('Исходник'!$1:$626,MATCH($A301,'Исходник'!$T:$T,0),MATCH(AF$1,'Исходник'!$1:$1,0)))</f>
        <v/>
      </c>
      <c r="AG301" s="27" t="str">
        <f t="shared" si="14"/>
        <v/>
      </c>
      <c r="AH301" s="1" t="str">
        <f t="array" ref="AH301">IFERROR(INDEX('Исходник'!$1:$626,MATCH($A301,'Исходник'!$T:$T,0),MATCH(AH$1,'Исходник'!$1:$1,0)))</f>
        <v/>
      </c>
      <c r="AI301" s="1" t="str">
        <f t="array" ref="AI301">IFERROR(INDEX('Исходник'!$1:$626,MATCH($A301,'Исходник'!$T:$T,0),MATCH(AI$1,'Исходник'!$1:$1,0)))</f>
        <v/>
      </c>
      <c r="AJ301" s="18">
        <f t="shared" si="15"/>
        <v>0</v>
      </c>
    </row>
    <row r="302" ht="15.75" customHeight="1">
      <c r="A302" s="27"/>
      <c r="B302" s="1" t="str">
        <f t="array" ref="B302">IFERROR(INDEX('Исходник'!$1:$626,MATCH($A302,'Исходник'!$T:$T,0),MATCH(B$1,'Исходник'!$1:$1,0)))</f>
        <v/>
      </c>
      <c r="C302" s="1" t="str">
        <f t="array" ref="C302">IFERROR(INDEX('Исходник'!$1:$626,MATCH($A302,'Исходник'!$T:$T,0),MATCH(C$1,'Исходник'!$1:$1,0)))</f>
        <v/>
      </c>
      <c r="D302" s="1" t="str">
        <f t="array" ref="D302">IFERROR(INDEX('Исходник'!$1:$626,MATCH($A302,'Исходник'!$T:$T,0),MATCH(D$1,'Исходник'!$1:$1,0)))</f>
        <v/>
      </c>
      <c r="E302" s="1" t="str">
        <f t="array" ref="E302">IFERROR(INDEX('Исходник'!$1:$626,MATCH($A302,'Исходник'!$T:$T,0),MATCH(E$1,'Исходник'!$1:$1,0)))</f>
        <v/>
      </c>
      <c r="F302" s="1" t="str">
        <f t="array" ref="F302">IFERROR(INDEX('Исходник'!$1:$626,MATCH($A302,'Исходник'!$T:$T,0),MATCH(F$1,'Исходник'!$1:$1,0)))</f>
        <v/>
      </c>
      <c r="G302" s="1" t="str">
        <f t="array" ref="G302">IFERROR(INDEX('Исходник'!$1:$626,MATCH($A302,'Исходник'!$T:$T,0),MATCH(G$1,'Исходник'!$1:$1,0)))</f>
        <v/>
      </c>
      <c r="H302" s="27">
        <f t="shared" si="1"/>
        <v>0</v>
      </c>
      <c r="I302" s="27" t="str">
        <f t="shared" si="2"/>
        <v/>
      </c>
      <c r="J302" s="1" t="str">
        <f t="array" ref="J302">IFERROR(INDEX('Исходник'!$1:$626,MATCH($A302,'Исходник'!$T:$T,0),MATCH(J$1,'Исходник'!$1:$1,0)))</f>
        <v/>
      </c>
      <c r="K302" s="27" t="str">
        <f t="shared" si="3"/>
        <v/>
      </c>
      <c r="L302" s="1" t="str">
        <f t="array" ref="L302">IFERROR(INDEX('Исходник'!$1:$626,MATCH($A302,'Исходник'!$T:$T,0),MATCH(L$1,'Исходник'!$1:$1,0)))</f>
        <v/>
      </c>
      <c r="M302" s="28">
        <f t="shared" si="4"/>
        <v>0</v>
      </c>
      <c r="N302" s="1" t="str">
        <f t="array" ref="N302">IFERROR(INDEX('Исходник'!$1:$626,MATCH($A302,'Исходник'!$T:$T,0),MATCH(N$1,'Исходник'!$1:$1,0)))</f>
        <v/>
      </c>
      <c r="O302" s="27">
        <f t="shared" si="5"/>
        <v>0</v>
      </c>
      <c r="P302" s="27" t="str">
        <f t="shared" si="6"/>
        <v/>
      </c>
      <c r="Q302" s="1" t="str">
        <f t="array" ref="Q302">IFERROR(INDEX('Исходник'!$1:$626,MATCH($A302,'Исходник'!$T:$T,0),MATCH(Q$1,'Исходник'!$1:$1,0)))</f>
        <v/>
      </c>
      <c r="R302" s="1" t="str">
        <f t="array" ref="R302">IFERROR(INDEX('Исходник'!$1:$626,MATCH($A302,'Исходник'!$T:$T,0),MATCH(R$1,'Исходник'!$1:$1,0)))</f>
        <v/>
      </c>
      <c r="S302" s="27">
        <f t="shared" si="7"/>
        <v>0</v>
      </c>
      <c r="T302" s="27" t="str">
        <f t="shared" si="8"/>
        <v/>
      </c>
      <c r="U302" s="1" t="str">
        <f t="array" ref="U302">IFERROR(INDEX('Исходник'!$1:$626,MATCH($A302,'Исходник'!$T:$T,0),MATCH(U$1,'Исходник'!$1:$1,0)))</f>
        <v/>
      </c>
      <c r="V302" s="27" t="str">
        <f t="shared" si="9"/>
        <v/>
      </c>
      <c r="W302" s="1" t="str">
        <f t="array" ref="W302">IFERROR(INDEX('Исходник'!$1:$626,MATCH($A302,'Исходник'!$T:$T,0),MATCH(W$1,'Исходник'!$1:$1,0)))</f>
        <v/>
      </c>
      <c r="X302" s="28">
        <f t="shared" si="10"/>
        <v>0</v>
      </c>
      <c r="Y302" s="1" t="str">
        <f t="array" ref="Y302">IFERROR(INDEX('Исходник'!$1:$626,MATCH($A302,'Исходник'!$T:$T,0),MATCH(Y$1,'Исходник'!$1:$1,0)))</f>
        <v/>
      </c>
      <c r="Z302" s="27">
        <f t="shared" si="11"/>
        <v>0</v>
      </c>
      <c r="AA302" s="27" t="str">
        <f t="shared" si="12"/>
        <v/>
      </c>
      <c r="AB302" s="1" t="str">
        <f t="array" ref="AB302">IFERROR(INDEX('Исходник'!$1:$626,MATCH($A302,'Исходник'!$T:$T,0),MATCH(AB$1,'Исходник'!$1:$1,0)))</f>
        <v/>
      </c>
      <c r="AC302" s="1" t="str">
        <f t="array" ref="AC302">IFERROR(INDEX('Исходник'!$1:$626,MATCH($A302,'Исходник'!$T:$T,0),MATCH(AC$1,'Исходник'!$1:$1,0)))</f>
        <v/>
      </c>
      <c r="AD302" s="27" t="str">
        <f t="shared" si="13"/>
        <v/>
      </c>
      <c r="AE302" s="1" t="str">
        <f t="array" ref="AE302">IFERROR(INDEX('Исходник'!$1:$626,MATCH($A302,'Исходник'!$T:$T,0),MATCH(AE$1,'Исходник'!$1:$1,0)))</f>
        <v/>
      </c>
      <c r="AF302" s="1" t="str">
        <f t="array" ref="AF302">IFERROR(INDEX('Исходник'!$1:$626,MATCH($A302,'Исходник'!$T:$T,0),MATCH(AF$1,'Исходник'!$1:$1,0)))</f>
        <v/>
      </c>
      <c r="AG302" s="27" t="str">
        <f t="shared" si="14"/>
        <v/>
      </c>
      <c r="AH302" s="1" t="str">
        <f t="array" ref="AH302">IFERROR(INDEX('Исходник'!$1:$626,MATCH($A302,'Исходник'!$T:$T,0),MATCH(AH$1,'Исходник'!$1:$1,0)))</f>
        <v/>
      </c>
      <c r="AI302" s="1" t="str">
        <f t="array" ref="AI302">IFERROR(INDEX('Исходник'!$1:$626,MATCH($A302,'Исходник'!$T:$T,0),MATCH(AI$1,'Исходник'!$1:$1,0)))</f>
        <v/>
      </c>
      <c r="AJ302" s="18">
        <f t="shared" si="15"/>
        <v>0</v>
      </c>
    </row>
    <row r="303" ht="15.75" customHeight="1">
      <c r="A303" s="27"/>
      <c r="B303" s="1" t="str">
        <f t="array" ref="B303">IFERROR(INDEX('Исходник'!$1:$626,MATCH($A303,'Исходник'!$T:$T,0),MATCH(B$1,'Исходник'!$1:$1,0)))</f>
        <v/>
      </c>
      <c r="C303" s="1" t="str">
        <f t="array" ref="C303">IFERROR(INDEX('Исходник'!$1:$626,MATCH($A303,'Исходник'!$T:$T,0),MATCH(C$1,'Исходник'!$1:$1,0)))</f>
        <v/>
      </c>
      <c r="D303" s="1" t="str">
        <f t="array" ref="D303">IFERROR(INDEX('Исходник'!$1:$626,MATCH($A303,'Исходник'!$T:$T,0),MATCH(D$1,'Исходник'!$1:$1,0)))</f>
        <v/>
      </c>
      <c r="E303" s="1" t="str">
        <f t="array" ref="E303">IFERROR(INDEX('Исходник'!$1:$626,MATCH($A303,'Исходник'!$T:$T,0),MATCH(E$1,'Исходник'!$1:$1,0)))</f>
        <v/>
      </c>
      <c r="F303" s="1" t="str">
        <f t="array" ref="F303">IFERROR(INDEX('Исходник'!$1:$626,MATCH($A303,'Исходник'!$T:$T,0),MATCH(F$1,'Исходник'!$1:$1,0)))</f>
        <v/>
      </c>
      <c r="G303" s="1" t="str">
        <f t="array" ref="G303">IFERROR(INDEX('Исходник'!$1:$626,MATCH($A303,'Исходник'!$T:$T,0),MATCH(G$1,'Исходник'!$1:$1,0)))</f>
        <v/>
      </c>
      <c r="H303" s="27">
        <f t="shared" si="1"/>
        <v>0</v>
      </c>
      <c r="I303" s="27" t="str">
        <f t="shared" si="2"/>
        <v/>
      </c>
      <c r="J303" s="1" t="str">
        <f t="array" ref="J303">IFERROR(INDEX('Исходник'!$1:$626,MATCH($A303,'Исходник'!$T:$T,0),MATCH(J$1,'Исходник'!$1:$1,0)))</f>
        <v/>
      </c>
      <c r="K303" s="27" t="str">
        <f t="shared" si="3"/>
        <v/>
      </c>
      <c r="L303" s="1" t="str">
        <f t="array" ref="L303">IFERROR(INDEX('Исходник'!$1:$626,MATCH($A303,'Исходник'!$T:$T,0),MATCH(L$1,'Исходник'!$1:$1,0)))</f>
        <v/>
      </c>
      <c r="M303" s="28">
        <f t="shared" si="4"/>
        <v>0</v>
      </c>
      <c r="N303" s="1" t="str">
        <f t="array" ref="N303">IFERROR(INDEX('Исходник'!$1:$626,MATCH($A303,'Исходник'!$T:$T,0),MATCH(N$1,'Исходник'!$1:$1,0)))</f>
        <v/>
      </c>
      <c r="O303" s="27">
        <f t="shared" si="5"/>
        <v>0</v>
      </c>
      <c r="P303" s="27" t="str">
        <f t="shared" si="6"/>
        <v/>
      </c>
      <c r="Q303" s="1" t="str">
        <f t="array" ref="Q303">IFERROR(INDEX('Исходник'!$1:$626,MATCH($A303,'Исходник'!$T:$T,0),MATCH(Q$1,'Исходник'!$1:$1,0)))</f>
        <v/>
      </c>
      <c r="R303" s="1" t="str">
        <f t="array" ref="R303">IFERROR(INDEX('Исходник'!$1:$626,MATCH($A303,'Исходник'!$T:$T,0),MATCH(R$1,'Исходник'!$1:$1,0)))</f>
        <v/>
      </c>
      <c r="S303" s="27">
        <f t="shared" si="7"/>
        <v>0</v>
      </c>
      <c r="T303" s="27" t="str">
        <f t="shared" si="8"/>
        <v/>
      </c>
      <c r="U303" s="1" t="str">
        <f t="array" ref="U303">IFERROR(INDEX('Исходник'!$1:$626,MATCH($A303,'Исходник'!$T:$T,0),MATCH(U$1,'Исходник'!$1:$1,0)))</f>
        <v/>
      </c>
      <c r="V303" s="27" t="str">
        <f t="shared" si="9"/>
        <v/>
      </c>
      <c r="W303" s="1" t="str">
        <f t="array" ref="W303">IFERROR(INDEX('Исходник'!$1:$626,MATCH($A303,'Исходник'!$T:$T,0),MATCH(W$1,'Исходник'!$1:$1,0)))</f>
        <v/>
      </c>
      <c r="X303" s="28">
        <f t="shared" si="10"/>
        <v>0</v>
      </c>
      <c r="Y303" s="1" t="str">
        <f t="array" ref="Y303">IFERROR(INDEX('Исходник'!$1:$626,MATCH($A303,'Исходник'!$T:$T,0),MATCH(Y$1,'Исходник'!$1:$1,0)))</f>
        <v/>
      </c>
      <c r="Z303" s="27">
        <f t="shared" si="11"/>
        <v>0</v>
      </c>
      <c r="AA303" s="27" t="str">
        <f t="shared" si="12"/>
        <v/>
      </c>
      <c r="AB303" s="1" t="str">
        <f t="array" ref="AB303">IFERROR(INDEX('Исходник'!$1:$626,MATCH($A303,'Исходник'!$T:$T,0),MATCH(AB$1,'Исходник'!$1:$1,0)))</f>
        <v/>
      </c>
      <c r="AC303" s="1" t="str">
        <f t="array" ref="AC303">IFERROR(INDEX('Исходник'!$1:$626,MATCH($A303,'Исходник'!$T:$T,0),MATCH(AC$1,'Исходник'!$1:$1,0)))</f>
        <v/>
      </c>
      <c r="AD303" s="27" t="str">
        <f t="shared" si="13"/>
        <v/>
      </c>
      <c r="AE303" s="1" t="str">
        <f t="array" ref="AE303">IFERROR(INDEX('Исходник'!$1:$626,MATCH($A303,'Исходник'!$T:$T,0),MATCH(AE$1,'Исходник'!$1:$1,0)))</f>
        <v/>
      </c>
      <c r="AF303" s="1" t="str">
        <f t="array" ref="AF303">IFERROR(INDEX('Исходник'!$1:$626,MATCH($A303,'Исходник'!$T:$T,0),MATCH(AF$1,'Исходник'!$1:$1,0)))</f>
        <v/>
      </c>
      <c r="AG303" s="27" t="str">
        <f t="shared" si="14"/>
        <v/>
      </c>
      <c r="AH303" s="1" t="str">
        <f t="array" ref="AH303">IFERROR(INDEX('Исходник'!$1:$626,MATCH($A303,'Исходник'!$T:$T,0),MATCH(AH$1,'Исходник'!$1:$1,0)))</f>
        <v/>
      </c>
      <c r="AI303" s="1" t="str">
        <f t="array" ref="AI303">IFERROR(INDEX('Исходник'!$1:$626,MATCH($A303,'Исходник'!$T:$T,0),MATCH(AI$1,'Исходник'!$1:$1,0)))</f>
        <v/>
      </c>
      <c r="AJ303" s="18">
        <f t="shared" si="15"/>
        <v>0</v>
      </c>
    </row>
    <row r="304" ht="15.75" customHeight="1">
      <c r="A304" s="27"/>
      <c r="B304" s="1" t="str">
        <f t="array" ref="B304">IFERROR(INDEX('Исходник'!$1:$626,MATCH($A304,'Исходник'!$T:$T,0),MATCH(B$1,'Исходник'!$1:$1,0)))</f>
        <v/>
      </c>
      <c r="C304" s="1" t="str">
        <f t="array" ref="C304">IFERROR(INDEX('Исходник'!$1:$626,MATCH($A304,'Исходник'!$T:$T,0),MATCH(C$1,'Исходник'!$1:$1,0)))</f>
        <v/>
      </c>
      <c r="D304" s="1" t="str">
        <f t="array" ref="D304">IFERROR(INDEX('Исходник'!$1:$626,MATCH($A304,'Исходник'!$T:$T,0),MATCH(D$1,'Исходник'!$1:$1,0)))</f>
        <v/>
      </c>
      <c r="E304" s="1" t="str">
        <f t="array" ref="E304">IFERROR(INDEX('Исходник'!$1:$626,MATCH($A304,'Исходник'!$T:$T,0),MATCH(E$1,'Исходник'!$1:$1,0)))</f>
        <v/>
      </c>
      <c r="F304" s="1" t="str">
        <f t="array" ref="F304">IFERROR(INDEX('Исходник'!$1:$626,MATCH($A304,'Исходник'!$T:$T,0),MATCH(F$1,'Исходник'!$1:$1,0)))</f>
        <v/>
      </c>
      <c r="G304" s="1" t="str">
        <f t="array" ref="G304">IFERROR(INDEX('Исходник'!$1:$626,MATCH($A304,'Исходник'!$T:$T,0),MATCH(G$1,'Исходник'!$1:$1,0)))</f>
        <v/>
      </c>
      <c r="H304" s="27">
        <f t="shared" si="1"/>
        <v>0</v>
      </c>
      <c r="I304" s="27" t="str">
        <f t="shared" si="2"/>
        <v/>
      </c>
      <c r="J304" s="1" t="str">
        <f t="array" ref="J304">IFERROR(INDEX('Исходник'!$1:$626,MATCH($A304,'Исходник'!$T:$T,0),MATCH(J$1,'Исходник'!$1:$1,0)))</f>
        <v/>
      </c>
      <c r="K304" s="27" t="str">
        <f t="shared" si="3"/>
        <v/>
      </c>
      <c r="L304" s="1" t="str">
        <f t="array" ref="L304">IFERROR(INDEX('Исходник'!$1:$626,MATCH($A304,'Исходник'!$T:$T,0),MATCH(L$1,'Исходник'!$1:$1,0)))</f>
        <v/>
      </c>
      <c r="M304" s="28">
        <f t="shared" si="4"/>
        <v>0</v>
      </c>
      <c r="N304" s="1" t="str">
        <f t="array" ref="N304">IFERROR(INDEX('Исходник'!$1:$626,MATCH($A304,'Исходник'!$T:$T,0),MATCH(N$1,'Исходник'!$1:$1,0)))</f>
        <v/>
      </c>
      <c r="O304" s="27">
        <f t="shared" si="5"/>
        <v>0</v>
      </c>
      <c r="P304" s="27" t="str">
        <f t="shared" si="6"/>
        <v/>
      </c>
      <c r="Q304" s="1" t="str">
        <f t="array" ref="Q304">IFERROR(INDEX('Исходник'!$1:$626,MATCH($A304,'Исходник'!$T:$T,0),MATCH(Q$1,'Исходник'!$1:$1,0)))</f>
        <v/>
      </c>
      <c r="R304" s="1" t="str">
        <f t="array" ref="R304">IFERROR(INDEX('Исходник'!$1:$626,MATCH($A304,'Исходник'!$T:$T,0),MATCH(R$1,'Исходник'!$1:$1,0)))</f>
        <v/>
      </c>
      <c r="S304" s="27">
        <f t="shared" si="7"/>
        <v>0</v>
      </c>
      <c r="T304" s="27" t="str">
        <f t="shared" si="8"/>
        <v/>
      </c>
      <c r="U304" s="1" t="str">
        <f t="array" ref="U304">IFERROR(INDEX('Исходник'!$1:$626,MATCH($A304,'Исходник'!$T:$T,0),MATCH(U$1,'Исходник'!$1:$1,0)))</f>
        <v/>
      </c>
      <c r="V304" s="27" t="str">
        <f t="shared" si="9"/>
        <v/>
      </c>
      <c r="W304" s="1" t="str">
        <f t="array" ref="W304">IFERROR(INDEX('Исходник'!$1:$626,MATCH($A304,'Исходник'!$T:$T,0),MATCH(W$1,'Исходник'!$1:$1,0)))</f>
        <v/>
      </c>
      <c r="X304" s="28">
        <f t="shared" si="10"/>
        <v>0</v>
      </c>
      <c r="Y304" s="1" t="str">
        <f t="array" ref="Y304">IFERROR(INDEX('Исходник'!$1:$626,MATCH($A304,'Исходник'!$T:$T,0),MATCH(Y$1,'Исходник'!$1:$1,0)))</f>
        <v/>
      </c>
      <c r="Z304" s="27">
        <f t="shared" si="11"/>
        <v>0</v>
      </c>
      <c r="AA304" s="27" t="str">
        <f t="shared" si="12"/>
        <v/>
      </c>
      <c r="AB304" s="1" t="str">
        <f t="array" ref="AB304">IFERROR(INDEX('Исходник'!$1:$626,MATCH($A304,'Исходник'!$T:$T,0),MATCH(AB$1,'Исходник'!$1:$1,0)))</f>
        <v/>
      </c>
      <c r="AC304" s="1" t="str">
        <f t="array" ref="AC304">IFERROR(INDEX('Исходник'!$1:$626,MATCH($A304,'Исходник'!$T:$T,0),MATCH(AC$1,'Исходник'!$1:$1,0)))</f>
        <v/>
      </c>
      <c r="AD304" s="27" t="str">
        <f t="shared" si="13"/>
        <v/>
      </c>
      <c r="AE304" s="1" t="str">
        <f t="array" ref="AE304">IFERROR(INDEX('Исходник'!$1:$626,MATCH($A304,'Исходник'!$T:$T,0),MATCH(AE$1,'Исходник'!$1:$1,0)))</f>
        <v/>
      </c>
      <c r="AF304" s="1" t="str">
        <f t="array" ref="AF304">IFERROR(INDEX('Исходник'!$1:$626,MATCH($A304,'Исходник'!$T:$T,0),MATCH(AF$1,'Исходник'!$1:$1,0)))</f>
        <v/>
      </c>
      <c r="AG304" s="27" t="str">
        <f t="shared" si="14"/>
        <v/>
      </c>
      <c r="AH304" s="1" t="str">
        <f t="array" ref="AH304">IFERROR(INDEX('Исходник'!$1:$626,MATCH($A304,'Исходник'!$T:$T,0),MATCH(AH$1,'Исходник'!$1:$1,0)))</f>
        <v/>
      </c>
      <c r="AI304" s="1" t="str">
        <f t="array" ref="AI304">IFERROR(INDEX('Исходник'!$1:$626,MATCH($A304,'Исходник'!$T:$T,0),MATCH(AI$1,'Исходник'!$1:$1,0)))</f>
        <v/>
      </c>
      <c r="AJ304" s="18">
        <f t="shared" si="15"/>
        <v>0</v>
      </c>
    </row>
    <row r="305" ht="15.75" customHeight="1">
      <c r="A305" s="27"/>
      <c r="B305" s="1" t="str">
        <f t="array" ref="B305">IFERROR(INDEX('Исходник'!$1:$626,MATCH($A305,'Исходник'!$T:$T,0),MATCH(B$1,'Исходник'!$1:$1,0)))</f>
        <v/>
      </c>
      <c r="C305" s="1" t="str">
        <f t="array" ref="C305">IFERROR(INDEX('Исходник'!$1:$626,MATCH($A305,'Исходник'!$T:$T,0),MATCH(C$1,'Исходник'!$1:$1,0)))</f>
        <v/>
      </c>
      <c r="D305" s="1" t="str">
        <f t="array" ref="D305">IFERROR(INDEX('Исходник'!$1:$626,MATCH($A305,'Исходник'!$T:$T,0),MATCH(D$1,'Исходник'!$1:$1,0)))</f>
        <v/>
      </c>
      <c r="E305" s="1" t="str">
        <f t="array" ref="E305">IFERROR(INDEX('Исходник'!$1:$626,MATCH($A305,'Исходник'!$T:$T,0),MATCH(E$1,'Исходник'!$1:$1,0)))</f>
        <v/>
      </c>
      <c r="F305" s="1" t="str">
        <f t="array" ref="F305">IFERROR(INDEX('Исходник'!$1:$626,MATCH($A305,'Исходник'!$T:$T,0),MATCH(F$1,'Исходник'!$1:$1,0)))</f>
        <v/>
      </c>
      <c r="G305" s="1" t="str">
        <f t="array" ref="G305">IFERROR(INDEX('Исходник'!$1:$626,MATCH($A305,'Исходник'!$T:$T,0),MATCH(G$1,'Исходник'!$1:$1,0)))</f>
        <v/>
      </c>
      <c r="H305" s="27">
        <f t="shared" si="1"/>
        <v>0</v>
      </c>
      <c r="I305" s="27" t="str">
        <f t="shared" si="2"/>
        <v/>
      </c>
      <c r="J305" s="1" t="str">
        <f t="array" ref="J305">IFERROR(INDEX('Исходник'!$1:$626,MATCH($A305,'Исходник'!$T:$T,0),MATCH(J$1,'Исходник'!$1:$1,0)))</f>
        <v/>
      </c>
      <c r="K305" s="27" t="str">
        <f t="shared" si="3"/>
        <v/>
      </c>
      <c r="L305" s="1" t="str">
        <f t="array" ref="L305">IFERROR(INDEX('Исходник'!$1:$626,MATCH($A305,'Исходник'!$T:$T,0),MATCH(L$1,'Исходник'!$1:$1,0)))</f>
        <v/>
      </c>
      <c r="M305" s="28">
        <f t="shared" si="4"/>
        <v>0</v>
      </c>
      <c r="N305" s="1" t="str">
        <f t="array" ref="N305">IFERROR(INDEX('Исходник'!$1:$626,MATCH($A305,'Исходник'!$T:$T,0),MATCH(N$1,'Исходник'!$1:$1,0)))</f>
        <v/>
      </c>
      <c r="O305" s="27">
        <f t="shared" si="5"/>
        <v>0</v>
      </c>
      <c r="P305" s="27" t="str">
        <f t="shared" si="6"/>
        <v/>
      </c>
      <c r="Q305" s="1" t="str">
        <f t="array" ref="Q305">IFERROR(INDEX('Исходник'!$1:$626,MATCH($A305,'Исходник'!$T:$T,0),MATCH(Q$1,'Исходник'!$1:$1,0)))</f>
        <v/>
      </c>
      <c r="R305" s="1" t="str">
        <f t="array" ref="R305">IFERROR(INDEX('Исходник'!$1:$626,MATCH($A305,'Исходник'!$T:$T,0),MATCH(R$1,'Исходник'!$1:$1,0)))</f>
        <v/>
      </c>
      <c r="S305" s="27">
        <f t="shared" si="7"/>
        <v>0</v>
      </c>
      <c r="T305" s="27" t="str">
        <f t="shared" si="8"/>
        <v/>
      </c>
      <c r="U305" s="1" t="str">
        <f t="array" ref="U305">IFERROR(INDEX('Исходник'!$1:$626,MATCH($A305,'Исходник'!$T:$T,0),MATCH(U$1,'Исходник'!$1:$1,0)))</f>
        <v/>
      </c>
      <c r="V305" s="27" t="str">
        <f t="shared" si="9"/>
        <v/>
      </c>
      <c r="W305" s="1" t="str">
        <f t="array" ref="W305">IFERROR(INDEX('Исходник'!$1:$626,MATCH($A305,'Исходник'!$T:$T,0),MATCH(W$1,'Исходник'!$1:$1,0)))</f>
        <v/>
      </c>
      <c r="X305" s="28">
        <f t="shared" si="10"/>
        <v>0</v>
      </c>
      <c r="Y305" s="1" t="str">
        <f t="array" ref="Y305">IFERROR(INDEX('Исходник'!$1:$626,MATCH($A305,'Исходник'!$T:$T,0),MATCH(Y$1,'Исходник'!$1:$1,0)))</f>
        <v/>
      </c>
      <c r="Z305" s="27">
        <f t="shared" si="11"/>
        <v>0</v>
      </c>
      <c r="AA305" s="27" t="str">
        <f t="shared" si="12"/>
        <v/>
      </c>
      <c r="AB305" s="1" t="str">
        <f t="array" ref="AB305">IFERROR(INDEX('Исходник'!$1:$626,MATCH($A305,'Исходник'!$T:$T,0),MATCH(AB$1,'Исходник'!$1:$1,0)))</f>
        <v/>
      </c>
      <c r="AC305" s="1" t="str">
        <f t="array" ref="AC305">IFERROR(INDEX('Исходник'!$1:$626,MATCH($A305,'Исходник'!$T:$T,0),MATCH(AC$1,'Исходник'!$1:$1,0)))</f>
        <v/>
      </c>
      <c r="AD305" s="27" t="str">
        <f t="shared" si="13"/>
        <v/>
      </c>
      <c r="AE305" s="1" t="str">
        <f t="array" ref="AE305">IFERROR(INDEX('Исходник'!$1:$626,MATCH($A305,'Исходник'!$T:$T,0),MATCH(AE$1,'Исходник'!$1:$1,0)))</f>
        <v/>
      </c>
      <c r="AF305" s="1" t="str">
        <f t="array" ref="AF305">IFERROR(INDEX('Исходник'!$1:$626,MATCH($A305,'Исходник'!$T:$T,0),MATCH(AF$1,'Исходник'!$1:$1,0)))</f>
        <v/>
      </c>
      <c r="AG305" s="27" t="str">
        <f t="shared" si="14"/>
        <v/>
      </c>
      <c r="AH305" s="1" t="str">
        <f t="array" ref="AH305">IFERROR(INDEX('Исходник'!$1:$626,MATCH($A305,'Исходник'!$T:$T,0),MATCH(AH$1,'Исходник'!$1:$1,0)))</f>
        <v/>
      </c>
      <c r="AI305" s="1" t="str">
        <f t="array" ref="AI305">IFERROR(INDEX('Исходник'!$1:$626,MATCH($A305,'Исходник'!$T:$T,0),MATCH(AI$1,'Исходник'!$1:$1,0)))</f>
        <v/>
      </c>
      <c r="AJ305" s="18">
        <f t="shared" si="15"/>
        <v>0</v>
      </c>
    </row>
    <row r="306" ht="15.75" customHeight="1">
      <c r="A306" s="27"/>
      <c r="B306" s="1" t="str">
        <f t="array" ref="B306">IFERROR(INDEX('Исходник'!$1:$626,MATCH($A306,'Исходник'!$T:$T,0),MATCH(B$1,'Исходник'!$1:$1,0)))</f>
        <v/>
      </c>
      <c r="C306" s="1" t="str">
        <f t="array" ref="C306">IFERROR(INDEX('Исходник'!$1:$626,MATCH($A306,'Исходник'!$T:$T,0),MATCH(C$1,'Исходник'!$1:$1,0)))</f>
        <v/>
      </c>
      <c r="D306" s="1" t="str">
        <f t="array" ref="D306">IFERROR(INDEX('Исходник'!$1:$626,MATCH($A306,'Исходник'!$T:$T,0),MATCH(D$1,'Исходник'!$1:$1,0)))</f>
        <v/>
      </c>
      <c r="E306" s="1" t="str">
        <f t="array" ref="E306">IFERROR(INDEX('Исходник'!$1:$626,MATCH($A306,'Исходник'!$T:$T,0),MATCH(E$1,'Исходник'!$1:$1,0)))</f>
        <v/>
      </c>
      <c r="F306" s="1" t="str">
        <f t="array" ref="F306">IFERROR(INDEX('Исходник'!$1:$626,MATCH($A306,'Исходник'!$T:$T,0),MATCH(F$1,'Исходник'!$1:$1,0)))</f>
        <v/>
      </c>
      <c r="G306" s="1" t="str">
        <f t="array" ref="G306">IFERROR(INDEX('Исходник'!$1:$626,MATCH($A306,'Исходник'!$T:$T,0),MATCH(G$1,'Исходник'!$1:$1,0)))</f>
        <v/>
      </c>
      <c r="H306" s="27">
        <f t="shared" si="1"/>
        <v>0</v>
      </c>
      <c r="I306" s="27" t="str">
        <f t="shared" si="2"/>
        <v/>
      </c>
      <c r="J306" s="1" t="str">
        <f t="array" ref="J306">IFERROR(INDEX('Исходник'!$1:$626,MATCH($A306,'Исходник'!$T:$T,0),MATCH(J$1,'Исходник'!$1:$1,0)))</f>
        <v/>
      </c>
      <c r="K306" s="27" t="str">
        <f t="shared" si="3"/>
        <v/>
      </c>
      <c r="L306" s="1" t="str">
        <f t="array" ref="L306">IFERROR(INDEX('Исходник'!$1:$626,MATCH($A306,'Исходник'!$T:$T,0),MATCH(L$1,'Исходник'!$1:$1,0)))</f>
        <v/>
      </c>
      <c r="M306" s="28">
        <f t="shared" si="4"/>
        <v>0</v>
      </c>
      <c r="N306" s="1" t="str">
        <f t="array" ref="N306">IFERROR(INDEX('Исходник'!$1:$626,MATCH($A306,'Исходник'!$T:$T,0),MATCH(N$1,'Исходник'!$1:$1,0)))</f>
        <v/>
      </c>
      <c r="O306" s="27">
        <f t="shared" si="5"/>
        <v>0</v>
      </c>
      <c r="P306" s="27" t="str">
        <f t="shared" si="6"/>
        <v/>
      </c>
      <c r="Q306" s="1" t="str">
        <f t="array" ref="Q306">IFERROR(INDEX('Исходник'!$1:$626,MATCH($A306,'Исходник'!$T:$T,0),MATCH(Q$1,'Исходник'!$1:$1,0)))</f>
        <v/>
      </c>
      <c r="R306" s="1" t="str">
        <f t="array" ref="R306">IFERROR(INDEX('Исходник'!$1:$626,MATCH($A306,'Исходник'!$T:$T,0),MATCH(R$1,'Исходник'!$1:$1,0)))</f>
        <v/>
      </c>
      <c r="S306" s="27">
        <f t="shared" si="7"/>
        <v>0</v>
      </c>
      <c r="T306" s="27" t="str">
        <f t="shared" si="8"/>
        <v/>
      </c>
      <c r="U306" s="1" t="str">
        <f t="array" ref="U306">IFERROR(INDEX('Исходник'!$1:$626,MATCH($A306,'Исходник'!$T:$T,0),MATCH(U$1,'Исходник'!$1:$1,0)))</f>
        <v/>
      </c>
      <c r="V306" s="27" t="str">
        <f t="shared" si="9"/>
        <v/>
      </c>
      <c r="W306" s="1" t="str">
        <f t="array" ref="W306">IFERROR(INDEX('Исходник'!$1:$626,MATCH($A306,'Исходник'!$T:$T,0),MATCH(W$1,'Исходник'!$1:$1,0)))</f>
        <v/>
      </c>
      <c r="X306" s="28">
        <f t="shared" si="10"/>
        <v>0</v>
      </c>
      <c r="Y306" s="1" t="str">
        <f t="array" ref="Y306">IFERROR(INDEX('Исходник'!$1:$626,MATCH($A306,'Исходник'!$T:$T,0),MATCH(Y$1,'Исходник'!$1:$1,0)))</f>
        <v/>
      </c>
      <c r="Z306" s="27">
        <f t="shared" si="11"/>
        <v>0</v>
      </c>
      <c r="AA306" s="27" t="str">
        <f t="shared" si="12"/>
        <v/>
      </c>
      <c r="AB306" s="1" t="str">
        <f t="array" ref="AB306">IFERROR(INDEX('Исходник'!$1:$626,MATCH($A306,'Исходник'!$T:$T,0),MATCH(AB$1,'Исходник'!$1:$1,0)))</f>
        <v/>
      </c>
      <c r="AC306" s="1" t="str">
        <f t="array" ref="AC306">IFERROR(INDEX('Исходник'!$1:$626,MATCH($A306,'Исходник'!$T:$T,0),MATCH(AC$1,'Исходник'!$1:$1,0)))</f>
        <v/>
      </c>
      <c r="AD306" s="27" t="str">
        <f t="shared" si="13"/>
        <v/>
      </c>
      <c r="AE306" s="1" t="str">
        <f t="array" ref="AE306">IFERROR(INDEX('Исходник'!$1:$626,MATCH($A306,'Исходник'!$T:$T,0),MATCH(AE$1,'Исходник'!$1:$1,0)))</f>
        <v/>
      </c>
      <c r="AF306" s="1" t="str">
        <f t="array" ref="AF306">IFERROR(INDEX('Исходник'!$1:$626,MATCH($A306,'Исходник'!$T:$T,0),MATCH(AF$1,'Исходник'!$1:$1,0)))</f>
        <v/>
      </c>
      <c r="AG306" s="27" t="str">
        <f t="shared" si="14"/>
        <v/>
      </c>
      <c r="AH306" s="1" t="str">
        <f t="array" ref="AH306">IFERROR(INDEX('Исходник'!$1:$626,MATCH($A306,'Исходник'!$T:$T,0),MATCH(AH$1,'Исходник'!$1:$1,0)))</f>
        <v/>
      </c>
      <c r="AI306" s="1" t="str">
        <f t="array" ref="AI306">IFERROR(INDEX('Исходник'!$1:$626,MATCH($A306,'Исходник'!$T:$T,0),MATCH(AI$1,'Исходник'!$1:$1,0)))</f>
        <v/>
      </c>
      <c r="AJ306" s="18">
        <f t="shared" si="15"/>
        <v>0</v>
      </c>
    </row>
    <row r="307" ht="15.75" customHeight="1">
      <c r="A307" s="27"/>
      <c r="B307" s="1" t="str">
        <f t="array" ref="B307">IFERROR(INDEX('Исходник'!$1:$626,MATCH($A307,'Исходник'!$T:$T,0),MATCH(B$1,'Исходник'!$1:$1,0)))</f>
        <v/>
      </c>
      <c r="C307" s="1" t="str">
        <f t="array" ref="C307">IFERROR(INDEX('Исходник'!$1:$626,MATCH($A307,'Исходник'!$T:$T,0),MATCH(C$1,'Исходник'!$1:$1,0)))</f>
        <v/>
      </c>
      <c r="D307" s="1" t="str">
        <f t="array" ref="D307">IFERROR(INDEX('Исходник'!$1:$626,MATCH($A307,'Исходник'!$T:$T,0),MATCH(D$1,'Исходник'!$1:$1,0)))</f>
        <v/>
      </c>
      <c r="E307" s="1" t="str">
        <f t="array" ref="E307">IFERROR(INDEX('Исходник'!$1:$626,MATCH($A307,'Исходник'!$T:$T,0),MATCH(E$1,'Исходник'!$1:$1,0)))</f>
        <v/>
      </c>
      <c r="F307" s="1" t="str">
        <f t="array" ref="F307">IFERROR(INDEX('Исходник'!$1:$626,MATCH($A307,'Исходник'!$T:$T,0),MATCH(F$1,'Исходник'!$1:$1,0)))</f>
        <v/>
      </c>
      <c r="G307" s="1" t="str">
        <f t="array" ref="G307">IFERROR(INDEX('Исходник'!$1:$626,MATCH($A307,'Исходник'!$T:$T,0),MATCH(G$1,'Исходник'!$1:$1,0)))</f>
        <v/>
      </c>
      <c r="H307" s="27">
        <f t="shared" si="1"/>
        <v>0</v>
      </c>
      <c r="I307" s="27" t="str">
        <f t="shared" si="2"/>
        <v/>
      </c>
      <c r="J307" s="1" t="str">
        <f t="array" ref="J307">IFERROR(INDEX('Исходник'!$1:$626,MATCH($A307,'Исходник'!$T:$T,0),MATCH(J$1,'Исходник'!$1:$1,0)))</f>
        <v/>
      </c>
      <c r="K307" s="27" t="str">
        <f t="shared" si="3"/>
        <v/>
      </c>
      <c r="L307" s="1" t="str">
        <f t="array" ref="L307">IFERROR(INDEX('Исходник'!$1:$626,MATCH($A307,'Исходник'!$T:$T,0),MATCH(L$1,'Исходник'!$1:$1,0)))</f>
        <v/>
      </c>
      <c r="M307" s="28">
        <f t="shared" si="4"/>
        <v>0</v>
      </c>
      <c r="N307" s="1" t="str">
        <f t="array" ref="N307">IFERROR(INDEX('Исходник'!$1:$626,MATCH($A307,'Исходник'!$T:$T,0),MATCH(N$1,'Исходник'!$1:$1,0)))</f>
        <v/>
      </c>
      <c r="O307" s="27">
        <f t="shared" si="5"/>
        <v>0</v>
      </c>
      <c r="P307" s="27" t="str">
        <f t="shared" si="6"/>
        <v/>
      </c>
      <c r="Q307" s="1" t="str">
        <f t="array" ref="Q307">IFERROR(INDEX('Исходник'!$1:$626,MATCH($A307,'Исходник'!$T:$T,0),MATCH(Q$1,'Исходник'!$1:$1,0)))</f>
        <v/>
      </c>
      <c r="R307" s="1" t="str">
        <f t="array" ref="R307">IFERROR(INDEX('Исходник'!$1:$626,MATCH($A307,'Исходник'!$T:$T,0),MATCH(R$1,'Исходник'!$1:$1,0)))</f>
        <v/>
      </c>
      <c r="S307" s="27">
        <f t="shared" si="7"/>
        <v>0</v>
      </c>
      <c r="T307" s="27" t="str">
        <f t="shared" si="8"/>
        <v/>
      </c>
      <c r="U307" s="1" t="str">
        <f t="array" ref="U307">IFERROR(INDEX('Исходник'!$1:$626,MATCH($A307,'Исходник'!$T:$T,0),MATCH(U$1,'Исходник'!$1:$1,0)))</f>
        <v/>
      </c>
      <c r="V307" s="27" t="str">
        <f t="shared" si="9"/>
        <v/>
      </c>
      <c r="W307" s="1" t="str">
        <f t="array" ref="W307">IFERROR(INDEX('Исходник'!$1:$626,MATCH($A307,'Исходник'!$T:$T,0),MATCH(W$1,'Исходник'!$1:$1,0)))</f>
        <v/>
      </c>
      <c r="X307" s="28">
        <f t="shared" si="10"/>
        <v>0</v>
      </c>
      <c r="Y307" s="1" t="str">
        <f t="array" ref="Y307">IFERROR(INDEX('Исходник'!$1:$626,MATCH($A307,'Исходник'!$T:$T,0),MATCH(Y$1,'Исходник'!$1:$1,0)))</f>
        <v/>
      </c>
      <c r="Z307" s="27">
        <f t="shared" si="11"/>
        <v>0</v>
      </c>
      <c r="AA307" s="27" t="str">
        <f t="shared" si="12"/>
        <v/>
      </c>
      <c r="AB307" s="1" t="str">
        <f t="array" ref="AB307">IFERROR(INDEX('Исходник'!$1:$626,MATCH($A307,'Исходник'!$T:$T,0),MATCH(AB$1,'Исходник'!$1:$1,0)))</f>
        <v/>
      </c>
      <c r="AC307" s="1" t="str">
        <f t="array" ref="AC307">IFERROR(INDEX('Исходник'!$1:$626,MATCH($A307,'Исходник'!$T:$T,0),MATCH(AC$1,'Исходник'!$1:$1,0)))</f>
        <v/>
      </c>
      <c r="AD307" s="27" t="str">
        <f t="shared" si="13"/>
        <v/>
      </c>
      <c r="AE307" s="1" t="str">
        <f t="array" ref="AE307">IFERROR(INDEX('Исходник'!$1:$626,MATCH($A307,'Исходник'!$T:$T,0),MATCH(AE$1,'Исходник'!$1:$1,0)))</f>
        <v/>
      </c>
      <c r="AF307" s="1" t="str">
        <f t="array" ref="AF307">IFERROR(INDEX('Исходник'!$1:$626,MATCH($A307,'Исходник'!$T:$T,0),MATCH(AF$1,'Исходник'!$1:$1,0)))</f>
        <v/>
      </c>
      <c r="AG307" s="27" t="str">
        <f t="shared" si="14"/>
        <v/>
      </c>
      <c r="AH307" s="1" t="str">
        <f t="array" ref="AH307">IFERROR(INDEX('Исходник'!$1:$626,MATCH($A307,'Исходник'!$T:$T,0),MATCH(AH$1,'Исходник'!$1:$1,0)))</f>
        <v/>
      </c>
      <c r="AI307" s="1" t="str">
        <f t="array" ref="AI307">IFERROR(INDEX('Исходник'!$1:$626,MATCH($A307,'Исходник'!$T:$T,0),MATCH(AI$1,'Исходник'!$1:$1,0)))</f>
        <v/>
      </c>
      <c r="AJ307" s="18">
        <f t="shared" si="15"/>
        <v>0</v>
      </c>
    </row>
    <row r="308" ht="15.75" customHeight="1">
      <c r="A308" s="27"/>
      <c r="B308" s="1" t="str">
        <f t="array" ref="B308">IFERROR(INDEX('Исходник'!$1:$626,MATCH($A308,'Исходник'!$T:$T,0),MATCH(B$1,'Исходник'!$1:$1,0)))</f>
        <v/>
      </c>
      <c r="C308" s="1" t="str">
        <f t="array" ref="C308">IFERROR(INDEX('Исходник'!$1:$626,MATCH($A308,'Исходник'!$T:$T,0),MATCH(C$1,'Исходник'!$1:$1,0)))</f>
        <v/>
      </c>
      <c r="D308" s="1" t="str">
        <f t="array" ref="D308">IFERROR(INDEX('Исходник'!$1:$626,MATCH($A308,'Исходник'!$T:$T,0),MATCH(D$1,'Исходник'!$1:$1,0)))</f>
        <v/>
      </c>
      <c r="E308" s="1" t="str">
        <f t="array" ref="E308">IFERROR(INDEX('Исходник'!$1:$626,MATCH($A308,'Исходник'!$T:$T,0),MATCH(E$1,'Исходник'!$1:$1,0)))</f>
        <v/>
      </c>
      <c r="F308" s="1" t="str">
        <f t="array" ref="F308">IFERROR(INDEX('Исходник'!$1:$626,MATCH($A308,'Исходник'!$T:$T,0),MATCH(F$1,'Исходник'!$1:$1,0)))</f>
        <v/>
      </c>
      <c r="G308" s="1" t="str">
        <f t="array" ref="G308">IFERROR(INDEX('Исходник'!$1:$626,MATCH($A308,'Исходник'!$T:$T,0),MATCH(G$1,'Исходник'!$1:$1,0)))</f>
        <v/>
      </c>
      <c r="H308" s="27">
        <f t="shared" si="1"/>
        <v>0</v>
      </c>
      <c r="I308" s="27" t="str">
        <f t="shared" si="2"/>
        <v/>
      </c>
      <c r="J308" s="1" t="str">
        <f t="array" ref="J308">IFERROR(INDEX('Исходник'!$1:$626,MATCH($A308,'Исходник'!$T:$T,0),MATCH(J$1,'Исходник'!$1:$1,0)))</f>
        <v/>
      </c>
      <c r="K308" s="27" t="str">
        <f t="shared" si="3"/>
        <v/>
      </c>
      <c r="L308" s="1" t="str">
        <f t="array" ref="L308">IFERROR(INDEX('Исходник'!$1:$626,MATCH($A308,'Исходник'!$T:$T,0),MATCH(L$1,'Исходник'!$1:$1,0)))</f>
        <v/>
      </c>
      <c r="M308" s="28">
        <f t="shared" si="4"/>
        <v>0</v>
      </c>
      <c r="N308" s="1" t="str">
        <f t="array" ref="N308">IFERROR(INDEX('Исходник'!$1:$626,MATCH($A308,'Исходник'!$T:$T,0),MATCH(N$1,'Исходник'!$1:$1,0)))</f>
        <v/>
      </c>
      <c r="O308" s="27">
        <f t="shared" si="5"/>
        <v>0</v>
      </c>
      <c r="P308" s="27" t="str">
        <f t="shared" si="6"/>
        <v/>
      </c>
      <c r="Q308" s="1" t="str">
        <f t="array" ref="Q308">IFERROR(INDEX('Исходник'!$1:$626,MATCH($A308,'Исходник'!$T:$T,0),MATCH(Q$1,'Исходник'!$1:$1,0)))</f>
        <v/>
      </c>
      <c r="R308" s="1" t="str">
        <f t="array" ref="R308">IFERROR(INDEX('Исходник'!$1:$626,MATCH($A308,'Исходник'!$T:$T,0),MATCH(R$1,'Исходник'!$1:$1,0)))</f>
        <v/>
      </c>
      <c r="S308" s="27">
        <f t="shared" si="7"/>
        <v>0</v>
      </c>
      <c r="T308" s="27" t="str">
        <f t="shared" si="8"/>
        <v/>
      </c>
      <c r="U308" s="1" t="str">
        <f t="array" ref="U308">IFERROR(INDEX('Исходник'!$1:$626,MATCH($A308,'Исходник'!$T:$T,0),MATCH(U$1,'Исходник'!$1:$1,0)))</f>
        <v/>
      </c>
      <c r="V308" s="27" t="str">
        <f t="shared" si="9"/>
        <v/>
      </c>
      <c r="W308" s="1" t="str">
        <f t="array" ref="W308">IFERROR(INDEX('Исходник'!$1:$626,MATCH($A308,'Исходник'!$T:$T,0),MATCH(W$1,'Исходник'!$1:$1,0)))</f>
        <v/>
      </c>
      <c r="X308" s="28">
        <f t="shared" si="10"/>
        <v>0</v>
      </c>
      <c r="Y308" s="1" t="str">
        <f t="array" ref="Y308">IFERROR(INDEX('Исходник'!$1:$626,MATCH($A308,'Исходник'!$T:$T,0),MATCH(Y$1,'Исходник'!$1:$1,0)))</f>
        <v/>
      </c>
      <c r="Z308" s="27">
        <f t="shared" si="11"/>
        <v>0</v>
      </c>
      <c r="AA308" s="27" t="str">
        <f t="shared" si="12"/>
        <v/>
      </c>
      <c r="AB308" s="1" t="str">
        <f t="array" ref="AB308">IFERROR(INDEX('Исходник'!$1:$626,MATCH($A308,'Исходник'!$T:$T,0),MATCH(AB$1,'Исходник'!$1:$1,0)))</f>
        <v/>
      </c>
      <c r="AC308" s="1" t="str">
        <f t="array" ref="AC308">IFERROR(INDEX('Исходник'!$1:$626,MATCH($A308,'Исходник'!$T:$T,0),MATCH(AC$1,'Исходник'!$1:$1,0)))</f>
        <v/>
      </c>
      <c r="AD308" s="27" t="str">
        <f t="shared" si="13"/>
        <v/>
      </c>
      <c r="AE308" s="1" t="str">
        <f t="array" ref="AE308">IFERROR(INDEX('Исходник'!$1:$626,MATCH($A308,'Исходник'!$T:$T,0),MATCH(AE$1,'Исходник'!$1:$1,0)))</f>
        <v/>
      </c>
      <c r="AF308" s="1" t="str">
        <f t="array" ref="AF308">IFERROR(INDEX('Исходник'!$1:$626,MATCH($A308,'Исходник'!$T:$T,0),MATCH(AF$1,'Исходник'!$1:$1,0)))</f>
        <v/>
      </c>
      <c r="AG308" s="27" t="str">
        <f t="shared" si="14"/>
        <v/>
      </c>
      <c r="AH308" s="1" t="str">
        <f t="array" ref="AH308">IFERROR(INDEX('Исходник'!$1:$626,MATCH($A308,'Исходник'!$T:$T,0),MATCH(AH$1,'Исходник'!$1:$1,0)))</f>
        <v/>
      </c>
      <c r="AI308" s="1" t="str">
        <f t="array" ref="AI308">IFERROR(INDEX('Исходник'!$1:$626,MATCH($A308,'Исходник'!$T:$T,0),MATCH(AI$1,'Исходник'!$1:$1,0)))</f>
        <v/>
      </c>
      <c r="AJ308" s="18">
        <f t="shared" si="15"/>
        <v>0</v>
      </c>
    </row>
    <row r="309" ht="15.75" customHeight="1">
      <c r="A309" s="27"/>
      <c r="B309" s="1" t="str">
        <f t="array" ref="B309">IFERROR(INDEX('Исходник'!$1:$626,MATCH($A309,'Исходник'!$T:$T,0),MATCH(B$1,'Исходник'!$1:$1,0)))</f>
        <v/>
      </c>
      <c r="C309" s="1" t="str">
        <f t="array" ref="C309">IFERROR(INDEX('Исходник'!$1:$626,MATCH($A309,'Исходник'!$T:$T,0),MATCH(C$1,'Исходник'!$1:$1,0)))</f>
        <v/>
      </c>
      <c r="D309" s="1" t="str">
        <f t="array" ref="D309">IFERROR(INDEX('Исходник'!$1:$626,MATCH($A309,'Исходник'!$T:$T,0),MATCH(D$1,'Исходник'!$1:$1,0)))</f>
        <v/>
      </c>
      <c r="E309" s="1" t="str">
        <f t="array" ref="E309">IFERROR(INDEX('Исходник'!$1:$626,MATCH($A309,'Исходник'!$T:$T,0),MATCH(E$1,'Исходник'!$1:$1,0)))</f>
        <v/>
      </c>
      <c r="F309" s="1" t="str">
        <f t="array" ref="F309">IFERROR(INDEX('Исходник'!$1:$626,MATCH($A309,'Исходник'!$T:$T,0),MATCH(F$1,'Исходник'!$1:$1,0)))</f>
        <v/>
      </c>
      <c r="G309" s="1" t="str">
        <f t="array" ref="G309">IFERROR(INDEX('Исходник'!$1:$626,MATCH($A309,'Исходник'!$T:$T,0),MATCH(G$1,'Исходник'!$1:$1,0)))</f>
        <v/>
      </c>
      <c r="H309" s="27">
        <f t="shared" si="1"/>
        <v>0</v>
      </c>
      <c r="I309" s="27" t="str">
        <f t="shared" si="2"/>
        <v/>
      </c>
      <c r="J309" s="1" t="str">
        <f t="array" ref="J309">IFERROR(INDEX('Исходник'!$1:$626,MATCH($A309,'Исходник'!$T:$T,0),MATCH(J$1,'Исходник'!$1:$1,0)))</f>
        <v/>
      </c>
      <c r="K309" s="27" t="str">
        <f t="shared" si="3"/>
        <v/>
      </c>
      <c r="L309" s="1" t="str">
        <f t="array" ref="L309">IFERROR(INDEX('Исходник'!$1:$626,MATCH($A309,'Исходник'!$T:$T,0),MATCH(L$1,'Исходник'!$1:$1,0)))</f>
        <v/>
      </c>
      <c r="M309" s="28">
        <f t="shared" si="4"/>
        <v>0</v>
      </c>
      <c r="N309" s="1" t="str">
        <f t="array" ref="N309">IFERROR(INDEX('Исходник'!$1:$626,MATCH($A309,'Исходник'!$T:$T,0),MATCH(N$1,'Исходник'!$1:$1,0)))</f>
        <v/>
      </c>
      <c r="O309" s="27">
        <f t="shared" si="5"/>
        <v>0</v>
      </c>
      <c r="P309" s="27" t="str">
        <f t="shared" si="6"/>
        <v/>
      </c>
      <c r="Q309" s="1" t="str">
        <f t="array" ref="Q309">IFERROR(INDEX('Исходник'!$1:$626,MATCH($A309,'Исходник'!$T:$T,0),MATCH(Q$1,'Исходник'!$1:$1,0)))</f>
        <v/>
      </c>
      <c r="R309" s="1" t="str">
        <f t="array" ref="R309">IFERROR(INDEX('Исходник'!$1:$626,MATCH($A309,'Исходник'!$T:$T,0),MATCH(R$1,'Исходник'!$1:$1,0)))</f>
        <v/>
      </c>
      <c r="S309" s="27">
        <f t="shared" si="7"/>
        <v>0</v>
      </c>
      <c r="T309" s="27" t="str">
        <f t="shared" si="8"/>
        <v/>
      </c>
      <c r="U309" s="1" t="str">
        <f t="array" ref="U309">IFERROR(INDEX('Исходник'!$1:$626,MATCH($A309,'Исходник'!$T:$T,0),MATCH(U$1,'Исходник'!$1:$1,0)))</f>
        <v/>
      </c>
      <c r="V309" s="27" t="str">
        <f t="shared" si="9"/>
        <v/>
      </c>
      <c r="W309" s="1" t="str">
        <f t="array" ref="W309">IFERROR(INDEX('Исходник'!$1:$626,MATCH($A309,'Исходник'!$T:$T,0),MATCH(W$1,'Исходник'!$1:$1,0)))</f>
        <v/>
      </c>
      <c r="X309" s="28">
        <f t="shared" si="10"/>
        <v>0</v>
      </c>
      <c r="Y309" s="1" t="str">
        <f t="array" ref="Y309">IFERROR(INDEX('Исходник'!$1:$626,MATCH($A309,'Исходник'!$T:$T,0),MATCH(Y$1,'Исходник'!$1:$1,0)))</f>
        <v/>
      </c>
      <c r="Z309" s="27">
        <f t="shared" si="11"/>
        <v>0</v>
      </c>
      <c r="AA309" s="27" t="str">
        <f t="shared" si="12"/>
        <v/>
      </c>
      <c r="AB309" s="1" t="str">
        <f t="array" ref="AB309">IFERROR(INDEX('Исходник'!$1:$626,MATCH($A309,'Исходник'!$T:$T,0),MATCH(AB$1,'Исходник'!$1:$1,0)))</f>
        <v/>
      </c>
      <c r="AC309" s="1" t="str">
        <f t="array" ref="AC309">IFERROR(INDEX('Исходник'!$1:$626,MATCH($A309,'Исходник'!$T:$T,0),MATCH(AC$1,'Исходник'!$1:$1,0)))</f>
        <v/>
      </c>
      <c r="AD309" s="27" t="str">
        <f t="shared" si="13"/>
        <v/>
      </c>
      <c r="AE309" s="1" t="str">
        <f t="array" ref="AE309">IFERROR(INDEX('Исходник'!$1:$626,MATCH($A309,'Исходник'!$T:$T,0),MATCH(AE$1,'Исходник'!$1:$1,0)))</f>
        <v/>
      </c>
      <c r="AF309" s="1" t="str">
        <f t="array" ref="AF309">IFERROR(INDEX('Исходник'!$1:$626,MATCH($A309,'Исходник'!$T:$T,0),MATCH(AF$1,'Исходник'!$1:$1,0)))</f>
        <v/>
      </c>
      <c r="AG309" s="27" t="str">
        <f t="shared" si="14"/>
        <v/>
      </c>
      <c r="AH309" s="1" t="str">
        <f t="array" ref="AH309">IFERROR(INDEX('Исходник'!$1:$626,MATCH($A309,'Исходник'!$T:$T,0),MATCH(AH$1,'Исходник'!$1:$1,0)))</f>
        <v/>
      </c>
      <c r="AI309" s="1" t="str">
        <f t="array" ref="AI309">IFERROR(INDEX('Исходник'!$1:$626,MATCH($A309,'Исходник'!$T:$T,0),MATCH(AI$1,'Исходник'!$1:$1,0)))</f>
        <v/>
      </c>
      <c r="AJ309" s="18">
        <f t="shared" si="15"/>
        <v>0</v>
      </c>
    </row>
    <row r="310" ht="15.75" customHeight="1">
      <c r="A310" s="27"/>
      <c r="B310" s="1" t="str">
        <f t="array" ref="B310">IFERROR(INDEX('Исходник'!$1:$626,MATCH($A310,'Исходник'!$T:$T,0),MATCH(B$1,'Исходник'!$1:$1,0)))</f>
        <v/>
      </c>
      <c r="C310" s="1" t="str">
        <f t="array" ref="C310">IFERROR(INDEX('Исходник'!$1:$626,MATCH($A310,'Исходник'!$T:$T,0),MATCH(C$1,'Исходник'!$1:$1,0)))</f>
        <v/>
      </c>
      <c r="D310" s="1" t="str">
        <f t="array" ref="D310">IFERROR(INDEX('Исходник'!$1:$626,MATCH($A310,'Исходник'!$T:$T,0),MATCH(D$1,'Исходник'!$1:$1,0)))</f>
        <v/>
      </c>
      <c r="E310" s="1" t="str">
        <f t="array" ref="E310">IFERROR(INDEX('Исходник'!$1:$626,MATCH($A310,'Исходник'!$T:$T,0),MATCH(E$1,'Исходник'!$1:$1,0)))</f>
        <v/>
      </c>
      <c r="F310" s="1" t="str">
        <f t="array" ref="F310">IFERROR(INDEX('Исходник'!$1:$626,MATCH($A310,'Исходник'!$T:$T,0),MATCH(F$1,'Исходник'!$1:$1,0)))</f>
        <v/>
      </c>
      <c r="G310" s="1" t="str">
        <f t="array" ref="G310">IFERROR(INDEX('Исходник'!$1:$626,MATCH($A310,'Исходник'!$T:$T,0),MATCH(G$1,'Исходник'!$1:$1,0)))</f>
        <v/>
      </c>
      <c r="H310" s="27">
        <f t="shared" si="1"/>
        <v>0</v>
      </c>
      <c r="I310" s="27" t="str">
        <f t="shared" si="2"/>
        <v/>
      </c>
      <c r="J310" s="1" t="str">
        <f t="array" ref="J310">IFERROR(INDEX('Исходник'!$1:$626,MATCH($A310,'Исходник'!$T:$T,0),MATCH(J$1,'Исходник'!$1:$1,0)))</f>
        <v/>
      </c>
      <c r="K310" s="27" t="str">
        <f t="shared" si="3"/>
        <v/>
      </c>
      <c r="L310" s="1" t="str">
        <f t="array" ref="L310">IFERROR(INDEX('Исходник'!$1:$626,MATCH($A310,'Исходник'!$T:$T,0),MATCH(L$1,'Исходник'!$1:$1,0)))</f>
        <v/>
      </c>
      <c r="M310" s="28">
        <f t="shared" si="4"/>
        <v>0</v>
      </c>
      <c r="N310" s="1" t="str">
        <f t="array" ref="N310">IFERROR(INDEX('Исходник'!$1:$626,MATCH($A310,'Исходник'!$T:$T,0),MATCH(N$1,'Исходник'!$1:$1,0)))</f>
        <v/>
      </c>
      <c r="O310" s="27">
        <f t="shared" si="5"/>
        <v>0</v>
      </c>
      <c r="P310" s="27" t="str">
        <f t="shared" si="6"/>
        <v/>
      </c>
      <c r="Q310" s="1" t="str">
        <f t="array" ref="Q310">IFERROR(INDEX('Исходник'!$1:$626,MATCH($A310,'Исходник'!$T:$T,0),MATCH(Q$1,'Исходник'!$1:$1,0)))</f>
        <v/>
      </c>
      <c r="R310" s="1" t="str">
        <f t="array" ref="R310">IFERROR(INDEX('Исходник'!$1:$626,MATCH($A310,'Исходник'!$T:$T,0),MATCH(R$1,'Исходник'!$1:$1,0)))</f>
        <v/>
      </c>
      <c r="S310" s="27">
        <f t="shared" si="7"/>
        <v>0</v>
      </c>
      <c r="T310" s="27" t="str">
        <f t="shared" si="8"/>
        <v/>
      </c>
      <c r="U310" s="1" t="str">
        <f t="array" ref="U310">IFERROR(INDEX('Исходник'!$1:$626,MATCH($A310,'Исходник'!$T:$T,0),MATCH(U$1,'Исходник'!$1:$1,0)))</f>
        <v/>
      </c>
      <c r="V310" s="27" t="str">
        <f t="shared" si="9"/>
        <v/>
      </c>
      <c r="W310" s="1" t="str">
        <f t="array" ref="W310">IFERROR(INDEX('Исходник'!$1:$626,MATCH($A310,'Исходник'!$T:$T,0),MATCH(W$1,'Исходник'!$1:$1,0)))</f>
        <v/>
      </c>
      <c r="X310" s="28">
        <f t="shared" si="10"/>
        <v>0</v>
      </c>
      <c r="Y310" s="1" t="str">
        <f t="array" ref="Y310">IFERROR(INDEX('Исходник'!$1:$626,MATCH($A310,'Исходник'!$T:$T,0),MATCH(Y$1,'Исходник'!$1:$1,0)))</f>
        <v/>
      </c>
      <c r="Z310" s="27">
        <f t="shared" si="11"/>
        <v>0</v>
      </c>
      <c r="AA310" s="27" t="str">
        <f t="shared" si="12"/>
        <v/>
      </c>
      <c r="AB310" s="1" t="str">
        <f t="array" ref="AB310">IFERROR(INDEX('Исходник'!$1:$626,MATCH($A310,'Исходник'!$T:$T,0),MATCH(AB$1,'Исходник'!$1:$1,0)))</f>
        <v/>
      </c>
      <c r="AC310" s="1" t="str">
        <f t="array" ref="AC310">IFERROR(INDEX('Исходник'!$1:$626,MATCH($A310,'Исходник'!$T:$T,0),MATCH(AC$1,'Исходник'!$1:$1,0)))</f>
        <v/>
      </c>
      <c r="AD310" s="27" t="str">
        <f t="shared" si="13"/>
        <v/>
      </c>
      <c r="AE310" s="1" t="str">
        <f t="array" ref="AE310">IFERROR(INDEX('Исходник'!$1:$626,MATCH($A310,'Исходник'!$T:$T,0),MATCH(AE$1,'Исходник'!$1:$1,0)))</f>
        <v/>
      </c>
      <c r="AF310" s="1" t="str">
        <f t="array" ref="AF310">IFERROR(INDEX('Исходник'!$1:$626,MATCH($A310,'Исходник'!$T:$T,0),MATCH(AF$1,'Исходник'!$1:$1,0)))</f>
        <v/>
      </c>
      <c r="AG310" s="27" t="str">
        <f t="shared" si="14"/>
        <v/>
      </c>
      <c r="AH310" s="1" t="str">
        <f t="array" ref="AH310">IFERROR(INDEX('Исходник'!$1:$626,MATCH($A310,'Исходник'!$T:$T,0),MATCH(AH$1,'Исходник'!$1:$1,0)))</f>
        <v/>
      </c>
      <c r="AI310" s="1" t="str">
        <f t="array" ref="AI310">IFERROR(INDEX('Исходник'!$1:$626,MATCH($A310,'Исходник'!$T:$T,0),MATCH(AI$1,'Исходник'!$1:$1,0)))</f>
        <v/>
      </c>
      <c r="AJ310" s="18">
        <f t="shared" si="15"/>
        <v>0</v>
      </c>
    </row>
    <row r="311" ht="15.75" customHeight="1">
      <c r="A311" s="27"/>
      <c r="B311" s="1" t="str">
        <f t="array" ref="B311">IFERROR(INDEX('Исходник'!$1:$626,MATCH($A311,'Исходник'!$T:$T,0),MATCH(B$1,'Исходник'!$1:$1,0)))</f>
        <v/>
      </c>
      <c r="C311" s="1" t="str">
        <f t="array" ref="C311">IFERROR(INDEX('Исходник'!$1:$626,MATCH($A311,'Исходник'!$T:$T,0),MATCH(C$1,'Исходник'!$1:$1,0)))</f>
        <v/>
      </c>
      <c r="D311" s="1" t="str">
        <f t="array" ref="D311">IFERROR(INDEX('Исходник'!$1:$626,MATCH($A311,'Исходник'!$T:$T,0),MATCH(D$1,'Исходник'!$1:$1,0)))</f>
        <v/>
      </c>
      <c r="E311" s="1" t="str">
        <f t="array" ref="E311">IFERROR(INDEX('Исходник'!$1:$626,MATCH($A311,'Исходник'!$T:$T,0),MATCH(E$1,'Исходник'!$1:$1,0)))</f>
        <v/>
      </c>
      <c r="F311" s="1" t="str">
        <f t="array" ref="F311">IFERROR(INDEX('Исходник'!$1:$626,MATCH($A311,'Исходник'!$T:$T,0),MATCH(F$1,'Исходник'!$1:$1,0)))</f>
        <v/>
      </c>
      <c r="G311" s="1" t="str">
        <f t="array" ref="G311">IFERROR(INDEX('Исходник'!$1:$626,MATCH($A311,'Исходник'!$T:$T,0),MATCH(G$1,'Исходник'!$1:$1,0)))</f>
        <v/>
      </c>
      <c r="H311" s="27">
        <f t="shared" si="1"/>
        <v>0</v>
      </c>
      <c r="I311" s="27" t="str">
        <f t="shared" si="2"/>
        <v/>
      </c>
      <c r="J311" s="1" t="str">
        <f t="array" ref="J311">IFERROR(INDEX('Исходник'!$1:$626,MATCH($A311,'Исходник'!$T:$T,0),MATCH(J$1,'Исходник'!$1:$1,0)))</f>
        <v/>
      </c>
      <c r="K311" s="27" t="str">
        <f t="shared" si="3"/>
        <v/>
      </c>
      <c r="L311" s="1" t="str">
        <f t="array" ref="L311">IFERROR(INDEX('Исходник'!$1:$626,MATCH($A311,'Исходник'!$T:$T,0),MATCH(L$1,'Исходник'!$1:$1,0)))</f>
        <v/>
      </c>
      <c r="M311" s="28">
        <f t="shared" si="4"/>
        <v>0</v>
      </c>
      <c r="N311" s="1" t="str">
        <f t="array" ref="N311">IFERROR(INDEX('Исходник'!$1:$626,MATCH($A311,'Исходник'!$T:$T,0),MATCH(N$1,'Исходник'!$1:$1,0)))</f>
        <v/>
      </c>
      <c r="O311" s="27">
        <f t="shared" si="5"/>
        <v>0</v>
      </c>
      <c r="P311" s="27" t="str">
        <f t="shared" si="6"/>
        <v/>
      </c>
      <c r="Q311" s="1" t="str">
        <f t="array" ref="Q311">IFERROR(INDEX('Исходник'!$1:$626,MATCH($A311,'Исходник'!$T:$T,0),MATCH(Q$1,'Исходник'!$1:$1,0)))</f>
        <v/>
      </c>
      <c r="R311" s="1" t="str">
        <f t="array" ref="R311">IFERROR(INDEX('Исходник'!$1:$626,MATCH($A311,'Исходник'!$T:$T,0),MATCH(R$1,'Исходник'!$1:$1,0)))</f>
        <v/>
      </c>
      <c r="S311" s="27">
        <f t="shared" si="7"/>
        <v>0</v>
      </c>
      <c r="T311" s="27" t="str">
        <f t="shared" si="8"/>
        <v/>
      </c>
      <c r="U311" s="1" t="str">
        <f t="array" ref="U311">IFERROR(INDEX('Исходник'!$1:$626,MATCH($A311,'Исходник'!$T:$T,0),MATCH(U$1,'Исходник'!$1:$1,0)))</f>
        <v/>
      </c>
      <c r="V311" s="27" t="str">
        <f t="shared" si="9"/>
        <v/>
      </c>
      <c r="W311" s="1" t="str">
        <f t="array" ref="W311">IFERROR(INDEX('Исходник'!$1:$626,MATCH($A311,'Исходник'!$T:$T,0),MATCH(W$1,'Исходник'!$1:$1,0)))</f>
        <v/>
      </c>
      <c r="X311" s="28">
        <f t="shared" si="10"/>
        <v>0</v>
      </c>
      <c r="Y311" s="1" t="str">
        <f t="array" ref="Y311">IFERROR(INDEX('Исходник'!$1:$626,MATCH($A311,'Исходник'!$T:$T,0),MATCH(Y$1,'Исходник'!$1:$1,0)))</f>
        <v/>
      </c>
      <c r="Z311" s="27">
        <f t="shared" si="11"/>
        <v>0</v>
      </c>
      <c r="AA311" s="27" t="str">
        <f t="shared" si="12"/>
        <v/>
      </c>
      <c r="AB311" s="1" t="str">
        <f t="array" ref="AB311">IFERROR(INDEX('Исходник'!$1:$626,MATCH($A311,'Исходник'!$T:$T,0),MATCH(AB$1,'Исходник'!$1:$1,0)))</f>
        <v/>
      </c>
      <c r="AC311" s="1" t="str">
        <f t="array" ref="AC311">IFERROR(INDEX('Исходник'!$1:$626,MATCH($A311,'Исходник'!$T:$T,0),MATCH(AC$1,'Исходник'!$1:$1,0)))</f>
        <v/>
      </c>
      <c r="AD311" s="27" t="str">
        <f t="shared" si="13"/>
        <v/>
      </c>
      <c r="AE311" s="1" t="str">
        <f t="array" ref="AE311">IFERROR(INDEX('Исходник'!$1:$626,MATCH($A311,'Исходник'!$T:$T,0),MATCH(AE$1,'Исходник'!$1:$1,0)))</f>
        <v/>
      </c>
      <c r="AF311" s="1" t="str">
        <f t="array" ref="AF311">IFERROR(INDEX('Исходник'!$1:$626,MATCH($A311,'Исходник'!$T:$T,0),MATCH(AF$1,'Исходник'!$1:$1,0)))</f>
        <v/>
      </c>
      <c r="AG311" s="27" t="str">
        <f t="shared" si="14"/>
        <v/>
      </c>
      <c r="AH311" s="1" t="str">
        <f t="array" ref="AH311">IFERROR(INDEX('Исходник'!$1:$626,MATCH($A311,'Исходник'!$T:$T,0),MATCH(AH$1,'Исходник'!$1:$1,0)))</f>
        <v/>
      </c>
      <c r="AI311" s="1" t="str">
        <f t="array" ref="AI311">IFERROR(INDEX('Исходник'!$1:$626,MATCH($A311,'Исходник'!$T:$T,0),MATCH(AI$1,'Исходник'!$1:$1,0)))</f>
        <v/>
      </c>
      <c r="AJ311" s="18">
        <f t="shared" si="15"/>
        <v>0</v>
      </c>
    </row>
    <row r="312" ht="15.75" customHeight="1">
      <c r="A312" s="27"/>
      <c r="B312" s="1" t="str">
        <f t="array" ref="B312">IFERROR(INDEX('Исходник'!$1:$626,MATCH($A312,'Исходник'!$T:$T,0),MATCH(B$1,'Исходник'!$1:$1,0)))</f>
        <v/>
      </c>
      <c r="C312" s="1" t="str">
        <f t="array" ref="C312">IFERROR(INDEX('Исходник'!$1:$626,MATCH($A312,'Исходник'!$T:$T,0),MATCH(C$1,'Исходник'!$1:$1,0)))</f>
        <v/>
      </c>
      <c r="D312" s="1" t="str">
        <f t="array" ref="D312">IFERROR(INDEX('Исходник'!$1:$626,MATCH($A312,'Исходник'!$T:$T,0),MATCH(D$1,'Исходник'!$1:$1,0)))</f>
        <v/>
      </c>
      <c r="E312" s="1" t="str">
        <f t="array" ref="E312">IFERROR(INDEX('Исходник'!$1:$626,MATCH($A312,'Исходник'!$T:$T,0),MATCH(E$1,'Исходник'!$1:$1,0)))</f>
        <v/>
      </c>
      <c r="F312" s="1" t="str">
        <f t="array" ref="F312">IFERROR(INDEX('Исходник'!$1:$626,MATCH($A312,'Исходник'!$T:$T,0),MATCH(F$1,'Исходник'!$1:$1,0)))</f>
        <v/>
      </c>
      <c r="G312" s="1" t="str">
        <f t="array" ref="G312">IFERROR(INDEX('Исходник'!$1:$626,MATCH($A312,'Исходник'!$T:$T,0),MATCH(G$1,'Исходник'!$1:$1,0)))</f>
        <v/>
      </c>
      <c r="H312" s="27">
        <f t="shared" si="1"/>
        <v>0</v>
      </c>
      <c r="I312" s="27" t="str">
        <f t="shared" si="2"/>
        <v/>
      </c>
      <c r="J312" s="1" t="str">
        <f t="array" ref="J312">IFERROR(INDEX('Исходник'!$1:$626,MATCH($A312,'Исходник'!$T:$T,0),MATCH(J$1,'Исходник'!$1:$1,0)))</f>
        <v/>
      </c>
      <c r="K312" s="27" t="str">
        <f t="shared" si="3"/>
        <v/>
      </c>
      <c r="L312" s="1" t="str">
        <f t="array" ref="L312">IFERROR(INDEX('Исходник'!$1:$626,MATCH($A312,'Исходник'!$T:$T,0),MATCH(L$1,'Исходник'!$1:$1,0)))</f>
        <v/>
      </c>
      <c r="M312" s="28">
        <f t="shared" si="4"/>
        <v>0</v>
      </c>
      <c r="N312" s="1" t="str">
        <f t="array" ref="N312">IFERROR(INDEX('Исходник'!$1:$626,MATCH($A312,'Исходник'!$T:$T,0),MATCH(N$1,'Исходник'!$1:$1,0)))</f>
        <v/>
      </c>
      <c r="O312" s="27">
        <f t="shared" si="5"/>
        <v>0</v>
      </c>
      <c r="P312" s="27" t="str">
        <f t="shared" si="6"/>
        <v/>
      </c>
      <c r="Q312" s="1" t="str">
        <f t="array" ref="Q312">IFERROR(INDEX('Исходник'!$1:$626,MATCH($A312,'Исходник'!$T:$T,0),MATCH(Q$1,'Исходник'!$1:$1,0)))</f>
        <v/>
      </c>
      <c r="R312" s="1" t="str">
        <f t="array" ref="R312">IFERROR(INDEX('Исходник'!$1:$626,MATCH($A312,'Исходник'!$T:$T,0),MATCH(R$1,'Исходник'!$1:$1,0)))</f>
        <v/>
      </c>
      <c r="S312" s="27">
        <f t="shared" si="7"/>
        <v>0</v>
      </c>
      <c r="T312" s="27" t="str">
        <f t="shared" si="8"/>
        <v/>
      </c>
      <c r="U312" s="1" t="str">
        <f t="array" ref="U312">IFERROR(INDEX('Исходник'!$1:$626,MATCH($A312,'Исходник'!$T:$T,0),MATCH(U$1,'Исходник'!$1:$1,0)))</f>
        <v/>
      </c>
      <c r="V312" s="27" t="str">
        <f t="shared" si="9"/>
        <v/>
      </c>
      <c r="W312" s="1" t="str">
        <f t="array" ref="W312">IFERROR(INDEX('Исходник'!$1:$626,MATCH($A312,'Исходник'!$T:$T,0),MATCH(W$1,'Исходник'!$1:$1,0)))</f>
        <v/>
      </c>
      <c r="X312" s="28">
        <f t="shared" si="10"/>
        <v>0</v>
      </c>
      <c r="Y312" s="1" t="str">
        <f t="array" ref="Y312">IFERROR(INDEX('Исходник'!$1:$626,MATCH($A312,'Исходник'!$T:$T,0),MATCH(Y$1,'Исходник'!$1:$1,0)))</f>
        <v/>
      </c>
      <c r="Z312" s="27">
        <f t="shared" si="11"/>
        <v>0</v>
      </c>
      <c r="AA312" s="27" t="str">
        <f t="shared" si="12"/>
        <v/>
      </c>
      <c r="AB312" s="1" t="str">
        <f t="array" ref="AB312">IFERROR(INDEX('Исходник'!$1:$626,MATCH($A312,'Исходник'!$T:$T,0),MATCH(AB$1,'Исходник'!$1:$1,0)))</f>
        <v/>
      </c>
      <c r="AC312" s="1" t="str">
        <f t="array" ref="AC312">IFERROR(INDEX('Исходник'!$1:$626,MATCH($A312,'Исходник'!$T:$T,0),MATCH(AC$1,'Исходник'!$1:$1,0)))</f>
        <v/>
      </c>
      <c r="AD312" s="27" t="str">
        <f t="shared" si="13"/>
        <v/>
      </c>
      <c r="AE312" s="1" t="str">
        <f t="array" ref="AE312">IFERROR(INDEX('Исходник'!$1:$626,MATCH($A312,'Исходник'!$T:$T,0),MATCH(AE$1,'Исходник'!$1:$1,0)))</f>
        <v/>
      </c>
      <c r="AF312" s="1" t="str">
        <f t="array" ref="AF312">IFERROR(INDEX('Исходник'!$1:$626,MATCH($A312,'Исходник'!$T:$T,0),MATCH(AF$1,'Исходник'!$1:$1,0)))</f>
        <v/>
      </c>
      <c r="AG312" s="27" t="str">
        <f t="shared" si="14"/>
        <v/>
      </c>
      <c r="AH312" s="1" t="str">
        <f t="array" ref="AH312">IFERROR(INDEX('Исходник'!$1:$626,MATCH($A312,'Исходник'!$T:$T,0),MATCH(AH$1,'Исходник'!$1:$1,0)))</f>
        <v/>
      </c>
      <c r="AI312" s="1" t="str">
        <f t="array" ref="AI312">IFERROR(INDEX('Исходник'!$1:$626,MATCH($A312,'Исходник'!$T:$T,0),MATCH(AI$1,'Исходник'!$1:$1,0)))</f>
        <v/>
      </c>
      <c r="AJ312" s="18">
        <f t="shared" si="15"/>
        <v>0</v>
      </c>
    </row>
    <row r="313" ht="15.75" customHeight="1">
      <c r="A313" s="27"/>
      <c r="B313" s="1" t="str">
        <f t="array" ref="B313">IFERROR(INDEX('Исходник'!$1:$626,MATCH($A313,'Исходник'!$T:$T,0),MATCH(B$1,'Исходник'!$1:$1,0)))</f>
        <v/>
      </c>
      <c r="C313" s="1" t="str">
        <f t="array" ref="C313">IFERROR(INDEX('Исходник'!$1:$626,MATCH($A313,'Исходник'!$T:$T,0),MATCH(C$1,'Исходник'!$1:$1,0)))</f>
        <v/>
      </c>
      <c r="D313" s="1" t="str">
        <f t="array" ref="D313">IFERROR(INDEX('Исходник'!$1:$626,MATCH($A313,'Исходник'!$T:$T,0),MATCH(D$1,'Исходник'!$1:$1,0)))</f>
        <v/>
      </c>
      <c r="E313" s="1" t="str">
        <f t="array" ref="E313">IFERROR(INDEX('Исходник'!$1:$626,MATCH($A313,'Исходник'!$T:$T,0),MATCH(E$1,'Исходник'!$1:$1,0)))</f>
        <v/>
      </c>
      <c r="F313" s="1" t="str">
        <f t="array" ref="F313">IFERROR(INDEX('Исходник'!$1:$626,MATCH($A313,'Исходник'!$T:$T,0),MATCH(F$1,'Исходник'!$1:$1,0)))</f>
        <v/>
      </c>
      <c r="G313" s="1" t="str">
        <f t="array" ref="G313">IFERROR(INDEX('Исходник'!$1:$626,MATCH($A313,'Исходник'!$T:$T,0),MATCH(G$1,'Исходник'!$1:$1,0)))</f>
        <v/>
      </c>
      <c r="H313" s="27">
        <f t="shared" si="1"/>
        <v>0</v>
      </c>
      <c r="I313" s="27" t="str">
        <f t="shared" si="2"/>
        <v/>
      </c>
      <c r="J313" s="1" t="str">
        <f t="array" ref="J313">IFERROR(INDEX('Исходник'!$1:$626,MATCH($A313,'Исходник'!$T:$T,0),MATCH(J$1,'Исходник'!$1:$1,0)))</f>
        <v/>
      </c>
      <c r="K313" s="27" t="str">
        <f t="shared" si="3"/>
        <v/>
      </c>
      <c r="L313" s="1" t="str">
        <f t="array" ref="L313">IFERROR(INDEX('Исходник'!$1:$626,MATCH($A313,'Исходник'!$T:$T,0),MATCH(L$1,'Исходник'!$1:$1,0)))</f>
        <v/>
      </c>
      <c r="M313" s="28">
        <f t="shared" si="4"/>
        <v>0</v>
      </c>
      <c r="N313" s="1" t="str">
        <f t="array" ref="N313">IFERROR(INDEX('Исходник'!$1:$626,MATCH($A313,'Исходник'!$T:$T,0),MATCH(N$1,'Исходник'!$1:$1,0)))</f>
        <v/>
      </c>
      <c r="O313" s="27">
        <f t="shared" si="5"/>
        <v>0</v>
      </c>
      <c r="P313" s="27" t="str">
        <f t="shared" si="6"/>
        <v/>
      </c>
      <c r="Q313" s="1" t="str">
        <f t="array" ref="Q313">IFERROR(INDEX('Исходник'!$1:$626,MATCH($A313,'Исходник'!$T:$T,0),MATCH(Q$1,'Исходник'!$1:$1,0)))</f>
        <v/>
      </c>
      <c r="R313" s="1" t="str">
        <f t="array" ref="R313">IFERROR(INDEX('Исходник'!$1:$626,MATCH($A313,'Исходник'!$T:$T,0),MATCH(R$1,'Исходник'!$1:$1,0)))</f>
        <v/>
      </c>
      <c r="S313" s="27">
        <f t="shared" si="7"/>
        <v>0</v>
      </c>
      <c r="T313" s="27" t="str">
        <f t="shared" si="8"/>
        <v/>
      </c>
      <c r="U313" s="1" t="str">
        <f t="array" ref="U313">IFERROR(INDEX('Исходник'!$1:$626,MATCH($A313,'Исходник'!$T:$T,0),MATCH(U$1,'Исходник'!$1:$1,0)))</f>
        <v/>
      </c>
      <c r="V313" s="27" t="str">
        <f t="shared" si="9"/>
        <v/>
      </c>
      <c r="W313" s="1" t="str">
        <f t="array" ref="W313">IFERROR(INDEX('Исходник'!$1:$626,MATCH($A313,'Исходник'!$T:$T,0),MATCH(W$1,'Исходник'!$1:$1,0)))</f>
        <v/>
      </c>
      <c r="X313" s="28">
        <f t="shared" si="10"/>
        <v>0</v>
      </c>
      <c r="Y313" s="1" t="str">
        <f t="array" ref="Y313">IFERROR(INDEX('Исходник'!$1:$626,MATCH($A313,'Исходник'!$T:$T,0),MATCH(Y$1,'Исходник'!$1:$1,0)))</f>
        <v/>
      </c>
      <c r="Z313" s="27">
        <f t="shared" si="11"/>
        <v>0</v>
      </c>
      <c r="AA313" s="27" t="str">
        <f t="shared" si="12"/>
        <v/>
      </c>
      <c r="AB313" s="1" t="str">
        <f t="array" ref="AB313">IFERROR(INDEX('Исходник'!$1:$626,MATCH($A313,'Исходник'!$T:$T,0),MATCH(AB$1,'Исходник'!$1:$1,0)))</f>
        <v/>
      </c>
      <c r="AC313" s="1" t="str">
        <f t="array" ref="AC313">IFERROR(INDEX('Исходник'!$1:$626,MATCH($A313,'Исходник'!$T:$T,0),MATCH(AC$1,'Исходник'!$1:$1,0)))</f>
        <v/>
      </c>
      <c r="AD313" s="27" t="str">
        <f t="shared" si="13"/>
        <v/>
      </c>
      <c r="AE313" s="1" t="str">
        <f t="array" ref="AE313">IFERROR(INDEX('Исходник'!$1:$626,MATCH($A313,'Исходник'!$T:$T,0),MATCH(AE$1,'Исходник'!$1:$1,0)))</f>
        <v/>
      </c>
      <c r="AF313" s="1" t="str">
        <f t="array" ref="AF313">IFERROR(INDEX('Исходник'!$1:$626,MATCH($A313,'Исходник'!$T:$T,0),MATCH(AF$1,'Исходник'!$1:$1,0)))</f>
        <v/>
      </c>
      <c r="AG313" s="27" t="str">
        <f t="shared" si="14"/>
        <v/>
      </c>
      <c r="AH313" s="1" t="str">
        <f t="array" ref="AH313">IFERROR(INDEX('Исходник'!$1:$626,MATCH($A313,'Исходник'!$T:$T,0),MATCH(AH$1,'Исходник'!$1:$1,0)))</f>
        <v/>
      </c>
      <c r="AI313" s="1" t="str">
        <f t="array" ref="AI313">IFERROR(INDEX('Исходник'!$1:$626,MATCH($A313,'Исходник'!$T:$T,0),MATCH(AI$1,'Исходник'!$1:$1,0)))</f>
        <v/>
      </c>
      <c r="AJ313" s="18">
        <f t="shared" si="15"/>
        <v>0</v>
      </c>
    </row>
    <row r="314" ht="15.75" customHeight="1">
      <c r="A314" s="27"/>
      <c r="B314" s="1" t="str">
        <f t="array" ref="B314">IFERROR(INDEX('Исходник'!$1:$626,MATCH($A314,'Исходник'!$T:$T,0),MATCH(B$1,'Исходник'!$1:$1,0)))</f>
        <v/>
      </c>
      <c r="C314" s="1" t="str">
        <f t="array" ref="C314">IFERROR(INDEX('Исходник'!$1:$626,MATCH($A314,'Исходник'!$T:$T,0),MATCH(C$1,'Исходник'!$1:$1,0)))</f>
        <v/>
      </c>
      <c r="D314" s="1" t="str">
        <f t="array" ref="D314">IFERROR(INDEX('Исходник'!$1:$626,MATCH($A314,'Исходник'!$T:$T,0),MATCH(D$1,'Исходник'!$1:$1,0)))</f>
        <v/>
      </c>
      <c r="E314" s="1" t="str">
        <f t="array" ref="E314">IFERROR(INDEX('Исходник'!$1:$626,MATCH($A314,'Исходник'!$T:$T,0),MATCH(E$1,'Исходник'!$1:$1,0)))</f>
        <v/>
      </c>
      <c r="F314" s="1" t="str">
        <f t="array" ref="F314">IFERROR(INDEX('Исходник'!$1:$626,MATCH($A314,'Исходник'!$T:$T,0),MATCH(F$1,'Исходник'!$1:$1,0)))</f>
        <v/>
      </c>
      <c r="G314" s="1" t="str">
        <f t="array" ref="G314">IFERROR(INDEX('Исходник'!$1:$626,MATCH($A314,'Исходник'!$T:$T,0),MATCH(G$1,'Исходник'!$1:$1,0)))</f>
        <v/>
      </c>
      <c r="H314" s="27">
        <f t="shared" si="1"/>
        <v>0</v>
      </c>
      <c r="I314" s="27" t="str">
        <f t="shared" si="2"/>
        <v/>
      </c>
      <c r="J314" s="1" t="str">
        <f t="array" ref="J314">IFERROR(INDEX('Исходник'!$1:$626,MATCH($A314,'Исходник'!$T:$T,0),MATCH(J$1,'Исходник'!$1:$1,0)))</f>
        <v/>
      </c>
      <c r="K314" s="27" t="str">
        <f t="shared" si="3"/>
        <v/>
      </c>
      <c r="L314" s="1" t="str">
        <f t="array" ref="L314">IFERROR(INDEX('Исходник'!$1:$626,MATCH($A314,'Исходник'!$T:$T,0),MATCH(L$1,'Исходник'!$1:$1,0)))</f>
        <v/>
      </c>
      <c r="M314" s="28">
        <f t="shared" si="4"/>
        <v>0</v>
      </c>
      <c r="N314" s="1" t="str">
        <f t="array" ref="N314">IFERROR(INDEX('Исходник'!$1:$626,MATCH($A314,'Исходник'!$T:$T,0),MATCH(N$1,'Исходник'!$1:$1,0)))</f>
        <v/>
      </c>
      <c r="O314" s="27">
        <f t="shared" si="5"/>
        <v>0</v>
      </c>
      <c r="P314" s="27" t="str">
        <f t="shared" si="6"/>
        <v/>
      </c>
      <c r="Q314" s="1" t="str">
        <f t="array" ref="Q314">IFERROR(INDEX('Исходник'!$1:$626,MATCH($A314,'Исходник'!$T:$T,0),MATCH(Q$1,'Исходник'!$1:$1,0)))</f>
        <v/>
      </c>
      <c r="R314" s="1" t="str">
        <f t="array" ref="R314">IFERROR(INDEX('Исходник'!$1:$626,MATCH($A314,'Исходник'!$T:$T,0),MATCH(R$1,'Исходник'!$1:$1,0)))</f>
        <v/>
      </c>
      <c r="S314" s="27">
        <f t="shared" si="7"/>
        <v>0</v>
      </c>
      <c r="T314" s="27" t="str">
        <f t="shared" si="8"/>
        <v/>
      </c>
      <c r="U314" s="1" t="str">
        <f t="array" ref="U314">IFERROR(INDEX('Исходник'!$1:$626,MATCH($A314,'Исходник'!$T:$T,0),MATCH(U$1,'Исходник'!$1:$1,0)))</f>
        <v/>
      </c>
      <c r="V314" s="27" t="str">
        <f t="shared" si="9"/>
        <v/>
      </c>
      <c r="W314" s="1" t="str">
        <f t="array" ref="W314">IFERROR(INDEX('Исходник'!$1:$626,MATCH($A314,'Исходник'!$T:$T,0),MATCH(W$1,'Исходник'!$1:$1,0)))</f>
        <v/>
      </c>
      <c r="X314" s="28">
        <f t="shared" si="10"/>
        <v>0</v>
      </c>
      <c r="Y314" s="1" t="str">
        <f t="array" ref="Y314">IFERROR(INDEX('Исходник'!$1:$626,MATCH($A314,'Исходник'!$T:$T,0),MATCH(Y$1,'Исходник'!$1:$1,0)))</f>
        <v/>
      </c>
      <c r="Z314" s="27">
        <f t="shared" si="11"/>
        <v>0</v>
      </c>
      <c r="AA314" s="27" t="str">
        <f t="shared" si="12"/>
        <v/>
      </c>
      <c r="AB314" s="1" t="str">
        <f t="array" ref="AB314">IFERROR(INDEX('Исходник'!$1:$626,MATCH($A314,'Исходник'!$T:$T,0),MATCH(AB$1,'Исходник'!$1:$1,0)))</f>
        <v/>
      </c>
      <c r="AC314" s="1" t="str">
        <f t="array" ref="AC314">IFERROR(INDEX('Исходник'!$1:$626,MATCH($A314,'Исходник'!$T:$T,0),MATCH(AC$1,'Исходник'!$1:$1,0)))</f>
        <v/>
      </c>
      <c r="AD314" s="27" t="str">
        <f t="shared" si="13"/>
        <v/>
      </c>
      <c r="AE314" s="1" t="str">
        <f t="array" ref="AE314">IFERROR(INDEX('Исходник'!$1:$626,MATCH($A314,'Исходник'!$T:$T,0),MATCH(AE$1,'Исходник'!$1:$1,0)))</f>
        <v/>
      </c>
      <c r="AF314" s="1" t="str">
        <f t="array" ref="AF314">IFERROR(INDEX('Исходник'!$1:$626,MATCH($A314,'Исходник'!$T:$T,0),MATCH(AF$1,'Исходник'!$1:$1,0)))</f>
        <v/>
      </c>
      <c r="AG314" s="27" t="str">
        <f t="shared" si="14"/>
        <v/>
      </c>
      <c r="AH314" s="1" t="str">
        <f t="array" ref="AH314">IFERROR(INDEX('Исходник'!$1:$626,MATCH($A314,'Исходник'!$T:$T,0),MATCH(AH$1,'Исходник'!$1:$1,0)))</f>
        <v/>
      </c>
      <c r="AI314" s="1" t="str">
        <f t="array" ref="AI314">IFERROR(INDEX('Исходник'!$1:$626,MATCH($A314,'Исходник'!$T:$T,0),MATCH(AI$1,'Исходник'!$1:$1,0)))</f>
        <v/>
      </c>
      <c r="AJ314" s="18">
        <f t="shared" si="15"/>
        <v>0</v>
      </c>
    </row>
    <row r="315" ht="15.75" customHeight="1">
      <c r="A315" s="27"/>
      <c r="B315" s="1" t="str">
        <f t="array" ref="B315">IFERROR(INDEX('Исходник'!$1:$626,MATCH($A315,'Исходник'!$T:$T,0),MATCH(B$1,'Исходник'!$1:$1,0)))</f>
        <v/>
      </c>
      <c r="C315" s="1" t="str">
        <f t="array" ref="C315">IFERROR(INDEX('Исходник'!$1:$626,MATCH($A315,'Исходник'!$T:$T,0),MATCH(C$1,'Исходник'!$1:$1,0)))</f>
        <v/>
      </c>
      <c r="D315" s="1" t="str">
        <f t="array" ref="D315">IFERROR(INDEX('Исходник'!$1:$626,MATCH($A315,'Исходник'!$T:$T,0),MATCH(D$1,'Исходник'!$1:$1,0)))</f>
        <v/>
      </c>
      <c r="E315" s="1" t="str">
        <f t="array" ref="E315">IFERROR(INDEX('Исходник'!$1:$626,MATCH($A315,'Исходник'!$T:$T,0),MATCH(E$1,'Исходник'!$1:$1,0)))</f>
        <v/>
      </c>
      <c r="F315" s="1" t="str">
        <f t="array" ref="F315">IFERROR(INDEX('Исходник'!$1:$626,MATCH($A315,'Исходник'!$T:$T,0),MATCH(F$1,'Исходник'!$1:$1,0)))</f>
        <v/>
      </c>
      <c r="G315" s="1" t="str">
        <f t="array" ref="G315">IFERROR(INDEX('Исходник'!$1:$626,MATCH($A315,'Исходник'!$T:$T,0),MATCH(G$1,'Исходник'!$1:$1,0)))</f>
        <v/>
      </c>
      <c r="H315" s="27">
        <f t="shared" si="1"/>
        <v>0</v>
      </c>
      <c r="I315" s="27" t="str">
        <f t="shared" si="2"/>
        <v/>
      </c>
      <c r="J315" s="1" t="str">
        <f t="array" ref="J315">IFERROR(INDEX('Исходник'!$1:$626,MATCH($A315,'Исходник'!$T:$T,0),MATCH(J$1,'Исходник'!$1:$1,0)))</f>
        <v/>
      </c>
      <c r="K315" s="27" t="str">
        <f t="shared" si="3"/>
        <v/>
      </c>
      <c r="L315" s="1" t="str">
        <f t="array" ref="L315">IFERROR(INDEX('Исходник'!$1:$626,MATCH($A315,'Исходник'!$T:$T,0),MATCH(L$1,'Исходник'!$1:$1,0)))</f>
        <v/>
      </c>
      <c r="M315" s="28">
        <f t="shared" si="4"/>
        <v>0</v>
      </c>
      <c r="N315" s="1" t="str">
        <f t="array" ref="N315">IFERROR(INDEX('Исходник'!$1:$626,MATCH($A315,'Исходник'!$T:$T,0),MATCH(N$1,'Исходник'!$1:$1,0)))</f>
        <v/>
      </c>
      <c r="O315" s="27">
        <f t="shared" si="5"/>
        <v>0</v>
      </c>
      <c r="P315" s="27" t="str">
        <f t="shared" si="6"/>
        <v/>
      </c>
      <c r="Q315" s="1" t="str">
        <f t="array" ref="Q315">IFERROR(INDEX('Исходник'!$1:$626,MATCH($A315,'Исходник'!$T:$T,0),MATCH(Q$1,'Исходник'!$1:$1,0)))</f>
        <v/>
      </c>
      <c r="R315" s="1" t="str">
        <f t="array" ref="R315">IFERROR(INDEX('Исходник'!$1:$626,MATCH($A315,'Исходник'!$T:$T,0),MATCH(R$1,'Исходник'!$1:$1,0)))</f>
        <v/>
      </c>
      <c r="S315" s="27">
        <f t="shared" si="7"/>
        <v>0</v>
      </c>
      <c r="T315" s="27" t="str">
        <f t="shared" si="8"/>
        <v/>
      </c>
      <c r="U315" s="1" t="str">
        <f t="array" ref="U315">IFERROR(INDEX('Исходник'!$1:$626,MATCH($A315,'Исходник'!$T:$T,0),MATCH(U$1,'Исходник'!$1:$1,0)))</f>
        <v/>
      </c>
      <c r="V315" s="27" t="str">
        <f t="shared" si="9"/>
        <v/>
      </c>
      <c r="W315" s="1" t="str">
        <f t="array" ref="W315">IFERROR(INDEX('Исходник'!$1:$626,MATCH($A315,'Исходник'!$T:$T,0),MATCH(W$1,'Исходник'!$1:$1,0)))</f>
        <v/>
      </c>
      <c r="X315" s="28">
        <f t="shared" si="10"/>
        <v>0</v>
      </c>
      <c r="Y315" s="1" t="str">
        <f t="array" ref="Y315">IFERROR(INDEX('Исходник'!$1:$626,MATCH($A315,'Исходник'!$T:$T,0),MATCH(Y$1,'Исходник'!$1:$1,0)))</f>
        <v/>
      </c>
      <c r="Z315" s="27">
        <f t="shared" si="11"/>
        <v>0</v>
      </c>
      <c r="AA315" s="27" t="str">
        <f t="shared" si="12"/>
        <v/>
      </c>
      <c r="AB315" s="1" t="str">
        <f t="array" ref="AB315">IFERROR(INDEX('Исходник'!$1:$626,MATCH($A315,'Исходник'!$T:$T,0),MATCH(AB$1,'Исходник'!$1:$1,0)))</f>
        <v/>
      </c>
      <c r="AC315" s="1" t="str">
        <f t="array" ref="AC315">IFERROR(INDEX('Исходник'!$1:$626,MATCH($A315,'Исходник'!$T:$T,0),MATCH(AC$1,'Исходник'!$1:$1,0)))</f>
        <v/>
      </c>
      <c r="AD315" s="27" t="str">
        <f t="shared" si="13"/>
        <v/>
      </c>
      <c r="AE315" s="1" t="str">
        <f t="array" ref="AE315">IFERROR(INDEX('Исходник'!$1:$626,MATCH($A315,'Исходник'!$T:$T,0),MATCH(AE$1,'Исходник'!$1:$1,0)))</f>
        <v/>
      </c>
      <c r="AF315" s="1" t="str">
        <f t="array" ref="AF315">IFERROR(INDEX('Исходник'!$1:$626,MATCH($A315,'Исходник'!$T:$T,0),MATCH(AF$1,'Исходник'!$1:$1,0)))</f>
        <v/>
      </c>
      <c r="AG315" s="27" t="str">
        <f t="shared" si="14"/>
        <v/>
      </c>
      <c r="AH315" s="1" t="str">
        <f t="array" ref="AH315">IFERROR(INDEX('Исходник'!$1:$626,MATCH($A315,'Исходник'!$T:$T,0),MATCH(AH$1,'Исходник'!$1:$1,0)))</f>
        <v/>
      </c>
      <c r="AI315" s="1" t="str">
        <f t="array" ref="AI315">IFERROR(INDEX('Исходник'!$1:$626,MATCH($A315,'Исходник'!$T:$T,0),MATCH(AI$1,'Исходник'!$1:$1,0)))</f>
        <v/>
      </c>
      <c r="AJ315" s="18">
        <f t="shared" si="15"/>
        <v>0</v>
      </c>
    </row>
    <row r="316" ht="15.75" customHeight="1">
      <c r="A316" s="27"/>
      <c r="B316" s="1" t="str">
        <f t="array" ref="B316">IFERROR(INDEX('Исходник'!$1:$626,MATCH($A316,'Исходник'!$T:$T,0),MATCH(B$1,'Исходник'!$1:$1,0)))</f>
        <v/>
      </c>
      <c r="C316" s="1" t="str">
        <f t="array" ref="C316">IFERROR(INDEX('Исходник'!$1:$626,MATCH($A316,'Исходник'!$T:$T,0),MATCH(C$1,'Исходник'!$1:$1,0)))</f>
        <v/>
      </c>
      <c r="D316" s="1" t="str">
        <f t="array" ref="D316">IFERROR(INDEX('Исходник'!$1:$626,MATCH($A316,'Исходник'!$T:$T,0),MATCH(D$1,'Исходник'!$1:$1,0)))</f>
        <v/>
      </c>
      <c r="E316" s="1" t="str">
        <f t="array" ref="E316">IFERROR(INDEX('Исходник'!$1:$626,MATCH($A316,'Исходник'!$T:$T,0),MATCH(E$1,'Исходник'!$1:$1,0)))</f>
        <v/>
      </c>
      <c r="F316" s="1" t="str">
        <f t="array" ref="F316">IFERROR(INDEX('Исходник'!$1:$626,MATCH($A316,'Исходник'!$T:$T,0),MATCH(F$1,'Исходник'!$1:$1,0)))</f>
        <v/>
      </c>
      <c r="G316" s="1" t="str">
        <f t="array" ref="G316">IFERROR(INDEX('Исходник'!$1:$626,MATCH($A316,'Исходник'!$T:$T,0),MATCH(G$1,'Исходник'!$1:$1,0)))</f>
        <v/>
      </c>
      <c r="H316" s="27">
        <f t="shared" si="1"/>
        <v>0</v>
      </c>
      <c r="I316" s="27" t="str">
        <f t="shared" si="2"/>
        <v/>
      </c>
      <c r="J316" s="1" t="str">
        <f t="array" ref="J316">IFERROR(INDEX('Исходник'!$1:$626,MATCH($A316,'Исходник'!$T:$T,0),MATCH(J$1,'Исходник'!$1:$1,0)))</f>
        <v/>
      </c>
      <c r="K316" s="27" t="str">
        <f t="shared" si="3"/>
        <v/>
      </c>
      <c r="L316" s="1" t="str">
        <f t="array" ref="L316">IFERROR(INDEX('Исходник'!$1:$626,MATCH($A316,'Исходник'!$T:$T,0),MATCH(L$1,'Исходник'!$1:$1,0)))</f>
        <v/>
      </c>
      <c r="M316" s="28">
        <f t="shared" si="4"/>
        <v>0</v>
      </c>
      <c r="N316" s="1" t="str">
        <f t="array" ref="N316">IFERROR(INDEX('Исходник'!$1:$626,MATCH($A316,'Исходник'!$T:$T,0),MATCH(N$1,'Исходник'!$1:$1,0)))</f>
        <v/>
      </c>
      <c r="O316" s="27">
        <f t="shared" si="5"/>
        <v>0</v>
      </c>
      <c r="P316" s="27" t="str">
        <f t="shared" si="6"/>
        <v/>
      </c>
      <c r="Q316" s="1" t="str">
        <f t="array" ref="Q316">IFERROR(INDEX('Исходник'!$1:$626,MATCH($A316,'Исходник'!$T:$T,0),MATCH(Q$1,'Исходник'!$1:$1,0)))</f>
        <v/>
      </c>
      <c r="R316" s="1" t="str">
        <f t="array" ref="R316">IFERROR(INDEX('Исходник'!$1:$626,MATCH($A316,'Исходник'!$T:$T,0),MATCH(R$1,'Исходник'!$1:$1,0)))</f>
        <v/>
      </c>
      <c r="S316" s="27">
        <f t="shared" si="7"/>
        <v>0</v>
      </c>
      <c r="T316" s="27" t="str">
        <f t="shared" si="8"/>
        <v/>
      </c>
      <c r="U316" s="1" t="str">
        <f t="array" ref="U316">IFERROR(INDEX('Исходник'!$1:$626,MATCH($A316,'Исходник'!$T:$T,0),MATCH(U$1,'Исходник'!$1:$1,0)))</f>
        <v/>
      </c>
      <c r="V316" s="27" t="str">
        <f t="shared" si="9"/>
        <v/>
      </c>
      <c r="W316" s="1" t="str">
        <f t="array" ref="W316">IFERROR(INDEX('Исходник'!$1:$626,MATCH($A316,'Исходник'!$T:$T,0),MATCH(W$1,'Исходник'!$1:$1,0)))</f>
        <v/>
      </c>
      <c r="X316" s="28">
        <f t="shared" si="10"/>
        <v>0</v>
      </c>
      <c r="Y316" s="1" t="str">
        <f t="array" ref="Y316">IFERROR(INDEX('Исходник'!$1:$626,MATCH($A316,'Исходник'!$T:$T,0),MATCH(Y$1,'Исходник'!$1:$1,0)))</f>
        <v/>
      </c>
      <c r="Z316" s="27">
        <f t="shared" si="11"/>
        <v>0</v>
      </c>
      <c r="AA316" s="27" t="str">
        <f t="shared" si="12"/>
        <v/>
      </c>
      <c r="AB316" s="1" t="str">
        <f t="array" ref="AB316">IFERROR(INDEX('Исходник'!$1:$626,MATCH($A316,'Исходник'!$T:$T,0),MATCH(AB$1,'Исходник'!$1:$1,0)))</f>
        <v/>
      </c>
      <c r="AC316" s="1" t="str">
        <f t="array" ref="AC316">IFERROR(INDEX('Исходник'!$1:$626,MATCH($A316,'Исходник'!$T:$T,0),MATCH(AC$1,'Исходник'!$1:$1,0)))</f>
        <v/>
      </c>
      <c r="AD316" s="27" t="str">
        <f t="shared" si="13"/>
        <v/>
      </c>
      <c r="AE316" s="1" t="str">
        <f t="array" ref="AE316">IFERROR(INDEX('Исходник'!$1:$626,MATCH($A316,'Исходник'!$T:$T,0),MATCH(AE$1,'Исходник'!$1:$1,0)))</f>
        <v/>
      </c>
      <c r="AF316" s="1" t="str">
        <f t="array" ref="AF316">IFERROR(INDEX('Исходник'!$1:$626,MATCH($A316,'Исходник'!$T:$T,0),MATCH(AF$1,'Исходник'!$1:$1,0)))</f>
        <v/>
      </c>
      <c r="AG316" s="27" t="str">
        <f t="shared" si="14"/>
        <v/>
      </c>
      <c r="AH316" s="1" t="str">
        <f t="array" ref="AH316">IFERROR(INDEX('Исходник'!$1:$626,MATCH($A316,'Исходник'!$T:$T,0),MATCH(AH$1,'Исходник'!$1:$1,0)))</f>
        <v/>
      </c>
      <c r="AI316" s="1" t="str">
        <f t="array" ref="AI316">IFERROR(INDEX('Исходник'!$1:$626,MATCH($A316,'Исходник'!$T:$T,0),MATCH(AI$1,'Исходник'!$1:$1,0)))</f>
        <v/>
      </c>
      <c r="AJ316" s="18">
        <f t="shared" si="15"/>
        <v>0</v>
      </c>
    </row>
    <row r="317" ht="15.75" customHeight="1">
      <c r="A317" s="27"/>
      <c r="B317" s="1" t="str">
        <f t="array" ref="B317">IFERROR(INDEX('Исходник'!$1:$626,MATCH($A317,'Исходник'!$T:$T,0),MATCH(B$1,'Исходник'!$1:$1,0)))</f>
        <v/>
      </c>
      <c r="C317" s="1" t="str">
        <f t="array" ref="C317">IFERROR(INDEX('Исходник'!$1:$626,MATCH($A317,'Исходник'!$T:$T,0),MATCH(C$1,'Исходник'!$1:$1,0)))</f>
        <v/>
      </c>
      <c r="D317" s="1" t="str">
        <f t="array" ref="D317">IFERROR(INDEX('Исходник'!$1:$626,MATCH($A317,'Исходник'!$T:$T,0),MATCH(D$1,'Исходник'!$1:$1,0)))</f>
        <v/>
      </c>
      <c r="E317" s="1" t="str">
        <f t="array" ref="E317">IFERROR(INDEX('Исходник'!$1:$626,MATCH($A317,'Исходник'!$T:$T,0),MATCH(E$1,'Исходник'!$1:$1,0)))</f>
        <v/>
      </c>
      <c r="F317" s="1" t="str">
        <f t="array" ref="F317">IFERROR(INDEX('Исходник'!$1:$626,MATCH($A317,'Исходник'!$T:$T,0),MATCH(F$1,'Исходник'!$1:$1,0)))</f>
        <v/>
      </c>
      <c r="G317" s="1" t="str">
        <f t="array" ref="G317">IFERROR(INDEX('Исходник'!$1:$626,MATCH($A317,'Исходник'!$T:$T,0),MATCH(G$1,'Исходник'!$1:$1,0)))</f>
        <v/>
      </c>
      <c r="H317" s="27">
        <f t="shared" si="1"/>
        <v>0</v>
      </c>
      <c r="I317" s="27" t="str">
        <f t="shared" si="2"/>
        <v/>
      </c>
      <c r="J317" s="1" t="str">
        <f t="array" ref="J317">IFERROR(INDEX('Исходник'!$1:$626,MATCH($A317,'Исходник'!$T:$T,0),MATCH(J$1,'Исходник'!$1:$1,0)))</f>
        <v/>
      </c>
      <c r="K317" s="27" t="str">
        <f t="shared" si="3"/>
        <v/>
      </c>
      <c r="L317" s="1" t="str">
        <f t="array" ref="L317">IFERROR(INDEX('Исходник'!$1:$626,MATCH($A317,'Исходник'!$T:$T,0),MATCH(L$1,'Исходник'!$1:$1,0)))</f>
        <v/>
      </c>
      <c r="M317" s="28">
        <f t="shared" si="4"/>
        <v>0</v>
      </c>
      <c r="N317" s="1" t="str">
        <f t="array" ref="N317">IFERROR(INDEX('Исходник'!$1:$626,MATCH($A317,'Исходник'!$T:$T,0),MATCH(N$1,'Исходник'!$1:$1,0)))</f>
        <v/>
      </c>
      <c r="O317" s="27">
        <f t="shared" si="5"/>
        <v>0</v>
      </c>
      <c r="P317" s="27" t="str">
        <f t="shared" si="6"/>
        <v/>
      </c>
      <c r="Q317" s="1" t="str">
        <f t="array" ref="Q317">IFERROR(INDEX('Исходник'!$1:$626,MATCH($A317,'Исходник'!$T:$T,0),MATCH(Q$1,'Исходник'!$1:$1,0)))</f>
        <v/>
      </c>
      <c r="R317" s="1" t="str">
        <f t="array" ref="R317">IFERROR(INDEX('Исходник'!$1:$626,MATCH($A317,'Исходник'!$T:$T,0),MATCH(R$1,'Исходник'!$1:$1,0)))</f>
        <v/>
      </c>
      <c r="S317" s="27">
        <f t="shared" si="7"/>
        <v>0</v>
      </c>
      <c r="T317" s="27" t="str">
        <f t="shared" si="8"/>
        <v/>
      </c>
      <c r="U317" s="1" t="str">
        <f t="array" ref="U317">IFERROR(INDEX('Исходник'!$1:$626,MATCH($A317,'Исходник'!$T:$T,0),MATCH(U$1,'Исходник'!$1:$1,0)))</f>
        <v/>
      </c>
      <c r="V317" s="27" t="str">
        <f t="shared" si="9"/>
        <v/>
      </c>
      <c r="W317" s="1" t="str">
        <f t="array" ref="W317">IFERROR(INDEX('Исходник'!$1:$626,MATCH($A317,'Исходник'!$T:$T,0),MATCH(W$1,'Исходник'!$1:$1,0)))</f>
        <v/>
      </c>
      <c r="X317" s="28">
        <f t="shared" si="10"/>
        <v>0</v>
      </c>
      <c r="Y317" s="1" t="str">
        <f t="array" ref="Y317">IFERROR(INDEX('Исходник'!$1:$626,MATCH($A317,'Исходник'!$T:$T,0),MATCH(Y$1,'Исходник'!$1:$1,0)))</f>
        <v/>
      </c>
      <c r="Z317" s="27">
        <f t="shared" si="11"/>
        <v>0</v>
      </c>
      <c r="AA317" s="27" t="str">
        <f t="shared" si="12"/>
        <v/>
      </c>
      <c r="AB317" s="1" t="str">
        <f t="array" ref="AB317">IFERROR(INDEX('Исходник'!$1:$626,MATCH($A317,'Исходник'!$T:$T,0),MATCH(AB$1,'Исходник'!$1:$1,0)))</f>
        <v/>
      </c>
      <c r="AC317" s="1" t="str">
        <f t="array" ref="AC317">IFERROR(INDEX('Исходник'!$1:$626,MATCH($A317,'Исходник'!$T:$T,0),MATCH(AC$1,'Исходник'!$1:$1,0)))</f>
        <v/>
      </c>
      <c r="AD317" s="27" t="str">
        <f t="shared" si="13"/>
        <v/>
      </c>
      <c r="AE317" s="1" t="str">
        <f t="array" ref="AE317">IFERROR(INDEX('Исходник'!$1:$626,MATCH($A317,'Исходник'!$T:$T,0),MATCH(AE$1,'Исходник'!$1:$1,0)))</f>
        <v/>
      </c>
      <c r="AF317" s="1" t="str">
        <f t="array" ref="AF317">IFERROR(INDEX('Исходник'!$1:$626,MATCH($A317,'Исходник'!$T:$T,0),MATCH(AF$1,'Исходник'!$1:$1,0)))</f>
        <v/>
      </c>
      <c r="AG317" s="27" t="str">
        <f t="shared" si="14"/>
        <v/>
      </c>
      <c r="AH317" s="1" t="str">
        <f t="array" ref="AH317">IFERROR(INDEX('Исходник'!$1:$626,MATCH($A317,'Исходник'!$T:$T,0),MATCH(AH$1,'Исходник'!$1:$1,0)))</f>
        <v/>
      </c>
      <c r="AI317" s="1" t="str">
        <f t="array" ref="AI317">IFERROR(INDEX('Исходник'!$1:$626,MATCH($A317,'Исходник'!$T:$T,0),MATCH(AI$1,'Исходник'!$1:$1,0)))</f>
        <v/>
      </c>
      <c r="AJ317" s="18">
        <f t="shared" si="15"/>
        <v>0</v>
      </c>
    </row>
    <row r="318" ht="15.75" customHeight="1">
      <c r="A318" s="27"/>
      <c r="B318" s="1" t="str">
        <f t="array" ref="B318">IFERROR(INDEX('Исходник'!$1:$626,MATCH($A318,'Исходник'!$T:$T,0),MATCH(B$1,'Исходник'!$1:$1,0)))</f>
        <v/>
      </c>
      <c r="C318" s="1" t="str">
        <f t="array" ref="C318">IFERROR(INDEX('Исходник'!$1:$626,MATCH($A318,'Исходник'!$T:$T,0),MATCH(C$1,'Исходник'!$1:$1,0)))</f>
        <v/>
      </c>
      <c r="D318" s="1" t="str">
        <f t="array" ref="D318">IFERROR(INDEX('Исходник'!$1:$626,MATCH($A318,'Исходник'!$T:$T,0),MATCH(D$1,'Исходник'!$1:$1,0)))</f>
        <v/>
      </c>
      <c r="E318" s="1" t="str">
        <f t="array" ref="E318">IFERROR(INDEX('Исходник'!$1:$626,MATCH($A318,'Исходник'!$T:$T,0),MATCH(E$1,'Исходник'!$1:$1,0)))</f>
        <v/>
      </c>
      <c r="F318" s="1" t="str">
        <f t="array" ref="F318">IFERROR(INDEX('Исходник'!$1:$626,MATCH($A318,'Исходник'!$T:$T,0),MATCH(F$1,'Исходник'!$1:$1,0)))</f>
        <v/>
      </c>
      <c r="G318" s="1" t="str">
        <f t="array" ref="G318">IFERROR(INDEX('Исходник'!$1:$626,MATCH($A318,'Исходник'!$T:$T,0),MATCH(G$1,'Исходник'!$1:$1,0)))</f>
        <v/>
      </c>
      <c r="H318" s="27">
        <f t="shared" si="1"/>
        <v>0</v>
      </c>
      <c r="I318" s="27" t="str">
        <f t="shared" si="2"/>
        <v/>
      </c>
      <c r="J318" s="1" t="str">
        <f t="array" ref="J318">IFERROR(INDEX('Исходник'!$1:$626,MATCH($A318,'Исходник'!$T:$T,0),MATCH(J$1,'Исходник'!$1:$1,0)))</f>
        <v/>
      </c>
      <c r="K318" s="27" t="str">
        <f t="shared" si="3"/>
        <v/>
      </c>
      <c r="L318" s="1" t="str">
        <f t="array" ref="L318">IFERROR(INDEX('Исходник'!$1:$626,MATCH($A318,'Исходник'!$T:$T,0),MATCH(L$1,'Исходник'!$1:$1,0)))</f>
        <v/>
      </c>
      <c r="M318" s="28">
        <f t="shared" si="4"/>
        <v>0</v>
      </c>
      <c r="N318" s="1" t="str">
        <f t="array" ref="N318">IFERROR(INDEX('Исходник'!$1:$626,MATCH($A318,'Исходник'!$T:$T,0),MATCH(N$1,'Исходник'!$1:$1,0)))</f>
        <v/>
      </c>
      <c r="O318" s="27">
        <f t="shared" si="5"/>
        <v>0</v>
      </c>
      <c r="P318" s="27" t="str">
        <f t="shared" si="6"/>
        <v/>
      </c>
      <c r="Q318" s="1" t="str">
        <f t="array" ref="Q318">IFERROR(INDEX('Исходник'!$1:$626,MATCH($A318,'Исходник'!$T:$T,0),MATCH(Q$1,'Исходник'!$1:$1,0)))</f>
        <v/>
      </c>
      <c r="R318" s="1" t="str">
        <f t="array" ref="R318">IFERROR(INDEX('Исходник'!$1:$626,MATCH($A318,'Исходник'!$T:$T,0),MATCH(R$1,'Исходник'!$1:$1,0)))</f>
        <v/>
      </c>
      <c r="S318" s="27">
        <f t="shared" si="7"/>
        <v>0</v>
      </c>
      <c r="T318" s="27" t="str">
        <f t="shared" si="8"/>
        <v/>
      </c>
      <c r="U318" s="1" t="str">
        <f t="array" ref="U318">IFERROR(INDEX('Исходник'!$1:$626,MATCH($A318,'Исходник'!$T:$T,0),MATCH(U$1,'Исходник'!$1:$1,0)))</f>
        <v/>
      </c>
      <c r="V318" s="27" t="str">
        <f t="shared" si="9"/>
        <v/>
      </c>
      <c r="W318" s="1" t="str">
        <f t="array" ref="W318">IFERROR(INDEX('Исходник'!$1:$626,MATCH($A318,'Исходник'!$T:$T,0),MATCH(W$1,'Исходник'!$1:$1,0)))</f>
        <v/>
      </c>
      <c r="X318" s="28">
        <f t="shared" si="10"/>
        <v>0</v>
      </c>
      <c r="Y318" s="1" t="str">
        <f t="array" ref="Y318">IFERROR(INDEX('Исходник'!$1:$626,MATCH($A318,'Исходник'!$T:$T,0),MATCH(Y$1,'Исходник'!$1:$1,0)))</f>
        <v/>
      </c>
      <c r="Z318" s="27">
        <f t="shared" si="11"/>
        <v>0</v>
      </c>
      <c r="AA318" s="27" t="str">
        <f t="shared" si="12"/>
        <v/>
      </c>
      <c r="AB318" s="1" t="str">
        <f t="array" ref="AB318">IFERROR(INDEX('Исходник'!$1:$626,MATCH($A318,'Исходник'!$T:$T,0),MATCH(AB$1,'Исходник'!$1:$1,0)))</f>
        <v/>
      </c>
      <c r="AC318" s="1" t="str">
        <f t="array" ref="AC318">IFERROR(INDEX('Исходник'!$1:$626,MATCH($A318,'Исходник'!$T:$T,0),MATCH(AC$1,'Исходник'!$1:$1,0)))</f>
        <v/>
      </c>
      <c r="AD318" s="27" t="str">
        <f t="shared" si="13"/>
        <v/>
      </c>
      <c r="AE318" s="1" t="str">
        <f t="array" ref="AE318">IFERROR(INDEX('Исходник'!$1:$626,MATCH($A318,'Исходник'!$T:$T,0),MATCH(AE$1,'Исходник'!$1:$1,0)))</f>
        <v/>
      </c>
      <c r="AF318" s="1" t="str">
        <f t="array" ref="AF318">IFERROR(INDEX('Исходник'!$1:$626,MATCH($A318,'Исходник'!$T:$T,0),MATCH(AF$1,'Исходник'!$1:$1,0)))</f>
        <v/>
      </c>
      <c r="AG318" s="27" t="str">
        <f t="shared" si="14"/>
        <v/>
      </c>
      <c r="AH318" s="1" t="str">
        <f t="array" ref="AH318">IFERROR(INDEX('Исходник'!$1:$626,MATCH($A318,'Исходник'!$T:$T,0),MATCH(AH$1,'Исходник'!$1:$1,0)))</f>
        <v/>
      </c>
      <c r="AI318" s="1" t="str">
        <f t="array" ref="AI318">IFERROR(INDEX('Исходник'!$1:$626,MATCH($A318,'Исходник'!$T:$T,0),MATCH(AI$1,'Исходник'!$1:$1,0)))</f>
        <v/>
      </c>
      <c r="AJ318" s="18">
        <f t="shared" si="15"/>
        <v>0</v>
      </c>
    </row>
    <row r="319" ht="15.75" customHeight="1">
      <c r="A319" s="27"/>
      <c r="B319" s="1" t="str">
        <f t="array" ref="B319">IFERROR(INDEX('Исходник'!$1:$626,MATCH($A319,'Исходник'!$T:$T,0),MATCH(B$1,'Исходник'!$1:$1,0)))</f>
        <v/>
      </c>
      <c r="C319" s="1" t="str">
        <f t="array" ref="C319">IFERROR(INDEX('Исходник'!$1:$626,MATCH($A319,'Исходник'!$T:$T,0),MATCH(C$1,'Исходник'!$1:$1,0)))</f>
        <v/>
      </c>
      <c r="D319" s="1" t="str">
        <f t="array" ref="D319">IFERROR(INDEX('Исходник'!$1:$626,MATCH($A319,'Исходник'!$T:$T,0),MATCH(D$1,'Исходник'!$1:$1,0)))</f>
        <v/>
      </c>
      <c r="E319" s="1" t="str">
        <f t="array" ref="E319">IFERROR(INDEX('Исходник'!$1:$626,MATCH($A319,'Исходник'!$T:$T,0),MATCH(E$1,'Исходник'!$1:$1,0)))</f>
        <v/>
      </c>
      <c r="F319" s="1" t="str">
        <f t="array" ref="F319">IFERROR(INDEX('Исходник'!$1:$626,MATCH($A319,'Исходник'!$T:$T,0),MATCH(F$1,'Исходник'!$1:$1,0)))</f>
        <v/>
      </c>
      <c r="G319" s="1" t="str">
        <f t="array" ref="G319">IFERROR(INDEX('Исходник'!$1:$626,MATCH($A319,'Исходник'!$T:$T,0),MATCH(G$1,'Исходник'!$1:$1,0)))</f>
        <v/>
      </c>
      <c r="H319" s="27">
        <f t="shared" si="1"/>
        <v>0</v>
      </c>
      <c r="I319" s="27" t="str">
        <f t="shared" si="2"/>
        <v/>
      </c>
      <c r="J319" s="1" t="str">
        <f t="array" ref="J319">IFERROR(INDEX('Исходник'!$1:$626,MATCH($A319,'Исходник'!$T:$T,0),MATCH(J$1,'Исходник'!$1:$1,0)))</f>
        <v/>
      </c>
      <c r="K319" s="27" t="str">
        <f t="shared" si="3"/>
        <v/>
      </c>
      <c r="L319" s="1" t="str">
        <f t="array" ref="L319">IFERROR(INDEX('Исходник'!$1:$626,MATCH($A319,'Исходник'!$T:$T,0),MATCH(L$1,'Исходник'!$1:$1,0)))</f>
        <v/>
      </c>
      <c r="M319" s="28">
        <f t="shared" si="4"/>
        <v>0</v>
      </c>
      <c r="N319" s="1" t="str">
        <f t="array" ref="N319">IFERROR(INDEX('Исходник'!$1:$626,MATCH($A319,'Исходник'!$T:$T,0),MATCH(N$1,'Исходник'!$1:$1,0)))</f>
        <v/>
      </c>
      <c r="O319" s="27">
        <f t="shared" si="5"/>
        <v>0</v>
      </c>
      <c r="P319" s="27" t="str">
        <f t="shared" si="6"/>
        <v/>
      </c>
      <c r="Q319" s="1" t="str">
        <f t="array" ref="Q319">IFERROR(INDEX('Исходник'!$1:$626,MATCH($A319,'Исходник'!$T:$T,0),MATCH(Q$1,'Исходник'!$1:$1,0)))</f>
        <v/>
      </c>
      <c r="R319" s="1" t="str">
        <f t="array" ref="R319">IFERROR(INDEX('Исходник'!$1:$626,MATCH($A319,'Исходник'!$T:$T,0),MATCH(R$1,'Исходник'!$1:$1,0)))</f>
        <v/>
      </c>
      <c r="S319" s="27">
        <f t="shared" si="7"/>
        <v>0</v>
      </c>
      <c r="T319" s="27" t="str">
        <f t="shared" si="8"/>
        <v/>
      </c>
      <c r="U319" s="1" t="str">
        <f t="array" ref="U319">IFERROR(INDEX('Исходник'!$1:$626,MATCH($A319,'Исходник'!$T:$T,0),MATCH(U$1,'Исходник'!$1:$1,0)))</f>
        <v/>
      </c>
      <c r="V319" s="27" t="str">
        <f t="shared" si="9"/>
        <v/>
      </c>
      <c r="W319" s="1" t="str">
        <f t="array" ref="W319">IFERROR(INDEX('Исходник'!$1:$626,MATCH($A319,'Исходник'!$T:$T,0),MATCH(W$1,'Исходник'!$1:$1,0)))</f>
        <v/>
      </c>
      <c r="X319" s="28">
        <f t="shared" si="10"/>
        <v>0</v>
      </c>
      <c r="Y319" s="1" t="str">
        <f t="array" ref="Y319">IFERROR(INDEX('Исходник'!$1:$626,MATCH($A319,'Исходник'!$T:$T,0),MATCH(Y$1,'Исходник'!$1:$1,0)))</f>
        <v/>
      </c>
      <c r="Z319" s="27">
        <f t="shared" si="11"/>
        <v>0</v>
      </c>
      <c r="AA319" s="27" t="str">
        <f t="shared" si="12"/>
        <v/>
      </c>
      <c r="AB319" s="1" t="str">
        <f t="array" ref="AB319">IFERROR(INDEX('Исходник'!$1:$626,MATCH($A319,'Исходник'!$T:$T,0),MATCH(AB$1,'Исходник'!$1:$1,0)))</f>
        <v/>
      </c>
      <c r="AC319" s="1" t="str">
        <f t="array" ref="AC319">IFERROR(INDEX('Исходник'!$1:$626,MATCH($A319,'Исходник'!$T:$T,0),MATCH(AC$1,'Исходник'!$1:$1,0)))</f>
        <v/>
      </c>
      <c r="AD319" s="27" t="str">
        <f t="shared" si="13"/>
        <v/>
      </c>
      <c r="AE319" s="1" t="str">
        <f t="array" ref="AE319">IFERROR(INDEX('Исходник'!$1:$626,MATCH($A319,'Исходник'!$T:$T,0),MATCH(AE$1,'Исходник'!$1:$1,0)))</f>
        <v/>
      </c>
      <c r="AF319" s="1" t="str">
        <f t="array" ref="AF319">IFERROR(INDEX('Исходник'!$1:$626,MATCH($A319,'Исходник'!$T:$T,0),MATCH(AF$1,'Исходник'!$1:$1,0)))</f>
        <v/>
      </c>
      <c r="AG319" s="27" t="str">
        <f t="shared" si="14"/>
        <v/>
      </c>
      <c r="AH319" s="1" t="str">
        <f t="array" ref="AH319">IFERROR(INDEX('Исходник'!$1:$626,MATCH($A319,'Исходник'!$T:$T,0),MATCH(AH$1,'Исходник'!$1:$1,0)))</f>
        <v/>
      </c>
      <c r="AI319" s="1" t="str">
        <f t="array" ref="AI319">IFERROR(INDEX('Исходник'!$1:$626,MATCH($A319,'Исходник'!$T:$T,0),MATCH(AI$1,'Исходник'!$1:$1,0)))</f>
        <v/>
      </c>
      <c r="AJ319" s="18">
        <f t="shared" si="15"/>
        <v>0</v>
      </c>
    </row>
    <row r="320" ht="15.75" customHeight="1">
      <c r="A320" s="27"/>
      <c r="B320" s="1" t="str">
        <f t="array" ref="B320">IFERROR(INDEX('Исходник'!$1:$626,MATCH($A320,'Исходник'!$T:$T,0),MATCH(B$1,'Исходник'!$1:$1,0)))</f>
        <v/>
      </c>
      <c r="C320" s="1" t="str">
        <f t="array" ref="C320">IFERROR(INDEX('Исходник'!$1:$626,MATCH($A320,'Исходник'!$T:$T,0),MATCH(C$1,'Исходник'!$1:$1,0)))</f>
        <v/>
      </c>
      <c r="D320" s="1" t="str">
        <f t="array" ref="D320">IFERROR(INDEX('Исходник'!$1:$626,MATCH($A320,'Исходник'!$T:$T,0),MATCH(D$1,'Исходник'!$1:$1,0)))</f>
        <v/>
      </c>
      <c r="E320" s="1" t="str">
        <f t="array" ref="E320">IFERROR(INDEX('Исходник'!$1:$626,MATCH($A320,'Исходник'!$T:$T,0),MATCH(E$1,'Исходник'!$1:$1,0)))</f>
        <v/>
      </c>
      <c r="F320" s="1" t="str">
        <f t="array" ref="F320">IFERROR(INDEX('Исходник'!$1:$626,MATCH($A320,'Исходник'!$T:$T,0),MATCH(F$1,'Исходник'!$1:$1,0)))</f>
        <v/>
      </c>
      <c r="G320" s="1" t="str">
        <f t="array" ref="G320">IFERROR(INDEX('Исходник'!$1:$626,MATCH($A320,'Исходник'!$T:$T,0),MATCH(G$1,'Исходник'!$1:$1,0)))</f>
        <v/>
      </c>
      <c r="H320" s="27">
        <f t="shared" si="1"/>
        <v>0</v>
      </c>
      <c r="I320" s="27" t="str">
        <f t="shared" si="2"/>
        <v/>
      </c>
      <c r="J320" s="1" t="str">
        <f t="array" ref="J320">IFERROR(INDEX('Исходник'!$1:$626,MATCH($A320,'Исходник'!$T:$T,0),MATCH(J$1,'Исходник'!$1:$1,0)))</f>
        <v/>
      </c>
      <c r="K320" s="27" t="str">
        <f t="shared" si="3"/>
        <v/>
      </c>
      <c r="L320" s="1" t="str">
        <f t="array" ref="L320">IFERROR(INDEX('Исходник'!$1:$626,MATCH($A320,'Исходник'!$T:$T,0),MATCH(L$1,'Исходник'!$1:$1,0)))</f>
        <v/>
      </c>
      <c r="M320" s="28">
        <f t="shared" si="4"/>
        <v>0</v>
      </c>
      <c r="N320" s="1" t="str">
        <f t="array" ref="N320">IFERROR(INDEX('Исходник'!$1:$626,MATCH($A320,'Исходник'!$T:$T,0),MATCH(N$1,'Исходник'!$1:$1,0)))</f>
        <v/>
      </c>
      <c r="O320" s="27">
        <f t="shared" si="5"/>
        <v>0</v>
      </c>
      <c r="P320" s="27" t="str">
        <f t="shared" si="6"/>
        <v/>
      </c>
      <c r="Q320" s="1" t="str">
        <f t="array" ref="Q320">IFERROR(INDEX('Исходник'!$1:$626,MATCH($A320,'Исходник'!$T:$T,0),MATCH(Q$1,'Исходник'!$1:$1,0)))</f>
        <v/>
      </c>
      <c r="R320" s="1" t="str">
        <f t="array" ref="R320">IFERROR(INDEX('Исходник'!$1:$626,MATCH($A320,'Исходник'!$T:$T,0),MATCH(R$1,'Исходник'!$1:$1,0)))</f>
        <v/>
      </c>
      <c r="S320" s="27">
        <f t="shared" si="7"/>
        <v>0</v>
      </c>
      <c r="T320" s="27" t="str">
        <f t="shared" si="8"/>
        <v/>
      </c>
      <c r="U320" s="1" t="str">
        <f t="array" ref="U320">IFERROR(INDEX('Исходник'!$1:$626,MATCH($A320,'Исходник'!$T:$T,0),MATCH(U$1,'Исходник'!$1:$1,0)))</f>
        <v/>
      </c>
      <c r="V320" s="27" t="str">
        <f t="shared" si="9"/>
        <v/>
      </c>
      <c r="W320" s="1" t="str">
        <f t="array" ref="W320">IFERROR(INDEX('Исходник'!$1:$626,MATCH($A320,'Исходник'!$T:$T,0),MATCH(W$1,'Исходник'!$1:$1,0)))</f>
        <v/>
      </c>
      <c r="X320" s="28">
        <f t="shared" si="10"/>
        <v>0</v>
      </c>
      <c r="Y320" s="1" t="str">
        <f t="array" ref="Y320">IFERROR(INDEX('Исходник'!$1:$626,MATCH($A320,'Исходник'!$T:$T,0),MATCH(Y$1,'Исходник'!$1:$1,0)))</f>
        <v/>
      </c>
      <c r="Z320" s="27">
        <f t="shared" si="11"/>
        <v>0</v>
      </c>
      <c r="AA320" s="27" t="str">
        <f t="shared" si="12"/>
        <v/>
      </c>
      <c r="AB320" s="1" t="str">
        <f t="array" ref="AB320">IFERROR(INDEX('Исходник'!$1:$626,MATCH($A320,'Исходник'!$T:$T,0),MATCH(AB$1,'Исходник'!$1:$1,0)))</f>
        <v/>
      </c>
      <c r="AC320" s="1" t="str">
        <f t="array" ref="AC320">IFERROR(INDEX('Исходник'!$1:$626,MATCH($A320,'Исходник'!$T:$T,0),MATCH(AC$1,'Исходник'!$1:$1,0)))</f>
        <v/>
      </c>
      <c r="AD320" s="27" t="str">
        <f t="shared" si="13"/>
        <v/>
      </c>
      <c r="AE320" s="1" t="str">
        <f t="array" ref="AE320">IFERROR(INDEX('Исходник'!$1:$626,MATCH($A320,'Исходник'!$T:$T,0),MATCH(AE$1,'Исходник'!$1:$1,0)))</f>
        <v/>
      </c>
      <c r="AF320" s="1" t="str">
        <f t="array" ref="AF320">IFERROR(INDEX('Исходник'!$1:$626,MATCH($A320,'Исходник'!$T:$T,0),MATCH(AF$1,'Исходник'!$1:$1,0)))</f>
        <v/>
      </c>
      <c r="AG320" s="27" t="str">
        <f t="shared" si="14"/>
        <v/>
      </c>
      <c r="AH320" s="1" t="str">
        <f t="array" ref="AH320">IFERROR(INDEX('Исходник'!$1:$626,MATCH($A320,'Исходник'!$T:$T,0),MATCH(AH$1,'Исходник'!$1:$1,0)))</f>
        <v/>
      </c>
      <c r="AI320" s="1" t="str">
        <f t="array" ref="AI320">IFERROR(INDEX('Исходник'!$1:$626,MATCH($A320,'Исходник'!$T:$T,0),MATCH(AI$1,'Исходник'!$1:$1,0)))</f>
        <v/>
      </c>
      <c r="AJ320" s="18">
        <f t="shared" si="15"/>
        <v>0</v>
      </c>
    </row>
    <row r="321" ht="15.75" customHeight="1">
      <c r="A321" s="27"/>
      <c r="B321" s="1" t="str">
        <f t="array" ref="B321">IFERROR(INDEX('Исходник'!$1:$626,MATCH($A321,'Исходник'!$T:$T,0),MATCH(B$1,'Исходник'!$1:$1,0)))</f>
        <v/>
      </c>
      <c r="C321" s="1" t="str">
        <f t="array" ref="C321">IFERROR(INDEX('Исходник'!$1:$626,MATCH($A321,'Исходник'!$T:$T,0),MATCH(C$1,'Исходник'!$1:$1,0)))</f>
        <v/>
      </c>
      <c r="D321" s="1" t="str">
        <f t="array" ref="D321">IFERROR(INDEX('Исходник'!$1:$626,MATCH($A321,'Исходник'!$T:$T,0),MATCH(D$1,'Исходник'!$1:$1,0)))</f>
        <v/>
      </c>
      <c r="E321" s="1" t="str">
        <f t="array" ref="E321">IFERROR(INDEX('Исходник'!$1:$626,MATCH($A321,'Исходник'!$T:$T,0),MATCH(E$1,'Исходник'!$1:$1,0)))</f>
        <v/>
      </c>
      <c r="F321" s="1" t="str">
        <f t="array" ref="F321">IFERROR(INDEX('Исходник'!$1:$626,MATCH($A321,'Исходник'!$T:$T,0),MATCH(F$1,'Исходник'!$1:$1,0)))</f>
        <v/>
      </c>
      <c r="G321" s="1" t="str">
        <f t="array" ref="G321">IFERROR(INDEX('Исходник'!$1:$626,MATCH($A321,'Исходник'!$T:$T,0),MATCH(G$1,'Исходник'!$1:$1,0)))</f>
        <v/>
      </c>
      <c r="H321" s="27">
        <f t="shared" si="1"/>
        <v>0</v>
      </c>
      <c r="I321" s="27" t="str">
        <f t="shared" si="2"/>
        <v/>
      </c>
      <c r="J321" s="1" t="str">
        <f t="array" ref="J321">IFERROR(INDEX('Исходник'!$1:$626,MATCH($A321,'Исходник'!$T:$T,0),MATCH(J$1,'Исходник'!$1:$1,0)))</f>
        <v/>
      </c>
      <c r="K321" s="27" t="str">
        <f t="shared" si="3"/>
        <v/>
      </c>
      <c r="L321" s="1" t="str">
        <f t="array" ref="L321">IFERROR(INDEX('Исходник'!$1:$626,MATCH($A321,'Исходник'!$T:$T,0),MATCH(L$1,'Исходник'!$1:$1,0)))</f>
        <v/>
      </c>
      <c r="M321" s="28">
        <f t="shared" si="4"/>
        <v>0</v>
      </c>
      <c r="N321" s="1" t="str">
        <f t="array" ref="N321">IFERROR(INDEX('Исходник'!$1:$626,MATCH($A321,'Исходник'!$T:$T,0),MATCH(N$1,'Исходник'!$1:$1,0)))</f>
        <v/>
      </c>
      <c r="O321" s="27">
        <f t="shared" si="5"/>
        <v>0</v>
      </c>
      <c r="P321" s="27" t="str">
        <f t="shared" si="6"/>
        <v/>
      </c>
      <c r="Q321" s="1" t="str">
        <f t="array" ref="Q321">IFERROR(INDEX('Исходник'!$1:$626,MATCH($A321,'Исходник'!$T:$T,0),MATCH(Q$1,'Исходник'!$1:$1,0)))</f>
        <v/>
      </c>
      <c r="R321" s="1" t="str">
        <f t="array" ref="R321">IFERROR(INDEX('Исходник'!$1:$626,MATCH($A321,'Исходник'!$T:$T,0),MATCH(R$1,'Исходник'!$1:$1,0)))</f>
        <v/>
      </c>
      <c r="S321" s="27">
        <f t="shared" si="7"/>
        <v>0</v>
      </c>
      <c r="T321" s="27" t="str">
        <f t="shared" si="8"/>
        <v/>
      </c>
      <c r="U321" s="1" t="str">
        <f t="array" ref="U321">IFERROR(INDEX('Исходник'!$1:$626,MATCH($A321,'Исходник'!$T:$T,0),MATCH(U$1,'Исходник'!$1:$1,0)))</f>
        <v/>
      </c>
      <c r="V321" s="27" t="str">
        <f t="shared" si="9"/>
        <v/>
      </c>
      <c r="W321" s="1" t="str">
        <f t="array" ref="W321">IFERROR(INDEX('Исходник'!$1:$626,MATCH($A321,'Исходник'!$T:$T,0),MATCH(W$1,'Исходник'!$1:$1,0)))</f>
        <v/>
      </c>
      <c r="X321" s="28">
        <f t="shared" si="10"/>
        <v>0</v>
      </c>
      <c r="Y321" s="1" t="str">
        <f t="array" ref="Y321">IFERROR(INDEX('Исходник'!$1:$626,MATCH($A321,'Исходник'!$T:$T,0),MATCH(Y$1,'Исходник'!$1:$1,0)))</f>
        <v/>
      </c>
      <c r="Z321" s="27">
        <f t="shared" si="11"/>
        <v>0</v>
      </c>
      <c r="AA321" s="27" t="str">
        <f t="shared" si="12"/>
        <v/>
      </c>
      <c r="AB321" s="1" t="str">
        <f t="array" ref="AB321">IFERROR(INDEX('Исходник'!$1:$626,MATCH($A321,'Исходник'!$T:$T,0),MATCH(AB$1,'Исходник'!$1:$1,0)))</f>
        <v/>
      </c>
      <c r="AC321" s="1" t="str">
        <f t="array" ref="AC321">IFERROR(INDEX('Исходник'!$1:$626,MATCH($A321,'Исходник'!$T:$T,0),MATCH(AC$1,'Исходник'!$1:$1,0)))</f>
        <v/>
      </c>
      <c r="AD321" s="27" t="str">
        <f t="shared" si="13"/>
        <v/>
      </c>
      <c r="AE321" s="1" t="str">
        <f t="array" ref="AE321">IFERROR(INDEX('Исходник'!$1:$626,MATCH($A321,'Исходник'!$T:$T,0),MATCH(AE$1,'Исходник'!$1:$1,0)))</f>
        <v/>
      </c>
      <c r="AF321" s="1" t="str">
        <f t="array" ref="AF321">IFERROR(INDEX('Исходник'!$1:$626,MATCH($A321,'Исходник'!$T:$T,0),MATCH(AF$1,'Исходник'!$1:$1,0)))</f>
        <v/>
      </c>
      <c r="AG321" s="27" t="str">
        <f t="shared" si="14"/>
        <v/>
      </c>
      <c r="AH321" s="1" t="str">
        <f t="array" ref="AH321">IFERROR(INDEX('Исходник'!$1:$626,MATCH($A321,'Исходник'!$T:$T,0),MATCH(AH$1,'Исходник'!$1:$1,0)))</f>
        <v/>
      </c>
      <c r="AI321" s="1" t="str">
        <f t="array" ref="AI321">IFERROR(INDEX('Исходник'!$1:$626,MATCH($A321,'Исходник'!$T:$T,0),MATCH(AI$1,'Исходник'!$1:$1,0)))</f>
        <v/>
      </c>
      <c r="AJ321" s="18">
        <f t="shared" si="15"/>
        <v>0</v>
      </c>
    </row>
    <row r="322" ht="15.75" customHeight="1">
      <c r="A322" s="27"/>
      <c r="B322" s="1" t="str">
        <f t="array" ref="B322">IFERROR(INDEX('Исходник'!$1:$626,MATCH($A322,'Исходник'!$T:$T,0),MATCH(B$1,'Исходник'!$1:$1,0)))</f>
        <v/>
      </c>
      <c r="C322" s="1" t="str">
        <f t="array" ref="C322">IFERROR(INDEX('Исходник'!$1:$626,MATCH($A322,'Исходник'!$T:$T,0),MATCH(C$1,'Исходник'!$1:$1,0)))</f>
        <v/>
      </c>
      <c r="D322" s="1" t="str">
        <f t="array" ref="D322">IFERROR(INDEX('Исходник'!$1:$626,MATCH($A322,'Исходник'!$T:$T,0),MATCH(D$1,'Исходник'!$1:$1,0)))</f>
        <v/>
      </c>
      <c r="E322" s="1" t="str">
        <f t="array" ref="E322">IFERROR(INDEX('Исходник'!$1:$626,MATCH($A322,'Исходник'!$T:$T,0),MATCH(E$1,'Исходник'!$1:$1,0)))</f>
        <v/>
      </c>
      <c r="F322" s="1" t="str">
        <f t="array" ref="F322">IFERROR(INDEX('Исходник'!$1:$626,MATCH($A322,'Исходник'!$T:$T,0),MATCH(F$1,'Исходник'!$1:$1,0)))</f>
        <v/>
      </c>
      <c r="G322" s="1" t="str">
        <f t="array" ref="G322">IFERROR(INDEX('Исходник'!$1:$626,MATCH($A322,'Исходник'!$T:$T,0),MATCH(G$1,'Исходник'!$1:$1,0)))</f>
        <v/>
      </c>
      <c r="H322" s="27">
        <f t="shared" si="1"/>
        <v>0</v>
      </c>
      <c r="I322" s="27" t="str">
        <f t="shared" si="2"/>
        <v/>
      </c>
      <c r="J322" s="1" t="str">
        <f t="array" ref="J322">IFERROR(INDEX('Исходник'!$1:$626,MATCH($A322,'Исходник'!$T:$T,0),MATCH(J$1,'Исходник'!$1:$1,0)))</f>
        <v/>
      </c>
      <c r="K322" s="27" t="str">
        <f t="shared" si="3"/>
        <v/>
      </c>
      <c r="L322" s="1" t="str">
        <f t="array" ref="L322">IFERROR(INDEX('Исходник'!$1:$626,MATCH($A322,'Исходник'!$T:$T,0),MATCH(L$1,'Исходник'!$1:$1,0)))</f>
        <v/>
      </c>
      <c r="M322" s="28">
        <f t="shared" si="4"/>
        <v>0</v>
      </c>
      <c r="N322" s="1" t="str">
        <f t="array" ref="N322">IFERROR(INDEX('Исходник'!$1:$626,MATCH($A322,'Исходник'!$T:$T,0),MATCH(N$1,'Исходник'!$1:$1,0)))</f>
        <v/>
      </c>
      <c r="O322" s="27">
        <f t="shared" si="5"/>
        <v>0</v>
      </c>
      <c r="P322" s="27" t="str">
        <f t="shared" si="6"/>
        <v/>
      </c>
      <c r="Q322" s="1" t="str">
        <f t="array" ref="Q322">IFERROR(INDEX('Исходник'!$1:$626,MATCH($A322,'Исходник'!$T:$T,0),MATCH(Q$1,'Исходник'!$1:$1,0)))</f>
        <v/>
      </c>
      <c r="R322" s="1" t="str">
        <f t="array" ref="R322">IFERROR(INDEX('Исходник'!$1:$626,MATCH($A322,'Исходник'!$T:$T,0),MATCH(R$1,'Исходник'!$1:$1,0)))</f>
        <v/>
      </c>
      <c r="S322" s="27">
        <f t="shared" si="7"/>
        <v>0</v>
      </c>
      <c r="T322" s="27" t="str">
        <f t="shared" si="8"/>
        <v/>
      </c>
      <c r="U322" s="1" t="str">
        <f t="array" ref="U322">IFERROR(INDEX('Исходник'!$1:$626,MATCH($A322,'Исходник'!$T:$T,0),MATCH(U$1,'Исходник'!$1:$1,0)))</f>
        <v/>
      </c>
      <c r="V322" s="27" t="str">
        <f t="shared" si="9"/>
        <v/>
      </c>
      <c r="W322" s="1" t="str">
        <f t="array" ref="W322">IFERROR(INDEX('Исходник'!$1:$626,MATCH($A322,'Исходник'!$T:$T,0),MATCH(W$1,'Исходник'!$1:$1,0)))</f>
        <v/>
      </c>
      <c r="X322" s="28">
        <f t="shared" si="10"/>
        <v>0</v>
      </c>
      <c r="Y322" s="1" t="str">
        <f t="array" ref="Y322">IFERROR(INDEX('Исходник'!$1:$626,MATCH($A322,'Исходник'!$T:$T,0),MATCH(Y$1,'Исходник'!$1:$1,0)))</f>
        <v/>
      </c>
      <c r="Z322" s="27">
        <f t="shared" si="11"/>
        <v>0</v>
      </c>
      <c r="AA322" s="27" t="str">
        <f t="shared" si="12"/>
        <v/>
      </c>
      <c r="AB322" s="1" t="str">
        <f t="array" ref="AB322">IFERROR(INDEX('Исходник'!$1:$626,MATCH($A322,'Исходник'!$T:$T,0),MATCH(AB$1,'Исходник'!$1:$1,0)))</f>
        <v/>
      </c>
      <c r="AC322" s="1" t="str">
        <f t="array" ref="AC322">IFERROR(INDEX('Исходник'!$1:$626,MATCH($A322,'Исходник'!$T:$T,0),MATCH(AC$1,'Исходник'!$1:$1,0)))</f>
        <v/>
      </c>
      <c r="AD322" s="27" t="str">
        <f t="shared" si="13"/>
        <v/>
      </c>
      <c r="AE322" s="1" t="str">
        <f t="array" ref="AE322">IFERROR(INDEX('Исходник'!$1:$626,MATCH($A322,'Исходник'!$T:$T,0),MATCH(AE$1,'Исходник'!$1:$1,0)))</f>
        <v/>
      </c>
      <c r="AF322" s="1" t="str">
        <f t="array" ref="AF322">IFERROR(INDEX('Исходник'!$1:$626,MATCH($A322,'Исходник'!$T:$T,0),MATCH(AF$1,'Исходник'!$1:$1,0)))</f>
        <v/>
      </c>
      <c r="AG322" s="27" t="str">
        <f t="shared" si="14"/>
        <v/>
      </c>
      <c r="AH322" s="1" t="str">
        <f t="array" ref="AH322">IFERROR(INDEX('Исходник'!$1:$626,MATCH($A322,'Исходник'!$T:$T,0),MATCH(AH$1,'Исходник'!$1:$1,0)))</f>
        <v/>
      </c>
      <c r="AI322" s="1" t="str">
        <f t="array" ref="AI322">IFERROR(INDEX('Исходник'!$1:$626,MATCH($A322,'Исходник'!$T:$T,0),MATCH(AI$1,'Исходник'!$1:$1,0)))</f>
        <v/>
      </c>
      <c r="AJ322" s="18">
        <f t="shared" si="15"/>
        <v>0</v>
      </c>
    </row>
    <row r="323" ht="15.75" customHeight="1">
      <c r="A323" s="27"/>
      <c r="B323" s="1" t="str">
        <f t="array" ref="B323">IFERROR(INDEX('Исходник'!$1:$626,MATCH($A323,'Исходник'!$T:$T,0),MATCH(B$1,'Исходник'!$1:$1,0)))</f>
        <v/>
      </c>
      <c r="C323" s="1" t="str">
        <f t="array" ref="C323">IFERROR(INDEX('Исходник'!$1:$626,MATCH($A323,'Исходник'!$T:$T,0),MATCH(C$1,'Исходник'!$1:$1,0)))</f>
        <v/>
      </c>
      <c r="D323" s="1" t="str">
        <f t="array" ref="D323">IFERROR(INDEX('Исходник'!$1:$626,MATCH($A323,'Исходник'!$T:$T,0),MATCH(D$1,'Исходник'!$1:$1,0)))</f>
        <v/>
      </c>
      <c r="E323" s="1" t="str">
        <f t="array" ref="E323">IFERROR(INDEX('Исходник'!$1:$626,MATCH($A323,'Исходник'!$T:$T,0),MATCH(E$1,'Исходник'!$1:$1,0)))</f>
        <v/>
      </c>
      <c r="F323" s="1" t="str">
        <f t="array" ref="F323">IFERROR(INDEX('Исходник'!$1:$626,MATCH($A323,'Исходник'!$T:$T,0),MATCH(F$1,'Исходник'!$1:$1,0)))</f>
        <v/>
      </c>
      <c r="G323" s="1" t="str">
        <f t="array" ref="G323">IFERROR(INDEX('Исходник'!$1:$626,MATCH($A323,'Исходник'!$T:$T,0),MATCH(G$1,'Исходник'!$1:$1,0)))</f>
        <v/>
      </c>
      <c r="H323" s="27">
        <f t="shared" si="1"/>
        <v>0</v>
      </c>
      <c r="I323" s="27" t="str">
        <f t="shared" si="2"/>
        <v/>
      </c>
      <c r="J323" s="1" t="str">
        <f t="array" ref="J323">IFERROR(INDEX('Исходник'!$1:$626,MATCH($A323,'Исходник'!$T:$T,0),MATCH(J$1,'Исходник'!$1:$1,0)))</f>
        <v/>
      </c>
      <c r="K323" s="27" t="str">
        <f t="shared" si="3"/>
        <v/>
      </c>
      <c r="L323" s="1" t="str">
        <f t="array" ref="L323">IFERROR(INDEX('Исходник'!$1:$626,MATCH($A323,'Исходник'!$T:$T,0),MATCH(L$1,'Исходник'!$1:$1,0)))</f>
        <v/>
      </c>
      <c r="M323" s="28">
        <f t="shared" si="4"/>
        <v>0</v>
      </c>
      <c r="N323" s="1" t="str">
        <f t="array" ref="N323">IFERROR(INDEX('Исходник'!$1:$626,MATCH($A323,'Исходник'!$T:$T,0),MATCH(N$1,'Исходник'!$1:$1,0)))</f>
        <v/>
      </c>
      <c r="O323" s="27">
        <f t="shared" si="5"/>
        <v>0</v>
      </c>
      <c r="P323" s="27" t="str">
        <f t="shared" si="6"/>
        <v/>
      </c>
      <c r="Q323" s="1" t="str">
        <f t="array" ref="Q323">IFERROR(INDEX('Исходник'!$1:$626,MATCH($A323,'Исходник'!$T:$T,0),MATCH(Q$1,'Исходник'!$1:$1,0)))</f>
        <v/>
      </c>
      <c r="R323" s="1" t="str">
        <f t="array" ref="R323">IFERROR(INDEX('Исходник'!$1:$626,MATCH($A323,'Исходник'!$T:$T,0),MATCH(R$1,'Исходник'!$1:$1,0)))</f>
        <v/>
      </c>
      <c r="S323" s="27">
        <f t="shared" si="7"/>
        <v>0</v>
      </c>
      <c r="T323" s="27" t="str">
        <f t="shared" si="8"/>
        <v/>
      </c>
      <c r="U323" s="1" t="str">
        <f t="array" ref="U323">IFERROR(INDEX('Исходник'!$1:$626,MATCH($A323,'Исходник'!$T:$T,0),MATCH(U$1,'Исходник'!$1:$1,0)))</f>
        <v/>
      </c>
      <c r="V323" s="27" t="str">
        <f t="shared" si="9"/>
        <v/>
      </c>
      <c r="W323" s="1" t="str">
        <f t="array" ref="W323">IFERROR(INDEX('Исходник'!$1:$626,MATCH($A323,'Исходник'!$T:$T,0),MATCH(W$1,'Исходник'!$1:$1,0)))</f>
        <v/>
      </c>
      <c r="X323" s="28">
        <f t="shared" si="10"/>
        <v>0</v>
      </c>
      <c r="Y323" s="1" t="str">
        <f t="array" ref="Y323">IFERROR(INDEX('Исходник'!$1:$626,MATCH($A323,'Исходник'!$T:$T,0),MATCH(Y$1,'Исходник'!$1:$1,0)))</f>
        <v/>
      </c>
      <c r="Z323" s="27">
        <f t="shared" si="11"/>
        <v>0</v>
      </c>
      <c r="AA323" s="27" t="str">
        <f t="shared" si="12"/>
        <v/>
      </c>
      <c r="AB323" s="1" t="str">
        <f t="array" ref="AB323">IFERROR(INDEX('Исходник'!$1:$626,MATCH($A323,'Исходник'!$T:$T,0),MATCH(AB$1,'Исходник'!$1:$1,0)))</f>
        <v/>
      </c>
      <c r="AC323" s="1" t="str">
        <f t="array" ref="AC323">IFERROR(INDEX('Исходник'!$1:$626,MATCH($A323,'Исходник'!$T:$T,0),MATCH(AC$1,'Исходник'!$1:$1,0)))</f>
        <v/>
      </c>
      <c r="AD323" s="27" t="str">
        <f t="shared" si="13"/>
        <v/>
      </c>
      <c r="AE323" s="1" t="str">
        <f t="array" ref="AE323">IFERROR(INDEX('Исходник'!$1:$626,MATCH($A323,'Исходник'!$T:$T,0),MATCH(AE$1,'Исходник'!$1:$1,0)))</f>
        <v/>
      </c>
      <c r="AF323" s="1" t="str">
        <f t="array" ref="AF323">IFERROR(INDEX('Исходник'!$1:$626,MATCH($A323,'Исходник'!$T:$T,0),MATCH(AF$1,'Исходник'!$1:$1,0)))</f>
        <v/>
      </c>
      <c r="AG323" s="27" t="str">
        <f t="shared" si="14"/>
        <v/>
      </c>
      <c r="AH323" s="1" t="str">
        <f t="array" ref="AH323">IFERROR(INDEX('Исходник'!$1:$626,MATCH($A323,'Исходник'!$T:$T,0),MATCH(AH$1,'Исходник'!$1:$1,0)))</f>
        <v/>
      </c>
      <c r="AI323" s="1" t="str">
        <f t="array" ref="AI323">IFERROR(INDEX('Исходник'!$1:$626,MATCH($A323,'Исходник'!$T:$T,0),MATCH(AI$1,'Исходник'!$1:$1,0)))</f>
        <v/>
      </c>
      <c r="AJ323" s="18">
        <f t="shared" si="15"/>
        <v>0</v>
      </c>
    </row>
    <row r="324" ht="15.75" customHeight="1">
      <c r="A324" s="27"/>
      <c r="B324" s="1" t="str">
        <f t="array" ref="B324">IFERROR(INDEX('Исходник'!$1:$626,MATCH($A324,'Исходник'!$T:$T,0),MATCH(B$1,'Исходник'!$1:$1,0)))</f>
        <v/>
      </c>
      <c r="C324" s="1" t="str">
        <f t="array" ref="C324">IFERROR(INDEX('Исходник'!$1:$626,MATCH($A324,'Исходник'!$T:$T,0),MATCH(C$1,'Исходник'!$1:$1,0)))</f>
        <v/>
      </c>
      <c r="D324" s="1" t="str">
        <f t="array" ref="D324">IFERROR(INDEX('Исходник'!$1:$626,MATCH($A324,'Исходник'!$T:$T,0),MATCH(D$1,'Исходник'!$1:$1,0)))</f>
        <v/>
      </c>
      <c r="E324" s="1" t="str">
        <f t="array" ref="E324">IFERROR(INDEX('Исходник'!$1:$626,MATCH($A324,'Исходник'!$T:$T,0),MATCH(E$1,'Исходник'!$1:$1,0)))</f>
        <v/>
      </c>
      <c r="F324" s="1" t="str">
        <f t="array" ref="F324">IFERROR(INDEX('Исходник'!$1:$626,MATCH($A324,'Исходник'!$T:$T,0),MATCH(F$1,'Исходник'!$1:$1,0)))</f>
        <v/>
      </c>
      <c r="G324" s="1" t="str">
        <f t="array" ref="G324">IFERROR(INDEX('Исходник'!$1:$626,MATCH($A324,'Исходник'!$T:$T,0),MATCH(G$1,'Исходник'!$1:$1,0)))</f>
        <v/>
      </c>
      <c r="H324" s="27">
        <f t="shared" si="1"/>
        <v>0</v>
      </c>
      <c r="I324" s="27" t="str">
        <f t="shared" si="2"/>
        <v/>
      </c>
      <c r="J324" s="1" t="str">
        <f t="array" ref="J324">IFERROR(INDEX('Исходник'!$1:$626,MATCH($A324,'Исходник'!$T:$T,0),MATCH(J$1,'Исходник'!$1:$1,0)))</f>
        <v/>
      </c>
      <c r="K324" s="27" t="str">
        <f t="shared" si="3"/>
        <v/>
      </c>
      <c r="L324" s="1" t="str">
        <f t="array" ref="L324">IFERROR(INDEX('Исходник'!$1:$626,MATCH($A324,'Исходник'!$T:$T,0),MATCH(L$1,'Исходник'!$1:$1,0)))</f>
        <v/>
      </c>
      <c r="M324" s="28">
        <f t="shared" si="4"/>
        <v>0</v>
      </c>
      <c r="N324" s="1" t="str">
        <f t="array" ref="N324">IFERROR(INDEX('Исходник'!$1:$626,MATCH($A324,'Исходник'!$T:$T,0),MATCH(N$1,'Исходник'!$1:$1,0)))</f>
        <v/>
      </c>
      <c r="O324" s="27">
        <f t="shared" si="5"/>
        <v>0</v>
      </c>
      <c r="P324" s="27" t="str">
        <f t="shared" si="6"/>
        <v/>
      </c>
      <c r="Q324" s="1" t="str">
        <f t="array" ref="Q324">IFERROR(INDEX('Исходник'!$1:$626,MATCH($A324,'Исходник'!$T:$T,0),MATCH(Q$1,'Исходник'!$1:$1,0)))</f>
        <v/>
      </c>
      <c r="R324" s="1" t="str">
        <f t="array" ref="R324">IFERROR(INDEX('Исходник'!$1:$626,MATCH($A324,'Исходник'!$T:$T,0),MATCH(R$1,'Исходник'!$1:$1,0)))</f>
        <v/>
      </c>
      <c r="S324" s="27">
        <f t="shared" si="7"/>
        <v>0</v>
      </c>
      <c r="T324" s="27" t="str">
        <f t="shared" si="8"/>
        <v/>
      </c>
      <c r="U324" s="1" t="str">
        <f t="array" ref="U324">IFERROR(INDEX('Исходник'!$1:$626,MATCH($A324,'Исходник'!$T:$T,0),MATCH(U$1,'Исходник'!$1:$1,0)))</f>
        <v/>
      </c>
      <c r="V324" s="27" t="str">
        <f t="shared" si="9"/>
        <v/>
      </c>
      <c r="W324" s="1" t="str">
        <f t="array" ref="W324">IFERROR(INDEX('Исходник'!$1:$626,MATCH($A324,'Исходник'!$T:$T,0),MATCH(W$1,'Исходник'!$1:$1,0)))</f>
        <v/>
      </c>
      <c r="X324" s="28">
        <f t="shared" si="10"/>
        <v>0</v>
      </c>
      <c r="Y324" s="1" t="str">
        <f t="array" ref="Y324">IFERROR(INDEX('Исходник'!$1:$626,MATCH($A324,'Исходник'!$T:$T,0),MATCH(Y$1,'Исходник'!$1:$1,0)))</f>
        <v/>
      </c>
      <c r="Z324" s="27">
        <f t="shared" si="11"/>
        <v>0</v>
      </c>
      <c r="AA324" s="27" t="str">
        <f t="shared" si="12"/>
        <v/>
      </c>
      <c r="AB324" s="1" t="str">
        <f t="array" ref="AB324">IFERROR(INDEX('Исходник'!$1:$626,MATCH($A324,'Исходник'!$T:$T,0),MATCH(AB$1,'Исходник'!$1:$1,0)))</f>
        <v/>
      </c>
      <c r="AC324" s="1" t="str">
        <f t="array" ref="AC324">IFERROR(INDEX('Исходник'!$1:$626,MATCH($A324,'Исходник'!$T:$T,0),MATCH(AC$1,'Исходник'!$1:$1,0)))</f>
        <v/>
      </c>
      <c r="AD324" s="27" t="str">
        <f t="shared" si="13"/>
        <v/>
      </c>
      <c r="AE324" s="1" t="str">
        <f t="array" ref="AE324">IFERROR(INDEX('Исходник'!$1:$626,MATCH($A324,'Исходник'!$T:$T,0),MATCH(AE$1,'Исходник'!$1:$1,0)))</f>
        <v/>
      </c>
      <c r="AF324" s="1" t="str">
        <f t="array" ref="AF324">IFERROR(INDEX('Исходник'!$1:$626,MATCH($A324,'Исходник'!$T:$T,0),MATCH(AF$1,'Исходник'!$1:$1,0)))</f>
        <v/>
      </c>
      <c r="AG324" s="27" t="str">
        <f t="shared" si="14"/>
        <v/>
      </c>
      <c r="AH324" s="1" t="str">
        <f t="array" ref="AH324">IFERROR(INDEX('Исходник'!$1:$626,MATCH($A324,'Исходник'!$T:$T,0),MATCH(AH$1,'Исходник'!$1:$1,0)))</f>
        <v/>
      </c>
      <c r="AI324" s="1" t="str">
        <f t="array" ref="AI324">IFERROR(INDEX('Исходник'!$1:$626,MATCH($A324,'Исходник'!$T:$T,0),MATCH(AI$1,'Исходник'!$1:$1,0)))</f>
        <v/>
      </c>
      <c r="AJ324" s="18">
        <f t="shared" si="15"/>
        <v>0</v>
      </c>
    </row>
    <row r="325" ht="15.75" customHeight="1">
      <c r="A325" s="27"/>
      <c r="B325" s="1" t="str">
        <f t="array" ref="B325">IFERROR(INDEX('Исходник'!$1:$626,MATCH($A325,'Исходник'!$T:$T,0),MATCH(B$1,'Исходник'!$1:$1,0)))</f>
        <v/>
      </c>
      <c r="C325" s="1" t="str">
        <f t="array" ref="C325">IFERROR(INDEX('Исходник'!$1:$626,MATCH($A325,'Исходник'!$T:$T,0),MATCH(C$1,'Исходник'!$1:$1,0)))</f>
        <v/>
      </c>
      <c r="D325" s="1" t="str">
        <f t="array" ref="D325">IFERROR(INDEX('Исходник'!$1:$626,MATCH($A325,'Исходник'!$T:$T,0),MATCH(D$1,'Исходник'!$1:$1,0)))</f>
        <v/>
      </c>
      <c r="E325" s="1" t="str">
        <f t="array" ref="E325">IFERROR(INDEX('Исходник'!$1:$626,MATCH($A325,'Исходник'!$T:$T,0),MATCH(E$1,'Исходник'!$1:$1,0)))</f>
        <v/>
      </c>
      <c r="F325" s="1" t="str">
        <f t="array" ref="F325">IFERROR(INDEX('Исходник'!$1:$626,MATCH($A325,'Исходник'!$T:$T,0),MATCH(F$1,'Исходник'!$1:$1,0)))</f>
        <v/>
      </c>
      <c r="G325" s="1" t="str">
        <f t="array" ref="G325">IFERROR(INDEX('Исходник'!$1:$626,MATCH($A325,'Исходник'!$T:$T,0),MATCH(G$1,'Исходник'!$1:$1,0)))</f>
        <v/>
      </c>
      <c r="H325" s="27">
        <f t="shared" si="1"/>
        <v>0</v>
      </c>
      <c r="I325" s="27" t="str">
        <f t="shared" si="2"/>
        <v/>
      </c>
      <c r="J325" s="1" t="str">
        <f t="array" ref="J325">IFERROR(INDEX('Исходник'!$1:$626,MATCH($A325,'Исходник'!$T:$T,0),MATCH(J$1,'Исходник'!$1:$1,0)))</f>
        <v/>
      </c>
      <c r="K325" s="27" t="str">
        <f t="shared" si="3"/>
        <v/>
      </c>
      <c r="L325" s="1" t="str">
        <f t="array" ref="L325">IFERROR(INDEX('Исходник'!$1:$626,MATCH($A325,'Исходник'!$T:$T,0),MATCH(L$1,'Исходник'!$1:$1,0)))</f>
        <v/>
      </c>
      <c r="M325" s="28">
        <f t="shared" si="4"/>
        <v>0</v>
      </c>
      <c r="N325" s="1" t="str">
        <f t="array" ref="N325">IFERROR(INDEX('Исходник'!$1:$626,MATCH($A325,'Исходник'!$T:$T,0),MATCH(N$1,'Исходник'!$1:$1,0)))</f>
        <v/>
      </c>
      <c r="O325" s="27">
        <f t="shared" si="5"/>
        <v>0</v>
      </c>
      <c r="P325" s="27" t="str">
        <f t="shared" si="6"/>
        <v/>
      </c>
      <c r="Q325" s="1" t="str">
        <f t="array" ref="Q325">IFERROR(INDEX('Исходник'!$1:$626,MATCH($A325,'Исходник'!$T:$T,0),MATCH(Q$1,'Исходник'!$1:$1,0)))</f>
        <v/>
      </c>
      <c r="R325" s="1" t="str">
        <f t="array" ref="R325">IFERROR(INDEX('Исходник'!$1:$626,MATCH($A325,'Исходник'!$T:$T,0),MATCH(R$1,'Исходник'!$1:$1,0)))</f>
        <v/>
      </c>
      <c r="S325" s="27">
        <f t="shared" si="7"/>
        <v>0</v>
      </c>
      <c r="T325" s="27" t="str">
        <f t="shared" si="8"/>
        <v/>
      </c>
      <c r="U325" s="1" t="str">
        <f t="array" ref="U325">IFERROR(INDEX('Исходник'!$1:$626,MATCH($A325,'Исходник'!$T:$T,0),MATCH(U$1,'Исходник'!$1:$1,0)))</f>
        <v/>
      </c>
      <c r="V325" s="27" t="str">
        <f t="shared" si="9"/>
        <v/>
      </c>
      <c r="W325" s="1" t="str">
        <f t="array" ref="W325">IFERROR(INDEX('Исходник'!$1:$626,MATCH($A325,'Исходник'!$T:$T,0),MATCH(W$1,'Исходник'!$1:$1,0)))</f>
        <v/>
      </c>
      <c r="X325" s="28">
        <f t="shared" si="10"/>
        <v>0</v>
      </c>
      <c r="Y325" s="1" t="str">
        <f t="array" ref="Y325">IFERROR(INDEX('Исходник'!$1:$626,MATCH($A325,'Исходник'!$T:$T,0),MATCH(Y$1,'Исходник'!$1:$1,0)))</f>
        <v/>
      </c>
      <c r="Z325" s="27">
        <f t="shared" si="11"/>
        <v>0</v>
      </c>
      <c r="AA325" s="27" t="str">
        <f t="shared" si="12"/>
        <v/>
      </c>
      <c r="AB325" s="1" t="str">
        <f t="array" ref="AB325">IFERROR(INDEX('Исходник'!$1:$626,MATCH($A325,'Исходник'!$T:$T,0),MATCH(AB$1,'Исходник'!$1:$1,0)))</f>
        <v/>
      </c>
      <c r="AC325" s="1" t="str">
        <f t="array" ref="AC325">IFERROR(INDEX('Исходник'!$1:$626,MATCH($A325,'Исходник'!$T:$T,0),MATCH(AC$1,'Исходник'!$1:$1,0)))</f>
        <v/>
      </c>
      <c r="AD325" s="27" t="str">
        <f t="shared" si="13"/>
        <v/>
      </c>
      <c r="AE325" s="1" t="str">
        <f t="array" ref="AE325">IFERROR(INDEX('Исходник'!$1:$626,MATCH($A325,'Исходник'!$T:$T,0),MATCH(AE$1,'Исходник'!$1:$1,0)))</f>
        <v/>
      </c>
      <c r="AF325" s="1" t="str">
        <f t="array" ref="AF325">IFERROR(INDEX('Исходник'!$1:$626,MATCH($A325,'Исходник'!$T:$T,0),MATCH(AF$1,'Исходник'!$1:$1,0)))</f>
        <v/>
      </c>
      <c r="AG325" s="27" t="str">
        <f t="shared" si="14"/>
        <v/>
      </c>
      <c r="AH325" s="1" t="str">
        <f t="array" ref="AH325">IFERROR(INDEX('Исходник'!$1:$626,MATCH($A325,'Исходник'!$T:$T,0),MATCH(AH$1,'Исходник'!$1:$1,0)))</f>
        <v/>
      </c>
      <c r="AI325" s="1" t="str">
        <f t="array" ref="AI325">IFERROR(INDEX('Исходник'!$1:$626,MATCH($A325,'Исходник'!$T:$T,0),MATCH(AI$1,'Исходник'!$1:$1,0)))</f>
        <v/>
      </c>
      <c r="AJ325" s="18">
        <f t="shared" si="15"/>
        <v>0</v>
      </c>
    </row>
    <row r="326" ht="15.75" customHeight="1">
      <c r="A326" s="27"/>
      <c r="B326" s="1" t="str">
        <f t="array" ref="B326">IFERROR(INDEX('Исходник'!$1:$626,MATCH($A326,'Исходник'!$T:$T,0),MATCH(B$1,'Исходник'!$1:$1,0)))</f>
        <v/>
      </c>
      <c r="C326" s="1" t="str">
        <f t="array" ref="C326">IFERROR(INDEX('Исходник'!$1:$626,MATCH($A326,'Исходник'!$T:$T,0),MATCH(C$1,'Исходник'!$1:$1,0)))</f>
        <v/>
      </c>
      <c r="D326" s="1" t="str">
        <f t="array" ref="D326">IFERROR(INDEX('Исходник'!$1:$626,MATCH($A326,'Исходник'!$T:$T,0),MATCH(D$1,'Исходник'!$1:$1,0)))</f>
        <v/>
      </c>
      <c r="E326" s="1" t="str">
        <f t="array" ref="E326">IFERROR(INDEX('Исходник'!$1:$626,MATCH($A326,'Исходник'!$T:$T,0),MATCH(E$1,'Исходник'!$1:$1,0)))</f>
        <v/>
      </c>
      <c r="F326" s="1" t="str">
        <f t="array" ref="F326">IFERROR(INDEX('Исходник'!$1:$626,MATCH($A326,'Исходник'!$T:$T,0),MATCH(F$1,'Исходник'!$1:$1,0)))</f>
        <v/>
      </c>
      <c r="G326" s="1" t="str">
        <f t="array" ref="G326">IFERROR(INDEX('Исходник'!$1:$626,MATCH($A326,'Исходник'!$T:$T,0),MATCH(G$1,'Исходник'!$1:$1,0)))</f>
        <v/>
      </c>
      <c r="H326" s="27">
        <f t="shared" si="1"/>
        <v>0</v>
      </c>
      <c r="I326" s="27" t="str">
        <f t="shared" si="2"/>
        <v/>
      </c>
      <c r="J326" s="1" t="str">
        <f t="array" ref="J326">IFERROR(INDEX('Исходник'!$1:$626,MATCH($A326,'Исходник'!$T:$T,0),MATCH(J$1,'Исходник'!$1:$1,0)))</f>
        <v/>
      </c>
      <c r="K326" s="27" t="str">
        <f t="shared" si="3"/>
        <v/>
      </c>
      <c r="L326" s="1" t="str">
        <f t="array" ref="L326">IFERROR(INDEX('Исходник'!$1:$626,MATCH($A326,'Исходник'!$T:$T,0),MATCH(L$1,'Исходник'!$1:$1,0)))</f>
        <v/>
      </c>
      <c r="M326" s="28">
        <f t="shared" si="4"/>
        <v>0</v>
      </c>
      <c r="N326" s="1" t="str">
        <f t="array" ref="N326">IFERROR(INDEX('Исходник'!$1:$626,MATCH($A326,'Исходник'!$T:$T,0),MATCH(N$1,'Исходник'!$1:$1,0)))</f>
        <v/>
      </c>
      <c r="O326" s="27">
        <f t="shared" si="5"/>
        <v>0</v>
      </c>
      <c r="P326" s="27" t="str">
        <f t="shared" si="6"/>
        <v/>
      </c>
      <c r="Q326" s="1" t="str">
        <f t="array" ref="Q326">IFERROR(INDEX('Исходник'!$1:$626,MATCH($A326,'Исходник'!$T:$T,0),MATCH(Q$1,'Исходник'!$1:$1,0)))</f>
        <v/>
      </c>
      <c r="R326" s="1" t="str">
        <f t="array" ref="R326">IFERROR(INDEX('Исходник'!$1:$626,MATCH($A326,'Исходник'!$T:$T,0),MATCH(R$1,'Исходник'!$1:$1,0)))</f>
        <v/>
      </c>
      <c r="S326" s="27">
        <f t="shared" si="7"/>
        <v>0</v>
      </c>
      <c r="T326" s="27" t="str">
        <f t="shared" si="8"/>
        <v/>
      </c>
      <c r="U326" s="1" t="str">
        <f t="array" ref="U326">IFERROR(INDEX('Исходник'!$1:$626,MATCH($A326,'Исходник'!$T:$T,0),MATCH(U$1,'Исходник'!$1:$1,0)))</f>
        <v/>
      </c>
      <c r="V326" s="27" t="str">
        <f t="shared" si="9"/>
        <v/>
      </c>
      <c r="W326" s="1" t="str">
        <f t="array" ref="W326">IFERROR(INDEX('Исходник'!$1:$626,MATCH($A326,'Исходник'!$T:$T,0),MATCH(W$1,'Исходник'!$1:$1,0)))</f>
        <v/>
      </c>
      <c r="X326" s="28">
        <f t="shared" si="10"/>
        <v>0</v>
      </c>
      <c r="Y326" s="1" t="str">
        <f t="array" ref="Y326">IFERROR(INDEX('Исходник'!$1:$626,MATCH($A326,'Исходник'!$T:$T,0),MATCH(Y$1,'Исходник'!$1:$1,0)))</f>
        <v/>
      </c>
      <c r="Z326" s="27">
        <f t="shared" si="11"/>
        <v>0</v>
      </c>
      <c r="AA326" s="27" t="str">
        <f t="shared" si="12"/>
        <v/>
      </c>
      <c r="AB326" s="1" t="str">
        <f t="array" ref="AB326">IFERROR(INDEX('Исходник'!$1:$626,MATCH($A326,'Исходник'!$T:$T,0),MATCH(AB$1,'Исходник'!$1:$1,0)))</f>
        <v/>
      </c>
      <c r="AC326" s="1" t="str">
        <f t="array" ref="AC326">IFERROR(INDEX('Исходник'!$1:$626,MATCH($A326,'Исходник'!$T:$T,0),MATCH(AC$1,'Исходник'!$1:$1,0)))</f>
        <v/>
      </c>
      <c r="AD326" s="27" t="str">
        <f t="shared" si="13"/>
        <v/>
      </c>
      <c r="AE326" s="1" t="str">
        <f t="array" ref="AE326">IFERROR(INDEX('Исходник'!$1:$626,MATCH($A326,'Исходник'!$T:$T,0),MATCH(AE$1,'Исходник'!$1:$1,0)))</f>
        <v/>
      </c>
      <c r="AF326" s="1" t="str">
        <f t="array" ref="AF326">IFERROR(INDEX('Исходник'!$1:$626,MATCH($A326,'Исходник'!$T:$T,0),MATCH(AF$1,'Исходник'!$1:$1,0)))</f>
        <v/>
      </c>
      <c r="AG326" s="27" t="str">
        <f t="shared" si="14"/>
        <v/>
      </c>
      <c r="AH326" s="1" t="str">
        <f t="array" ref="AH326">IFERROR(INDEX('Исходник'!$1:$626,MATCH($A326,'Исходник'!$T:$T,0),MATCH(AH$1,'Исходник'!$1:$1,0)))</f>
        <v/>
      </c>
      <c r="AI326" s="1" t="str">
        <f t="array" ref="AI326">IFERROR(INDEX('Исходник'!$1:$626,MATCH($A326,'Исходник'!$T:$T,0),MATCH(AI$1,'Исходник'!$1:$1,0)))</f>
        <v/>
      </c>
      <c r="AJ326" s="18">
        <f t="shared" si="15"/>
        <v>0</v>
      </c>
    </row>
    <row r="327" ht="15.75" customHeight="1">
      <c r="A327" s="27"/>
      <c r="B327" s="1" t="str">
        <f t="array" ref="B327">IFERROR(INDEX('Исходник'!$1:$626,MATCH($A327,'Исходник'!$T:$T,0),MATCH(B$1,'Исходник'!$1:$1,0)))</f>
        <v/>
      </c>
      <c r="C327" s="1" t="str">
        <f t="array" ref="C327">IFERROR(INDEX('Исходник'!$1:$626,MATCH($A327,'Исходник'!$T:$T,0),MATCH(C$1,'Исходник'!$1:$1,0)))</f>
        <v/>
      </c>
      <c r="D327" s="1" t="str">
        <f t="array" ref="D327">IFERROR(INDEX('Исходник'!$1:$626,MATCH($A327,'Исходник'!$T:$T,0),MATCH(D$1,'Исходник'!$1:$1,0)))</f>
        <v/>
      </c>
      <c r="E327" s="1" t="str">
        <f t="array" ref="E327">IFERROR(INDEX('Исходник'!$1:$626,MATCH($A327,'Исходник'!$T:$T,0),MATCH(E$1,'Исходник'!$1:$1,0)))</f>
        <v/>
      </c>
      <c r="F327" s="1" t="str">
        <f t="array" ref="F327">IFERROR(INDEX('Исходник'!$1:$626,MATCH($A327,'Исходник'!$T:$T,0),MATCH(F$1,'Исходник'!$1:$1,0)))</f>
        <v/>
      </c>
      <c r="G327" s="1" t="str">
        <f t="array" ref="G327">IFERROR(INDEX('Исходник'!$1:$626,MATCH($A327,'Исходник'!$T:$T,0),MATCH(G$1,'Исходник'!$1:$1,0)))</f>
        <v/>
      </c>
      <c r="H327" s="27">
        <f t="shared" si="1"/>
        <v>0</v>
      </c>
      <c r="I327" s="27" t="str">
        <f t="shared" si="2"/>
        <v/>
      </c>
      <c r="J327" s="1" t="str">
        <f t="array" ref="J327">IFERROR(INDEX('Исходник'!$1:$626,MATCH($A327,'Исходник'!$T:$T,0),MATCH(J$1,'Исходник'!$1:$1,0)))</f>
        <v/>
      </c>
      <c r="K327" s="27" t="str">
        <f t="shared" si="3"/>
        <v/>
      </c>
      <c r="L327" s="1" t="str">
        <f t="array" ref="L327">IFERROR(INDEX('Исходник'!$1:$626,MATCH($A327,'Исходник'!$T:$T,0),MATCH(L$1,'Исходник'!$1:$1,0)))</f>
        <v/>
      </c>
      <c r="M327" s="28">
        <f t="shared" si="4"/>
        <v>0</v>
      </c>
      <c r="N327" s="1" t="str">
        <f t="array" ref="N327">IFERROR(INDEX('Исходник'!$1:$626,MATCH($A327,'Исходник'!$T:$T,0),MATCH(N$1,'Исходник'!$1:$1,0)))</f>
        <v/>
      </c>
      <c r="O327" s="27">
        <f t="shared" si="5"/>
        <v>0</v>
      </c>
      <c r="P327" s="27" t="str">
        <f t="shared" si="6"/>
        <v/>
      </c>
      <c r="Q327" s="1" t="str">
        <f t="array" ref="Q327">IFERROR(INDEX('Исходник'!$1:$626,MATCH($A327,'Исходник'!$T:$T,0),MATCH(Q$1,'Исходник'!$1:$1,0)))</f>
        <v/>
      </c>
      <c r="R327" s="1" t="str">
        <f t="array" ref="R327">IFERROR(INDEX('Исходник'!$1:$626,MATCH($A327,'Исходник'!$T:$T,0),MATCH(R$1,'Исходник'!$1:$1,0)))</f>
        <v/>
      </c>
      <c r="S327" s="27">
        <f t="shared" si="7"/>
        <v>0</v>
      </c>
      <c r="T327" s="27" t="str">
        <f t="shared" si="8"/>
        <v/>
      </c>
      <c r="U327" s="1" t="str">
        <f t="array" ref="U327">IFERROR(INDEX('Исходник'!$1:$626,MATCH($A327,'Исходник'!$T:$T,0),MATCH(U$1,'Исходник'!$1:$1,0)))</f>
        <v/>
      </c>
      <c r="V327" s="27" t="str">
        <f t="shared" si="9"/>
        <v/>
      </c>
      <c r="W327" s="1" t="str">
        <f t="array" ref="W327">IFERROR(INDEX('Исходник'!$1:$626,MATCH($A327,'Исходник'!$T:$T,0),MATCH(W$1,'Исходник'!$1:$1,0)))</f>
        <v/>
      </c>
      <c r="X327" s="28">
        <f t="shared" si="10"/>
        <v>0</v>
      </c>
      <c r="Y327" s="1" t="str">
        <f t="array" ref="Y327">IFERROR(INDEX('Исходник'!$1:$626,MATCH($A327,'Исходник'!$T:$T,0),MATCH(Y$1,'Исходник'!$1:$1,0)))</f>
        <v/>
      </c>
      <c r="Z327" s="27">
        <f t="shared" si="11"/>
        <v>0</v>
      </c>
      <c r="AA327" s="27" t="str">
        <f t="shared" si="12"/>
        <v/>
      </c>
      <c r="AB327" s="1" t="str">
        <f t="array" ref="AB327">IFERROR(INDEX('Исходник'!$1:$626,MATCH($A327,'Исходник'!$T:$T,0),MATCH(AB$1,'Исходник'!$1:$1,0)))</f>
        <v/>
      </c>
      <c r="AC327" s="1" t="str">
        <f t="array" ref="AC327">IFERROR(INDEX('Исходник'!$1:$626,MATCH($A327,'Исходник'!$T:$T,0),MATCH(AC$1,'Исходник'!$1:$1,0)))</f>
        <v/>
      </c>
      <c r="AD327" s="27" t="str">
        <f t="shared" si="13"/>
        <v/>
      </c>
      <c r="AE327" s="1" t="str">
        <f t="array" ref="AE327">IFERROR(INDEX('Исходник'!$1:$626,MATCH($A327,'Исходник'!$T:$T,0),MATCH(AE$1,'Исходник'!$1:$1,0)))</f>
        <v/>
      </c>
      <c r="AF327" s="1" t="str">
        <f t="array" ref="AF327">IFERROR(INDEX('Исходник'!$1:$626,MATCH($A327,'Исходник'!$T:$T,0),MATCH(AF$1,'Исходник'!$1:$1,0)))</f>
        <v/>
      </c>
      <c r="AG327" s="27" t="str">
        <f t="shared" si="14"/>
        <v/>
      </c>
      <c r="AH327" s="1" t="str">
        <f t="array" ref="AH327">IFERROR(INDEX('Исходник'!$1:$626,MATCH($A327,'Исходник'!$T:$T,0),MATCH(AH$1,'Исходник'!$1:$1,0)))</f>
        <v/>
      </c>
      <c r="AI327" s="1" t="str">
        <f t="array" ref="AI327">IFERROR(INDEX('Исходник'!$1:$626,MATCH($A327,'Исходник'!$T:$T,0),MATCH(AI$1,'Исходник'!$1:$1,0)))</f>
        <v/>
      </c>
      <c r="AJ327" s="18">
        <f t="shared" si="15"/>
        <v>0</v>
      </c>
    </row>
    <row r="328" ht="15.75" customHeight="1">
      <c r="A328" s="27"/>
      <c r="B328" s="1" t="str">
        <f t="array" ref="B328">IFERROR(INDEX('Исходник'!$1:$626,MATCH($A328,'Исходник'!$T:$T,0),MATCH(B$1,'Исходник'!$1:$1,0)))</f>
        <v/>
      </c>
      <c r="C328" s="1" t="str">
        <f t="array" ref="C328">IFERROR(INDEX('Исходник'!$1:$626,MATCH($A328,'Исходник'!$T:$T,0),MATCH(C$1,'Исходник'!$1:$1,0)))</f>
        <v/>
      </c>
      <c r="D328" s="1" t="str">
        <f t="array" ref="D328">IFERROR(INDEX('Исходник'!$1:$626,MATCH($A328,'Исходник'!$T:$T,0),MATCH(D$1,'Исходник'!$1:$1,0)))</f>
        <v/>
      </c>
      <c r="E328" s="1" t="str">
        <f t="array" ref="E328">IFERROR(INDEX('Исходник'!$1:$626,MATCH($A328,'Исходник'!$T:$T,0),MATCH(E$1,'Исходник'!$1:$1,0)))</f>
        <v/>
      </c>
      <c r="F328" s="1" t="str">
        <f t="array" ref="F328">IFERROR(INDEX('Исходник'!$1:$626,MATCH($A328,'Исходник'!$T:$T,0),MATCH(F$1,'Исходник'!$1:$1,0)))</f>
        <v/>
      </c>
      <c r="G328" s="1" t="str">
        <f t="array" ref="G328">IFERROR(INDEX('Исходник'!$1:$626,MATCH($A328,'Исходник'!$T:$T,0),MATCH(G$1,'Исходник'!$1:$1,0)))</f>
        <v/>
      </c>
      <c r="H328" s="27">
        <f t="shared" si="1"/>
        <v>0</v>
      </c>
      <c r="I328" s="27" t="str">
        <f t="shared" si="2"/>
        <v/>
      </c>
      <c r="J328" s="1" t="str">
        <f t="array" ref="J328">IFERROR(INDEX('Исходник'!$1:$626,MATCH($A328,'Исходник'!$T:$T,0),MATCH(J$1,'Исходник'!$1:$1,0)))</f>
        <v/>
      </c>
      <c r="K328" s="27" t="str">
        <f t="shared" si="3"/>
        <v/>
      </c>
      <c r="L328" s="1" t="str">
        <f t="array" ref="L328">IFERROR(INDEX('Исходник'!$1:$626,MATCH($A328,'Исходник'!$T:$T,0),MATCH(L$1,'Исходник'!$1:$1,0)))</f>
        <v/>
      </c>
      <c r="M328" s="28">
        <f t="shared" si="4"/>
        <v>0</v>
      </c>
      <c r="N328" s="1" t="str">
        <f t="array" ref="N328">IFERROR(INDEX('Исходник'!$1:$626,MATCH($A328,'Исходник'!$T:$T,0),MATCH(N$1,'Исходник'!$1:$1,0)))</f>
        <v/>
      </c>
      <c r="O328" s="27">
        <f t="shared" si="5"/>
        <v>0</v>
      </c>
      <c r="P328" s="27" t="str">
        <f t="shared" si="6"/>
        <v/>
      </c>
      <c r="Q328" s="1" t="str">
        <f t="array" ref="Q328">IFERROR(INDEX('Исходник'!$1:$626,MATCH($A328,'Исходник'!$T:$T,0),MATCH(Q$1,'Исходник'!$1:$1,0)))</f>
        <v/>
      </c>
      <c r="R328" s="1" t="str">
        <f t="array" ref="R328">IFERROR(INDEX('Исходник'!$1:$626,MATCH($A328,'Исходник'!$T:$T,0),MATCH(R$1,'Исходник'!$1:$1,0)))</f>
        <v/>
      </c>
      <c r="S328" s="27">
        <f t="shared" si="7"/>
        <v>0</v>
      </c>
      <c r="T328" s="27" t="str">
        <f t="shared" si="8"/>
        <v/>
      </c>
      <c r="U328" s="1" t="str">
        <f t="array" ref="U328">IFERROR(INDEX('Исходник'!$1:$626,MATCH($A328,'Исходник'!$T:$T,0),MATCH(U$1,'Исходник'!$1:$1,0)))</f>
        <v/>
      </c>
      <c r="V328" s="27" t="str">
        <f t="shared" si="9"/>
        <v/>
      </c>
      <c r="W328" s="1" t="str">
        <f t="array" ref="W328">IFERROR(INDEX('Исходник'!$1:$626,MATCH($A328,'Исходник'!$T:$T,0),MATCH(W$1,'Исходник'!$1:$1,0)))</f>
        <v/>
      </c>
      <c r="X328" s="28">
        <f t="shared" si="10"/>
        <v>0</v>
      </c>
      <c r="Y328" s="1" t="str">
        <f t="array" ref="Y328">IFERROR(INDEX('Исходник'!$1:$626,MATCH($A328,'Исходник'!$T:$T,0),MATCH(Y$1,'Исходник'!$1:$1,0)))</f>
        <v/>
      </c>
      <c r="Z328" s="27">
        <f t="shared" si="11"/>
        <v>0</v>
      </c>
      <c r="AA328" s="27" t="str">
        <f t="shared" si="12"/>
        <v/>
      </c>
      <c r="AB328" s="1" t="str">
        <f t="array" ref="AB328">IFERROR(INDEX('Исходник'!$1:$626,MATCH($A328,'Исходник'!$T:$T,0),MATCH(AB$1,'Исходник'!$1:$1,0)))</f>
        <v/>
      </c>
      <c r="AC328" s="1" t="str">
        <f t="array" ref="AC328">IFERROR(INDEX('Исходник'!$1:$626,MATCH($A328,'Исходник'!$T:$T,0),MATCH(AC$1,'Исходник'!$1:$1,0)))</f>
        <v/>
      </c>
      <c r="AD328" s="27" t="str">
        <f t="shared" si="13"/>
        <v/>
      </c>
      <c r="AE328" s="1" t="str">
        <f t="array" ref="AE328">IFERROR(INDEX('Исходник'!$1:$626,MATCH($A328,'Исходник'!$T:$T,0),MATCH(AE$1,'Исходник'!$1:$1,0)))</f>
        <v/>
      </c>
      <c r="AF328" s="1" t="str">
        <f t="array" ref="AF328">IFERROR(INDEX('Исходник'!$1:$626,MATCH($A328,'Исходник'!$T:$T,0),MATCH(AF$1,'Исходник'!$1:$1,0)))</f>
        <v/>
      </c>
      <c r="AG328" s="27" t="str">
        <f t="shared" si="14"/>
        <v/>
      </c>
      <c r="AH328" s="1" t="str">
        <f t="array" ref="AH328">IFERROR(INDEX('Исходник'!$1:$626,MATCH($A328,'Исходник'!$T:$T,0),MATCH(AH$1,'Исходник'!$1:$1,0)))</f>
        <v/>
      </c>
      <c r="AI328" s="1" t="str">
        <f t="array" ref="AI328">IFERROR(INDEX('Исходник'!$1:$626,MATCH($A328,'Исходник'!$T:$T,0),MATCH(AI$1,'Исходник'!$1:$1,0)))</f>
        <v/>
      </c>
      <c r="AJ328" s="18">
        <f t="shared" si="15"/>
        <v>0</v>
      </c>
    </row>
    <row r="329" ht="15.75" customHeight="1">
      <c r="A329" s="27"/>
      <c r="B329" s="1" t="str">
        <f t="array" ref="B329">IFERROR(INDEX('Исходник'!$1:$626,MATCH($A329,'Исходник'!$T:$T,0),MATCH(B$1,'Исходник'!$1:$1,0)))</f>
        <v/>
      </c>
      <c r="C329" s="1" t="str">
        <f t="array" ref="C329">IFERROR(INDEX('Исходник'!$1:$626,MATCH($A329,'Исходник'!$T:$T,0),MATCH(C$1,'Исходник'!$1:$1,0)))</f>
        <v/>
      </c>
      <c r="D329" s="1" t="str">
        <f t="array" ref="D329">IFERROR(INDEX('Исходник'!$1:$626,MATCH($A329,'Исходник'!$T:$T,0),MATCH(D$1,'Исходник'!$1:$1,0)))</f>
        <v/>
      </c>
      <c r="E329" s="1" t="str">
        <f t="array" ref="E329">IFERROR(INDEX('Исходник'!$1:$626,MATCH($A329,'Исходник'!$T:$T,0),MATCH(E$1,'Исходник'!$1:$1,0)))</f>
        <v/>
      </c>
      <c r="F329" s="1" t="str">
        <f t="array" ref="F329">IFERROR(INDEX('Исходник'!$1:$626,MATCH($A329,'Исходник'!$T:$T,0),MATCH(F$1,'Исходник'!$1:$1,0)))</f>
        <v/>
      </c>
      <c r="G329" s="1" t="str">
        <f t="array" ref="G329">IFERROR(INDEX('Исходник'!$1:$626,MATCH($A329,'Исходник'!$T:$T,0),MATCH(G$1,'Исходник'!$1:$1,0)))</f>
        <v/>
      </c>
      <c r="H329" s="27">
        <f t="shared" si="1"/>
        <v>0</v>
      </c>
      <c r="I329" s="27" t="str">
        <f t="shared" si="2"/>
        <v/>
      </c>
      <c r="J329" s="1" t="str">
        <f t="array" ref="J329">IFERROR(INDEX('Исходник'!$1:$626,MATCH($A329,'Исходник'!$T:$T,0),MATCH(J$1,'Исходник'!$1:$1,0)))</f>
        <v/>
      </c>
      <c r="K329" s="27" t="str">
        <f t="shared" si="3"/>
        <v/>
      </c>
      <c r="L329" s="1" t="str">
        <f t="array" ref="L329">IFERROR(INDEX('Исходник'!$1:$626,MATCH($A329,'Исходник'!$T:$T,0),MATCH(L$1,'Исходник'!$1:$1,0)))</f>
        <v/>
      </c>
      <c r="M329" s="28">
        <f t="shared" si="4"/>
        <v>0</v>
      </c>
      <c r="N329" s="1" t="str">
        <f t="array" ref="N329">IFERROR(INDEX('Исходник'!$1:$626,MATCH($A329,'Исходник'!$T:$T,0),MATCH(N$1,'Исходник'!$1:$1,0)))</f>
        <v/>
      </c>
      <c r="O329" s="27">
        <f t="shared" si="5"/>
        <v>0</v>
      </c>
      <c r="P329" s="27" t="str">
        <f t="shared" si="6"/>
        <v/>
      </c>
      <c r="Q329" s="1" t="str">
        <f t="array" ref="Q329">IFERROR(INDEX('Исходник'!$1:$626,MATCH($A329,'Исходник'!$T:$T,0),MATCH(Q$1,'Исходник'!$1:$1,0)))</f>
        <v/>
      </c>
      <c r="R329" s="1" t="str">
        <f t="array" ref="R329">IFERROR(INDEX('Исходник'!$1:$626,MATCH($A329,'Исходник'!$T:$T,0),MATCH(R$1,'Исходник'!$1:$1,0)))</f>
        <v/>
      </c>
      <c r="S329" s="27">
        <f t="shared" si="7"/>
        <v>0</v>
      </c>
      <c r="T329" s="27" t="str">
        <f t="shared" si="8"/>
        <v/>
      </c>
      <c r="U329" s="1" t="str">
        <f t="array" ref="U329">IFERROR(INDEX('Исходник'!$1:$626,MATCH($A329,'Исходник'!$T:$T,0),MATCH(U$1,'Исходник'!$1:$1,0)))</f>
        <v/>
      </c>
      <c r="V329" s="27" t="str">
        <f t="shared" si="9"/>
        <v/>
      </c>
      <c r="W329" s="1" t="str">
        <f t="array" ref="W329">IFERROR(INDEX('Исходник'!$1:$626,MATCH($A329,'Исходник'!$T:$T,0),MATCH(W$1,'Исходник'!$1:$1,0)))</f>
        <v/>
      </c>
      <c r="X329" s="28">
        <f t="shared" si="10"/>
        <v>0</v>
      </c>
      <c r="Y329" s="1" t="str">
        <f t="array" ref="Y329">IFERROR(INDEX('Исходник'!$1:$626,MATCH($A329,'Исходник'!$T:$T,0),MATCH(Y$1,'Исходник'!$1:$1,0)))</f>
        <v/>
      </c>
      <c r="Z329" s="27">
        <f t="shared" si="11"/>
        <v>0</v>
      </c>
      <c r="AA329" s="27" t="str">
        <f t="shared" si="12"/>
        <v/>
      </c>
      <c r="AB329" s="1" t="str">
        <f t="array" ref="AB329">IFERROR(INDEX('Исходник'!$1:$626,MATCH($A329,'Исходник'!$T:$T,0),MATCH(AB$1,'Исходник'!$1:$1,0)))</f>
        <v/>
      </c>
      <c r="AC329" s="1" t="str">
        <f t="array" ref="AC329">IFERROR(INDEX('Исходник'!$1:$626,MATCH($A329,'Исходник'!$T:$T,0),MATCH(AC$1,'Исходник'!$1:$1,0)))</f>
        <v/>
      </c>
      <c r="AD329" s="27" t="str">
        <f t="shared" si="13"/>
        <v/>
      </c>
      <c r="AE329" s="1" t="str">
        <f t="array" ref="AE329">IFERROR(INDEX('Исходник'!$1:$626,MATCH($A329,'Исходник'!$T:$T,0),MATCH(AE$1,'Исходник'!$1:$1,0)))</f>
        <v/>
      </c>
      <c r="AF329" s="1" t="str">
        <f t="array" ref="AF329">IFERROR(INDEX('Исходник'!$1:$626,MATCH($A329,'Исходник'!$T:$T,0),MATCH(AF$1,'Исходник'!$1:$1,0)))</f>
        <v/>
      </c>
      <c r="AG329" s="27" t="str">
        <f t="shared" si="14"/>
        <v/>
      </c>
      <c r="AH329" s="1" t="str">
        <f t="array" ref="AH329">IFERROR(INDEX('Исходник'!$1:$626,MATCH($A329,'Исходник'!$T:$T,0),MATCH(AH$1,'Исходник'!$1:$1,0)))</f>
        <v/>
      </c>
      <c r="AI329" s="1" t="str">
        <f t="array" ref="AI329">IFERROR(INDEX('Исходник'!$1:$626,MATCH($A329,'Исходник'!$T:$T,0),MATCH(AI$1,'Исходник'!$1:$1,0)))</f>
        <v/>
      </c>
      <c r="AJ329" s="18">
        <f t="shared" si="15"/>
        <v>0</v>
      </c>
    </row>
    <row r="330" ht="15.75" customHeight="1">
      <c r="A330" s="27"/>
      <c r="B330" s="1" t="str">
        <f t="array" ref="B330">IFERROR(INDEX('Исходник'!$1:$626,MATCH($A330,'Исходник'!$T:$T,0),MATCH(B$1,'Исходник'!$1:$1,0)))</f>
        <v/>
      </c>
      <c r="C330" s="1" t="str">
        <f t="array" ref="C330">IFERROR(INDEX('Исходник'!$1:$626,MATCH($A330,'Исходник'!$T:$T,0),MATCH(C$1,'Исходник'!$1:$1,0)))</f>
        <v/>
      </c>
      <c r="D330" s="1" t="str">
        <f t="array" ref="D330">IFERROR(INDEX('Исходник'!$1:$626,MATCH($A330,'Исходник'!$T:$T,0),MATCH(D$1,'Исходник'!$1:$1,0)))</f>
        <v/>
      </c>
      <c r="E330" s="1" t="str">
        <f t="array" ref="E330">IFERROR(INDEX('Исходник'!$1:$626,MATCH($A330,'Исходник'!$T:$T,0),MATCH(E$1,'Исходник'!$1:$1,0)))</f>
        <v/>
      </c>
      <c r="F330" s="1" t="str">
        <f t="array" ref="F330">IFERROR(INDEX('Исходник'!$1:$626,MATCH($A330,'Исходник'!$T:$T,0),MATCH(F$1,'Исходник'!$1:$1,0)))</f>
        <v/>
      </c>
      <c r="G330" s="1" t="str">
        <f t="array" ref="G330">IFERROR(INDEX('Исходник'!$1:$626,MATCH($A330,'Исходник'!$T:$T,0),MATCH(G$1,'Исходник'!$1:$1,0)))</f>
        <v/>
      </c>
      <c r="H330" s="27">
        <f t="shared" si="1"/>
        <v>0</v>
      </c>
      <c r="I330" s="27" t="str">
        <f t="shared" si="2"/>
        <v/>
      </c>
      <c r="J330" s="1" t="str">
        <f t="array" ref="J330">IFERROR(INDEX('Исходник'!$1:$626,MATCH($A330,'Исходник'!$T:$T,0),MATCH(J$1,'Исходник'!$1:$1,0)))</f>
        <v/>
      </c>
      <c r="K330" s="27" t="str">
        <f t="shared" si="3"/>
        <v/>
      </c>
      <c r="L330" s="1" t="str">
        <f t="array" ref="L330">IFERROR(INDEX('Исходник'!$1:$626,MATCH($A330,'Исходник'!$T:$T,0),MATCH(L$1,'Исходник'!$1:$1,0)))</f>
        <v/>
      </c>
      <c r="M330" s="28">
        <f t="shared" si="4"/>
        <v>0</v>
      </c>
      <c r="N330" s="1" t="str">
        <f t="array" ref="N330">IFERROR(INDEX('Исходник'!$1:$626,MATCH($A330,'Исходник'!$T:$T,0),MATCH(N$1,'Исходник'!$1:$1,0)))</f>
        <v/>
      </c>
      <c r="O330" s="27">
        <f t="shared" si="5"/>
        <v>0</v>
      </c>
      <c r="P330" s="27" t="str">
        <f t="shared" si="6"/>
        <v/>
      </c>
      <c r="Q330" s="1" t="str">
        <f t="array" ref="Q330">IFERROR(INDEX('Исходник'!$1:$626,MATCH($A330,'Исходник'!$T:$T,0),MATCH(Q$1,'Исходник'!$1:$1,0)))</f>
        <v/>
      </c>
      <c r="R330" s="1" t="str">
        <f t="array" ref="R330">IFERROR(INDEX('Исходник'!$1:$626,MATCH($A330,'Исходник'!$T:$T,0),MATCH(R$1,'Исходник'!$1:$1,0)))</f>
        <v/>
      </c>
      <c r="S330" s="27">
        <f t="shared" si="7"/>
        <v>0</v>
      </c>
      <c r="T330" s="27" t="str">
        <f t="shared" si="8"/>
        <v/>
      </c>
      <c r="U330" s="1" t="str">
        <f t="array" ref="U330">IFERROR(INDEX('Исходник'!$1:$626,MATCH($A330,'Исходник'!$T:$T,0),MATCH(U$1,'Исходник'!$1:$1,0)))</f>
        <v/>
      </c>
      <c r="V330" s="27" t="str">
        <f t="shared" si="9"/>
        <v/>
      </c>
      <c r="W330" s="1" t="str">
        <f t="array" ref="W330">IFERROR(INDEX('Исходник'!$1:$626,MATCH($A330,'Исходник'!$T:$T,0),MATCH(W$1,'Исходник'!$1:$1,0)))</f>
        <v/>
      </c>
      <c r="X330" s="28">
        <f t="shared" si="10"/>
        <v>0</v>
      </c>
      <c r="Y330" s="1" t="str">
        <f t="array" ref="Y330">IFERROR(INDEX('Исходник'!$1:$626,MATCH($A330,'Исходник'!$T:$T,0),MATCH(Y$1,'Исходник'!$1:$1,0)))</f>
        <v/>
      </c>
      <c r="Z330" s="27">
        <f t="shared" si="11"/>
        <v>0</v>
      </c>
      <c r="AA330" s="27" t="str">
        <f t="shared" si="12"/>
        <v/>
      </c>
      <c r="AB330" s="1" t="str">
        <f t="array" ref="AB330">IFERROR(INDEX('Исходник'!$1:$626,MATCH($A330,'Исходник'!$T:$T,0),MATCH(AB$1,'Исходник'!$1:$1,0)))</f>
        <v/>
      </c>
      <c r="AC330" s="1" t="str">
        <f t="array" ref="AC330">IFERROR(INDEX('Исходник'!$1:$626,MATCH($A330,'Исходник'!$T:$T,0),MATCH(AC$1,'Исходник'!$1:$1,0)))</f>
        <v/>
      </c>
      <c r="AD330" s="27" t="str">
        <f t="shared" si="13"/>
        <v/>
      </c>
      <c r="AE330" s="1" t="str">
        <f t="array" ref="AE330">IFERROR(INDEX('Исходник'!$1:$626,MATCH($A330,'Исходник'!$T:$T,0),MATCH(AE$1,'Исходник'!$1:$1,0)))</f>
        <v/>
      </c>
      <c r="AF330" s="1" t="str">
        <f t="array" ref="AF330">IFERROR(INDEX('Исходник'!$1:$626,MATCH($A330,'Исходник'!$T:$T,0),MATCH(AF$1,'Исходник'!$1:$1,0)))</f>
        <v/>
      </c>
      <c r="AG330" s="27" t="str">
        <f t="shared" si="14"/>
        <v/>
      </c>
      <c r="AH330" s="1" t="str">
        <f t="array" ref="AH330">IFERROR(INDEX('Исходник'!$1:$626,MATCH($A330,'Исходник'!$T:$T,0),MATCH(AH$1,'Исходник'!$1:$1,0)))</f>
        <v/>
      </c>
      <c r="AI330" s="1" t="str">
        <f t="array" ref="AI330">IFERROR(INDEX('Исходник'!$1:$626,MATCH($A330,'Исходник'!$T:$T,0),MATCH(AI$1,'Исходник'!$1:$1,0)))</f>
        <v/>
      </c>
      <c r="AJ330" s="18">
        <f t="shared" si="15"/>
        <v>0</v>
      </c>
    </row>
    <row r="331" ht="15.75" customHeight="1">
      <c r="A331" s="27"/>
      <c r="B331" s="1" t="str">
        <f t="array" ref="B331">IFERROR(INDEX('Исходник'!$1:$626,MATCH($A331,'Исходник'!$T:$T,0),MATCH(B$1,'Исходник'!$1:$1,0)))</f>
        <v/>
      </c>
      <c r="C331" s="1" t="str">
        <f t="array" ref="C331">IFERROR(INDEX('Исходник'!$1:$626,MATCH($A331,'Исходник'!$T:$T,0),MATCH(C$1,'Исходник'!$1:$1,0)))</f>
        <v/>
      </c>
      <c r="D331" s="1" t="str">
        <f t="array" ref="D331">IFERROR(INDEX('Исходник'!$1:$626,MATCH($A331,'Исходник'!$T:$T,0),MATCH(D$1,'Исходник'!$1:$1,0)))</f>
        <v/>
      </c>
      <c r="E331" s="1" t="str">
        <f t="array" ref="E331">IFERROR(INDEX('Исходник'!$1:$626,MATCH($A331,'Исходник'!$T:$T,0),MATCH(E$1,'Исходник'!$1:$1,0)))</f>
        <v/>
      </c>
      <c r="F331" s="1" t="str">
        <f t="array" ref="F331">IFERROR(INDEX('Исходник'!$1:$626,MATCH($A331,'Исходник'!$T:$T,0),MATCH(F$1,'Исходник'!$1:$1,0)))</f>
        <v/>
      </c>
      <c r="G331" s="1" t="str">
        <f t="array" ref="G331">IFERROR(INDEX('Исходник'!$1:$626,MATCH($A331,'Исходник'!$T:$T,0),MATCH(G$1,'Исходник'!$1:$1,0)))</f>
        <v/>
      </c>
      <c r="H331" s="27">
        <f t="shared" si="1"/>
        <v>0</v>
      </c>
      <c r="I331" s="27" t="str">
        <f t="shared" si="2"/>
        <v/>
      </c>
      <c r="J331" s="1" t="str">
        <f t="array" ref="J331">IFERROR(INDEX('Исходник'!$1:$626,MATCH($A331,'Исходник'!$T:$T,0),MATCH(J$1,'Исходник'!$1:$1,0)))</f>
        <v/>
      </c>
      <c r="K331" s="27" t="str">
        <f t="shared" si="3"/>
        <v/>
      </c>
      <c r="L331" s="1" t="str">
        <f t="array" ref="L331">IFERROR(INDEX('Исходник'!$1:$626,MATCH($A331,'Исходник'!$T:$T,0),MATCH(L$1,'Исходник'!$1:$1,0)))</f>
        <v/>
      </c>
      <c r="M331" s="28">
        <f t="shared" si="4"/>
        <v>0</v>
      </c>
      <c r="N331" s="1" t="str">
        <f t="array" ref="N331">IFERROR(INDEX('Исходник'!$1:$626,MATCH($A331,'Исходник'!$T:$T,0),MATCH(N$1,'Исходник'!$1:$1,0)))</f>
        <v/>
      </c>
      <c r="O331" s="27">
        <f t="shared" si="5"/>
        <v>0</v>
      </c>
      <c r="P331" s="27" t="str">
        <f t="shared" si="6"/>
        <v/>
      </c>
      <c r="Q331" s="1" t="str">
        <f t="array" ref="Q331">IFERROR(INDEX('Исходник'!$1:$626,MATCH($A331,'Исходник'!$T:$T,0),MATCH(Q$1,'Исходник'!$1:$1,0)))</f>
        <v/>
      </c>
      <c r="R331" s="1" t="str">
        <f t="array" ref="R331">IFERROR(INDEX('Исходник'!$1:$626,MATCH($A331,'Исходник'!$T:$T,0),MATCH(R$1,'Исходник'!$1:$1,0)))</f>
        <v/>
      </c>
      <c r="S331" s="27">
        <f t="shared" si="7"/>
        <v>0</v>
      </c>
      <c r="T331" s="27" t="str">
        <f t="shared" si="8"/>
        <v/>
      </c>
      <c r="U331" s="1" t="str">
        <f t="array" ref="U331">IFERROR(INDEX('Исходник'!$1:$626,MATCH($A331,'Исходник'!$T:$T,0),MATCH(U$1,'Исходник'!$1:$1,0)))</f>
        <v/>
      </c>
      <c r="V331" s="27" t="str">
        <f t="shared" si="9"/>
        <v/>
      </c>
      <c r="W331" s="1" t="str">
        <f t="array" ref="W331">IFERROR(INDEX('Исходник'!$1:$626,MATCH($A331,'Исходник'!$T:$T,0),MATCH(W$1,'Исходник'!$1:$1,0)))</f>
        <v/>
      </c>
      <c r="X331" s="28">
        <f t="shared" si="10"/>
        <v>0</v>
      </c>
      <c r="Y331" s="1" t="str">
        <f t="array" ref="Y331">IFERROR(INDEX('Исходник'!$1:$626,MATCH($A331,'Исходник'!$T:$T,0),MATCH(Y$1,'Исходник'!$1:$1,0)))</f>
        <v/>
      </c>
      <c r="Z331" s="27">
        <f t="shared" si="11"/>
        <v>0</v>
      </c>
      <c r="AA331" s="27" t="str">
        <f t="shared" si="12"/>
        <v/>
      </c>
      <c r="AB331" s="1" t="str">
        <f t="array" ref="AB331">IFERROR(INDEX('Исходник'!$1:$626,MATCH($A331,'Исходник'!$T:$T,0),MATCH(AB$1,'Исходник'!$1:$1,0)))</f>
        <v/>
      </c>
      <c r="AC331" s="1" t="str">
        <f t="array" ref="AC331">IFERROR(INDEX('Исходник'!$1:$626,MATCH($A331,'Исходник'!$T:$T,0),MATCH(AC$1,'Исходник'!$1:$1,0)))</f>
        <v/>
      </c>
      <c r="AD331" s="27" t="str">
        <f t="shared" si="13"/>
        <v/>
      </c>
      <c r="AE331" s="1" t="str">
        <f t="array" ref="AE331">IFERROR(INDEX('Исходник'!$1:$626,MATCH($A331,'Исходник'!$T:$T,0),MATCH(AE$1,'Исходник'!$1:$1,0)))</f>
        <v/>
      </c>
      <c r="AF331" s="1" t="str">
        <f t="array" ref="AF331">IFERROR(INDEX('Исходник'!$1:$626,MATCH($A331,'Исходник'!$T:$T,0),MATCH(AF$1,'Исходник'!$1:$1,0)))</f>
        <v/>
      </c>
      <c r="AG331" s="27" t="str">
        <f t="shared" si="14"/>
        <v/>
      </c>
      <c r="AH331" s="1" t="str">
        <f t="array" ref="AH331">IFERROR(INDEX('Исходник'!$1:$626,MATCH($A331,'Исходник'!$T:$T,0),MATCH(AH$1,'Исходник'!$1:$1,0)))</f>
        <v/>
      </c>
      <c r="AI331" s="1" t="str">
        <f t="array" ref="AI331">IFERROR(INDEX('Исходник'!$1:$626,MATCH($A331,'Исходник'!$T:$T,0),MATCH(AI$1,'Исходник'!$1:$1,0)))</f>
        <v/>
      </c>
      <c r="AJ331" s="18">
        <f t="shared" si="15"/>
        <v>0</v>
      </c>
    </row>
    <row r="332" ht="15.75" customHeight="1">
      <c r="A332" s="27"/>
      <c r="B332" s="1" t="str">
        <f t="array" ref="B332">IFERROR(INDEX('Исходник'!$1:$626,MATCH($A332,'Исходник'!$T:$T,0),MATCH(B$1,'Исходник'!$1:$1,0)))</f>
        <v/>
      </c>
      <c r="C332" s="1" t="str">
        <f t="array" ref="C332">IFERROR(INDEX('Исходник'!$1:$626,MATCH($A332,'Исходник'!$T:$T,0),MATCH(C$1,'Исходник'!$1:$1,0)))</f>
        <v/>
      </c>
      <c r="D332" s="1" t="str">
        <f t="array" ref="D332">IFERROR(INDEX('Исходник'!$1:$626,MATCH($A332,'Исходник'!$T:$T,0),MATCH(D$1,'Исходник'!$1:$1,0)))</f>
        <v/>
      </c>
      <c r="E332" s="1" t="str">
        <f t="array" ref="E332">IFERROR(INDEX('Исходник'!$1:$626,MATCH($A332,'Исходник'!$T:$T,0),MATCH(E$1,'Исходник'!$1:$1,0)))</f>
        <v/>
      </c>
      <c r="F332" s="1" t="str">
        <f t="array" ref="F332">IFERROR(INDEX('Исходник'!$1:$626,MATCH($A332,'Исходник'!$T:$T,0),MATCH(F$1,'Исходник'!$1:$1,0)))</f>
        <v/>
      </c>
      <c r="G332" s="1" t="str">
        <f t="array" ref="G332">IFERROR(INDEX('Исходник'!$1:$626,MATCH($A332,'Исходник'!$T:$T,0),MATCH(G$1,'Исходник'!$1:$1,0)))</f>
        <v/>
      </c>
      <c r="H332" s="27">
        <f t="shared" si="1"/>
        <v>0</v>
      </c>
      <c r="I332" s="27" t="str">
        <f t="shared" si="2"/>
        <v/>
      </c>
      <c r="J332" s="1" t="str">
        <f t="array" ref="J332">IFERROR(INDEX('Исходник'!$1:$626,MATCH($A332,'Исходник'!$T:$T,0),MATCH(J$1,'Исходник'!$1:$1,0)))</f>
        <v/>
      </c>
      <c r="K332" s="27" t="str">
        <f t="shared" si="3"/>
        <v/>
      </c>
      <c r="L332" s="1" t="str">
        <f t="array" ref="L332">IFERROR(INDEX('Исходник'!$1:$626,MATCH($A332,'Исходник'!$T:$T,0),MATCH(L$1,'Исходник'!$1:$1,0)))</f>
        <v/>
      </c>
      <c r="M332" s="28">
        <f t="shared" si="4"/>
        <v>0</v>
      </c>
      <c r="N332" s="1" t="str">
        <f t="array" ref="N332">IFERROR(INDEX('Исходник'!$1:$626,MATCH($A332,'Исходник'!$T:$T,0),MATCH(N$1,'Исходник'!$1:$1,0)))</f>
        <v/>
      </c>
      <c r="O332" s="27">
        <f t="shared" si="5"/>
        <v>0</v>
      </c>
      <c r="P332" s="27" t="str">
        <f t="shared" si="6"/>
        <v/>
      </c>
      <c r="Q332" s="1" t="str">
        <f t="array" ref="Q332">IFERROR(INDEX('Исходник'!$1:$626,MATCH($A332,'Исходник'!$T:$T,0),MATCH(Q$1,'Исходник'!$1:$1,0)))</f>
        <v/>
      </c>
      <c r="R332" s="1" t="str">
        <f t="array" ref="R332">IFERROR(INDEX('Исходник'!$1:$626,MATCH($A332,'Исходник'!$T:$T,0),MATCH(R$1,'Исходник'!$1:$1,0)))</f>
        <v/>
      </c>
      <c r="S332" s="27">
        <f t="shared" si="7"/>
        <v>0</v>
      </c>
      <c r="T332" s="27" t="str">
        <f t="shared" si="8"/>
        <v/>
      </c>
      <c r="U332" s="1" t="str">
        <f t="array" ref="U332">IFERROR(INDEX('Исходник'!$1:$626,MATCH($A332,'Исходник'!$T:$T,0),MATCH(U$1,'Исходник'!$1:$1,0)))</f>
        <v/>
      </c>
      <c r="V332" s="27" t="str">
        <f t="shared" si="9"/>
        <v/>
      </c>
      <c r="W332" s="1" t="str">
        <f t="array" ref="W332">IFERROR(INDEX('Исходник'!$1:$626,MATCH($A332,'Исходник'!$T:$T,0),MATCH(W$1,'Исходник'!$1:$1,0)))</f>
        <v/>
      </c>
      <c r="X332" s="28">
        <f t="shared" si="10"/>
        <v>0</v>
      </c>
      <c r="Y332" s="1" t="str">
        <f t="array" ref="Y332">IFERROR(INDEX('Исходник'!$1:$626,MATCH($A332,'Исходник'!$T:$T,0),MATCH(Y$1,'Исходник'!$1:$1,0)))</f>
        <v/>
      </c>
      <c r="Z332" s="27">
        <f t="shared" si="11"/>
        <v>0</v>
      </c>
      <c r="AA332" s="27" t="str">
        <f t="shared" si="12"/>
        <v/>
      </c>
      <c r="AB332" s="1" t="str">
        <f t="array" ref="AB332">IFERROR(INDEX('Исходник'!$1:$626,MATCH($A332,'Исходник'!$T:$T,0),MATCH(AB$1,'Исходник'!$1:$1,0)))</f>
        <v/>
      </c>
      <c r="AC332" s="1" t="str">
        <f t="array" ref="AC332">IFERROR(INDEX('Исходник'!$1:$626,MATCH($A332,'Исходник'!$T:$T,0),MATCH(AC$1,'Исходник'!$1:$1,0)))</f>
        <v/>
      </c>
      <c r="AD332" s="27" t="str">
        <f t="shared" si="13"/>
        <v/>
      </c>
      <c r="AE332" s="1" t="str">
        <f t="array" ref="AE332">IFERROR(INDEX('Исходник'!$1:$626,MATCH($A332,'Исходник'!$T:$T,0),MATCH(AE$1,'Исходник'!$1:$1,0)))</f>
        <v/>
      </c>
      <c r="AF332" s="1" t="str">
        <f t="array" ref="AF332">IFERROR(INDEX('Исходник'!$1:$626,MATCH($A332,'Исходник'!$T:$T,0),MATCH(AF$1,'Исходник'!$1:$1,0)))</f>
        <v/>
      </c>
      <c r="AG332" s="27" t="str">
        <f t="shared" si="14"/>
        <v/>
      </c>
      <c r="AH332" s="1" t="str">
        <f t="array" ref="AH332">IFERROR(INDEX('Исходник'!$1:$626,MATCH($A332,'Исходник'!$T:$T,0),MATCH(AH$1,'Исходник'!$1:$1,0)))</f>
        <v/>
      </c>
      <c r="AI332" s="1" t="str">
        <f t="array" ref="AI332">IFERROR(INDEX('Исходник'!$1:$626,MATCH($A332,'Исходник'!$T:$T,0),MATCH(AI$1,'Исходник'!$1:$1,0)))</f>
        <v/>
      </c>
      <c r="AJ332" s="18">
        <f t="shared" si="15"/>
        <v>0</v>
      </c>
    </row>
    <row r="333" ht="15.75" customHeight="1">
      <c r="A333" s="27"/>
      <c r="B333" s="1" t="str">
        <f t="array" ref="B333">IFERROR(INDEX('Исходник'!$1:$626,MATCH($A333,'Исходник'!$T:$T,0),MATCH(B$1,'Исходник'!$1:$1,0)))</f>
        <v/>
      </c>
      <c r="C333" s="1" t="str">
        <f t="array" ref="C333">IFERROR(INDEX('Исходник'!$1:$626,MATCH($A333,'Исходник'!$T:$T,0),MATCH(C$1,'Исходник'!$1:$1,0)))</f>
        <v/>
      </c>
      <c r="D333" s="1" t="str">
        <f t="array" ref="D333">IFERROR(INDEX('Исходник'!$1:$626,MATCH($A333,'Исходник'!$T:$T,0),MATCH(D$1,'Исходник'!$1:$1,0)))</f>
        <v/>
      </c>
      <c r="E333" s="1" t="str">
        <f t="array" ref="E333">IFERROR(INDEX('Исходник'!$1:$626,MATCH($A333,'Исходник'!$T:$T,0),MATCH(E$1,'Исходник'!$1:$1,0)))</f>
        <v/>
      </c>
      <c r="F333" s="1" t="str">
        <f t="array" ref="F333">IFERROR(INDEX('Исходник'!$1:$626,MATCH($A333,'Исходник'!$T:$T,0),MATCH(F$1,'Исходник'!$1:$1,0)))</f>
        <v/>
      </c>
      <c r="G333" s="1" t="str">
        <f t="array" ref="G333">IFERROR(INDEX('Исходник'!$1:$626,MATCH($A333,'Исходник'!$T:$T,0),MATCH(G$1,'Исходник'!$1:$1,0)))</f>
        <v/>
      </c>
      <c r="H333" s="27">
        <f t="shared" si="1"/>
        <v>0</v>
      </c>
      <c r="I333" s="27" t="str">
        <f t="shared" si="2"/>
        <v/>
      </c>
      <c r="J333" s="1" t="str">
        <f t="array" ref="J333">IFERROR(INDEX('Исходник'!$1:$626,MATCH($A333,'Исходник'!$T:$T,0),MATCH(J$1,'Исходник'!$1:$1,0)))</f>
        <v/>
      </c>
      <c r="K333" s="27" t="str">
        <f t="shared" si="3"/>
        <v/>
      </c>
      <c r="L333" s="1" t="str">
        <f t="array" ref="L333">IFERROR(INDEX('Исходник'!$1:$626,MATCH($A333,'Исходник'!$T:$T,0),MATCH(L$1,'Исходник'!$1:$1,0)))</f>
        <v/>
      </c>
      <c r="M333" s="28">
        <f t="shared" si="4"/>
        <v>0</v>
      </c>
      <c r="N333" s="1" t="str">
        <f t="array" ref="N333">IFERROR(INDEX('Исходник'!$1:$626,MATCH($A333,'Исходник'!$T:$T,0),MATCH(N$1,'Исходник'!$1:$1,0)))</f>
        <v/>
      </c>
      <c r="O333" s="27">
        <f t="shared" si="5"/>
        <v>0</v>
      </c>
      <c r="P333" s="27" t="str">
        <f t="shared" si="6"/>
        <v/>
      </c>
      <c r="Q333" s="1" t="str">
        <f t="array" ref="Q333">IFERROR(INDEX('Исходник'!$1:$626,MATCH($A333,'Исходник'!$T:$T,0),MATCH(Q$1,'Исходник'!$1:$1,0)))</f>
        <v/>
      </c>
      <c r="R333" s="1" t="str">
        <f t="array" ref="R333">IFERROR(INDEX('Исходник'!$1:$626,MATCH($A333,'Исходник'!$T:$T,0),MATCH(R$1,'Исходник'!$1:$1,0)))</f>
        <v/>
      </c>
      <c r="S333" s="27">
        <f t="shared" si="7"/>
        <v>0</v>
      </c>
      <c r="T333" s="27" t="str">
        <f t="shared" si="8"/>
        <v/>
      </c>
      <c r="U333" s="1" t="str">
        <f t="array" ref="U333">IFERROR(INDEX('Исходник'!$1:$626,MATCH($A333,'Исходник'!$T:$T,0),MATCH(U$1,'Исходник'!$1:$1,0)))</f>
        <v/>
      </c>
      <c r="V333" s="27" t="str">
        <f t="shared" si="9"/>
        <v/>
      </c>
      <c r="W333" s="1" t="str">
        <f t="array" ref="W333">IFERROR(INDEX('Исходник'!$1:$626,MATCH($A333,'Исходник'!$T:$T,0),MATCH(W$1,'Исходник'!$1:$1,0)))</f>
        <v/>
      </c>
      <c r="X333" s="28">
        <f t="shared" si="10"/>
        <v>0</v>
      </c>
      <c r="Y333" s="1" t="str">
        <f t="array" ref="Y333">IFERROR(INDEX('Исходник'!$1:$626,MATCH($A333,'Исходник'!$T:$T,0),MATCH(Y$1,'Исходник'!$1:$1,0)))</f>
        <v/>
      </c>
      <c r="Z333" s="27">
        <f t="shared" si="11"/>
        <v>0</v>
      </c>
      <c r="AA333" s="27" t="str">
        <f t="shared" si="12"/>
        <v/>
      </c>
      <c r="AB333" s="1" t="str">
        <f t="array" ref="AB333">IFERROR(INDEX('Исходник'!$1:$626,MATCH($A333,'Исходник'!$T:$T,0),MATCH(AB$1,'Исходник'!$1:$1,0)))</f>
        <v/>
      </c>
      <c r="AC333" s="1" t="str">
        <f t="array" ref="AC333">IFERROR(INDEX('Исходник'!$1:$626,MATCH($A333,'Исходник'!$T:$T,0),MATCH(AC$1,'Исходник'!$1:$1,0)))</f>
        <v/>
      </c>
      <c r="AD333" s="27" t="str">
        <f t="shared" si="13"/>
        <v/>
      </c>
      <c r="AE333" s="1" t="str">
        <f t="array" ref="AE333">IFERROR(INDEX('Исходник'!$1:$626,MATCH($A333,'Исходник'!$T:$T,0),MATCH(AE$1,'Исходник'!$1:$1,0)))</f>
        <v/>
      </c>
      <c r="AF333" s="1" t="str">
        <f t="array" ref="AF333">IFERROR(INDEX('Исходник'!$1:$626,MATCH($A333,'Исходник'!$T:$T,0),MATCH(AF$1,'Исходник'!$1:$1,0)))</f>
        <v/>
      </c>
      <c r="AG333" s="27" t="str">
        <f t="shared" si="14"/>
        <v/>
      </c>
      <c r="AH333" s="1" t="str">
        <f t="array" ref="AH333">IFERROR(INDEX('Исходник'!$1:$626,MATCH($A333,'Исходник'!$T:$T,0),MATCH(AH$1,'Исходник'!$1:$1,0)))</f>
        <v/>
      </c>
      <c r="AI333" s="1" t="str">
        <f t="array" ref="AI333">IFERROR(INDEX('Исходник'!$1:$626,MATCH($A333,'Исходник'!$T:$T,0),MATCH(AI$1,'Исходник'!$1:$1,0)))</f>
        <v/>
      </c>
      <c r="AJ333" s="18">
        <f t="shared" si="15"/>
        <v>0</v>
      </c>
    </row>
    <row r="334" ht="15.75" customHeight="1">
      <c r="A334" s="27"/>
      <c r="B334" s="1" t="str">
        <f t="array" ref="B334">IFERROR(INDEX('Исходник'!$1:$626,MATCH($A334,'Исходник'!$T:$T,0),MATCH(B$1,'Исходник'!$1:$1,0)))</f>
        <v/>
      </c>
      <c r="C334" s="1" t="str">
        <f t="array" ref="C334">IFERROR(INDEX('Исходник'!$1:$626,MATCH($A334,'Исходник'!$T:$T,0),MATCH(C$1,'Исходник'!$1:$1,0)))</f>
        <v/>
      </c>
      <c r="D334" s="1" t="str">
        <f t="array" ref="D334">IFERROR(INDEX('Исходник'!$1:$626,MATCH($A334,'Исходник'!$T:$T,0),MATCH(D$1,'Исходник'!$1:$1,0)))</f>
        <v/>
      </c>
      <c r="E334" s="1" t="str">
        <f t="array" ref="E334">IFERROR(INDEX('Исходник'!$1:$626,MATCH($A334,'Исходник'!$T:$T,0),MATCH(E$1,'Исходник'!$1:$1,0)))</f>
        <v/>
      </c>
      <c r="F334" s="1" t="str">
        <f t="array" ref="F334">IFERROR(INDEX('Исходник'!$1:$626,MATCH($A334,'Исходник'!$T:$T,0),MATCH(F$1,'Исходник'!$1:$1,0)))</f>
        <v/>
      </c>
      <c r="G334" s="1" t="str">
        <f t="array" ref="G334">IFERROR(INDEX('Исходник'!$1:$626,MATCH($A334,'Исходник'!$T:$T,0),MATCH(G$1,'Исходник'!$1:$1,0)))</f>
        <v/>
      </c>
      <c r="H334" s="27">
        <f t="shared" si="1"/>
        <v>0</v>
      </c>
      <c r="I334" s="27" t="str">
        <f t="shared" si="2"/>
        <v/>
      </c>
      <c r="J334" s="1" t="str">
        <f t="array" ref="J334">IFERROR(INDEX('Исходник'!$1:$626,MATCH($A334,'Исходник'!$T:$T,0),MATCH(J$1,'Исходник'!$1:$1,0)))</f>
        <v/>
      </c>
      <c r="K334" s="27" t="str">
        <f t="shared" si="3"/>
        <v/>
      </c>
      <c r="L334" s="1" t="str">
        <f t="array" ref="L334">IFERROR(INDEX('Исходник'!$1:$626,MATCH($A334,'Исходник'!$T:$T,0),MATCH(L$1,'Исходник'!$1:$1,0)))</f>
        <v/>
      </c>
      <c r="M334" s="28">
        <f t="shared" si="4"/>
        <v>0</v>
      </c>
      <c r="N334" s="1" t="str">
        <f t="array" ref="N334">IFERROR(INDEX('Исходник'!$1:$626,MATCH($A334,'Исходник'!$T:$T,0),MATCH(N$1,'Исходник'!$1:$1,0)))</f>
        <v/>
      </c>
      <c r="O334" s="27">
        <f t="shared" si="5"/>
        <v>0</v>
      </c>
      <c r="P334" s="27" t="str">
        <f t="shared" si="6"/>
        <v/>
      </c>
      <c r="Q334" s="1" t="str">
        <f t="array" ref="Q334">IFERROR(INDEX('Исходник'!$1:$626,MATCH($A334,'Исходник'!$T:$T,0),MATCH(Q$1,'Исходник'!$1:$1,0)))</f>
        <v/>
      </c>
      <c r="R334" s="1" t="str">
        <f t="array" ref="R334">IFERROR(INDEX('Исходник'!$1:$626,MATCH($A334,'Исходник'!$T:$T,0),MATCH(R$1,'Исходник'!$1:$1,0)))</f>
        <v/>
      </c>
      <c r="S334" s="27">
        <f t="shared" si="7"/>
        <v>0</v>
      </c>
      <c r="T334" s="27" t="str">
        <f t="shared" si="8"/>
        <v/>
      </c>
      <c r="U334" s="1" t="str">
        <f t="array" ref="U334">IFERROR(INDEX('Исходник'!$1:$626,MATCH($A334,'Исходник'!$T:$T,0),MATCH(U$1,'Исходник'!$1:$1,0)))</f>
        <v/>
      </c>
      <c r="V334" s="27" t="str">
        <f t="shared" si="9"/>
        <v/>
      </c>
      <c r="W334" s="1" t="str">
        <f t="array" ref="W334">IFERROR(INDEX('Исходник'!$1:$626,MATCH($A334,'Исходник'!$T:$T,0),MATCH(W$1,'Исходник'!$1:$1,0)))</f>
        <v/>
      </c>
      <c r="X334" s="28">
        <f t="shared" si="10"/>
        <v>0</v>
      </c>
      <c r="Y334" s="1" t="str">
        <f t="array" ref="Y334">IFERROR(INDEX('Исходник'!$1:$626,MATCH($A334,'Исходник'!$T:$T,0),MATCH(Y$1,'Исходник'!$1:$1,0)))</f>
        <v/>
      </c>
      <c r="Z334" s="27">
        <f t="shared" si="11"/>
        <v>0</v>
      </c>
      <c r="AA334" s="27" t="str">
        <f t="shared" si="12"/>
        <v/>
      </c>
      <c r="AB334" s="1" t="str">
        <f t="array" ref="AB334">IFERROR(INDEX('Исходник'!$1:$626,MATCH($A334,'Исходник'!$T:$T,0),MATCH(AB$1,'Исходник'!$1:$1,0)))</f>
        <v/>
      </c>
      <c r="AC334" s="1" t="str">
        <f t="array" ref="AC334">IFERROR(INDEX('Исходник'!$1:$626,MATCH($A334,'Исходник'!$T:$T,0),MATCH(AC$1,'Исходник'!$1:$1,0)))</f>
        <v/>
      </c>
      <c r="AD334" s="27" t="str">
        <f t="shared" si="13"/>
        <v/>
      </c>
      <c r="AE334" s="1" t="str">
        <f t="array" ref="AE334">IFERROR(INDEX('Исходник'!$1:$626,MATCH($A334,'Исходник'!$T:$T,0),MATCH(AE$1,'Исходник'!$1:$1,0)))</f>
        <v/>
      </c>
      <c r="AF334" s="1" t="str">
        <f t="array" ref="AF334">IFERROR(INDEX('Исходник'!$1:$626,MATCH($A334,'Исходник'!$T:$T,0),MATCH(AF$1,'Исходник'!$1:$1,0)))</f>
        <v/>
      </c>
      <c r="AG334" s="27" t="str">
        <f t="shared" si="14"/>
        <v/>
      </c>
      <c r="AH334" s="1" t="str">
        <f t="array" ref="AH334">IFERROR(INDEX('Исходник'!$1:$626,MATCH($A334,'Исходник'!$T:$T,0),MATCH(AH$1,'Исходник'!$1:$1,0)))</f>
        <v/>
      </c>
      <c r="AI334" s="1" t="str">
        <f t="array" ref="AI334">IFERROR(INDEX('Исходник'!$1:$626,MATCH($A334,'Исходник'!$T:$T,0),MATCH(AI$1,'Исходник'!$1:$1,0)))</f>
        <v/>
      </c>
      <c r="AJ334" s="18">
        <f t="shared" si="15"/>
        <v>0</v>
      </c>
    </row>
    <row r="335" ht="15.75" customHeight="1">
      <c r="A335" s="27"/>
      <c r="B335" s="1" t="str">
        <f t="array" ref="B335">IFERROR(INDEX('Исходник'!$1:$626,MATCH($A335,'Исходник'!$T:$T,0),MATCH(B$1,'Исходник'!$1:$1,0)))</f>
        <v/>
      </c>
      <c r="C335" s="1" t="str">
        <f t="array" ref="C335">IFERROR(INDEX('Исходник'!$1:$626,MATCH($A335,'Исходник'!$T:$T,0),MATCH(C$1,'Исходник'!$1:$1,0)))</f>
        <v/>
      </c>
      <c r="D335" s="1" t="str">
        <f t="array" ref="D335">IFERROR(INDEX('Исходник'!$1:$626,MATCH($A335,'Исходник'!$T:$T,0),MATCH(D$1,'Исходник'!$1:$1,0)))</f>
        <v/>
      </c>
      <c r="E335" s="1" t="str">
        <f t="array" ref="E335">IFERROR(INDEX('Исходник'!$1:$626,MATCH($A335,'Исходник'!$T:$T,0),MATCH(E$1,'Исходник'!$1:$1,0)))</f>
        <v/>
      </c>
      <c r="F335" s="1" t="str">
        <f t="array" ref="F335">IFERROR(INDEX('Исходник'!$1:$626,MATCH($A335,'Исходник'!$T:$T,0),MATCH(F$1,'Исходник'!$1:$1,0)))</f>
        <v/>
      </c>
      <c r="G335" s="1" t="str">
        <f t="array" ref="G335">IFERROR(INDEX('Исходник'!$1:$626,MATCH($A335,'Исходник'!$T:$T,0),MATCH(G$1,'Исходник'!$1:$1,0)))</f>
        <v/>
      </c>
      <c r="H335" s="27">
        <f t="shared" si="1"/>
        <v>0</v>
      </c>
      <c r="I335" s="27" t="str">
        <f t="shared" si="2"/>
        <v/>
      </c>
      <c r="J335" s="1" t="str">
        <f t="array" ref="J335">IFERROR(INDEX('Исходник'!$1:$626,MATCH($A335,'Исходник'!$T:$T,0),MATCH(J$1,'Исходник'!$1:$1,0)))</f>
        <v/>
      </c>
      <c r="K335" s="27" t="str">
        <f t="shared" si="3"/>
        <v/>
      </c>
      <c r="L335" s="1" t="str">
        <f t="array" ref="L335">IFERROR(INDEX('Исходник'!$1:$626,MATCH($A335,'Исходник'!$T:$T,0),MATCH(L$1,'Исходник'!$1:$1,0)))</f>
        <v/>
      </c>
      <c r="M335" s="28">
        <f t="shared" si="4"/>
        <v>0</v>
      </c>
      <c r="N335" s="1" t="str">
        <f t="array" ref="N335">IFERROR(INDEX('Исходник'!$1:$626,MATCH($A335,'Исходник'!$T:$T,0),MATCH(N$1,'Исходник'!$1:$1,0)))</f>
        <v/>
      </c>
      <c r="O335" s="27">
        <f t="shared" si="5"/>
        <v>0</v>
      </c>
      <c r="P335" s="27" t="str">
        <f t="shared" si="6"/>
        <v/>
      </c>
      <c r="Q335" s="1" t="str">
        <f t="array" ref="Q335">IFERROR(INDEX('Исходник'!$1:$626,MATCH($A335,'Исходник'!$T:$T,0),MATCH(Q$1,'Исходник'!$1:$1,0)))</f>
        <v/>
      </c>
      <c r="R335" s="1" t="str">
        <f t="array" ref="R335">IFERROR(INDEX('Исходник'!$1:$626,MATCH($A335,'Исходник'!$T:$T,0),MATCH(R$1,'Исходник'!$1:$1,0)))</f>
        <v/>
      </c>
      <c r="S335" s="27">
        <f t="shared" si="7"/>
        <v>0</v>
      </c>
      <c r="T335" s="27" t="str">
        <f t="shared" si="8"/>
        <v/>
      </c>
      <c r="U335" s="1" t="str">
        <f t="array" ref="U335">IFERROR(INDEX('Исходник'!$1:$626,MATCH($A335,'Исходник'!$T:$T,0),MATCH(U$1,'Исходник'!$1:$1,0)))</f>
        <v/>
      </c>
      <c r="V335" s="27" t="str">
        <f t="shared" si="9"/>
        <v/>
      </c>
      <c r="W335" s="1" t="str">
        <f t="array" ref="W335">IFERROR(INDEX('Исходник'!$1:$626,MATCH($A335,'Исходник'!$T:$T,0),MATCH(W$1,'Исходник'!$1:$1,0)))</f>
        <v/>
      </c>
      <c r="X335" s="28">
        <f t="shared" si="10"/>
        <v>0</v>
      </c>
      <c r="Y335" s="1" t="str">
        <f t="array" ref="Y335">IFERROR(INDEX('Исходник'!$1:$626,MATCH($A335,'Исходник'!$T:$T,0),MATCH(Y$1,'Исходник'!$1:$1,0)))</f>
        <v/>
      </c>
      <c r="Z335" s="27">
        <f t="shared" si="11"/>
        <v>0</v>
      </c>
      <c r="AA335" s="27" t="str">
        <f t="shared" si="12"/>
        <v/>
      </c>
      <c r="AB335" s="1" t="str">
        <f t="array" ref="AB335">IFERROR(INDEX('Исходник'!$1:$626,MATCH($A335,'Исходник'!$T:$T,0),MATCH(AB$1,'Исходник'!$1:$1,0)))</f>
        <v/>
      </c>
      <c r="AC335" s="1" t="str">
        <f t="array" ref="AC335">IFERROR(INDEX('Исходник'!$1:$626,MATCH($A335,'Исходник'!$T:$T,0),MATCH(AC$1,'Исходник'!$1:$1,0)))</f>
        <v/>
      </c>
      <c r="AD335" s="27" t="str">
        <f t="shared" si="13"/>
        <v/>
      </c>
      <c r="AE335" s="1" t="str">
        <f t="array" ref="AE335">IFERROR(INDEX('Исходник'!$1:$626,MATCH($A335,'Исходник'!$T:$T,0),MATCH(AE$1,'Исходник'!$1:$1,0)))</f>
        <v/>
      </c>
      <c r="AF335" s="1" t="str">
        <f t="array" ref="AF335">IFERROR(INDEX('Исходник'!$1:$626,MATCH($A335,'Исходник'!$T:$T,0),MATCH(AF$1,'Исходник'!$1:$1,0)))</f>
        <v/>
      </c>
      <c r="AG335" s="27" t="str">
        <f t="shared" si="14"/>
        <v/>
      </c>
      <c r="AH335" s="1" t="str">
        <f t="array" ref="AH335">IFERROR(INDEX('Исходник'!$1:$626,MATCH($A335,'Исходник'!$T:$T,0),MATCH(AH$1,'Исходник'!$1:$1,0)))</f>
        <v/>
      </c>
      <c r="AI335" s="1" t="str">
        <f t="array" ref="AI335">IFERROR(INDEX('Исходник'!$1:$626,MATCH($A335,'Исходник'!$T:$T,0),MATCH(AI$1,'Исходник'!$1:$1,0)))</f>
        <v/>
      </c>
      <c r="AJ335" s="18">
        <f t="shared" si="15"/>
        <v>0</v>
      </c>
    </row>
    <row r="336" ht="15.75" customHeight="1">
      <c r="A336" s="27"/>
      <c r="B336" s="1" t="str">
        <f t="array" ref="B336">IFERROR(INDEX('Исходник'!$1:$626,MATCH($A336,'Исходник'!$T:$T,0),MATCH(B$1,'Исходник'!$1:$1,0)))</f>
        <v/>
      </c>
      <c r="C336" s="1" t="str">
        <f t="array" ref="C336">IFERROR(INDEX('Исходник'!$1:$626,MATCH($A336,'Исходник'!$T:$T,0),MATCH(C$1,'Исходник'!$1:$1,0)))</f>
        <v/>
      </c>
      <c r="D336" s="1" t="str">
        <f t="array" ref="D336">IFERROR(INDEX('Исходник'!$1:$626,MATCH($A336,'Исходник'!$T:$T,0),MATCH(D$1,'Исходник'!$1:$1,0)))</f>
        <v/>
      </c>
      <c r="E336" s="1" t="str">
        <f t="array" ref="E336">IFERROR(INDEX('Исходник'!$1:$626,MATCH($A336,'Исходник'!$T:$T,0),MATCH(E$1,'Исходник'!$1:$1,0)))</f>
        <v/>
      </c>
      <c r="F336" s="1" t="str">
        <f t="array" ref="F336">IFERROR(INDEX('Исходник'!$1:$626,MATCH($A336,'Исходник'!$T:$T,0),MATCH(F$1,'Исходник'!$1:$1,0)))</f>
        <v/>
      </c>
      <c r="G336" s="1" t="str">
        <f t="array" ref="G336">IFERROR(INDEX('Исходник'!$1:$626,MATCH($A336,'Исходник'!$T:$T,0),MATCH(G$1,'Исходник'!$1:$1,0)))</f>
        <v/>
      </c>
      <c r="H336" s="27">
        <f t="shared" si="1"/>
        <v>0</v>
      </c>
      <c r="I336" s="27" t="str">
        <f t="shared" si="2"/>
        <v/>
      </c>
      <c r="J336" s="1" t="str">
        <f t="array" ref="J336">IFERROR(INDEX('Исходник'!$1:$626,MATCH($A336,'Исходник'!$T:$T,0),MATCH(J$1,'Исходник'!$1:$1,0)))</f>
        <v/>
      </c>
      <c r="K336" s="27" t="str">
        <f t="shared" si="3"/>
        <v/>
      </c>
      <c r="L336" s="1" t="str">
        <f t="array" ref="L336">IFERROR(INDEX('Исходник'!$1:$626,MATCH($A336,'Исходник'!$T:$T,0),MATCH(L$1,'Исходник'!$1:$1,0)))</f>
        <v/>
      </c>
      <c r="M336" s="28">
        <f t="shared" si="4"/>
        <v>0</v>
      </c>
      <c r="N336" s="1" t="str">
        <f t="array" ref="N336">IFERROR(INDEX('Исходник'!$1:$626,MATCH($A336,'Исходник'!$T:$T,0),MATCH(N$1,'Исходник'!$1:$1,0)))</f>
        <v/>
      </c>
      <c r="O336" s="27">
        <f t="shared" si="5"/>
        <v>0</v>
      </c>
      <c r="P336" s="27" t="str">
        <f t="shared" si="6"/>
        <v/>
      </c>
      <c r="Q336" s="1" t="str">
        <f t="array" ref="Q336">IFERROR(INDEX('Исходник'!$1:$626,MATCH($A336,'Исходник'!$T:$T,0),MATCH(Q$1,'Исходник'!$1:$1,0)))</f>
        <v/>
      </c>
      <c r="R336" s="1" t="str">
        <f t="array" ref="R336">IFERROR(INDEX('Исходник'!$1:$626,MATCH($A336,'Исходник'!$T:$T,0),MATCH(R$1,'Исходник'!$1:$1,0)))</f>
        <v/>
      </c>
      <c r="S336" s="27">
        <f t="shared" si="7"/>
        <v>0</v>
      </c>
      <c r="T336" s="27" t="str">
        <f t="shared" si="8"/>
        <v/>
      </c>
      <c r="U336" s="1" t="str">
        <f t="array" ref="U336">IFERROR(INDEX('Исходник'!$1:$626,MATCH($A336,'Исходник'!$T:$T,0),MATCH(U$1,'Исходник'!$1:$1,0)))</f>
        <v/>
      </c>
      <c r="V336" s="27" t="str">
        <f t="shared" si="9"/>
        <v/>
      </c>
      <c r="W336" s="1" t="str">
        <f t="array" ref="W336">IFERROR(INDEX('Исходник'!$1:$626,MATCH($A336,'Исходник'!$T:$T,0),MATCH(W$1,'Исходник'!$1:$1,0)))</f>
        <v/>
      </c>
      <c r="X336" s="28">
        <f t="shared" si="10"/>
        <v>0</v>
      </c>
      <c r="Y336" s="1" t="str">
        <f t="array" ref="Y336">IFERROR(INDEX('Исходник'!$1:$626,MATCH($A336,'Исходник'!$T:$T,0),MATCH(Y$1,'Исходник'!$1:$1,0)))</f>
        <v/>
      </c>
      <c r="Z336" s="27">
        <f t="shared" si="11"/>
        <v>0</v>
      </c>
      <c r="AA336" s="27" t="str">
        <f t="shared" si="12"/>
        <v/>
      </c>
      <c r="AB336" s="1" t="str">
        <f t="array" ref="AB336">IFERROR(INDEX('Исходник'!$1:$626,MATCH($A336,'Исходник'!$T:$T,0),MATCH(AB$1,'Исходник'!$1:$1,0)))</f>
        <v/>
      </c>
      <c r="AC336" s="1" t="str">
        <f t="array" ref="AC336">IFERROR(INDEX('Исходник'!$1:$626,MATCH($A336,'Исходник'!$T:$T,0),MATCH(AC$1,'Исходник'!$1:$1,0)))</f>
        <v/>
      </c>
      <c r="AD336" s="27" t="str">
        <f t="shared" si="13"/>
        <v/>
      </c>
      <c r="AE336" s="1" t="str">
        <f t="array" ref="AE336">IFERROR(INDEX('Исходник'!$1:$626,MATCH($A336,'Исходник'!$T:$T,0),MATCH(AE$1,'Исходник'!$1:$1,0)))</f>
        <v/>
      </c>
      <c r="AF336" s="1" t="str">
        <f t="array" ref="AF336">IFERROR(INDEX('Исходник'!$1:$626,MATCH($A336,'Исходник'!$T:$T,0),MATCH(AF$1,'Исходник'!$1:$1,0)))</f>
        <v/>
      </c>
      <c r="AG336" s="27" t="str">
        <f t="shared" si="14"/>
        <v/>
      </c>
      <c r="AH336" s="1" t="str">
        <f t="array" ref="AH336">IFERROR(INDEX('Исходник'!$1:$626,MATCH($A336,'Исходник'!$T:$T,0),MATCH(AH$1,'Исходник'!$1:$1,0)))</f>
        <v/>
      </c>
      <c r="AI336" s="1" t="str">
        <f t="array" ref="AI336">IFERROR(INDEX('Исходник'!$1:$626,MATCH($A336,'Исходник'!$T:$T,0),MATCH(AI$1,'Исходник'!$1:$1,0)))</f>
        <v/>
      </c>
      <c r="AJ336" s="18">
        <f t="shared" si="15"/>
        <v>0</v>
      </c>
    </row>
    <row r="337" ht="15.75" customHeight="1">
      <c r="A337" s="27"/>
      <c r="B337" s="1" t="str">
        <f t="array" ref="B337">IFERROR(INDEX('Исходник'!$1:$626,MATCH($A337,'Исходник'!$T:$T,0),MATCH(B$1,'Исходник'!$1:$1,0)))</f>
        <v/>
      </c>
      <c r="C337" s="1" t="str">
        <f t="array" ref="C337">IFERROR(INDEX('Исходник'!$1:$626,MATCH($A337,'Исходник'!$T:$T,0),MATCH(C$1,'Исходник'!$1:$1,0)))</f>
        <v/>
      </c>
      <c r="D337" s="1" t="str">
        <f t="array" ref="D337">IFERROR(INDEX('Исходник'!$1:$626,MATCH($A337,'Исходник'!$T:$T,0),MATCH(D$1,'Исходник'!$1:$1,0)))</f>
        <v/>
      </c>
      <c r="E337" s="1" t="str">
        <f t="array" ref="E337">IFERROR(INDEX('Исходник'!$1:$626,MATCH($A337,'Исходник'!$T:$T,0),MATCH(E$1,'Исходник'!$1:$1,0)))</f>
        <v/>
      </c>
      <c r="F337" s="1" t="str">
        <f t="array" ref="F337">IFERROR(INDEX('Исходник'!$1:$626,MATCH($A337,'Исходник'!$T:$T,0),MATCH(F$1,'Исходник'!$1:$1,0)))</f>
        <v/>
      </c>
      <c r="G337" s="1" t="str">
        <f t="array" ref="G337">IFERROR(INDEX('Исходник'!$1:$626,MATCH($A337,'Исходник'!$T:$T,0),MATCH(G$1,'Исходник'!$1:$1,0)))</f>
        <v/>
      </c>
      <c r="H337" s="27">
        <f t="shared" si="1"/>
        <v>0</v>
      </c>
      <c r="I337" s="27" t="str">
        <f t="shared" si="2"/>
        <v/>
      </c>
      <c r="J337" s="1" t="str">
        <f t="array" ref="J337">IFERROR(INDEX('Исходник'!$1:$626,MATCH($A337,'Исходник'!$T:$T,0),MATCH(J$1,'Исходник'!$1:$1,0)))</f>
        <v/>
      </c>
      <c r="K337" s="27" t="str">
        <f t="shared" si="3"/>
        <v/>
      </c>
      <c r="L337" s="1" t="str">
        <f t="array" ref="L337">IFERROR(INDEX('Исходник'!$1:$626,MATCH($A337,'Исходник'!$T:$T,0),MATCH(L$1,'Исходник'!$1:$1,0)))</f>
        <v/>
      </c>
      <c r="M337" s="28">
        <f t="shared" si="4"/>
        <v>0</v>
      </c>
      <c r="N337" s="1" t="str">
        <f t="array" ref="N337">IFERROR(INDEX('Исходник'!$1:$626,MATCH($A337,'Исходник'!$T:$T,0),MATCH(N$1,'Исходник'!$1:$1,0)))</f>
        <v/>
      </c>
      <c r="O337" s="27">
        <f t="shared" si="5"/>
        <v>0</v>
      </c>
      <c r="P337" s="27" t="str">
        <f t="shared" si="6"/>
        <v/>
      </c>
      <c r="Q337" s="1" t="str">
        <f t="array" ref="Q337">IFERROR(INDEX('Исходник'!$1:$626,MATCH($A337,'Исходник'!$T:$T,0),MATCH(Q$1,'Исходник'!$1:$1,0)))</f>
        <v/>
      </c>
      <c r="R337" s="1" t="str">
        <f t="array" ref="R337">IFERROR(INDEX('Исходник'!$1:$626,MATCH($A337,'Исходник'!$T:$T,0),MATCH(R$1,'Исходник'!$1:$1,0)))</f>
        <v/>
      </c>
      <c r="S337" s="27">
        <f t="shared" si="7"/>
        <v>0</v>
      </c>
      <c r="T337" s="27" t="str">
        <f t="shared" si="8"/>
        <v/>
      </c>
      <c r="U337" s="1" t="str">
        <f t="array" ref="U337">IFERROR(INDEX('Исходник'!$1:$626,MATCH($A337,'Исходник'!$T:$T,0),MATCH(U$1,'Исходник'!$1:$1,0)))</f>
        <v/>
      </c>
      <c r="V337" s="27" t="str">
        <f t="shared" si="9"/>
        <v/>
      </c>
      <c r="W337" s="1" t="str">
        <f t="array" ref="W337">IFERROR(INDEX('Исходник'!$1:$626,MATCH($A337,'Исходник'!$T:$T,0),MATCH(W$1,'Исходник'!$1:$1,0)))</f>
        <v/>
      </c>
      <c r="X337" s="28">
        <f t="shared" si="10"/>
        <v>0</v>
      </c>
      <c r="Y337" s="1" t="str">
        <f t="array" ref="Y337">IFERROR(INDEX('Исходник'!$1:$626,MATCH($A337,'Исходник'!$T:$T,0),MATCH(Y$1,'Исходник'!$1:$1,0)))</f>
        <v/>
      </c>
      <c r="Z337" s="27">
        <f t="shared" si="11"/>
        <v>0</v>
      </c>
      <c r="AA337" s="27" t="str">
        <f t="shared" si="12"/>
        <v/>
      </c>
      <c r="AB337" s="1" t="str">
        <f t="array" ref="AB337">IFERROR(INDEX('Исходник'!$1:$626,MATCH($A337,'Исходник'!$T:$T,0),MATCH(AB$1,'Исходник'!$1:$1,0)))</f>
        <v/>
      </c>
      <c r="AC337" s="1" t="str">
        <f t="array" ref="AC337">IFERROR(INDEX('Исходник'!$1:$626,MATCH($A337,'Исходник'!$T:$T,0),MATCH(AC$1,'Исходник'!$1:$1,0)))</f>
        <v/>
      </c>
      <c r="AD337" s="27" t="str">
        <f t="shared" si="13"/>
        <v/>
      </c>
      <c r="AE337" s="1" t="str">
        <f t="array" ref="AE337">IFERROR(INDEX('Исходник'!$1:$626,MATCH($A337,'Исходник'!$T:$T,0),MATCH(AE$1,'Исходник'!$1:$1,0)))</f>
        <v/>
      </c>
      <c r="AF337" s="1" t="str">
        <f t="array" ref="AF337">IFERROR(INDEX('Исходник'!$1:$626,MATCH($A337,'Исходник'!$T:$T,0),MATCH(AF$1,'Исходник'!$1:$1,0)))</f>
        <v/>
      </c>
      <c r="AG337" s="27" t="str">
        <f t="shared" si="14"/>
        <v/>
      </c>
      <c r="AH337" s="1" t="str">
        <f t="array" ref="AH337">IFERROR(INDEX('Исходник'!$1:$626,MATCH($A337,'Исходник'!$T:$T,0),MATCH(AH$1,'Исходник'!$1:$1,0)))</f>
        <v/>
      </c>
      <c r="AI337" s="1" t="str">
        <f t="array" ref="AI337">IFERROR(INDEX('Исходник'!$1:$626,MATCH($A337,'Исходник'!$T:$T,0),MATCH(AI$1,'Исходник'!$1:$1,0)))</f>
        <v/>
      </c>
      <c r="AJ337" s="18">
        <f t="shared" si="15"/>
        <v>0</v>
      </c>
    </row>
    <row r="338" ht="15.75" customHeight="1">
      <c r="A338" s="27"/>
      <c r="B338" s="1" t="str">
        <f t="array" ref="B338">IFERROR(INDEX('Исходник'!$1:$626,MATCH($A338,'Исходник'!$T:$T,0),MATCH(B$1,'Исходник'!$1:$1,0)))</f>
        <v/>
      </c>
      <c r="C338" s="1" t="str">
        <f t="array" ref="C338">IFERROR(INDEX('Исходник'!$1:$626,MATCH($A338,'Исходник'!$T:$T,0),MATCH(C$1,'Исходник'!$1:$1,0)))</f>
        <v/>
      </c>
      <c r="D338" s="1" t="str">
        <f t="array" ref="D338">IFERROR(INDEX('Исходник'!$1:$626,MATCH($A338,'Исходник'!$T:$T,0),MATCH(D$1,'Исходник'!$1:$1,0)))</f>
        <v/>
      </c>
      <c r="E338" s="1" t="str">
        <f t="array" ref="E338">IFERROR(INDEX('Исходник'!$1:$626,MATCH($A338,'Исходник'!$T:$T,0),MATCH(E$1,'Исходник'!$1:$1,0)))</f>
        <v/>
      </c>
      <c r="F338" s="1" t="str">
        <f t="array" ref="F338">IFERROR(INDEX('Исходник'!$1:$626,MATCH($A338,'Исходник'!$T:$T,0),MATCH(F$1,'Исходник'!$1:$1,0)))</f>
        <v/>
      </c>
      <c r="G338" s="1" t="str">
        <f t="array" ref="G338">IFERROR(INDEX('Исходник'!$1:$626,MATCH($A338,'Исходник'!$T:$T,0),MATCH(G$1,'Исходник'!$1:$1,0)))</f>
        <v/>
      </c>
      <c r="H338" s="27">
        <f t="shared" si="1"/>
        <v>0</v>
      </c>
      <c r="I338" s="27" t="str">
        <f t="shared" si="2"/>
        <v/>
      </c>
      <c r="J338" s="1" t="str">
        <f t="array" ref="J338">IFERROR(INDEX('Исходник'!$1:$626,MATCH($A338,'Исходник'!$T:$T,0),MATCH(J$1,'Исходник'!$1:$1,0)))</f>
        <v/>
      </c>
      <c r="K338" s="27" t="str">
        <f t="shared" si="3"/>
        <v/>
      </c>
      <c r="L338" s="1" t="str">
        <f t="array" ref="L338">IFERROR(INDEX('Исходник'!$1:$626,MATCH($A338,'Исходник'!$T:$T,0),MATCH(L$1,'Исходник'!$1:$1,0)))</f>
        <v/>
      </c>
      <c r="M338" s="28">
        <f t="shared" si="4"/>
        <v>0</v>
      </c>
      <c r="N338" s="1" t="str">
        <f t="array" ref="N338">IFERROR(INDEX('Исходник'!$1:$626,MATCH($A338,'Исходник'!$T:$T,0),MATCH(N$1,'Исходник'!$1:$1,0)))</f>
        <v/>
      </c>
      <c r="O338" s="27">
        <f t="shared" si="5"/>
        <v>0</v>
      </c>
      <c r="P338" s="27" t="str">
        <f t="shared" si="6"/>
        <v/>
      </c>
      <c r="Q338" s="1" t="str">
        <f t="array" ref="Q338">IFERROR(INDEX('Исходник'!$1:$626,MATCH($A338,'Исходник'!$T:$T,0),MATCH(Q$1,'Исходник'!$1:$1,0)))</f>
        <v/>
      </c>
      <c r="R338" s="1" t="str">
        <f t="array" ref="R338">IFERROR(INDEX('Исходник'!$1:$626,MATCH($A338,'Исходник'!$T:$T,0),MATCH(R$1,'Исходник'!$1:$1,0)))</f>
        <v/>
      </c>
      <c r="S338" s="27">
        <f t="shared" si="7"/>
        <v>0</v>
      </c>
      <c r="T338" s="27" t="str">
        <f t="shared" si="8"/>
        <v/>
      </c>
      <c r="U338" s="1" t="str">
        <f t="array" ref="U338">IFERROR(INDEX('Исходник'!$1:$626,MATCH($A338,'Исходник'!$T:$T,0),MATCH(U$1,'Исходник'!$1:$1,0)))</f>
        <v/>
      </c>
      <c r="V338" s="27" t="str">
        <f t="shared" si="9"/>
        <v/>
      </c>
      <c r="W338" s="1" t="str">
        <f t="array" ref="W338">IFERROR(INDEX('Исходник'!$1:$626,MATCH($A338,'Исходник'!$T:$T,0),MATCH(W$1,'Исходник'!$1:$1,0)))</f>
        <v/>
      </c>
      <c r="X338" s="28">
        <f t="shared" si="10"/>
        <v>0</v>
      </c>
      <c r="Y338" s="1" t="str">
        <f t="array" ref="Y338">IFERROR(INDEX('Исходник'!$1:$626,MATCH($A338,'Исходник'!$T:$T,0),MATCH(Y$1,'Исходник'!$1:$1,0)))</f>
        <v/>
      </c>
      <c r="Z338" s="27">
        <f t="shared" si="11"/>
        <v>0</v>
      </c>
      <c r="AA338" s="27" t="str">
        <f t="shared" si="12"/>
        <v/>
      </c>
      <c r="AB338" s="1" t="str">
        <f t="array" ref="AB338">IFERROR(INDEX('Исходник'!$1:$626,MATCH($A338,'Исходник'!$T:$T,0),MATCH(AB$1,'Исходник'!$1:$1,0)))</f>
        <v/>
      </c>
      <c r="AC338" s="1" t="str">
        <f t="array" ref="AC338">IFERROR(INDEX('Исходник'!$1:$626,MATCH($A338,'Исходник'!$T:$T,0),MATCH(AC$1,'Исходник'!$1:$1,0)))</f>
        <v/>
      </c>
      <c r="AD338" s="27" t="str">
        <f t="shared" si="13"/>
        <v/>
      </c>
      <c r="AE338" s="1" t="str">
        <f t="array" ref="AE338">IFERROR(INDEX('Исходник'!$1:$626,MATCH($A338,'Исходник'!$T:$T,0),MATCH(AE$1,'Исходник'!$1:$1,0)))</f>
        <v/>
      </c>
      <c r="AF338" s="1" t="str">
        <f t="array" ref="AF338">IFERROR(INDEX('Исходник'!$1:$626,MATCH($A338,'Исходник'!$T:$T,0),MATCH(AF$1,'Исходник'!$1:$1,0)))</f>
        <v/>
      </c>
      <c r="AG338" s="27" t="str">
        <f t="shared" si="14"/>
        <v/>
      </c>
      <c r="AH338" s="1" t="str">
        <f t="array" ref="AH338">IFERROR(INDEX('Исходник'!$1:$626,MATCH($A338,'Исходник'!$T:$T,0),MATCH(AH$1,'Исходник'!$1:$1,0)))</f>
        <v/>
      </c>
      <c r="AI338" s="1" t="str">
        <f t="array" ref="AI338">IFERROR(INDEX('Исходник'!$1:$626,MATCH($A338,'Исходник'!$T:$T,0),MATCH(AI$1,'Исходник'!$1:$1,0)))</f>
        <v/>
      </c>
      <c r="AJ338" s="18">
        <f t="shared" si="15"/>
        <v>0</v>
      </c>
    </row>
    <row r="339" ht="15.75" customHeight="1">
      <c r="A339" s="27"/>
      <c r="B339" s="1" t="str">
        <f t="array" ref="B339">IFERROR(INDEX('Исходник'!$1:$626,MATCH($A339,'Исходник'!$T:$T,0),MATCH(B$1,'Исходник'!$1:$1,0)))</f>
        <v/>
      </c>
      <c r="C339" s="1" t="str">
        <f t="array" ref="C339">IFERROR(INDEX('Исходник'!$1:$626,MATCH($A339,'Исходник'!$T:$T,0),MATCH(C$1,'Исходник'!$1:$1,0)))</f>
        <v/>
      </c>
      <c r="D339" s="1" t="str">
        <f t="array" ref="D339">IFERROR(INDEX('Исходник'!$1:$626,MATCH($A339,'Исходник'!$T:$T,0),MATCH(D$1,'Исходник'!$1:$1,0)))</f>
        <v/>
      </c>
      <c r="E339" s="1" t="str">
        <f t="array" ref="E339">IFERROR(INDEX('Исходник'!$1:$626,MATCH($A339,'Исходник'!$T:$T,0),MATCH(E$1,'Исходник'!$1:$1,0)))</f>
        <v/>
      </c>
      <c r="F339" s="1" t="str">
        <f t="array" ref="F339">IFERROR(INDEX('Исходник'!$1:$626,MATCH($A339,'Исходник'!$T:$T,0),MATCH(F$1,'Исходник'!$1:$1,0)))</f>
        <v/>
      </c>
      <c r="G339" s="1" t="str">
        <f t="array" ref="G339">IFERROR(INDEX('Исходник'!$1:$626,MATCH($A339,'Исходник'!$T:$T,0),MATCH(G$1,'Исходник'!$1:$1,0)))</f>
        <v/>
      </c>
      <c r="H339" s="27">
        <f t="shared" si="1"/>
        <v>0</v>
      </c>
      <c r="I339" s="27" t="str">
        <f t="shared" si="2"/>
        <v/>
      </c>
      <c r="J339" s="1" t="str">
        <f t="array" ref="J339">IFERROR(INDEX('Исходник'!$1:$626,MATCH($A339,'Исходник'!$T:$T,0),MATCH(J$1,'Исходник'!$1:$1,0)))</f>
        <v/>
      </c>
      <c r="K339" s="27" t="str">
        <f t="shared" si="3"/>
        <v/>
      </c>
      <c r="L339" s="1" t="str">
        <f t="array" ref="L339">IFERROR(INDEX('Исходник'!$1:$626,MATCH($A339,'Исходник'!$T:$T,0),MATCH(L$1,'Исходник'!$1:$1,0)))</f>
        <v/>
      </c>
      <c r="M339" s="28">
        <f t="shared" si="4"/>
        <v>0</v>
      </c>
      <c r="N339" s="1" t="str">
        <f t="array" ref="N339">IFERROR(INDEX('Исходник'!$1:$626,MATCH($A339,'Исходник'!$T:$T,0),MATCH(N$1,'Исходник'!$1:$1,0)))</f>
        <v/>
      </c>
      <c r="O339" s="27">
        <f t="shared" si="5"/>
        <v>0</v>
      </c>
      <c r="P339" s="27" t="str">
        <f t="shared" si="6"/>
        <v/>
      </c>
      <c r="Q339" s="1" t="str">
        <f t="array" ref="Q339">IFERROR(INDEX('Исходник'!$1:$626,MATCH($A339,'Исходник'!$T:$T,0),MATCH(Q$1,'Исходник'!$1:$1,0)))</f>
        <v/>
      </c>
      <c r="R339" s="1" t="str">
        <f t="array" ref="R339">IFERROR(INDEX('Исходник'!$1:$626,MATCH($A339,'Исходник'!$T:$T,0),MATCH(R$1,'Исходник'!$1:$1,0)))</f>
        <v/>
      </c>
      <c r="S339" s="27">
        <f t="shared" si="7"/>
        <v>0</v>
      </c>
      <c r="T339" s="27" t="str">
        <f t="shared" si="8"/>
        <v/>
      </c>
      <c r="U339" s="1" t="str">
        <f t="array" ref="U339">IFERROR(INDEX('Исходник'!$1:$626,MATCH($A339,'Исходник'!$T:$T,0),MATCH(U$1,'Исходник'!$1:$1,0)))</f>
        <v/>
      </c>
      <c r="V339" s="27" t="str">
        <f t="shared" si="9"/>
        <v/>
      </c>
      <c r="W339" s="1" t="str">
        <f t="array" ref="W339">IFERROR(INDEX('Исходник'!$1:$626,MATCH($A339,'Исходник'!$T:$T,0),MATCH(W$1,'Исходник'!$1:$1,0)))</f>
        <v/>
      </c>
      <c r="X339" s="28">
        <f t="shared" si="10"/>
        <v>0</v>
      </c>
      <c r="Y339" s="1" t="str">
        <f t="array" ref="Y339">IFERROR(INDEX('Исходник'!$1:$626,MATCH($A339,'Исходник'!$T:$T,0),MATCH(Y$1,'Исходник'!$1:$1,0)))</f>
        <v/>
      </c>
      <c r="Z339" s="27">
        <f t="shared" si="11"/>
        <v>0</v>
      </c>
      <c r="AA339" s="27" t="str">
        <f t="shared" si="12"/>
        <v/>
      </c>
      <c r="AB339" s="1" t="str">
        <f t="array" ref="AB339">IFERROR(INDEX('Исходник'!$1:$626,MATCH($A339,'Исходник'!$T:$T,0),MATCH(AB$1,'Исходник'!$1:$1,0)))</f>
        <v/>
      </c>
      <c r="AC339" s="1" t="str">
        <f t="array" ref="AC339">IFERROR(INDEX('Исходник'!$1:$626,MATCH($A339,'Исходник'!$T:$T,0),MATCH(AC$1,'Исходник'!$1:$1,0)))</f>
        <v/>
      </c>
      <c r="AD339" s="27" t="str">
        <f t="shared" si="13"/>
        <v/>
      </c>
      <c r="AE339" s="1" t="str">
        <f t="array" ref="AE339">IFERROR(INDEX('Исходник'!$1:$626,MATCH($A339,'Исходник'!$T:$T,0),MATCH(AE$1,'Исходник'!$1:$1,0)))</f>
        <v/>
      </c>
      <c r="AF339" s="1" t="str">
        <f t="array" ref="AF339">IFERROR(INDEX('Исходник'!$1:$626,MATCH($A339,'Исходник'!$T:$T,0),MATCH(AF$1,'Исходник'!$1:$1,0)))</f>
        <v/>
      </c>
      <c r="AG339" s="27" t="str">
        <f t="shared" si="14"/>
        <v/>
      </c>
      <c r="AH339" s="1" t="str">
        <f t="array" ref="AH339">IFERROR(INDEX('Исходник'!$1:$626,MATCH($A339,'Исходник'!$T:$T,0),MATCH(AH$1,'Исходник'!$1:$1,0)))</f>
        <v/>
      </c>
      <c r="AI339" s="1" t="str">
        <f t="array" ref="AI339">IFERROR(INDEX('Исходник'!$1:$626,MATCH($A339,'Исходник'!$T:$T,0),MATCH(AI$1,'Исходник'!$1:$1,0)))</f>
        <v/>
      </c>
      <c r="AJ339" s="18">
        <f t="shared" si="15"/>
        <v>0</v>
      </c>
    </row>
    <row r="340" ht="15.75" customHeight="1">
      <c r="A340" s="27"/>
      <c r="B340" s="1" t="str">
        <f t="array" ref="B340">IFERROR(INDEX('Исходник'!$1:$626,MATCH($A340,'Исходник'!$T:$T,0),MATCH(B$1,'Исходник'!$1:$1,0)))</f>
        <v/>
      </c>
      <c r="C340" s="1" t="str">
        <f t="array" ref="C340">IFERROR(INDEX('Исходник'!$1:$626,MATCH($A340,'Исходник'!$T:$T,0),MATCH(C$1,'Исходник'!$1:$1,0)))</f>
        <v/>
      </c>
      <c r="D340" s="1" t="str">
        <f t="array" ref="D340">IFERROR(INDEX('Исходник'!$1:$626,MATCH($A340,'Исходник'!$T:$T,0),MATCH(D$1,'Исходник'!$1:$1,0)))</f>
        <v/>
      </c>
      <c r="E340" s="1" t="str">
        <f t="array" ref="E340">IFERROR(INDEX('Исходник'!$1:$626,MATCH($A340,'Исходник'!$T:$T,0),MATCH(E$1,'Исходник'!$1:$1,0)))</f>
        <v/>
      </c>
      <c r="F340" s="1" t="str">
        <f t="array" ref="F340">IFERROR(INDEX('Исходник'!$1:$626,MATCH($A340,'Исходник'!$T:$T,0),MATCH(F$1,'Исходник'!$1:$1,0)))</f>
        <v/>
      </c>
      <c r="G340" s="1" t="str">
        <f t="array" ref="G340">IFERROR(INDEX('Исходник'!$1:$626,MATCH($A340,'Исходник'!$T:$T,0),MATCH(G$1,'Исходник'!$1:$1,0)))</f>
        <v/>
      </c>
      <c r="H340" s="27">
        <f t="shared" si="1"/>
        <v>0</v>
      </c>
      <c r="I340" s="27" t="str">
        <f t="shared" si="2"/>
        <v/>
      </c>
      <c r="J340" s="1" t="str">
        <f t="array" ref="J340">IFERROR(INDEX('Исходник'!$1:$626,MATCH($A340,'Исходник'!$T:$T,0),MATCH(J$1,'Исходник'!$1:$1,0)))</f>
        <v/>
      </c>
      <c r="K340" s="27" t="str">
        <f t="shared" si="3"/>
        <v/>
      </c>
      <c r="L340" s="1" t="str">
        <f t="array" ref="L340">IFERROR(INDEX('Исходник'!$1:$626,MATCH($A340,'Исходник'!$T:$T,0),MATCH(L$1,'Исходник'!$1:$1,0)))</f>
        <v/>
      </c>
      <c r="M340" s="28">
        <f t="shared" si="4"/>
        <v>0</v>
      </c>
      <c r="N340" s="1" t="str">
        <f t="array" ref="N340">IFERROR(INDEX('Исходник'!$1:$626,MATCH($A340,'Исходник'!$T:$T,0),MATCH(N$1,'Исходник'!$1:$1,0)))</f>
        <v/>
      </c>
      <c r="O340" s="27">
        <f t="shared" si="5"/>
        <v>0</v>
      </c>
      <c r="P340" s="27" t="str">
        <f t="shared" si="6"/>
        <v/>
      </c>
      <c r="Q340" s="1" t="str">
        <f t="array" ref="Q340">IFERROR(INDEX('Исходник'!$1:$626,MATCH($A340,'Исходник'!$T:$T,0),MATCH(Q$1,'Исходник'!$1:$1,0)))</f>
        <v/>
      </c>
      <c r="R340" s="1" t="str">
        <f t="array" ref="R340">IFERROR(INDEX('Исходник'!$1:$626,MATCH($A340,'Исходник'!$T:$T,0),MATCH(R$1,'Исходник'!$1:$1,0)))</f>
        <v/>
      </c>
      <c r="S340" s="27">
        <f t="shared" si="7"/>
        <v>0</v>
      </c>
      <c r="T340" s="27" t="str">
        <f t="shared" si="8"/>
        <v/>
      </c>
      <c r="U340" s="1" t="str">
        <f t="array" ref="U340">IFERROR(INDEX('Исходник'!$1:$626,MATCH($A340,'Исходник'!$T:$T,0),MATCH(U$1,'Исходник'!$1:$1,0)))</f>
        <v/>
      </c>
      <c r="V340" s="27" t="str">
        <f t="shared" si="9"/>
        <v/>
      </c>
      <c r="W340" s="1" t="str">
        <f t="array" ref="W340">IFERROR(INDEX('Исходник'!$1:$626,MATCH($A340,'Исходник'!$T:$T,0),MATCH(W$1,'Исходник'!$1:$1,0)))</f>
        <v/>
      </c>
      <c r="X340" s="28">
        <f t="shared" si="10"/>
        <v>0</v>
      </c>
      <c r="Y340" s="1" t="str">
        <f t="array" ref="Y340">IFERROR(INDEX('Исходник'!$1:$626,MATCH($A340,'Исходник'!$T:$T,0),MATCH(Y$1,'Исходник'!$1:$1,0)))</f>
        <v/>
      </c>
      <c r="Z340" s="27">
        <f t="shared" si="11"/>
        <v>0</v>
      </c>
      <c r="AA340" s="27" t="str">
        <f t="shared" si="12"/>
        <v/>
      </c>
      <c r="AB340" s="1" t="str">
        <f t="array" ref="AB340">IFERROR(INDEX('Исходник'!$1:$626,MATCH($A340,'Исходник'!$T:$T,0),MATCH(AB$1,'Исходник'!$1:$1,0)))</f>
        <v/>
      </c>
      <c r="AC340" s="1" t="str">
        <f t="array" ref="AC340">IFERROR(INDEX('Исходник'!$1:$626,MATCH($A340,'Исходник'!$T:$T,0),MATCH(AC$1,'Исходник'!$1:$1,0)))</f>
        <v/>
      </c>
      <c r="AD340" s="27" t="str">
        <f t="shared" si="13"/>
        <v/>
      </c>
      <c r="AE340" s="1" t="str">
        <f t="array" ref="AE340">IFERROR(INDEX('Исходник'!$1:$626,MATCH($A340,'Исходник'!$T:$T,0),MATCH(AE$1,'Исходник'!$1:$1,0)))</f>
        <v/>
      </c>
      <c r="AF340" s="1" t="str">
        <f t="array" ref="AF340">IFERROR(INDEX('Исходник'!$1:$626,MATCH($A340,'Исходник'!$T:$T,0),MATCH(AF$1,'Исходник'!$1:$1,0)))</f>
        <v/>
      </c>
      <c r="AG340" s="27" t="str">
        <f t="shared" si="14"/>
        <v/>
      </c>
      <c r="AH340" s="1" t="str">
        <f t="array" ref="AH340">IFERROR(INDEX('Исходник'!$1:$626,MATCH($A340,'Исходник'!$T:$T,0),MATCH(AH$1,'Исходник'!$1:$1,0)))</f>
        <v/>
      </c>
      <c r="AI340" s="1" t="str">
        <f t="array" ref="AI340">IFERROR(INDEX('Исходник'!$1:$626,MATCH($A340,'Исходник'!$T:$T,0),MATCH(AI$1,'Исходник'!$1:$1,0)))</f>
        <v/>
      </c>
      <c r="AJ340" s="18">
        <f t="shared" si="15"/>
        <v>0</v>
      </c>
    </row>
    <row r="341" ht="15.75" customHeight="1">
      <c r="A341" s="27"/>
      <c r="B341" s="1" t="str">
        <f t="array" ref="B341">IFERROR(INDEX('Исходник'!$1:$626,MATCH($A341,'Исходник'!$T:$T,0),MATCH(B$1,'Исходник'!$1:$1,0)))</f>
        <v/>
      </c>
      <c r="C341" s="1" t="str">
        <f t="array" ref="C341">IFERROR(INDEX('Исходник'!$1:$626,MATCH($A341,'Исходник'!$T:$T,0),MATCH(C$1,'Исходник'!$1:$1,0)))</f>
        <v/>
      </c>
      <c r="D341" s="1" t="str">
        <f t="array" ref="D341">IFERROR(INDEX('Исходник'!$1:$626,MATCH($A341,'Исходник'!$T:$T,0),MATCH(D$1,'Исходник'!$1:$1,0)))</f>
        <v/>
      </c>
      <c r="E341" s="1" t="str">
        <f t="array" ref="E341">IFERROR(INDEX('Исходник'!$1:$626,MATCH($A341,'Исходник'!$T:$T,0),MATCH(E$1,'Исходник'!$1:$1,0)))</f>
        <v/>
      </c>
      <c r="F341" s="1" t="str">
        <f t="array" ref="F341">IFERROR(INDEX('Исходник'!$1:$626,MATCH($A341,'Исходник'!$T:$T,0),MATCH(F$1,'Исходник'!$1:$1,0)))</f>
        <v/>
      </c>
      <c r="G341" s="1" t="str">
        <f t="array" ref="G341">IFERROR(INDEX('Исходник'!$1:$626,MATCH($A341,'Исходник'!$T:$T,0),MATCH(G$1,'Исходник'!$1:$1,0)))</f>
        <v/>
      </c>
      <c r="H341" s="27">
        <f t="shared" si="1"/>
        <v>0</v>
      </c>
      <c r="I341" s="27" t="str">
        <f t="shared" si="2"/>
        <v/>
      </c>
      <c r="J341" s="1" t="str">
        <f t="array" ref="J341">IFERROR(INDEX('Исходник'!$1:$626,MATCH($A341,'Исходник'!$T:$T,0),MATCH(J$1,'Исходник'!$1:$1,0)))</f>
        <v/>
      </c>
      <c r="K341" s="27" t="str">
        <f t="shared" si="3"/>
        <v/>
      </c>
      <c r="L341" s="1" t="str">
        <f t="array" ref="L341">IFERROR(INDEX('Исходник'!$1:$626,MATCH($A341,'Исходник'!$T:$T,0),MATCH(L$1,'Исходник'!$1:$1,0)))</f>
        <v/>
      </c>
      <c r="M341" s="28">
        <f t="shared" si="4"/>
        <v>0</v>
      </c>
      <c r="N341" s="1" t="str">
        <f t="array" ref="N341">IFERROR(INDEX('Исходник'!$1:$626,MATCH($A341,'Исходник'!$T:$T,0),MATCH(N$1,'Исходник'!$1:$1,0)))</f>
        <v/>
      </c>
      <c r="O341" s="27">
        <f t="shared" si="5"/>
        <v>0</v>
      </c>
      <c r="P341" s="27" t="str">
        <f t="shared" si="6"/>
        <v/>
      </c>
      <c r="Q341" s="1" t="str">
        <f t="array" ref="Q341">IFERROR(INDEX('Исходник'!$1:$626,MATCH($A341,'Исходник'!$T:$T,0),MATCH(Q$1,'Исходник'!$1:$1,0)))</f>
        <v/>
      </c>
      <c r="R341" s="1" t="str">
        <f t="array" ref="R341">IFERROR(INDEX('Исходник'!$1:$626,MATCH($A341,'Исходник'!$T:$T,0),MATCH(R$1,'Исходник'!$1:$1,0)))</f>
        <v/>
      </c>
      <c r="S341" s="27">
        <f t="shared" si="7"/>
        <v>0</v>
      </c>
      <c r="T341" s="27" t="str">
        <f t="shared" si="8"/>
        <v/>
      </c>
      <c r="U341" s="1" t="str">
        <f t="array" ref="U341">IFERROR(INDEX('Исходник'!$1:$626,MATCH($A341,'Исходник'!$T:$T,0),MATCH(U$1,'Исходник'!$1:$1,0)))</f>
        <v/>
      </c>
      <c r="V341" s="27" t="str">
        <f t="shared" si="9"/>
        <v/>
      </c>
      <c r="W341" s="1" t="str">
        <f t="array" ref="W341">IFERROR(INDEX('Исходник'!$1:$626,MATCH($A341,'Исходник'!$T:$T,0),MATCH(W$1,'Исходник'!$1:$1,0)))</f>
        <v/>
      </c>
      <c r="X341" s="28">
        <f t="shared" si="10"/>
        <v>0</v>
      </c>
      <c r="Y341" s="1" t="str">
        <f t="array" ref="Y341">IFERROR(INDEX('Исходник'!$1:$626,MATCH($A341,'Исходник'!$T:$T,0),MATCH(Y$1,'Исходник'!$1:$1,0)))</f>
        <v/>
      </c>
      <c r="Z341" s="27">
        <f t="shared" si="11"/>
        <v>0</v>
      </c>
      <c r="AA341" s="27" t="str">
        <f t="shared" si="12"/>
        <v/>
      </c>
      <c r="AB341" s="1" t="str">
        <f t="array" ref="AB341">IFERROR(INDEX('Исходник'!$1:$626,MATCH($A341,'Исходник'!$T:$T,0),MATCH(AB$1,'Исходник'!$1:$1,0)))</f>
        <v/>
      </c>
      <c r="AC341" s="1" t="str">
        <f t="array" ref="AC341">IFERROR(INDEX('Исходник'!$1:$626,MATCH($A341,'Исходник'!$T:$T,0),MATCH(AC$1,'Исходник'!$1:$1,0)))</f>
        <v/>
      </c>
      <c r="AD341" s="27" t="str">
        <f t="shared" si="13"/>
        <v/>
      </c>
      <c r="AE341" s="1" t="str">
        <f t="array" ref="AE341">IFERROR(INDEX('Исходник'!$1:$626,MATCH($A341,'Исходник'!$T:$T,0),MATCH(AE$1,'Исходник'!$1:$1,0)))</f>
        <v/>
      </c>
      <c r="AF341" s="1" t="str">
        <f t="array" ref="AF341">IFERROR(INDEX('Исходник'!$1:$626,MATCH($A341,'Исходник'!$T:$T,0),MATCH(AF$1,'Исходник'!$1:$1,0)))</f>
        <v/>
      </c>
      <c r="AG341" s="27" t="str">
        <f t="shared" si="14"/>
        <v/>
      </c>
      <c r="AH341" s="1" t="str">
        <f t="array" ref="AH341">IFERROR(INDEX('Исходник'!$1:$626,MATCH($A341,'Исходник'!$T:$T,0),MATCH(AH$1,'Исходник'!$1:$1,0)))</f>
        <v/>
      </c>
      <c r="AI341" s="1" t="str">
        <f t="array" ref="AI341">IFERROR(INDEX('Исходник'!$1:$626,MATCH($A341,'Исходник'!$T:$T,0),MATCH(AI$1,'Исходник'!$1:$1,0)))</f>
        <v/>
      </c>
      <c r="AJ341" s="18">
        <f t="shared" si="15"/>
        <v>0</v>
      </c>
    </row>
    <row r="342" ht="15.75" customHeight="1">
      <c r="A342" s="27"/>
      <c r="B342" s="1" t="str">
        <f t="array" ref="B342">IFERROR(INDEX('Исходник'!$1:$626,MATCH($A342,'Исходник'!$T:$T,0),MATCH(B$1,'Исходник'!$1:$1,0)))</f>
        <v/>
      </c>
      <c r="C342" s="1" t="str">
        <f t="array" ref="C342">IFERROR(INDEX('Исходник'!$1:$626,MATCH($A342,'Исходник'!$T:$T,0),MATCH(C$1,'Исходник'!$1:$1,0)))</f>
        <v/>
      </c>
      <c r="D342" s="1" t="str">
        <f t="array" ref="D342">IFERROR(INDEX('Исходник'!$1:$626,MATCH($A342,'Исходник'!$T:$T,0),MATCH(D$1,'Исходник'!$1:$1,0)))</f>
        <v/>
      </c>
      <c r="E342" s="1" t="str">
        <f t="array" ref="E342">IFERROR(INDEX('Исходник'!$1:$626,MATCH($A342,'Исходник'!$T:$T,0),MATCH(E$1,'Исходник'!$1:$1,0)))</f>
        <v/>
      </c>
      <c r="F342" s="1" t="str">
        <f t="array" ref="F342">IFERROR(INDEX('Исходник'!$1:$626,MATCH($A342,'Исходник'!$T:$T,0),MATCH(F$1,'Исходник'!$1:$1,0)))</f>
        <v/>
      </c>
      <c r="G342" s="1" t="str">
        <f t="array" ref="G342">IFERROR(INDEX('Исходник'!$1:$626,MATCH($A342,'Исходник'!$T:$T,0),MATCH(G$1,'Исходник'!$1:$1,0)))</f>
        <v/>
      </c>
      <c r="H342" s="27">
        <f t="shared" si="1"/>
        <v>0</v>
      </c>
      <c r="I342" s="27" t="str">
        <f t="shared" si="2"/>
        <v/>
      </c>
      <c r="J342" s="1" t="str">
        <f t="array" ref="J342">IFERROR(INDEX('Исходник'!$1:$626,MATCH($A342,'Исходник'!$T:$T,0),MATCH(J$1,'Исходник'!$1:$1,0)))</f>
        <v/>
      </c>
      <c r="K342" s="27" t="str">
        <f t="shared" si="3"/>
        <v/>
      </c>
      <c r="L342" s="1" t="str">
        <f t="array" ref="L342">IFERROR(INDEX('Исходник'!$1:$626,MATCH($A342,'Исходник'!$T:$T,0),MATCH(L$1,'Исходник'!$1:$1,0)))</f>
        <v/>
      </c>
      <c r="M342" s="28">
        <f t="shared" si="4"/>
        <v>0</v>
      </c>
      <c r="N342" s="1" t="str">
        <f t="array" ref="N342">IFERROR(INDEX('Исходник'!$1:$626,MATCH($A342,'Исходник'!$T:$T,0),MATCH(N$1,'Исходник'!$1:$1,0)))</f>
        <v/>
      </c>
      <c r="O342" s="27">
        <f t="shared" si="5"/>
        <v>0</v>
      </c>
      <c r="P342" s="27" t="str">
        <f t="shared" si="6"/>
        <v/>
      </c>
      <c r="Q342" s="1" t="str">
        <f t="array" ref="Q342">IFERROR(INDEX('Исходник'!$1:$626,MATCH($A342,'Исходник'!$T:$T,0),MATCH(Q$1,'Исходник'!$1:$1,0)))</f>
        <v/>
      </c>
      <c r="R342" s="1" t="str">
        <f t="array" ref="R342">IFERROR(INDEX('Исходник'!$1:$626,MATCH($A342,'Исходник'!$T:$T,0),MATCH(R$1,'Исходник'!$1:$1,0)))</f>
        <v/>
      </c>
      <c r="S342" s="27">
        <f t="shared" si="7"/>
        <v>0</v>
      </c>
      <c r="T342" s="27" t="str">
        <f t="shared" si="8"/>
        <v/>
      </c>
      <c r="U342" s="1" t="str">
        <f t="array" ref="U342">IFERROR(INDEX('Исходник'!$1:$626,MATCH($A342,'Исходник'!$T:$T,0),MATCH(U$1,'Исходник'!$1:$1,0)))</f>
        <v/>
      </c>
      <c r="V342" s="27" t="str">
        <f t="shared" si="9"/>
        <v/>
      </c>
      <c r="W342" s="1" t="str">
        <f t="array" ref="W342">IFERROR(INDEX('Исходник'!$1:$626,MATCH($A342,'Исходник'!$T:$T,0),MATCH(W$1,'Исходник'!$1:$1,0)))</f>
        <v/>
      </c>
      <c r="X342" s="28">
        <f t="shared" si="10"/>
        <v>0</v>
      </c>
      <c r="Y342" s="1" t="str">
        <f t="array" ref="Y342">IFERROR(INDEX('Исходник'!$1:$626,MATCH($A342,'Исходник'!$T:$T,0),MATCH(Y$1,'Исходник'!$1:$1,0)))</f>
        <v/>
      </c>
      <c r="Z342" s="27">
        <f t="shared" si="11"/>
        <v>0</v>
      </c>
      <c r="AA342" s="27" t="str">
        <f t="shared" si="12"/>
        <v/>
      </c>
      <c r="AB342" s="1" t="str">
        <f t="array" ref="AB342">IFERROR(INDEX('Исходник'!$1:$626,MATCH($A342,'Исходник'!$T:$T,0),MATCH(AB$1,'Исходник'!$1:$1,0)))</f>
        <v/>
      </c>
      <c r="AC342" s="1" t="str">
        <f t="array" ref="AC342">IFERROR(INDEX('Исходник'!$1:$626,MATCH($A342,'Исходник'!$T:$T,0),MATCH(AC$1,'Исходник'!$1:$1,0)))</f>
        <v/>
      </c>
      <c r="AD342" s="27" t="str">
        <f t="shared" si="13"/>
        <v/>
      </c>
      <c r="AE342" s="1" t="str">
        <f t="array" ref="AE342">IFERROR(INDEX('Исходник'!$1:$626,MATCH($A342,'Исходник'!$T:$T,0),MATCH(AE$1,'Исходник'!$1:$1,0)))</f>
        <v/>
      </c>
      <c r="AF342" s="1" t="str">
        <f t="array" ref="AF342">IFERROR(INDEX('Исходник'!$1:$626,MATCH($A342,'Исходник'!$T:$T,0),MATCH(AF$1,'Исходник'!$1:$1,0)))</f>
        <v/>
      </c>
      <c r="AG342" s="27" t="str">
        <f t="shared" si="14"/>
        <v/>
      </c>
      <c r="AH342" s="1" t="str">
        <f t="array" ref="AH342">IFERROR(INDEX('Исходник'!$1:$626,MATCH($A342,'Исходник'!$T:$T,0),MATCH(AH$1,'Исходник'!$1:$1,0)))</f>
        <v/>
      </c>
      <c r="AI342" s="1" t="str">
        <f t="array" ref="AI342">IFERROR(INDEX('Исходник'!$1:$626,MATCH($A342,'Исходник'!$T:$T,0),MATCH(AI$1,'Исходник'!$1:$1,0)))</f>
        <v/>
      </c>
      <c r="AJ342" s="18">
        <f t="shared" si="15"/>
        <v>0</v>
      </c>
    </row>
    <row r="343" ht="15.75" customHeight="1">
      <c r="A343" s="27"/>
      <c r="B343" s="1" t="str">
        <f t="array" ref="B343">IFERROR(INDEX('Исходник'!$1:$626,MATCH($A343,'Исходник'!$T:$T,0),MATCH(B$1,'Исходник'!$1:$1,0)))</f>
        <v/>
      </c>
      <c r="C343" s="1" t="str">
        <f t="array" ref="C343">IFERROR(INDEX('Исходник'!$1:$626,MATCH($A343,'Исходник'!$T:$T,0),MATCH(C$1,'Исходник'!$1:$1,0)))</f>
        <v/>
      </c>
      <c r="D343" s="1" t="str">
        <f t="array" ref="D343">IFERROR(INDEX('Исходник'!$1:$626,MATCH($A343,'Исходник'!$T:$T,0),MATCH(D$1,'Исходник'!$1:$1,0)))</f>
        <v/>
      </c>
      <c r="E343" s="1" t="str">
        <f t="array" ref="E343">IFERROR(INDEX('Исходник'!$1:$626,MATCH($A343,'Исходник'!$T:$T,0),MATCH(E$1,'Исходник'!$1:$1,0)))</f>
        <v/>
      </c>
      <c r="F343" s="1" t="str">
        <f t="array" ref="F343">IFERROR(INDEX('Исходник'!$1:$626,MATCH($A343,'Исходник'!$T:$T,0),MATCH(F$1,'Исходник'!$1:$1,0)))</f>
        <v/>
      </c>
      <c r="G343" s="1" t="str">
        <f t="array" ref="G343">IFERROR(INDEX('Исходник'!$1:$626,MATCH($A343,'Исходник'!$T:$T,0),MATCH(G$1,'Исходник'!$1:$1,0)))</f>
        <v/>
      </c>
      <c r="H343" s="27">
        <f t="shared" si="1"/>
        <v>0</v>
      </c>
      <c r="I343" s="27" t="str">
        <f t="shared" si="2"/>
        <v/>
      </c>
      <c r="J343" s="1" t="str">
        <f t="array" ref="J343">IFERROR(INDEX('Исходник'!$1:$626,MATCH($A343,'Исходник'!$T:$T,0),MATCH(J$1,'Исходник'!$1:$1,0)))</f>
        <v/>
      </c>
      <c r="K343" s="27" t="str">
        <f t="shared" si="3"/>
        <v/>
      </c>
      <c r="L343" s="1" t="str">
        <f t="array" ref="L343">IFERROR(INDEX('Исходник'!$1:$626,MATCH($A343,'Исходник'!$T:$T,0),MATCH(L$1,'Исходник'!$1:$1,0)))</f>
        <v/>
      </c>
      <c r="M343" s="28">
        <f t="shared" si="4"/>
        <v>0</v>
      </c>
      <c r="N343" s="1" t="str">
        <f t="array" ref="N343">IFERROR(INDEX('Исходник'!$1:$626,MATCH($A343,'Исходник'!$T:$T,0),MATCH(N$1,'Исходник'!$1:$1,0)))</f>
        <v/>
      </c>
      <c r="O343" s="27">
        <f t="shared" si="5"/>
        <v>0</v>
      </c>
      <c r="P343" s="27" t="str">
        <f t="shared" si="6"/>
        <v/>
      </c>
      <c r="Q343" s="1" t="str">
        <f t="array" ref="Q343">IFERROR(INDEX('Исходник'!$1:$626,MATCH($A343,'Исходник'!$T:$T,0),MATCH(Q$1,'Исходник'!$1:$1,0)))</f>
        <v/>
      </c>
      <c r="R343" s="1" t="str">
        <f t="array" ref="R343">IFERROR(INDEX('Исходник'!$1:$626,MATCH($A343,'Исходник'!$T:$T,0),MATCH(R$1,'Исходник'!$1:$1,0)))</f>
        <v/>
      </c>
      <c r="S343" s="27">
        <f t="shared" si="7"/>
        <v>0</v>
      </c>
      <c r="T343" s="27" t="str">
        <f t="shared" si="8"/>
        <v/>
      </c>
      <c r="U343" s="1" t="str">
        <f t="array" ref="U343">IFERROR(INDEX('Исходник'!$1:$626,MATCH($A343,'Исходник'!$T:$T,0),MATCH(U$1,'Исходник'!$1:$1,0)))</f>
        <v/>
      </c>
      <c r="V343" s="27" t="str">
        <f t="shared" si="9"/>
        <v/>
      </c>
      <c r="W343" s="1" t="str">
        <f t="array" ref="W343">IFERROR(INDEX('Исходник'!$1:$626,MATCH($A343,'Исходник'!$T:$T,0),MATCH(W$1,'Исходник'!$1:$1,0)))</f>
        <v/>
      </c>
      <c r="X343" s="28">
        <f t="shared" si="10"/>
        <v>0</v>
      </c>
      <c r="Y343" s="1" t="str">
        <f t="array" ref="Y343">IFERROR(INDEX('Исходник'!$1:$626,MATCH($A343,'Исходник'!$T:$T,0),MATCH(Y$1,'Исходник'!$1:$1,0)))</f>
        <v/>
      </c>
      <c r="Z343" s="27">
        <f t="shared" si="11"/>
        <v>0</v>
      </c>
      <c r="AA343" s="27" t="str">
        <f t="shared" si="12"/>
        <v/>
      </c>
      <c r="AB343" s="1" t="str">
        <f t="array" ref="AB343">IFERROR(INDEX('Исходник'!$1:$626,MATCH($A343,'Исходник'!$T:$T,0),MATCH(AB$1,'Исходник'!$1:$1,0)))</f>
        <v/>
      </c>
      <c r="AC343" s="1" t="str">
        <f t="array" ref="AC343">IFERROR(INDEX('Исходник'!$1:$626,MATCH($A343,'Исходник'!$T:$T,0),MATCH(AC$1,'Исходник'!$1:$1,0)))</f>
        <v/>
      </c>
      <c r="AD343" s="27" t="str">
        <f t="shared" si="13"/>
        <v/>
      </c>
      <c r="AE343" s="1" t="str">
        <f t="array" ref="AE343">IFERROR(INDEX('Исходник'!$1:$626,MATCH($A343,'Исходник'!$T:$T,0),MATCH(AE$1,'Исходник'!$1:$1,0)))</f>
        <v/>
      </c>
      <c r="AF343" s="1" t="str">
        <f t="array" ref="AF343">IFERROR(INDEX('Исходник'!$1:$626,MATCH($A343,'Исходник'!$T:$T,0),MATCH(AF$1,'Исходник'!$1:$1,0)))</f>
        <v/>
      </c>
      <c r="AG343" s="27" t="str">
        <f t="shared" si="14"/>
        <v/>
      </c>
      <c r="AH343" s="1" t="str">
        <f t="array" ref="AH343">IFERROR(INDEX('Исходник'!$1:$626,MATCH($A343,'Исходник'!$T:$T,0),MATCH(AH$1,'Исходник'!$1:$1,0)))</f>
        <v/>
      </c>
      <c r="AI343" s="1" t="str">
        <f t="array" ref="AI343">IFERROR(INDEX('Исходник'!$1:$626,MATCH($A343,'Исходник'!$T:$T,0),MATCH(AI$1,'Исходник'!$1:$1,0)))</f>
        <v/>
      </c>
      <c r="AJ343" s="18">
        <f t="shared" si="15"/>
        <v>0</v>
      </c>
    </row>
    <row r="344" ht="15.75" customHeight="1">
      <c r="A344" s="27"/>
      <c r="B344" s="1" t="str">
        <f t="array" ref="B344">IFERROR(INDEX('Исходник'!$1:$626,MATCH($A344,'Исходник'!$T:$T,0),MATCH(B$1,'Исходник'!$1:$1,0)))</f>
        <v/>
      </c>
      <c r="C344" s="1" t="str">
        <f t="array" ref="C344">IFERROR(INDEX('Исходник'!$1:$626,MATCH($A344,'Исходник'!$T:$T,0),MATCH(C$1,'Исходник'!$1:$1,0)))</f>
        <v/>
      </c>
      <c r="D344" s="1" t="str">
        <f t="array" ref="D344">IFERROR(INDEX('Исходник'!$1:$626,MATCH($A344,'Исходник'!$T:$T,0),MATCH(D$1,'Исходник'!$1:$1,0)))</f>
        <v/>
      </c>
      <c r="E344" s="1" t="str">
        <f t="array" ref="E344">IFERROR(INDEX('Исходник'!$1:$626,MATCH($A344,'Исходник'!$T:$T,0),MATCH(E$1,'Исходник'!$1:$1,0)))</f>
        <v/>
      </c>
      <c r="F344" s="1" t="str">
        <f t="array" ref="F344">IFERROR(INDEX('Исходник'!$1:$626,MATCH($A344,'Исходник'!$T:$T,0),MATCH(F$1,'Исходник'!$1:$1,0)))</f>
        <v/>
      </c>
      <c r="G344" s="1" t="str">
        <f t="array" ref="G344">IFERROR(INDEX('Исходник'!$1:$626,MATCH($A344,'Исходник'!$T:$T,0),MATCH(G$1,'Исходник'!$1:$1,0)))</f>
        <v/>
      </c>
      <c r="H344" s="27">
        <f t="shared" si="1"/>
        <v>0</v>
      </c>
      <c r="I344" s="27" t="str">
        <f t="shared" si="2"/>
        <v/>
      </c>
      <c r="J344" s="1" t="str">
        <f t="array" ref="J344">IFERROR(INDEX('Исходник'!$1:$626,MATCH($A344,'Исходник'!$T:$T,0),MATCH(J$1,'Исходник'!$1:$1,0)))</f>
        <v/>
      </c>
      <c r="K344" s="27" t="str">
        <f t="shared" si="3"/>
        <v/>
      </c>
      <c r="L344" s="1" t="str">
        <f t="array" ref="L344">IFERROR(INDEX('Исходник'!$1:$626,MATCH($A344,'Исходник'!$T:$T,0),MATCH(L$1,'Исходник'!$1:$1,0)))</f>
        <v/>
      </c>
      <c r="M344" s="28">
        <f t="shared" si="4"/>
        <v>0</v>
      </c>
      <c r="N344" s="1" t="str">
        <f t="array" ref="N344">IFERROR(INDEX('Исходник'!$1:$626,MATCH($A344,'Исходник'!$T:$T,0),MATCH(N$1,'Исходник'!$1:$1,0)))</f>
        <v/>
      </c>
      <c r="O344" s="27">
        <f t="shared" si="5"/>
        <v>0</v>
      </c>
      <c r="P344" s="27" t="str">
        <f t="shared" si="6"/>
        <v/>
      </c>
      <c r="Q344" s="1" t="str">
        <f t="array" ref="Q344">IFERROR(INDEX('Исходник'!$1:$626,MATCH($A344,'Исходник'!$T:$T,0),MATCH(Q$1,'Исходник'!$1:$1,0)))</f>
        <v/>
      </c>
      <c r="R344" s="1" t="str">
        <f t="array" ref="R344">IFERROR(INDEX('Исходник'!$1:$626,MATCH($A344,'Исходник'!$T:$T,0),MATCH(R$1,'Исходник'!$1:$1,0)))</f>
        <v/>
      </c>
      <c r="S344" s="27">
        <f t="shared" si="7"/>
        <v>0</v>
      </c>
      <c r="T344" s="27" t="str">
        <f t="shared" si="8"/>
        <v/>
      </c>
      <c r="U344" s="1" t="str">
        <f t="array" ref="U344">IFERROR(INDEX('Исходник'!$1:$626,MATCH($A344,'Исходник'!$T:$T,0),MATCH(U$1,'Исходник'!$1:$1,0)))</f>
        <v/>
      </c>
      <c r="V344" s="27" t="str">
        <f t="shared" si="9"/>
        <v/>
      </c>
      <c r="W344" s="1" t="str">
        <f t="array" ref="W344">IFERROR(INDEX('Исходник'!$1:$626,MATCH($A344,'Исходник'!$T:$T,0),MATCH(W$1,'Исходник'!$1:$1,0)))</f>
        <v/>
      </c>
      <c r="X344" s="28">
        <f t="shared" si="10"/>
        <v>0</v>
      </c>
      <c r="Y344" s="1" t="str">
        <f t="array" ref="Y344">IFERROR(INDEX('Исходник'!$1:$626,MATCH($A344,'Исходник'!$T:$T,0),MATCH(Y$1,'Исходник'!$1:$1,0)))</f>
        <v/>
      </c>
      <c r="Z344" s="27">
        <f t="shared" si="11"/>
        <v>0</v>
      </c>
      <c r="AA344" s="27" t="str">
        <f t="shared" si="12"/>
        <v/>
      </c>
      <c r="AB344" s="1" t="str">
        <f t="array" ref="AB344">IFERROR(INDEX('Исходник'!$1:$626,MATCH($A344,'Исходник'!$T:$T,0),MATCH(AB$1,'Исходник'!$1:$1,0)))</f>
        <v/>
      </c>
      <c r="AC344" s="1" t="str">
        <f t="array" ref="AC344">IFERROR(INDEX('Исходник'!$1:$626,MATCH($A344,'Исходник'!$T:$T,0),MATCH(AC$1,'Исходник'!$1:$1,0)))</f>
        <v/>
      </c>
      <c r="AD344" s="27" t="str">
        <f t="shared" si="13"/>
        <v/>
      </c>
      <c r="AE344" s="1" t="str">
        <f t="array" ref="AE344">IFERROR(INDEX('Исходник'!$1:$626,MATCH($A344,'Исходник'!$T:$T,0),MATCH(AE$1,'Исходник'!$1:$1,0)))</f>
        <v/>
      </c>
      <c r="AF344" s="1" t="str">
        <f t="array" ref="AF344">IFERROR(INDEX('Исходник'!$1:$626,MATCH($A344,'Исходник'!$T:$T,0),MATCH(AF$1,'Исходник'!$1:$1,0)))</f>
        <v/>
      </c>
      <c r="AG344" s="27" t="str">
        <f t="shared" si="14"/>
        <v/>
      </c>
      <c r="AH344" s="1" t="str">
        <f t="array" ref="AH344">IFERROR(INDEX('Исходник'!$1:$626,MATCH($A344,'Исходник'!$T:$T,0),MATCH(AH$1,'Исходник'!$1:$1,0)))</f>
        <v/>
      </c>
      <c r="AI344" s="1" t="str">
        <f t="array" ref="AI344">IFERROR(INDEX('Исходник'!$1:$626,MATCH($A344,'Исходник'!$T:$T,0),MATCH(AI$1,'Исходник'!$1:$1,0)))</f>
        <v/>
      </c>
      <c r="AJ344" s="18">
        <f t="shared" si="15"/>
        <v>0</v>
      </c>
    </row>
    <row r="345" ht="15.75" customHeight="1">
      <c r="A345" s="27"/>
      <c r="B345" s="1" t="str">
        <f t="array" ref="B345">IFERROR(INDEX('Исходник'!$1:$626,MATCH($A345,'Исходник'!$T:$T,0),MATCH(B$1,'Исходник'!$1:$1,0)))</f>
        <v/>
      </c>
      <c r="C345" s="1" t="str">
        <f t="array" ref="C345">IFERROR(INDEX('Исходник'!$1:$626,MATCH($A345,'Исходник'!$T:$T,0),MATCH(C$1,'Исходник'!$1:$1,0)))</f>
        <v/>
      </c>
      <c r="D345" s="1" t="str">
        <f t="array" ref="D345">IFERROR(INDEX('Исходник'!$1:$626,MATCH($A345,'Исходник'!$T:$T,0),MATCH(D$1,'Исходник'!$1:$1,0)))</f>
        <v/>
      </c>
      <c r="E345" s="1" t="str">
        <f t="array" ref="E345">IFERROR(INDEX('Исходник'!$1:$626,MATCH($A345,'Исходник'!$T:$T,0),MATCH(E$1,'Исходник'!$1:$1,0)))</f>
        <v/>
      </c>
      <c r="F345" s="1" t="str">
        <f t="array" ref="F345">IFERROR(INDEX('Исходник'!$1:$626,MATCH($A345,'Исходник'!$T:$T,0),MATCH(F$1,'Исходник'!$1:$1,0)))</f>
        <v/>
      </c>
      <c r="G345" s="1" t="str">
        <f t="array" ref="G345">IFERROR(INDEX('Исходник'!$1:$626,MATCH($A345,'Исходник'!$T:$T,0),MATCH(G$1,'Исходник'!$1:$1,0)))</f>
        <v/>
      </c>
      <c r="H345" s="27">
        <f t="shared" si="1"/>
        <v>0</v>
      </c>
      <c r="I345" s="27" t="str">
        <f t="shared" si="2"/>
        <v/>
      </c>
      <c r="J345" s="1" t="str">
        <f t="array" ref="J345">IFERROR(INDEX('Исходник'!$1:$626,MATCH($A345,'Исходник'!$T:$T,0),MATCH(J$1,'Исходник'!$1:$1,0)))</f>
        <v/>
      </c>
      <c r="K345" s="27" t="str">
        <f t="shared" si="3"/>
        <v/>
      </c>
      <c r="L345" s="1" t="str">
        <f t="array" ref="L345">IFERROR(INDEX('Исходник'!$1:$626,MATCH($A345,'Исходник'!$T:$T,0),MATCH(L$1,'Исходник'!$1:$1,0)))</f>
        <v/>
      </c>
      <c r="M345" s="28">
        <f t="shared" si="4"/>
        <v>0</v>
      </c>
      <c r="N345" s="1" t="str">
        <f t="array" ref="N345">IFERROR(INDEX('Исходник'!$1:$626,MATCH($A345,'Исходник'!$T:$T,0),MATCH(N$1,'Исходник'!$1:$1,0)))</f>
        <v/>
      </c>
      <c r="O345" s="27">
        <f t="shared" si="5"/>
        <v>0</v>
      </c>
      <c r="P345" s="27" t="str">
        <f t="shared" si="6"/>
        <v/>
      </c>
      <c r="Q345" s="1" t="str">
        <f t="array" ref="Q345">IFERROR(INDEX('Исходник'!$1:$626,MATCH($A345,'Исходник'!$T:$T,0),MATCH(Q$1,'Исходник'!$1:$1,0)))</f>
        <v/>
      </c>
      <c r="R345" s="1" t="str">
        <f t="array" ref="R345">IFERROR(INDEX('Исходник'!$1:$626,MATCH($A345,'Исходник'!$T:$T,0),MATCH(R$1,'Исходник'!$1:$1,0)))</f>
        <v/>
      </c>
      <c r="S345" s="27">
        <f t="shared" si="7"/>
        <v>0</v>
      </c>
      <c r="T345" s="27" t="str">
        <f t="shared" si="8"/>
        <v/>
      </c>
      <c r="U345" s="1" t="str">
        <f t="array" ref="U345">IFERROR(INDEX('Исходник'!$1:$626,MATCH($A345,'Исходник'!$T:$T,0),MATCH(U$1,'Исходник'!$1:$1,0)))</f>
        <v/>
      </c>
      <c r="V345" s="27" t="str">
        <f t="shared" si="9"/>
        <v/>
      </c>
      <c r="W345" s="1" t="str">
        <f t="array" ref="W345">IFERROR(INDEX('Исходник'!$1:$626,MATCH($A345,'Исходник'!$T:$T,0),MATCH(W$1,'Исходник'!$1:$1,0)))</f>
        <v/>
      </c>
      <c r="X345" s="28">
        <f t="shared" si="10"/>
        <v>0</v>
      </c>
      <c r="Y345" s="1" t="str">
        <f t="array" ref="Y345">IFERROR(INDEX('Исходник'!$1:$626,MATCH($A345,'Исходник'!$T:$T,0),MATCH(Y$1,'Исходник'!$1:$1,0)))</f>
        <v/>
      </c>
      <c r="Z345" s="27">
        <f t="shared" si="11"/>
        <v>0</v>
      </c>
      <c r="AA345" s="27" t="str">
        <f t="shared" si="12"/>
        <v/>
      </c>
      <c r="AB345" s="1" t="str">
        <f t="array" ref="AB345">IFERROR(INDEX('Исходник'!$1:$626,MATCH($A345,'Исходник'!$T:$T,0),MATCH(AB$1,'Исходник'!$1:$1,0)))</f>
        <v/>
      </c>
      <c r="AC345" s="1" t="str">
        <f t="array" ref="AC345">IFERROR(INDEX('Исходник'!$1:$626,MATCH($A345,'Исходник'!$T:$T,0),MATCH(AC$1,'Исходник'!$1:$1,0)))</f>
        <v/>
      </c>
      <c r="AD345" s="27" t="str">
        <f t="shared" si="13"/>
        <v/>
      </c>
      <c r="AE345" s="1" t="str">
        <f t="array" ref="AE345">IFERROR(INDEX('Исходник'!$1:$626,MATCH($A345,'Исходник'!$T:$T,0),MATCH(AE$1,'Исходник'!$1:$1,0)))</f>
        <v/>
      </c>
      <c r="AF345" s="1" t="str">
        <f t="array" ref="AF345">IFERROR(INDEX('Исходник'!$1:$626,MATCH($A345,'Исходник'!$T:$T,0),MATCH(AF$1,'Исходник'!$1:$1,0)))</f>
        <v/>
      </c>
      <c r="AG345" s="27" t="str">
        <f t="shared" si="14"/>
        <v/>
      </c>
      <c r="AH345" s="1" t="str">
        <f t="array" ref="AH345">IFERROR(INDEX('Исходник'!$1:$626,MATCH($A345,'Исходник'!$T:$T,0),MATCH(AH$1,'Исходник'!$1:$1,0)))</f>
        <v/>
      </c>
      <c r="AI345" s="1" t="str">
        <f t="array" ref="AI345">IFERROR(INDEX('Исходник'!$1:$626,MATCH($A345,'Исходник'!$T:$T,0),MATCH(AI$1,'Исходник'!$1:$1,0)))</f>
        <v/>
      </c>
      <c r="AJ345" s="18">
        <f t="shared" si="15"/>
        <v>0</v>
      </c>
    </row>
    <row r="346" ht="15.75" customHeight="1">
      <c r="A346" s="27"/>
      <c r="B346" s="1" t="str">
        <f t="array" ref="B346">IFERROR(INDEX('Исходник'!$1:$626,MATCH($A346,'Исходник'!$T:$T,0),MATCH(B$1,'Исходник'!$1:$1,0)))</f>
        <v/>
      </c>
      <c r="C346" s="1" t="str">
        <f t="array" ref="C346">IFERROR(INDEX('Исходник'!$1:$626,MATCH($A346,'Исходник'!$T:$T,0),MATCH(C$1,'Исходник'!$1:$1,0)))</f>
        <v/>
      </c>
      <c r="D346" s="1" t="str">
        <f t="array" ref="D346">IFERROR(INDEX('Исходник'!$1:$626,MATCH($A346,'Исходник'!$T:$T,0),MATCH(D$1,'Исходник'!$1:$1,0)))</f>
        <v/>
      </c>
      <c r="E346" s="1" t="str">
        <f t="array" ref="E346">IFERROR(INDEX('Исходник'!$1:$626,MATCH($A346,'Исходник'!$T:$T,0),MATCH(E$1,'Исходник'!$1:$1,0)))</f>
        <v/>
      </c>
      <c r="F346" s="1" t="str">
        <f t="array" ref="F346">IFERROR(INDEX('Исходник'!$1:$626,MATCH($A346,'Исходник'!$T:$T,0),MATCH(F$1,'Исходник'!$1:$1,0)))</f>
        <v/>
      </c>
      <c r="G346" s="1" t="str">
        <f t="array" ref="G346">IFERROR(INDEX('Исходник'!$1:$626,MATCH($A346,'Исходник'!$T:$T,0),MATCH(G$1,'Исходник'!$1:$1,0)))</f>
        <v/>
      </c>
      <c r="H346" s="27">
        <f t="shared" si="1"/>
        <v>0</v>
      </c>
      <c r="I346" s="27" t="str">
        <f t="shared" si="2"/>
        <v/>
      </c>
      <c r="J346" s="1" t="str">
        <f t="array" ref="J346">IFERROR(INDEX('Исходник'!$1:$626,MATCH($A346,'Исходник'!$T:$T,0),MATCH(J$1,'Исходник'!$1:$1,0)))</f>
        <v/>
      </c>
      <c r="K346" s="27" t="str">
        <f t="shared" si="3"/>
        <v/>
      </c>
      <c r="L346" s="1" t="str">
        <f t="array" ref="L346">IFERROR(INDEX('Исходник'!$1:$626,MATCH($A346,'Исходник'!$T:$T,0),MATCH(L$1,'Исходник'!$1:$1,0)))</f>
        <v/>
      </c>
      <c r="M346" s="28">
        <f t="shared" si="4"/>
        <v>0</v>
      </c>
      <c r="N346" s="1" t="str">
        <f t="array" ref="N346">IFERROR(INDEX('Исходник'!$1:$626,MATCH($A346,'Исходник'!$T:$T,0),MATCH(N$1,'Исходник'!$1:$1,0)))</f>
        <v/>
      </c>
      <c r="O346" s="27">
        <f t="shared" si="5"/>
        <v>0</v>
      </c>
      <c r="P346" s="27" t="str">
        <f t="shared" si="6"/>
        <v/>
      </c>
      <c r="Q346" s="1" t="str">
        <f t="array" ref="Q346">IFERROR(INDEX('Исходник'!$1:$626,MATCH($A346,'Исходник'!$T:$T,0),MATCH(Q$1,'Исходник'!$1:$1,0)))</f>
        <v/>
      </c>
      <c r="R346" s="1" t="str">
        <f t="array" ref="R346">IFERROR(INDEX('Исходник'!$1:$626,MATCH($A346,'Исходник'!$T:$T,0),MATCH(R$1,'Исходник'!$1:$1,0)))</f>
        <v/>
      </c>
      <c r="S346" s="27">
        <f t="shared" si="7"/>
        <v>0</v>
      </c>
      <c r="T346" s="27" t="str">
        <f t="shared" si="8"/>
        <v/>
      </c>
      <c r="U346" s="1" t="str">
        <f t="array" ref="U346">IFERROR(INDEX('Исходник'!$1:$626,MATCH($A346,'Исходник'!$T:$T,0),MATCH(U$1,'Исходник'!$1:$1,0)))</f>
        <v/>
      </c>
      <c r="V346" s="27" t="str">
        <f t="shared" si="9"/>
        <v/>
      </c>
      <c r="W346" s="1" t="str">
        <f t="array" ref="W346">IFERROR(INDEX('Исходник'!$1:$626,MATCH($A346,'Исходник'!$T:$T,0),MATCH(W$1,'Исходник'!$1:$1,0)))</f>
        <v/>
      </c>
      <c r="X346" s="28">
        <f t="shared" si="10"/>
        <v>0</v>
      </c>
      <c r="Y346" s="1" t="str">
        <f t="array" ref="Y346">IFERROR(INDEX('Исходник'!$1:$626,MATCH($A346,'Исходник'!$T:$T,0),MATCH(Y$1,'Исходник'!$1:$1,0)))</f>
        <v/>
      </c>
      <c r="Z346" s="27">
        <f t="shared" si="11"/>
        <v>0</v>
      </c>
      <c r="AA346" s="27" t="str">
        <f t="shared" si="12"/>
        <v/>
      </c>
      <c r="AB346" s="1" t="str">
        <f t="array" ref="AB346">IFERROR(INDEX('Исходник'!$1:$626,MATCH($A346,'Исходник'!$T:$T,0),MATCH(AB$1,'Исходник'!$1:$1,0)))</f>
        <v/>
      </c>
      <c r="AC346" s="1" t="str">
        <f t="array" ref="AC346">IFERROR(INDEX('Исходник'!$1:$626,MATCH($A346,'Исходник'!$T:$T,0),MATCH(AC$1,'Исходник'!$1:$1,0)))</f>
        <v/>
      </c>
      <c r="AD346" s="27" t="str">
        <f t="shared" si="13"/>
        <v/>
      </c>
      <c r="AE346" s="1" t="str">
        <f t="array" ref="AE346">IFERROR(INDEX('Исходник'!$1:$626,MATCH($A346,'Исходник'!$T:$T,0),MATCH(AE$1,'Исходник'!$1:$1,0)))</f>
        <v/>
      </c>
      <c r="AF346" s="1" t="str">
        <f t="array" ref="AF346">IFERROR(INDEX('Исходник'!$1:$626,MATCH($A346,'Исходник'!$T:$T,0),MATCH(AF$1,'Исходник'!$1:$1,0)))</f>
        <v/>
      </c>
      <c r="AG346" s="27" t="str">
        <f t="shared" si="14"/>
        <v/>
      </c>
      <c r="AH346" s="1" t="str">
        <f t="array" ref="AH346">IFERROR(INDEX('Исходник'!$1:$626,MATCH($A346,'Исходник'!$T:$T,0),MATCH(AH$1,'Исходник'!$1:$1,0)))</f>
        <v/>
      </c>
      <c r="AI346" s="1" t="str">
        <f t="array" ref="AI346">IFERROR(INDEX('Исходник'!$1:$626,MATCH($A346,'Исходник'!$T:$T,0),MATCH(AI$1,'Исходник'!$1:$1,0)))</f>
        <v/>
      </c>
      <c r="AJ346" s="18">
        <f t="shared" si="15"/>
        <v>0</v>
      </c>
    </row>
    <row r="347" ht="15.75" customHeight="1">
      <c r="A347" s="27"/>
      <c r="B347" s="1" t="str">
        <f t="array" ref="B347">IFERROR(INDEX('Исходник'!$1:$626,MATCH($A347,'Исходник'!$T:$T,0),MATCH(B$1,'Исходник'!$1:$1,0)))</f>
        <v/>
      </c>
      <c r="C347" s="1" t="str">
        <f t="array" ref="C347">IFERROR(INDEX('Исходник'!$1:$626,MATCH($A347,'Исходник'!$T:$T,0),MATCH(C$1,'Исходник'!$1:$1,0)))</f>
        <v/>
      </c>
      <c r="D347" s="1" t="str">
        <f t="array" ref="D347">IFERROR(INDEX('Исходник'!$1:$626,MATCH($A347,'Исходник'!$T:$T,0),MATCH(D$1,'Исходник'!$1:$1,0)))</f>
        <v/>
      </c>
      <c r="E347" s="1" t="str">
        <f t="array" ref="E347">IFERROR(INDEX('Исходник'!$1:$626,MATCH($A347,'Исходник'!$T:$T,0),MATCH(E$1,'Исходник'!$1:$1,0)))</f>
        <v/>
      </c>
      <c r="F347" s="1" t="str">
        <f t="array" ref="F347">IFERROR(INDEX('Исходник'!$1:$626,MATCH($A347,'Исходник'!$T:$T,0),MATCH(F$1,'Исходник'!$1:$1,0)))</f>
        <v/>
      </c>
      <c r="G347" s="1" t="str">
        <f t="array" ref="G347">IFERROR(INDEX('Исходник'!$1:$626,MATCH($A347,'Исходник'!$T:$T,0),MATCH(G$1,'Исходник'!$1:$1,0)))</f>
        <v/>
      </c>
      <c r="H347" s="27">
        <f t="shared" si="1"/>
        <v>0</v>
      </c>
      <c r="I347" s="27" t="str">
        <f t="shared" si="2"/>
        <v/>
      </c>
      <c r="J347" s="1" t="str">
        <f t="array" ref="J347">IFERROR(INDEX('Исходник'!$1:$626,MATCH($A347,'Исходник'!$T:$T,0),MATCH(J$1,'Исходник'!$1:$1,0)))</f>
        <v/>
      </c>
      <c r="K347" s="27" t="str">
        <f t="shared" si="3"/>
        <v/>
      </c>
      <c r="L347" s="1" t="str">
        <f t="array" ref="L347">IFERROR(INDEX('Исходник'!$1:$626,MATCH($A347,'Исходник'!$T:$T,0),MATCH(L$1,'Исходник'!$1:$1,0)))</f>
        <v/>
      </c>
      <c r="M347" s="28">
        <f t="shared" si="4"/>
        <v>0</v>
      </c>
      <c r="N347" s="1" t="str">
        <f t="array" ref="N347">IFERROR(INDEX('Исходник'!$1:$626,MATCH($A347,'Исходник'!$T:$T,0),MATCH(N$1,'Исходник'!$1:$1,0)))</f>
        <v/>
      </c>
      <c r="O347" s="27">
        <f t="shared" si="5"/>
        <v>0</v>
      </c>
      <c r="P347" s="27" t="str">
        <f t="shared" si="6"/>
        <v/>
      </c>
      <c r="Q347" s="1" t="str">
        <f t="array" ref="Q347">IFERROR(INDEX('Исходник'!$1:$626,MATCH($A347,'Исходник'!$T:$T,0),MATCH(Q$1,'Исходник'!$1:$1,0)))</f>
        <v/>
      </c>
      <c r="R347" s="1" t="str">
        <f t="array" ref="R347">IFERROR(INDEX('Исходник'!$1:$626,MATCH($A347,'Исходник'!$T:$T,0),MATCH(R$1,'Исходник'!$1:$1,0)))</f>
        <v/>
      </c>
      <c r="S347" s="27">
        <f t="shared" si="7"/>
        <v>0</v>
      </c>
      <c r="T347" s="27" t="str">
        <f t="shared" si="8"/>
        <v/>
      </c>
      <c r="U347" s="1" t="str">
        <f t="array" ref="U347">IFERROR(INDEX('Исходник'!$1:$626,MATCH($A347,'Исходник'!$T:$T,0),MATCH(U$1,'Исходник'!$1:$1,0)))</f>
        <v/>
      </c>
      <c r="V347" s="27" t="str">
        <f t="shared" si="9"/>
        <v/>
      </c>
      <c r="W347" s="1" t="str">
        <f t="array" ref="W347">IFERROR(INDEX('Исходник'!$1:$626,MATCH($A347,'Исходник'!$T:$T,0),MATCH(W$1,'Исходник'!$1:$1,0)))</f>
        <v/>
      </c>
      <c r="X347" s="28">
        <f t="shared" si="10"/>
        <v>0</v>
      </c>
      <c r="Y347" s="1" t="str">
        <f t="array" ref="Y347">IFERROR(INDEX('Исходник'!$1:$626,MATCH($A347,'Исходник'!$T:$T,0),MATCH(Y$1,'Исходник'!$1:$1,0)))</f>
        <v/>
      </c>
      <c r="Z347" s="27">
        <f t="shared" si="11"/>
        <v>0</v>
      </c>
      <c r="AA347" s="27" t="str">
        <f t="shared" si="12"/>
        <v/>
      </c>
      <c r="AB347" s="1" t="str">
        <f t="array" ref="AB347">IFERROR(INDEX('Исходник'!$1:$626,MATCH($A347,'Исходник'!$T:$T,0),MATCH(AB$1,'Исходник'!$1:$1,0)))</f>
        <v/>
      </c>
      <c r="AC347" s="1" t="str">
        <f t="array" ref="AC347">IFERROR(INDEX('Исходник'!$1:$626,MATCH($A347,'Исходник'!$T:$T,0),MATCH(AC$1,'Исходник'!$1:$1,0)))</f>
        <v/>
      </c>
      <c r="AD347" s="27" t="str">
        <f t="shared" si="13"/>
        <v/>
      </c>
      <c r="AE347" s="1" t="str">
        <f t="array" ref="AE347">IFERROR(INDEX('Исходник'!$1:$626,MATCH($A347,'Исходник'!$T:$T,0),MATCH(AE$1,'Исходник'!$1:$1,0)))</f>
        <v/>
      </c>
      <c r="AF347" s="1" t="str">
        <f t="array" ref="AF347">IFERROR(INDEX('Исходник'!$1:$626,MATCH($A347,'Исходник'!$T:$T,0),MATCH(AF$1,'Исходник'!$1:$1,0)))</f>
        <v/>
      </c>
      <c r="AG347" s="27" t="str">
        <f t="shared" si="14"/>
        <v/>
      </c>
      <c r="AH347" s="1" t="str">
        <f t="array" ref="AH347">IFERROR(INDEX('Исходник'!$1:$626,MATCH($A347,'Исходник'!$T:$T,0),MATCH(AH$1,'Исходник'!$1:$1,0)))</f>
        <v/>
      </c>
      <c r="AI347" s="1" t="str">
        <f t="array" ref="AI347">IFERROR(INDEX('Исходник'!$1:$626,MATCH($A347,'Исходник'!$T:$T,0),MATCH(AI$1,'Исходник'!$1:$1,0)))</f>
        <v/>
      </c>
      <c r="AJ347" s="18">
        <f t="shared" si="15"/>
        <v>0</v>
      </c>
    </row>
    <row r="348" ht="15.75" customHeight="1">
      <c r="A348" s="27"/>
      <c r="B348" s="1" t="str">
        <f t="array" ref="B348">IFERROR(INDEX('Исходник'!$1:$626,MATCH($A348,'Исходник'!$T:$T,0),MATCH(B$1,'Исходник'!$1:$1,0)))</f>
        <v/>
      </c>
      <c r="C348" s="1" t="str">
        <f t="array" ref="C348">IFERROR(INDEX('Исходник'!$1:$626,MATCH($A348,'Исходник'!$T:$T,0),MATCH(C$1,'Исходник'!$1:$1,0)))</f>
        <v/>
      </c>
      <c r="D348" s="1" t="str">
        <f t="array" ref="D348">IFERROR(INDEX('Исходник'!$1:$626,MATCH($A348,'Исходник'!$T:$T,0),MATCH(D$1,'Исходник'!$1:$1,0)))</f>
        <v/>
      </c>
      <c r="E348" s="1" t="str">
        <f t="array" ref="E348">IFERROR(INDEX('Исходник'!$1:$626,MATCH($A348,'Исходник'!$T:$T,0),MATCH(E$1,'Исходник'!$1:$1,0)))</f>
        <v/>
      </c>
      <c r="F348" s="1" t="str">
        <f t="array" ref="F348">IFERROR(INDEX('Исходник'!$1:$626,MATCH($A348,'Исходник'!$T:$T,0),MATCH(F$1,'Исходник'!$1:$1,0)))</f>
        <v/>
      </c>
      <c r="G348" s="1" t="str">
        <f t="array" ref="G348">IFERROR(INDEX('Исходник'!$1:$626,MATCH($A348,'Исходник'!$T:$T,0),MATCH(G$1,'Исходник'!$1:$1,0)))</f>
        <v/>
      </c>
      <c r="H348" s="27">
        <f t="shared" si="1"/>
        <v>0</v>
      </c>
      <c r="I348" s="27" t="str">
        <f t="shared" si="2"/>
        <v/>
      </c>
      <c r="J348" s="1" t="str">
        <f t="array" ref="J348">IFERROR(INDEX('Исходник'!$1:$626,MATCH($A348,'Исходник'!$T:$T,0),MATCH(J$1,'Исходник'!$1:$1,0)))</f>
        <v/>
      </c>
      <c r="K348" s="27" t="str">
        <f t="shared" si="3"/>
        <v/>
      </c>
      <c r="L348" s="1" t="str">
        <f t="array" ref="L348">IFERROR(INDEX('Исходник'!$1:$626,MATCH($A348,'Исходник'!$T:$T,0),MATCH(L$1,'Исходник'!$1:$1,0)))</f>
        <v/>
      </c>
      <c r="M348" s="28">
        <f t="shared" si="4"/>
        <v>0</v>
      </c>
      <c r="N348" s="1" t="str">
        <f t="array" ref="N348">IFERROR(INDEX('Исходник'!$1:$626,MATCH($A348,'Исходник'!$T:$T,0),MATCH(N$1,'Исходник'!$1:$1,0)))</f>
        <v/>
      </c>
      <c r="O348" s="27">
        <f t="shared" si="5"/>
        <v>0</v>
      </c>
      <c r="P348" s="27" t="str">
        <f t="shared" si="6"/>
        <v/>
      </c>
      <c r="Q348" s="1" t="str">
        <f t="array" ref="Q348">IFERROR(INDEX('Исходник'!$1:$626,MATCH($A348,'Исходник'!$T:$T,0),MATCH(Q$1,'Исходник'!$1:$1,0)))</f>
        <v/>
      </c>
      <c r="R348" s="1" t="str">
        <f t="array" ref="R348">IFERROR(INDEX('Исходник'!$1:$626,MATCH($A348,'Исходник'!$T:$T,0),MATCH(R$1,'Исходник'!$1:$1,0)))</f>
        <v/>
      </c>
      <c r="S348" s="27">
        <f t="shared" si="7"/>
        <v>0</v>
      </c>
      <c r="T348" s="27" t="str">
        <f t="shared" si="8"/>
        <v/>
      </c>
      <c r="U348" s="1" t="str">
        <f t="array" ref="U348">IFERROR(INDEX('Исходник'!$1:$626,MATCH($A348,'Исходник'!$T:$T,0),MATCH(U$1,'Исходник'!$1:$1,0)))</f>
        <v/>
      </c>
      <c r="V348" s="27" t="str">
        <f t="shared" si="9"/>
        <v/>
      </c>
      <c r="W348" s="1" t="str">
        <f t="array" ref="W348">IFERROR(INDEX('Исходник'!$1:$626,MATCH($A348,'Исходник'!$T:$T,0),MATCH(W$1,'Исходник'!$1:$1,0)))</f>
        <v/>
      </c>
      <c r="X348" s="28">
        <f t="shared" si="10"/>
        <v>0</v>
      </c>
      <c r="Y348" s="1" t="str">
        <f t="array" ref="Y348">IFERROR(INDEX('Исходник'!$1:$626,MATCH($A348,'Исходник'!$T:$T,0),MATCH(Y$1,'Исходник'!$1:$1,0)))</f>
        <v/>
      </c>
      <c r="Z348" s="27">
        <f t="shared" si="11"/>
        <v>0</v>
      </c>
      <c r="AA348" s="27" t="str">
        <f t="shared" si="12"/>
        <v/>
      </c>
      <c r="AB348" s="1" t="str">
        <f t="array" ref="AB348">IFERROR(INDEX('Исходник'!$1:$626,MATCH($A348,'Исходник'!$T:$T,0),MATCH(AB$1,'Исходник'!$1:$1,0)))</f>
        <v/>
      </c>
      <c r="AC348" s="1" t="str">
        <f t="array" ref="AC348">IFERROR(INDEX('Исходник'!$1:$626,MATCH($A348,'Исходник'!$T:$T,0),MATCH(AC$1,'Исходник'!$1:$1,0)))</f>
        <v/>
      </c>
      <c r="AD348" s="27" t="str">
        <f t="shared" si="13"/>
        <v/>
      </c>
      <c r="AE348" s="1" t="str">
        <f t="array" ref="AE348">IFERROR(INDEX('Исходник'!$1:$626,MATCH($A348,'Исходник'!$T:$T,0),MATCH(AE$1,'Исходник'!$1:$1,0)))</f>
        <v/>
      </c>
      <c r="AF348" s="1" t="str">
        <f t="array" ref="AF348">IFERROR(INDEX('Исходник'!$1:$626,MATCH($A348,'Исходник'!$T:$T,0),MATCH(AF$1,'Исходник'!$1:$1,0)))</f>
        <v/>
      </c>
      <c r="AG348" s="27" t="str">
        <f t="shared" si="14"/>
        <v/>
      </c>
      <c r="AH348" s="1" t="str">
        <f t="array" ref="AH348">IFERROR(INDEX('Исходник'!$1:$626,MATCH($A348,'Исходник'!$T:$T,0),MATCH(AH$1,'Исходник'!$1:$1,0)))</f>
        <v/>
      </c>
      <c r="AI348" s="1" t="str">
        <f t="array" ref="AI348">IFERROR(INDEX('Исходник'!$1:$626,MATCH($A348,'Исходник'!$T:$T,0),MATCH(AI$1,'Исходник'!$1:$1,0)))</f>
        <v/>
      </c>
      <c r="AJ348" s="18">
        <f t="shared" si="15"/>
        <v>0</v>
      </c>
    </row>
    <row r="349" ht="15.75" customHeight="1">
      <c r="A349" s="27"/>
      <c r="B349" s="1" t="str">
        <f t="array" ref="B349">IFERROR(INDEX('Исходник'!$1:$626,MATCH($A349,'Исходник'!$T:$T,0),MATCH(B$1,'Исходник'!$1:$1,0)))</f>
        <v/>
      </c>
      <c r="C349" s="1" t="str">
        <f t="array" ref="C349">IFERROR(INDEX('Исходник'!$1:$626,MATCH($A349,'Исходник'!$T:$T,0),MATCH(C$1,'Исходник'!$1:$1,0)))</f>
        <v/>
      </c>
      <c r="D349" s="1" t="str">
        <f t="array" ref="D349">IFERROR(INDEX('Исходник'!$1:$626,MATCH($A349,'Исходник'!$T:$T,0),MATCH(D$1,'Исходник'!$1:$1,0)))</f>
        <v/>
      </c>
      <c r="E349" s="1" t="str">
        <f t="array" ref="E349">IFERROR(INDEX('Исходник'!$1:$626,MATCH($A349,'Исходник'!$T:$T,0),MATCH(E$1,'Исходник'!$1:$1,0)))</f>
        <v/>
      </c>
      <c r="F349" s="1" t="str">
        <f t="array" ref="F349">IFERROR(INDEX('Исходник'!$1:$626,MATCH($A349,'Исходник'!$T:$T,0),MATCH(F$1,'Исходник'!$1:$1,0)))</f>
        <v/>
      </c>
      <c r="G349" s="1" t="str">
        <f t="array" ref="G349">IFERROR(INDEX('Исходник'!$1:$626,MATCH($A349,'Исходник'!$T:$T,0),MATCH(G$1,'Исходник'!$1:$1,0)))</f>
        <v/>
      </c>
      <c r="H349" s="27">
        <f t="shared" si="1"/>
        <v>0</v>
      </c>
      <c r="I349" s="27" t="str">
        <f t="shared" si="2"/>
        <v/>
      </c>
      <c r="J349" s="1" t="str">
        <f t="array" ref="J349">IFERROR(INDEX('Исходник'!$1:$626,MATCH($A349,'Исходник'!$T:$T,0),MATCH(J$1,'Исходник'!$1:$1,0)))</f>
        <v/>
      </c>
      <c r="K349" s="27" t="str">
        <f t="shared" si="3"/>
        <v/>
      </c>
      <c r="L349" s="1" t="str">
        <f t="array" ref="L349">IFERROR(INDEX('Исходник'!$1:$626,MATCH($A349,'Исходник'!$T:$T,0),MATCH(L$1,'Исходник'!$1:$1,0)))</f>
        <v/>
      </c>
      <c r="M349" s="28">
        <f t="shared" si="4"/>
        <v>0</v>
      </c>
      <c r="N349" s="1" t="str">
        <f t="array" ref="N349">IFERROR(INDEX('Исходник'!$1:$626,MATCH($A349,'Исходник'!$T:$T,0),MATCH(N$1,'Исходник'!$1:$1,0)))</f>
        <v/>
      </c>
      <c r="O349" s="27">
        <f t="shared" si="5"/>
        <v>0</v>
      </c>
      <c r="P349" s="27" t="str">
        <f t="shared" si="6"/>
        <v/>
      </c>
      <c r="Q349" s="1" t="str">
        <f t="array" ref="Q349">IFERROR(INDEX('Исходник'!$1:$626,MATCH($A349,'Исходник'!$T:$T,0),MATCH(Q$1,'Исходник'!$1:$1,0)))</f>
        <v/>
      </c>
      <c r="R349" s="1" t="str">
        <f t="array" ref="R349">IFERROR(INDEX('Исходник'!$1:$626,MATCH($A349,'Исходник'!$T:$T,0),MATCH(R$1,'Исходник'!$1:$1,0)))</f>
        <v/>
      </c>
      <c r="S349" s="27">
        <f t="shared" si="7"/>
        <v>0</v>
      </c>
      <c r="T349" s="27" t="str">
        <f t="shared" si="8"/>
        <v/>
      </c>
      <c r="U349" s="1" t="str">
        <f t="array" ref="U349">IFERROR(INDEX('Исходник'!$1:$626,MATCH($A349,'Исходник'!$T:$T,0),MATCH(U$1,'Исходник'!$1:$1,0)))</f>
        <v/>
      </c>
      <c r="V349" s="27" t="str">
        <f t="shared" si="9"/>
        <v/>
      </c>
      <c r="W349" s="1" t="str">
        <f t="array" ref="W349">IFERROR(INDEX('Исходник'!$1:$626,MATCH($A349,'Исходник'!$T:$T,0),MATCH(W$1,'Исходник'!$1:$1,0)))</f>
        <v/>
      </c>
      <c r="X349" s="28">
        <f t="shared" si="10"/>
        <v>0</v>
      </c>
      <c r="Y349" s="1" t="str">
        <f t="array" ref="Y349">IFERROR(INDEX('Исходник'!$1:$626,MATCH($A349,'Исходник'!$T:$T,0),MATCH(Y$1,'Исходник'!$1:$1,0)))</f>
        <v/>
      </c>
      <c r="Z349" s="27">
        <f t="shared" si="11"/>
        <v>0</v>
      </c>
      <c r="AA349" s="27" t="str">
        <f t="shared" si="12"/>
        <v/>
      </c>
      <c r="AB349" s="1" t="str">
        <f t="array" ref="AB349">IFERROR(INDEX('Исходник'!$1:$626,MATCH($A349,'Исходник'!$T:$T,0),MATCH(AB$1,'Исходник'!$1:$1,0)))</f>
        <v/>
      </c>
      <c r="AC349" s="1" t="str">
        <f t="array" ref="AC349">IFERROR(INDEX('Исходник'!$1:$626,MATCH($A349,'Исходник'!$T:$T,0),MATCH(AC$1,'Исходник'!$1:$1,0)))</f>
        <v/>
      </c>
      <c r="AD349" s="27" t="str">
        <f t="shared" si="13"/>
        <v/>
      </c>
      <c r="AE349" s="1" t="str">
        <f t="array" ref="AE349">IFERROR(INDEX('Исходник'!$1:$626,MATCH($A349,'Исходник'!$T:$T,0),MATCH(AE$1,'Исходник'!$1:$1,0)))</f>
        <v/>
      </c>
      <c r="AF349" s="1" t="str">
        <f t="array" ref="AF349">IFERROR(INDEX('Исходник'!$1:$626,MATCH($A349,'Исходник'!$T:$T,0),MATCH(AF$1,'Исходник'!$1:$1,0)))</f>
        <v/>
      </c>
      <c r="AG349" s="27" t="str">
        <f t="shared" si="14"/>
        <v/>
      </c>
      <c r="AH349" s="1" t="str">
        <f t="array" ref="AH349">IFERROR(INDEX('Исходник'!$1:$626,MATCH($A349,'Исходник'!$T:$T,0),MATCH(AH$1,'Исходник'!$1:$1,0)))</f>
        <v/>
      </c>
      <c r="AI349" s="1" t="str">
        <f t="array" ref="AI349">IFERROR(INDEX('Исходник'!$1:$626,MATCH($A349,'Исходник'!$T:$T,0),MATCH(AI$1,'Исходник'!$1:$1,0)))</f>
        <v/>
      </c>
      <c r="AJ349" s="18">
        <f t="shared" si="15"/>
        <v>0</v>
      </c>
    </row>
    <row r="350" ht="15.75" customHeight="1">
      <c r="A350" s="27"/>
      <c r="B350" s="1" t="str">
        <f t="array" ref="B350">IFERROR(INDEX('Исходник'!$1:$626,MATCH($A350,'Исходник'!$T:$T,0),MATCH(B$1,'Исходник'!$1:$1,0)))</f>
        <v/>
      </c>
      <c r="C350" s="1" t="str">
        <f t="array" ref="C350">IFERROR(INDEX('Исходник'!$1:$626,MATCH($A350,'Исходник'!$T:$T,0),MATCH(C$1,'Исходник'!$1:$1,0)))</f>
        <v/>
      </c>
      <c r="D350" s="1" t="str">
        <f t="array" ref="D350">IFERROR(INDEX('Исходник'!$1:$626,MATCH($A350,'Исходник'!$T:$T,0),MATCH(D$1,'Исходник'!$1:$1,0)))</f>
        <v/>
      </c>
      <c r="E350" s="1" t="str">
        <f t="array" ref="E350">IFERROR(INDEX('Исходник'!$1:$626,MATCH($A350,'Исходник'!$T:$T,0),MATCH(E$1,'Исходник'!$1:$1,0)))</f>
        <v/>
      </c>
      <c r="F350" s="1" t="str">
        <f t="array" ref="F350">IFERROR(INDEX('Исходник'!$1:$626,MATCH($A350,'Исходник'!$T:$T,0),MATCH(F$1,'Исходник'!$1:$1,0)))</f>
        <v/>
      </c>
      <c r="G350" s="1" t="str">
        <f t="array" ref="G350">IFERROR(INDEX('Исходник'!$1:$626,MATCH($A350,'Исходник'!$T:$T,0),MATCH(G$1,'Исходник'!$1:$1,0)))</f>
        <v/>
      </c>
      <c r="H350" s="27">
        <f t="shared" si="1"/>
        <v>0</v>
      </c>
      <c r="I350" s="27" t="str">
        <f t="shared" si="2"/>
        <v/>
      </c>
      <c r="J350" s="1" t="str">
        <f t="array" ref="J350">IFERROR(INDEX('Исходник'!$1:$626,MATCH($A350,'Исходник'!$T:$T,0),MATCH(J$1,'Исходник'!$1:$1,0)))</f>
        <v/>
      </c>
      <c r="K350" s="27" t="str">
        <f t="shared" si="3"/>
        <v/>
      </c>
      <c r="L350" s="1" t="str">
        <f t="array" ref="L350">IFERROR(INDEX('Исходник'!$1:$626,MATCH($A350,'Исходник'!$T:$T,0),MATCH(L$1,'Исходник'!$1:$1,0)))</f>
        <v/>
      </c>
      <c r="M350" s="28">
        <f t="shared" si="4"/>
        <v>0</v>
      </c>
      <c r="N350" s="1" t="str">
        <f t="array" ref="N350">IFERROR(INDEX('Исходник'!$1:$626,MATCH($A350,'Исходник'!$T:$T,0),MATCH(N$1,'Исходник'!$1:$1,0)))</f>
        <v/>
      </c>
      <c r="O350" s="27">
        <f t="shared" si="5"/>
        <v>0</v>
      </c>
      <c r="P350" s="27" t="str">
        <f t="shared" si="6"/>
        <v/>
      </c>
      <c r="Q350" s="1" t="str">
        <f t="array" ref="Q350">IFERROR(INDEX('Исходник'!$1:$626,MATCH($A350,'Исходник'!$T:$T,0),MATCH(Q$1,'Исходник'!$1:$1,0)))</f>
        <v/>
      </c>
      <c r="R350" s="1" t="str">
        <f t="array" ref="R350">IFERROR(INDEX('Исходник'!$1:$626,MATCH($A350,'Исходник'!$T:$T,0),MATCH(R$1,'Исходник'!$1:$1,0)))</f>
        <v/>
      </c>
      <c r="S350" s="27">
        <f t="shared" si="7"/>
        <v>0</v>
      </c>
      <c r="T350" s="27" t="str">
        <f t="shared" si="8"/>
        <v/>
      </c>
      <c r="U350" s="1" t="str">
        <f t="array" ref="U350">IFERROR(INDEX('Исходник'!$1:$626,MATCH($A350,'Исходник'!$T:$T,0),MATCH(U$1,'Исходник'!$1:$1,0)))</f>
        <v/>
      </c>
      <c r="V350" s="27" t="str">
        <f t="shared" si="9"/>
        <v/>
      </c>
      <c r="W350" s="1" t="str">
        <f t="array" ref="W350">IFERROR(INDEX('Исходник'!$1:$626,MATCH($A350,'Исходник'!$T:$T,0),MATCH(W$1,'Исходник'!$1:$1,0)))</f>
        <v/>
      </c>
      <c r="X350" s="28">
        <f t="shared" si="10"/>
        <v>0</v>
      </c>
      <c r="Y350" s="1" t="str">
        <f t="array" ref="Y350">IFERROR(INDEX('Исходник'!$1:$626,MATCH($A350,'Исходник'!$T:$T,0),MATCH(Y$1,'Исходник'!$1:$1,0)))</f>
        <v/>
      </c>
      <c r="Z350" s="27">
        <f t="shared" si="11"/>
        <v>0</v>
      </c>
      <c r="AA350" s="27" t="str">
        <f t="shared" si="12"/>
        <v/>
      </c>
      <c r="AB350" s="1" t="str">
        <f t="array" ref="AB350">IFERROR(INDEX('Исходник'!$1:$626,MATCH($A350,'Исходник'!$T:$T,0),MATCH(AB$1,'Исходник'!$1:$1,0)))</f>
        <v/>
      </c>
      <c r="AC350" s="1" t="str">
        <f t="array" ref="AC350">IFERROR(INDEX('Исходник'!$1:$626,MATCH($A350,'Исходник'!$T:$T,0),MATCH(AC$1,'Исходник'!$1:$1,0)))</f>
        <v/>
      </c>
      <c r="AD350" s="27" t="str">
        <f t="shared" si="13"/>
        <v/>
      </c>
      <c r="AE350" s="1" t="str">
        <f t="array" ref="AE350">IFERROR(INDEX('Исходник'!$1:$626,MATCH($A350,'Исходник'!$T:$T,0),MATCH(AE$1,'Исходник'!$1:$1,0)))</f>
        <v/>
      </c>
      <c r="AF350" s="1" t="str">
        <f t="array" ref="AF350">IFERROR(INDEX('Исходник'!$1:$626,MATCH($A350,'Исходник'!$T:$T,0),MATCH(AF$1,'Исходник'!$1:$1,0)))</f>
        <v/>
      </c>
      <c r="AG350" s="27" t="str">
        <f t="shared" si="14"/>
        <v/>
      </c>
      <c r="AH350" s="1" t="str">
        <f t="array" ref="AH350">IFERROR(INDEX('Исходник'!$1:$626,MATCH($A350,'Исходник'!$T:$T,0),MATCH(AH$1,'Исходник'!$1:$1,0)))</f>
        <v/>
      </c>
      <c r="AI350" s="1" t="str">
        <f t="array" ref="AI350">IFERROR(INDEX('Исходник'!$1:$626,MATCH($A350,'Исходник'!$T:$T,0),MATCH(AI$1,'Исходник'!$1:$1,0)))</f>
        <v/>
      </c>
      <c r="AJ350" s="18">
        <f t="shared" si="15"/>
        <v>0</v>
      </c>
    </row>
    <row r="351" ht="15.75" customHeight="1">
      <c r="A351" s="27"/>
      <c r="B351" s="1" t="str">
        <f t="array" ref="B351">IFERROR(INDEX('Исходник'!$1:$626,MATCH($A351,'Исходник'!$T:$T,0),MATCH(B$1,'Исходник'!$1:$1,0)))</f>
        <v/>
      </c>
      <c r="C351" s="1" t="str">
        <f t="array" ref="C351">IFERROR(INDEX('Исходник'!$1:$626,MATCH($A351,'Исходник'!$T:$T,0),MATCH(C$1,'Исходник'!$1:$1,0)))</f>
        <v/>
      </c>
      <c r="D351" s="1" t="str">
        <f t="array" ref="D351">IFERROR(INDEX('Исходник'!$1:$626,MATCH($A351,'Исходник'!$T:$T,0),MATCH(D$1,'Исходник'!$1:$1,0)))</f>
        <v/>
      </c>
      <c r="E351" s="1" t="str">
        <f t="array" ref="E351">IFERROR(INDEX('Исходник'!$1:$626,MATCH($A351,'Исходник'!$T:$T,0),MATCH(E$1,'Исходник'!$1:$1,0)))</f>
        <v/>
      </c>
      <c r="F351" s="1" t="str">
        <f t="array" ref="F351">IFERROR(INDEX('Исходник'!$1:$626,MATCH($A351,'Исходник'!$T:$T,0),MATCH(F$1,'Исходник'!$1:$1,0)))</f>
        <v/>
      </c>
      <c r="G351" s="1" t="str">
        <f t="array" ref="G351">IFERROR(INDEX('Исходник'!$1:$626,MATCH($A351,'Исходник'!$T:$T,0),MATCH(G$1,'Исходник'!$1:$1,0)))</f>
        <v/>
      </c>
      <c r="H351" s="27">
        <f t="shared" si="1"/>
        <v>0</v>
      </c>
      <c r="I351" s="27" t="str">
        <f t="shared" si="2"/>
        <v/>
      </c>
      <c r="J351" s="1" t="str">
        <f t="array" ref="J351">IFERROR(INDEX('Исходник'!$1:$626,MATCH($A351,'Исходник'!$T:$T,0),MATCH(J$1,'Исходник'!$1:$1,0)))</f>
        <v/>
      </c>
      <c r="K351" s="27" t="str">
        <f t="shared" si="3"/>
        <v/>
      </c>
      <c r="L351" s="1" t="str">
        <f t="array" ref="L351">IFERROR(INDEX('Исходник'!$1:$626,MATCH($A351,'Исходник'!$T:$T,0),MATCH(L$1,'Исходник'!$1:$1,0)))</f>
        <v/>
      </c>
      <c r="M351" s="28">
        <f t="shared" si="4"/>
        <v>0</v>
      </c>
      <c r="N351" s="1" t="str">
        <f t="array" ref="N351">IFERROR(INDEX('Исходник'!$1:$626,MATCH($A351,'Исходник'!$T:$T,0),MATCH(N$1,'Исходник'!$1:$1,0)))</f>
        <v/>
      </c>
      <c r="O351" s="27">
        <f t="shared" si="5"/>
        <v>0</v>
      </c>
      <c r="P351" s="27" t="str">
        <f t="shared" si="6"/>
        <v/>
      </c>
      <c r="Q351" s="1" t="str">
        <f t="array" ref="Q351">IFERROR(INDEX('Исходник'!$1:$626,MATCH($A351,'Исходник'!$T:$T,0),MATCH(Q$1,'Исходник'!$1:$1,0)))</f>
        <v/>
      </c>
      <c r="R351" s="1" t="str">
        <f t="array" ref="R351">IFERROR(INDEX('Исходник'!$1:$626,MATCH($A351,'Исходник'!$T:$T,0),MATCH(R$1,'Исходник'!$1:$1,0)))</f>
        <v/>
      </c>
      <c r="S351" s="27">
        <f t="shared" si="7"/>
        <v>0</v>
      </c>
      <c r="T351" s="27" t="str">
        <f t="shared" si="8"/>
        <v/>
      </c>
      <c r="U351" s="1" t="str">
        <f t="array" ref="U351">IFERROR(INDEX('Исходник'!$1:$626,MATCH($A351,'Исходник'!$T:$T,0),MATCH(U$1,'Исходник'!$1:$1,0)))</f>
        <v/>
      </c>
      <c r="V351" s="27" t="str">
        <f t="shared" si="9"/>
        <v/>
      </c>
      <c r="W351" s="1" t="str">
        <f t="array" ref="W351">IFERROR(INDEX('Исходник'!$1:$626,MATCH($A351,'Исходник'!$T:$T,0),MATCH(W$1,'Исходник'!$1:$1,0)))</f>
        <v/>
      </c>
      <c r="X351" s="28">
        <f t="shared" si="10"/>
        <v>0</v>
      </c>
      <c r="Y351" s="1" t="str">
        <f t="array" ref="Y351">IFERROR(INDEX('Исходник'!$1:$626,MATCH($A351,'Исходник'!$T:$T,0),MATCH(Y$1,'Исходник'!$1:$1,0)))</f>
        <v/>
      </c>
      <c r="Z351" s="27">
        <f t="shared" si="11"/>
        <v>0</v>
      </c>
      <c r="AA351" s="27" t="str">
        <f t="shared" si="12"/>
        <v/>
      </c>
      <c r="AB351" s="1" t="str">
        <f t="array" ref="AB351">IFERROR(INDEX('Исходник'!$1:$626,MATCH($A351,'Исходник'!$T:$T,0),MATCH(AB$1,'Исходник'!$1:$1,0)))</f>
        <v/>
      </c>
      <c r="AC351" s="1" t="str">
        <f t="array" ref="AC351">IFERROR(INDEX('Исходник'!$1:$626,MATCH($A351,'Исходник'!$T:$T,0),MATCH(AC$1,'Исходник'!$1:$1,0)))</f>
        <v/>
      </c>
      <c r="AD351" s="27" t="str">
        <f t="shared" si="13"/>
        <v/>
      </c>
      <c r="AE351" s="1" t="str">
        <f t="array" ref="AE351">IFERROR(INDEX('Исходник'!$1:$626,MATCH($A351,'Исходник'!$T:$T,0),MATCH(AE$1,'Исходник'!$1:$1,0)))</f>
        <v/>
      </c>
      <c r="AF351" s="1" t="str">
        <f t="array" ref="AF351">IFERROR(INDEX('Исходник'!$1:$626,MATCH($A351,'Исходник'!$T:$T,0),MATCH(AF$1,'Исходник'!$1:$1,0)))</f>
        <v/>
      </c>
      <c r="AG351" s="27" t="str">
        <f t="shared" si="14"/>
        <v/>
      </c>
      <c r="AH351" s="1" t="str">
        <f t="array" ref="AH351">IFERROR(INDEX('Исходник'!$1:$626,MATCH($A351,'Исходник'!$T:$T,0),MATCH(AH$1,'Исходник'!$1:$1,0)))</f>
        <v/>
      </c>
      <c r="AI351" s="1" t="str">
        <f t="array" ref="AI351">IFERROR(INDEX('Исходник'!$1:$626,MATCH($A351,'Исходник'!$T:$T,0),MATCH(AI$1,'Исходник'!$1:$1,0)))</f>
        <v/>
      </c>
      <c r="AJ351" s="18">
        <f t="shared" si="15"/>
        <v>0</v>
      </c>
    </row>
    <row r="352" ht="15.75" customHeight="1">
      <c r="A352" s="27"/>
      <c r="B352" s="1" t="str">
        <f t="array" ref="B352">IFERROR(INDEX('Исходник'!$1:$626,MATCH($A352,'Исходник'!$T:$T,0),MATCH(B$1,'Исходник'!$1:$1,0)))</f>
        <v/>
      </c>
      <c r="C352" s="1" t="str">
        <f t="array" ref="C352">IFERROR(INDEX('Исходник'!$1:$626,MATCH($A352,'Исходник'!$T:$T,0),MATCH(C$1,'Исходник'!$1:$1,0)))</f>
        <v/>
      </c>
      <c r="D352" s="1" t="str">
        <f t="array" ref="D352">IFERROR(INDEX('Исходник'!$1:$626,MATCH($A352,'Исходник'!$T:$T,0),MATCH(D$1,'Исходник'!$1:$1,0)))</f>
        <v/>
      </c>
      <c r="E352" s="1" t="str">
        <f t="array" ref="E352">IFERROR(INDEX('Исходник'!$1:$626,MATCH($A352,'Исходник'!$T:$T,0),MATCH(E$1,'Исходник'!$1:$1,0)))</f>
        <v/>
      </c>
      <c r="F352" s="1" t="str">
        <f t="array" ref="F352">IFERROR(INDEX('Исходник'!$1:$626,MATCH($A352,'Исходник'!$T:$T,0),MATCH(F$1,'Исходник'!$1:$1,0)))</f>
        <v/>
      </c>
      <c r="G352" s="1" t="str">
        <f t="array" ref="G352">IFERROR(INDEX('Исходник'!$1:$626,MATCH($A352,'Исходник'!$T:$T,0),MATCH(G$1,'Исходник'!$1:$1,0)))</f>
        <v/>
      </c>
      <c r="H352" s="27">
        <f t="shared" si="1"/>
        <v>0</v>
      </c>
      <c r="I352" s="27" t="str">
        <f t="shared" si="2"/>
        <v/>
      </c>
      <c r="J352" s="1" t="str">
        <f t="array" ref="J352">IFERROR(INDEX('Исходник'!$1:$626,MATCH($A352,'Исходник'!$T:$T,0),MATCH(J$1,'Исходник'!$1:$1,0)))</f>
        <v/>
      </c>
      <c r="K352" s="27" t="str">
        <f t="shared" si="3"/>
        <v/>
      </c>
      <c r="L352" s="1" t="str">
        <f t="array" ref="L352">IFERROR(INDEX('Исходник'!$1:$626,MATCH($A352,'Исходник'!$T:$T,0),MATCH(L$1,'Исходник'!$1:$1,0)))</f>
        <v/>
      </c>
      <c r="M352" s="28">
        <f t="shared" si="4"/>
        <v>0</v>
      </c>
      <c r="N352" s="1" t="str">
        <f t="array" ref="N352">IFERROR(INDEX('Исходник'!$1:$626,MATCH($A352,'Исходник'!$T:$T,0),MATCH(N$1,'Исходник'!$1:$1,0)))</f>
        <v/>
      </c>
      <c r="O352" s="27">
        <f t="shared" si="5"/>
        <v>0</v>
      </c>
      <c r="P352" s="27" t="str">
        <f t="shared" si="6"/>
        <v/>
      </c>
      <c r="Q352" s="1" t="str">
        <f t="array" ref="Q352">IFERROR(INDEX('Исходник'!$1:$626,MATCH($A352,'Исходник'!$T:$T,0),MATCH(Q$1,'Исходник'!$1:$1,0)))</f>
        <v/>
      </c>
      <c r="R352" s="1" t="str">
        <f t="array" ref="R352">IFERROR(INDEX('Исходник'!$1:$626,MATCH($A352,'Исходник'!$T:$T,0),MATCH(R$1,'Исходник'!$1:$1,0)))</f>
        <v/>
      </c>
      <c r="S352" s="27">
        <f t="shared" si="7"/>
        <v>0</v>
      </c>
      <c r="T352" s="27" t="str">
        <f t="shared" si="8"/>
        <v/>
      </c>
      <c r="U352" s="1" t="str">
        <f t="array" ref="U352">IFERROR(INDEX('Исходник'!$1:$626,MATCH($A352,'Исходник'!$T:$T,0),MATCH(U$1,'Исходник'!$1:$1,0)))</f>
        <v/>
      </c>
      <c r="V352" s="27" t="str">
        <f t="shared" si="9"/>
        <v/>
      </c>
      <c r="W352" s="1" t="str">
        <f t="array" ref="W352">IFERROR(INDEX('Исходник'!$1:$626,MATCH($A352,'Исходник'!$T:$T,0),MATCH(W$1,'Исходник'!$1:$1,0)))</f>
        <v/>
      </c>
      <c r="X352" s="28">
        <f t="shared" si="10"/>
        <v>0</v>
      </c>
      <c r="Y352" s="1" t="str">
        <f t="array" ref="Y352">IFERROR(INDEX('Исходник'!$1:$626,MATCH($A352,'Исходник'!$T:$T,0),MATCH(Y$1,'Исходник'!$1:$1,0)))</f>
        <v/>
      </c>
      <c r="Z352" s="27">
        <f t="shared" si="11"/>
        <v>0</v>
      </c>
      <c r="AA352" s="27" t="str">
        <f t="shared" si="12"/>
        <v/>
      </c>
      <c r="AB352" s="1" t="str">
        <f t="array" ref="AB352">IFERROR(INDEX('Исходник'!$1:$626,MATCH($A352,'Исходник'!$T:$T,0),MATCH(AB$1,'Исходник'!$1:$1,0)))</f>
        <v/>
      </c>
      <c r="AC352" s="1" t="str">
        <f t="array" ref="AC352">IFERROR(INDEX('Исходник'!$1:$626,MATCH($A352,'Исходник'!$T:$T,0),MATCH(AC$1,'Исходник'!$1:$1,0)))</f>
        <v/>
      </c>
      <c r="AD352" s="27" t="str">
        <f t="shared" si="13"/>
        <v/>
      </c>
      <c r="AE352" s="1" t="str">
        <f t="array" ref="AE352">IFERROR(INDEX('Исходник'!$1:$626,MATCH($A352,'Исходник'!$T:$T,0),MATCH(AE$1,'Исходник'!$1:$1,0)))</f>
        <v/>
      </c>
      <c r="AF352" s="1" t="str">
        <f t="array" ref="AF352">IFERROR(INDEX('Исходник'!$1:$626,MATCH($A352,'Исходник'!$T:$T,0),MATCH(AF$1,'Исходник'!$1:$1,0)))</f>
        <v/>
      </c>
      <c r="AG352" s="27" t="str">
        <f t="shared" si="14"/>
        <v/>
      </c>
      <c r="AH352" s="1" t="str">
        <f t="array" ref="AH352">IFERROR(INDEX('Исходник'!$1:$626,MATCH($A352,'Исходник'!$T:$T,0),MATCH(AH$1,'Исходник'!$1:$1,0)))</f>
        <v/>
      </c>
      <c r="AI352" s="1" t="str">
        <f t="array" ref="AI352">IFERROR(INDEX('Исходник'!$1:$626,MATCH($A352,'Исходник'!$T:$T,0),MATCH(AI$1,'Исходник'!$1:$1,0)))</f>
        <v/>
      </c>
      <c r="AJ352" s="18">
        <f t="shared" si="15"/>
        <v>0</v>
      </c>
    </row>
    <row r="353" ht="15.75" customHeight="1">
      <c r="A353" s="27"/>
      <c r="B353" s="1" t="str">
        <f t="array" ref="B353">IFERROR(INDEX('Исходник'!$1:$626,MATCH($A353,'Исходник'!$T:$T,0),MATCH(B$1,'Исходник'!$1:$1,0)))</f>
        <v/>
      </c>
      <c r="C353" s="1" t="str">
        <f t="array" ref="C353">IFERROR(INDEX('Исходник'!$1:$626,MATCH($A353,'Исходник'!$T:$T,0),MATCH(C$1,'Исходник'!$1:$1,0)))</f>
        <v/>
      </c>
      <c r="D353" s="1" t="str">
        <f t="array" ref="D353">IFERROR(INDEX('Исходник'!$1:$626,MATCH($A353,'Исходник'!$T:$T,0),MATCH(D$1,'Исходник'!$1:$1,0)))</f>
        <v/>
      </c>
      <c r="E353" s="1" t="str">
        <f t="array" ref="E353">IFERROR(INDEX('Исходник'!$1:$626,MATCH($A353,'Исходник'!$T:$T,0),MATCH(E$1,'Исходник'!$1:$1,0)))</f>
        <v/>
      </c>
      <c r="F353" s="1" t="str">
        <f t="array" ref="F353">IFERROR(INDEX('Исходник'!$1:$626,MATCH($A353,'Исходник'!$T:$T,0),MATCH(F$1,'Исходник'!$1:$1,0)))</f>
        <v/>
      </c>
      <c r="G353" s="1" t="str">
        <f t="array" ref="G353">IFERROR(INDEX('Исходник'!$1:$626,MATCH($A353,'Исходник'!$T:$T,0),MATCH(G$1,'Исходник'!$1:$1,0)))</f>
        <v/>
      </c>
      <c r="H353" s="27">
        <f t="shared" si="1"/>
        <v>0</v>
      </c>
      <c r="I353" s="27" t="str">
        <f t="shared" si="2"/>
        <v/>
      </c>
      <c r="J353" s="1" t="str">
        <f t="array" ref="J353">IFERROR(INDEX('Исходник'!$1:$626,MATCH($A353,'Исходник'!$T:$T,0),MATCH(J$1,'Исходник'!$1:$1,0)))</f>
        <v/>
      </c>
      <c r="K353" s="27" t="str">
        <f t="shared" si="3"/>
        <v/>
      </c>
      <c r="L353" s="1" t="str">
        <f t="array" ref="L353">IFERROR(INDEX('Исходник'!$1:$626,MATCH($A353,'Исходник'!$T:$T,0),MATCH(L$1,'Исходник'!$1:$1,0)))</f>
        <v/>
      </c>
      <c r="M353" s="28">
        <f t="shared" si="4"/>
        <v>0</v>
      </c>
      <c r="N353" s="1" t="str">
        <f t="array" ref="N353">IFERROR(INDEX('Исходник'!$1:$626,MATCH($A353,'Исходник'!$T:$T,0),MATCH(N$1,'Исходник'!$1:$1,0)))</f>
        <v/>
      </c>
      <c r="O353" s="27">
        <f t="shared" si="5"/>
        <v>0</v>
      </c>
      <c r="P353" s="27" t="str">
        <f t="shared" si="6"/>
        <v/>
      </c>
      <c r="Q353" s="1" t="str">
        <f t="array" ref="Q353">IFERROR(INDEX('Исходник'!$1:$626,MATCH($A353,'Исходник'!$T:$T,0),MATCH(Q$1,'Исходник'!$1:$1,0)))</f>
        <v/>
      </c>
      <c r="R353" s="1" t="str">
        <f t="array" ref="R353">IFERROR(INDEX('Исходник'!$1:$626,MATCH($A353,'Исходник'!$T:$T,0),MATCH(R$1,'Исходник'!$1:$1,0)))</f>
        <v/>
      </c>
      <c r="S353" s="27">
        <f t="shared" si="7"/>
        <v>0</v>
      </c>
      <c r="T353" s="27" t="str">
        <f t="shared" si="8"/>
        <v/>
      </c>
      <c r="U353" s="1" t="str">
        <f t="array" ref="U353">IFERROR(INDEX('Исходник'!$1:$626,MATCH($A353,'Исходник'!$T:$T,0),MATCH(U$1,'Исходник'!$1:$1,0)))</f>
        <v/>
      </c>
      <c r="V353" s="27" t="str">
        <f t="shared" si="9"/>
        <v/>
      </c>
      <c r="W353" s="1" t="str">
        <f t="array" ref="W353">IFERROR(INDEX('Исходник'!$1:$626,MATCH($A353,'Исходник'!$T:$T,0),MATCH(W$1,'Исходник'!$1:$1,0)))</f>
        <v/>
      </c>
      <c r="X353" s="28">
        <f t="shared" si="10"/>
        <v>0</v>
      </c>
      <c r="Y353" s="1" t="str">
        <f t="array" ref="Y353">IFERROR(INDEX('Исходник'!$1:$626,MATCH($A353,'Исходник'!$T:$T,0),MATCH(Y$1,'Исходник'!$1:$1,0)))</f>
        <v/>
      </c>
      <c r="Z353" s="27">
        <f t="shared" si="11"/>
        <v>0</v>
      </c>
      <c r="AA353" s="27" t="str">
        <f t="shared" si="12"/>
        <v/>
      </c>
      <c r="AB353" s="1" t="str">
        <f t="array" ref="AB353">IFERROR(INDEX('Исходник'!$1:$626,MATCH($A353,'Исходник'!$T:$T,0),MATCH(AB$1,'Исходник'!$1:$1,0)))</f>
        <v/>
      </c>
      <c r="AC353" s="1" t="str">
        <f t="array" ref="AC353">IFERROR(INDEX('Исходник'!$1:$626,MATCH($A353,'Исходник'!$T:$T,0),MATCH(AC$1,'Исходник'!$1:$1,0)))</f>
        <v/>
      </c>
      <c r="AD353" s="27" t="str">
        <f t="shared" si="13"/>
        <v/>
      </c>
      <c r="AE353" s="1" t="str">
        <f t="array" ref="AE353">IFERROR(INDEX('Исходник'!$1:$626,MATCH($A353,'Исходник'!$T:$T,0),MATCH(AE$1,'Исходник'!$1:$1,0)))</f>
        <v/>
      </c>
      <c r="AF353" s="1" t="str">
        <f t="array" ref="AF353">IFERROR(INDEX('Исходник'!$1:$626,MATCH($A353,'Исходник'!$T:$T,0),MATCH(AF$1,'Исходник'!$1:$1,0)))</f>
        <v/>
      </c>
      <c r="AG353" s="27" t="str">
        <f t="shared" si="14"/>
        <v/>
      </c>
      <c r="AH353" s="1" t="str">
        <f t="array" ref="AH353">IFERROR(INDEX('Исходник'!$1:$626,MATCH($A353,'Исходник'!$T:$T,0),MATCH(AH$1,'Исходник'!$1:$1,0)))</f>
        <v/>
      </c>
      <c r="AI353" s="1" t="str">
        <f t="array" ref="AI353">IFERROR(INDEX('Исходник'!$1:$626,MATCH($A353,'Исходник'!$T:$T,0),MATCH(AI$1,'Исходник'!$1:$1,0)))</f>
        <v/>
      </c>
      <c r="AJ353" s="18">
        <f t="shared" si="15"/>
        <v>0</v>
      </c>
    </row>
    <row r="354" ht="15.75" customHeight="1">
      <c r="A354" s="27"/>
      <c r="B354" s="1" t="str">
        <f t="array" ref="B354">IFERROR(INDEX('Исходник'!$1:$626,MATCH($A354,'Исходник'!$T:$T,0),MATCH(B$1,'Исходник'!$1:$1,0)))</f>
        <v/>
      </c>
      <c r="C354" s="1" t="str">
        <f t="array" ref="C354">IFERROR(INDEX('Исходник'!$1:$626,MATCH($A354,'Исходник'!$T:$T,0),MATCH(C$1,'Исходник'!$1:$1,0)))</f>
        <v/>
      </c>
      <c r="D354" s="1" t="str">
        <f t="array" ref="D354">IFERROR(INDEX('Исходник'!$1:$626,MATCH($A354,'Исходник'!$T:$T,0),MATCH(D$1,'Исходник'!$1:$1,0)))</f>
        <v/>
      </c>
      <c r="E354" s="1" t="str">
        <f t="array" ref="E354">IFERROR(INDEX('Исходник'!$1:$626,MATCH($A354,'Исходник'!$T:$T,0),MATCH(E$1,'Исходник'!$1:$1,0)))</f>
        <v/>
      </c>
      <c r="F354" s="1" t="str">
        <f t="array" ref="F354">IFERROR(INDEX('Исходник'!$1:$626,MATCH($A354,'Исходник'!$T:$T,0),MATCH(F$1,'Исходник'!$1:$1,0)))</f>
        <v/>
      </c>
      <c r="G354" s="1" t="str">
        <f t="array" ref="G354">IFERROR(INDEX('Исходник'!$1:$626,MATCH($A354,'Исходник'!$T:$T,0),MATCH(G$1,'Исходник'!$1:$1,0)))</f>
        <v/>
      </c>
      <c r="H354" s="27">
        <f t="shared" si="1"/>
        <v>0</v>
      </c>
      <c r="I354" s="27" t="str">
        <f t="shared" si="2"/>
        <v/>
      </c>
      <c r="J354" s="1" t="str">
        <f t="array" ref="J354">IFERROR(INDEX('Исходник'!$1:$626,MATCH($A354,'Исходник'!$T:$T,0),MATCH(J$1,'Исходник'!$1:$1,0)))</f>
        <v/>
      </c>
      <c r="K354" s="27" t="str">
        <f t="shared" si="3"/>
        <v/>
      </c>
      <c r="L354" s="1" t="str">
        <f t="array" ref="L354">IFERROR(INDEX('Исходник'!$1:$626,MATCH($A354,'Исходник'!$T:$T,0),MATCH(L$1,'Исходник'!$1:$1,0)))</f>
        <v/>
      </c>
      <c r="M354" s="28">
        <f t="shared" si="4"/>
        <v>0</v>
      </c>
      <c r="N354" s="1" t="str">
        <f t="array" ref="N354">IFERROR(INDEX('Исходник'!$1:$626,MATCH($A354,'Исходник'!$T:$T,0),MATCH(N$1,'Исходник'!$1:$1,0)))</f>
        <v/>
      </c>
      <c r="O354" s="27">
        <f t="shared" si="5"/>
        <v>0</v>
      </c>
      <c r="P354" s="27" t="str">
        <f t="shared" si="6"/>
        <v/>
      </c>
      <c r="Q354" s="1" t="str">
        <f t="array" ref="Q354">IFERROR(INDEX('Исходник'!$1:$626,MATCH($A354,'Исходник'!$T:$T,0),MATCH(Q$1,'Исходник'!$1:$1,0)))</f>
        <v/>
      </c>
      <c r="R354" s="1" t="str">
        <f t="array" ref="R354">IFERROR(INDEX('Исходник'!$1:$626,MATCH($A354,'Исходник'!$T:$T,0),MATCH(R$1,'Исходник'!$1:$1,0)))</f>
        <v/>
      </c>
      <c r="S354" s="27">
        <f t="shared" si="7"/>
        <v>0</v>
      </c>
      <c r="T354" s="27" t="str">
        <f t="shared" si="8"/>
        <v/>
      </c>
      <c r="U354" s="1" t="str">
        <f t="array" ref="U354">IFERROR(INDEX('Исходник'!$1:$626,MATCH($A354,'Исходник'!$T:$T,0),MATCH(U$1,'Исходник'!$1:$1,0)))</f>
        <v/>
      </c>
      <c r="V354" s="27" t="str">
        <f t="shared" si="9"/>
        <v/>
      </c>
      <c r="W354" s="1" t="str">
        <f t="array" ref="W354">IFERROR(INDEX('Исходник'!$1:$626,MATCH($A354,'Исходник'!$T:$T,0),MATCH(W$1,'Исходник'!$1:$1,0)))</f>
        <v/>
      </c>
      <c r="X354" s="28">
        <f t="shared" si="10"/>
        <v>0</v>
      </c>
      <c r="Y354" s="1" t="str">
        <f t="array" ref="Y354">IFERROR(INDEX('Исходник'!$1:$626,MATCH($A354,'Исходник'!$T:$T,0),MATCH(Y$1,'Исходник'!$1:$1,0)))</f>
        <v/>
      </c>
      <c r="Z354" s="27">
        <f t="shared" si="11"/>
        <v>0</v>
      </c>
      <c r="AA354" s="27" t="str">
        <f t="shared" si="12"/>
        <v/>
      </c>
      <c r="AB354" s="1" t="str">
        <f t="array" ref="AB354">IFERROR(INDEX('Исходник'!$1:$626,MATCH($A354,'Исходник'!$T:$T,0),MATCH(AB$1,'Исходник'!$1:$1,0)))</f>
        <v/>
      </c>
      <c r="AC354" s="1" t="str">
        <f t="array" ref="AC354">IFERROR(INDEX('Исходник'!$1:$626,MATCH($A354,'Исходник'!$T:$T,0),MATCH(AC$1,'Исходник'!$1:$1,0)))</f>
        <v/>
      </c>
      <c r="AD354" s="27" t="str">
        <f t="shared" si="13"/>
        <v/>
      </c>
      <c r="AE354" s="1" t="str">
        <f t="array" ref="AE354">IFERROR(INDEX('Исходник'!$1:$626,MATCH($A354,'Исходник'!$T:$T,0),MATCH(AE$1,'Исходник'!$1:$1,0)))</f>
        <v/>
      </c>
      <c r="AF354" s="1" t="str">
        <f t="array" ref="AF354">IFERROR(INDEX('Исходник'!$1:$626,MATCH($A354,'Исходник'!$T:$T,0),MATCH(AF$1,'Исходник'!$1:$1,0)))</f>
        <v/>
      </c>
      <c r="AG354" s="27" t="str">
        <f t="shared" si="14"/>
        <v/>
      </c>
      <c r="AH354" s="1" t="str">
        <f t="array" ref="AH354">IFERROR(INDEX('Исходник'!$1:$626,MATCH($A354,'Исходник'!$T:$T,0),MATCH(AH$1,'Исходник'!$1:$1,0)))</f>
        <v/>
      </c>
      <c r="AI354" s="1" t="str">
        <f t="array" ref="AI354">IFERROR(INDEX('Исходник'!$1:$626,MATCH($A354,'Исходник'!$T:$T,0),MATCH(AI$1,'Исходник'!$1:$1,0)))</f>
        <v/>
      </c>
      <c r="AJ354" s="18">
        <f t="shared" si="15"/>
        <v>0</v>
      </c>
    </row>
    <row r="355" ht="15.75" customHeight="1">
      <c r="A355" s="27"/>
      <c r="B355" s="1" t="str">
        <f t="array" ref="B355">IFERROR(INDEX('Исходник'!$1:$626,MATCH($A355,'Исходник'!$T:$T,0),MATCH(B$1,'Исходник'!$1:$1,0)))</f>
        <v/>
      </c>
      <c r="C355" s="1" t="str">
        <f t="array" ref="C355">IFERROR(INDEX('Исходник'!$1:$626,MATCH($A355,'Исходник'!$T:$T,0),MATCH(C$1,'Исходник'!$1:$1,0)))</f>
        <v/>
      </c>
      <c r="D355" s="1" t="str">
        <f t="array" ref="D355">IFERROR(INDEX('Исходник'!$1:$626,MATCH($A355,'Исходник'!$T:$T,0),MATCH(D$1,'Исходник'!$1:$1,0)))</f>
        <v/>
      </c>
      <c r="E355" s="1" t="str">
        <f t="array" ref="E355">IFERROR(INDEX('Исходник'!$1:$626,MATCH($A355,'Исходник'!$T:$T,0),MATCH(E$1,'Исходник'!$1:$1,0)))</f>
        <v/>
      </c>
      <c r="F355" s="1" t="str">
        <f t="array" ref="F355">IFERROR(INDEX('Исходник'!$1:$626,MATCH($A355,'Исходник'!$T:$T,0),MATCH(F$1,'Исходник'!$1:$1,0)))</f>
        <v/>
      </c>
      <c r="G355" s="1" t="str">
        <f t="array" ref="G355">IFERROR(INDEX('Исходник'!$1:$626,MATCH($A355,'Исходник'!$T:$T,0),MATCH(G$1,'Исходник'!$1:$1,0)))</f>
        <v/>
      </c>
      <c r="H355" s="27">
        <f t="shared" si="1"/>
        <v>0</v>
      </c>
      <c r="I355" s="27" t="str">
        <f t="shared" si="2"/>
        <v/>
      </c>
      <c r="J355" s="1" t="str">
        <f t="array" ref="J355">IFERROR(INDEX('Исходник'!$1:$626,MATCH($A355,'Исходник'!$T:$T,0),MATCH(J$1,'Исходник'!$1:$1,0)))</f>
        <v/>
      </c>
      <c r="K355" s="27" t="str">
        <f t="shared" si="3"/>
        <v/>
      </c>
      <c r="L355" s="1" t="str">
        <f t="array" ref="L355">IFERROR(INDEX('Исходник'!$1:$626,MATCH($A355,'Исходник'!$T:$T,0),MATCH(L$1,'Исходник'!$1:$1,0)))</f>
        <v/>
      </c>
      <c r="M355" s="28">
        <f t="shared" si="4"/>
        <v>0</v>
      </c>
      <c r="N355" s="1" t="str">
        <f t="array" ref="N355">IFERROR(INDEX('Исходник'!$1:$626,MATCH($A355,'Исходник'!$T:$T,0),MATCH(N$1,'Исходник'!$1:$1,0)))</f>
        <v/>
      </c>
      <c r="O355" s="27">
        <f t="shared" si="5"/>
        <v>0</v>
      </c>
      <c r="P355" s="27" t="str">
        <f t="shared" si="6"/>
        <v/>
      </c>
      <c r="Q355" s="1" t="str">
        <f t="array" ref="Q355">IFERROR(INDEX('Исходник'!$1:$626,MATCH($A355,'Исходник'!$T:$T,0),MATCH(Q$1,'Исходник'!$1:$1,0)))</f>
        <v/>
      </c>
      <c r="R355" s="1" t="str">
        <f t="array" ref="R355">IFERROR(INDEX('Исходник'!$1:$626,MATCH($A355,'Исходник'!$T:$T,0),MATCH(R$1,'Исходник'!$1:$1,0)))</f>
        <v/>
      </c>
      <c r="S355" s="27">
        <f t="shared" si="7"/>
        <v>0</v>
      </c>
      <c r="T355" s="27" t="str">
        <f t="shared" si="8"/>
        <v/>
      </c>
      <c r="U355" s="1" t="str">
        <f t="array" ref="U355">IFERROR(INDEX('Исходник'!$1:$626,MATCH($A355,'Исходник'!$T:$T,0),MATCH(U$1,'Исходник'!$1:$1,0)))</f>
        <v/>
      </c>
      <c r="V355" s="27" t="str">
        <f t="shared" si="9"/>
        <v/>
      </c>
      <c r="W355" s="1" t="str">
        <f t="array" ref="W355">IFERROR(INDEX('Исходник'!$1:$626,MATCH($A355,'Исходник'!$T:$T,0),MATCH(W$1,'Исходник'!$1:$1,0)))</f>
        <v/>
      </c>
      <c r="X355" s="28">
        <f t="shared" si="10"/>
        <v>0</v>
      </c>
      <c r="Y355" s="1" t="str">
        <f t="array" ref="Y355">IFERROR(INDEX('Исходник'!$1:$626,MATCH($A355,'Исходник'!$T:$T,0),MATCH(Y$1,'Исходник'!$1:$1,0)))</f>
        <v/>
      </c>
      <c r="Z355" s="27">
        <f t="shared" si="11"/>
        <v>0</v>
      </c>
      <c r="AA355" s="27" t="str">
        <f t="shared" si="12"/>
        <v/>
      </c>
      <c r="AB355" s="1" t="str">
        <f t="array" ref="AB355">IFERROR(INDEX('Исходник'!$1:$626,MATCH($A355,'Исходник'!$T:$T,0),MATCH(AB$1,'Исходник'!$1:$1,0)))</f>
        <v/>
      </c>
      <c r="AC355" s="1" t="str">
        <f t="array" ref="AC355">IFERROR(INDEX('Исходник'!$1:$626,MATCH($A355,'Исходник'!$T:$T,0),MATCH(AC$1,'Исходник'!$1:$1,0)))</f>
        <v/>
      </c>
      <c r="AD355" s="27" t="str">
        <f t="shared" si="13"/>
        <v/>
      </c>
      <c r="AE355" s="1" t="str">
        <f t="array" ref="AE355">IFERROR(INDEX('Исходник'!$1:$626,MATCH($A355,'Исходник'!$T:$T,0),MATCH(AE$1,'Исходник'!$1:$1,0)))</f>
        <v/>
      </c>
      <c r="AF355" s="1" t="str">
        <f t="array" ref="AF355">IFERROR(INDEX('Исходник'!$1:$626,MATCH($A355,'Исходник'!$T:$T,0),MATCH(AF$1,'Исходник'!$1:$1,0)))</f>
        <v/>
      </c>
      <c r="AG355" s="27" t="str">
        <f t="shared" si="14"/>
        <v/>
      </c>
      <c r="AH355" s="1" t="str">
        <f t="array" ref="AH355">IFERROR(INDEX('Исходник'!$1:$626,MATCH($A355,'Исходник'!$T:$T,0),MATCH(AH$1,'Исходник'!$1:$1,0)))</f>
        <v/>
      </c>
      <c r="AI355" s="1" t="str">
        <f t="array" ref="AI355">IFERROR(INDEX('Исходник'!$1:$626,MATCH($A355,'Исходник'!$T:$T,0),MATCH(AI$1,'Исходник'!$1:$1,0)))</f>
        <v/>
      </c>
      <c r="AJ355" s="18">
        <f t="shared" si="15"/>
        <v>0</v>
      </c>
    </row>
    <row r="356" ht="15.75" customHeight="1">
      <c r="A356" s="27"/>
      <c r="B356" s="1" t="str">
        <f t="array" ref="B356">IFERROR(INDEX('Исходник'!$1:$626,MATCH($A356,'Исходник'!$T:$T,0),MATCH(B$1,'Исходник'!$1:$1,0)))</f>
        <v/>
      </c>
      <c r="C356" s="1" t="str">
        <f t="array" ref="C356">IFERROR(INDEX('Исходник'!$1:$626,MATCH($A356,'Исходник'!$T:$T,0),MATCH(C$1,'Исходник'!$1:$1,0)))</f>
        <v/>
      </c>
      <c r="D356" s="1" t="str">
        <f t="array" ref="D356">IFERROR(INDEX('Исходник'!$1:$626,MATCH($A356,'Исходник'!$T:$T,0),MATCH(D$1,'Исходник'!$1:$1,0)))</f>
        <v/>
      </c>
      <c r="E356" s="1" t="str">
        <f t="array" ref="E356">IFERROR(INDEX('Исходник'!$1:$626,MATCH($A356,'Исходник'!$T:$T,0),MATCH(E$1,'Исходник'!$1:$1,0)))</f>
        <v/>
      </c>
      <c r="F356" s="1" t="str">
        <f t="array" ref="F356">IFERROR(INDEX('Исходник'!$1:$626,MATCH($A356,'Исходник'!$T:$T,0),MATCH(F$1,'Исходник'!$1:$1,0)))</f>
        <v/>
      </c>
      <c r="G356" s="1" t="str">
        <f t="array" ref="G356">IFERROR(INDEX('Исходник'!$1:$626,MATCH($A356,'Исходник'!$T:$T,0),MATCH(G$1,'Исходник'!$1:$1,0)))</f>
        <v/>
      </c>
      <c r="H356" s="27">
        <f t="shared" si="1"/>
        <v>0</v>
      </c>
      <c r="I356" s="27" t="str">
        <f t="shared" si="2"/>
        <v/>
      </c>
      <c r="J356" s="1" t="str">
        <f t="array" ref="J356">IFERROR(INDEX('Исходник'!$1:$626,MATCH($A356,'Исходник'!$T:$T,0),MATCH(J$1,'Исходник'!$1:$1,0)))</f>
        <v/>
      </c>
      <c r="K356" s="27" t="str">
        <f t="shared" si="3"/>
        <v/>
      </c>
      <c r="L356" s="1" t="str">
        <f t="array" ref="L356">IFERROR(INDEX('Исходник'!$1:$626,MATCH($A356,'Исходник'!$T:$T,0),MATCH(L$1,'Исходник'!$1:$1,0)))</f>
        <v/>
      </c>
      <c r="M356" s="28">
        <f t="shared" si="4"/>
        <v>0</v>
      </c>
      <c r="N356" s="1" t="str">
        <f t="array" ref="N356">IFERROR(INDEX('Исходник'!$1:$626,MATCH($A356,'Исходник'!$T:$T,0),MATCH(N$1,'Исходник'!$1:$1,0)))</f>
        <v/>
      </c>
      <c r="O356" s="27">
        <f t="shared" si="5"/>
        <v>0</v>
      </c>
      <c r="P356" s="27" t="str">
        <f t="shared" si="6"/>
        <v/>
      </c>
      <c r="Q356" s="1" t="str">
        <f t="array" ref="Q356">IFERROR(INDEX('Исходник'!$1:$626,MATCH($A356,'Исходник'!$T:$T,0),MATCH(Q$1,'Исходник'!$1:$1,0)))</f>
        <v/>
      </c>
      <c r="R356" s="1" t="str">
        <f t="array" ref="R356">IFERROR(INDEX('Исходник'!$1:$626,MATCH($A356,'Исходник'!$T:$T,0),MATCH(R$1,'Исходник'!$1:$1,0)))</f>
        <v/>
      </c>
      <c r="S356" s="27">
        <f t="shared" si="7"/>
        <v>0</v>
      </c>
      <c r="T356" s="27" t="str">
        <f t="shared" si="8"/>
        <v/>
      </c>
      <c r="U356" s="1" t="str">
        <f t="array" ref="U356">IFERROR(INDEX('Исходник'!$1:$626,MATCH($A356,'Исходник'!$T:$T,0),MATCH(U$1,'Исходник'!$1:$1,0)))</f>
        <v/>
      </c>
      <c r="V356" s="27" t="str">
        <f t="shared" si="9"/>
        <v/>
      </c>
      <c r="W356" s="1" t="str">
        <f t="array" ref="W356">IFERROR(INDEX('Исходник'!$1:$626,MATCH($A356,'Исходник'!$T:$T,0),MATCH(W$1,'Исходник'!$1:$1,0)))</f>
        <v/>
      </c>
      <c r="X356" s="28">
        <f t="shared" si="10"/>
        <v>0</v>
      </c>
      <c r="Y356" s="1" t="str">
        <f t="array" ref="Y356">IFERROR(INDEX('Исходник'!$1:$626,MATCH($A356,'Исходник'!$T:$T,0),MATCH(Y$1,'Исходник'!$1:$1,0)))</f>
        <v/>
      </c>
      <c r="Z356" s="27">
        <f t="shared" si="11"/>
        <v>0</v>
      </c>
      <c r="AA356" s="27" t="str">
        <f t="shared" si="12"/>
        <v/>
      </c>
      <c r="AB356" s="1" t="str">
        <f t="array" ref="AB356">IFERROR(INDEX('Исходник'!$1:$626,MATCH($A356,'Исходник'!$T:$T,0),MATCH(AB$1,'Исходник'!$1:$1,0)))</f>
        <v/>
      </c>
      <c r="AC356" s="1" t="str">
        <f t="array" ref="AC356">IFERROR(INDEX('Исходник'!$1:$626,MATCH($A356,'Исходник'!$T:$T,0),MATCH(AC$1,'Исходник'!$1:$1,0)))</f>
        <v/>
      </c>
      <c r="AD356" s="27" t="str">
        <f t="shared" si="13"/>
        <v/>
      </c>
      <c r="AE356" s="1" t="str">
        <f t="array" ref="AE356">IFERROR(INDEX('Исходник'!$1:$626,MATCH($A356,'Исходник'!$T:$T,0),MATCH(AE$1,'Исходник'!$1:$1,0)))</f>
        <v/>
      </c>
      <c r="AF356" s="1" t="str">
        <f t="array" ref="AF356">IFERROR(INDEX('Исходник'!$1:$626,MATCH($A356,'Исходник'!$T:$T,0),MATCH(AF$1,'Исходник'!$1:$1,0)))</f>
        <v/>
      </c>
      <c r="AG356" s="27" t="str">
        <f t="shared" si="14"/>
        <v/>
      </c>
      <c r="AH356" s="1" t="str">
        <f t="array" ref="AH356">IFERROR(INDEX('Исходник'!$1:$626,MATCH($A356,'Исходник'!$T:$T,0),MATCH(AH$1,'Исходник'!$1:$1,0)))</f>
        <v/>
      </c>
      <c r="AI356" s="1" t="str">
        <f t="array" ref="AI356">IFERROR(INDEX('Исходник'!$1:$626,MATCH($A356,'Исходник'!$T:$T,0),MATCH(AI$1,'Исходник'!$1:$1,0)))</f>
        <v/>
      </c>
      <c r="AJ356" s="18">
        <f t="shared" si="15"/>
        <v>0</v>
      </c>
    </row>
    <row r="357" ht="15.75" customHeight="1">
      <c r="A357" s="27"/>
      <c r="B357" s="1" t="str">
        <f t="array" ref="B357">IFERROR(INDEX('Исходник'!$1:$626,MATCH($A357,'Исходник'!$T:$T,0),MATCH(B$1,'Исходник'!$1:$1,0)))</f>
        <v/>
      </c>
      <c r="C357" s="1" t="str">
        <f t="array" ref="C357">IFERROR(INDEX('Исходник'!$1:$626,MATCH($A357,'Исходник'!$T:$T,0),MATCH(C$1,'Исходник'!$1:$1,0)))</f>
        <v/>
      </c>
      <c r="D357" s="1" t="str">
        <f t="array" ref="D357">IFERROR(INDEX('Исходник'!$1:$626,MATCH($A357,'Исходник'!$T:$T,0),MATCH(D$1,'Исходник'!$1:$1,0)))</f>
        <v/>
      </c>
      <c r="E357" s="1" t="str">
        <f t="array" ref="E357">IFERROR(INDEX('Исходник'!$1:$626,MATCH($A357,'Исходник'!$T:$T,0),MATCH(E$1,'Исходник'!$1:$1,0)))</f>
        <v/>
      </c>
      <c r="F357" s="1" t="str">
        <f t="array" ref="F357">IFERROR(INDEX('Исходник'!$1:$626,MATCH($A357,'Исходник'!$T:$T,0),MATCH(F$1,'Исходник'!$1:$1,0)))</f>
        <v/>
      </c>
      <c r="G357" s="1" t="str">
        <f t="array" ref="G357">IFERROR(INDEX('Исходник'!$1:$626,MATCH($A357,'Исходник'!$T:$T,0),MATCH(G$1,'Исходник'!$1:$1,0)))</f>
        <v/>
      </c>
      <c r="H357" s="27">
        <f t="shared" si="1"/>
        <v>0</v>
      </c>
      <c r="I357" s="27" t="str">
        <f t="shared" si="2"/>
        <v/>
      </c>
      <c r="J357" s="1" t="str">
        <f t="array" ref="J357">IFERROR(INDEX('Исходник'!$1:$626,MATCH($A357,'Исходник'!$T:$T,0),MATCH(J$1,'Исходник'!$1:$1,0)))</f>
        <v/>
      </c>
      <c r="K357" s="27" t="str">
        <f t="shared" si="3"/>
        <v/>
      </c>
      <c r="L357" s="1" t="str">
        <f t="array" ref="L357">IFERROR(INDEX('Исходник'!$1:$626,MATCH($A357,'Исходник'!$T:$T,0),MATCH(L$1,'Исходник'!$1:$1,0)))</f>
        <v/>
      </c>
      <c r="M357" s="28">
        <f t="shared" si="4"/>
        <v>0</v>
      </c>
      <c r="N357" s="1" t="str">
        <f t="array" ref="N357">IFERROR(INDEX('Исходник'!$1:$626,MATCH($A357,'Исходник'!$T:$T,0),MATCH(N$1,'Исходник'!$1:$1,0)))</f>
        <v/>
      </c>
      <c r="O357" s="27">
        <f t="shared" si="5"/>
        <v>0</v>
      </c>
      <c r="P357" s="27" t="str">
        <f t="shared" si="6"/>
        <v/>
      </c>
      <c r="Q357" s="1" t="str">
        <f t="array" ref="Q357">IFERROR(INDEX('Исходник'!$1:$626,MATCH($A357,'Исходник'!$T:$T,0),MATCH(Q$1,'Исходник'!$1:$1,0)))</f>
        <v/>
      </c>
      <c r="R357" s="1" t="str">
        <f t="array" ref="R357">IFERROR(INDEX('Исходник'!$1:$626,MATCH($A357,'Исходник'!$T:$T,0),MATCH(R$1,'Исходник'!$1:$1,0)))</f>
        <v/>
      </c>
      <c r="S357" s="27">
        <f t="shared" si="7"/>
        <v>0</v>
      </c>
      <c r="T357" s="27" t="str">
        <f t="shared" si="8"/>
        <v/>
      </c>
      <c r="U357" s="1" t="str">
        <f t="array" ref="U357">IFERROR(INDEX('Исходник'!$1:$626,MATCH($A357,'Исходник'!$T:$T,0),MATCH(U$1,'Исходник'!$1:$1,0)))</f>
        <v/>
      </c>
      <c r="V357" s="27" t="str">
        <f t="shared" si="9"/>
        <v/>
      </c>
      <c r="W357" s="1" t="str">
        <f t="array" ref="W357">IFERROR(INDEX('Исходник'!$1:$626,MATCH($A357,'Исходник'!$T:$T,0),MATCH(W$1,'Исходник'!$1:$1,0)))</f>
        <v/>
      </c>
      <c r="X357" s="28">
        <f t="shared" si="10"/>
        <v>0</v>
      </c>
      <c r="Y357" s="1" t="str">
        <f t="array" ref="Y357">IFERROR(INDEX('Исходник'!$1:$626,MATCH($A357,'Исходник'!$T:$T,0),MATCH(Y$1,'Исходник'!$1:$1,0)))</f>
        <v/>
      </c>
      <c r="Z357" s="27">
        <f t="shared" si="11"/>
        <v>0</v>
      </c>
      <c r="AA357" s="27" t="str">
        <f t="shared" si="12"/>
        <v/>
      </c>
      <c r="AB357" s="1" t="str">
        <f t="array" ref="AB357">IFERROR(INDEX('Исходник'!$1:$626,MATCH($A357,'Исходник'!$T:$T,0),MATCH(AB$1,'Исходник'!$1:$1,0)))</f>
        <v/>
      </c>
      <c r="AC357" s="1" t="str">
        <f t="array" ref="AC357">IFERROR(INDEX('Исходник'!$1:$626,MATCH($A357,'Исходник'!$T:$T,0),MATCH(AC$1,'Исходник'!$1:$1,0)))</f>
        <v/>
      </c>
      <c r="AD357" s="27" t="str">
        <f t="shared" si="13"/>
        <v/>
      </c>
      <c r="AE357" s="1" t="str">
        <f t="array" ref="AE357">IFERROR(INDEX('Исходник'!$1:$626,MATCH($A357,'Исходник'!$T:$T,0),MATCH(AE$1,'Исходник'!$1:$1,0)))</f>
        <v/>
      </c>
      <c r="AF357" s="1" t="str">
        <f t="array" ref="AF357">IFERROR(INDEX('Исходник'!$1:$626,MATCH($A357,'Исходник'!$T:$T,0),MATCH(AF$1,'Исходник'!$1:$1,0)))</f>
        <v/>
      </c>
      <c r="AG357" s="27" t="str">
        <f t="shared" si="14"/>
        <v/>
      </c>
      <c r="AH357" s="1" t="str">
        <f t="array" ref="AH357">IFERROR(INDEX('Исходник'!$1:$626,MATCH($A357,'Исходник'!$T:$T,0),MATCH(AH$1,'Исходник'!$1:$1,0)))</f>
        <v/>
      </c>
      <c r="AI357" s="1" t="str">
        <f t="array" ref="AI357">IFERROR(INDEX('Исходник'!$1:$626,MATCH($A357,'Исходник'!$T:$T,0),MATCH(AI$1,'Исходник'!$1:$1,0)))</f>
        <v/>
      </c>
      <c r="AJ357" s="18">
        <f t="shared" si="15"/>
        <v>0</v>
      </c>
    </row>
    <row r="358" ht="15.75" customHeight="1">
      <c r="A358" s="27"/>
      <c r="B358" s="1" t="str">
        <f t="array" ref="B358">IFERROR(INDEX('Исходник'!$1:$626,MATCH($A358,'Исходник'!$T:$T,0),MATCH(B$1,'Исходник'!$1:$1,0)))</f>
        <v/>
      </c>
      <c r="C358" s="1" t="str">
        <f t="array" ref="C358">IFERROR(INDEX('Исходник'!$1:$626,MATCH($A358,'Исходник'!$T:$T,0),MATCH(C$1,'Исходник'!$1:$1,0)))</f>
        <v/>
      </c>
      <c r="D358" s="1" t="str">
        <f t="array" ref="D358">IFERROR(INDEX('Исходник'!$1:$626,MATCH($A358,'Исходник'!$T:$T,0),MATCH(D$1,'Исходник'!$1:$1,0)))</f>
        <v/>
      </c>
      <c r="E358" s="1" t="str">
        <f t="array" ref="E358">IFERROR(INDEX('Исходник'!$1:$626,MATCH($A358,'Исходник'!$T:$T,0),MATCH(E$1,'Исходник'!$1:$1,0)))</f>
        <v/>
      </c>
      <c r="F358" s="1" t="str">
        <f t="array" ref="F358">IFERROR(INDEX('Исходник'!$1:$626,MATCH($A358,'Исходник'!$T:$T,0),MATCH(F$1,'Исходник'!$1:$1,0)))</f>
        <v/>
      </c>
      <c r="G358" s="1" t="str">
        <f t="array" ref="G358">IFERROR(INDEX('Исходник'!$1:$626,MATCH($A358,'Исходник'!$T:$T,0),MATCH(G$1,'Исходник'!$1:$1,0)))</f>
        <v/>
      </c>
      <c r="H358" s="27">
        <f t="shared" si="1"/>
        <v>0</v>
      </c>
      <c r="I358" s="27" t="str">
        <f t="shared" si="2"/>
        <v/>
      </c>
      <c r="J358" s="1" t="str">
        <f t="array" ref="J358">IFERROR(INDEX('Исходник'!$1:$626,MATCH($A358,'Исходник'!$T:$T,0),MATCH(J$1,'Исходник'!$1:$1,0)))</f>
        <v/>
      </c>
      <c r="K358" s="27" t="str">
        <f t="shared" si="3"/>
        <v/>
      </c>
      <c r="L358" s="1" t="str">
        <f t="array" ref="L358">IFERROR(INDEX('Исходник'!$1:$626,MATCH($A358,'Исходник'!$T:$T,0),MATCH(L$1,'Исходник'!$1:$1,0)))</f>
        <v/>
      </c>
      <c r="M358" s="28">
        <f t="shared" si="4"/>
        <v>0</v>
      </c>
      <c r="N358" s="1" t="str">
        <f t="array" ref="N358">IFERROR(INDEX('Исходник'!$1:$626,MATCH($A358,'Исходник'!$T:$T,0),MATCH(N$1,'Исходник'!$1:$1,0)))</f>
        <v/>
      </c>
      <c r="O358" s="27">
        <f t="shared" si="5"/>
        <v>0</v>
      </c>
      <c r="P358" s="27" t="str">
        <f t="shared" si="6"/>
        <v/>
      </c>
      <c r="Q358" s="1" t="str">
        <f t="array" ref="Q358">IFERROR(INDEX('Исходник'!$1:$626,MATCH($A358,'Исходник'!$T:$T,0),MATCH(Q$1,'Исходник'!$1:$1,0)))</f>
        <v/>
      </c>
      <c r="R358" s="1" t="str">
        <f t="array" ref="R358">IFERROR(INDEX('Исходник'!$1:$626,MATCH($A358,'Исходник'!$T:$T,0),MATCH(R$1,'Исходник'!$1:$1,0)))</f>
        <v/>
      </c>
      <c r="S358" s="27">
        <f t="shared" si="7"/>
        <v>0</v>
      </c>
      <c r="T358" s="27" t="str">
        <f t="shared" si="8"/>
        <v/>
      </c>
      <c r="U358" s="1" t="str">
        <f t="array" ref="U358">IFERROR(INDEX('Исходник'!$1:$626,MATCH($A358,'Исходник'!$T:$T,0),MATCH(U$1,'Исходник'!$1:$1,0)))</f>
        <v/>
      </c>
      <c r="V358" s="27" t="str">
        <f t="shared" si="9"/>
        <v/>
      </c>
      <c r="W358" s="1" t="str">
        <f t="array" ref="W358">IFERROR(INDEX('Исходник'!$1:$626,MATCH($A358,'Исходник'!$T:$T,0),MATCH(W$1,'Исходник'!$1:$1,0)))</f>
        <v/>
      </c>
      <c r="X358" s="28">
        <f t="shared" si="10"/>
        <v>0</v>
      </c>
      <c r="Y358" s="1" t="str">
        <f t="array" ref="Y358">IFERROR(INDEX('Исходник'!$1:$626,MATCH($A358,'Исходник'!$T:$T,0),MATCH(Y$1,'Исходник'!$1:$1,0)))</f>
        <v/>
      </c>
      <c r="Z358" s="27">
        <f t="shared" si="11"/>
        <v>0</v>
      </c>
      <c r="AA358" s="27" t="str">
        <f t="shared" si="12"/>
        <v/>
      </c>
      <c r="AB358" s="1" t="str">
        <f t="array" ref="AB358">IFERROR(INDEX('Исходник'!$1:$626,MATCH($A358,'Исходник'!$T:$T,0),MATCH(AB$1,'Исходник'!$1:$1,0)))</f>
        <v/>
      </c>
      <c r="AC358" s="1" t="str">
        <f t="array" ref="AC358">IFERROR(INDEX('Исходник'!$1:$626,MATCH($A358,'Исходник'!$T:$T,0),MATCH(AC$1,'Исходник'!$1:$1,0)))</f>
        <v/>
      </c>
      <c r="AD358" s="27" t="str">
        <f t="shared" si="13"/>
        <v/>
      </c>
      <c r="AE358" s="1" t="str">
        <f t="array" ref="AE358">IFERROR(INDEX('Исходник'!$1:$626,MATCH($A358,'Исходник'!$T:$T,0),MATCH(AE$1,'Исходник'!$1:$1,0)))</f>
        <v/>
      </c>
      <c r="AF358" s="1" t="str">
        <f t="array" ref="AF358">IFERROR(INDEX('Исходник'!$1:$626,MATCH($A358,'Исходник'!$T:$T,0),MATCH(AF$1,'Исходник'!$1:$1,0)))</f>
        <v/>
      </c>
      <c r="AG358" s="27" t="str">
        <f t="shared" si="14"/>
        <v/>
      </c>
      <c r="AH358" s="1" t="str">
        <f t="array" ref="AH358">IFERROR(INDEX('Исходник'!$1:$626,MATCH($A358,'Исходник'!$T:$T,0),MATCH(AH$1,'Исходник'!$1:$1,0)))</f>
        <v/>
      </c>
      <c r="AI358" s="1" t="str">
        <f t="array" ref="AI358">IFERROR(INDEX('Исходник'!$1:$626,MATCH($A358,'Исходник'!$T:$T,0),MATCH(AI$1,'Исходник'!$1:$1,0)))</f>
        <v/>
      </c>
      <c r="AJ358" s="18">
        <f t="shared" si="15"/>
        <v>0</v>
      </c>
    </row>
    <row r="359" ht="15.75" customHeight="1">
      <c r="A359" s="27"/>
      <c r="B359" s="1" t="str">
        <f t="array" ref="B359">IFERROR(INDEX('Исходник'!$1:$626,MATCH($A359,'Исходник'!$T:$T,0),MATCH(B$1,'Исходник'!$1:$1,0)))</f>
        <v/>
      </c>
      <c r="C359" s="1" t="str">
        <f t="array" ref="C359">IFERROR(INDEX('Исходник'!$1:$626,MATCH($A359,'Исходник'!$T:$T,0),MATCH(C$1,'Исходник'!$1:$1,0)))</f>
        <v/>
      </c>
      <c r="D359" s="1" t="str">
        <f t="array" ref="D359">IFERROR(INDEX('Исходник'!$1:$626,MATCH($A359,'Исходник'!$T:$T,0),MATCH(D$1,'Исходник'!$1:$1,0)))</f>
        <v/>
      </c>
      <c r="E359" s="1" t="str">
        <f t="array" ref="E359">IFERROR(INDEX('Исходник'!$1:$626,MATCH($A359,'Исходник'!$T:$T,0),MATCH(E$1,'Исходник'!$1:$1,0)))</f>
        <v/>
      </c>
      <c r="F359" s="1" t="str">
        <f t="array" ref="F359">IFERROR(INDEX('Исходник'!$1:$626,MATCH($A359,'Исходник'!$T:$T,0),MATCH(F$1,'Исходник'!$1:$1,0)))</f>
        <v/>
      </c>
      <c r="G359" s="1" t="str">
        <f t="array" ref="G359">IFERROR(INDEX('Исходник'!$1:$626,MATCH($A359,'Исходник'!$T:$T,0),MATCH(G$1,'Исходник'!$1:$1,0)))</f>
        <v/>
      </c>
      <c r="H359" s="27">
        <f t="shared" si="1"/>
        <v>0</v>
      </c>
      <c r="I359" s="27" t="str">
        <f t="shared" si="2"/>
        <v/>
      </c>
      <c r="J359" s="1" t="str">
        <f t="array" ref="J359">IFERROR(INDEX('Исходник'!$1:$626,MATCH($A359,'Исходник'!$T:$T,0),MATCH(J$1,'Исходник'!$1:$1,0)))</f>
        <v/>
      </c>
      <c r="K359" s="27" t="str">
        <f t="shared" si="3"/>
        <v/>
      </c>
      <c r="L359" s="1" t="str">
        <f t="array" ref="L359">IFERROR(INDEX('Исходник'!$1:$626,MATCH($A359,'Исходник'!$T:$T,0),MATCH(L$1,'Исходник'!$1:$1,0)))</f>
        <v/>
      </c>
      <c r="M359" s="28">
        <f t="shared" si="4"/>
        <v>0</v>
      </c>
      <c r="N359" s="1" t="str">
        <f t="array" ref="N359">IFERROR(INDEX('Исходник'!$1:$626,MATCH($A359,'Исходник'!$T:$T,0),MATCH(N$1,'Исходник'!$1:$1,0)))</f>
        <v/>
      </c>
      <c r="O359" s="27">
        <f t="shared" si="5"/>
        <v>0</v>
      </c>
      <c r="P359" s="27" t="str">
        <f t="shared" si="6"/>
        <v/>
      </c>
      <c r="Q359" s="1" t="str">
        <f t="array" ref="Q359">IFERROR(INDEX('Исходник'!$1:$626,MATCH($A359,'Исходник'!$T:$T,0),MATCH(Q$1,'Исходник'!$1:$1,0)))</f>
        <v/>
      </c>
      <c r="R359" s="1" t="str">
        <f t="array" ref="R359">IFERROR(INDEX('Исходник'!$1:$626,MATCH($A359,'Исходник'!$T:$T,0),MATCH(R$1,'Исходник'!$1:$1,0)))</f>
        <v/>
      </c>
      <c r="S359" s="27">
        <f t="shared" si="7"/>
        <v>0</v>
      </c>
      <c r="T359" s="27" t="str">
        <f t="shared" si="8"/>
        <v/>
      </c>
      <c r="U359" s="1" t="str">
        <f t="array" ref="U359">IFERROR(INDEX('Исходник'!$1:$626,MATCH($A359,'Исходник'!$T:$T,0),MATCH(U$1,'Исходник'!$1:$1,0)))</f>
        <v/>
      </c>
      <c r="V359" s="27" t="str">
        <f t="shared" si="9"/>
        <v/>
      </c>
      <c r="W359" s="1" t="str">
        <f t="array" ref="W359">IFERROR(INDEX('Исходник'!$1:$626,MATCH($A359,'Исходник'!$T:$T,0),MATCH(W$1,'Исходник'!$1:$1,0)))</f>
        <v/>
      </c>
      <c r="X359" s="28">
        <f t="shared" si="10"/>
        <v>0</v>
      </c>
      <c r="Y359" s="1" t="str">
        <f t="array" ref="Y359">IFERROR(INDEX('Исходник'!$1:$626,MATCH($A359,'Исходник'!$T:$T,0),MATCH(Y$1,'Исходник'!$1:$1,0)))</f>
        <v/>
      </c>
      <c r="Z359" s="27">
        <f t="shared" si="11"/>
        <v>0</v>
      </c>
      <c r="AA359" s="27" t="str">
        <f t="shared" si="12"/>
        <v/>
      </c>
      <c r="AB359" s="1" t="str">
        <f t="array" ref="AB359">IFERROR(INDEX('Исходник'!$1:$626,MATCH($A359,'Исходник'!$T:$T,0),MATCH(AB$1,'Исходник'!$1:$1,0)))</f>
        <v/>
      </c>
      <c r="AC359" s="1" t="str">
        <f t="array" ref="AC359">IFERROR(INDEX('Исходник'!$1:$626,MATCH($A359,'Исходник'!$T:$T,0),MATCH(AC$1,'Исходник'!$1:$1,0)))</f>
        <v/>
      </c>
      <c r="AD359" s="27" t="str">
        <f t="shared" si="13"/>
        <v/>
      </c>
      <c r="AE359" s="1" t="str">
        <f t="array" ref="AE359">IFERROR(INDEX('Исходник'!$1:$626,MATCH($A359,'Исходник'!$T:$T,0),MATCH(AE$1,'Исходник'!$1:$1,0)))</f>
        <v/>
      </c>
      <c r="AF359" s="1" t="str">
        <f t="array" ref="AF359">IFERROR(INDEX('Исходник'!$1:$626,MATCH($A359,'Исходник'!$T:$T,0),MATCH(AF$1,'Исходник'!$1:$1,0)))</f>
        <v/>
      </c>
      <c r="AG359" s="27" t="str">
        <f t="shared" si="14"/>
        <v/>
      </c>
      <c r="AH359" s="1" t="str">
        <f t="array" ref="AH359">IFERROR(INDEX('Исходник'!$1:$626,MATCH($A359,'Исходник'!$T:$T,0),MATCH(AH$1,'Исходник'!$1:$1,0)))</f>
        <v/>
      </c>
      <c r="AI359" s="1" t="str">
        <f t="array" ref="AI359">IFERROR(INDEX('Исходник'!$1:$626,MATCH($A359,'Исходник'!$T:$T,0),MATCH(AI$1,'Исходник'!$1:$1,0)))</f>
        <v/>
      </c>
      <c r="AJ359" s="18">
        <f t="shared" si="15"/>
        <v>0</v>
      </c>
    </row>
    <row r="360" ht="15.75" customHeight="1">
      <c r="A360" s="27"/>
      <c r="B360" s="1" t="str">
        <f t="array" ref="B360">IFERROR(INDEX('Исходник'!$1:$626,MATCH($A360,'Исходник'!$T:$T,0),MATCH(B$1,'Исходник'!$1:$1,0)))</f>
        <v/>
      </c>
      <c r="C360" s="1" t="str">
        <f t="array" ref="C360">IFERROR(INDEX('Исходник'!$1:$626,MATCH($A360,'Исходник'!$T:$T,0),MATCH(C$1,'Исходник'!$1:$1,0)))</f>
        <v/>
      </c>
      <c r="D360" s="1" t="str">
        <f t="array" ref="D360">IFERROR(INDEX('Исходник'!$1:$626,MATCH($A360,'Исходник'!$T:$T,0),MATCH(D$1,'Исходник'!$1:$1,0)))</f>
        <v/>
      </c>
      <c r="E360" s="1" t="str">
        <f t="array" ref="E360">IFERROR(INDEX('Исходник'!$1:$626,MATCH($A360,'Исходник'!$T:$T,0),MATCH(E$1,'Исходник'!$1:$1,0)))</f>
        <v/>
      </c>
      <c r="F360" s="1" t="str">
        <f t="array" ref="F360">IFERROR(INDEX('Исходник'!$1:$626,MATCH($A360,'Исходник'!$T:$T,0),MATCH(F$1,'Исходник'!$1:$1,0)))</f>
        <v/>
      </c>
      <c r="G360" s="1" t="str">
        <f t="array" ref="G360">IFERROR(INDEX('Исходник'!$1:$626,MATCH($A360,'Исходник'!$T:$T,0),MATCH(G$1,'Исходник'!$1:$1,0)))</f>
        <v/>
      </c>
      <c r="H360" s="27">
        <f t="shared" si="1"/>
        <v>0</v>
      </c>
      <c r="I360" s="27" t="str">
        <f t="shared" si="2"/>
        <v/>
      </c>
      <c r="J360" s="1" t="str">
        <f t="array" ref="J360">IFERROR(INDEX('Исходник'!$1:$626,MATCH($A360,'Исходник'!$T:$T,0),MATCH(J$1,'Исходник'!$1:$1,0)))</f>
        <v/>
      </c>
      <c r="K360" s="27" t="str">
        <f t="shared" si="3"/>
        <v/>
      </c>
      <c r="L360" s="1" t="str">
        <f t="array" ref="L360">IFERROR(INDEX('Исходник'!$1:$626,MATCH($A360,'Исходник'!$T:$T,0),MATCH(L$1,'Исходник'!$1:$1,0)))</f>
        <v/>
      </c>
      <c r="M360" s="28">
        <f t="shared" si="4"/>
        <v>0</v>
      </c>
      <c r="N360" s="1" t="str">
        <f t="array" ref="N360">IFERROR(INDEX('Исходник'!$1:$626,MATCH($A360,'Исходник'!$T:$T,0),MATCH(N$1,'Исходник'!$1:$1,0)))</f>
        <v/>
      </c>
      <c r="O360" s="27">
        <f t="shared" si="5"/>
        <v>0</v>
      </c>
      <c r="P360" s="27" t="str">
        <f t="shared" si="6"/>
        <v/>
      </c>
      <c r="Q360" s="1" t="str">
        <f t="array" ref="Q360">IFERROR(INDEX('Исходник'!$1:$626,MATCH($A360,'Исходник'!$T:$T,0),MATCH(Q$1,'Исходник'!$1:$1,0)))</f>
        <v/>
      </c>
      <c r="R360" s="1" t="str">
        <f t="array" ref="R360">IFERROR(INDEX('Исходник'!$1:$626,MATCH($A360,'Исходник'!$T:$T,0),MATCH(R$1,'Исходник'!$1:$1,0)))</f>
        <v/>
      </c>
      <c r="S360" s="27">
        <f t="shared" si="7"/>
        <v>0</v>
      </c>
      <c r="T360" s="27" t="str">
        <f t="shared" si="8"/>
        <v/>
      </c>
      <c r="U360" s="1" t="str">
        <f t="array" ref="U360">IFERROR(INDEX('Исходник'!$1:$626,MATCH($A360,'Исходник'!$T:$T,0),MATCH(U$1,'Исходник'!$1:$1,0)))</f>
        <v/>
      </c>
      <c r="V360" s="27" t="str">
        <f t="shared" si="9"/>
        <v/>
      </c>
      <c r="W360" s="1" t="str">
        <f t="array" ref="W360">IFERROR(INDEX('Исходник'!$1:$626,MATCH($A360,'Исходник'!$T:$T,0),MATCH(W$1,'Исходник'!$1:$1,0)))</f>
        <v/>
      </c>
      <c r="X360" s="28">
        <f t="shared" si="10"/>
        <v>0</v>
      </c>
      <c r="Y360" s="1" t="str">
        <f t="array" ref="Y360">IFERROR(INDEX('Исходник'!$1:$626,MATCH($A360,'Исходник'!$T:$T,0),MATCH(Y$1,'Исходник'!$1:$1,0)))</f>
        <v/>
      </c>
      <c r="Z360" s="27">
        <f t="shared" si="11"/>
        <v>0</v>
      </c>
      <c r="AA360" s="27" t="str">
        <f t="shared" si="12"/>
        <v/>
      </c>
      <c r="AB360" s="1" t="str">
        <f t="array" ref="AB360">IFERROR(INDEX('Исходник'!$1:$626,MATCH($A360,'Исходник'!$T:$T,0),MATCH(AB$1,'Исходник'!$1:$1,0)))</f>
        <v/>
      </c>
      <c r="AC360" s="1" t="str">
        <f t="array" ref="AC360">IFERROR(INDEX('Исходник'!$1:$626,MATCH($A360,'Исходник'!$T:$T,0),MATCH(AC$1,'Исходник'!$1:$1,0)))</f>
        <v/>
      </c>
      <c r="AD360" s="27" t="str">
        <f t="shared" si="13"/>
        <v/>
      </c>
      <c r="AE360" s="1" t="str">
        <f t="array" ref="AE360">IFERROR(INDEX('Исходник'!$1:$626,MATCH($A360,'Исходник'!$T:$T,0),MATCH(AE$1,'Исходник'!$1:$1,0)))</f>
        <v/>
      </c>
      <c r="AF360" s="1" t="str">
        <f t="array" ref="AF360">IFERROR(INDEX('Исходник'!$1:$626,MATCH($A360,'Исходник'!$T:$T,0),MATCH(AF$1,'Исходник'!$1:$1,0)))</f>
        <v/>
      </c>
      <c r="AG360" s="27" t="str">
        <f t="shared" si="14"/>
        <v/>
      </c>
      <c r="AH360" s="1" t="str">
        <f t="array" ref="AH360">IFERROR(INDEX('Исходник'!$1:$626,MATCH($A360,'Исходник'!$T:$T,0),MATCH(AH$1,'Исходник'!$1:$1,0)))</f>
        <v/>
      </c>
      <c r="AI360" s="1" t="str">
        <f t="array" ref="AI360">IFERROR(INDEX('Исходник'!$1:$626,MATCH($A360,'Исходник'!$T:$T,0),MATCH(AI$1,'Исходник'!$1:$1,0)))</f>
        <v/>
      </c>
      <c r="AJ360" s="18">
        <f t="shared" si="15"/>
        <v>0</v>
      </c>
    </row>
    <row r="361" ht="15.75" customHeight="1">
      <c r="A361" s="27"/>
      <c r="B361" s="1" t="str">
        <f t="array" ref="B361">IFERROR(INDEX('Исходник'!$1:$626,MATCH($A361,'Исходник'!$T:$T,0),MATCH(B$1,'Исходник'!$1:$1,0)))</f>
        <v/>
      </c>
      <c r="C361" s="1" t="str">
        <f t="array" ref="C361">IFERROR(INDEX('Исходник'!$1:$626,MATCH($A361,'Исходник'!$T:$T,0),MATCH(C$1,'Исходник'!$1:$1,0)))</f>
        <v/>
      </c>
      <c r="D361" s="1" t="str">
        <f t="array" ref="D361">IFERROR(INDEX('Исходник'!$1:$626,MATCH($A361,'Исходник'!$T:$T,0),MATCH(D$1,'Исходник'!$1:$1,0)))</f>
        <v/>
      </c>
      <c r="E361" s="1" t="str">
        <f t="array" ref="E361">IFERROR(INDEX('Исходник'!$1:$626,MATCH($A361,'Исходник'!$T:$T,0),MATCH(E$1,'Исходник'!$1:$1,0)))</f>
        <v/>
      </c>
      <c r="F361" s="1" t="str">
        <f t="array" ref="F361">IFERROR(INDEX('Исходник'!$1:$626,MATCH($A361,'Исходник'!$T:$T,0),MATCH(F$1,'Исходник'!$1:$1,0)))</f>
        <v/>
      </c>
      <c r="G361" s="1" t="str">
        <f t="array" ref="G361">IFERROR(INDEX('Исходник'!$1:$626,MATCH($A361,'Исходник'!$T:$T,0),MATCH(G$1,'Исходник'!$1:$1,0)))</f>
        <v/>
      </c>
      <c r="H361" s="27">
        <f t="shared" si="1"/>
        <v>0</v>
      </c>
      <c r="I361" s="27" t="str">
        <f t="shared" si="2"/>
        <v/>
      </c>
      <c r="J361" s="1" t="str">
        <f t="array" ref="J361">IFERROR(INDEX('Исходник'!$1:$626,MATCH($A361,'Исходник'!$T:$T,0),MATCH(J$1,'Исходник'!$1:$1,0)))</f>
        <v/>
      </c>
      <c r="K361" s="27" t="str">
        <f t="shared" si="3"/>
        <v/>
      </c>
      <c r="L361" s="1" t="str">
        <f t="array" ref="L361">IFERROR(INDEX('Исходник'!$1:$626,MATCH($A361,'Исходник'!$T:$T,0),MATCH(L$1,'Исходник'!$1:$1,0)))</f>
        <v/>
      </c>
      <c r="M361" s="28">
        <f t="shared" si="4"/>
        <v>0</v>
      </c>
      <c r="N361" s="1" t="str">
        <f t="array" ref="N361">IFERROR(INDEX('Исходник'!$1:$626,MATCH($A361,'Исходник'!$T:$T,0),MATCH(N$1,'Исходник'!$1:$1,0)))</f>
        <v/>
      </c>
      <c r="O361" s="27">
        <f t="shared" si="5"/>
        <v>0</v>
      </c>
      <c r="P361" s="27" t="str">
        <f t="shared" si="6"/>
        <v/>
      </c>
      <c r="Q361" s="1" t="str">
        <f t="array" ref="Q361">IFERROR(INDEX('Исходник'!$1:$626,MATCH($A361,'Исходник'!$T:$T,0),MATCH(Q$1,'Исходник'!$1:$1,0)))</f>
        <v/>
      </c>
      <c r="R361" s="1" t="str">
        <f t="array" ref="R361">IFERROR(INDEX('Исходник'!$1:$626,MATCH($A361,'Исходник'!$T:$T,0),MATCH(R$1,'Исходник'!$1:$1,0)))</f>
        <v/>
      </c>
      <c r="S361" s="27">
        <f t="shared" si="7"/>
        <v>0</v>
      </c>
      <c r="T361" s="27" t="str">
        <f t="shared" si="8"/>
        <v/>
      </c>
      <c r="U361" s="1" t="str">
        <f t="array" ref="U361">IFERROR(INDEX('Исходник'!$1:$626,MATCH($A361,'Исходник'!$T:$T,0),MATCH(U$1,'Исходник'!$1:$1,0)))</f>
        <v/>
      </c>
      <c r="V361" s="27" t="str">
        <f t="shared" si="9"/>
        <v/>
      </c>
      <c r="W361" s="1" t="str">
        <f t="array" ref="W361">IFERROR(INDEX('Исходник'!$1:$626,MATCH($A361,'Исходник'!$T:$T,0),MATCH(W$1,'Исходник'!$1:$1,0)))</f>
        <v/>
      </c>
      <c r="X361" s="28">
        <f t="shared" si="10"/>
        <v>0</v>
      </c>
      <c r="Y361" s="1" t="str">
        <f t="array" ref="Y361">IFERROR(INDEX('Исходник'!$1:$626,MATCH($A361,'Исходник'!$T:$T,0),MATCH(Y$1,'Исходник'!$1:$1,0)))</f>
        <v/>
      </c>
      <c r="Z361" s="27">
        <f t="shared" si="11"/>
        <v>0</v>
      </c>
      <c r="AA361" s="27" t="str">
        <f t="shared" si="12"/>
        <v/>
      </c>
      <c r="AB361" s="1" t="str">
        <f t="array" ref="AB361">IFERROR(INDEX('Исходник'!$1:$626,MATCH($A361,'Исходник'!$T:$T,0),MATCH(AB$1,'Исходник'!$1:$1,0)))</f>
        <v/>
      </c>
      <c r="AC361" s="1" t="str">
        <f t="array" ref="AC361">IFERROR(INDEX('Исходник'!$1:$626,MATCH($A361,'Исходник'!$T:$T,0),MATCH(AC$1,'Исходник'!$1:$1,0)))</f>
        <v/>
      </c>
      <c r="AD361" s="27" t="str">
        <f t="shared" si="13"/>
        <v/>
      </c>
      <c r="AE361" s="1" t="str">
        <f t="array" ref="AE361">IFERROR(INDEX('Исходник'!$1:$626,MATCH($A361,'Исходник'!$T:$T,0),MATCH(AE$1,'Исходник'!$1:$1,0)))</f>
        <v/>
      </c>
      <c r="AF361" s="1" t="str">
        <f t="array" ref="AF361">IFERROR(INDEX('Исходник'!$1:$626,MATCH($A361,'Исходник'!$T:$T,0),MATCH(AF$1,'Исходник'!$1:$1,0)))</f>
        <v/>
      </c>
      <c r="AG361" s="27" t="str">
        <f t="shared" si="14"/>
        <v/>
      </c>
      <c r="AH361" s="1" t="str">
        <f t="array" ref="AH361">IFERROR(INDEX('Исходник'!$1:$626,MATCH($A361,'Исходник'!$T:$T,0),MATCH(AH$1,'Исходник'!$1:$1,0)))</f>
        <v/>
      </c>
      <c r="AI361" s="1" t="str">
        <f t="array" ref="AI361">IFERROR(INDEX('Исходник'!$1:$626,MATCH($A361,'Исходник'!$T:$T,0),MATCH(AI$1,'Исходник'!$1:$1,0)))</f>
        <v/>
      </c>
      <c r="AJ361" s="18">
        <f t="shared" si="15"/>
        <v>0</v>
      </c>
    </row>
    <row r="362" ht="15.75" customHeight="1">
      <c r="A362" s="27"/>
      <c r="B362" s="1" t="str">
        <f t="array" ref="B362">IFERROR(INDEX('Исходник'!$1:$626,MATCH($A362,'Исходник'!$T:$T,0),MATCH(B$1,'Исходник'!$1:$1,0)))</f>
        <v/>
      </c>
      <c r="C362" s="1" t="str">
        <f t="array" ref="C362">IFERROR(INDEX('Исходник'!$1:$626,MATCH($A362,'Исходник'!$T:$T,0),MATCH(C$1,'Исходник'!$1:$1,0)))</f>
        <v/>
      </c>
      <c r="D362" s="1" t="str">
        <f t="array" ref="D362">IFERROR(INDEX('Исходник'!$1:$626,MATCH($A362,'Исходник'!$T:$T,0),MATCH(D$1,'Исходник'!$1:$1,0)))</f>
        <v/>
      </c>
      <c r="E362" s="1" t="str">
        <f t="array" ref="E362">IFERROR(INDEX('Исходник'!$1:$626,MATCH($A362,'Исходник'!$T:$T,0),MATCH(E$1,'Исходник'!$1:$1,0)))</f>
        <v/>
      </c>
      <c r="F362" s="1" t="str">
        <f t="array" ref="F362">IFERROR(INDEX('Исходник'!$1:$626,MATCH($A362,'Исходник'!$T:$T,0),MATCH(F$1,'Исходник'!$1:$1,0)))</f>
        <v/>
      </c>
      <c r="G362" s="1" t="str">
        <f t="array" ref="G362">IFERROR(INDEX('Исходник'!$1:$626,MATCH($A362,'Исходник'!$T:$T,0),MATCH(G$1,'Исходник'!$1:$1,0)))</f>
        <v/>
      </c>
      <c r="H362" s="27">
        <f t="shared" si="1"/>
        <v>0</v>
      </c>
      <c r="I362" s="27" t="str">
        <f t="shared" si="2"/>
        <v/>
      </c>
      <c r="J362" s="1" t="str">
        <f t="array" ref="J362">IFERROR(INDEX('Исходник'!$1:$626,MATCH($A362,'Исходник'!$T:$T,0),MATCH(J$1,'Исходник'!$1:$1,0)))</f>
        <v/>
      </c>
      <c r="K362" s="27" t="str">
        <f t="shared" si="3"/>
        <v/>
      </c>
      <c r="L362" s="1" t="str">
        <f t="array" ref="L362">IFERROR(INDEX('Исходник'!$1:$626,MATCH($A362,'Исходник'!$T:$T,0),MATCH(L$1,'Исходник'!$1:$1,0)))</f>
        <v/>
      </c>
      <c r="M362" s="28">
        <f t="shared" si="4"/>
        <v>0</v>
      </c>
      <c r="N362" s="1" t="str">
        <f t="array" ref="N362">IFERROR(INDEX('Исходник'!$1:$626,MATCH($A362,'Исходник'!$T:$T,0),MATCH(N$1,'Исходник'!$1:$1,0)))</f>
        <v/>
      </c>
      <c r="O362" s="27">
        <f t="shared" si="5"/>
        <v>0</v>
      </c>
      <c r="P362" s="27" t="str">
        <f t="shared" si="6"/>
        <v/>
      </c>
      <c r="Q362" s="1" t="str">
        <f t="array" ref="Q362">IFERROR(INDEX('Исходник'!$1:$626,MATCH($A362,'Исходник'!$T:$T,0),MATCH(Q$1,'Исходник'!$1:$1,0)))</f>
        <v/>
      </c>
      <c r="R362" s="1" t="str">
        <f t="array" ref="R362">IFERROR(INDEX('Исходник'!$1:$626,MATCH($A362,'Исходник'!$T:$T,0),MATCH(R$1,'Исходник'!$1:$1,0)))</f>
        <v/>
      </c>
      <c r="S362" s="27">
        <f t="shared" si="7"/>
        <v>0</v>
      </c>
      <c r="T362" s="27" t="str">
        <f t="shared" si="8"/>
        <v/>
      </c>
      <c r="U362" s="1" t="str">
        <f t="array" ref="U362">IFERROR(INDEX('Исходник'!$1:$626,MATCH($A362,'Исходник'!$T:$T,0),MATCH(U$1,'Исходник'!$1:$1,0)))</f>
        <v/>
      </c>
      <c r="V362" s="27" t="str">
        <f t="shared" si="9"/>
        <v/>
      </c>
      <c r="W362" s="1" t="str">
        <f t="array" ref="W362">IFERROR(INDEX('Исходник'!$1:$626,MATCH($A362,'Исходник'!$T:$T,0),MATCH(W$1,'Исходник'!$1:$1,0)))</f>
        <v/>
      </c>
      <c r="X362" s="28">
        <f t="shared" si="10"/>
        <v>0</v>
      </c>
      <c r="Y362" s="1" t="str">
        <f t="array" ref="Y362">IFERROR(INDEX('Исходник'!$1:$626,MATCH($A362,'Исходник'!$T:$T,0),MATCH(Y$1,'Исходник'!$1:$1,0)))</f>
        <v/>
      </c>
      <c r="Z362" s="27">
        <f t="shared" si="11"/>
        <v>0</v>
      </c>
      <c r="AA362" s="27" t="str">
        <f t="shared" si="12"/>
        <v/>
      </c>
      <c r="AB362" s="1" t="str">
        <f t="array" ref="AB362">IFERROR(INDEX('Исходник'!$1:$626,MATCH($A362,'Исходник'!$T:$T,0),MATCH(AB$1,'Исходник'!$1:$1,0)))</f>
        <v/>
      </c>
      <c r="AC362" s="1" t="str">
        <f t="array" ref="AC362">IFERROR(INDEX('Исходник'!$1:$626,MATCH($A362,'Исходник'!$T:$T,0),MATCH(AC$1,'Исходник'!$1:$1,0)))</f>
        <v/>
      </c>
      <c r="AD362" s="27" t="str">
        <f t="shared" si="13"/>
        <v/>
      </c>
      <c r="AE362" s="1" t="str">
        <f t="array" ref="AE362">IFERROR(INDEX('Исходник'!$1:$626,MATCH($A362,'Исходник'!$T:$T,0),MATCH(AE$1,'Исходник'!$1:$1,0)))</f>
        <v/>
      </c>
      <c r="AF362" s="1" t="str">
        <f t="array" ref="AF362">IFERROR(INDEX('Исходник'!$1:$626,MATCH($A362,'Исходник'!$T:$T,0),MATCH(AF$1,'Исходник'!$1:$1,0)))</f>
        <v/>
      </c>
      <c r="AG362" s="27" t="str">
        <f t="shared" si="14"/>
        <v/>
      </c>
      <c r="AH362" s="1" t="str">
        <f t="array" ref="AH362">IFERROR(INDEX('Исходник'!$1:$626,MATCH($A362,'Исходник'!$T:$T,0),MATCH(AH$1,'Исходник'!$1:$1,0)))</f>
        <v/>
      </c>
      <c r="AI362" s="1" t="str">
        <f t="array" ref="AI362">IFERROR(INDEX('Исходник'!$1:$626,MATCH($A362,'Исходник'!$T:$T,0),MATCH(AI$1,'Исходник'!$1:$1,0)))</f>
        <v/>
      </c>
      <c r="AJ362" s="18">
        <f t="shared" si="15"/>
        <v>0</v>
      </c>
    </row>
    <row r="363" ht="15.75" customHeight="1">
      <c r="A363" s="27"/>
      <c r="B363" s="1" t="str">
        <f t="array" ref="B363">IFERROR(INDEX('Исходник'!$1:$626,MATCH($A363,'Исходник'!$T:$T,0),MATCH(B$1,'Исходник'!$1:$1,0)))</f>
        <v/>
      </c>
      <c r="C363" s="1" t="str">
        <f t="array" ref="C363">IFERROR(INDEX('Исходник'!$1:$626,MATCH($A363,'Исходник'!$T:$T,0),MATCH(C$1,'Исходник'!$1:$1,0)))</f>
        <v/>
      </c>
      <c r="D363" s="1" t="str">
        <f t="array" ref="D363">IFERROR(INDEX('Исходник'!$1:$626,MATCH($A363,'Исходник'!$T:$T,0),MATCH(D$1,'Исходник'!$1:$1,0)))</f>
        <v/>
      </c>
      <c r="E363" s="1" t="str">
        <f t="array" ref="E363">IFERROR(INDEX('Исходник'!$1:$626,MATCH($A363,'Исходник'!$T:$T,0),MATCH(E$1,'Исходник'!$1:$1,0)))</f>
        <v/>
      </c>
      <c r="F363" s="1" t="str">
        <f t="array" ref="F363">IFERROR(INDEX('Исходник'!$1:$626,MATCH($A363,'Исходник'!$T:$T,0),MATCH(F$1,'Исходник'!$1:$1,0)))</f>
        <v/>
      </c>
      <c r="G363" s="1" t="str">
        <f t="array" ref="G363">IFERROR(INDEX('Исходник'!$1:$626,MATCH($A363,'Исходник'!$T:$T,0),MATCH(G$1,'Исходник'!$1:$1,0)))</f>
        <v/>
      </c>
      <c r="H363" s="27">
        <f t="shared" si="1"/>
        <v>0</v>
      </c>
      <c r="I363" s="27" t="str">
        <f t="shared" si="2"/>
        <v/>
      </c>
      <c r="J363" s="1" t="str">
        <f t="array" ref="J363">IFERROR(INDEX('Исходник'!$1:$626,MATCH($A363,'Исходник'!$T:$T,0),MATCH(J$1,'Исходник'!$1:$1,0)))</f>
        <v/>
      </c>
      <c r="K363" s="27" t="str">
        <f t="shared" si="3"/>
        <v/>
      </c>
      <c r="L363" s="1" t="str">
        <f t="array" ref="L363">IFERROR(INDEX('Исходник'!$1:$626,MATCH($A363,'Исходник'!$T:$T,0),MATCH(L$1,'Исходник'!$1:$1,0)))</f>
        <v/>
      </c>
      <c r="M363" s="28">
        <f t="shared" si="4"/>
        <v>0</v>
      </c>
      <c r="N363" s="1" t="str">
        <f t="array" ref="N363">IFERROR(INDEX('Исходник'!$1:$626,MATCH($A363,'Исходник'!$T:$T,0),MATCH(N$1,'Исходник'!$1:$1,0)))</f>
        <v/>
      </c>
      <c r="O363" s="27">
        <f t="shared" si="5"/>
        <v>0</v>
      </c>
      <c r="P363" s="27" t="str">
        <f t="shared" si="6"/>
        <v/>
      </c>
      <c r="Q363" s="1" t="str">
        <f t="array" ref="Q363">IFERROR(INDEX('Исходник'!$1:$626,MATCH($A363,'Исходник'!$T:$T,0),MATCH(Q$1,'Исходник'!$1:$1,0)))</f>
        <v/>
      </c>
      <c r="R363" s="1" t="str">
        <f t="array" ref="R363">IFERROR(INDEX('Исходник'!$1:$626,MATCH($A363,'Исходник'!$T:$T,0),MATCH(R$1,'Исходник'!$1:$1,0)))</f>
        <v/>
      </c>
      <c r="S363" s="27">
        <f t="shared" si="7"/>
        <v>0</v>
      </c>
      <c r="T363" s="27" t="str">
        <f t="shared" si="8"/>
        <v/>
      </c>
      <c r="U363" s="1" t="str">
        <f t="array" ref="U363">IFERROR(INDEX('Исходник'!$1:$626,MATCH($A363,'Исходник'!$T:$T,0),MATCH(U$1,'Исходник'!$1:$1,0)))</f>
        <v/>
      </c>
      <c r="V363" s="27" t="str">
        <f t="shared" si="9"/>
        <v/>
      </c>
      <c r="W363" s="1" t="str">
        <f t="array" ref="W363">IFERROR(INDEX('Исходник'!$1:$626,MATCH($A363,'Исходник'!$T:$T,0),MATCH(W$1,'Исходник'!$1:$1,0)))</f>
        <v/>
      </c>
      <c r="X363" s="28">
        <f t="shared" si="10"/>
        <v>0</v>
      </c>
      <c r="Y363" s="1" t="str">
        <f t="array" ref="Y363">IFERROR(INDEX('Исходник'!$1:$626,MATCH($A363,'Исходник'!$T:$T,0),MATCH(Y$1,'Исходник'!$1:$1,0)))</f>
        <v/>
      </c>
      <c r="Z363" s="27">
        <f t="shared" si="11"/>
        <v>0</v>
      </c>
      <c r="AA363" s="27" t="str">
        <f t="shared" si="12"/>
        <v/>
      </c>
      <c r="AB363" s="1" t="str">
        <f t="array" ref="AB363">IFERROR(INDEX('Исходник'!$1:$626,MATCH($A363,'Исходник'!$T:$T,0),MATCH(AB$1,'Исходник'!$1:$1,0)))</f>
        <v/>
      </c>
      <c r="AC363" s="1" t="str">
        <f t="array" ref="AC363">IFERROR(INDEX('Исходник'!$1:$626,MATCH($A363,'Исходник'!$T:$T,0),MATCH(AC$1,'Исходник'!$1:$1,0)))</f>
        <v/>
      </c>
      <c r="AD363" s="27" t="str">
        <f t="shared" si="13"/>
        <v/>
      </c>
      <c r="AE363" s="1" t="str">
        <f t="array" ref="AE363">IFERROR(INDEX('Исходник'!$1:$626,MATCH($A363,'Исходник'!$T:$T,0),MATCH(AE$1,'Исходник'!$1:$1,0)))</f>
        <v/>
      </c>
      <c r="AF363" s="1" t="str">
        <f t="array" ref="AF363">IFERROR(INDEX('Исходник'!$1:$626,MATCH($A363,'Исходник'!$T:$T,0),MATCH(AF$1,'Исходник'!$1:$1,0)))</f>
        <v/>
      </c>
      <c r="AG363" s="27" t="str">
        <f t="shared" si="14"/>
        <v/>
      </c>
      <c r="AH363" s="1" t="str">
        <f t="array" ref="AH363">IFERROR(INDEX('Исходник'!$1:$626,MATCH($A363,'Исходник'!$T:$T,0),MATCH(AH$1,'Исходник'!$1:$1,0)))</f>
        <v/>
      </c>
      <c r="AI363" s="1" t="str">
        <f t="array" ref="AI363">IFERROR(INDEX('Исходник'!$1:$626,MATCH($A363,'Исходник'!$T:$T,0),MATCH(AI$1,'Исходник'!$1:$1,0)))</f>
        <v/>
      </c>
      <c r="AJ363" s="18">
        <f t="shared" si="15"/>
        <v>0</v>
      </c>
    </row>
    <row r="364" ht="15.75" customHeight="1">
      <c r="A364" s="27"/>
      <c r="B364" s="1" t="str">
        <f t="array" ref="B364">IFERROR(INDEX('Исходник'!$1:$626,MATCH($A364,'Исходник'!$T:$T,0),MATCH(B$1,'Исходник'!$1:$1,0)))</f>
        <v/>
      </c>
      <c r="C364" s="1" t="str">
        <f t="array" ref="C364">IFERROR(INDEX('Исходник'!$1:$626,MATCH($A364,'Исходник'!$T:$T,0),MATCH(C$1,'Исходник'!$1:$1,0)))</f>
        <v/>
      </c>
      <c r="D364" s="1" t="str">
        <f t="array" ref="D364">IFERROR(INDEX('Исходник'!$1:$626,MATCH($A364,'Исходник'!$T:$T,0),MATCH(D$1,'Исходник'!$1:$1,0)))</f>
        <v/>
      </c>
      <c r="E364" s="1" t="str">
        <f t="array" ref="E364">IFERROR(INDEX('Исходник'!$1:$626,MATCH($A364,'Исходник'!$T:$T,0),MATCH(E$1,'Исходник'!$1:$1,0)))</f>
        <v/>
      </c>
      <c r="F364" s="1" t="str">
        <f t="array" ref="F364">IFERROR(INDEX('Исходник'!$1:$626,MATCH($A364,'Исходник'!$T:$T,0),MATCH(F$1,'Исходник'!$1:$1,0)))</f>
        <v/>
      </c>
      <c r="G364" s="1" t="str">
        <f t="array" ref="G364">IFERROR(INDEX('Исходник'!$1:$626,MATCH($A364,'Исходник'!$T:$T,0),MATCH(G$1,'Исходник'!$1:$1,0)))</f>
        <v/>
      </c>
      <c r="H364" s="27">
        <f t="shared" si="1"/>
        <v>0</v>
      </c>
      <c r="I364" s="27" t="str">
        <f t="shared" si="2"/>
        <v/>
      </c>
      <c r="J364" s="1" t="str">
        <f t="array" ref="J364">IFERROR(INDEX('Исходник'!$1:$626,MATCH($A364,'Исходник'!$T:$T,0),MATCH(J$1,'Исходник'!$1:$1,0)))</f>
        <v/>
      </c>
      <c r="K364" s="27" t="str">
        <f t="shared" si="3"/>
        <v/>
      </c>
      <c r="L364" s="1" t="str">
        <f t="array" ref="L364">IFERROR(INDEX('Исходник'!$1:$626,MATCH($A364,'Исходник'!$T:$T,0),MATCH(L$1,'Исходник'!$1:$1,0)))</f>
        <v/>
      </c>
      <c r="M364" s="28">
        <f t="shared" si="4"/>
        <v>0</v>
      </c>
      <c r="N364" s="1" t="str">
        <f t="array" ref="N364">IFERROR(INDEX('Исходник'!$1:$626,MATCH($A364,'Исходник'!$T:$T,0),MATCH(N$1,'Исходник'!$1:$1,0)))</f>
        <v/>
      </c>
      <c r="O364" s="27">
        <f t="shared" si="5"/>
        <v>0</v>
      </c>
      <c r="P364" s="27" t="str">
        <f t="shared" si="6"/>
        <v/>
      </c>
      <c r="Q364" s="1" t="str">
        <f t="array" ref="Q364">IFERROR(INDEX('Исходник'!$1:$626,MATCH($A364,'Исходник'!$T:$T,0),MATCH(Q$1,'Исходник'!$1:$1,0)))</f>
        <v/>
      </c>
      <c r="R364" s="1" t="str">
        <f t="array" ref="R364">IFERROR(INDEX('Исходник'!$1:$626,MATCH($A364,'Исходник'!$T:$T,0),MATCH(R$1,'Исходник'!$1:$1,0)))</f>
        <v/>
      </c>
      <c r="S364" s="27">
        <f t="shared" si="7"/>
        <v>0</v>
      </c>
      <c r="T364" s="27" t="str">
        <f t="shared" si="8"/>
        <v/>
      </c>
      <c r="U364" s="1" t="str">
        <f t="array" ref="U364">IFERROR(INDEX('Исходник'!$1:$626,MATCH($A364,'Исходник'!$T:$T,0),MATCH(U$1,'Исходник'!$1:$1,0)))</f>
        <v/>
      </c>
      <c r="V364" s="27" t="str">
        <f t="shared" si="9"/>
        <v/>
      </c>
      <c r="W364" s="1" t="str">
        <f t="array" ref="W364">IFERROR(INDEX('Исходник'!$1:$626,MATCH($A364,'Исходник'!$T:$T,0),MATCH(W$1,'Исходник'!$1:$1,0)))</f>
        <v/>
      </c>
      <c r="X364" s="28">
        <f t="shared" si="10"/>
        <v>0</v>
      </c>
      <c r="Y364" s="1" t="str">
        <f t="array" ref="Y364">IFERROR(INDEX('Исходник'!$1:$626,MATCH($A364,'Исходник'!$T:$T,0),MATCH(Y$1,'Исходник'!$1:$1,0)))</f>
        <v/>
      </c>
      <c r="Z364" s="27">
        <f t="shared" si="11"/>
        <v>0</v>
      </c>
      <c r="AA364" s="27" t="str">
        <f t="shared" si="12"/>
        <v/>
      </c>
      <c r="AB364" s="1" t="str">
        <f t="array" ref="AB364">IFERROR(INDEX('Исходник'!$1:$626,MATCH($A364,'Исходник'!$T:$T,0),MATCH(AB$1,'Исходник'!$1:$1,0)))</f>
        <v/>
      </c>
      <c r="AC364" s="1" t="str">
        <f t="array" ref="AC364">IFERROR(INDEX('Исходник'!$1:$626,MATCH($A364,'Исходник'!$T:$T,0),MATCH(AC$1,'Исходник'!$1:$1,0)))</f>
        <v/>
      </c>
      <c r="AD364" s="27" t="str">
        <f t="shared" si="13"/>
        <v/>
      </c>
      <c r="AE364" s="1" t="str">
        <f t="array" ref="AE364">IFERROR(INDEX('Исходник'!$1:$626,MATCH($A364,'Исходник'!$T:$T,0),MATCH(AE$1,'Исходник'!$1:$1,0)))</f>
        <v/>
      </c>
      <c r="AF364" s="1" t="str">
        <f t="array" ref="AF364">IFERROR(INDEX('Исходник'!$1:$626,MATCH($A364,'Исходник'!$T:$T,0),MATCH(AF$1,'Исходник'!$1:$1,0)))</f>
        <v/>
      </c>
      <c r="AG364" s="27" t="str">
        <f t="shared" si="14"/>
        <v/>
      </c>
      <c r="AH364" s="1" t="str">
        <f t="array" ref="AH364">IFERROR(INDEX('Исходник'!$1:$626,MATCH($A364,'Исходник'!$T:$T,0),MATCH(AH$1,'Исходник'!$1:$1,0)))</f>
        <v/>
      </c>
      <c r="AI364" s="1" t="str">
        <f t="array" ref="AI364">IFERROR(INDEX('Исходник'!$1:$626,MATCH($A364,'Исходник'!$T:$T,0),MATCH(AI$1,'Исходник'!$1:$1,0)))</f>
        <v/>
      </c>
      <c r="AJ364" s="18">
        <f t="shared" si="15"/>
        <v>0</v>
      </c>
    </row>
    <row r="365" ht="15.75" customHeight="1">
      <c r="A365" s="27"/>
      <c r="B365" s="1" t="str">
        <f t="array" ref="B365">IFERROR(INDEX('Исходник'!$1:$626,MATCH($A365,'Исходник'!$T:$T,0),MATCH(B$1,'Исходник'!$1:$1,0)))</f>
        <v/>
      </c>
      <c r="C365" s="1" t="str">
        <f t="array" ref="C365">IFERROR(INDEX('Исходник'!$1:$626,MATCH($A365,'Исходник'!$T:$T,0),MATCH(C$1,'Исходник'!$1:$1,0)))</f>
        <v/>
      </c>
      <c r="D365" s="1" t="str">
        <f t="array" ref="D365">IFERROR(INDEX('Исходник'!$1:$626,MATCH($A365,'Исходник'!$T:$T,0),MATCH(D$1,'Исходник'!$1:$1,0)))</f>
        <v/>
      </c>
      <c r="E365" s="1" t="str">
        <f t="array" ref="E365">IFERROR(INDEX('Исходник'!$1:$626,MATCH($A365,'Исходник'!$T:$T,0),MATCH(E$1,'Исходник'!$1:$1,0)))</f>
        <v/>
      </c>
      <c r="F365" s="1" t="str">
        <f t="array" ref="F365">IFERROR(INDEX('Исходник'!$1:$626,MATCH($A365,'Исходник'!$T:$T,0),MATCH(F$1,'Исходник'!$1:$1,0)))</f>
        <v/>
      </c>
      <c r="G365" s="1" t="str">
        <f t="array" ref="G365">IFERROR(INDEX('Исходник'!$1:$626,MATCH($A365,'Исходник'!$T:$T,0),MATCH(G$1,'Исходник'!$1:$1,0)))</f>
        <v/>
      </c>
      <c r="H365" s="27">
        <f t="shared" si="1"/>
        <v>0</v>
      </c>
      <c r="I365" s="27" t="str">
        <f t="shared" si="2"/>
        <v/>
      </c>
      <c r="J365" s="1" t="str">
        <f t="array" ref="J365">IFERROR(INDEX('Исходник'!$1:$626,MATCH($A365,'Исходник'!$T:$T,0),MATCH(J$1,'Исходник'!$1:$1,0)))</f>
        <v/>
      </c>
      <c r="K365" s="27" t="str">
        <f t="shared" si="3"/>
        <v/>
      </c>
      <c r="L365" s="1" t="str">
        <f t="array" ref="L365">IFERROR(INDEX('Исходник'!$1:$626,MATCH($A365,'Исходник'!$T:$T,0),MATCH(L$1,'Исходник'!$1:$1,0)))</f>
        <v/>
      </c>
      <c r="M365" s="28">
        <f t="shared" si="4"/>
        <v>0</v>
      </c>
      <c r="N365" s="1" t="str">
        <f t="array" ref="N365">IFERROR(INDEX('Исходник'!$1:$626,MATCH($A365,'Исходник'!$T:$T,0),MATCH(N$1,'Исходник'!$1:$1,0)))</f>
        <v/>
      </c>
      <c r="O365" s="27">
        <f t="shared" si="5"/>
        <v>0</v>
      </c>
      <c r="P365" s="27" t="str">
        <f t="shared" si="6"/>
        <v/>
      </c>
      <c r="Q365" s="1" t="str">
        <f t="array" ref="Q365">IFERROR(INDEX('Исходник'!$1:$626,MATCH($A365,'Исходник'!$T:$T,0),MATCH(Q$1,'Исходник'!$1:$1,0)))</f>
        <v/>
      </c>
      <c r="R365" s="1" t="str">
        <f t="array" ref="R365">IFERROR(INDEX('Исходник'!$1:$626,MATCH($A365,'Исходник'!$T:$T,0),MATCH(R$1,'Исходник'!$1:$1,0)))</f>
        <v/>
      </c>
      <c r="S365" s="27">
        <f t="shared" si="7"/>
        <v>0</v>
      </c>
      <c r="T365" s="27" t="str">
        <f t="shared" si="8"/>
        <v/>
      </c>
      <c r="U365" s="1" t="str">
        <f t="array" ref="U365">IFERROR(INDEX('Исходник'!$1:$626,MATCH($A365,'Исходник'!$T:$T,0),MATCH(U$1,'Исходник'!$1:$1,0)))</f>
        <v/>
      </c>
      <c r="V365" s="27" t="str">
        <f t="shared" si="9"/>
        <v/>
      </c>
      <c r="W365" s="1" t="str">
        <f t="array" ref="W365">IFERROR(INDEX('Исходник'!$1:$626,MATCH($A365,'Исходник'!$T:$T,0),MATCH(W$1,'Исходник'!$1:$1,0)))</f>
        <v/>
      </c>
      <c r="X365" s="28">
        <f t="shared" si="10"/>
        <v>0</v>
      </c>
      <c r="Y365" s="1" t="str">
        <f t="array" ref="Y365">IFERROR(INDEX('Исходник'!$1:$626,MATCH($A365,'Исходник'!$T:$T,0),MATCH(Y$1,'Исходник'!$1:$1,0)))</f>
        <v/>
      </c>
      <c r="Z365" s="27">
        <f t="shared" si="11"/>
        <v>0</v>
      </c>
      <c r="AA365" s="27" t="str">
        <f t="shared" si="12"/>
        <v/>
      </c>
      <c r="AB365" s="1" t="str">
        <f t="array" ref="AB365">IFERROR(INDEX('Исходник'!$1:$626,MATCH($A365,'Исходник'!$T:$T,0),MATCH(AB$1,'Исходник'!$1:$1,0)))</f>
        <v/>
      </c>
      <c r="AC365" s="1" t="str">
        <f t="array" ref="AC365">IFERROR(INDEX('Исходник'!$1:$626,MATCH($A365,'Исходник'!$T:$T,0),MATCH(AC$1,'Исходник'!$1:$1,0)))</f>
        <v/>
      </c>
      <c r="AD365" s="27" t="str">
        <f t="shared" si="13"/>
        <v/>
      </c>
      <c r="AE365" s="1" t="str">
        <f t="array" ref="AE365">IFERROR(INDEX('Исходник'!$1:$626,MATCH($A365,'Исходник'!$T:$T,0),MATCH(AE$1,'Исходник'!$1:$1,0)))</f>
        <v/>
      </c>
      <c r="AF365" s="1" t="str">
        <f t="array" ref="AF365">IFERROR(INDEX('Исходник'!$1:$626,MATCH($A365,'Исходник'!$T:$T,0),MATCH(AF$1,'Исходник'!$1:$1,0)))</f>
        <v/>
      </c>
      <c r="AG365" s="27" t="str">
        <f t="shared" si="14"/>
        <v/>
      </c>
      <c r="AH365" s="1" t="str">
        <f t="array" ref="AH365">IFERROR(INDEX('Исходник'!$1:$626,MATCH($A365,'Исходник'!$T:$T,0),MATCH(AH$1,'Исходник'!$1:$1,0)))</f>
        <v/>
      </c>
      <c r="AI365" s="1" t="str">
        <f t="array" ref="AI365">IFERROR(INDEX('Исходник'!$1:$626,MATCH($A365,'Исходник'!$T:$T,0),MATCH(AI$1,'Исходник'!$1:$1,0)))</f>
        <v/>
      </c>
      <c r="AJ365" s="18">
        <f t="shared" si="15"/>
        <v>0</v>
      </c>
    </row>
    <row r="366" ht="15.75" customHeight="1">
      <c r="A366" s="27"/>
      <c r="B366" s="1" t="str">
        <f t="array" ref="B366">IFERROR(INDEX('Исходник'!$1:$626,MATCH($A366,'Исходник'!$T:$T,0),MATCH(B$1,'Исходник'!$1:$1,0)))</f>
        <v/>
      </c>
      <c r="C366" s="1" t="str">
        <f t="array" ref="C366">IFERROR(INDEX('Исходник'!$1:$626,MATCH($A366,'Исходник'!$T:$T,0),MATCH(C$1,'Исходник'!$1:$1,0)))</f>
        <v/>
      </c>
      <c r="D366" s="1" t="str">
        <f t="array" ref="D366">IFERROR(INDEX('Исходник'!$1:$626,MATCH($A366,'Исходник'!$T:$T,0),MATCH(D$1,'Исходник'!$1:$1,0)))</f>
        <v/>
      </c>
      <c r="E366" s="1" t="str">
        <f t="array" ref="E366">IFERROR(INDEX('Исходник'!$1:$626,MATCH($A366,'Исходник'!$T:$T,0),MATCH(E$1,'Исходник'!$1:$1,0)))</f>
        <v/>
      </c>
      <c r="F366" s="1" t="str">
        <f t="array" ref="F366">IFERROR(INDEX('Исходник'!$1:$626,MATCH($A366,'Исходник'!$T:$T,0),MATCH(F$1,'Исходник'!$1:$1,0)))</f>
        <v/>
      </c>
      <c r="G366" s="1" t="str">
        <f t="array" ref="G366">IFERROR(INDEX('Исходник'!$1:$626,MATCH($A366,'Исходник'!$T:$T,0),MATCH(G$1,'Исходник'!$1:$1,0)))</f>
        <v/>
      </c>
      <c r="H366" s="27">
        <f t="shared" si="1"/>
        <v>0</v>
      </c>
      <c r="I366" s="27" t="str">
        <f t="shared" si="2"/>
        <v/>
      </c>
      <c r="J366" s="1" t="str">
        <f t="array" ref="J366">IFERROR(INDEX('Исходник'!$1:$626,MATCH($A366,'Исходник'!$T:$T,0),MATCH(J$1,'Исходник'!$1:$1,0)))</f>
        <v/>
      </c>
      <c r="K366" s="27" t="str">
        <f t="shared" si="3"/>
        <v/>
      </c>
      <c r="L366" s="1" t="str">
        <f t="array" ref="L366">IFERROR(INDEX('Исходник'!$1:$626,MATCH($A366,'Исходник'!$T:$T,0),MATCH(L$1,'Исходник'!$1:$1,0)))</f>
        <v/>
      </c>
      <c r="M366" s="28">
        <f t="shared" si="4"/>
        <v>0</v>
      </c>
      <c r="N366" s="1" t="str">
        <f t="array" ref="N366">IFERROR(INDEX('Исходник'!$1:$626,MATCH($A366,'Исходник'!$T:$T,0),MATCH(N$1,'Исходник'!$1:$1,0)))</f>
        <v/>
      </c>
      <c r="O366" s="27">
        <f t="shared" si="5"/>
        <v>0</v>
      </c>
      <c r="P366" s="27" t="str">
        <f t="shared" si="6"/>
        <v/>
      </c>
      <c r="Q366" s="1" t="str">
        <f t="array" ref="Q366">IFERROR(INDEX('Исходник'!$1:$626,MATCH($A366,'Исходник'!$T:$T,0),MATCH(Q$1,'Исходник'!$1:$1,0)))</f>
        <v/>
      </c>
      <c r="R366" s="1" t="str">
        <f t="array" ref="R366">IFERROR(INDEX('Исходник'!$1:$626,MATCH($A366,'Исходник'!$T:$T,0),MATCH(R$1,'Исходник'!$1:$1,0)))</f>
        <v/>
      </c>
      <c r="S366" s="27">
        <f t="shared" si="7"/>
        <v>0</v>
      </c>
      <c r="T366" s="27" t="str">
        <f t="shared" si="8"/>
        <v/>
      </c>
      <c r="U366" s="1" t="str">
        <f t="array" ref="U366">IFERROR(INDEX('Исходник'!$1:$626,MATCH($A366,'Исходник'!$T:$T,0),MATCH(U$1,'Исходник'!$1:$1,0)))</f>
        <v/>
      </c>
      <c r="V366" s="27" t="str">
        <f t="shared" si="9"/>
        <v/>
      </c>
      <c r="W366" s="1" t="str">
        <f t="array" ref="W366">IFERROR(INDEX('Исходник'!$1:$626,MATCH($A366,'Исходник'!$T:$T,0),MATCH(W$1,'Исходник'!$1:$1,0)))</f>
        <v/>
      </c>
      <c r="X366" s="28">
        <f t="shared" si="10"/>
        <v>0</v>
      </c>
      <c r="Y366" s="1" t="str">
        <f t="array" ref="Y366">IFERROR(INDEX('Исходник'!$1:$626,MATCH($A366,'Исходник'!$T:$T,0),MATCH(Y$1,'Исходник'!$1:$1,0)))</f>
        <v/>
      </c>
      <c r="Z366" s="27">
        <f t="shared" si="11"/>
        <v>0</v>
      </c>
      <c r="AA366" s="27" t="str">
        <f t="shared" si="12"/>
        <v/>
      </c>
      <c r="AB366" s="1" t="str">
        <f t="array" ref="AB366">IFERROR(INDEX('Исходник'!$1:$626,MATCH($A366,'Исходник'!$T:$T,0),MATCH(AB$1,'Исходник'!$1:$1,0)))</f>
        <v/>
      </c>
      <c r="AC366" s="1" t="str">
        <f t="array" ref="AC366">IFERROR(INDEX('Исходник'!$1:$626,MATCH($A366,'Исходник'!$T:$T,0),MATCH(AC$1,'Исходник'!$1:$1,0)))</f>
        <v/>
      </c>
      <c r="AD366" s="27" t="str">
        <f t="shared" si="13"/>
        <v/>
      </c>
      <c r="AE366" s="1" t="str">
        <f t="array" ref="AE366">IFERROR(INDEX('Исходник'!$1:$626,MATCH($A366,'Исходник'!$T:$T,0),MATCH(AE$1,'Исходник'!$1:$1,0)))</f>
        <v/>
      </c>
      <c r="AF366" s="1" t="str">
        <f t="array" ref="AF366">IFERROR(INDEX('Исходник'!$1:$626,MATCH($A366,'Исходник'!$T:$T,0),MATCH(AF$1,'Исходник'!$1:$1,0)))</f>
        <v/>
      </c>
      <c r="AG366" s="27" t="str">
        <f t="shared" si="14"/>
        <v/>
      </c>
      <c r="AH366" s="1" t="str">
        <f t="array" ref="AH366">IFERROR(INDEX('Исходник'!$1:$626,MATCH($A366,'Исходник'!$T:$T,0),MATCH(AH$1,'Исходник'!$1:$1,0)))</f>
        <v/>
      </c>
      <c r="AI366" s="1" t="str">
        <f t="array" ref="AI366">IFERROR(INDEX('Исходник'!$1:$626,MATCH($A366,'Исходник'!$T:$T,0),MATCH(AI$1,'Исходник'!$1:$1,0)))</f>
        <v/>
      </c>
      <c r="AJ366" s="18">
        <f t="shared" si="15"/>
        <v>0</v>
      </c>
    </row>
    <row r="367" ht="15.75" customHeight="1">
      <c r="A367" s="27"/>
      <c r="B367" s="1" t="str">
        <f t="array" ref="B367">IFERROR(INDEX('Исходник'!$1:$626,MATCH($A367,'Исходник'!$T:$T,0),MATCH(B$1,'Исходник'!$1:$1,0)))</f>
        <v/>
      </c>
      <c r="C367" s="1" t="str">
        <f t="array" ref="C367">IFERROR(INDEX('Исходник'!$1:$626,MATCH($A367,'Исходник'!$T:$T,0),MATCH(C$1,'Исходник'!$1:$1,0)))</f>
        <v/>
      </c>
      <c r="D367" s="1" t="str">
        <f t="array" ref="D367">IFERROR(INDEX('Исходник'!$1:$626,MATCH($A367,'Исходник'!$T:$T,0),MATCH(D$1,'Исходник'!$1:$1,0)))</f>
        <v/>
      </c>
      <c r="E367" s="1" t="str">
        <f t="array" ref="E367">IFERROR(INDEX('Исходник'!$1:$626,MATCH($A367,'Исходник'!$T:$T,0),MATCH(E$1,'Исходник'!$1:$1,0)))</f>
        <v/>
      </c>
      <c r="F367" s="1" t="str">
        <f t="array" ref="F367">IFERROR(INDEX('Исходник'!$1:$626,MATCH($A367,'Исходник'!$T:$T,0),MATCH(F$1,'Исходник'!$1:$1,0)))</f>
        <v/>
      </c>
      <c r="G367" s="1" t="str">
        <f t="array" ref="G367">IFERROR(INDEX('Исходник'!$1:$626,MATCH($A367,'Исходник'!$T:$T,0),MATCH(G$1,'Исходник'!$1:$1,0)))</f>
        <v/>
      </c>
      <c r="H367" s="27">
        <f t="shared" si="1"/>
        <v>0</v>
      </c>
      <c r="I367" s="27" t="str">
        <f t="shared" si="2"/>
        <v/>
      </c>
      <c r="J367" s="1" t="str">
        <f t="array" ref="J367">IFERROR(INDEX('Исходник'!$1:$626,MATCH($A367,'Исходник'!$T:$T,0),MATCH(J$1,'Исходник'!$1:$1,0)))</f>
        <v/>
      </c>
      <c r="K367" s="27" t="str">
        <f t="shared" si="3"/>
        <v/>
      </c>
      <c r="L367" s="1" t="str">
        <f t="array" ref="L367">IFERROR(INDEX('Исходник'!$1:$626,MATCH($A367,'Исходник'!$T:$T,0),MATCH(L$1,'Исходник'!$1:$1,0)))</f>
        <v/>
      </c>
      <c r="M367" s="28">
        <f t="shared" si="4"/>
        <v>0</v>
      </c>
      <c r="N367" s="1" t="str">
        <f t="array" ref="N367">IFERROR(INDEX('Исходник'!$1:$626,MATCH($A367,'Исходник'!$T:$T,0),MATCH(N$1,'Исходник'!$1:$1,0)))</f>
        <v/>
      </c>
      <c r="O367" s="27">
        <f t="shared" si="5"/>
        <v>0</v>
      </c>
      <c r="P367" s="27" t="str">
        <f t="shared" si="6"/>
        <v/>
      </c>
      <c r="Q367" s="1" t="str">
        <f t="array" ref="Q367">IFERROR(INDEX('Исходник'!$1:$626,MATCH($A367,'Исходник'!$T:$T,0),MATCH(Q$1,'Исходник'!$1:$1,0)))</f>
        <v/>
      </c>
      <c r="R367" s="1" t="str">
        <f t="array" ref="R367">IFERROR(INDEX('Исходник'!$1:$626,MATCH($A367,'Исходник'!$T:$T,0),MATCH(R$1,'Исходник'!$1:$1,0)))</f>
        <v/>
      </c>
      <c r="S367" s="27">
        <f t="shared" si="7"/>
        <v>0</v>
      </c>
      <c r="T367" s="27" t="str">
        <f t="shared" si="8"/>
        <v/>
      </c>
      <c r="U367" s="1" t="str">
        <f t="array" ref="U367">IFERROR(INDEX('Исходник'!$1:$626,MATCH($A367,'Исходник'!$T:$T,0),MATCH(U$1,'Исходник'!$1:$1,0)))</f>
        <v/>
      </c>
      <c r="V367" s="27" t="str">
        <f t="shared" si="9"/>
        <v/>
      </c>
      <c r="W367" s="1" t="str">
        <f t="array" ref="W367">IFERROR(INDEX('Исходник'!$1:$626,MATCH($A367,'Исходник'!$T:$T,0),MATCH(W$1,'Исходник'!$1:$1,0)))</f>
        <v/>
      </c>
      <c r="X367" s="28">
        <f t="shared" si="10"/>
        <v>0</v>
      </c>
      <c r="Y367" s="1" t="str">
        <f t="array" ref="Y367">IFERROR(INDEX('Исходник'!$1:$626,MATCH($A367,'Исходник'!$T:$T,0),MATCH(Y$1,'Исходник'!$1:$1,0)))</f>
        <v/>
      </c>
      <c r="Z367" s="27">
        <f t="shared" si="11"/>
        <v>0</v>
      </c>
      <c r="AA367" s="27" t="str">
        <f t="shared" si="12"/>
        <v/>
      </c>
      <c r="AB367" s="1" t="str">
        <f t="array" ref="AB367">IFERROR(INDEX('Исходник'!$1:$626,MATCH($A367,'Исходник'!$T:$T,0),MATCH(AB$1,'Исходник'!$1:$1,0)))</f>
        <v/>
      </c>
      <c r="AC367" s="1" t="str">
        <f t="array" ref="AC367">IFERROR(INDEX('Исходник'!$1:$626,MATCH($A367,'Исходник'!$T:$T,0),MATCH(AC$1,'Исходник'!$1:$1,0)))</f>
        <v/>
      </c>
      <c r="AD367" s="27" t="str">
        <f t="shared" si="13"/>
        <v/>
      </c>
      <c r="AE367" s="1" t="str">
        <f t="array" ref="AE367">IFERROR(INDEX('Исходник'!$1:$626,MATCH($A367,'Исходник'!$T:$T,0),MATCH(AE$1,'Исходник'!$1:$1,0)))</f>
        <v/>
      </c>
      <c r="AF367" s="1" t="str">
        <f t="array" ref="AF367">IFERROR(INDEX('Исходник'!$1:$626,MATCH($A367,'Исходник'!$T:$T,0),MATCH(AF$1,'Исходник'!$1:$1,0)))</f>
        <v/>
      </c>
      <c r="AG367" s="27" t="str">
        <f t="shared" si="14"/>
        <v/>
      </c>
      <c r="AH367" s="1" t="str">
        <f t="array" ref="AH367">IFERROR(INDEX('Исходник'!$1:$626,MATCH($A367,'Исходник'!$T:$T,0),MATCH(AH$1,'Исходник'!$1:$1,0)))</f>
        <v/>
      </c>
      <c r="AI367" s="1" t="str">
        <f t="array" ref="AI367">IFERROR(INDEX('Исходник'!$1:$626,MATCH($A367,'Исходник'!$T:$T,0),MATCH(AI$1,'Исходник'!$1:$1,0)))</f>
        <v/>
      </c>
      <c r="AJ367" s="18">
        <f t="shared" si="15"/>
        <v>0</v>
      </c>
    </row>
    <row r="368" ht="15.75" customHeight="1">
      <c r="A368" s="27"/>
      <c r="B368" s="1" t="str">
        <f t="array" ref="B368">IFERROR(INDEX('Исходник'!$1:$626,MATCH($A368,'Исходник'!$T:$T,0),MATCH(B$1,'Исходник'!$1:$1,0)))</f>
        <v/>
      </c>
      <c r="C368" s="1" t="str">
        <f t="array" ref="C368">IFERROR(INDEX('Исходник'!$1:$626,MATCH($A368,'Исходник'!$T:$T,0),MATCH(C$1,'Исходник'!$1:$1,0)))</f>
        <v/>
      </c>
      <c r="D368" s="1" t="str">
        <f t="array" ref="D368">IFERROR(INDEX('Исходник'!$1:$626,MATCH($A368,'Исходник'!$T:$T,0),MATCH(D$1,'Исходник'!$1:$1,0)))</f>
        <v/>
      </c>
      <c r="E368" s="1" t="str">
        <f t="array" ref="E368">IFERROR(INDEX('Исходник'!$1:$626,MATCH($A368,'Исходник'!$T:$T,0),MATCH(E$1,'Исходник'!$1:$1,0)))</f>
        <v/>
      </c>
      <c r="F368" s="1" t="str">
        <f t="array" ref="F368">IFERROR(INDEX('Исходник'!$1:$626,MATCH($A368,'Исходник'!$T:$T,0),MATCH(F$1,'Исходник'!$1:$1,0)))</f>
        <v/>
      </c>
      <c r="G368" s="1" t="str">
        <f t="array" ref="G368">IFERROR(INDEX('Исходник'!$1:$626,MATCH($A368,'Исходник'!$T:$T,0),MATCH(G$1,'Исходник'!$1:$1,0)))</f>
        <v/>
      </c>
      <c r="H368" s="27">
        <f t="shared" si="1"/>
        <v>0</v>
      </c>
      <c r="I368" s="27" t="str">
        <f t="shared" si="2"/>
        <v/>
      </c>
      <c r="J368" s="1" t="str">
        <f t="array" ref="J368">IFERROR(INDEX('Исходник'!$1:$626,MATCH($A368,'Исходник'!$T:$T,0),MATCH(J$1,'Исходник'!$1:$1,0)))</f>
        <v/>
      </c>
      <c r="K368" s="27" t="str">
        <f t="shared" si="3"/>
        <v/>
      </c>
      <c r="L368" s="1" t="str">
        <f t="array" ref="L368">IFERROR(INDEX('Исходник'!$1:$626,MATCH($A368,'Исходник'!$T:$T,0),MATCH(L$1,'Исходник'!$1:$1,0)))</f>
        <v/>
      </c>
      <c r="M368" s="28">
        <f t="shared" si="4"/>
        <v>0</v>
      </c>
      <c r="N368" s="1" t="str">
        <f t="array" ref="N368">IFERROR(INDEX('Исходник'!$1:$626,MATCH($A368,'Исходник'!$T:$T,0),MATCH(N$1,'Исходник'!$1:$1,0)))</f>
        <v/>
      </c>
      <c r="O368" s="27">
        <f t="shared" si="5"/>
        <v>0</v>
      </c>
      <c r="P368" s="27" t="str">
        <f t="shared" si="6"/>
        <v/>
      </c>
      <c r="Q368" s="1" t="str">
        <f t="array" ref="Q368">IFERROR(INDEX('Исходник'!$1:$626,MATCH($A368,'Исходник'!$T:$T,0),MATCH(Q$1,'Исходник'!$1:$1,0)))</f>
        <v/>
      </c>
      <c r="R368" s="1" t="str">
        <f t="array" ref="R368">IFERROR(INDEX('Исходник'!$1:$626,MATCH($A368,'Исходник'!$T:$T,0),MATCH(R$1,'Исходник'!$1:$1,0)))</f>
        <v/>
      </c>
      <c r="S368" s="27">
        <f t="shared" si="7"/>
        <v>0</v>
      </c>
      <c r="T368" s="27" t="str">
        <f t="shared" si="8"/>
        <v/>
      </c>
      <c r="U368" s="1" t="str">
        <f t="array" ref="U368">IFERROR(INDEX('Исходник'!$1:$626,MATCH($A368,'Исходник'!$T:$T,0),MATCH(U$1,'Исходник'!$1:$1,0)))</f>
        <v/>
      </c>
      <c r="V368" s="27" t="str">
        <f t="shared" si="9"/>
        <v/>
      </c>
      <c r="W368" s="1" t="str">
        <f t="array" ref="W368">IFERROR(INDEX('Исходник'!$1:$626,MATCH($A368,'Исходник'!$T:$T,0),MATCH(W$1,'Исходник'!$1:$1,0)))</f>
        <v/>
      </c>
      <c r="X368" s="28">
        <f t="shared" si="10"/>
        <v>0</v>
      </c>
      <c r="Y368" s="1" t="str">
        <f t="array" ref="Y368">IFERROR(INDEX('Исходник'!$1:$626,MATCH($A368,'Исходник'!$T:$T,0),MATCH(Y$1,'Исходник'!$1:$1,0)))</f>
        <v/>
      </c>
      <c r="Z368" s="27">
        <f t="shared" si="11"/>
        <v>0</v>
      </c>
      <c r="AA368" s="27" t="str">
        <f t="shared" si="12"/>
        <v/>
      </c>
      <c r="AB368" s="1" t="str">
        <f t="array" ref="AB368">IFERROR(INDEX('Исходник'!$1:$626,MATCH($A368,'Исходник'!$T:$T,0),MATCH(AB$1,'Исходник'!$1:$1,0)))</f>
        <v/>
      </c>
      <c r="AC368" s="1" t="str">
        <f t="array" ref="AC368">IFERROR(INDEX('Исходник'!$1:$626,MATCH($A368,'Исходник'!$T:$T,0),MATCH(AC$1,'Исходник'!$1:$1,0)))</f>
        <v/>
      </c>
      <c r="AD368" s="27" t="str">
        <f t="shared" si="13"/>
        <v/>
      </c>
      <c r="AE368" s="1" t="str">
        <f t="array" ref="AE368">IFERROR(INDEX('Исходник'!$1:$626,MATCH($A368,'Исходник'!$T:$T,0),MATCH(AE$1,'Исходник'!$1:$1,0)))</f>
        <v/>
      </c>
      <c r="AF368" s="1" t="str">
        <f t="array" ref="AF368">IFERROR(INDEX('Исходник'!$1:$626,MATCH($A368,'Исходник'!$T:$T,0),MATCH(AF$1,'Исходник'!$1:$1,0)))</f>
        <v/>
      </c>
      <c r="AG368" s="27" t="str">
        <f t="shared" si="14"/>
        <v/>
      </c>
      <c r="AH368" s="1" t="str">
        <f t="array" ref="AH368">IFERROR(INDEX('Исходник'!$1:$626,MATCH($A368,'Исходник'!$T:$T,0),MATCH(AH$1,'Исходник'!$1:$1,0)))</f>
        <v/>
      </c>
      <c r="AI368" s="1" t="str">
        <f t="array" ref="AI368">IFERROR(INDEX('Исходник'!$1:$626,MATCH($A368,'Исходник'!$T:$T,0),MATCH(AI$1,'Исходник'!$1:$1,0)))</f>
        <v/>
      </c>
      <c r="AJ368" s="18">
        <f t="shared" si="15"/>
        <v>0</v>
      </c>
    </row>
    <row r="369" ht="15.75" customHeight="1">
      <c r="A369" s="27"/>
      <c r="B369" s="1" t="str">
        <f t="array" ref="B369">IFERROR(INDEX('Исходник'!$1:$626,MATCH($A369,'Исходник'!$T:$T,0),MATCH(B$1,'Исходник'!$1:$1,0)))</f>
        <v/>
      </c>
      <c r="C369" s="1" t="str">
        <f t="array" ref="C369">IFERROR(INDEX('Исходник'!$1:$626,MATCH($A369,'Исходник'!$T:$T,0),MATCH(C$1,'Исходник'!$1:$1,0)))</f>
        <v/>
      </c>
      <c r="D369" s="1" t="str">
        <f t="array" ref="D369">IFERROR(INDEX('Исходник'!$1:$626,MATCH($A369,'Исходник'!$T:$T,0),MATCH(D$1,'Исходник'!$1:$1,0)))</f>
        <v/>
      </c>
      <c r="E369" s="1" t="str">
        <f t="array" ref="E369">IFERROR(INDEX('Исходник'!$1:$626,MATCH($A369,'Исходник'!$T:$T,0),MATCH(E$1,'Исходник'!$1:$1,0)))</f>
        <v/>
      </c>
      <c r="F369" s="1" t="str">
        <f t="array" ref="F369">IFERROR(INDEX('Исходник'!$1:$626,MATCH($A369,'Исходник'!$T:$T,0),MATCH(F$1,'Исходник'!$1:$1,0)))</f>
        <v/>
      </c>
      <c r="G369" s="1" t="str">
        <f t="array" ref="G369">IFERROR(INDEX('Исходник'!$1:$626,MATCH($A369,'Исходник'!$T:$T,0),MATCH(G$1,'Исходник'!$1:$1,0)))</f>
        <v/>
      </c>
      <c r="H369" s="27">
        <f t="shared" si="1"/>
        <v>0</v>
      </c>
      <c r="I369" s="27" t="str">
        <f t="shared" si="2"/>
        <v/>
      </c>
      <c r="J369" s="1" t="str">
        <f t="array" ref="J369">IFERROR(INDEX('Исходник'!$1:$626,MATCH($A369,'Исходник'!$T:$T,0),MATCH(J$1,'Исходник'!$1:$1,0)))</f>
        <v/>
      </c>
      <c r="K369" s="27" t="str">
        <f t="shared" si="3"/>
        <v/>
      </c>
      <c r="L369" s="1" t="str">
        <f t="array" ref="L369">IFERROR(INDEX('Исходник'!$1:$626,MATCH($A369,'Исходник'!$T:$T,0),MATCH(L$1,'Исходник'!$1:$1,0)))</f>
        <v/>
      </c>
      <c r="M369" s="28">
        <f t="shared" si="4"/>
        <v>0</v>
      </c>
      <c r="N369" s="1" t="str">
        <f t="array" ref="N369">IFERROR(INDEX('Исходник'!$1:$626,MATCH($A369,'Исходник'!$T:$T,0),MATCH(N$1,'Исходник'!$1:$1,0)))</f>
        <v/>
      </c>
      <c r="O369" s="27">
        <f t="shared" si="5"/>
        <v>0</v>
      </c>
      <c r="P369" s="27" t="str">
        <f t="shared" si="6"/>
        <v/>
      </c>
      <c r="Q369" s="1" t="str">
        <f t="array" ref="Q369">IFERROR(INDEX('Исходник'!$1:$626,MATCH($A369,'Исходник'!$T:$T,0),MATCH(Q$1,'Исходник'!$1:$1,0)))</f>
        <v/>
      </c>
      <c r="R369" s="1" t="str">
        <f t="array" ref="R369">IFERROR(INDEX('Исходник'!$1:$626,MATCH($A369,'Исходник'!$T:$T,0),MATCH(R$1,'Исходник'!$1:$1,0)))</f>
        <v/>
      </c>
      <c r="S369" s="27">
        <f t="shared" si="7"/>
        <v>0</v>
      </c>
      <c r="T369" s="27" t="str">
        <f t="shared" si="8"/>
        <v/>
      </c>
      <c r="U369" s="1" t="str">
        <f t="array" ref="U369">IFERROR(INDEX('Исходник'!$1:$626,MATCH($A369,'Исходник'!$T:$T,0),MATCH(U$1,'Исходник'!$1:$1,0)))</f>
        <v/>
      </c>
      <c r="V369" s="27" t="str">
        <f t="shared" si="9"/>
        <v/>
      </c>
      <c r="W369" s="1" t="str">
        <f t="array" ref="W369">IFERROR(INDEX('Исходник'!$1:$626,MATCH($A369,'Исходник'!$T:$T,0),MATCH(W$1,'Исходник'!$1:$1,0)))</f>
        <v/>
      </c>
      <c r="X369" s="28">
        <f t="shared" si="10"/>
        <v>0</v>
      </c>
      <c r="Y369" s="1" t="str">
        <f t="array" ref="Y369">IFERROR(INDEX('Исходник'!$1:$626,MATCH($A369,'Исходник'!$T:$T,0),MATCH(Y$1,'Исходник'!$1:$1,0)))</f>
        <v/>
      </c>
      <c r="Z369" s="27">
        <f t="shared" si="11"/>
        <v>0</v>
      </c>
      <c r="AA369" s="27" t="str">
        <f t="shared" si="12"/>
        <v/>
      </c>
      <c r="AB369" s="1" t="str">
        <f t="array" ref="AB369">IFERROR(INDEX('Исходник'!$1:$626,MATCH($A369,'Исходник'!$T:$T,0),MATCH(AB$1,'Исходник'!$1:$1,0)))</f>
        <v/>
      </c>
      <c r="AC369" s="1" t="str">
        <f t="array" ref="AC369">IFERROR(INDEX('Исходник'!$1:$626,MATCH($A369,'Исходник'!$T:$T,0),MATCH(AC$1,'Исходник'!$1:$1,0)))</f>
        <v/>
      </c>
      <c r="AD369" s="27" t="str">
        <f t="shared" si="13"/>
        <v/>
      </c>
      <c r="AE369" s="1" t="str">
        <f t="array" ref="AE369">IFERROR(INDEX('Исходник'!$1:$626,MATCH($A369,'Исходник'!$T:$T,0),MATCH(AE$1,'Исходник'!$1:$1,0)))</f>
        <v/>
      </c>
      <c r="AF369" s="1" t="str">
        <f t="array" ref="AF369">IFERROR(INDEX('Исходник'!$1:$626,MATCH($A369,'Исходник'!$T:$T,0),MATCH(AF$1,'Исходник'!$1:$1,0)))</f>
        <v/>
      </c>
      <c r="AG369" s="27" t="str">
        <f t="shared" si="14"/>
        <v/>
      </c>
      <c r="AH369" s="1" t="str">
        <f t="array" ref="AH369">IFERROR(INDEX('Исходник'!$1:$626,MATCH($A369,'Исходник'!$T:$T,0),MATCH(AH$1,'Исходник'!$1:$1,0)))</f>
        <v/>
      </c>
      <c r="AI369" s="1" t="str">
        <f t="array" ref="AI369">IFERROR(INDEX('Исходник'!$1:$626,MATCH($A369,'Исходник'!$T:$T,0),MATCH(AI$1,'Исходник'!$1:$1,0)))</f>
        <v/>
      </c>
      <c r="AJ369" s="18">
        <f t="shared" si="15"/>
        <v>0</v>
      </c>
    </row>
    <row r="370" ht="15.75" customHeight="1">
      <c r="A370" s="27"/>
      <c r="B370" s="1" t="str">
        <f t="array" ref="B370">IFERROR(INDEX('Исходник'!$1:$626,MATCH($A370,'Исходник'!$T:$T,0),MATCH(B$1,'Исходник'!$1:$1,0)))</f>
        <v/>
      </c>
      <c r="C370" s="1" t="str">
        <f t="array" ref="C370">IFERROR(INDEX('Исходник'!$1:$626,MATCH($A370,'Исходник'!$T:$T,0),MATCH(C$1,'Исходник'!$1:$1,0)))</f>
        <v/>
      </c>
      <c r="D370" s="1" t="str">
        <f t="array" ref="D370">IFERROR(INDEX('Исходник'!$1:$626,MATCH($A370,'Исходник'!$T:$T,0),MATCH(D$1,'Исходник'!$1:$1,0)))</f>
        <v/>
      </c>
      <c r="E370" s="1" t="str">
        <f t="array" ref="E370">IFERROR(INDEX('Исходник'!$1:$626,MATCH($A370,'Исходник'!$T:$T,0),MATCH(E$1,'Исходник'!$1:$1,0)))</f>
        <v/>
      </c>
      <c r="F370" s="1" t="str">
        <f t="array" ref="F370">IFERROR(INDEX('Исходник'!$1:$626,MATCH($A370,'Исходник'!$T:$T,0),MATCH(F$1,'Исходник'!$1:$1,0)))</f>
        <v/>
      </c>
      <c r="G370" s="1" t="str">
        <f t="array" ref="G370">IFERROR(INDEX('Исходник'!$1:$626,MATCH($A370,'Исходник'!$T:$T,0),MATCH(G$1,'Исходник'!$1:$1,0)))</f>
        <v/>
      </c>
      <c r="H370" s="27">
        <f t="shared" si="1"/>
        <v>0</v>
      </c>
      <c r="I370" s="27" t="str">
        <f t="shared" si="2"/>
        <v/>
      </c>
      <c r="J370" s="1" t="str">
        <f t="array" ref="J370">IFERROR(INDEX('Исходник'!$1:$626,MATCH($A370,'Исходник'!$T:$T,0),MATCH(J$1,'Исходник'!$1:$1,0)))</f>
        <v/>
      </c>
      <c r="K370" s="27" t="str">
        <f t="shared" si="3"/>
        <v/>
      </c>
      <c r="L370" s="1" t="str">
        <f t="array" ref="L370">IFERROR(INDEX('Исходник'!$1:$626,MATCH($A370,'Исходник'!$T:$T,0),MATCH(L$1,'Исходник'!$1:$1,0)))</f>
        <v/>
      </c>
      <c r="M370" s="28">
        <f t="shared" si="4"/>
        <v>0</v>
      </c>
      <c r="N370" s="1" t="str">
        <f t="array" ref="N370">IFERROR(INDEX('Исходник'!$1:$626,MATCH($A370,'Исходник'!$T:$T,0),MATCH(N$1,'Исходник'!$1:$1,0)))</f>
        <v/>
      </c>
      <c r="O370" s="27">
        <f t="shared" si="5"/>
        <v>0</v>
      </c>
      <c r="P370" s="27" t="str">
        <f t="shared" si="6"/>
        <v/>
      </c>
      <c r="Q370" s="1" t="str">
        <f t="array" ref="Q370">IFERROR(INDEX('Исходник'!$1:$626,MATCH($A370,'Исходник'!$T:$T,0),MATCH(Q$1,'Исходник'!$1:$1,0)))</f>
        <v/>
      </c>
      <c r="R370" s="1" t="str">
        <f t="array" ref="R370">IFERROR(INDEX('Исходник'!$1:$626,MATCH($A370,'Исходник'!$T:$T,0),MATCH(R$1,'Исходник'!$1:$1,0)))</f>
        <v/>
      </c>
      <c r="S370" s="27">
        <f t="shared" si="7"/>
        <v>0</v>
      </c>
      <c r="T370" s="27" t="str">
        <f t="shared" si="8"/>
        <v/>
      </c>
      <c r="U370" s="1" t="str">
        <f t="array" ref="U370">IFERROR(INDEX('Исходник'!$1:$626,MATCH($A370,'Исходник'!$T:$T,0),MATCH(U$1,'Исходник'!$1:$1,0)))</f>
        <v/>
      </c>
      <c r="V370" s="27" t="str">
        <f t="shared" si="9"/>
        <v/>
      </c>
      <c r="W370" s="1" t="str">
        <f t="array" ref="W370">IFERROR(INDEX('Исходник'!$1:$626,MATCH($A370,'Исходник'!$T:$T,0),MATCH(W$1,'Исходник'!$1:$1,0)))</f>
        <v/>
      </c>
      <c r="X370" s="28">
        <f t="shared" si="10"/>
        <v>0</v>
      </c>
      <c r="Y370" s="1" t="str">
        <f t="array" ref="Y370">IFERROR(INDEX('Исходник'!$1:$626,MATCH($A370,'Исходник'!$T:$T,0),MATCH(Y$1,'Исходник'!$1:$1,0)))</f>
        <v/>
      </c>
      <c r="Z370" s="27">
        <f t="shared" si="11"/>
        <v>0</v>
      </c>
      <c r="AA370" s="27" t="str">
        <f t="shared" si="12"/>
        <v/>
      </c>
      <c r="AB370" s="1" t="str">
        <f t="array" ref="AB370">IFERROR(INDEX('Исходник'!$1:$626,MATCH($A370,'Исходник'!$T:$T,0),MATCH(AB$1,'Исходник'!$1:$1,0)))</f>
        <v/>
      </c>
      <c r="AC370" s="1" t="str">
        <f t="array" ref="AC370">IFERROR(INDEX('Исходник'!$1:$626,MATCH($A370,'Исходник'!$T:$T,0),MATCH(AC$1,'Исходник'!$1:$1,0)))</f>
        <v/>
      </c>
      <c r="AD370" s="27" t="str">
        <f t="shared" si="13"/>
        <v/>
      </c>
      <c r="AE370" s="1" t="str">
        <f t="array" ref="AE370">IFERROR(INDEX('Исходник'!$1:$626,MATCH($A370,'Исходник'!$T:$T,0),MATCH(AE$1,'Исходник'!$1:$1,0)))</f>
        <v/>
      </c>
      <c r="AF370" s="1" t="str">
        <f t="array" ref="AF370">IFERROR(INDEX('Исходник'!$1:$626,MATCH($A370,'Исходник'!$T:$T,0),MATCH(AF$1,'Исходник'!$1:$1,0)))</f>
        <v/>
      </c>
      <c r="AG370" s="27" t="str">
        <f t="shared" si="14"/>
        <v/>
      </c>
      <c r="AH370" s="1" t="str">
        <f t="array" ref="AH370">IFERROR(INDEX('Исходник'!$1:$626,MATCH($A370,'Исходник'!$T:$T,0),MATCH(AH$1,'Исходник'!$1:$1,0)))</f>
        <v/>
      </c>
      <c r="AI370" s="1" t="str">
        <f t="array" ref="AI370">IFERROR(INDEX('Исходник'!$1:$626,MATCH($A370,'Исходник'!$T:$T,0),MATCH(AI$1,'Исходник'!$1:$1,0)))</f>
        <v/>
      </c>
      <c r="AJ370" s="18">
        <f t="shared" si="15"/>
        <v>0</v>
      </c>
    </row>
    <row r="371" ht="15.75" customHeight="1">
      <c r="A371" s="27"/>
      <c r="B371" s="1" t="str">
        <f t="array" ref="B371">IFERROR(INDEX('Исходник'!$1:$626,MATCH($A371,'Исходник'!$T:$T,0),MATCH(B$1,'Исходник'!$1:$1,0)))</f>
        <v/>
      </c>
      <c r="C371" s="1" t="str">
        <f t="array" ref="C371">IFERROR(INDEX('Исходник'!$1:$626,MATCH($A371,'Исходник'!$T:$T,0),MATCH(C$1,'Исходник'!$1:$1,0)))</f>
        <v/>
      </c>
      <c r="D371" s="1" t="str">
        <f t="array" ref="D371">IFERROR(INDEX('Исходник'!$1:$626,MATCH($A371,'Исходник'!$T:$T,0),MATCH(D$1,'Исходник'!$1:$1,0)))</f>
        <v/>
      </c>
      <c r="E371" s="1" t="str">
        <f t="array" ref="E371">IFERROR(INDEX('Исходник'!$1:$626,MATCH($A371,'Исходник'!$T:$T,0),MATCH(E$1,'Исходник'!$1:$1,0)))</f>
        <v/>
      </c>
      <c r="F371" s="1" t="str">
        <f t="array" ref="F371">IFERROR(INDEX('Исходник'!$1:$626,MATCH($A371,'Исходник'!$T:$T,0),MATCH(F$1,'Исходник'!$1:$1,0)))</f>
        <v/>
      </c>
      <c r="G371" s="1" t="str">
        <f t="array" ref="G371">IFERROR(INDEX('Исходник'!$1:$626,MATCH($A371,'Исходник'!$T:$T,0),MATCH(G$1,'Исходник'!$1:$1,0)))</f>
        <v/>
      </c>
      <c r="H371" s="27">
        <f t="shared" si="1"/>
        <v>0</v>
      </c>
      <c r="I371" s="27" t="str">
        <f t="shared" si="2"/>
        <v/>
      </c>
      <c r="J371" s="1" t="str">
        <f t="array" ref="J371">IFERROR(INDEX('Исходник'!$1:$626,MATCH($A371,'Исходник'!$T:$T,0),MATCH(J$1,'Исходник'!$1:$1,0)))</f>
        <v/>
      </c>
      <c r="K371" s="27" t="str">
        <f t="shared" si="3"/>
        <v/>
      </c>
      <c r="L371" s="1" t="str">
        <f t="array" ref="L371">IFERROR(INDEX('Исходник'!$1:$626,MATCH($A371,'Исходник'!$T:$T,0),MATCH(L$1,'Исходник'!$1:$1,0)))</f>
        <v/>
      </c>
      <c r="M371" s="28">
        <f t="shared" si="4"/>
        <v>0</v>
      </c>
      <c r="N371" s="1" t="str">
        <f t="array" ref="N371">IFERROR(INDEX('Исходник'!$1:$626,MATCH($A371,'Исходник'!$T:$T,0),MATCH(N$1,'Исходник'!$1:$1,0)))</f>
        <v/>
      </c>
      <c r="O371" s="27">
        <f t="shared" si="5"/>
        <v>0</v>
      </c>
      <c r="P371" s="27" t="str">
        <f t="shared" si="6"/>
        <v/>
      </c>
      <c r="Q371" s="1" t="str">
        <f t="array" ref="Q371">IFERROR(INDEX('Исходник'!$1:$626,MATCH($A371,'Исходник'!$T:$T,0),MATCH(Q$1,'Исходник'!$1:$1,0)))</f>
        <v/>
      </c>
      <c r="R371" s="1" t="str">
        <f t="array" ref="R371">IFERROR(INDEX('Исходник'!$1:$626,MATCH($A371,'Исходник'!$T:$T,0),MATCH(R$1,'Исходник'!$1:$1,0)))</f>
        <v/>
      </c>
      <c r="S371" s="27">
        <f t="shared" si="7"/>
        <v>0</v>
      </c>
      <c r="T371" s="27" t="str">
        <f t="shared" si="8"/>
        <v/>
      </c>
      <c r="U371" s="1" t="str">
        <f t="array" ref="U371">IFERROR(INDEX('Исходник'!$1:$626,MATCH($A371,'Исходник'!$T:$T,0),MATCH(U$1,'Исходник'!$1:$1,0)))</f>
        <v/>
      </c>
      <c r="V371" s="27" t="str">
        <f t="shared" si="9"/>
        <v/>
      </c>
      <c r="W371" s="1" t="str">
        <f t="array" ref="W371">IFERROR(INDEX('Исходник'!$1:$626,MATCH($A371,'Исходник'!$T:$T,0),MATCH(W$1,'Исходник'!$1:$1,0)))</f>
        <v/>
      </c>
      <c r="X371" s="28">
        <f t="shared" si="10"/>
        <v>0</v>
      </c>
      <c r="Y371" s="1" t="str">
        <f t="array" ref="Y371">IFERROR(INDEX('Исходник'!$1:$626,MATCH($A371,'Исходник'!$T:$T,0),MATCH(Y$1,'Исходник'!$1:$1,0)))</f>
        <v/>
      </c>
      <c r="Z371" s="27">
        <f t="shared" si="11"/>
        <v>0</v>
      </c>
      <c r="AA371" s="27" t="str">
        <f t="shared" si="12"/>
        <v/>
      </c>
      <c r="AB371" s="1" t="str">
        <f t="array" ref="AB371">IFERROR(INDEX('Исходник'!$1:$626,MATCH($A371,'Исходник'!$T:$T,0),MATCH(AB$1,'Исходник'!$1:$1,0)))</f>
        <v/>
      </c>
      <c r="AC371" s="1" t="str">
        <f t="array" ref="AC371">IFERROR(INDEX('Исходник'!$1:$626,MATCH($A371,'Исходник'!$T:$T,0),MATCH(AC$1,'Исходник'!$1:$1,0)))</f>
        <v/>
      </c>
      <c r="AD371" s="27" t="str">
        <f t="shared" si="13"/>
        <v/>
      </c>
      <c r="AE371" s="1" t="str">
        <f t="array" ref="AE371">IFERROR(INDEX('Исходник'!$1:$626,MATCH($A371,'Исходник'!$T:$T,0),MATCH(AE$1,'Исходник'!$1:$1,0)))</f>
        <v/>
      </c>
      <c r="AF371" s="1" t="str">
        <f t="array" ref="AF371">IFERROR(INDEX('Исходник'!$1:$626,MATCH($A371,'Исходник'!$T:$T,0),MATCH(AF$1,'Исходник'!$1:$1,0)))</f>
        <v/>
      </c>
      <c r="AG371" s="27" t="str">
        <f t="shared" si="14"/>
        <v/>
      </c>
      <c r="AH371" s="1" t="str">
        <f t="array" ref="AH371">IFERROR(INDEX('Исходник'!$1:$626,MATCH($A371,'Исходник'!$T:$T,0),MATCH(AH$1,'Исходник'!$1:$1,0)))</f>
        <v/>
      </c>
      <c r="AI371" s="1" t="str">
        <f t="array" ref="AI371">IFERROR(INDEX('Исходник'!$1:$626,MATCH($A371,'Исходник'!$T:$T,0),MATCH(AI$1,'Исходник'!$1:$1,0)))</f>
        <v/>
      </c>
      <c r="AJ371" s="18">
        <f t="shared" si="15"/>
        <v>0</v>
      </c>
    </row>
    <row r="372" ht="15.75" customHeight="1">
      <c r="A372" s="27"/>
      <c r="B372" s="1" t="str">
        <f t="array" ref="B372">IFERROR(INDEX('Исходник'!$1:$626,MATCH($A372,'Исходник'!$T:$T,0),MATCH(B$1,'Исходник'!$1:$1,0)))</f>
        <v/>
      </c>
      <c r="C372" s="1" t="str">
        <f t="array" ref="C372">IFERROR(INDEX('Исходник'!$1:$626,MATCH($A372,'Исходник'!$T:$T,0),MATCH(C$1,'Исходник'!$1:$1,0)))</f>
        <v/>
      </c>
      <c r="D372" s="1" t="str">
        <f t="array" ref="D372">IFERROR(INDEX('Исходник'!$1:$626,MATCH($A372,'Исходник'!$T:$T,0),MATCH(D$1,'Исходник'!$1:$1,0)))</f>
        <v/>
      </c>
      <c r="E372" s="1" t="str">
        <f t="array" ref="E372">IFERROR(INDEX('Исходник'!$1:$626,MATCH($A372,'Исходник'!$T:$T,0),MATCH(E$1,'Исходник'!$1:$1,0)))</f>
        <v/>
      </c>
      <c r="F372" s="1" t="str">
        <f t="array" ref="F372">IFERROR(INDEX('Исходник'!$1:$626,MATCH($A372,'Исходник'!$T:$T,0),MATCH(F$1,'Исходник'!$1:$1,0)))</f>
        <v/>
      </c>
      <c r="G372" s="1" t="str">
        <f t="array" ref="G372">IFERROR(INDEX('Исходник'!$1:$626,MATCH($A372,'Исходник'!$T:$T,0),MATCH(G$1,'Исходник'!$1:$1,0)))</f>
        <v/>
      </c>
      <c r="H372" s="27">
        <f t="shared" si="1"/>
        <v>0</v>
      </c>
      <c r="I372" s="27" t="str">
        <f t="shared" si="2"/>
        <v/>
      </c>
      <c r="J372" s="1" t="str">
        <f t="array" ref="J372">IFERROR(INDEX('Исходник'!$1:$626,MATCH($A372,'Исходник'!$T:$T,0),MATCH(J$1,'Исходник'!$1:$1,0)))</f>
        <v/>
      </c>
      <c r="K372" s="27" t="str">
        <f t="shared" si="3"/>
        <v/>
      </c>
      <c r="L372" s="1" t="str">
        <f t="array" ref="L372">IFERROR(INDEX('Исходник'!$1:$626,MATCH($A372,'Исходник'!$T:$T,0),MATCH(L$1,'Исходник'!$1:$1,0)))</f>
        <v/>
      </c>
      <c r="M372" s="28">
        <f t="shared" si="4"/>
        <v>0</v>
      </c>
      <c r="N372" s="1" t="str">
        <f t="array" ref="N372">IFERROR(INDEX('Исходник'!$1:$626,MATCH($A372,'Исходник'!$T:$T,0),MATCH(N$1,'Исходник'!$1:$1,0)))</f>
        <v/>
      </c>
      <c r="O372" s="27">
        <f t="shared" si="5"/>
        <v>0</v>
      </c>
      <c r="P372" s="27" t="str">
        <f t="shared" si="6"/>
        <v/>
      </c>
      <c r="Q372" s="1" t="str">
        <f t="array" ref="Q372">IFERROR(INDEX('Исходник'!$1:$626,MATCH($A372,'Исходник'!$T:$T,0),MATCH(Q$1,'Исходник'!$1:$1,0)))</f>
        <v/>
      </c>
      <c r="R372" s="1" t="str">
        <f t="array" ref="R372">IFERROR(INDEX('Исходник'!$1:$626,MATCH($A372,'Исходник'!$T:$T,0),MATCH(R$1,'Исходник'!$1:$1,0)))</f>
        <v/>
      </c>
      <c r="S372" s="27">
        <f t="shared" si="7"/>
        <v>0</v>
      </c>
      <c r="T372" s="27" t="str">
        <f t="shared" si="8"/>
        <v/>
      </c>
      <c r="U372" s="1" t="str">
        <f t="array" ref="U372">IFERROR(INDEX('Исходник'!$1:$626,MATCH($A372,'Исходник'!$T:$T,0),MATCH(U$1,'Исходник'!$1:$1,0)))</f>
        <v/>
      </c>
      <c r="V372" s="27" t="str">
        <f t="shared" si="9"/>
        <v/>
      </c>
      <c r="W372" s="1" t="str">
        <f t="array" ref="W372">IFERROR(INDEX('Исходник'!$1:$626,MATCH($A372,'Исходник'!$T:$T,0),MATCH(W$1,'Исходник'!$1:$1,0)))</f>
        <v/>
      </c>
      <c r="X372" s="28">
        <f t="shared" si="10"/>
        <v>0</v>
      </c>
      <c r="Y372" s="1" t="str">
        <f t="array" ref="Y372">IFERROR(INDEX('Исходник'!$1:$626,MATCH($A372,'Исходник'!$T:$T,0),MATCH(Y$1,'Исходник'!$1:$1,0)))</f>
        <v/>
      </c>
      <c r="Z372" s="27">
        <f t="shared" si="11"/>
        <v>0</v>
      </c>
      <c r="AA372" s="27" t="str">
        <f t="shared" si="12"/>
        <v/>
      </c>
      <c r="AB372" s="1" t="str">
        <f t="array" ref="AB372">IFERROR(INDEX('Исходник'!$1:$626,MATCH($A372,'Исходник'!$T:$T,0),MATCH(AB$1,'Исходник'!$1:$1,0)))</f>
        <v/>
      </c>
      <c r="AC372" s="1" t="str">
        <f t="array" ref="AC372">IFERROR(INDEX('Исходник'!$1:$626,MATCH($A372,'Исходник'!$T:$T,0),MATCH(AC$1,'Исходник'!$1:$1,0)))</f>
        <v/>
      </c>
      <c r="AD372" s="27" t="str">
        <f t="shared" si="13"/>
        <v/>
      </c>
      <c r="AE372" s="1" t="str">
        <f t="array" ref="AE372">IFERROR(INDEX('Исходник'!$1:$626,MATCH($A372,'Исходник'!$T:$T,0),MATCH(AE$1,'Исходник'!$1:$1,0)))</f>
        <v/>
      </c>
      <c r="AF372" s="1" t="str">
        <f t="array" ref="AF372">IFERROR(INDEX('Исходник'!$1:$626,MATCH($A372,'Исходник'!$T:$T,0),MATCH(AF$1,'Исходник'!$1:$1,0)))</f>
        <v/>
      </c>
      <c r="AG372" s="27" t="str">
        <f t="shared" si="14"/>
        <v/>
      </c>
      <c r="AH372" s="1" t="str">
        <f t="array" ref="AH372">IFERROR(INDEX('Исходник'!$1:$626,MATCH($A372,'Исходник'!$T:$T,0),MATCH(AH$1,'Исходник'!$1:$1,0)))</f>
        <v/>
      </c>
      <c r="AI372" s="1" t="str">
        <f t="array" ref="AI372">IFERROR(INDEX('Исходник'!$1:$626,MATCH($A372,'Исходник'!$T:$T,0),MATCH(AI$1,'Исходник'!$1:$1,0)))</f>
        <v/>
      </c>
      <c r="AJ372" s="18">
        <f t="shared" si="15"/>
        <v>0</v>
      </c>
    </row>
    <row r="373" ht="15.75" customHeight="1">
      <c r="A373" s="27"/>
      <c r="B373" s="1" t="str">
        <f t="array" ref="B373">IFERROR(INDEX('Исходник'!$1:$626,MATCH($A373,'Исходник'!$T:$T,0),MATCH(B$1,'Исходник'!$1:$1,0)))</f>
        <v/>
      </c>
      <c r="C373" s="1" t="str">
        <f t="array" ref="C373">IFERROR(INDEX('Исходник'!$1:$626,MATCH($A373,'Исходник'!$T:$T,0),MATCH(C$1,'Исходник'!$1:$1,0)))</f>
        <v/>
      </c>
      <c r="D373" s="1" t="str">
        <f t="array" ref="D373">IFERROR(INDEX('Исходник'!$1:$626,MATCH($A373,'Исходник'!$T:$T,0),MATCH(D$1,'Исходник'!$1:$1,0)))</f>
        <v/>
      </c>
      <c r="E373" s="1" t="str">
        <f t="array" ref="E373">IFERROR(INDEX('Исходник'!$1:$626,MATCH($A373,'Исходник'!$T:$T,0),MATCH(E$1,'Исходник'!$1:$1,0)))</f>
        <v/>
      </c>
      <c r="F373" s="1" t="str">
        <f t="array" ref="F373">IFERROR(INDEX('Исходник'!$1:$626,MATCH($A373,'Исходник'!$T:$T,0),MATCH(F$1,'Исходник'!$1:$1,0)))</f>
        <v/>
      </c>
      <c r="G373" s="1" t="str">
        <f t="array" ref="G373">IFERROR(INDEX('Исходник'!$1:$626,MATCH($A373,'Исходник'!$T:$T,0),MATCH(G$1,'Исходник'!$1:$1,0)))</f>
        <v/>
      </c>
      <c r="H373" s="27">
        <f t="shared" si="1"/>
        <v>0</v>
      </c>
      <c r="I373" s="27" t="str">
        <f t="shared" si="2"/>
        <v/>
      </c>
      <c r="J373" s="1" t="str">
        <f t="array" ref="J373">IFERROR(INDEX('Исходник'!$1:$626,MATCH($A373,'Исходник'!$T:$T,0),MATCH(J$1,'Исходник'!$1:$1,0)))</f>
        <v/>
      </c>
      <c r="K373" s="27" t="str">
        <f t="shared" si="3"/>
        <v/>
      </c>
      <c r="L373" s="1" t="str">
        <f t="array" ref="L373">IFERROR(INDEX('Исходник'!$1:$626,MATCH($A373,'Исходник'!$T:$T,0),MATCH(L$1,'Исходник'!$1:$1,0)))</f>
        <v/>
      </c>
      <c r="M373" s="28">
        <f t="shared" si="4"/>
        <v>0</v>
      </c>
      <c r="N373" s="1" t="str">
        <f t="array" ref="N373">IFERROR(INDEX('Исходник'!$1:$626,MATCH($A373,'Исходник'!$T:$T,0),MATCH(N$1,'Исходник'!$1:$1,0)))</f>
        <v/>
      </c>
      <c r="O373" s="27">
        <f t="shared" si="5"/>
        <v>0</v>
      </c>
      <c r="P373" s="27" t="str">
        <f t="shared" si="6"/>
        <v/>
      </c>
      <c r="Q373" s="1" t="str">
        <f t="array" ref="Q373">IFERROR(INDEX('Исходник'!$1:$626,MATCH($A373,'Исходник'!$T:$T,0),MATCH(Q$1,'Исходник'!$1:$1,0)))</f>
        <v/>
      </c>
      <c r="R373" s="1" t="str">
        <f t="array" ref="R373">IFERROR(INDEX('Исходник'!$1:$626,MATCH($A373,'Исходник'!$T:$T,0),MATCH(R$1,'Исходник'!$1:$1,0)))</f>
        <v/>
      </c>
      <c r="S373" s="27">
        <f t="shared" si="7"/>
        <v>0</v>
      </c>
      <c r="T373" s="27" t="str">
        <f t="shared" si="8"/>
        <v/>
      </c>
      <c r="U373" s="1" t="str">
        <f t="array" ref="U373">IFERROR(INDEX('Исходник'!$1:$626,MATCH($A373,'Исходник'!$T:$T,0),MATCH(U$1,'Исходник'!$1:$1,0)))</f>
        <v/>
      </c>
      <c r="V373" s="27" t="str">
        <f t="shared" si="9"/>
        <v/>
      </c>
      <c r="W373" s="1" t="str">
        <f t="array" ref="W373">IFERROR(INDEX('Исходник'!$1:$626,MATCH($A373,'Исходник'!$T:$T,0),MATCH(W$1,'Исходник'!$1:$1,0)))</f>
        <v/>
      </c>
      <c r="X373" s="28">
        <f t="shared" si="10"/>
        <v>0</v>
      </c>
      <c r="Y373" s="1" t="str">
        <f t="array" ref="Y373">IFERROR(INDEX('Исходник'!$1:$626,MATCH($A373,'Исходник'!$T:$T,0),MATCH(Y$1,'Исходник'!$1:$1,0)))</f>
        <v/>
      </c>
      <c r="Z373" s="27">
        <f t="shared" si="11"/>
        <v>0</v>
      </c>
      <c r="AA373" s="27" t="str">
        <f t="shared" si="12"/>
        <v/>
      </c>
      <c r="AB373" s="1" t="str">
        <f t="array" ref="AB373">IFERROR(INDEX('Исходник'!$1:$626,MATCH($A373,'Исходник'!$T:$T,0),MATCH(AB$1,'Исходник'!$1:$1,0)))</f>
        <v/>
      </c>
      <c r="AC373" s="1" t="str">
        <f t="array" ref="AC373">IFERROR(INDEX('Исходник'!$1:$626,MATCH($A373,'Исходник'!$T:$T,0),MATCH(AC$1,'Исходник'!$1:$1,0)))</f>
        <v/>
      </c>
      <c r="AD373" s="27" t="str">
        <f t="shared" si="13"/>
        <v/>
      </c>
      <c r="AE373" s="1" t="str">
        <f t="array" ref="AE373">IFERROR(INDEX('Исходник'!$1:$626,MATCH($A373,'Исходник'!$T:$T,0),MATCH(AE$1,'Исходник'!$1:$1,0)))</f>
        <v/>
      </c>
      <c r="AF373" s="1" t="str">
        <f t="array" ref="AF373">IFERROR(INDEX('Исходник'!$1:$626,MATCH($A373,'Исходник'!$T:$T,0),MATCH(AF$1,'Исходник'!$1:$1,0)))</f>
        <v/>
      </c>
      <c r="AG373" s="27" t="str">
        <f t="shared" si="14"/>
        <v/>
      </c>
      <c r="AH373" s="1" t="str">
        <f t="array" ref="AH373">IFERROR(INDEX('Исходник'!$1:$626,MATCH($A373,'Исходник'!$T:$T,0),MATCH(AH$1,'Исходник'!$1:$1,0)))</f>
        <v/>
      </c>
      <c r="AI373" s="1" t="str">
        <f t="array" ref="AI373">IFERROR(INDEX('Исходник'!$1:$626,MATCH($A373,'Исходник'!$T:$T,0),MATCH(AI$1,'Исходник'!$1:$1,0)))</f>
        <v/>
      </c>
      <c r="AJ373" s="18">
        <f t="shared" si="15"/>
        <v>0</v>
      </c>
    </row>
    <row r="374" ht="15.75" customHeight="1">
      <c r="A374" s="27"/>
      <c r="B374" s="1" t="str">
        <f t="array" ref="B374">IFERROR(INDEX('Исходник'!$1:$626,MATCH($A374,'Исходник'!$T:$T,0),MATCH(B$1,'Исходник'!$1:$1,0)))</f>
        <v/>
      </c>
      <c r="C374" s="1" t="str">
        <f t="array" ref="C374">IFERROR(INDEX('Исходник'!$1:$626,MATCH($A374,'Исходник'!$T:$T,0),MATCH(C$1,'Исходник'!$1:$1,0)))</f>
        <v/>
      </c>
      <c r="D374" s="1" t="str">
        <f t="array" ref="D374">IFERROR(INDEX('Исходник'!$1:$626,MATCH($A374,'Исходник'!$T:$T,0),MATCH(D$1,'Исходник'!$1:$1,0)))</f>
        <v/>
      </c>
      <c r="E374" s="1" t="str">
        <f t="array" ref="E374">IFERROR(INDEX('Исходник'!$1:$626,MATCH($A374,'Исходник'!$T:$T,0),MATCH(E$1,'Исходник'!$1:$1,0)))</f>
        <v/>
      </c>
      <c r="F374" s="1" t="str">
        <f t="array" ref="F374">IFERROR(INDEX('Исходник'!$1:$626,MATCH($A374,'Исходник'!$T:$T,0),MATCH(F$1,'Исходник'!$1:$1,0)))</f>
        <v/>
      </c>
      <c r="G374" s="1" t="str">
        <f t="array" ref="G374">IFERROR(INDEX('Исходник'!$1:$626,MATCH($A374,'Исходник'!$T:$T,0),MATCH(G$1,'Исходник'!$1:$1,0)))</f>
        <v/>
      </c>
      <c r="H374" s="27">
        <f t="shared" si="1"/>
        <v>0</v>
      </c>
      <c r="I374" s="27" t="str">
        <f t="shared" si="2"/>
        <v/>
      </c>
      <c r="J374" s="1" t="str">
        <f t="array" ref="J374">IFERROR(INDEX('Исходник'!$1:$626,MATCH($A374,'Исходник'!$T:$T,0),MATCH(J$1,'Исходник'!$1:$1,0)))</f>
        <v/>
      </c>
      <c r="K374" s="27" t="str">
        <f t="shared" si="3"/>
        <v/>
      </c>
      <c r="L374" s="1" t="str">
        <f t="array" ref="L374">IFERROR(INDEX('Исходник'!$1:$626,MATCH($A374,'Исходник'!$T:$T,0),MATCH(L$1,'Исходник'!$1:$1,0)))</f>
        <v/>
      </c>
      <c r="M374" s="28">
        <f t="shared" si="4"/>
        <v>0</v>
      </c>
      <c r="N374" s="1" t="str">
        <f t="array" ref="N374">IFERROR(INDEX('Исходник'!$1:$626,MATCH($A374,'Исходник'!$T:$T,0),MATCH(N$1,'Исходник'!$1:$1,0)))</f>
        <v/>
      </c>
      <c r="O374" s="27">
        <f t="shared" si="5"/>
        <v>0</v>
      </c>
      <c r="P374" s="27" t="str">
        <f t="shared" si="6"/>
        <v/>
      </c>
      <c r="Q374" s="1" t="str">
        <f t="array" ref="Q374">IFERROR(INDEX('Исходник'!$1:$626,MATCH($A374,'Исходник'!$T:$T,0),MATCH(Q$1,'Исходник'!$1:$1,0)))</f>
        <v/>
      </c>
      <c r="R374" s="1" t="str">
        <f t="array" ref="R374">IFERROR(INDEX('Исходник'!$1:$626,MATCH($A374,'Исходник'!$T:$T,0),MATCH(R$1,'Исходник'!$1:$1,0)))</f>
        <v/>
      </c>
      <c r="S374" s="27">
        <f t="shared" si="7"/>
        <v>0</v>
      </c>
      <c r="T374" s="27" t="str">
        <f t="shared" si="8"/>
        <v/>
      </c>
      <c r="U374" s="1" t="str">
        <f t="array" ref="U374">IFERROR(INDEX('Исходник'!$1:$626,MATCH($A374,'Исходник'!$T:$T,0),MATCH(U$1,'Исходник'!$1:$1,0)))</f>
        <v/>
      </c>
      <c r="V374" s="27" t="str">
        <f t="shared" si="9"/>
        <v/>
      </c>
      <c r="W374" s="1" t="str">
        <f t="array" ref="W374">IFERROR(INDEX('Исходник'!$1:$626,MATCH($A374,'Исходник'!$T:$T,0),MATCH(W$1,'Исходник'!$1:$1,0)))</f>
        <v/>
      </c>
      <c r="X374" s="28">
        <f t="shared" si="10"/>
        <v>0</v>
      </c>
      <c r="Y374" s="1" t="str">
        <f t="array" ref="Y374">IFERROR(INDEX('Исходник'!$1:$626,MATCH($A374,'Исходник'!$T:$T,0),MATCH(Y$1,'Исходник'!$1:$1,0)))</f>
        <v/>
      </c>
      <c r="Z374" s="27">
        <f t="shared" si="11"/>
        <v>0</v>
      </c>
      <c r="AA374" s="27" t="str">
        <f t="shared" si="12"/>
        <v/>
      </c>
      <c r="AB374" s="1" t="str">
        <f t="array" ref="AB374">IFERROR(INDEX('Исходник'!$1:$626,MATCH($A374,'Исходник'!$T:$T,0),MATCH(AB$1,'Исходник'!$1:$1,0)))</f>
        <v/>
      </c>
      <c r="AC374" s="1" t="str">
        <f t="array" ref="AC374">IFERROR(INDEX('Исходник'!$1:$626,MATCH($A374,'Исходник'!$T:$T,0),MATCH(AC$1,'Исходник'!$1:$1,0)))</f>
        <v/>
      </c>
      <c r="AD374" s="27" t="str">
        <f t="shared" si="13"/>
        <v/>
      </c>
      <c r="AE374" s="1" t="str">
        <f t="array" ref="AE374">IFERROR(INDEX('Исходник'!$1:$626,MATCH($A374,'Исходник'!$T:$T,0),MATCH(AE$1,'Исходник'!$1:$1,0)))</f>
        <v/>
      </c>
      <c r="AF374" s="1" t="str">
        <f t="array" ref="AF374">IFERROR(INDEX('Исходник'!$1:$626,MATCH($A374,'Исходник'!$T:$T,0),MATCH(AF$1,'Исходник'!$1:$1,0)))</f>
        <v/>
      </c>
      <c r="AG374" s="27" t="str">
        <f t="shared" si="14"/>
        <v/>
      </c>
      <c r="AH374" s="1" t="str">
        <f t="array" ref="AH374">IFERROR(INDEX('Исходник'!$1:$626,MATCH($A374,'Исходник'!$T:$T,0),MATCH(AH$1,'Исходник'!$1:$1,0)))</f>
        <v/>
      </c>
      <c r="AI374" s="1" t="str">
        <f t="array" ref="AI374">IFERROR(INDEX('Исходник'!$1:$626,MATCH($A374,'Исходник'!$T:$T,0),MATCH(AI$1,'Исходник'!$1:$1,0)))</f>
        <v/>
      </c>
      <c r="AJ374" s="18">
        <f t="shared" si="15"/>
        <v>0</v>
      </c>
    </row>
    <row r="375" ht="15.75" customHeight="1">
      <c r="A375" s="27"/>
      <c r="B375" s="1" t="str">
        <f t="array" ref="B375">IFERROR(INDEX('Исходник'!$1:$626,MATCH($A375,'Исходник'!$T:$T,0),MATCH(B$1,'Исходник'!$1:$1,0)))</f>
        <v/>
      </c>
      <c r="C375" s="1" t="str">
        <f t="array" ref="C375">IFERROR(INDEX('Исходник'!$1:$626,MATCH($A375,'Исходник'!$T:$T,0),MATCH(C$1,'Исходник'!$1:$1,0)))</f>
        <v/>
      </c>
      <c r="D375" s="1" t="str">
        <f t="array" ref="D375">IFERROR(INDEX('Исходник'!$1:$626,MATCH($A375,'Исходник'!$T:$T,0),MATCH(D$1,'Исходник'!$1:$1,0)))</f>
        <v/>
      </c>
      <c r="E375" s="1" t="str">
        <f t="array" ref="E375">IFERROR(INDEX('Исходник'!$1:$626,MATCH($A375,'Исходник'!$T:$T,0),MATCH(E$1,'Исходник'!$1:$1,0)))</f>
        <v/>
      </c>
      <c r="F375" s="1" t="str">
        <f t="array" ref="F375">IFERROR(INDEX('Исходник'!$1:$626,MATCH($A375,'Исходник'!$T:$T,0),MATCH(F$1,'Исходник'!$1:$1,0)))</f>
        <v/>
      </c>
      <c r="G375" s="1" t="str">
        <f t="array" ref="G375">IFERROR(INDEX('Исходник'!$1:$626,MATCH($A375,'Исходник'!$T:$T,0),MATCH(G$1,'Исходник'!$1:$1,0)))</f>
        <v/>
      </c>
      <c r="H375" s="27">
        <f t="shared" si="1"/>
        <v>0</v>
      </c>
      <c r="I375" s="27" t="str">
        <f t="shared" si="2"/>
        <v/>
      </c>
      <c r="J375" s="1" t="str">
        <f t="array" ref="J375">IFERROR(INDEX('Исходник'!$1:$626,MATCH($A375,'Исходник'!$T:$T,0),MATCH(J$1,'Исходник'!$1:$1,0)))</f>
        <v/>
      </c>
      <c r="K375" s="27" t="str">
        <f t="shared" si="3"/>
        <v/>
      </c>
      <c r="L375" s="1" t="str">
        <f t="array" ref="L375">IFERROR(INDEX('Исходник'!$1:$626,MATCH($A375,'Исходник'!$T:$T,0),MATCH(L$1,'Исходник'!$1:$1,0)))</f>
        <v/>
      </c>
      <c r="M375" s="28">
        <f t="shared" si="4"/>
        <v>0</v>
      </c>
      <c r="N375" s="1" t="str">
        <f t="array" ref="N375">IFERROR(INDEX('Исходник'!$1:$626,MATCH($A375,'Исходник'!$T:$T,0),MATCH(N$1,'Исходник'!$1:$1,0)))</f>
        <v/>
      </c>
      <c r="O375" s="27">
        <f t="shared" si="5"/>
        <v>0</v>
      </c>
      <c r="P375" s="27" t="str">
        <f t="shared" si="6"/>
        <v/>
      </c>
      <c r="Q375" s="1" t="str">
        <f t="array" ref="Q375">IFERROR(INDEX('Исходник'!$1:$626,MATCH($A375,'Исходник'!$T:$T,0),MATCH(Q$1,'Исходник'!$1:$1,0)))</f>
        <v/>
      </c>
      <c r="R375" s="1" t="str">
        <f t="array" ref="R375">IFERROR(INDEX('Исходник'!$1:$626,MATCH($A375,'Исходник'!$T:$T,0),MATCH(R$1,'Исходник'!$1:$1,0)))</f>
        <v/>
      </c>
      <c r="S375" s="27">
        <f t="shared" si="7"/>
        <v>0</v>
      </c>
      <c r="T375" s="27" t="str">
        <f t="shared" si="8"/>
        <v/>
      </c>
      <c r="U375" s="1" t="str">
        <f t="array" ref="U375">IFERROR(INDEX('Исходник'!$1:$626,MATCH($A375,'Исходник'!$T:$T,0),MATCH(U$1,'Исходник'!$1:$1,0)))</f>
        <v/>
      </c>
      <c r="V375" s="27" t="str">
        <f t="shared" si="9"/>
        <v/>
      </c>
      <c r="W375" s="1" t="str">
        <f t="array" ref="W375">IFERROR(INDEX('Исходник'!$1:$626,MATCH($A375,'Исходник'!$T:$T,0),MATCH(W$1,'Исходник'!$1:$1,0)))</f>
        <v/>
      </c>
      <c r="X375" s="28">
        <f t="shared" si="10"/>
        <v>0</v>
      </c>
      <c r="Y375" s="1" t="str">
        <f t="array" ref="Y375">IFERROR(INDEX('Исходник'!$1:$626,MATCH($A375,'Исходник'!$T:$T,0),MATCH(Y$1,'Исходник'!$1:$1,0)))</f>
        <v/>
      </c>
      <c r="Z375" s="27">
        <f t="shared" si="11"/>
        <v>0</v>
      </c>
      <c r="AA375" s="27" t="str">
        <f t="shared" si="12"/>
        <v/>
      </c>
      <c r="AB375" s="1" t="str">
        <f t="array" ref="AB375">IFERROR(INDEX('Исходник'!$1:$626,MATCH($A375,'Исходник'!$T:$T,0),MATCH(AB$1,'Исходник'!$1:$1,0)))</f>
        <v/>
      </c>
      <c r="AC375" s="1" t="str">
        <f t="array" ref="AC375">IFERROR(INDEX('Исходник'!$1:$626,MATCH($A375,'Исходник'!$T:$T,0),MATCH(AC$1,'Исходник'!$1:$1,0)))</f>
        <v/>
      </c>
      <c r="AD375" s="27" t="str">
        <f t="shared" si="13"/>
        <v/>
      </c>
      <c r="AE375" s="1" t="str">
        <f t="array" ref="AE375">IFERROR(INDEX('Исходник'!$1:$626,MATCH($A375,'Исходник'!$T:$T,0),MATCH(AE$1,'Исходник'!$1:$1,0)))</f>
        <v/>
      </c>
      <c r="AF375" s="1" t="str">
        <f t="array" ref="AF375">IFERROR(INDEX('Исходник'!$1:$626,MATCH($A375,'Исходник'!$T:$T,0),MATCH(AF$1,'Исходник'!$1:$1,0)))</f>
        <v/>
      </c>
      <c r="AG375" s="27" t="str">
        <f t="shared" si="14"/>
        <v/>
      </c>
      <c r="AH375" s="1" t="str">
        <f t="array" ref="AH375">IFERROR(INDEX('Исходник'!$1:$626,MATCH($A375,'Исходник'!$T:$T,0),MATCH(AH$1,'Исходник'!$1:$1,0)))</f>
        <v/>
      </c>
      <c r="AI375" s="1" t="str">
        <f t="array" ref="AI375">IFERROR(INDEX('Исходник'!$1:$626,MATCH($A375,'Исходник'!$T:$T,0),MATCH(AI$1,'Исходник'!$1:$1,0)))</f>
        <v/>
      </c>
      <c r="AJ375" s="18">
        <f t="shared" si="15"/>
        <v>0</v>
      </c>
    </row>
    <row r="376" ht="15.75" customHeight="1">
      <c r="A376" s="27"/>
      <c r="B376" s="1" t="str">
        <f t="array" ref="B376">IFERROR(INDEX('Исходник'!$1:$626,MATCH($A376,'Исходник'!$T:$T,0),MATCH(B$1,'Исходник'!$1:$1,0)))</f>
        <v/>
      </c>
      <c r="C376" s="1" t="str">
        <f t="array" ref="C376">IFERROR(INDEX('Исходник'!$1:$626,MATCH($A376,'Исходник'!$T:$T,0),MATCH(C$1,'Исходник'!$1:$1,0)))</f>
        <v/>
      </c>
      <c r="D376" s="1" t="str">
        <f t="array" ref="D376">IFERROR(INDEX('Исходник'!$1:$626,MATCH($A376,'Исходник'!$T:$T,0),MATCH(D$1,'Исходник'!$1:$1,0)))</f>
        <v/>
      </c>
      <c r="E376" s="1" t="str">
        <f t="array" ref="E376">IFERROR(INDEX('Исходник'!$1:$626,MATCH($A376,'Исходник'!$T:$T,0),MATCH(E$1,'Исходник'!$1:$1,0)))</f>
        <v/>
      </c>
      <c r="F376" s="1" t="str">
        <f t="array" ref="F376">IFERROR(INDEX('Исходник'!$1:$626,MATCH($A376,'Исходник'!$T:$T,0),MATCH(F$1,'Исходник'!$1:$1,0)))</f>
        <v/>
      </c>
      <c r="G376" s="1" t="str">
        <f t="array" ref="G376">IFERROR(INDEX('Исходник'!$1:$626,MATCH($A376,'Исходник'!$T:$T,0),MATCH(G$1,'Исходник'!$1:$1,0)))</f>
        <v/>
      </c>
      <c r="H376" s="27">
        <f t="shared" si="1"/>
        <v>0</v>
      </c>
      <c r="I376" s="27" t="str">
        <f t="shared" si="2"/>
        <v/>
      </c>
      <c r="J376" s="1" t="str">
        <f t="array" ref="J376">IFERROR(INDEX('Исходник'!$1:$626,MATCH($A376,'Исходник'!$T:$T,0),MATCH(J$1,'Исходник'!$1:$1,0)))</f>
        <v/>
      </c>
      <c r="K376" s="27" t="str">
        <f t="shared" si="3"/>
        <v/>
      </c>
      <c r="L376" s="1" t="str">
        <f t="array" ref="L376">IFERROR(INDEX('Исходник'!$1:$626,MATCH($A376,'Исходник'!$T:$T,0),MATCH(L$1,'Исходник'!$1:$1,0)))</f>
        <v/>
      </c>
      <c r="M376" s="28">
        <f t="shared" si="4"/>
        <v>0</v>
      </c>
      <c r="N376" s="1" t="str">
        <f t="array" ref="N376">IFERROR(INDEX('Исходник'!$1:$626,MATCH($A376,'Исходник'!$T:$T,0),MATCH(N$1,'Исходник'!$1:$1,0)))</f>
        <v/>
      </c>
      <c r="O376" s="27">
        <f t="shared" si="5"/>
        <v>0</v>
      </c>
      <c r="P376" s="27" t="str">
        <f t="shared" si="6"/>
        <v/>
      </c>
      <c r="Q376" s="1" t="str">
        <f t="array" ref="Q376">IFERROR(INDEX('Исходник'!$1:$626,MATCH($A376,'Исходник'!$T:$T,0),MATCH(Q$1,'Исходник'!$1:$1,0)))</f>
        <v/>
      </c>
      <c r="R376" s="1" t="str">
        <f t="array" ref="R376">IFERROR(INDEX('Исходник'!$1:$626,MATCH($A376,'Исходник'!$T:$T,0),MATCH(R$1,'Исходник'!$1:$1,0)))</f>
        <v/>
      </c>
      <c r="S376" s="27">
        <f t="shared" si="7"/>
        <v>0</v>
      </c>
      <c r="T376" s="27" t="str">
        <f t="shared" si="8"/>
        <v/>
      </c>
      <c r="U376" s="1" t="str">
        <f t="array" ref="U376">IFERROR(INDEX('Исходник'!$1:$626,MATCH($A376,'Исходник'!$T:$T,0),MATCH(U$1,'Исходник'!$1:$1,0)))</f>
        <v/>
      </c>
      <c r="V376" s="27" t="str">
        <f t="shared" si="9"/>
        <v/>
      </c>
      <c r="W376" s="1" t="str">
        <f t="array" ref="W376">IFERROR(INDEX('Исходник'!$1:$626,MATCH($A376,'Исходник'!$T:$T,0),MATCH(W$1,'Исходник'!$1:$1,0)))</f>
        <v/>
      </c>
      <c r="X376" s="28">
        <f t="shared" si="10"/>
        <v>0</v>
      </c>
      <c r="Y376" s="1" t="str">
        <f t="array" ref="Y376">IFERROR(INDEX('Исходник'!$1:$626,MATCH($A376,'Исходник'!$T:$T,0),MATCH(Y$1,'Исходник'!$1:$1,0)))</f>
        <v/>
      </c>
      <c r="Z376" s="27">
        <f t="shared" si="11"/>
        <v>0</v>
      </c>
      <c r="AA376" s="27" t="str">
        <f t="shared" si="12"/>
        <v/>
      </c>
      <c r="AB376" s="1" t="str">
        <f t="array" ref="AB376">IFERROR(INDEX('Исходник'!$1:$626,MATCH($A376,'Исходник'!$T:$T,0),MATCH(AB$1,'Исходник'!$1:$1,0)))</f>
        <v/>
      </c>
      <c r="AC376" s="1" t="str">
        <f t="array" ref="AC376">IFERROR(INDEX('Исходник'!$1:$626,MATCH($A376,'Исходник'!$T:$T,0),MATCH(AC$1,'Исходник'!$1:$1,0)))</f>
        <v/>
      </c>
      <c r="AD376" s="27" t="str">
        <f t="shared" si="13"/>
        <v/>
      </c>
      <c r="AE376" s="1" t="str">
        <f t="array" ref="AE376">IFERROR(INDEX('Исходник'!$1:$626,MATCH($A376,'Исходник'!$T:$T,0),MATCH(AE$1,'Исходник'!$1:$1,0)))</f>
        <v/>
      </c>
      <c r="AF376" s="1" t="str">
        <f t="array" ref="AF376">IFERROR(INDEX('Исходник'!$1:$626,MATCH($A376,'Исходник'!$T:$T,0),MATCH(AF$1,'Исходник'!$1:$1,0)))</f>
        <v/>
      </c>
      <c r="AG376" s="27" t="str">
        <f t="shared" si="14"/>
        <v/>
      </c>
      <c r="AH376" s="1" t="str">
        <f t="array" ref="AH376">IFERROR(INDEX('Исходник'!$1:$626,MATCH($A376,'Исходник'!$T:$T,0),MATCH(AH$1,'Исходник'!$1:$1,0)))</f>
        <v/>
      </c>
      <c r="AI376" s="1" t="str">
        <f t="array" ref="AI376">IFERROR(INDEX('Исходник'!$1:$626,MATCH($A376,'Исходник'!$T:$T,0),MATCH(AI$1,'Исходник'!$1:$1,0)))</f>
        <v/>
      </c>
      <c r="AJ376" s="18">
        <f t="shared" si="15"/>
        <v>0</v>
      </c>
    </row>
    <row r="377" ht="15.75" customHeight="1">
      <c r="A377" s="27"/>
      <c r="B377" s="1" t="str">
        <f t="array" ref="B377">IFERROR(INDEX('Исходник'!$1:$626,MATCH($A377,'Исходник'!$T:$T,0),MATCH(B$1,'Исходник'!$1:$1,0)))</f>
        <v/>
      </c>
      <c r="C377" s="1" t="str">
        <f t="array" ref="C377">IFERROR(INDEX('Исходник'!$1:$626,MATCH($A377,'Исходник'!$T:$T,0),MATCH(C$1,'Исходник'!$1:$1,0)))</f>
        <v/>
      </c>
      <c r="D377" s="1" t="str">
        <f t="array" ref="D377">IFERROR(INDEX('Исходник'!$1:$626,MATCH($A377,'Исходник'!$T:$T,0),MATCH(D$1,'Исходник'!$1:$1,0)))</f>
        <v/>
      </c>
      <c r="E377" s="1" t="str">
        <f t="array" ref="E377">IFERROR(INDEX('Исходник'!$1:$626,MATCH($A377,'Исходник'!$T:$T,0),MATCH(E$1,'Исходник'!$1:$1,0)))</f>
        <v/>
      </c>
      <c r="F377" s="1" t="str">
        <f t="array" ref="F377">IFERROR(INDEX('Исходник'!$1:$626,MATCH($A377,'Исходник'!$T:$T,0),MATCH(F$1,'Исходник'!$1:$1,0)))</f>
        <v/>
      </c>
      <c r="G377" s="1" t="str">
        <f t="array" ref="G377">IFERROR(INDEX('Исходник'!$1:$626,MATCH($A377,'Исходник'!$T:$T,0),MATCH(G$1,'Исходник'!$1:$1,0)))</f>
        <v/>
      </c>
      <c r="H377" s="27">
        <f t="shared" si="1"/>
        <v>0</v>
      </c>
      <c r="I377" s="27" t="str">
        <f t="shared" si="2"/>
        <v/>
      </c>
      <c r="J377" s="1" t="str">
        <f t="array" ref="J377">IFERROR(INDEX('Исходник'!$1:$626,MATCH($A377,'Исходник'!$T:$T,0),MATCH(J$1,'Исходник'!$1:$1,0)))</f>
        <v/>
      </c>
      <c r="K377" s="27" t="str">
        <f t="shared" si="3"/>
        <v/>
      </c>
      <c r="L377" s="1" t="str">
        <f t="array" ref="L377">IFERROR(INDEX('Исходник'!$1:$626,MATCH($A377,'Исходник'!$T:$T,0),MATCH(L$1,'Исходник'!$1:$1,0)))</f>
        <v/>
      </c>
      <c r="M377" s="28">
        <f t="shared" si="4"/>
        <v>0</v>
      </c>
      <c r="N377" s="1" t="str">
        <f t="array" ref="N377">IFERROR(INDEX('Исходник'!$1:$626,MATCH($A377,'Исходник'!$T:$T,0),MATCH(N$1,'Исходник'!$1:$1,0)))</f>
        <v/>
      </c>
      <c r="O377" s="27">
        <f t="shared" si="5"/>
        <v>0</v>
      </c>
      <c r="P377" s="27" t="str">
        <f t="shared" si="6"/>
        <v/>
      </c>
      <c r="Q377" s="1" t="str">
        <f t="array" ref="Q377">IFERROR(INDEX('Исходник'!$1:$626,MATCH($A377,'Исходник'!$T:$T,0),MATCH(Q$1,'Исходник'!$1:$1,0)))</f>
        <v/>
      </c>
      <c r="R377" s="1" t="str">
        <f t="array" ref="R377">IFERROR(INDEX('Исходник'!$1:$626,MATCH($A377,'Исходник'!$T:$T,0),MATCH(R$1,'Исходник'!$1:$1,0)))</f>
        <v/>
      </c>
      <c r="S377" s="27">
        <f t="shared" si="7"/>
        <v>0</v>
      </c>
      <c r="T377" s="27" t="str">
        <f t="shared" si="8"/>
        <v/>
      </c>
      <c r="U377" s="1" t="str">
        <f t="array" ref="U377">IFERROR(INDEX('Исходник'!$1:$626,MATCH($A377,'Исходник'!$T:$T,0),MATCH(U$1,'Исходник'!$1:$1,0)))</f>
        <v/>
      </c>
      <c r="V377" s="27" t="str">
        <f t="shared" si="9"/>
        <v/>
      </c>
      <c r="W377" s="1" t="str">
        <f t="array" ref="W377">IFERROR(INDEX('Исходник'!$1:$626,MATCH($A377,'Исходник'!$T:$T,0),MATCH(W$1,'Исходник'!$1:$1,0)))</f>
        <v/>
      </c>
      <c r="X377" s="28">
        <f t="shared" si="10"/>
        <v>0</v>
      </c>
      <c r="Y377" s="1" t="str">
        <f t="array" ref="Y377">IFERROR(INDEX('Исходник'!$1:$626,MATCH($A377,'Исходник'!$T:$T,0),MATCH(Y$1,'Исходник'!$1:$1,0)))</f>
        <v/>
      </c>
      <c r="Z377" s="27">
        <f t="shared" si="11"/>
        <v>0</v>
      </c>
      <c r="AA377" s="27" t="str">
        <f t="shared" si="12"/>
        <v/>
      </c>
      <c r="AB377" s="1" t="str">
        <f t="array" ref="AB377">IFERROR(INDEX('Исходник'!$1:$626,MATCH($A377,'Исходник'!$T:$T,0),MATCH(AB$1,'Исходник'!$1:$1,0)))</f>
        <v/>
      </c>
      <c r="AC377" s="1" t="str">
        <f t="array" ref="AC377">IFERROR(INDEX('Исходник'!$1:$626,MATCH($A377,'Исходник'!$T:$T,0),MATCH(AC$1,'Исходник'!$1:$1,0)))</f>
        <v/>
      </c>
      <c r="AD377" s="27" t="str">
        <f t="shared" si="13"/>
        <v/>
      </c>
      <c r="AE377" s="1" t="str">
        <f t="array" ref="AE377">IFERROR(INDEX('Исходник'!$1:$626,MATCH($A377,'Исходник'!$T:$T,0),MATCH(AE$1,'Исходник'!$1:$1,0)))</f>
        <v/>
      </c>
      <c r="AF377" s="1" t="str">
        <f t="array" ref="AF377">IFERROR(INDEX('Исходник'!$1:$626,MATCH($A377,'Исходник'!$T:$T,0),MATCH(AF$1,'Исходник'!$1:$1,0)))</f>
        <v/>
      </c>
      <c r="AG377" s="27" t="str">
        <f t="shared" si="14"/>
        <v/>
      </c>
      <c r="AH377" s="1" t="str">
        <f t="array" ref="AH377">IFERROR(INDEX('Исходник'!$1:$626,MATCH($A377,'Исходник'!$T:$T,0),MATCH(AH$1,'Исходник'!$1:$1,0)))</f>
        <v/>
      </c>
      <c r="AI377" s="1" t="str">
        <f t="array" ref="AI377">IFERROR(INDEX('Исходник'!$1:$626,MATCH($A377,'Исходник'!$T:$T,0),MATCH(AI$1,'Исходник'!$1:$1,0)))</f>
        <v/>
      </c>
      <c r="AJ377" s="18">
        <f t="shared" si="15"/>
        <v>0</v>
      </c>
    </row>
    <row r="378" ht="15.75" customHeight="1">
      <c r="A378" s="27"/>
      <c r="B378" s="1" t="str">
        <f t="array" ref="B378">IFERROR(INDEX('Исходник'!$1:$626,MATCH($A378,'Исходник'!$T:$T,0),MATCH(B$1,'Исходник'!$1:$1,0)))</f>
        <v/>
      </c>
      <c r="C378" s="1" t="str">
        <f t="array" ref="C378">IFERROR(INDEX('Исходник'!$1:$626,MATCH($A378,'Исходник'!$T:$T,0),MATCH(C$1,'Исходник'!$1:$1,0)))</f>
        <v/>
      </c>
      <c r="D378" s="1" t="str">
        <f t="array" ref="D378">IFERROR(INDEX('Исходник'!$1:$626,MATCH($A378,'Исходник'!$T:$T,0),MATCH(D$1,'Исходник'!$1:$1,0)))</f>
        <v/>
      </c>
      <c r="E378" s="1" t="str">
        <f t="array" ref="E378">IFERROR(INDEX('Исходник'!$1:$626,MATCH($A378,'Исходник'!$T:$T,0),MATCH(E$1,'Исходник'!$1:$1,0)))</f>
        <v/>
      </c>
      <c r="F378" s="1" t="str">
        <f t="array" ref="F378">IFERROR(INDEX('Исходник'!$1:$626,MATCH($A378,'Исходник'!$T:$T,0),MATCH(F$1,'Исходник'!$1:$1,0)))</f>
        <v/>
      </c>
      <c r="G378" s="1" t="str">
        <f t="array" ref="G378">IFERROR(INDEX('Исходник'!$1:$626,MATCH($A378,'Исходник'!$T:$T,0),MATCH(G$1,'Исходник'!$1:$1,0)))</f>
        <v/>
      </c>
      <c r="H378" s="27">
        <f t="shared" si="1"/>
        <v>0</v>
      </c>
      <c r="I378" s="27" t="str">
        <f t="shared" si="2"/>
        <v/>
      </c>
      <c r="J378" s="1" t="str">
        <f t="array" ref="J378">IFERROR(INDEX('Исходник'!$1:$626,MATCH($A378,'Исходник'!$T:$T,0),MATCH(J$1,'Исходник'!$1:$1,0)))</f>
        <v/>
      </c>
      <c r="K378" s="27" t="str">
        <f t="shared" si="3"/>
        <v/>
      </c>
      <c r="L378" s="1" t="str">
        <f t="array" ref="L378">IFERROR(INDEX('Исходник'!$1:$626,MATCH($A378,'Исходник'!$T:$T,0),MATCH(L$1,'Исходник'!$1:$1,0)))</f>
        <v/>
      </c>
      <c r="M378" s="28">
        <f t="shared" si="4"/>
        <v>0</v>
      </c>
      <c r="N378" s="1" t="str">
        <f t="array" ref="N378">IFERROR(INDEX('Исходник'!$1:$626,MATCH($A378,'Исходник'!$T:$T,0),MATCH(N$1,'Исходник'!$1:$1,0)))</f>
        <v/>
      </c>
      <c r="O378" s="27">
        <f t="shared" si="5"/>
        <v>0</v>
      </c>
      <c r="P378" s="27" t="str">
        <f t="shared" si="6"/>
        <v/>
      </c>
      <c r="Q378" s="1" t="str">
        <f t="array" ref="Q378">IFERROR(INDEX('Исходник'!$1:$626,MATCH($A378,'Исходник'!$T:$T,0),MATCH(Q$1,'Исходник'!$1:$1,0)))</f>
        <v/>
      </c>
      <c r="R378" s="1" t="str">
        <f t="array" ref="R378">IFERROR(INDEX('Исходник'!$1:$626,MATCH($A378,'Исходник'!$T:$T,0),MATCH(R$1,'Исходник'!$1:$1,0)))</f>
        <v/>
      </c>
      <c r="S378" s="27">
        <f t="shared" si="7"/>
        <v>0</v>
      </c>
      <c r="T378" s="27" t="str">
        <f t="shared" si="8"/>
        <v/>
      </c>
      <c r="U378" s="1" t="str">
        <f t="array" ref="U378">IFERROR(INDEX('Исходник'!$1:$626,MATCH($A378,'Исходник'!$T:$T,0),MATCH(U$1,'Исходник'!$1:$1,0)))</f>
        <v/>
      </c>
      <c r="V378" s="27" t="str">
        <f t="shared" si="9"/>
        <v/>
      </c>
      <c r="W378" s="1" t="str">
        <f t="array" ref="W378">IFERROR(INDEX('Исходник'!$1:$626,MATCH($A378,'Исходник'!$T:$T,0),MATCH(W$1,'Исходник'!$1:$1,0)))</f>
        <v/>
      </c>
      <c r="X378" s="28">
        <f t="shared" si="10"/>
        <v>0</v>
      </c>
      <c r="Y378" s="1" t="str">
        <f t="array" ref="Y378">IFERROR(INDEX('Исходник'!$1:$626,MATCH($A378,'Исходник'!$T:$T,0),MATCH(Y$1,'Исходник'!$1:$1,0)))</f>
        <v/>
      </c>
      <c r="Z378" s="27">
        <f t="shared" si="11"/>
        <v>0</v>
      </c>
      <c r="AA378" s="27" t="str">
        <f t="shared" si="12"/>
        <v/>
      </c>
      <c r="AB378" s="1" t="str">
        <f t="array" ref="AB378">IFERROR(INDEX('Исходник'!$1:$626,MATCH($A378,'Исходник'!$T:$T,0),MATCH(AB$1,'Исходник'!$1:$1,0)))</f>
        <v/>
      </c>
      <c r="AC378" s="1" t="str">
        <f t="array" ref="AC378">IFERROR(INDEX('Исходник'!$1:$626,MATCH($A378,'Исходник'!$T:$T,0),MATCH(AC$1,'Исходник'!$1:$1,0)))</f>
        <v/>
      </c>
      <c r="AD378" s="27" t="str">
        <f t="shared" si="13"/>
        <v/>
      </c>
      <c r="AE378" s="1" t="str">
        <f t="array" ref="AE378">IFERROR(INDEX('Исходник'!$1:$626,MATCH($A378,'Исходник'!$T:$T,0),MATCH(AE$1,'Исходник'!$1:$1,0)))</f>
        <v/>
      </c>
      <c r="AF378" s="1" t="str">
        <f t="array" ref="AF378">IFERROR(INDEX('Исходник'!$1:$626,MATCH($A378,'Исходник'!$T:$T,0),MATCH(AF$1,'Исходник'!$1:$1,0)))</f>
        <v/>
      </c>
      <c r="AG378" s="27" t="str">
        <f t="shared" si="14"/>
        <v/>
      </c>
      <c r="AH378" s="1" t="str">
        <f t="array" ref="AH378">IFERROR(INDEX('Исходник'!$1:$626,MATCH($A378,'Исходник'!$T:$T,0),MATCH(AH$1,'Исходник'!$1:$1,0)))</f>
        <v/>
      </c>
      <c r="AI378" s="1" t="str">
        <f t="array" ref="AI378">IFERROR(INDEX('Исходник'!$1:$626,MATCH($A378,'Исходник'!$T:$T,0),MATCH(AI$1,'Исходник'!$1:$1,0)))</f>
        <v/>
      </c>
      <c r="AJ378" s="18">
        <f t="shared" si="15"/>
        <v>0</v>
      </c>
    </row>
    <row r="379" ht="15.75" customHeight="1">
      <c r="A379" s="27"/>
      <c r="B379" s="1" t="str">
        <f t="array" ref="B379">IFERROR(INDEX('Исходник'!$1:$626,MATCH($A379,'Исходник'!$T:$T,0),MATCH(B$1,'Исходник'!$1:$1,0)))</f>
        <v/>
      </c>
      <c r="C379" s="1" t="str">
        <f t="array" ref="C379">IFERROR(INDEX('Исходник'!$1:$626,MATCH($A379,'Исходник'!$T:$T,0),MATCH(C$1,'Исходник'!$1:$1,0)))</f>
        <v/>
      </c>
      <c r="D379" s="1" t="str">
        <f t="array" ref="D379">IFERROR(INDEX('Исходник'!$1:$626,MATCH($A379,'Исходник'!$T:$T,0),MATCH(D$1,'Исходник'!$1:$1,0)))</f>
        <v/>
      </c>
      <c r="E379" s="1" t="str">
        <f t="array" ref="E379">IFERROR(INDEX('Исходник'!$1:$626,MATCH($A379,'Исходник'!$T:$T,0),MATCH(E$1,'Исходник'!$1:$1,0)))</f>
        <v/>
      </c>
      <c r="F379" s="1" t="str">
        <f t="array" ref="F379">IFERROR(INDEX('Исходник'!$1:$626,MATCH($A379,'Исходник'!$T:$T,0),MATCH(F$1,'Исходник'!$1:$1,0)))</f>
        <v/>
      </c>
      <c r="G379" s="1" t="str">
        <f t="array" ref="G379">IFERROR(INDEX('Исходник'!$1:$626,MATCH($A379,'Исходник'!$T:$T,0),MATCH(G$1,'Исходник'!$1:$1,0)))</f>
        <v/>
      </c>
      <c r="H379" s="27">
        <f t="shared" si="1"/>
        <v>0</v>
      </c>
      <c r="I379" s="27" t="str">
        <f t="shared" si="2"/>
        <v/>
      </c>
      <c r="J379" s="1" t="str">
        <f t="array" ref="J379">IFERROR(INDEX('Исходник'!$1:$626,MATCH($A379,'Исходник'!$T:$T,0),MATCH(J$1,'Исходник'!$1:$1,0)))</f>
        <v/>
      </c>
      <c r="K379" s="27" t="str">
        <f t="shared" si="3"/>
        <v/>
      </c>
      <c r="L379" s="1" t="str">
        <f t="array" ref="L379">IFERROR(INDEX('Исходник'!$1:$626,MATCH($A379,'Исходник'!$T:$T,0),MATCH(L$1,'Исходник'!$1:$1,0)))</f>
        <v/>
      </c>
      <c r="M379" s="28">
        <f t="shared" si="4"/>
        <v>0</v>
      </c>
      <c r="N379" s="1" t="str">
        <f t="array" ref="N379">IFERROR(INDEX('Исходник'!$1:$626,MATCH($A379,'Исходник'!$T:$T,0),MATCH(N$1,'Исходник'!$1:$1,0)))</f>
        <v/>
      </c>
      <c r="O379" s="27">
        <f t="shared" si="5"/>
        <v>0</v>
      </c>
      <c r="P379" s="27" t="str">
        <f t="shared" si="6"/>
        <v/>
      </c>
      <c r="Q379" s="1" t="str">
        <f t="array" ref="Q379">IFERROR(INDEX('Исходник'!$1:$626,MATCH($A379,'Исходник'!$T:$T,0),MATCH(Q$1,'Исходник'!$1:$1,0)))</f>
        <v/>
      </c>
      <c r="R379" s="1" t="str">
        <f t="array" ref="R379">IFERROR(INDEX('Исходник'!$1:$626,MATCH($A379,'Исходник'!$T:$T,0),MATCH(R$1,'Исходник'!$1:$1,0)))</f>
        <v/>
      </c>
      <c r="S379" s="27">
        <f t="shared" si="7"/>
        <v>0</v>
      </c>
      <c r="T379" s="27" t="str">
        <f t="shared" si="8"/>
        <v/>
      </c>
      <c r="U379" s="1" t="str">
        <f t="array" ref="U379">IFERROR(INDEX('Исходник'!$1:$626,MATCH($A379,'Исходник'!$T:$T,0),MATCH(U$1,'Исходник'!$1:$1,0)))</f>
        <v/>
      </c>
      <c r="V379" s="27" t="str">
        <f t="shared" si="9"/>
        <v/>
      </c>
      <c r="W379" s="1" t="str">
        <f t="array" ref="W379">IFERROR(INDEX('Исходник'!$1:$626,MATCH($A379,'Исходник'!$T:$T,0),MATCH(W$1,'Исходник'!$1:$1,0)))</f>
        <v/>
      </c>
      <c r="X379" s="28">
        <f t="shared" si="10"/>
        <v>0</v>
      </c>
      <c r="Y379" s="1" t="str">
        <f t="array" ref="Y379">IFERROR(INDEX('Исходник'!$1:$626,MATCH($A379,'Исходник'!$T:$T,0),MATCH(Y$1,'Исходник'!$1:$1,0)))</f>
        <v/>
      </c>
      <c r="Z379" s="27">
        <f t="shared" si="11"/>
        <v>0</v>
      </c>
      <c r="AA379" s="27" t="str">
        <f t="shared" si="12"/>
        <v/>
      </c>
      <c r="AB379" s="1" t="str">
        <f t="array" ref="AB379">IFERROR(INDEX('Исходник'!$1:$626,MATCH($A379,'Исходник'!$T:$T,0),MATCH(AB$1,'Исходник'!$1:$1,0)))</f>
        <v/>
      </c>
      <c r="AC379" s="1" t="str">
        <f t="array" ref="AC379">IFERROR(INDEX('Исходник'!$1:$626,MATCH($A379,'Исходник'!$T:$T,0),MATCH(AC$1,'Исходник'!$1:$1,0)))</f>
        <v/>
      </c>
      <c r="AD379" s="27" t="str">
        <f t="shared" si="13"/>
        <v/>
      </c>
      <c r="AE379" s="1" t="str">
        <f t="array" ref="AE379">IFERROR(INDEX('Исходник'!$1:$626,MATCH($A379,'Исходник'!$T:$T,0),MATCH(AE$1,'Исходник'!$1:$1,0)))</f>
        <v/>
      </c>
      <c r="AF379" s="1" t="str">
        <f t="array" ref="AF379">IFERROR(INDEX('Исходник'!$1:$626,MATCH($A379,'Исходник'!$T:$T,0),MATCH(AF$1,'Исходник'!$1:$1,0)))</f>
        <v/>
      </c>
      <c r="AG379" s="27" t="str">
        <f t="shared" si="14"/>
        <v/>
      </c>
      <c r="AH379" s="1" t="str">
        <f t="array" ref="AH379">IFERROR(INDEX('Исходник'!$1:$626,MATCH($A379,'Исходник'!$T:$T,0),MATCH(AH$1,'Исходник'!$1:$1,0)))</f>
        <v/>
      </c>
      <c r="AI379" s="1" t="str">
        <f t="array" ref="AI379">IFERROR(INDEX('Исходник'!$1:$626,MATCH($A379,'Исходник'!$T:$T,0),MATCH(AI$1,'Исходник'!$1:$1,0)))</f>
        <v/>
      </c>
      <c r="AJ379" s="18">
        <f t="shared" si="15"/>
        <v>0</v>
      </c>
    </row>
    <row r="380" ht="15.75" customHeight="1">
      <c r="A380" s="27"/>
      <c r="B380" s="1" t="str">
        <f t="array" ref="B380">IFERROR(INDEX('Исходник'!$1:$626,MATCH($A380,'Исходник'!$T:$T,0),MATCH(B$1,'Исходник'!$1:$1,0)))</f>
        <v/>
      </c>
      <c r="C380" s="1" t="str">
        <f t="array" ref="C380">IFERROR(INDEX('Исходник'!$1:$626,MATCH($A380,'Исходник'!$T:$T,0),MATCH(C$1,'Исходник'!$1:$1,0)))</f>
        <v/>
      </c>
      <c r="D380" s="1" t="str">
        <f t="array" ref="D380">IFERROR(INDEX('Исходник'!$1:$626,MATCH($A380,'Исходник'!$T:$T,0),MATCH(D$1,'Исходник'!$1:$1,0)))</f>
        <v/>
      </c>
      <c r="E380" s="1" t="str">
        <f t="array" ref="E380">IFERROR(INDEX('Исходник'!$1:$626,MATCH($A380,'Исходник'!$T:$T,0),MATCH(E$1,'Исходник'!$1:$1,0)))</f>
        <v/>
      </c>
      <c r="F380" s="1" t="str">
        <f t="array" ref="F380">IFERROR(INDEX('Исходник'!$1:$626,MATCH($A380,'Исходник'!$T:$T,0),MATCH(F$1,'Исходник'!$1:$1,0)))</f>
        <v/>
      </c>
      <c r="G380" s="1" t="str">
        <f t="array" ref="G380">IFERROR(INDEX('Исходник'!$1:$626,MATCH($A380,'Исходник'!$T:$T,0),MATCH(G$1,'Исходник'!$1:$1,0)))</f>
        <v/>
      </c>
      <c r="H380" s="27">
        <f t="shared" si="1"/>
        <v>0</v>
      </c>
      <c r="I380" s="27" t="str">
        <f t="shared" si="2"/>
        <v/>
      </c>
      <c r="J380" s="1" t="str">
        <f t="array" ref="J380">IFERROR(INDEX('Исходник'!$1:$626,MATCH($A380,'Исходник'!$T:$T,0),MATCH(J$1,'Исходник'!$1:$1,0)))</f>
        <v/>
      </c>
      <c r="K380" s="27" t="str">
        <f t="shared" si="3"/>
        <v/>
      </c>
      <c r="L380" s="1" t="str">
        <f t="array" ref="L380">IFERROR(INDEX('Исходник'!$1:$626,MATCH($A380,'Исходник'!$T:$T,0),MATCH(L$1,'Исходник'!$1:$1,0)))</f>
        <v/>
      </c>
      <c r="M380" s="28">
        <f t="shared" si="4"/>
        <v>0</v>
      </c>
      <c r="N380" s="1" t="str">
        <f t="array" ref="N380">IFERROR(INDEX('Исходник'!$1:$626,MATCH($A380,'Исходник'!$T:$T,0),MATCH(N$1,'Исходник'!$1:$1,0)))</f>
        <v/>
      </c>
      <c r="O380" s="27">
        <f t="shared" si="5"/>
        <v>0</v>
      </c>
      <c r="P380" s="27" t="str">
        <f t="shared" si="6"/>
        <v/>
      </c>
      <c r="Q380" s="1" t="str">
        <f t="array" ref="Q380">IFERROR(INDEX('Исходник'!$1:$626,MATCH($A380,'Исходник'!$T:$T,0),MATCH(Q$1,'Исходник'!$1:$1,0)))</f>
        <v/>
      </c>
      <c r="R380" s="1" t="str">
        <f t="array" ref="R380">IFERROR(INDEX('Исходник'!$1:$626,MATCH($A380,'Исходник'!$T:$T,0),MATCH(R$1,'Исходник'!$1:$1,0)))</f>
        <v/>
      </c>
      <c r="S380" s="27">
        <f t="shared" si="7"/>
        <v>0</v>
      </c>
      <c r="T380" s="27" t="str">
        <f t="shared" si="8"/>
        <v/>
      </c>
      <c r="U380" s="1" t="str">
        <f t="array" ref="U380">IFERROR(INDEX('Исходник'!$1:$626,MATCH($A380,'Исходник'!$T:$T,0),MATCH(U$1,'Исходник'!$1:$1,0)))</f>
        <v/>
      </c>
      <c r="V380" s="27" t="str">
        <f t="shared" si="9"/>
        <v/>
      </c>
      <c r="W380" s="1" t="str">
        <f t="array" ref="W380">IFERROR(INDEX('Исходник'!$1:$626,MATCH($A380,'Исходник'!$T:$T,0),MATCH(W$1,'Исходник'!$1:$1,0)))</f>
        <v/>
      </c>
      <c r="X380" s="28">
        <f t="shared" si="10"/>
        <v>0</v>
      </c>
      <c r="Y380" s="1" t="str">
        <f t="array" ref="Y380">IFERROR(INDEX('Исходник'!$1:$626,MATCH($A380,'Исходник'!$T:$T,0),MATCH(Y$1,'Исходник'!$1:$1,0)))</f>
        <v/>
      </c>
      <c r="Z380" s="27">
        <f t="shared" si="11"/>
        <v>0</v>
      </c>
      <c r="AA380" s="27" t="str">
        <f t="shared" si="12"/>
        <v/>
      </c>
      <c r="AB380" s="1" t="str">
        <f t="array" ref="AB380">IFERROR(INDEX('Исходник'!$1:$626,MATCH($A380,'Исходник'!$T:$T,0),MATCH(AB$1,'Исходник'!$1:$1,0)))</f>
        <v/>
      </c>
      <c r="AC380" s="1" t="str">
        <f t="array" ref="AC380">IFERROR(INDEX('Исходник'!$1:$626,MATCH($A380,'Исходник'!$T:$T,0),MATCH(AC$1,'Исходник'!$1:$1,0)))</f>
        <v/>
      </c>
      <c r="AD380" s="27" t="str">
        <f t="shared" si="13"/>
        <v/>
      </c>
      <c r="AE380" s="1" t="str">
        <f t="array" ref="AE380">IFERROR(INDEX('Исходник'!$1:$626,MATCH($A380,'Исходник'!$T:$T,0),MATCH(AE$1,'Исходник'!$1:$1,0)))</f>
        <v/>
      </c>
      <c r="AF380" s="1" t="str">
        <f t="array" ref="AF380">IFERROR(INDEX('Исходник'!$1:$626,MATCH($A380,'Исходник'!$T:$T,0),MATCH(AF$1,'Исходник'!$1:$1,0)))</f>
        <v/>
      </c>
      <c r="AG380" s="27" t="str">
        <f t="shared" si="14"/>
        <v/>
      </c>
      <c r="AH380" s="1" t="str">
        <f t="array" ref="AH380">IFERROR(INDEX('Исходник'!$1:$626,MATCH($A380,'Исходник'!$T:$T,0),MATCH(AH$1,'Исходник'!$1:$1,0)))</f>
        <v/>
      </c>
      <c r="AI380" s="1" t="str">
        <f t="array" ref="AI380">IFERROR(INDEX('Исходник'!$1:$626,MATCH($A380,'Исходник'!$T:$T,0),MATCH(AI$1,'Исходник'!$1:$1,0)))</f>
        <v/>
      </c>
      <c r="AJ380" s="18">
        <f t="shared" si="15"/>
        <v>0</v>
      </c>
    </row>
    <row r="381" ht="15.75" customHeight="1">
      <c r="A381" s="27"/>
      <c r="B381" s="1" t="str">
        <f t="array" ref="B381">IFERROR(INDEX('Исходник'!$1:$626,MATCH($A381,'Исходник'!$T:$T,0),MATCH(B$1,'Исходник'!$1:$1,0)))</f>
        <v/>
      </c>
      <c r="C381" s="1" t="str">
        <f t="array" ref="C381">IFERROR(INDEX('Исходник'!$1:$626,MATCH($A381,'Исходник'!$T:$T,0),MATCH(C$1,'Исходник'!$1:$1,0)))</f>
        <v/>
      </c>
      <c r="D381" s="1" t="str">
        <f t="array" ref="D381">IFERROR(INDEX('Исходник'!$1:$626,MATCH($A381,'Исходник'!$T:$T,0),MATCH(D$1,'Исходник'!$1:$1,0)))</f>
        <v/>
      </c>
      <c r="E381" s="1" t="str">
        <f t="array" ref="E381">IFERROR(INDEX('Исходник'!$1:$626,MATCH($A381,'Исходник'!$T:$T,0),MATCH(E$1,'Исходник'!$1:$1,0)))</f>
        <v/>
      </c>
      <c r="F381" s="1" t="str">
        <f t="array" ref="F381">IFERROR(INDEX('Исходник'!$1:$626,MATCH($A381,'Исходник'!$T:$T,0),MATCH(F$1,'Исходник'!$1:$1,0)))</f>
        <v/>
      </c>
      <c r="G381" s="1" t="str">
        <f t="array" ref="G381">IFERROR(INDEX('Исходник'!$1:$626,MATCH($A381,'Исходник'!$T:$T,0),MATCH(G$1,'Исходник'!$1:$1,0)))</f>
        <v/>
      </c>
      <c r="H381" s="27">
        <f t="shared" si="1"/>
        <v>0</v>
      </c>
      <c r="I381" s="27" t="str">
        <f t="shared" si="2"/>
        <v/>
      </c>
      <c r="J381" s="1" t="str">
        <f t="array" ref="J381">IFERROR(INDEX('Исходник'!$1:$626,MATCH($A381,'Исходник'!$T:$T,0),MATCH(J$1,'Исходник'!$1:$1,0)))</f>
        <v/>
      </c>
      <c r="K381" s="27" t="str">
        <f t="shared" si="3"/>
        <v/>
      </c>
      <c r="L381" s="1" t="str">
        <f t="array" ref="L381">IFERROR(INDEX('Исходник'!$1:$626,MATCH($A381,'Исходник'!$T:$T,0),MATCH(L$1,'Исходник'!$1:$1,0)))</f>
        <v/>
      </c>
      <c r="M381" s="28">
        <f t="shared" si="4"/>
        <v>0</v>
      </c>
      <c r="N381" s="1" t="str">
        <f t="array" ref="N381">IFERROR(INDEX('Исходник'!$1:$626,MATCH($A381,'Исходник'!$T:$T,0),MATCH(N$1,'Исходник'!$1:$1,0)))</f>
        <v/>
      </c>
      <c r="O381" s="27">
        <f t="shared" si="5"/>
        <v>0</v>
      </c>
      <c r="P381" s="27" t="str">
        <f t="shared" si="6"/>
        <v/>
      </c>
      <c r="Q381" s="1" t="str">
        <f t="array" ref="Q381">IFERROR(INDEX('Исходник'!$1:$626,MATCH($A381,'Исходник'!$T:$T,0),MATCH(Q$1,'Исходник'!$1:$1,0)))</f>
        <v/>
      </c>
      <c r="R381" s="1" t="str">
        <f t="array" ref="R381">IFERROR(INDEX('Исходник'!$1:$626,MATCH($A381,'Исходник'!$T:$T,0),MATCH(R$1,'Исходник'!$1:$1,0)))</f>
        <v/>
      </c>
      <c r="S381" s="27">
        <f t="shared" si="7"/>
        <v>0</v>
      </c>
      <c r="T381" s="27" t="str">
        <f t="shared" si="8"/>
        <v/>
      </c>
      <c r="U381" s="1" t="str">
        <f t="array" ref="U381">IFERROR(INDEX('Исходник'!$1:$626,MATCH($A381,'Исходник'!$T:$T,0),MATCH(U$1,'Исходник'!$1:$1,0)))</f>
        <v/>
      </c>
      <c r="V381" s="27" t="str">
        <f t="shared" si="9"/>
        <v/>
      </c>
      <c r="W381" s="1" t="str">
        <f t="array" ref="W381">IFERROR(INDEX('Исходник'!$1:$626,MATCH($A381,'Исходник'!$T:$T,0),MATCH(W$1,'Исходник'!$1:$1,0)))</f>
        <v/>
      </c>
      <c r="X381" s="28">
        <f t="shared" si="10"/>
        <v>0</v>
      </c>
      <c r="Y381" s="1" t="str">
        <f t="array" ref="Y381">IFERROR(INDEX('Исходник'!$1:$626,MATCH($A381,'Исходник'!$T:$T,0),MATCH(Y$1,'Исходник'!$1:$1,0)))</f>
        <v/>
      </c>
      <c r="Z381" s="27">
        <f t="shared" si="11"/>
        <v>0</v>
      </c>
      <c r="AA381" s="27" t="str">
        <f t="shared" si="12"/>
        <v/>
      </c>
      <c r="AB381" s="1" t="str">
        <f t="array" ref="AB381">IFERROR(INDEX('Исходник'!$1:$626,MATCH($A381,'Исходник'!$T:$T,0),MATCH(AB$1,'Исходник'!$1:$1,0)))</f>
        <v/>
      </c>
      <c r="AC381" s="1" t="str">
        <f t="array" ref="AC381">IFERROR(INDEX('Исходник'!$1:$626,MATCH($A381,'Исходник'!$T:$T,0),MATCH(AC$1,'Исходник'!$1:$1,0)))</f>
        <v/>
      </c>
      <c r="AD381" s="27" t="str">
        <f t="shared" si="13"/>
        <v/>
      </c>
      <c r="AE381" s="1" t="str">
        <f t="array" ref="AE381">IFERROR(INDEX('Исходник'!$1:$626,MATCH($A381,'Исходник'!$T:$T,0),MATCH(AE$1,'Исходник'!$1:$1,0)))</f>
        <v/>
      </c>
      <c r="AF381" s="1" t="str">
        <f t="array" ref="AF381">IFERROR(INDEX('Исходник'!$1:$626,MATCH($A381,'Исходник'!$T:$T,0),MATCH(AF$1,'Исходник'!$1:$1,0)))</f>
        <v/>
      </c>
      <c r="AG381" s="27" t="str">
        <f t="shared" si="14"/>
        <v/>
      </c>
      <c r="AH381" s="1" t="str">
        <f t="array" ref="AH381">IFERROR(INDEX('Исходник'!$1:$626,MATCH($A381,'Исходник'!$T:$T,0),MATCH(AH$1,'Исходник'!$1:$1,0)))</f>
        <v/>
      </c>
      <c r="AI381" s="1" t="str">
        <f t="array" ref="AI381">IFERROR(INDEX('Исходник'!$1:$626,MATCH($A381,'Исходник'!$T:$T,0),MATCH(AI$1,'Исходник'!$1:$1,0)))</f>
        <v/>
      </c>
      <c r="AJ381" s="18">
        <f t="shared" si="15"/>
        <v>0</v>
      </c>
    </row>
    <row r="382" ht="15.75" customHeight="1">
      <c r="A382" s="27"/>
      <c r="B382" s="1" t="str">
        <f t="array" ref="B382">IFERROR(INDEX('Исходник'!$1:$626,MATCH($A382,'Исходник'!$T:$T,0),MATCH(B$1,'Исходник'!$1:$1,0)))</f>
        <v/>
      </c>
      <c r="C382" s="1" t="str">
        <f t="array" ref="C382">IFERROR(INDEX('Исходник'!$1:$626,MATCH($A382,'Исходник'!$T:$T,0),MATCH(C$1,'Исходник'!$1:$1,0)))</f>
        <v/>
      </c>
      <c r="D382" s="1" t="str">
        <f t="array" ref="D382">IFERROR(INDEX('Исходник'!$1:$626,MATCH($A382,'Исходник'!$T:$T,0),MATCH(D$1,'Исходник'!$1:$1,0)))</f>
        <v/>
      </c>
      <c r="E382" s="1" t="str">
        <f t="array" ref="E382">IFERROR(INDEX('Исходник'!$1:$626,MATCH($A382,'Исходник'!$T:$T,0),MATCH(E$1,'Исходник'!$1:$1,0)))</f>
        <v/>
      </c>
      <c r="F382" s="1" t="str">
        <f t="array" ref="F382">IFERROR(INDEX('Исходник'!$1:$626,MATCH($A382,'Исходник'!$T:$T,0),MATCH(F$1,'Исходник'!$1:$1,0)))</f>
        <v/>
      </c>
      <c r="G382" s="1" t="str">
        <f t="array" ref="G382">IFERROR(INDEX('Исходник'!$1:$626,MATCH($A382,'Исходник'!$T:$T,0),MATCH(G$1,'Исходник'!$1:$1,0)))</f>
        <v/>
      </c>
      <c r="H382" s="27">
        <f t="shared" si="1"/>
        <v>0</v>
      </c>
      <c r="I382" s="27" t="str">
        <f t="shared" si="2"/>
        <v/>
      </c>
      <c r="J382" s="1" t="str">
        <f t="array" ref="J382">IFERROR(INDEX('Исходник'!$1:$626,MATCH($A382,'Исходник'!$T:$T,0),MATCH(J$1,'Исходник'!$1:$1,0)))</f>
        <v/>
      </c>
      <c r="K382" s="27" t="str">
        <f t="shared" si="3"/>
        <v/>
      </c>
      <c r="L382" s="1" t="str">
        <f t="array" ref="L382">IFERROR(INDEX('Исходник'!$1:$626,MATCH($A382,'Исходник'!$T:$T,0),MATCH(L$1,'Исходник'!$1:$1,0)))</f>
        <v/>
      </c>
      <c r="M382" s="28">
        <f t="shared" si="4"/>
        <v>0</v>
      </c>
      <c r="N382" s="1" t="str">
        <f t="array" ref="N382">IFERROR(INDEX('Исходник'!$1:$626,MATCH($A382,'Исходник'!$T:$T,0),MATCH(N$1,'Исходник'!$1:$1,0)))</f>
        <v/>
      </c>
      <c r="O382" s="27">
        <f t="shared" si="5"/>
        <v>0</v>
      </c>
      <c r="P382" s="27" t="str">
        <f t="shared" si="6"/>
        <v/>
      </c>
      <c r="Q382" s="1" t="str">
        <f t="array" ref="Q382">IFERROR(INDEX('Исходник'!$1:$626,MATCH($A382,'Исходник'!$T:$T,0),MATCH(Q$1,'Исходник'!$1:$1,0)))</f>
        <v/>
      </c>
      <c r="R382" s="1" t="str">
        <f t="array" ref="R382">IFERROR(INDEX('Исходник'!$1:$626,MATCH($A382,'Исходник'!$T:$T,0),MATCH(R$1,'Исходник'!$1:$1,0)))</f>
        <v/>
      </c>
      <c r="S382" s="27">
        <f t="shared" si="7"/>
        <v>0</v>
      </c>
      <c r="T382" s="27" t="str">
        <f t="shared" si="8"/>
        <v/>
      </c>
      <c r="U382" s="1" t="str">
        <f t="array" ref="U382">IFERROR(INDEX('Исходник'!$1:$626,MATCH($A382,'Исходник'!$T:$T,0),MATCH(U$1,'Исходник'!$1:$1,0)))</f>
        <v/>
      </c>
      <c r="V382" s="27" t="str">
        <f t="shared" si="9"/>
        <v/>
      </c>
      <c r="W382" s="1" t="str">
        <f t="array" ref="W382">IFERROR(INDEX('Исходник'!$1:$626,MATCH($A382,'Исходник'!$T:$T,0),MATCH(W$1,'Исходник'!$1:$1,0)))</f>
        <v/>
      </c>
      <c r="X382" s="28">
        <f t="shared" si="10"/>
        <v>0</v>
      </c>
      <c r="Y382" s="1" t="str">
        <f t="array" ref="Y382">IFERROR(INDEX('Исходник'!$1:$626,MATCH($A382,'Исходник'!$T:$T,0),MATCH(Y$1,'Исходник'!$1:$1,0)))</f>
        <v/>
      </c>
      <c r="Z382" s="27">
        <f t="shared" si="11"/>
        <v>0</v>
      </c>
      <c r="AA382" s="27" t="str">
        <f t="shared" si="12"/>
        <v/>
      </c>
      <c r="AB382" s="1" t="str">
        <f t="array" ref="AB382">IFERROR(INDEX('Исходник'!$1:$626,MATCH($A382,'Исходник'!$T:$T,0),MATCH(AB$1,'Исходник'!$1:$1,0)))</f>
        <v/>
      </c>
      <c r="AC382" s="1" t="str">
        <f t="array" ref="AC382">IFERROR(INDEX('Исходник'!$1:$626,MATCH($A382,'Исходник'!$T:$T,0),MATCH(AC$1,'Исходник'!$1:$1,0)))</f>
        <v/>
      </c>
      <c r="AD382" s="27" t="str">
        <f t="shared" si="13"/>
        <v/>
      </c>
      <c r="AE382" s="1" t="str">
        <f t="array" ref="AE382">IFERROR(INDEX('Исходник'!$1:$626,MATCH($A382,'Исходник'!$T:$T,0),MATCH(AE$1,'Исходник'!$1:$1,0)))</f>
        <v/>
      </c>
      <c r="AF382" s="1" t="str">
        <f t="array" ref="AF382">IFERROR(INDEX('Исходник'!$1:$626,MATCH($A382,'Исходник'!$T:$T,0),MATCH(AF$1,'Исходник'!$1:$1,0)))</f>
        <v/>
      </c>
      <c r="AG382" s="27" t="str">
        <f t="shared" si="14"/>
        <v/>
      </c>
      <c r="AH382" s="1" t="str">
        <f t="array" ref="AH382">IFERROR(INDEX('Исходник'!$1:$626,MATCH($A382,'Исходник'!$T:$T,0),MATCH(AH$1,'Исходник'!$1:$1,0)))</f>
        <v/>
      </c>
      <c r="AI382" s="1" t="str">
        <f t="array" ref="AI382">IFERROR(INDEX('Исходник'!$1:$626,MATCH($A382,'Исходник'!$T:$T,0),MATCH(AI$1,'Исходник'!$1:$1,0)))</f>
        <v/>
      </c>
      <c r="AJ382" s="18">
        <f t="shared" si="15"/>
        <v>0</v>
      </c>
    </row>
    <row r="383" ht="15.75" customHeight="1">
      <c r="A383" s="27"/>
      <c r="B383" s="1" t="str">
        <f t="array" ref="B383">IFERROR(INDEX('Исходник'!$1:$626,MATCH($A383,'Исходник'!$T:$T,0),MATCH(B$1,'Исходник'!$1:$1,0)))</f>
        <v/>
      </c>
      <c r="C383" s="1" t="str">
        <f t="array" ref="C383">IFERROR(INDEX('Исходник'!$1:$626,MATCH($A383,'Исходник'!$T:$T,0),MATCH(C$1,'Исходник'!$1:$1,0)))</f>
        <v/>
      </c>
      <c r="D383" s="1" t="str">
        <f t="array" ref="D383">IFERROR(INDEX('Исходник'!$1:$626,MATCH($A383,'Исходник'!$T:$T,0),MATCH(D$1,'Исходник'!$1:$1,0)))</f>
        <v/>
      </c>
      <c r="E383" s="1" t="str">
        <f t="array" ref="E383">IFERROR(INDEX('Исходник'!$1:$626,MATCH($A383,'Исходник'!$T:$T,0),MATCH(E$1,'Исходник'!$1:$1,0)))</f>
        <v/>
      </c>
      <c r="F383" s="1" t="str">
        <f t="array" ref="F383">IFERROR(INDEX('Исходник'!$1:$626,MATCH($A383,'Исходник'!$T:$T,0),MATCH(F$1,'Исходник'!$1:$1,0)))</f>
        <v/>
      </c>
      <c r="G383" s="1" t="str">
        <f t="array" ref="G383">IFERROR(INDEX('Исходник'!$1:$626,MATCH($A383,'Исходник'!$T:$T,0),MATCH(G$1,'Исходник'!$1:$1,0)))</f>
        <v/>
      </c>
      <c r="H383" s="27">
        <f t="shared" si="1"/>
        <v>0</v>
      </c>
      <c r="I383" s="27" t="str">
        <f t="shared" si="2"/>
        <v/>
      </c>
      <c r="J383" s="1" t="str">
        <f t="array" ref="J383">IFERROR(INDEX('Исходник'!$1:$626,MATCH($A383,'Исходник'!$T:$T,0),MATCH(J$1,'Исходник'!$1:$1,0)))</f>
        <v/>
      </c>
      <c r="K383" s="27" t="str">
        <f t="shared" si="3"/>
        <v/>
      </c>
      <c r="L383" s="1" t="str">
        <f t="array" ref="L383">IFERROR(INDEX('Исходник'!$1:$626,MATCH($A383,'Исходник'!$T:$T,0),MATCH(L$1,'Исходник'!$1:$1,0)))</f>
        <v/>
      </c>
      <c r="M383" s="28">
        <f t="shared" si="4"/>
        <v>0</v>
      </c>
      <c r="N383" s="1" t="str">
        <f t="array" ref="N383">IFERROR(INDEX('Исходник'!$1:$626,MATCH($A383,'Исходник'!$T:$T,0),MATCH(N$1,'Исходник'!$1:$1,0)))</f>
        <v/>
      </c>
      <c r="O383" s="27">
        <f t="shared" si="5"/>
        <v>0</v>
      </c>
      <c r="P383" s="27" t="str">
        <f t="shared" si="6"/>
        <v/>
      </c>
      <c r="Q383" s="1" t="str">
        <f t="array" ref="Q383">IFERROR(INDEX('Исходник'!$1:$626,MATCH($A383,'Исходник'!$T:$T,0),MATCH(Q$1,'Исходник'!$1:$1,0)))</f>
        <v/>
      </c>
      <c r="R383" s="1" t="str">
        <f t="array" ref="R383">IFERROR(INDEX('Исходник'!$1:$626,MATCH($A383,'Исходник'!$T:$T,0),MATCH(R$1,'Исходник'!$1:$1,0)))</f>
        <v/>
      </c>
      <c r="S383" s="27">
        <f t="shared" si="7"/>
        <v>0</v>
      </c>
      <c r="T383" s="27" t="str">
        <f t="shared" si="8"/>
        <v/>
      </c>
      <c r="U383" s="1" t="str">
        <f t="array" ref="U383">IFERROR(INDEX('Исходник'!$1:$626,MATCH($A383,'Исходник'!$T:$T,0),MATCH(U$1,'Исходник'!$1:$1,0)))</f>
        <v/>
      </c>
      <c r="V383" s="27" t="str">
        <f t="shared" si="9"/>
        <v/>
      </c>
      <c r="W383" s="1" t="str">
        <f t="array" ref="W383">IFERROR(INDEX('Исходник'!$1:$626,MATCH($A383,'Исходник'!$T:$T,0),MATCH(W$1,'Исходник'!$1:$1,0)))</f>
        <v/>
      </c>
      <c r="X383" s="28">
        <f t="shared" si="10"/>
        <v>0</v>
      </c>
      <c r="Y383" s="1" t="str">
        <f t="array" ref="Y383">IFERROR(INDEX('Исходник'!$1:$626,MATCH($A383,'Исходник'!$T:$T,0),MATCH(Y$1,'Исходник'!$1:$1,0)))</f>
        <v/>
      </c>
      <c r="Z383" s="27">
        <f t="shared" si="11"/>
        <v>0</v>
      </c>
      <c r="AA383" s="27" t="str">
        <f t="shared" si="12"/>
        <v/>
      </c>
      <c r="AB383" s="1" t="str">
        <f t="array" ref="AB383">IFERROR(INDEX('Исходник'!$1:$626,MATCH($A383,'Исходник'!$T:$T,0),MATCH(AB$1,'Исходник'!$1:$1,0)))</f>
        <v/>
      </c>
      <c r="AC383" s="1" t="str">
        <f t="array" ref="AC383">IFERROR(INDEX('Исходник'!$1:$626,MATCH($A383,'Исходник'!$T:$T,0),MATCH(AC$1,'Исходник'!$1:$1,0)))</f>
        <v/>
      </c>
      <c r="AD383" s="27" t="str">
        <f t="shared" si="13"/>
        <v/>
      </c>
      <c r="AE383" s="1" t="str">
        <f t="array" ref="AE383">IFERROR(INDEX('Исходник'!$1:$626,MATCH($A383,'Исходник'!$T:$T,0),MATCH(AE$1,'Исходник'!$1:$1,0)))</f>
        <v/>
      </c>
      <c r="AF383" s="1" t="str">
        <f t="array" ref="AF383">IFERROR(INDEX('Исходник'!$1:$626,MATCH($A383,'Исходник'!$T:$T,0),MATCH(AF$1,'Исходник'!$1:$1,0)))</f>
        <v/>
      </c>
      <c r="AG383" s="27" t="str">
        <f t="shared" si="14"/>
        <v/>
      </c>
      <c r="AH383" s="1" t="str">
        <f t="array" ref="AH383">IFERROR(INDEX('Исходник'!$1:$626,MATCH($A383,'Исходник'!$T:$T,0),MATCH(AH$1,'Исходник'!$1:$1,0)))</f>
        <v/>
      </c>
      <c r="AI383" s="1" t="str">
        <f t="array" ref="AI383">IFERROR(INDEX('Исходник'!$1:$626,MATCH($A383,'Исходник'!$T:$T,0),MATCH(AI$1,'Исходник'!$1:$1,0)))</f>
        <v/>
      </c>
      <c r="AJ383" s="18">
        <f t="shared" si="15"/>
        <v>0</v>
      </c>
    </row>
    <row r="384" ht="15.75" customHeight="1">
      <c r="A384" s="27"/>
      <c r="B384" s="1" t="str">
        <f t="array" ref="B384">IFERROR(INDEX('Исходник'!$1:$626,MATCH($A384,'Исходник'!$T:$T,0),MATCH(B$1,'Исходник'!$1:$1,0)))</f>
        <v/>
      </c>
      <c r="C384" s="1" t="str">
        <f t="array" ref="C384">IFERROR(INDEX('Исходник'!$1:$626,MATCH($A384,'Исходник'!$T:$T,0),MATCH(C$1,'Исходник'!$1:$1,0)))</f>
        <v/>
      </c>
      <c r="D384" s="1" t="str">
        <f t="array" ref="D384">IFERROR(INDEX('Исходник'!$1:$626,MATCH($A384,'Исходник'!$T:$T,0),MATCH(D$1,'Исходник'!$1:$1,0)))</f>
        <v/>
      </c>
      <c r="E384" s="1" t="str">
        <f t="array" ref="E384">IFERROR(INDEX('Исходник'!$1:$626,MATCH($A384,'Исходник'!$T:$T,0),MATCH(E$1,'Исходник'!$1:$1,0)))</f>
        <v/>
      </c>
      <c r="F384" s="1" t="str">
        <f t="array" ref="F384">IFERROR(INDEX('Исходник'!$1:$626,MATCH($A384,'Исходник'!$T:$T,0),MATCH(F$1,'Исходник'!$1:$1,0)))</f>
        <v/>
      </c>
      <c r="G384" s="1" t="str">
        <f t="array" ref="G384">IFERROR(INDEX('Исходник'!$1:$626,MATCH($A384,'Исходник'!$T:$T,0),MATCH(G$1,'Исходник'!$1:$1,0)))</f>
        <v/>
      </c>
      <c r="H384" s="27">
        <f t="shared" si="1"/>
        <v>0</v>
      </c>
      <c r="I384" s="27" t="str">
        <f t="shared" si="2"/>
        <v/>
      </c>
      <c r="J384" s="1" t="str">
        <f t="array" ref="J384">IFERROR(INDEX('Исходник'!$1:$626,MATCH($A384,'Исходник'!$T:$T,0),MATCH(J$1,'Исходник'!$1:$1,0)))</f>
        <v/>
      </c>
      <c r="K384" s="27" t="str">
        <f t="shared" si="3"/>
        <v/>
      </c>
      <c r="L384" s="1" t="str">
        <f t="array" ref="L384">IFERROR(INDEX('Исходник'!$1:$626,MATCH($A384,'Исходник'!$T:$T,0),MATCH(L$1,'Исходник'!$1:$1,0)))</f>
        <v/>
      </c>
      <c r="M384" s="28">
        <f t="shared" si="4"/>
        <v>0</v>
      </c>
      <c r="N384" s="1" t="str">
        <f t="array" ref="N384">IFERROR(INDEX('Исходник'!$1:$626,MATCH($A384,'Исходник'!$T:$T,0),MATCH(N$1,'Исходник'!$1:$1,0)))</f>
        <v/>
      </c>
      <c r="O384" s="27">
        <f t="shared" si="5"/>
        <v>0</v>
      </c>
      <c r="P384" s="27" t="str">
        <f t="shared" si="6"/>
        <v/>
      </c>
      <c r="Q384" s="1" t="str">
        <f t="array" ref="Q384">IFERROR(INDEX('Исходник'!$1:$626,MATCH($A384,'Исходник'!$T:$T,0),MATCH(Q$1,'Исходник'!$1:$1,0)))</f>
        <v/>
      </c>
      <c r="R384" s="1" t="str">
        <f t="array" ref="R384">IFERROR(INDEX('Исходник'!$1:$626,MATCH($A384,'Исходник'!$T:$T,0),MATCH(R$1,'Исходник'!$1:$1,0)))</f>
        <v/>
      </c>
      <c r="S384" s="27">
        <f t="shared" si="7"/>
        <v>0</v>
      </c>
      <c r="T384" s="27" t="str">
        <f t="shared" si="8"/>
        <v/>
      </c>
      <c r="U384" s="1" t="str">
        <f t="array" ref="U384">IFERROR(INDEX('Исходник'!$1:$626,MATCH($A384,'Исходник'!$T:$T,0),MATCH(U$1,'Исходник'!$1:$1,0)))</f>
        <v/>
      </c>
      <c r="V384" s="27" t="str">
        <f t="shared" si="9"/>
        <v/>
      </c>
      <c r="W384" s="1" t="str">
        <f t="array" ref="W384">IFERROR(INDEX('Исходник'!$1:$626,MATCH($A384,'Исходник'!$T:$T,0),MATCH(W$1,'Исходник'!$1:$1,0)))</f>
        <v/>
      </c>
      <c r="X384" s="28">
        <f t="shared" si="10"/>
        <v>0</v>
      </c>
      <c r="Y384" s="1" t="str">
        <f t="array" ref="Y384">IFERROR(INDEX('Исходник'!$1:$626,MATCH($A384,'Исходник'!$T:$T,0),MATCH(Y$1,'Исходник'!$1:$1,0)))</f>
        <v/>
      </c>
      <c r="Z384" s="27">
        <f t="shared" si="11"/>
        <v>0</v>
      </c>
      <c r="AA384" s="27" t="str">
        <f t="shared" si="12"/>
        <v/>
      </c>
      <c r="AB384" s="1" t="str">
        <f t="array" ref="AB384">IFERROR(INDEX('Исходник'!$1:$626,MATCH($A384,'Исходник'!$T:$T,0),MATCH(AB$1,'Исходник'!$1:$1,0)))</f>
        <v/>
      </c>
      <c r="AC384" s="1" t="str">
        <f t="array" ref="AC384">IFERROR(INDEX('Исходник'!$1:$626,MATCH($A384,'Исходник'!$T:$T,0),MATCH(AC$1,'Исходник'!$1:$1,0)))</f>
        <v/>
      </c>
      <c r="AD384" s="27" t="str">
        <f t="shared" si="13"/>
        <v/>
      </c>
      <c r="AE384" s="1" t="str">
        <f t="array" ref="AE384">IFERROR(INDEX('Исходник'!$1:$626,MATCH($A384,'Исходник'!$T:$T,0),MATCH(AE$1,'Исходник'!$1:$1,0)))</f>
        <v/>
      </c>
      <c r="AF384" s="1" t="str">
        <f t="array" ref="AF384">IFERROR(INDEX('Исходник'!$1:$626,MATCH($A384,'Исходник'!$T:$T,0),MATCH(AF$1,'Исходник'!$1:$1,0)))</f>
        <v/>
      </c>
      <c r="AG384" s="27" t="str">
        <f t="shared" si="14"/>
        <v/>
      </c>
      <c r="AH384" s="1" t="str">
        <f t="array" ref="AH384">IFERROR(INDEX('Исходник'!$1:$626,MATCH($A384,'Исходник'!$T:$T,0),MATCH(AH$1,'Исходник'!$1:$1,0)))</f>
        <v/>
      </c>
      <c r="AI384" s="1" t="str">
        <f t="array" ref="AI384">IFERROR(INDEX('Исходник'!$1:$626,MATCH($A384,'Исходник'!$T:$T,0),MATCH(AI$1,'Исходник'!$1:$1,0)))</f>
        <v/>
      </c>
      <c r="AJ384" s="18">
        <f t="shared" si="15"/>
        <v>0</v>
      </c>
    </row>
    <row r="385" ht="15.75" customHeight="1">
      <c r="A385" s="27"/>
      <c r="B385" s="1" t="str">
        <f t="array" ref="B385">IFERROR(INDEX('Исходник'!$1:$626,MATCH($A385,'Исходник'!$T:$T,0),MATCH(B$1,'Исходник'!$1:$1,0)))</f>
        <v/>
      </c>
      <c r="C385" s="1" t="str">
        <f t="array" ref="C385">IFERROR(INDEX('Исходник'!$1:$626,MATCH($A385,'Исходник'!$T:$T,0),MATCH(C$1,'Исходник'!$1:$1,0)))</f>
        <v/>
      </c>
      <c r="D385" s="1" t="str">
        <f t="array" ref="D385">IFERROR(INDEX('Исходник'!$1:$626,MATCH($A385,'Исходник'!$T:$T,0),MATCH(D$1,'Исходник'!$1:$1,0)))</f>
        <v/>
      </c>
      <c r="E385" s="1" t="str">
        <f t="array" ref="E385">IFERROR(INDEX('Исходник'!$1:$626,MATCH($A385,'Исходник'!$T:$T,0),MATCH(E$1,'Исходник'!$1:$1,0)))</f>
        <v/>
      </c>
      <c r="F385" s="1" t="str">
        <f t="array" ref="F385">IFERROR(INDEX('Исходник'!$1:$626,MATCH($A385,'Исходник'!$T:$T,0),MATCH(F$1,'Исходник'!$1:$1,0)))</f>
        <v/>
      </c>
      <c r="G385" s="1" t="str">
        <f t="array" ref="G385">IFERROR(INDEX('Исходник'!$1:$626,MATCH($A385,'Исходник'!$T:$T,0),MATCH(G$1,'Исходник'!$1:$1,0)))</f>
        <v/>
      </c>
      <c r="H385" s="27">
        <f t="shared" si="1"/>
        <v>0</v>
      </c>
      <c r="I385" s="27" t="str">
        <f t="shared" si="2"/>
        <v/>
      </c>
      <c r="J385" s="1" t="str">
        <f t="array" ref="J385">IFERROR(INDEX('Исходник'!$1:$626,MATCH($A385,'Исходник'!$T:$T,0),MATCH(J$1,'Исходник'!$1:$1,0)))</f>
        <v/>
      </c>
      <c r="K385" s="27" t="str">
        <f t="shared" si="3"/>
        <v/>
      </c>
      <c r="L385" s="1" t="str">
        <f t="array" ref="L385">IFERROR(INDEX('Исходник'!$1:$626,MATCH($A385,'Исходник'!$T:$T,0),MATCH(L$1,'Исходник'!$1:$1,0)))</f>
        <v/>
      </c>
      <c r="M385" s="28">
        <f t="shared" si="4"/>
        <v>0</v>
      </c>
      <c r="N385" s="1" t="str">
        <f t="array" ref="N385">IFERROR(INDEX('Исходник'!$1:$626,MATCH($A385,'Исходник'!$T:$T,0),MATCH(N$1,'Исходник'!$1:$1,0)))</f>
        <v/>
      </c>
      <c r="O385" s="27">
        <f t="shared" si="5"/>
        <v>0</v>
      </c>
      <c r="P385" s="27" t="str">
        <f t="shared" si="6"/>
        <v/>
      </c>
      <c r="Q385" s="1" t="str">
        <f t="array" ref="Q385">IFERROR(INDEX('Исходник'!$1:$626,MATCH($A385,'Исходник'!$T:$T,0),MATCH(Q$1,'Исходник'!$1:$1,0)))</f>
        <v/>
      </c>
      <c r="R385" s="1" t="str">
        <f t="array" ref="R385">IFERROR(INDEX('Исходник'!$1:$626,MATCH($A385,'Исходник'!$T:$T,0),MATCH(R$1,'Исходник'!$1:$1,0)))</f>
        <v/>
      </c>
      <c r="S385" s="27">
        <f t="shared" si="7"/>
        <v>0</v>
      </c>
      <c r="T385" s="27" t="str">
        <f t="shared" si="8"/>
        <v/>
      </c>
      <c r="U385" s="1" t="str">
        <f t="array" ref="U385">IFERROR(INDEX('Исходник'!$1:$626,MATCH($A385,'Исходник'!$T:$T,0),MATCH(U$1,'Исходник'!$1:$1,0)))</f>
        <v/>
      </c>
      <c r="V385" s="27" t="str">
        <f t="shared" si="9"/>
        <v/>
      </c>
      <c r="W385" s="1" t="str">
        <f t="array" ref="W385">IFERROR(INDEX('Исходник'!$1:$626,MATCH($A385,'Исходник'!$T:$T,0),MATCH(W$1,'Исходник'!$1:$1,0)))</f>
        <v/>
      </c>
      <c r="X385" s="28">
        <f t="shared" si="10"/>
        <v>0</v>
      </c>
      <c r="Y385" s="1" t="str">
        <f t="array" ref="Y385">IFERROR(INDEX('Исходник'!$1:$626,MATCH($A385,'Исходник'!$T:$T,0),MATCH(Y$1,'Исходник'!$1:$1,0)))</f>
        <v/>
      </c>
      <c r="Z385" s="27">
        <f t="shared" si="11"/>
        <v>0</v>
      </c>
      <c r="AA385" s="27" t="str">
        <f t="shared" si="12"/>
        <v/>
      </c>
      <c r="AB385" s="1" t="str">
        <f t="array" ref="AB385">IFERROR(INDEX('Исходник'!$1:$626,MATCH($A385,'Исходник'!$T:$T,0),MATCH(AB$1,'Исходник'!$1:$1,0)))</f>
        <v/>
      </c>
      <c r="AC385" s="1" t="str">
        <f t="array" ref="AC385">IFERROR(INDEX('Исходник'!$1:$626,MATCH($A385,'Исходник'!$T:$T,0),MATCH(AC$1,'Исходник'!$1:$1,0)))</f>
        <v/>
      </c>
      <c r="AD385" s="27" t="str">
        <f t="shared" si="13"/>
        <v/>
      </c>
      <c r="AE385" s="1" t="str">
        <f t="array" ref="AE385">IFERROR(INDEX('Исходник'!$1:$626,MATCH($A385,'Исходник'!$T:$T,0),MATCH(AE$1,'Исходник'!$1:$1,0)))</f>
        <v/>
      </c>
      <c r="AF385" s="1" t="str">
        <f t="array" ref="AF385">IFERROR(INDEX('Исходник'!$1:$626,MATCH($A385,'Исходник'!$T:$T,0),MATCH(AF$1,'Исходник'!$1:$1,0)))</f>
        <v/>
      </c>
      <c r="AG385" s="27" t="str">
        <f t="shared" si="14"/>
        <v/>
      </c>
      <c r="AH385" s="1" t="str">
        <f t="array" ref="AH385">IFERROR(INDEX('Исходник'!$1:$626,MATCH($A385,'Исходник'!$T:$T,0),MATCH(AH$1,'Исходник'!$1:$1,0)))</f>
        <v/>
      </c>
      <c r="AI385" s="1" t="str">
        <f t="array" ref="AI385">IFERROR(INDEX('Исходник'!$1:$626,MATCH($A385,'Исходник'!$T:$T,0),MATCH(AI$1,'Исходник'!$1:$1,0)))</f>
        <v/>
      </c>
      <c r="AJ385" s="18">
        <f t="shared" si="15"/>
        <v>0</v>
      </c>
    </row>
    <row r="386" ht="15.75" customHeight="1">
      <c r="A386" s="27"/>
      <c r="B386" s="1" t="str">
        <f t="array" ref="B386">IFERROR(INDEX('Исходник'!$1:$626,MATCH($A386,'Исходник'!$T:$T,0),MATCH(B$1,'Исходник'!$1:$1,0)))</f>
        <v/>
      </c>
      <c r="C386" s="1" t="str">
        <f t="array" ref="C386">IFERROR(INDEX('Исходник'!$1:$626,MATCH($A386,'Исходник'!$T:$T,0),MATCH(C$1,'Исходник'!$1:$1,0)))</f>
        <v/>
      </c>
      <c r="D386" s="1" t="str">
        <f t="array" ref="D386">IFERROR(INDEX('Исходник'!$1:$626,MATCH($A386,'Исходник'!$T:$T,0),MATCH(D$1,'Исходник'!$1:$1,0)))</f>
        <v/>
      </c>
      <c r="E386" s="1" t="str">
        <f t="array" ref="E386">IFERROR(INDEX('Исходник'!$1:$626,MATCH($A386,'Исходник'!$T:$T,0),MATCH(E$1,'Исходник'!$1:$1,0)))</f>
        <v/>
      </c>
      <c r="F386" s="1" t="str">
        <f t="array" ref="F386">IFERROR(INDEX('Исходник'!$1:$626,MATCH($A386,'Исходник'!$T:$T,0),MATCH(F$1,'Исходник'!$1:$1,0)))</f>
        <v/>
      </c>
      <c r="G386" s="1" t="str">
        <f t="array" ref="G386">IFERROR(INDEX('Исходник'!$1:$626,MATCH($A386,'Исходник'!$T:$T,0),MATCH(G$1,'Исходник'!$1:$1,0)))</f>
        <v/>
      </c>
      <c r="H386" s="27">
        <f t="shared" si="1"/>
        <v>0</v>
      </c>
      <c r="I386" s="27" t="str">
        <f t="shared" si="2"/>
        <v/>
      </c>
      <c r="J386" s="1" t="str">
        <f t="array" ref="J386">IFERROR(INDEX('Исходник'!$1:$626,MATCH($A386,'Исходник'!$T:$T,0),MATCH(J$1,'Исходник'!$1:$1,0)))</f>
        <v/>
      </c>
      <c r="K386" s="27" t="str">
        <f t="shared" si="3"/>
        <v/>
      </c>
      <c r="L386" s="1" t="str">
        <f t="array" ref="L386">IFERROR(INDEX('Исходник'!$1:$626,MATCH($A386,'Исходник'!$T:$T,0),MATCH(L$1,'Исходник'!$1:$1,0)))</f>
        <v/>
      </c>
      <c r="M386" s="28">
        <f t="shared" si="4"/>
        <v>0</v>
      </c>
      <c r="N386" s="1" t="str">
        <f t="array" ref="N386">IFERROR(INDEX('Исходник'!$1:$626,MATCH($A386,'Исходник'!$T:$T,0),MATCH(N$1,'Исходник'!$1:$1,0)))</f>
        <v/>
      </c>
      <c r="O386" s="27">
        <f t="shared" si="5"/>
        <v>0</v>
      </c>
      <c r="P386" s="27" t="str">
        <f t="shared" si="6"/>
        <v/>
      </c>
      <c r="Q386" s="1" t="str">
        <f t="array" ref="Q386">IFERROR(INDEX('Исходник'!$1:$626,MATCH($A386,'Исходник'!$T:$T,0),MATCH(Q$1,'Исходник'!$1:$1,0)))</f>
        <v/>
      </c>
      <c r="R386" s="1" t="str">
        <f t="array" ref="R386">IFERROR(INDEX('Исходник'!$1:$626,MATCH($A386,'Исходник'!$T:$T,0),MATCH(R$1,'Исходник'!$1:$1,0)))</f>
        <v/>
      </c>
      <c r="S386" s="27">
        <f t="shared" si="7"/>
        <v>0</v>
      </c>
      <c r="T386" s="27" t="str">
        <f t="shared" si="8"/>
        <v/>
      </c>
      <c r="U386" s="1" t="str">
        <f t="array" ref="U386">IFERROR(INDEX('Исходник'!$1:$626,MATCH($A386,'Исходник'!$T:$T,0),MATCH(U$1,'Исходник'!$1:$1,0)))</f>
        <v/>
      </c>
      <c r="V386" s="27" t="str">
        <f t="shared" si="9"/>
        <v/>
      </c>
      <c r="W386" s="1" t="str">
        <f t="array" ref="W386">IFERROR(INDEX('Исходник'!$1:$626,MATCH($A386,'Исходник'!$T:$T,0),MATCH(W$1,'Исходник'!$1:$1,0)))</f>
        <v/>
      </c>
      <c r="X386" s="28">
        <f t="shared" si="10"/>
        <v>0</v>
      </c>
      <c r="Y386" s="1" t="str">
        <f t="array" ref="Y386">IFERROR(INDEX('Исходник'!$1:$626,MATCH($A386,'Исходник'!$T:$T,0),MATCH(Y$1,'Исходник'!$1:$1,0)))</f>
        <v/>
      </c>
      <c r="Z386" s="27">
        <f t="shared" si="11"/>
        <v>0</v>
      </c>
      <c r="AA386" s="27" t="str">
        <f t="shared" si="12"/>
        <v/>
      </c>
      <c r="AB386" s="1" t="str">
        <f t="array" ref="AB386">IFERROR(INDEX('Исходник'!$1:$626,MATCH($A386,'Исходник'!$T:$T,0),MATCH(AB$1,'Исходник'!$1:$1,0)))</f>
        <v/>
      </c>
      <c r="AC386" s="1" t="str">
        <f t="array" ref="AC386">IFERROR(INDEX('Исходник'!$1:$626,MATCH($A386,'Исходник'!$T:$T,0),MATCH(AC$1,'Исходник'!$1:$1,0)))</f>
        <v/>
      </c>
      <c r="AD386" s="27" t="str">
        <f t="shared" si="13"/>
        <v/>
      </c>
      <c r="AE386" s="1" t="str">
        <f t="array" ref="AE386">IFERROR(INDEX('Исходник'!$1:$626,MATCH($A386,'Исходник'!$T:$T,0),MATCH(AE$1,'Исходник'!$1:$1,0)))</f>
        <v/>
      </c>
      <c r="AF386" s="1" t="str">
        <f t="array" ref="AF386">IFERROR(INDEX('Исходник'!$1:$626,MATCH($A386,'Исходник'!$T:$T,0),MATCH(AF$1,'Исходник'!$1:$1,0)))</f>
        <v/>
      </c>
      <c r="AG386" s="27" t="str">
        <f t="shared" si="14"/>
        <v/>
      </c>
      <c r="AH386" s="1" t="str">
        <f t="array" ref="AH386">IFERROR(INDEX('Исходник'!$1:$626,MATCH($A386,'Исходник'!$T:$T,0),MATCH(AH$1,'Исходник'!$1:$1,0)))</f>
        <v/>
      </c>
      <c r="AI386" s="1" t="str">
        <f t="array" ref="AI386">IFERROR(INDEX('Исходник'!$1:$626,MATCH($A386,'Исходник'!$T:$T,0),MATCH(AI$1,'Исходник'!$1:$1,0)))</f>
        <v/>
      </c>
      <c r="AJ386" s="18">
        <f t="shared" si="15"/>
        <v>0</v>
      </c>
    </row>
    <row r="387" ht="15.75" customHeight="1">
      <c r="A387" s="27"/>
      <c r="B387" s="1" t="str">
        <f t="array" ref="B387">IFERROR(INDEX('Исходник'!$1:$626,MATCH($A387,'Исходник'!$T:$T,0),MATCH(B$1,'Исходник'!$1:$1,0)))</f>
        <v/>
      </c>
      <c r="C387" s="1" t="str">
        <f t="array" ref="C387">IFERROR(INDEX('Исходник'!$1:$626,MATCH($A387,'Исходник'!$T:$T,0),MATCH(C$1,'Исходник'!$1:$1,0)))</f>
        <v/>
      </c>
      <c r="D387" s="1" t="str">
        <f t="array" ref="D387">IFERROR(INDEX('Исходник'!$1:$626,MATCH($A387,'Исходник'!$T:$T,0),MATCH(D$1,'Исходник'!$1:$1,0)))</f>
        <v/>
      </c>
      <c r="E387" s="1" t="str">
        <f t="array" ref="E387">IFERROR(INDEX('Исходник'!$1:$626,MATCH($A387,'Исходник'!$T:$T,0),MATCH(E$1,'Исходник'!$1:$1,0)))</f>
        <v/>
      </c>
      <c r="F387" s="1" t="str">
        <f t="array" ref="F387">IFERROR(INDEX('Исходник'!$1:$626,MATCH($A387,'Исходник'!$T:$T,0),MATCH(F$1,'Исходник'!$1:$1,0)))</f>
        <v/>
      </c>
      <c r="G387" s="1" t="str">
        <f t="array" ref="G387">IFERROR(INDEX('Исходник'!$1:$626,MATCH($A387,'Исходник'!$T:$T,0),MATCH(G$1,'Исходник'!$1:$1,0)))</f>
        <v/>
      </c>
      <c r="H387" s="27">
        <f t="shared" si="1"/>
        <v>0</v>
      </c>
      <c r="I387" s="27" t="str">
        <f t="shared" si="2"/>
        <v/>
      </c>
      <c r="J387" s="1" t="str">
        <f t="array" ref="J387">IFERROR(INDEX('Исходник'!$1:$626,MATCH($A387,'Исходник'!$T:$T,0),MATCH(J$1,'Исходник'!$1:$1,0)))</f>
        <v/>
      </c>
      <c r="K387" s="27" t="str">
        <f t="shared" si="3"/>
        <v/>
      </c>
      <c r="L387" s="1" t="str">
        <f t="array" ref="L387">IFERROR(INDEX('Исходник'!$1:$626,MATCH($A387,'Исходник'!$T:$T,0),MATCH(L$1,'Исходник'!$1:$1,0)))</f>
        <v/>
      </c>
      <c r="M387" s="28">
        <f t="shared" si="4"/>
        <v>0</v>
      </c>
      <c r="N387" s="1" t="str">
        <f t="array" ref="N387">IFERROR(INDEX('Исходник'!$1:$626,MATCH($A387,'Исходник'!$T:$T,0),MATCH(N$1,'Исходник'!$1:$1,0)))</f>
        <v/>
      </c>
      <c r="O387" s="27">
        <f t="shared" si="5"/>
        <v>0</v>
      </c>
      <c r="P387" s="27" t="str">
        <f t="shared" si="6"/>
        <v/>
      </c>
      <c r="Q387" s="1" t="str">
        <f t="array" ref="Q387">IFERROR(INDEX('Исходник'!$1:$626,MATCH($A387,'Исходник'!$T:$T,0),MATCH(Q$1,'Исходник'!$1:$1,0)))</f>
        <v/>
      </c>
      <c r="R387" s="1" t="str">
        <f t="array" ref="R387">IFERROR(INDEX('Исходник'!$1:$626,MATCH($A387,'Исходник'!$T:$T,0),MATCH(R$1,'Исходник'!$1:$1,0)))</f>
        <v/>
      </c>
      <c r="S387" s="27">
        <f t="shared" si="7"/>
        <v>0</v>
      </c>
      <c r="T387" s="27" t="str">
        <f t="shared" si="8"/>
        <v/>
      </c>
      <c r="U387" s="1" t="str">
        <f t="array" ref="U387">IFERROR(INDEX('Исходник'!$1:$626,MATCH($A387,'Исходник'!$T:$T,0),MATCH(U$1,'Исходник'!$1:$1,0)))</f>
        <v/>
      </c>
      <c r="V387" s="27" t="str">
        <f t="shared" si="9"/>
        <v/>
      </c>
      <c r="W387" s="1" t="str">
        <f t="array" ref="W387">IFERROR(INDEX('Исходник'!$1:$626,MATCH($A387,'Исходник'!$T:$T,0),MATCH(W$1,'Исходник'!$1:$1,0)))</f>
        <v/>
      </c>
      <c r="X387" s="28">
        <f t="shared" si="10"/>
        <v>0</v>
      </c>
      <c r="Y387" s="1" t="str">
        <f t="array" ref="Y387">IFERROR(INDEX('Исходник'!$1:$626,MATCH($A387,'Исходник'!$T:$T,0),MATCH(Y$1,'Исходник'!$1:$1,0)))</f>
        <v/>
      </c>
      <c r="Z387" s="27">
        <f t="shared" si="11"/>
        <v>0</v>
      </c>
      <c r="AA387" s="27" t="str">
        <f t="shared" si="12"/>
        <v/>
      </c>
      <c r="AB387" s="1" t="str">
        <f t="array" ref="AB387">IFERROR(INDEX('Исходник'!$1:$626,MATCH($A387,'Исходник'!$T:$T,0),MATCH(AB$1,'Исходник'!$1:$1,0)))</f>
        <v/>
      </c>
      <c r="AC387" s="1" t="str">
        <f t="array" ref="AC387">IFERROR(INDEX('Исходник'!$1:$626,MATCH($A387,'Исходник'!$T:$T,0),MATCH(AC$1,'Исходник'!$1:$1,0)))</f>
        <v/>
      </c>
      <c r="AD387" s="27" t="str">
        <f t="shared" si="13"/>
        <v/>
      </c>
      <c r="AE387" s="1" t="str">
        <f t="array" ref="AE387">IFERROR(INDEX('Исходник'!$1:$626,MATCH($A387,'Исходник'!$T:$T,0),MATCH(AE$1,'Исходник'!$1:$1,0)))</f>
        <v/>
      </c>
      <c r="AF387" s="1" t="str">
        <f t="array" ref="AF387">IFERROR(INDEX('Исходник'!$1:$626,MATCH($A387,'Исходник'!$T:$T,0),MATCH(AF$1,'Исходник'!$1:$1,0)))</f>
        <v/>
      </c>
      <c r="AG387" s="27" t="str">
        <f t="shared" si="14"/>
        <v/>
      </c>
      <c r="AH387" s="1" t="str">
        <f t="array" ref="AH387">IFERROR(INDEX('Исходник'!$1:$626,MATCH($A387,'Исходник'!$T:$T,0),MATCH(AH$1,'Исходник'!$1:$1,0)))</f>
        <v/>
      </c>
      <c r="AI387" s="1" t="str">
        <f t="array" ref="AI387">IFERROR(INDEX('Исходник'!$1:$626,MATCH($A387,'Исходник'!$T:$T,0),MATCH(AI$1,'Исходник'!$1:$1,0)))</f>
        <v/>
      </c>
      <c r="AJ387" s="18">
        <f t="shared" si="15"/>
        <v>0</v>
      </c>
    </row>
    <row r="388" ht="15.75" customHeight="1">
      <c r="A388" s="27"/>
      <c r="B388" s="1" t="str">
        <f t="array" ref="B388">IFERROR(INDEX('Исходник'!$1:$626,MATCH($A388,'Исходник'!$T:$T,0),MATCH(B$1,'Исходник'!$1:$1,0)))</f>
        <v/>
      </c>
      <c r="C388" s="1" t="str">
        <f t="array" ref="C388">IFERROR(INDEX('Исходник'!$1:$626,MATCH($A388,'Исходник'!$T:$T,0),MATCH(C$1,'Исходник'!$1:$1,0)))</f>
        <v/>
      </c>
      <c r="D388" s="1" t="str">
        <f t="array" ref="D388">IFERROR(INDEX('Исходник'!$1:$626,MATCH($A388,'Исходник'!$T:$T,0),MATCH(D$1,'Исходник'!$1:$1,0)))</f>
        <v/>
      </c>
      <c r="E388" s="1" t="str">
        <f t="array" ref="E388">IFERROR(INDEX('Исходник'!$1:$626,MATCH($A388,'Исходник'!$T:$T,0),MATCH(E$1,'Исходник'!$1:$1,0)))</f>
        <v/>
      </c>
      <c r="F388" s="1" t="str">
        <f t="array" ref="F388">IFERROR(INDEX('Исходник'!$1:$626,MATCH($A388,'Исходник'!$T:$T,0),MATCH(F$1,'Исходник'!$1:$1,0)))</f>
        <v/>
      </c>
      <c r="G388" s="1" t="str">
        <f t="array" ref="G388">IFERROR(INDEX('Исходник'!$1:$626,MATCH($A388,'Исходник'!$T:$T,0),MATCH(G$1,'Исходник'!$1:$1,0)))</f>
        <v/>
      </c>
      <c r="H388" s="27">
        <f t="shared" si="1"/>
        <v>0</v>
      </c>
      <c r="I388" s="27" t="str">
        <f t="shared" si="2"/>
        <v/>
      </c>
      <c r="J388" s="1" t="str">
        <f t="array" ref="J388">IFERROR(INDEX('Исходник'!$1:$626,MATCH($A388,'Исходник'!$T:$T,0),MATCH(J$1,'Исходник'!$1:$1,0)))</f>
        <v/>
      </c>
      <c r="K388" s="27" t="str">
        <f t="shared" si="3"/>
        <v/>
      </c>
      <c r="L388" s="1" t="str">
        <f t="array" ref="L388">IFERROR(INDEX('Исходник'!$1:$626,MATCH($A388,'Исходник'!$T:$T,0),MATCH(L$1,'Исходник'!$1:$1,0)))</f>
        <v/>
      </c>
      <c r="M388" s="28">
        <f t="shared" si="4"/>
        <v>0</v>
      </c>
      <c r="N388" s="1" t="str">
        <f t="array" ref="N388">IFERROR(INDEX('Исходник'!$1:$626,MATCH($A388,'Исходник'!$T:$T,0),MATCH(N$1,'Исходник'!$1:$1,0)))</f>
        <v/>
      </c>
      <c r="O388" s="27">
        <f t="shared" si="5"/>
        <v>0</v>
      </c>
      <c r="P388" s="27" t="str">
        <f t="shared" si="6"/>
        <v/>
      </c>
      <c r="Q388" s="1" t="str">
        <f t="array" ref="Q388">IFERROR(INDEX('Исходник'!$1:$626,MATCH($A388,'Исходник'!$T:$T,0),MATCH(Q$1,'Исходник'!$1:$1,0)))</f>
        <v/>
      </c>
      <c r="R388" s="1" t="str">
        <f t="array" ref="R388">IFERROR(INDEX('Исходник'!$1:$626,MATCH($A388,'Исходник'!$T:$T,0),MATCH(R$1,'Исходник'!$1:$1,0)))</f>
        <v/>
      </c>
      <c r="S388" s="27">
        <f t="shared" si="7"/>
        <v>0</v>
      </c>
      <c r="T388" s="27" t="str">
        <f t="shared" si="8"/>
        <v/>
      </c>
      <c r="U388" s="1" t="str">
        <f t="array" ref="U388">IFERROR(INDEX('Исходник'!$1:$626,MATCH($A388,'Исходник'!$T:$T,0),MATCH(U$1,'Исходник'!$1:$1,0)))</f>
        <v/>
      </c>
      <c r="V388" s="27" t="str">
        <f t="shared" si="9"/>
        <v/>
      </c>
      <c r="W388" s="1" t="str">
        <f t="array" ref="W388">IFERROR(INDEX('Исходник'!$1:$626,MATCH($A388,'Исходник'!$T:$T,0),MATCH(W$1,'Исходник'!$1:$1,0)))</f>
        <v/>
      </c>
      <c r="X388" s="28">
        <f t="shared" si="10"/>
        <v>0</v>
      </c>
      <c r="Y388" s="1" t="str">
        <f t="array" ref="Y388">IFERROR(INDEX('Исходник'!$1:$626,MATCH($A388,'Исходник'!$T:$T,0),MATCH(Y$1,'Исходник'!$1:$1,0)))</f>
        <v/>
      </c>
      <c r="Z388" s="27">
        <f t="shared" si="11"/>
        <v>0</v>
      </c>
      <c r="AA388" s="27" t="str">
        <f t="shared" si="12"/>
        <v/>
      </c>
      <c r="AB388" s="1" t="str">
        <f t="array" ref="AB388">IFERROR(INDEX('Исходник'!$1:$626,MATCH($A388,'Исходник'!$T:$T,0),MATCH(AB$1,'Исходник'!$1:$1,0)))</f>
        <v/>
      </c>
      <c r="AC388" s="1" t="str">
        <f t="array" ref="AC388">IFERROR(INDEX('Исходник'!$1:$626,MATCH($A388,'Исходник'!$T:$T,0),MATCH(AC$1,'Исходник'!$1:$1,0)))</f>
        <v/>
      </c>
      <c r="AD388" s="27" t="str">
        <f t="shared" si="13"/>
        <v/>
      </c>
      <c r="AE388" s="1" t="str">
        <f t="array" ref="AE388">IFERROR(INDEX('Исходник'!$1:$626,MATCH($A388,'Исходник'!$T:$T,0),MATCH(AE$1,'Исходник'!$1:$1,0)))</f>
        <v/>
      </c>
      <c r="AF388" s="1" t="str">
        <f t="array" ref="AF388">IFERROR(INDEX('Исходник'!$1:$626,MATCH($A388,'Исходник'!$T:$T,0),MATCH(AF$1,'Исходник'!$1:$1,0)))</f>
        <v/>
      </c>
      <c r="AG388" s="27" t="str">
        <f t="shared" si="14"/>
        <v/>
      </c>
      <c r="AH388" s="1" t="str">
        <f t="array" ref="AH388">IFERROR(INDEX('Исходник'!$1:$626,MATCH($A388,'Исходник'!$T:$T,0),MATCH(AH$1,'Исходник'!$1:$1,0)))</f>
        <v/>
      </c>
      <c r="AI388" s="1" t="str">
        <f t="array" ref="AI388">IFERROR(INDEX('Исходник'!$1:$626,MATCH($A388,'Исходник'!$T:$T,0),MATCH(AI$1,'Исходник'!$1:$1,0)))</f>
        <v/>
      </c>
      <c r="AJ388" s="18">
        <f t="shared" si="15"/>
        <v>0</v>
      </c>
    </row>
    <row r="389" ht="15.75" customHeight="1">
      <c r="A389" s="27"/>
      <c r="B389" s="1" t="str">
        <f t="array" ref="B389">IFERROR(INDEX('Исходник'!$1:$626,MATCH($A389,'Исходник'!$T:$T,0),MATCH(B$1,'Исходник'!$1:$1,0)))</f>
        <v/>
      </c>
      <c r="C389" s="1" t="str">
        <f t="array" ref="C389">IFERROR(INDEX('Исходник'!$1:$626,MATCH($A389,'Исходник'!$T:$T,0),MATCH(C$1,'Исходник'!$1:$1,0)))</f>
        <v/>
      </c>
      <c r="D389" s="1" t="str">
        <f t="array" ref="D389">IFERROR(INDEX('Исходник'!$1:$626,MATCH($A389,'Исходник'!$T:$T,0),MATCH(D$1,'Исходник'!$1:$1,0)))</f>
        <v/>
      </c>
      <c r="E389" s="1" t="str">
        <f t="array" ref="E389">IFERROR(INDEX('Исходник'!$1:$626,MATCH($A389,'Исходник'!$T:$T,0),MATCH(E$1,'Исходник'!$1:$1,0)))</f>
        <v/>
      </c>
      <c r="F389" s="1" t="str">
        <f t="array" ref="F389">IFERROR(INDEX('Исходник'!$1:$626,MATCH($A389,'Исходник'!$T:$T,0),MATCH(F$1,'Исходник'!$1:$1,0)))</f>
        <v/>
      </c>
      <c r="G389" s="1" t="str">
        <f t="array" ref="G389">IFERROR(INDEX('Исходник'!$1:$626,MATCH($A389,'Исходник'!$T:$T,0),MATCH(G$1,'Исходник'!$1:$1,0)))</f>
        <v/>
      </c>
      <c r="H389" s="27">
        <f t="shared" si="1"/>
        <v>0</v>
      </c>
      <c r="I389" s="27" t="str">
        <f t="shared" si="2"/>
        <v/>
      </c>
      <c r="J389" s="1" t="str">
        <f t="array" ref="J389">IFERROR(INDEX('Исходник'!$1:$626,MATCH($A389,'Исходник'!$T:$T,0),MATCH(J$1,'Исходник'!$1:$1,0)))</f>
        <v/>
      </c>
      <c r="K389" s="27" t="str">
        <f t="shared" si="3"/>
        <v/>
      </c>
      <c r="L389" s="1" t="str">
        <f t="array" ref="L389">IFERROR(INDEX('Исходник'!$1:$626,MATCH($A389,'Исходник'!$T:$T,0),MATCH(L$1,'Исходник'!$1:$1,0)))</f>
        <v/>
      </c>
      <c r="M389" s="28">
        <f t="shared" si="4"/>
        <v>0</v>
      </c>
      <c r="N389" s="1" t="str">
        <f t="array" ref="N389">IFERROR(INDEX('Исходник'!$1:$626,MATCH($A389,'Исходник'!$T:$T,0),MATCH(N$1,'Исходник'!$1:$1,0)))</f>
        <v/>
      </c>
      <c r="O389" s="27">
        <f t="shared" si="5"/>
        <v>0</v>
      </c>
      <c r="P389" s="27" t="str">
        <f t="shared" si="6"/>
        <v/>
      </c>
      <c r="Q389" s="1" t="str">
        <f t="array" ref="Q389">IFERROR(INDEX('Исходник'!$1:$626,MATCH($A389,'Исходник'!$T:$T,0),MATCH(Q$1,'Исходник'!$1:$1,0)))</f>
        <v/>
      </c>
      <c r="R389" s="1" t="str">
        <f t="array" ref="R389">IFERROR(INDEX('Исходник'!$1:$626,MATCH($A389,'Исходник'!$T:$T,0),MATCH(R$1,'Исходник'!$1:$1,0)))</f>
        <v/>
      </c>
      <c r="S389" s="27">
        <f t="shared" si="7"/>
        <v>0</v>
      </c>
      <c r="T389" s="27" t="str">
        <f t="shared" si="8"/>
        <v/>
      </c>
      <c r="U389" s="1" t="str">
        <f t="array" ref="U389">IFERROR(INDEX('Исходник'!$1:$626,MATCH($A389,'Исходник'!$T:$T,0),MATCH(U$1,'Исходник'!$1:$1,0)))</f>
        <v/>
      </c>
      <c r="V389" s="27" t="str">
        <f t="shared" si="9"/>
        <v/>
      </c>
      <c r="W389" s="1" t="str">
        <f t="array" ref="W389">IFERROR(INDEX('Исходник'!$1:$626,MATCH($A389,'Исходник'!$T:$T,0),MATCH(W$1,'Исходник'!$1:$1,0)))</f>
        <v/>
      </c>
      <c r="X389" s="28">
        <f t="shared" si="10"/>
        <v>0</v>
      </c>
      <c r="Y389" s="1" t="str">
        <f t="array" ref="Y389">IFERROR(INDEX('Исходник'!$1:$626,MATCH($A389,'Исходник'!$T:$T,0),MATCH(Y$1,'Исходник'!$1:$1,0)))</f>
        <v/>
      </c>
      <c r="Z389" s="27">
        <f t="shared" si="11"/>
        <v>0</v>
      </c>
      <c r="AA389" s="27" t="str">
        <f t="shared" si="12"/>
        <v/>
      </c>
      <c r="AB389" s="1" t="str">
        <f t="array" ref="AB389">IFERROR(INDEX('Исходник'!$1:$626,MATCH($A389,'Исходник'!$T:$T,0),MATCH(AB$1,'Исходник'!$1:$1,0)))</f>
        <v/>
      </c>
      <c r="AC389" s="1" t="str">
        <f t="array" ref="AC389">IFERROR(INDEX('Исходник'!$1:$626,MATCH($A389,'Исходник'!$T:$T,0),MATCH(AC$1,'Исходник'!$1:$1,0)))</f>
        <v/>
      </c>
      <c r="AD389" s="27" t="str">
        <f t="shared" si="13"/>
        <v/>
      </c>
      <c r="AE389" s="1" t="str">
        <f t="array" ref="AE389">IFERROR(INDEX('Исходник'!$1:$626,MATCH($A389,'Исходник'!$T:$T,0),MATCH(AE$1,'Исходник'!$1:$1,0)))</f>
        <v/>
      </c>
      <c r="AF389" s="1" t="str">
        <f t="array" ref="AF389">IFERROR(INDEX('Исходник'!$1:$626,MATCH($A389,'Исходник'!$T:$T,0),MATCH(AF$1,'Исходник'!$1:$1,0)))</f>
        <v/>
      </c>
      <c r="AG389" s="27" t="str">
        <f t="shared" si="14"/>
        <v/>
      </c>
      <c r="AH389" s="1" t="str">
        <f t="array" ref="AH389">IFERROR(INDEX('Исходник'!$1:$626,MATCH($A389,'Исходник'!$T:$T,0),MATCH(AH$1,'Исходник'!$1:$1,0)))</f>
        <v/>
      </c>
      <c r="AI389" s="1" t="str">
        <f t="array" ref="AI389">IFERROR(INDEX('Исходник'!$1:$626,MATCH($A389,'Исходник'!$T:$T,0),MATCH(AI$1,'Исходник'!$1:$1,0)))</f>
        <v/>
      </c>
      <c r="AJ389" s="18">
        <f t="shared" si="15"/>
        <v>0</v>
      </c>
    </row>
    <row r="390" ht="15.75" customHeight="1">
      <c r="A390" s="27"/>
      <c r="B390" s="1" t="str">
        <f t="array" ref="B390">IFERROR(INDEX('Исходник'!$1:$626,MATCH($A390,'Исходник'!$T:$T,0),MATCH(B$1,'Исходник'!$1:$1,0)))</f>
        <v/>
      </c>
      <c r="C390" s="1" t="str">
        <f t="array" ref="C390">IFERROR(INDEX('Исходник'!$1:$626,MATCH($A390,'Исходник'!$T:$T,0),MATCH(C$1,'Исходник'!$1:$1,0)))</f>
        <v/>
      </c>
      <c r="D390" s="1" t="str">
        <f t="array" ref="D390">IFERROR(INDEX('Исходник'!$1:$626,MATCH($A390,'Исходник'!$T:$T,0),MATCH(D$1,'Исходник'!$1:$1,0)))</f>
        <v/>
      </c>
      <c r="E390" s="1" t="str">
        <f t="array" ref="E390">IFERROR(INDEX('Исходник'!$1:$626,MATCH($A390,'Исходник'!$T:$T,0),MATCH(E$1,'Исходник'!$1:$1,0)))</f>
        <v/>
      </c>
      <c r="F390" s="1" t="str">
        <f t="array" ref="F390">IFERROR(INDEX('Исходник'!$1:$626,MATCH($A390,'Исходник'!$T:$T,0),MATCH(F$1,'Исходник'!$1:$1,0)))</f>
        <v/>
      </c>
      <c r="G390" s="1" t="str">
        <f t="array" ref="G390">IFERROR(INDEX('Исходник'!$1:$626,MATCH($A390,'Исходник'!$T:$T,0),MATCH(G$1,'Исходник'!$1:$1,0)))</f>
        <v/>
      </c>
      <c r="H390" s="27">
        <f t="shared" si="1"/>
        <v>0</v>
      </c>
      <c r="I390" s="27" t="str">
        <f t="shared" si="2"/>
        <v/>
      </c>
      <c r="J390" s="1" t="str">
        <f t="array" ref="J390">IFERROR(INDEX('Исходник'!$1:$626,MATCH($A390,'Исходник'!$T:$T,0),MATCH(J$1,'Исходник'!$1:$1,0)))</f>
        <v/>
      </c>
      <c r="K390" s="27" t="str">
        <f t="shared" si="3"/>
        <v/>
      </c>
      <c r="L390" s="1" t="str">
        <f t="array" ref="L390">IFERROR(INDEX('Исходник'!$1:$626,MATCH($A390,'Исходник'!$T:$T,0),MATCH(L$1,'Исходник'!$1:$1,0)))</f>
        <v/>
      </c>
      <c r="M390" s="28">
        <f t="shared" si="4"/>
        <v>0</v>
      </c>
      <c r="N390" s="1" t="str">
        <f t="array" ref="N390">IFERROR(INDEX('Исходник'!$1:$626,MATCH($A390,'Исходник'!$T:$T,0),MATCH(N$1,'Исходник'!$1:$1,0)))</f>
        <v/>
      </c>
      <c r="O390" s="27">
        <f t="shared" si="5"/>
        <v>0</v>
      </c>
      <c r="P390" s="27" t="str">
        <f t="shared" si="6"/>
        <v/>
      </c>
      <c r="Q390" s="1" t="str">
        <f t="array" ref="Q390">IFERROR(INDEX('Исходник'!$1:$626,MATCH($A390,'Исходник'!$T:$T,0),MATCH(Q$1,'Исходник'!$1:$1,0)))</f>
        <v/>
      </c>
      <c r="R390" s="1" t="str">
        <f t="array" ref="R390">IFERROR(INDEX('Исходник'!$1:$626,MATCH($A390,'Исходник'!$T:$T,0),MATCH(R$1,'Исходник'!$1:$1,0)))</f>
        <v/>
      </c>
      <c r="S390" s="27">
        <f t="shared" si="7"/>
        <v>0</v>
      </c>
      <c r="T390" s="27" t="str">
        <f t="shared" si="8"/>
        <v/>
      </c>
      <c r="U390" s="1" t="str">
        <f t="array" ref="U390">IFERROR(INDEX('Исходник'!$1:$626,MATCH($A390,'Исходник'!$T:$T,0),MATCH(U$1,'Исходник'!$1:$1,0)))</f>
        <v/>
      </c>
      <c r="V390" s="27" t="str">
        <f t="shared" si="9"/>
        <v/>
      </c>
      <c r="W390" s="1" t="str">
        <f t="array" ref="W390">IFERROR(INDEX('Исходник'!$1:$626,MATCH($A390,'Исходник'!$T:$T,0),MATCH(W$1,'Исходник'!$1:$1,0)))</f>
        <v/>
      </c>
      <c r="X390" s="28">
        <f t="shared" si="10"/>
        <v>0</v>
      </c>
      <c r="Y390" s="1" t="str">
        <f t="array" ref="Y390">IFERROR(INDEX('Исходник'!$1:$626,MATCH($A390,'Исходник'!$T:$T,0),MATCH(Y$1,'Исходник'!$1:$1,0)))</f>
        <v/>
      </c>
      <c r="Z390" s="27">
        <f t="shared" si="11"/>
        <v>0</v>
      </c>
      <c r="AA390" s="27" t="str">
        <f t="shared" si="12"/>
        <v/>
      </c>
      <c r="AB390" s="1" t="str">
        <f t="array" ref="AB390">IFERROR(INDEX('Исходник'!$1:$626,MATCH($A390,'Исходник'!$T:$T,0),MATCH(AB$1,'Исходник'!$1:$1,0)))</f>
        <v/>
      </c>
      <c r="AC390" s="1" t="str">
        <f t="array" ref="AC390">IFERROR(INDEX('Исходник'!$1:$626,MATCH($A390,'Исходник'!$T:$T,0),MATCH(AC$1,'Исходник'!$1:$1,0)))</f>
        <v/>
      </c>
      <c r="AD390" s="27" t="str">
        <f t="shared" si="13"/>
        <v/>
      </c>
      <c r="AE390" s="1" t="str">
        <f t="array" ref="AE390">IFERROR(INDEX('Исходник'!$1:$626,MATCH($A390,'Исходник'!$T:$T,0),MATCH(AE$1,'Исходник'!$1:$1,0)))</f>
        <v/>
      </c>
      <c r="AF390" s="1" t="str">
        <f t="array" ref="AF390">IFERROR(INDEX('Исходник'!$1:$626,MATCH($A390,'Исходник'!$T:$T,0),MATCH(AF$1,'Исходник'!$1:$1,0)))</f>
        <v/>
      </c>
      <c r="AG390" s="27" t="str">
        <f t="shared" si="14"/>
        <v/>
      </c>
      <c r="AH390" s="1" t="str">
        <f t="array" ref="AH390">IFERROR(INDEX('Исходник'!$1:$626,MATCH($A390,'Исходник'!$T:$T,0),MATCH(AH$1,'Исходник'!$1:$1,0)))</f>
        <v/>
      </c>
      <c r="AI390" s="1" t="str">
        <f t="array" ref="AI390">IFERROR(INDEX('Исходник'!$1:$626,MATCH($A390,'Исходник'!$T:$T,0),MATCH(AI$1,'Исходник'!$1:$1,0)))</f>
        <v/>
      </c>
      <c r="AJ390" s="18">
        <f t="shared" si="15"/>
        <v>0</v>
      </c>
    </row>
    <row r="391" ht="15.75" customHeight="1">
      <c r="A391" s="27"/>
      <c r="B391" s="1" t="str">
        <f t="array" ref="B391">IFERROR(INDEX('Исходник'!$1:$626,MATCH($A391,'Исходник'!$T:$T,0),MATCH(B$1,'Исходник'!$1:$1,0)))</f>
        <v/>
      </c>
      <c r="C391" s="1" t="str">
        <f t="array" ref="C391">IFERROR(INDEX('Исходник'!$1:$626,MATCH($A391,'Исходник'!$T:$T,0),MATCH(C$1,'Исходник'!$1:$1,0)))</f>
        <v/>
      </c>
      <c r="D391" s="1" t="str">
        <f t="array" ref="D391">IFERROR(INDEX('Исходник'!$1:$626,MATCH($A391,'Исходник'!$T:$T,0),MATCH(D$1,'Исходник'!$1:$1,0)))</f>
        <v/>
      </c>
      <c r="E391" s="1" t="str">
        <f t="array" ref="E391">IFERROR(INDEX('Исходник'!$1:$626,MATCH($A391,'Исходник'!$T:$T,0),MATCH(E$1,'Исходник'!$1:$1,0)))</f>
        <v/>
      </c>
      <c r="F391" s="1" t="str">
        <f t="array" ref="F391">IFERROR(INDEX('Исходник'!$1:$626,MATCH($A391,'Исходник'!$T:$T,0),MATCH(F$1,'Исходник'!$1:$1,0)))</f>
        <v/>
      </c>
      <c r="G391" s="1" t="str">
        <f t="array" ref="G391">IFERROR(INDEX('Исходник'!$1:$626,MATCH($A391,'Исходник'!$T:$T,0),MATCH(G$1,'Исходник'!$1:$1,0)))</f>
        <v/>
      </c>
      <c r="H391" s="27">
        <f t="shared" si="1"/>
        <v>0</v>
      </c>
      <c r="I391" s="27" t="str">
        <f t="shared" si="2"/>
        <v/>
      </c>
      <c r="J391" s="1" t="str">
        <f t="array" ref="J391">IFERROR(INDEX('Исходник'!$1:$626,MATCH($A391,'Исходник'!$T:$T,0),MATCH(J$1,'Исходник'!$1:$1,0)))</f>
        <v/>
      </c>
      <c r="K391" s="27" t="str">
        <f t="shared" si="3"/>
        <v/>
      </c>
      <c r="L391" s="1" t="str">
        <f t="array" ref="L391">IFERROR(INDEX('Исходник'!$1:$626,MATCH($A391,'Исходник'!$T:$T,0),MATCH(L$1,'Исходник'!$1:$1,0)))</f>
        <v/>
      </c>
      <c r="M391" s="28">
        <f t="shared" si="4"/>
        <v>0</v>
      </c>
      <c r="N391" s="1" t="str">
        <f t="array" ref="N391">IFERROR(INDEX('Исходник'!$1:$626,MATCH($A391,'Исходник'!$T:$T,0),MATCH(N$1,'Исходник'!$1:$1,0)))</f>
        <v/>
      </c>
      <c r="O391" s="27">
        <f t="shared" si="5"/>
        <v>0</v>
      </c>
      <c r="P391" s="27" t="str">
        <f t="shared" si="6"/>
        <v/>
      </c>
      <c r="Q391" s="1" t="str">
        <f t="array" ref="Q391">IFERROR(INDEX('Исходник'!$1:$626,MATCH($A391,'Исходник'!$T:$T,0),MATCH(Q$1,'Исходник'!$1:$1,0)))</f>
        <v/>
      </c>
      <c r="R391" s="1" t="str">
        <f t="array" ref="R391">IFERROR(INDEX('Исходник'!$1:$626,MATCH($A391,'Исходник'!$T:$T,0),MATCH(R$1,'Исходник'!$1:$1,0)))</f>
        <v/>
      </c>
      <c r="S391" s="27">
        <f t="shared" si="7"/>
        <v>0</v>
      </c>
      <c r="T391" s="27" t="str">
        <f t="shared" si="8"/>
        <v/>
      </c>
      <c r="U391" s="1" t="str">
        <f t="array" ref="U391">IFERROR(INDEX('Исходник'!$1:$626,MATCH($A391,'Исходник'!$T:$T,0),MATCH(U$1,'Исходник'!$1:$1,0)))</f>
        <v/>
      </c>
      <c r="V391" s="27" t="str">
        <f t="shared" si="9"/>
        <v/>
      </c>
      <c r="W391" s="1" t="str">
        <f t="array" ref="W391">IFERROR(INDEX('Исходник'!$1:$626,MATCH($A391,'Исходник'!$T:$T,0),MATCH(W$1,'Исходник'!$1:$1,0)))</f>
        <v/>
      </c>
      <c r="X391" s="28">
        <f t="shared" si="10"/>
        <v>0</v>
      </c>
      <c r="Y391" s="1" t="str">
        <f t="array" ref="Y391">IFERROR(INDEX('Исходник'!$1:$626,MATCH($A391,'Исходник'!$T:$T,0),MATCH(Y$1,'Исходник'!$1:$1,0)))</f>
        <v/>
      </c>
      <c r="Z391" s="27">
        <f t="shared" si="11"/>
        <v>0</v>
      </c>
      <c r="AA391" s="27" t="str">
        <f t="shared" si="12"/>
        <v/>
      </c>
      <c r="AB391" s="1" t="str">
        <f t="array" ref="AB391">IFERROR(INDEX('Исходник'!$1:$626,MATCH($A391,'Исходник'!$T:$T,0),MATCH(AB$1,'Исходник'!$1:$1,0)))</f>
        <v/>
      </c>
      <c r="AC391" s="1" t="str">
        <f t="array" ref="AC391">IFERROR(INDEX('Исходник'!$1:$626,MATCH($A391,'Исходник'!$T:$T,0),MATCH(AC$1,'Исходник'!$1:$1,0)))</f>
        <v/>
      </c>
      <c r="AD391" s="27" t="str">
        <f t="shared" si="13"/>
        <v/>
      </c>
      <c r="AE391" s="1" t="str">
        <f t="array" ref="AE391">IFERROR(INDEX('Исходник'!$1:$626,MATCH($A391,'Исходник'!$T:$T,0),MATCH(AE$1,'Исходник'!$1:$1,0)))</f>
        <v/>
      </c>
      <c r="AF391" s="1" t="str">
        <f t="array" ref="AF391">IFERROR(INDEX('Исходник'!$1:$626,MATCH($A391,'Исходник'!$T:$T,0),MATCH(AF$1,'Исходник'!$1:$1,0)))</f>
        <v/>
      </c>
      <c r="AG391" s="27" t="str">
        <f t="shared" si="14"/>
        <v/>
      </c>
      <c r="AH391" s="1" t="str">
        <f t="array" ref="AH391">IFERROR(INDEX('Исходник'!$1:$626,MATCH($A391,'Исходник'!$T:$T,0),MATCH(AH$1,'Исходник'!$1:$1,0)))</f>
        <v/>
      </c>
      <c r="AI391" s="1" t="str">
        <f t="array" ref="AI391">IFERROR(INDEX('Исходник'!$1:$626,MATCH($A391,'Исходник'!$T:$T,0),MATCH(AI$1,'Исходник'!$1:$1,0)))</f>
        <v/>
      </c>
      <c r="AJ391" s="18">
        <f t="shared" si="15"/>
        <v>0</v>
      </c>
    </row>
    <row r="392" ht="15.75" customHeight="1">
      <c r="A392" s="27"/>
      <c r="B392" s="1" t="str">
        <f t="array" ref="B392">IFERROR(INDEX('Исходник'!$1:$626,MATCH($A392,'Исходник'!$T:$T,0),MATCH(B$1,'Исходник'!$1:$1,0)))</f>
        <v/>
      </c>
      <c r="C392" s="1" t="str">
        <f t="array" ref="C392">IFERROR(INDEX('Исходник'!$1:$626,MATCH($A392,'Исходник'!$T:$T,0),MATCH(C$1,'Исходник'!$1:$1,0)))</f>
        <v/>
      </c>
      <c r="D392" s="1" t="str">
        <f t="array" ref="D392">IFERROR(INDEX('Исходник'!$1:$626,MATCH($A392,'Исходник'!$T:$T,0),MATCH(D$1,'Исходник'!$1:$1,0)))</f>
        <v/>
      </c>
      <c r="E392" s="1" t="str">
        <f t="array" ref="E392">IFERROR(INDEX('Исходник'!$1:$626,MATCH($A392,'Исходник'!$T:$T,0),MATCH(E$1,'Исходник'!$1:$1,0)))</f>
        <v/>
      </c>
      <c r="F392" s="1" t="str">
        <f t="array" ref="F392">IFERROR(INDEX('Исходник'!$1:$626,MATCH($A392,'Исходник'!$T:$T,0),MATCH(F$1,'Исходник'!$1:$1,0)))</f>
        <v/>
      </c>
      <c r="G392" s="1" t="str">
        <f t="array" ref="G392">IFERROR(INDEX('Исходник'!$1:$626,MATCH($A392,'Исходник'!$T:$T,0),MATCH(G$1,'Исходник'!$1:$1,0)))</f>
        <v/>
      </c>
      <c r="H392" s="27">
        <f t="shared" si="1"/>
        <v>0</v>
      </c>
      <c r="I392" s="27" t="str">
        <f t="shared" si="2"/>
        <v/>
      </c>
      <c r="J392" s="1" t="str">
        <f t="array" ref="J392">IFERROR(INDEX('Исходник'!$1:$626,MATCH($A392,'Исходник'!$T:$T,0),MATCH(J$1,'Исходник'!$1:$1,0)))</f>
        <v/>
      </c>
      <c r="K392" s="27" t="str">
        <f t="shared" si="3"/>
        <v/>
      </c>
      <c r="L392" s="1" t="str">
        <f t="array" ref="L392">IFERROR(INDEX('Исходник'!$1:$626,MATCH($A392,'Исходник'!$T:$T,0),MATCH(L$1,'Исходник'!$1:$1,0)))</f>
        <v/>
      </c>
      <c r="M392" s="28">
        <f t="shared" si="4"/>
        <v>0</v>
      </c>
      <c r="N392" s="1" t="str">
        <f t="array" ref="N392">IFERROR(INDEX('Исходник'!$1:$626,MATCH($A392,'Исходник'!$T:$T,0),MATCH(N$1,'Исходник'!$1:$1,0)))</f>
        <v/>
      </c>
      <c r="O392" s="27">
        <f t="shared" si="5"/>
        <v>0</v>
      </c>
      <c r="P392" s="27" t="str">
        <f t="shared" si="6"/>
        <v/>
      </c>
      <c r="Q392" s="1" t="str">
        <f t="array" ref="Q392">IFERROR(INDEX('Исходник'!$1:$626,MATCH($A392,'Исходник'!$T:$T,0),MATCH(Q$1,'Исходник'!$1:$1,0)))</f>
        <v/>
      </c>
      <c r="R392" s="1" t="str">
        <f t="array" ref="R392">IFERROR(INDEX('Исходник'!$1:$626,MATCH($A392,'Исходник'!$T:$T,0),MATCH(R$1,'Исходник'!$1:$1,0)))</f>
        <v/>
      </c>
      <c r="S392" s="27">
        <f t="shared" si="7"/>
        <v>0</v>
      </c>
      <c r="T392" s="27" t="str">
        <f t="shared" si="8"/>
        <v/>
      </c>
      <c r="U392" s="1" t="str">
        <f t="array" ref="U392">IFERROR(INDEX('Исходник'!$1:$626,MATCH($A392,'Исходник'!$T:$T,0),MATCH(U$1,'Исходник'!$1:$1,0)))</f>
        <v/>
      </c>
      <c r="V392" s="27" t="str">
        <f t="shared" si="9"/>
        <v/>
      </c>
      <c r="W392" s="1" t="str">
        <f t="array" ref="W392">IFERROR(INDEX('Исходник'!$1:$626,MATCH($A392,'Исходник'!$T:$T,0),MATCH(W$1,'Исходник'!$1:$1,0)))</f>
        <v/>
      </c>
      <c r="X392" s="28">
        <f t="shared" si="10"/>
        <v>0</v>
      </c>
      <c r="Y392" s="1" t="str">
        <f t="array" ref="Y392">IFERROR(INDEX('Исходник'!$1:$626,MATCH($A392,'Исходник'!$T:$T,0),MATCH(Y$1,'Исходник'!$1:$1,0)))</f>
        <v/>
      </c>
      <c r="Z392" s="27">
        <f t="shared" si="11"/>
        <v>0</v>
      </c>
      <c r="AA392" s="27" t="str">
        <f t="shared" si="12"/>
        <v/>
      </c>
      <c r="AB392" s="1" t="str">
        <f t="array" ref="AB392">IFERROR(INDEX('Исходник'!$1:$626,MATCH($A392,'Исходник'!$T:$T,0),MATCH(AB$1,'Исходник'!$1:$1,0)))</f>
        <v/>
      </c>
      <c r="AC392" s="1" t="str">
        <f t="array" ref="AC392">IFERROR(INDEX('Исходник'!$1:$626,MATCH($A392,'Исходник'!$T:$T,0),MATCH(AC$1,'Исходник'!$1:$1,0)))</f>
        <v/>
      </c>
      <c r="AD392" s="27" t="str">
        <f t="shared" si="13"/>
        <v/>
      </c>
      <c r="AE392" s="1" t="str">
        <f t="array" ref="AE392">IFERROR(INDEX('Исходник'!$1:$626,MATCH($A392,'Исходник'!$T:$T,0),MATCH(AE$1,'Исходник'!$1:$1,0)))</f>
        <v/>
      </c>
      <c r="AF392" s="1" t="str">
        <f t="array" ref="AF392">IFERROR(INDEX('Исходник'!$1:$626,MATCH($A392,'Исходник'!$T:$T,0),MATCH(AF$1,'Исходник'!$1:$1,0)))</f>
        <v/>
      </c>
      <c r="AG392" s="27" t="str">
        <f t="shared" si="14"/>
        <v/>
      </c>
      <c r="AH392" s="1" t="str">
        <f t="array" ref="AH392">IFERROR(INDEX('Исходник'!$1:$626,MATCH($A392,'Исходник'!$T:$T,0),MATCH(AH$1,'Исходник'!$1:$1,0)))</f>
        <v/>
      </c>
      <c r="AI392" s="1" t="str">
        <f t="array" ref="AI392">IFERROR(INDEX('Исходник'!$1:$626,MATCH($A392,'Исходник'!$T:$T,0),MATCH(AI$1,'Исходник'!$1:$1,0)))</f>
        <v/>
      </c>
      <c r="AJ392" s="18">
        <f t="shared" si="15"/>
        <v>0</v>
      </c>
    </row>
    <row r="393" ht="15.75" customHeight="1">
      <c r="A393" s="27"/>
      <c r="B393" s="1" t="str">
        <f t="array" ref="B393">IFERROR(INDEX('Исходник'!$1:$626,MATCH($A393,'Исходник'!$T:$T,0),MATCH(B$1,'Исходник'!$1:$1,0)))</f>
        <v/>
      </c>
      <c r="C393" s="1" t="str">
        <f t="array" ref="C393">IFERROR(INDEX('Исходник'!$1:$626,MATCH($A393,'Исходник'!$T:$T,0),MATCH(C$1,'Исходник'!$1:$1,0)))</f>
        <v/>
      </c>
      <c r="D393" s="1" t="str">
        <f t="array" ref="D393">IFERROR(INDEX('Исходник'!$1:$626,MATCH($A393,'Исходник'!$T:$T,0),MATCH(D$1,'Исходник'!$1:$1,0)))</f>
        <v/>
      </c>
      <c r="E393" s="1" t="str">
        <f t="array" ref="E393">IFERROR(INDEX('Исходник'!$1:$626,MATCH($A393,'Исходник'!$T:$T,0),MATCH(E$1,'Исходник'!$1:$1,0)))</f>
        <v/>
      </c>
      <c r="F393" s="1" t="str">
        <f t="array" ref="F393">IFERROR(INDEX('Исходник'!$1:$626,MATCH($A393,'Исходник'!$T:$T,0),MATCH(F$1,'Исходник'!$1:$1,0)))</f>
        <v/>
      </c>
      <c r="G393" s="1" t="str">
        <f t="array" ref="G393">IFERROR(INDEX('Исходник'!$1:$626,MATCH($A393,'Исходник'!$T:$T,0),MATCH(G$1,'Исходник'!$1:$1,0)))</f>
        <v/>
      </c>
      <c r="H393" s="27">
        <f t="shared" si="1"/>
        <v>0</v>
      </c>
      <c r="I393" s="27" t="str">
        <f t="shared" si="2"/>
        <v/>
      </c>
      <c r="J393" s="1" t="str">
        <f t="array" ref="J393">IFERROR(INDEX('Исходник'!$1:$626,MATCH($A393,'Исходник'!$T:$T,0),MATCH(J$1,'Исходник'!$1:$1,0)))</f>
        <v/>
      </c>
      <c r="K393" s="27" t="str">
        <f t="shared" si="3"/>
        <v/>
      </c>
      <c r="L393" s="1" t="str">
        <f t="array" ref="L393">IFERROR(INDEX('Исходник'!$1:$626,MATCH($A393,'Исходник'!$T:$T,0),MATCH(L$1,'Исходник'!$1:$1,0)))</f>
        <v/>
      </c>
      <c r="M393" s="28">
        <f t="shared" si="4"/>
        <v>0</v>
      </c>
      <c r="N393" s="1" t="str">
        <f t="array" ref="N393">IFERROR(INDEX('Исходник'!$1:$626,MATCH($A393,'Исходник'!$T:$T,0),MATCH(N$1,'Исходник'!$1:$1,0)))</f>
        <v/>
      </c>
      <c r="O393" s="27">
        <f t="shared" si="5"/>
        <v>0</v>
      </c>
      <c r="P393" s="27" t="str">
        <f t="shared" si="6"/>
        <v/>
      </c>
      <c r="Q393" s="1" t="str">
        <f t="array" ref="Q393">IFERROR(INDEX('Исходник'!$1:$626,MATCH($A393,'Исходник'!$T:$T,0),MATCH(Q$1,'Исходник'!$1:$1,0)))</f>
        <v/>
      </c>
      <c r="R393" s="1" t="str">
        <f t="array" ref="R393">IFERROR(INDEX('Исходник'!$1:$626,MATCH($A393,'Исходник'!$T:$T,0),MATCH(R$1,'Исходник'!$1:$1,0)))</f>
        <v/>
      </c>
      <c r="S393" s="27">
        <f t="shared" si="7"/>
        <v>0</v>
      </c>
      <c r="T393" s="27" t="str">
        <f t="shared" si="8"/>
        <v/>
      </c>
      <c r="U393" s="1" t="str">
        <f t="array" ref="U393">IFERROR(INDEX('Исходник'!$1:$626,MATCH($A393,'Исходник'!$T:$T,0),MATCH(U$1,'Исходник'!$1:$1,0)))</f>
        <v/>
      </c>
      <c r="V393" s="27" t="str">
        <f t="shared" si="9"/>
        <v/>
      </c>
      <c r="W393" s="1" t="str">
        <f t="array" ref="W393">IFERROR(INDEX('Исходник'!$1:$626,MATCH($A393,'Исходник'!$T:$T,0),MATCH(W$1,'Исходник'!$1:$1,0)))</f>
        <v/>
      </c>
      <c r="X393" s="28">
        <f t="shared" si="10"/>
        <v>0</v>
      </c>
      <c r="Y393" s="1" t="str">
        <f t="array" ref="Y393">IFERROR(INDEX('Исходник'!$1:$626,MATCH($A393,'Исходник'!$T:$T,0),MATCH(Y$1,'Исходник'!$1:$1,0)))</f>
        <v/>
      </c>
      <c r="Z393" s="27">
        <f t="shared" si="11"/>
        <v>0</v>
      </c>
      <c r="AA393" s="27" t="str">
        <f t="shared" si="12"/>
        <v/>
      </c>
      <c r="AB393" s="1" t="str">
        <f t="array" ref="AB393">IFERROR(INDEX('Исходник'!$1:$626,MATCH($A393,'Исходник'!$T:$T,0),MATCH(AB$1,'Исходник'!$1:$1,0)))</f>
        <v/>
      </c>
      <c r="AC393" s="1" t="str">
        <f t="array" ref="AC393">IFERROR(INDEX('Исходник'!$1:$626,MATCH($A393,'Исходник'!$T:$T,0),MATCH(AC$1,'Исходник'!$1:$1,0)))</f>
        <v/>
      </c>
      <c r="AD393" s="27" t="str">
        <f t="shared" si="13"/>
        <v/>
      </c>
      <c r="AE393" s="1" t="str">
        <f t="array" ref="AE393">IFERROR(INDEX('Исходник'!$1:$626,MATCH($A393,'Исходник'!$T:$T,0),MATCH(AE$1,'Исходник'!$1:$1,0)))</f>
        <v/>
      </c>
      <c r="AF393" s="1" t="str">
        <f t="array" ref="AF393">IFERROR(INDEX('Исходник'!$1:$626,MATCH($A393,'Исходник'!$T:$T,0),MATCH(AF$1,'Исходник'!$1:$1,0)))</f>
        <v/>
      </c>
      <c r="AG393" s="27" t="str">
        <f t="shared" si="14"/>
        <v/>
      </c>
      <c r="AH393" s="1" t="str">
        <f t="array" ref="AH393">IFERROR(INDEX('Исходник'!$1:$626,MATCH($A393,'Исходник'!$T:$T,0),MATCH(AH$1,'Исходник'!$1:$1,0)))</f>
        <v/>
      </c>
      <c r="AI393" s="1" t="str">
        <f t="array" ref="AI393">IFERROR(INDEX('Исходник'!$1:$626,MATCH($A393,'Исходник'!$T:$T,0),MATCH(AI$1,'Исходник'!$1:$1,0)))</f>
        <v/>
      </c>
      <c r="AJ393" s="18">
        <f t="shared" si="15"/>
        <v>0</v>
      </c>
    </row>
    <row r="394" ht="15.75" customHeight="1">
      <c r="A394" s="27"/>
      <c r="B394" s="1" t="str">
        <f t="array" ref="B394">IFERROR(INDEX('Исходник'!$1:$626,MATCH($A394,'Исходник'!$T:$T,0),MATCH(B$1,'Исходник'!$1:$1,0)))</f>
        <v/>
      </c>
      <c r="C394" s="1" t="str">
        <f t="array" ref="C394">IFERROR(INDEX('Исходник'!$1:$626,MATCH($A394,'Исходник'!$T:$T,0),MATCH(C$1,'Исходник'!$1:$1,0)))</f>
        <v/>
      </c>
      <c r="D394" s="1" t="str">
        <f t="array" ref="D394">IFERROR(INDEX('Исходник'!$1:$626,MATCH($A394,'Исходник'!$T:$T,0),MATCH(D$1,'Исходник'!$1:$1,0)))</f>
        <v/>
      </c>
      <c r="E394" s="1" t="str">
        <f t="array" ref="E394">IFERROR(INDEX('Исходник'!$1:$626,MATCH($A394,'Исходник'!$T:$T,0),MATCH(E$1,'Исходник'!$1:$1,0)))</f>
        <v/>
      </c>
      <c r="F394" s="1" t="str">
        <f t="array" ref="F394">IFERROR(INDEX('Исходник'!$1:$626,MATCH($A394,'Исходник'!$T:$T,0),MATCH(F$1,'Исходник'!$1:$1,0)))</f>
        <v/>
      </c>
      <c r="G394" s="1" t="str">
        <f t="array" ref="G394">IFERROR(INDEX('Исходник'!$1:$626,MATCH($A394,'Исходник'!$T:$T,0),MATCH(G$1,'Исходник'!$1:$1,0)))</f>
        <v/>
      </c>
      <c r="H394" s="27">
        <f t="shared" si="1"/>
        <v>0</v>
      </c>
      <c r="I394" s="27" t="str">
        <f t="shared" si="2"/>
        <v/>
      </c>
      <c r="J394" s="1" t="str">
        <f t="array" ref="J394">IFERROR(INDEX('Исходник'!$1:$626,MATCH($A394,'Исходник'!$T:$T,0),MATCH(J$1,'Исходник'!$1:$1,0)))</f>
        <v/>
      </c>
      <c r="K394" s="27" t="str">
        <f t="shared" si="3"/>
        <v/>
      </c>
      <c r="L394" s="1" t="str">
        <f t="array" ref="L394">IFERROR(INDEX('Исходник'!$1:$626,MATCH($A394,'Исходник'!$T:$T,0),MATCH(L$1,'Исходник'!$1:$1,0)))</f>
        <v/>
      </c>
      <c r="M394" s="28">
        <f t="shared" si="4"/>
        <v>0</v>
      </c>
      <c r="N394" s="1" t="str">
        <f t="array" ref="N394">IFERROR(INDEX('Исходник'!$1:$626,MATCH($A394,'Исходник'!$T:$T,0),MATCH(N$1,'Исходник'!$1:$1,0)))</f>
        <v/>
      </c>
      <c r="O394" s="27">
        <f t="shared" si="5"/>
        <v>0</v>
      </c>
      <c r="P394" s="27" t="str">
        <f t="shared" si="6"/>
        <v/>
      </c>
      <c r="Q394" s="1" t="str">
        <f t="array" ref="Q394">IFERROR(INDEX('Исходник'!$1:$626,MATCH($A394,'Исходник'!$T:$T,0),MATCH(Q$1,'Исходник'!$1:$1,0)))</f>
        <v/>
      </c>
      <c r="R394" s="1" t="str">
        <f t="array" ref="R394">IFERROR(INDEX('Исходник'!$1:$626,MATCH($A394,'Исходник'!$T:$T,0),MATCH(R$1,'Исходник'!$1:$1,0)))</f>
        <v/>
      </c>
      <c r="S394" s="27">
        <f t="shared" si="7"/>
        <v>0</v>
      </c>
      <c r="T394" s="27" t="str">
        <f t="shared" si="8"/>
        <v/>
      </c>
      <c r="U394" s="1" t="str">
        <f t="array" ref="U394">IFERROR(INDEX('Исходник'!$1:$626,MATCH($A394,'Исходник'!$T:$T,0),MATCH(U$1,'Исходник'!$1:$1,0)))</f>
        <v/>
      </c>
      <c r="V394" s="27" t="str">
        <f t="shared" si="9"/>
        <v/>
      </c>
      <c r="W394" s="1" t="str">
        <f t="array" ref="W394">IFERROR(INDEX('Исходник'!$1:$626,MATCH($A394,'Исходник'!$T:$T,0),MATCH(W$1,'Исходник'!$1:$1,0)))</f>
        <v/>
      </c>
      <c r="X394" s="28">
        <f t="shared" si="10"/>
        <v>0</v>
      </c>
      <c r="Y394" s="1" t="str">
        <f t="array" ref="Y394">IFERROR(INDEX('Исходник'!$1:$626,MATCH($A394,'Исходник'!$T:$T,0),MATCH(Y$1,'Исходник'!$1:$1,0)))</f>
        <v/>
      </c>
      <c r="Z394" s="27">
        <f t="shared" si="11"/>
        <v>0</v>
      </c>
      <c r="AA394" s="27" t="str">
        <f t="shared" si="12"/>
        <v/>
      </c>
      <c r="AB394" s="1" t="str">
        <f t="array" ref="AB394">IFERROR(INDEX('Исходник'!$1:$626,MATCH($A394,'Исходник'!$T:$T,0),MATCH(AB$1,'Исходник'!$1:$1,0)))</f>
        <v/>
      </c>
      <c r="AC394" s="1" t="str">
        <f t="array" ref="AC394">IFERROR(INDEX('Исходник'!$1:$626,MATCH($A394,'Исходник'!$T:$T,0),MATCH(AC$1,'Исходник'!$1:$1,0)))</f>
        <v/>
      </c>
      <c r="AD394" s="27" t="str">
        <f t="shared" si="13"/>
        <v/>
      </c>
      <c r="AE394" s="1" t="str">
        <f t="array" ref="AE394">IFERROR(INDEX('Исходник'!$1:$626,MATCH($A394,'Исходник'!$T:$T,0),MATCH(AE$1,'Исходник'!$1:$1,0)))</f>
        <v/>
      </c>
      <c r="AF394" s="1" t="str">
        <f t="array" ref="AF394">IFERROR(INDEX('Исходник'!$1:$626,MATCH($A394,'Исходник'!$T:$T,0),MATCH(AF$1,'Исходник'!$1:$1,0)))</f>
        <v/>
      </c>
      <c r="AG394" s="27" t="str">
        <f t="shared" si="14"/>
        <v/>
      </c>
      <c r="AH394" s="1" t="str">
        <f t="array" ref="AH394">IFERROR(INDEX('Исходник'!$1:$626,MATCH($A394,'Исходник'!$T:$T,0),MATCH(AH$1,'Исходник'!$1:$1,0)))</f>
        <v/>
      </c>
      <c r="AI394" s="1" t="str">
        <f t="array" ref="AI394">IFERROR(INDEX('Исходник'!$1:$626,MATCH($A394,'Исходник'!$T:$T,0),MATCH(AI$1,'Исходник'!$1:$1,0)))</f>
        <v/>
      </c>
      <c r="AJ394" s="18">
        <f t="shared" si="15"/>
        <v>0</v>
      </c>
    </row>
    <row r="395" ht="15.75" customHeight="1">
      <c r="A395" s="27"/>
      <c r="B395" s="1" t="str">
        <f t="array" ref="B395">IFERROR(INDEX('Исходник'!$1:$626,MATCH($A395,'Исходник'!$T:$T,0),MATCH(B$1,'Исходник'!$1:$1,0)))</f>
        <v/>
      </c>
      <c r="C395" s="1" t="str">
        <f t="array" ref="C395">IFERROR(INDEX('Исходник'!$1:$626,MATCH($A395,'Исходник'!$T:$T,0),MATCH(C$1,'Исходник'!$1:$1,0)))</f>
        <v/>
      </c>
      <c r="D395" s="1" t="str">
        <f t="array" ref="D395">IFERROR(INDEX('Исходник'!$1:$626,MATCH($A395,'Исходник'!$T:$T,0),MATCH(D$1,'Исходник'!$1:$1,0)))</f>
        <v/>
      </c>
      <c r="E395" s="1" t="str">
        <f t="array" ref="E395">IFERROR(INDEX('Исходник'!$1:$626,MATCH($A395,'Исходник'!$T:$T,0),MATCH(E$1,'Исходник'!$1:$1,0)))</f>
        <v/>
      </c>
      <c r="F395" s="1" t="str">
        <f t="array" ref="F395">IFERROR(INDEX('Исходник'!$1:$626,MATCH($A395,'Исходник'!$T:$T,0),MATCH(F$1,'Исходник'!$1:$1,0)))</f>
        <v/>
      </c>
      <c r="G395" s="1" t="str">
        <f t="array" ref="G395">IFERROR(INDEX('Исходник'!$1:$626,MATCH($A395,'Исходник'!$T:$T,0),MATCH(G$1,'Исходник'!$1:$1,0)))</f>
        <v/>
      </c>
      <c r="H395" s="27">
        <f t="shared" si="1"/>
        <v>0</v>
      </c>
      <c r="I395" s="27" t="str">
        <f t="shared" si="2"/>
        <v/>
      </c>
      <c r="J395" s="1" t="str">
        <f t="array" ref="J395">IFERROR(INDEX('Исходник'!$1:$626,MATCH($A395,'Исходник'!$T:$T,0),MATCH(J$1,'Исходник'!$1:$1,0)))</f>
        <v/>
      </c>
      <c r="K395" s="27" t="str">
        <f t="shared" si="3"/>
        <v/>
      </c>
      <c r="L395" s="1" t="str">
        <f t="array" ref="L395">IFERROR(INDEX('Исходник'!$1:$626,MATCH($A395,'Исходник'!$T:$T,0),MATCH(L$1,'Исходник'!$1:$1,0)))</f>
        <v/>
      </c>
      <c r="M395" s="28">
        <f t="shared" si="4"/>
        <v>0</v>
      </c>
      <c r="N395" s="1" t="str">
        <f t="array" ref="N395">IFERROR(INDEX('Исходник'!$1:$626,MATCH($A395,'Исходник'!$T:$T,0),MATCH(N$1,'Исходник'!$1:$1,0)))</f>
        <v/>
      </c>
      <c r="O395" s="27">
        <f t="shared" si="5"/>
        <v>0</v>
      </c>
      <c r="P395" s="27" t="str">
        <f t="shared" si="6"/>
        <v/>
      </c>
      <c r="Q395" s="1" t="str">
        <f t="array" ref="Q395">IFERROR(INDEX('Исходник'!$1:$626,MATCH($A395,'Исходник'!$T:$T,0),MATCH(Q$1,'Исходник'!$1:$1,0)))</f>
        <v/>
      </c>
      <c r="R395" s="1" t="str">
        <f t="array" ref="R395">IFERROR(INDEX('Исходник'!$1:$626,MATCH($A395,'Исходник'!$T:$T,0),MATCH(R$1,'Исходник'!$1:$1,0)))</f>
        <v/>
      </c>
      <c r="S395" s="27">
        <f t="shared" si="7"/>
        <v>0</v>
      </c>
      <c r="T395" s="27" t="str">
        <f t="shared" si="8"/>
        <v/>
      </c>
      <c r="U395" s="1" t="str">
        <f t="array" ref="U395">IFERROR(INDEX('Исходник'!$1:$626,MATCH($A395,'Исходник'!$T:$T,0),MATCH(U$1,'Исходник'!$1:$1,0)))</f>
        <v/>
      </c>
      <c r="V395" s="27" t="str">
        <f t="shared" si="9"/>
        <v/>
      </c>
      <c r="W395" s="1" t="str">
        <f t="array" ref="W395">IFERROR(INDEX('Исходник'!$1:$626,MATCH($A395,'Исходник'!$T:$T,0),MATCH(W$1,'Исходник'!$1:$1,0)))</f>
        <v/>
      </c>
      <c r="X395" s="28">
        <f t="shared" si="10"/>
        <v>0</v>
      </c>
      <c r="Y395" s="1" t="str">
        <f t="array" ref="Y395">IFERROR(INDEX('Исходник'!$1:$626,MATCH($A395,'Исходник'!$T:$T,0),MATCH(Y$1,'Исходник'!$1:$1,0)))</f>
        <v/>
      </c>
      <c r="Z395" s="27">
        <f t="shared" si="11"/>
        <v>0</v>
      </c>
      <c r="AA395" s="27" t="str">
        <f t="shared" si="12"/>
        <v/>
      </c>
      <c r="AB395" s="1" t="str">
        <f t="array" ref="AB395">IFERROR(INDEX('Исходник'!$1:$626,MATCH($A395,'Исходник'!$T:$T,0),MATCH(AB$1,'Исходник'!$1:$1,0)))</f>
        <v/>
      </c>
      <c r="AC395" s="1" t="str">
        <f t="array" ref="AC395">IFERROR(INDEX('Исходник'!$1:$626,MATCH($A395,'Исходник'!$T:$T,0),MATCH(AC$1,'Исходник'!$1:$1,0)))</f>
        <v/>
      </c>
      <c r="AD395" s="27" t="str">
        <f t="shared" si="13"/>
        <v/>
      </c>
      <c r="AE395" s="1" t="str">
        <f t="array" ref="AE395">IFERROR(INDEX('Исходник'!$1:$626,MATCH($A395,'Исходник'!$T:$T,0),MATCH(AE$1,'Исходник'!$1:$1,0)))</f>
        <v/>
      </c>
      <c r="AF395" s="1" t="str">
        <f t="array" ref="AF395">IFERROR(INDEX('Исходник'!$1:$626,MATCH($A395,'Исходник'!$T:$T,0),MATCH(AF$1,'Исходник'!$1:$1,0)))</f>
        <v/>
      </c>
      <c r="AG395" s="27" t="str">
        <f t="shared" si="14"/>
        <v/>
      </c>
      <c r="AH395" s="1" t="str">
        <f t="array" ref="AH395">IFERROR(INDEX('Исходник'!$1:$626,MATCH($A395,'Исходник'!$T:$T,0),MATCH(AH$1,'Исходник'!$1:$1,0)))</f>
        <v/>
      </c>
      <c r="AI395" s="1" t="str">
        <f t="array" ref="AI395">IFERROR(INDEX('Исходник'!$1:$626,MATCH($A395,'Исходник'!$T:$T,0),MATCH(AI$1,'Исходник'!$1:$1,0)))</f>
        <v/>
      </c>
      <c r="AJ395" s="18">
        <f t="shared" si="15"/>
        <v>0</v>
      </c>
    </row>
    <row r="396" ht="15.75" customHeight="1">
      <c r="A396" s="27"/>
      <c r="B396" s="1" t="str">
        <f t="array" ref="B396">IFERROR(INDEX('Исходник'!$1:$626,MATCH($A396,'Исходник'!$T:$T,0),MATCH(B$1,'Исходник'!$1:$1,0)))</f>
        <v/>
      </c>
      <c r="C396" s="1" t="str">
        <f t="array" ref="C396">IFERROR(INDEX('Исходник'!$1:$626,MATCH($A396,'Исходник'!$T:$T,0),MATCH(C$1,'Исходник'!$1:$1,0)))</f>
        <v/>
      </c>
      <c r="D396" s="1" t="str">
        <f t="array" ref="D396">IFERROR(INDEX('Исходник'!$1:$626,MATCH($A396,'Исходник'!$T:$T,0),MATCH(D$1,'Исходник'!$1:$1,0)))</f>
        <v/>
      </c>
      <c r="E396" s="1" t="str">
        <f t="array" ref="E396">IFERROR(INDEX('Исходник'!$1:$626,MATCH($A396,'Исходник'!$T:$T,0),MATCH(E$1,'Исходник'!$1:$1,0)))</f>
        <v/>
      </c>
      <c r="F396" s="1" t="str">
        <f t="array" ref="F396">IFERROR(INDEX('Исходник'!$1:$626,MATCH($A396,'Исходник'!$T:$T,0),MATCH(F$1,'Исходник'!$1:$1,0)))</f>
        <v/>
      </c>
      <c r="G396" s="1" t="str">
        <f t="array" ref="G396">IFERROR(INDEX('Исходник'!$1:$626,MATCH($A396,'Исходник'!$T:$T,0),MATCH(G$1,'Исходник'!$1:$1,0)))</f>
        <v/>
      </c>
      <c r="H396" s="27">
        <f t="shared" si="1"/>
        <v>0</v>
      </c>
      <c r="I396" s="27" t="str">
        <f t="shared" si="2"/>
        <v/>
      </c>
      <c r="J396" s="1" t="str">
        <f t="array" ref="J396">IFERROR(INDEX('Исходник'!$1:$626,MATCH($A396,'Исходник'!$T:$T,0),MATCH(J$1,'Исходник'!$1:$1,0)))</f>
        <v/>
      </c>
      <c r="K396" s="27" t="str">
        <f t="shared" si="3"/>
        <v/>
      </c>
      <c r="L396" s="1" t="str">
        <f t="array" ref="L396">IFERROR(INDEX('Исходник'!$1:$626,MATCH($A396,'Исходник'!$T:$T,0),MATCH(L$1,'Исходник'!$1:$1,0)))</f>
        <v/>
      </c>
      <c r="M396" s="28">
        <f t="shared" si="4"/>
        <v>0</v>
      </c>
      <c r="N396" s="1" t="str">
        <f t="array" ref="N396">IFERROR(INDEX('Исходник'!$1:$626,MATCH($A396,'Исходник'!$T:$T,0),MATCH(N$1,'Исходник'!$1:$1,0)))</f>
        <v/>
      </c>
      <c r="O396" s="27">
        <f t="shared" si="5"/>
        <v>0</v>
      </c>
      <c r="P396" s="27" t="str">
        <f t="shared" si="6"/>
        <v/>
      </c>
      <c r="Q396" s="1" t="str">
        <f t="array" ref="Q396">IFERROR(INDEX('Исходник'!$1:$626,MATCH($A396,'Исходник'!$T:$T,0),MATCH(Q$1,'Исходник'!$1:$1,0)))</f>
        <v/>
      </c>
      <c r="R396" s="1" t="str">
        <f t="array" ref="R396">IFERROR(INDEX('Исходник'!$1:$626,MATCH($A396,'Исходник'!$T:$T,0),MATCH(R$1,'Исходник'!$1:$1,0)))</f>
        <v/>
      </c>
      <c r="S396" s="27">
        <f t="shared" si="7"/>
        <v>0</v>
      </c>
      <c r="T396" s="27" t="str">
        <f t="shared" si="8"/>
        <v/>
      </c>
      <c r="U396" s="1" t="str">
        <f t="array" ref="U396">IFERROR(INDEX('Исходник'!$1:$626,MATCH($A396,'Исходник'!$T:$T,0),MATCH(U$1,'Исходник'!$1:$1,0)))</f>
        <v/>
      </c>
      <c r="V396" s="27" t="str">
        <f t="shared" si="9"/>
        <v/>
      </c>
      <c r="W396" s="1" t="str">
        <f t="array" ref="W396">IFERROR(INDEX('Исходник'!$1:$626,MATCH($A396,'Исходник'!$T:$T,0),MATCH(W$1,'Исходник'!$1:$1,0)))</f>
        <v/>
      </c>
      <c r="X396" s="28">
        <f t="shared" si="10"/>
        <v>0</v>
      </c>
      <c r="Y396" s="1" t="str">
        <f t="array" ref="Y396">IFERROR(INDEX('Исходник'!$1:$626,MATCH($A396,'Исходник'!$T:$T,0),MATCH(Y$1,'Исходник'!$1:$1,0)))</f>
        <v/>
      </c>
      <c r="Z396" s="27">
        <f t="shared" si="11"/>
        <v>0</v>
      </c>
      <c r="AA396" s="27" t="str">
        <f t="shared" si="12"/>
        <v/>
      </c>
      <c r="AB396" s="1" t="str">
        <f t="array" ref="AB396">IFERROR(INDEX('Исходник'!$1:$626,MATCH($A396,'Исходник'!$T:$T,0),MATCH(AB$1,'Исходник'!$1:$1,0)))</f>
        <v/>
      </c>
      <c r="AC396" s="1" t="str">
        <f t="array" ref="AC396">IFERROR(INDEX('Исходник'!$1:$626,MATCH($A396,'Исходник'!$T:$T,0),MATCH(AC$1,'Исходник'!$1:$1,0)))</f>
        <v/>
      </c>
      <c r="AD396" s="27" t="str">
        <f t="shared" si="13"/>
        <v/>
      </c>
      <c r="AE396" s="1" t="str">
        <f t="array" ref="AE396">IFERROR(INDEX('Исходник'!$1:$626,MATCH($A396,'Исходник'!$T:$T,0),MATCH(AE$1,'Исходник'!$1:$1,0)))</f>
        <v/>
      </c>
      <c r="AF396" s="1" t="str">
        <f t="array" ref="AF396">IFERROR(INDEX('Исходник'!$1:$626,MATCH($A396,'Исходник'!$T:$T,0),MATCH(AF$1,'Исходник'!$1:$1,0)))</f>
        <v/>
      </c>
      <c r="AG396" s="27" t="str">
        <f t="shared" si="14"/>
        <v/>
      </c>
      <c r="AH396" s="1" t="str">
        <f t="array" ref="AH396">IFERROR(INDEX('Исходник'!$1:$626,MATCH($A396,'Исходник'!$T:$T,0),MATCH(AH$1,'Исходник'!$1:$1,0)))</f>
        <v/>
      </c>
      <c r="AI396" s="1" t="str">
        <f t="array" ref="AI396">IFERROR(INDEX('Исходник'!$1:$626,MATCH($A396,'Исходник'!$T:$T,0),MATCH(AI$1,'Исходник'!$1:$1,0)))</f>
        <v/>
      </c>
      <c r="AJ396" s="18">
        <f t="shared" si="15"/>
        <v>0</v>
      </c>
    </row>
    <row r="397" ht="15.75" customHeight="1">
      <c r="A397" s="27"/>
      <c r="B397" s="1" t="str">
        <f t="array" ref="B397">IFERROR(INDEX('Исходник'!$1:$626,MATCH($A397,'Исходник'!$T:$T,0),MATCH(B$1,'Исходник'!$1:$1,0)))</f>
        <v/>
      </c>
      <c r="C397" s="1" t="str">
        <f t="array" ref="C397">IFERROR(INDEX('Исходник'!$1:$626,MATCH($A397,'Исходник'!$T:$T,0),MATCH(C$1,'Исходник'!$1:$1,0)))</f>
        <v/>
      </c>
      <c r="D397" s="1" t="str">
        <f t="array" ref="D397">IFERROR(INDEX('Исходник'!$1:$626,MATCH($A397,'Исходник'!$T:$T,0),MATCH(D$1,'Исходник'!$1:$1,0)))</f>
        <v/>
      </c>
      <c r="E397" s="1" t="str">
        <f t="array" ref="E397">IFERROR(INDEX('Исходник'!$1:$626,MATCH($A397,'Исходник'!$T:$T,0),MATCH(E$1,'Исходник'!$1:$1,0)))</f>
        <v/>
      </c>
      <c r="F397" s="1" t="str">
        <f t="array" ref="F397">IFERROR(INDEX('Исходник'!$1:$626,MATCH($A397,'Исходник'!$T:$T,0),MATCH(F$1,'Исходник'!$1:$1,0)))</f>
        <v/>
      </c>
      <c r="G397" s="1" t="str">
        <f t="array" ref="G397">IFERROR(INDEX('Исходник'!$1:$626,MATCH($A397,'Исходник'!$T:$T,0),MATCH(G$1,'Исходник'!$1:$1,0)))</f>
        <v/>
      </c>
      <c r="H397" s="27">
        <f t="shared" si="1"/>
        <v>0</v>
      </c>
      <c r="I397" s="27" t="str">
        <f t="shared" si="2"/>
        <v/>
      </c>
      <c r="J397" s="1" t="str">
        <f t="array" ref="J397">IFERROR(INDEX('Исходник'!$1:$626,MATCH($A397,'Исходник'!$T:$T,0),MATCH(J$1,'Исходник'!$1:$1,0)))</f>
        <v/>
      </c>
      <c r="K397" s="27" t="str">
        <f t="shared" si="3"/>
        <v/>
      </c>
      <c r="L397" s="1" t="str">
        <f t="array" ref="L397">IFERROR(INDEX('Исходник'!$1:$626,MATCH($A397,'Исходник'!$T:$T,0),MATCH(L$1,'Исходник'!$1:$1,0)))</f>
        <v/>
      </c>
      <c r="M397" s="28">
        <f t="shared" si="4"/>
        <v>0</v>
      </c>
      <c r="N397" s="1" t="str">
        <f t="array" ref="N397">IFERROR(INDEX('Исходник'!$1:$626,MATCH($A397,'Исходник'!$T:$T,0),MATCH(N$1,'Исходник'!$1:$1,0)))</f>
        <v/>
      </c>
      <c r="O397" s="27">
        <f t="shared" si="5"/>
        <v>0</v>
      </c>
      <c r="P397" s="27" t="str">
        <f t="shared" si="6"/>
        <v/>
      </c>
      <c r="Q397" s="1" t="str">
        <f t="array" ref="Q397">IFERROR(INDEX('Исходник'!$1:$626,MATCH($A397,'Исходник'!$T:$T,0),MATCH(Q$1,'Исходник'!$1:$1,0)))</f>
        <v/>
      </c>
      <c r="R397" s="1" t="str">
        <f t="array" ref="R397">IFERROR(INDEX('Исходник'!$1:$626,MATCH($A397,'Исходник'!$T:$T,0),MATCH(R$1,'Исходник'!$1:$1,0)))</f>
        <v/>
      </c>
      <c r="S397" s="27">
        <f t="shared" si="7"/>
        <v>0</v>
      </c>
      <c r="T397" s="27" t="str">
        <f t="shared" si="8"/>
        <v/>
      </c>
      <c r="U397" s="1" t="str">
        <f t="array" ref="U397">IFERROR(INDEX('Исходник'!$1:$626,MATCH($A397,'Исходник'!$T:$T,0),MATCH(U$1,'Исходник'!$1:$1,0)))</f>
        <v/>
      </c>
      <c r="V397" s="27" t="str">
        <f t="shared" si="9"/>
        <v/>
      </c>
      <c r="W397" s="1" t="str">
        <f t="array" ref="W397">IFERROR(INDEX('Исходник'!$1:$626,MATCH($A397,'Исходник'!$T:$T,0),MATCH(W$1,'Исходник'!$1:$1,0)))</f>
        <v/>
      </c>
      <c r="X397" s="28">
        <f t="shared" si="10"/>
        <v>0</v>
      </c>
      <c r="Y397" s="1" t="str">
        <f t="array" ref="Y397">IFERROR(INDEX('Исходник'!$1:$626,MATCH($A397,'Исходник'!$T:$T,0),MATCH(Y$1,'Исходник'!$1:$1,0)))</f>
        <v/>
      </c>
      <c r="Z397" s="27">
        <f t="shared" si="11"/>
        <v>0</v>
      </c>
      <c r="AA397" s="27" t="str">
        <f t="shared" si="12"/>
        <v/>
      </c>
      <c r="AB397" s="1" t="str">
        <f t="array" ref="AB397">IFERROR(INDEX('Исходник'!$1:$626,MATCH($A397,'Исходник'!$T:$T,0),MATCH(AB$1,'Исходник'!$1:$1,0)))</f>
        <v/>
      </c>
      <c r="AC397" s="1" t="str">
        <f t="array" ref="AC397">IFERROR(INDEX('Исходник'!$1:$626,MATCH($A397,'Исходник'!$T:$T,0),MATCH(AC$1,'Исходник'!$1:$1,0)))</f>
        <v/>
      </c>
      <c r="AD397" s="27" t="str">
        <f t="shared" si="13"/>
        <v/>
      </c>
      <c r="AE397" s="1" t="str">
        <f t="array" ref="AE397">IFERROR(INDEX('Исходник'!$1:$626,MATCH($A397,'Исходник'!$T:$T,0),MATCH(AE$1,'Исходник'!$1:$1,0)))</f>
        <v/>
      </c>
      <c r="AF397" s="1" t="str">
        <f t="array" ref="AF397">IFERROR(INDEX('Исходник'!$1:$626,MATCH($A397,'Исходник'!$T:$T,0),MATCH(AF$1,'Исходник'!$1:$1,0)))</f>
        <v/>
      </c>
      <c r="AG397" s="27" t="str">
        <f t="shared" si="14"/>
        <v/>
      </c>
      <c r="AH397" s="1" t="str">
        <f t="array" ref="AH397">IFERROR(INDEX('Исходник'!$1:$626,MATCH($A397,'Исходник'!$T:$T,0),MATCH(AH$1,'Исходник'!$1:$1,0)))</f>
        <v/>
      </c>
      <c r="AI397" s="1" t="str">
        <f t="array" ref="AI397">IFERROR(INDEX('Исходник'!$1:$626,MATCH($A397,'Исходник'!$T:$T,0),MATCH(AI$1,'Исходник'!$1:$1,0)))</f>
        <v/>
      </c>
      <c r="AJ397" s="18">
        <f t="shared" si="15"/>
        <v>0</v>
      </c>
    </row>
    <row r="398" ht="15.75" customHeight="1">
      <c r="A398" s="27"/>
      <c r="B398" s="1" t="str">
        <f t="array" ref="B398">IFERROR(INDEX('Исходник'!$1:$626,MATCH($A398,'Исходник'!$T:$T,0),MATCH(B$1,'Исходник'!$1:$1,0)))</f>
        <v/>
      </c>
      <c r="C398" s="1" t="str">
        <f t="array" ref="C398">IFERROR(INDEX('Исходник'!$1:$626,MATCH($A398,'Исходник'!$T:$T,0),MATCH(C$1,'Исходник'!$1:$1,0)))</f>
        <v/>
      </c>
      <c r="D398" s="1" t="str">
        <f t="array" ref="D398">IFERROR(INDEX('Исходник'!$1:$626,MATCH($A398,'Исходник'!$T:$T,0),MATCH(D$1,'Исходник'!$1:$1,0)))</f>
        <v/>
      </c>
      <c r="E398" s="1" t="str">
        <f t="array" ref="E398">IFERROR(INDEX('Исходник'!$1:$626,MATCH($A398,'Исходник'!$T:$T,0),MATCH(E$1,'Исходник'!$1:$1,0)))</f>
        <v/>
      </c>
      <c r="F398" s="1" t="str">
        <f t="array" ref="F398">IFERROR(INDEX('Исходник'!$1:$626,MATCH($A398,'Исходник'!$T:$T,0),MATCH(F$1,'Исходник'!$1:$1,0)))</f>
        <v/>
      </c>
      <c r="G398" s="1" t="str">
        <f t="array" ref="G398">IFERROR(INDEX('Исходник'!$1:$626,MATCH($A398,'Исходник'!$T:$T,0),MATCH(G$1,'Исходник'!$1:$1,0)))</f>
        <v/>
      </c>
      <c r="H398" s="27">
        <f t="shared" si="1"/>
        <v>0</v>
      </c>
      <c r="I398" s="27" t="str">
        <f t="shared" si="2"/>
        <v/>
      </c>
      <c r="J398" s="1" t="str">
        <f t="array" ref="J398">IFERROR(INDEX('Исходник'!$1:$626,MATCH($A398,'Исходник'!$T:$T,0),MATCH(J$1,'Исходник'!$1:$1,0)))</f>
        <v/>
      </c>
      <c r="K398" s="27" t="str">
        <f t="shared" si="3"/>
        <v/>
      </c>
      <c r="L398" s="1" t="str">
        <f t="array" ref="L398">IFERROR(INDEX('Исходник'!$1:$626,MATCH($A398,'Исходник'!$T:$T,0),MATCH(L$1,'Исходник'!$1:$1,0)))</f>
        <v/>
      </c>
      <c r="M398" s="28">
        <f t="shared" si="4"/>
        <v>0</v>
      </c>
      <c r="N398" s="1" t="str">
        <f t="array" ref="N398">IFERROR(INDEX('Исходник'!$1:$626,MATCH($A398,'Исходник'!$T:$T,0),MATCH(N$1,'Исходник'!$1:$1,0)))</f>
        <v/>
      </c>
      <c r="O398" s="27">
        <f t="shared" si="5"/>
        <v>0</v>
      </c>
      <c r="P398" s="27" t="str">
        <f t="shared" si="6"/>
        <v/>
      </c>
      <c r="Q398" s="1" t="str">
        <f t="array" ref="Q398">IFERROR(INDEX('Исходник'!$1:$626,MATCH($A398,'Исходник'!$T:$T,0),MATCH(Q$1,'Исходник'!$1:$1,0)))</f>
        <v/>
      </c>
      <c r="R398" s="1" t="str">
        <f t="array" ref="R398">IFERROR(INDEX('Исходник'!$1:$626,MATCH($A398,'Исходник'!$T:$T,0),MATCH(R$1,'Исходник'!$1:$1,0)))</f>
        <v/>
      </c>
      <c r="S398" s="27">
        <f t="shared" si="7"/>
        <v>0</v>
      </c>
      <c r="T398" s="27" t="str">
        <f t="shared" si="8"/>
        <v/>
      </c>
      <c r="U398" s="1" t="str">
        <f t="array" ref="U398">IFERROR(INDEX('Исходник'!$1:$626,MATCH($A398,'Исходник'!$T:$T,0),MATCH(U$1,'Исходник'!$1:$1,0)))</f>
        <v/>
      </c>
      <c r="V398" s="27" t="str">
        <f t="shared" si="9"/>
        <v/>
      </c>
      <c r="W398" s="1" t="str">
        <f t="array" ref="W398">IFERROR(INDEX('Исходник'!$1:$626,MATCH($A398,'Исходник'!$T:$T,0),MATCH(W$1,'Исходник'!$1:$1,0)))</f>
        <v/>
      </c>
      <c r="X398" s="28">
        <f t="shared" si="10"/>
        <v>0</v>
      </c>
      <c r="Y398" s="1" t="str">
        <f t="array" ref="Y398">IFERROR(INDEX('Исходник'!$1:$626,MATCH($A398,'Исходник'!$T:$T,0),MATCH(Y$1,'Исходник'!$1:$1,0)))</f>
        <v/>
      </c>
      <c r="Z398" s="27">
        <f t="shared" si="11"/>
        <v>0</v>
      </c>
      <c r="AA398" s="27" t="str">
        <f t="shared" si="12"/>
        <v/>
      </c>
      <c r="AB398" s="1" t="str">
        <f t="array" ref="AB398">IFERROR(INDEX('Исходник'!$1:$626,MATCH($A398,'Исходник'!$T:$T,0),MATCH(AB$1,'Исходник'!$1:$1,0)))</f>
        <v/>
      </c>
      <c r="AC398" s="1" t="str">
        <f t="array" ref="AC398">IFERROR(INDEX('Исходник'!$1:$626,MATCH($A398,'Исходник'!$T:$T,0),MATCH(AC$1,'Исходник'!$1:$1,0)))</f>
        <v/>
      </c>
      <c r="AD398" s="27" t="str">
        <f t="shared" si="13"/>
        <v/>
      </c>
      <c r="AE398" s="1" t="str">
        <f t="array" ref="AE398">IFERROR(INDEX('Исходник'!$1:$626,MATCH($A398,'Исходник'!$T:$T,0),MATCH(AE$1,'Исходник'!$1:$1,0)))</f>
        <v/>
      </c>
      <c r="AF398" s="1" t="str">
        <f t="array" ref="AF398">IFERROR(INDEX('Исходник'!$1:$626,MATCH($A398,'Исходник'!$T:$T,0),MATCH(AF$1,'Исходник'!$1:$1,0)))</f>
        <v/>
      </c>
      <c r="AG398" s="27" t="str">
        <f t="shared" si="14"/>
        <v/>
      </c>
      <c r="AH398" s="1" t="str">
        <f t="array" ref="AH398">IFERROR(INDEX('Исходник'!$1:$626,MATCH($A398,'Исходник'!$T:$T,0),MATCH(AH$1,'Исходник'!$1:$1,0)))</f>
        <v/>
      </c>
      <c r="AI398" s="1" t="str">
        <f t="array" ref="AI398">IFERROR(INDEX('Исходник'!$1:$626,MATCH($A398,'Исходник'!$T:$T,0),MATCH(AI$1,'Исходник'!$1:$1,0)))</f>
        <v/>
      </c>
      <c r="AJ398" s="18">
        <f t="shared" si="15"/>
        <v>0</v>
      </c>
    </row>
    <row r="399" ht="15.75" customHeight="1">
      <c r="A399" s="27"/>
      <c r="B399" s="1" t="str">
        <f t="array" ref="B399">IFERROR(INDEX('Исходник'!$1:$626,MATCH($A399,'Исходник'!$T:$T,0),MATCH(B$1,'Исходник'!$1:$1,0)))</f>
        <v/>
      </c>
      <c r="C399" s="1" t="str">
        <f t="array" ref="C399">IFERROR(INDEX('Исходник'!$1:$626,MATCH($A399,'Исходник'!$T:$T,0),MATCH(C$1,'Исходник'!$1:$1,0)))</f>
        <v/>
      </c>
      <c r="D399" s="1" t="str">
        <f t="array" ref="D399">IFERROR(INDEX('Исходник'!$1:$626,MATCH($A399,'Исходник'!$T:$T,0),MATCH(D$1,'Исходник'!$1:$1,0)))</f>
        <v/>
      </c>
      <c r="E399" s="1" t="str">
        <f t="array" ref="E399">IFERROR(INDEX('Исходник'!$1:$626,MATCH($A399,'Исходник'!$T:$T,0),MATCH(E$1,'Исходник'!$1:$1,0)))</f>
        <v/>
      </c>
      <c r="F399" s="1" t="str">
        <f t="array" ref="F399">IFERROR(INDEX('Исходник'!$1:$626,MATCH($A399,'Исходник'!$T:$T,0),MATCH(F$1,'Исходник'!$1:$1,0)))</f>
        <v/>
      </c>
      <c r="G399" s="1" t="str">
        <f t="array" ref="G399">IFERROR(INDEX('Исходник'!$1:$626,MATCH($A399,'Исходник'!$T:$T,0),MATCH(G$1,'Исходник'!$1:$1,0)))</f>
        <v/>
      </c>
      <c r="H399" s="27">
        <f t="shared" si="1"/>
        <v>0</v>
      </c>
      <c r="I399" s="27" t="str">
        <f t="shared" si="2"/>
        <v/>
      </c>
      <c r="J399" s="1" t="str">
        <f t="array" ref="J399">IFERROR(INDEX('Исходник'!$1:$626,MATCH($A399,'Исходник'!$T:$T,0),MATCH(J$1,'Исходник'!$1:$1,0)))</f>
        <v/>
      </c>
      <c r="K399" s="27" t="str">
        <f t="shared" si="3"/>
        <v/>
      </c>
      <c r="L399" s="1" t="str">
        <f t="array" ref="L399">IFERROR(INDEX('Исходник'!$1:$626,MATCH($A399,'Исходник'!$T:$T,0),MATCH(L$1,'Исходник'!$1:$1,0)))</f>
        <v/>
      </c>
      <c r="M399" s="28">
        <f t="shared" si="4"/>
        <v>0</v>
      </c>
      <c r="N399" s="1" t="str">
        <f t="array" ref="N399">IFERROR(INDEX('Исходник'!$1:$626,MATCH($A399,'Исходник'!$T:$T,0),MATCH(N$1,'Исходник'!$1:$1,0)))</f>
        <v/>
      </c>
      <c r="O399" s="27">
        <f t="shared" si="5"/>
        <v>0</v>
      </c>
      <c r="P399" s="27" t="str">
        <f t="shared" si="6"/>
        <v/>
      </c>
      <c r="Q399" s="1" t="str">
        <f t="array" ref="Q399">IFERROR(INDEX('Исходник'!$1:$626,MATCH($A399,'Исходник'!$T:$T,0),MATCH(Q$1,'Исходник'!$1:$1,0)))</f>
        <v/>
      </c>
      <c r="R399" s="1" t="str">
        <f t="array" ref="R399">IFERROR(INDEX('Исходник'!$1:$626,MATCH($A399,'Исходник'!$T:$T,0),MATCH(R$1,'Исходник'!$1:$1,0)))</f>
        <v/>
      </c>
      <c r="S399" s="27">
        <f t="shared" si="7"/>
        <v>0</v>
      </c>
      <c r="T399" s="27" t="str">
        <f t="shared" si="8"/>
        <v/>
      </c>
      <c r="U399" s="1" t="str">
        <f t="array" ref="U399">IFERROR(INDEX('Исходник'!$1:$626,MATCH($A399,'Исходник'!$T:$T,0),MATCH(U$1,'Исходник'!$1:$1,0)))</f>
        <v/>
      </c>
      <c r="V399" s="27" t="str">
        <f t="shared" si="9"/>
        <v/>
      </c>
      <c r="W399" s="1" t="str">
        <f t="array" ref="W399">IFERROR(INDEX('Исходник'!$1:$626,MATCH($A399,'Исходник'!$T:$T,0),MATCH(W$1,'Исходник'!$1:$1,0)))</f>
        <v/>
      </c>
      <c r="X399" s="28">
        <f t="shared" si="10"/>
        <v>0</v>
      </c>
      <c r="Y399" s="1" t="str">
        <f t="array" ref="Y399">IFERROR(INDEX('Исходник'!$1:$626,MATCH($A399,'Исходник'!$T:$T,0),MATCH(Y$1,'Исходник'!$1:$1,0)))</f>
        <v/>
      </c>
      <c r="Z399" s="27">
        <f t="shared" si="11"/>
        <v>0</v>
      </c>
      <c r="AA399" s="27" t="str">
        <f t="shared" si="12"/>
        <v/>
      </c>
      <c r="AB399" s="1" t="str">
        <f t="array" ref="AB399">IFERROR(INDEX('Исходник'!$1:$626,MATCH($A399,'Исходник'!$T:$T,0),MATCH(AB$1,'Исходник'!$1:$1,0)))</f>
        <v/>
      </c>
      <c r="AC399" s="1" t="str">
        <f t="array" ref="AC399">IFERROR(INDEX('Исходник'!$1:$626,MATCH($A399,'Исходник'!$T:$T,0),MATCH(AC$1,'Исходник'!$1:$1,0)))</f>
        <v/>
      </c>
      <c r="AD399" s="27" t="str">
        <f t="shared" si="13"/>
        <v/>
      </c>
      <c r="AE399" s="1" t="str">
        <f t="array" ref="AE399">IFERROR(INDEX('Исходник'!$1:$626,MATCH($A399,'Исходник'!$T:$T,0),MATCH(AE$1,'Исходник'!$1:$1,0)))</f>
        <v/>
      </c>
      <c r="AF399" s="1" t="str">
        <f t="array" ref="AF399">IFERROR(INDEX('Исходник'!$1:$626,MATCH($A399,'Исходник'!$T:$T,0),MATCH(AF$1,'Исходник'!$1:$1,0)))</f>
        <v/>
      </c>
      <c r="AG399" s="27" t="str">
        <f t="shared" si="14"/>
        <v/>
      </c>
      <c r="AH399" s="1" t="str">
        <f t="array" ref="AH399">IFERROR(INDEX('Исходник'!$1:$626,MATCH($A399,'Исходник'!$T:$T,0),MATCH(AH$1,'Исходник'!$1:$1,0)))</f>
        <v/>
      </c>
      <c r="AI399" s="1" t="str">
        <f t="array" ref="AI399">IFERROR(INDEX('Исходник'!$1:$626,MATCH($A399,'Исходник'!$T:$T,0),MATCH(AI$1,'Исходник'!$1:$1,0)))</f>
        <v/>
      </c>
      <c r="AJ399" s="18">
        <f t="shared" si="15"/>
        <v>0</v>
      </c>
    </row>
    <row r="400" ht="15.75" customHeight="1">
      <c r="A400" s="27"/>
      <c r="B400" s="1" t="str">
        <f t="array" ref="B400">IFERROR(INDEX('Исходник'!$1:$626,MATCH($A400,'Исходник'!$T:$T,0),MATCH(B$1,'Исходник'!$1:$1,0)))</f>
        <v/>
      </c>
      <c r="C400" s="1" t="str">
        <f t="array" ref="C400">IFERROR(INDEX('Исходник'!$1:$626,MATCH($A400,'Исходник'!$T:$T,0),MATCH(C$1,'Исходник'!$1:$1,0)))</f>
        <v/>
      </c>
      <c r="D400" s="1" t="str">
        <f t="array" ref="D400">IFERROR(INDEX('Исходник'!$1:$626,MATCH($A400,'Исходник'!$T:$T,0),MATCH(D$1,'Исходник'!$1:$1,0)))</f>
        <v/>
      </c>
      <c r="E400" s="1" t="str">
        <f t="array" ref="E400">IFERROR(INDEX('Исходник'!$1:$626,MATCH($A400,'Исходник'!$T:$T,0),MATCH(E$1,'Исходник'!$1:$1,0)))</f>
        <v/>
      </c>
      <c r="F400" s="1" t="str">
        <f t="array" ref="F400">IFERROR(INDEX('Исходник'!$1:$626,MATCH($A400,'Исходник'!$T:$T,0),MATCH(F$1,'Исходник'!$1:$1,0)))</f>
        <v/>
      </c>
      <c r="G400" s="1" t="str">
        <f t="array" ref="G400">IFERROR(INDEX('Исходник'!$1:$626,MATCH($A400,'Исходник'!$T:$T,0),MATCH(G$1,'Исходник'!$1:$1,0)))</f>
        <v/>
      </c>
      <c r="H400" s="27">
        <f t="shared" si="1"/>
        <v>0</v>
      </c>
      <c r="I400" s="27" t="str">
        <f t="shared" si="2"/>
        <v/>
      </c>
      <c r="J400" s="1" t="str">
        <f t="array" ref="J400">IFERROR(INDEX('Исходник'!$1:$626,MATCH($A400,'Исходник'!$T:$T,0),MATCH(J$1,'Исходник'!$1:$1,0)))</f>
        <v/>
      </c>
      <c r="K400" s="27" t="str">
        <f t="shared" si="3"/>
        <v/>
      </c>
      <c r="L400" s="1" t="str">
        <f t="array" ref="L400">IFERROR(INDEX('Исходник'!$1:$626,MATCH($A400,'Исходник'!$T:$T,0),MATCH(L$1,'Исходник'!$1:$1,0)))</f>
        <v/>
      </c>
      <c r="M400" s="28">
        <f t="shared" si="4"/>
        <v>0</v>
      </c>
      <c r="N400" s="1" t="str">
        <f t="array" ref="N400">IFERROR(INDEX('Исходник'!$1:$626,MATCH($A400,'Исходник'!$T:$T,0),MATCH(N$1,'Исходник'!$1:$1,0)))</f>
        <v/>
      </c>
      <c r="O400" s="27">
        <f t="shared" si="5"/>
        <v>0</v>
      </c>
      <c r="P400" s="27" t="str">
        <f t="shared" si="6"/>
        <v/>
      </c>
      <c r="Q400" s="1" t="str">
        <f t="array" ref="Q400">IFERROR(INDEX('Исходник'!$1:$626,MATCH($A400,'Исходник'!$T:$T,0),MATCH(Q$1,'Исходник'!$1:$1,0)))</f>
        <v/>
      </c>
      <c r="R400" s="1" t="str">
        <f t="array" ref="R400">IFERROR(INDEX('Исходник'!$1:$626,MATCH($A400,'Исходник'!$T:$T,0),MATCH(R$1,'Исходник'!$1:$1,0)))</f>
        <v/>
      </c>
      <c r="S400" s="27">
        <f t="shared" si="7"/>
        <v>0</v>
      </c>
      <c r="T400" s="27" t="str">
        <f t="shared" si="8"/>
        <v/>
      </c>
      <c r="U400" s="1" t="str">
        <f t="array" ref="U400">IFERROR(INDEX('Исходник'!$1:$626,MATCH($A400,'Исходник'!$T:$T,0),MATCH(U$1,'Исходник'!$1:$1,0)))</f>
        <v/>
      </c>
      <c r="V400" s="27" t="str">
        <f t="shared" si="9"/>
        <v/>
      </c>
      <c r="W400" s="1" t="str">
        <f t="array" ref="W400">IFERROR(INDEX('Исходник'!$1:$626,MATCH($A400,'Исходник'!$T:$T,0),MATCH(W$1,'Исходник'!$1:$1,0)))</f>
        <v/>
      </c>
      <c r="X400" s="28">
        <f t="shared" si="10"/>
        <v>0</v>
      </c>
      <c r="Y400" s="1" t="str">
        <f t="array" ref="Y400">IFERROR(INDEX('Исходник'!$1:$626,MATCH($A400,'Исходник'!$T:$T,0),MATCH(Y$1,'Исходник'!$1:$1,0)))</f>
        <v/>
      </c>
      <c r="Z400" s="27">
        <f t="shared" si="11"/>
        <v>0</v>
      </c>
      <c r="AA400" s="27" t="str">
        <f t="shared" si="12"/>
        <v/>
      </c>
      <c r="AB400" s="1" t="str">
        <f t="array" ref="AB400">IFERROR(INDEX('Исходник'!$1:$626,MATCH($A400,'Исходник'!$T:$T,0),MATCH(AB$1,'Исходник'!$1:$1,0)))</f>
        <v/>
      </c>
      <c r="AC400" s="1" t="str">
        <f t="array" ref="AC400">IFERROR(INDEX('Исходник'!$1:$626,MATCH($A400,'Исходник'!$T:$T,0),MATCH(AC$1,'Исходник'!$1:$1,0)))</f>
        <v/>
      </c>
      <c r="AD400" s="27" t="str">
        <f t="shared" si="13"/>
        <v/>
      </c>
      <c r="AE400" s="1" t="str">
        <f t="array" ref="AE400">IFERROR(INDEX('Исходник'!$1:$626,MATCH($A400,'Исходник'!$T:$T,0),MATCH(AE$1,'Исходник'!$1:$1,0)))</f>
        <v/>
      </c>
      <c r="AF400" s="1" t="str">
        <f t="array" ref="AF400">IFERROR(INDEX('Исходник'!$1:$626,MATCH($A400,'Исходник'!$T:$T,0),MATCH(AF$1,'Исходник'!$1:$1,0)))</f>
        <v/>
      </c>
      <c r="AG400" s="27" t="str">
        <f t="shared" si="14"/>
        <v/>
      </c>
      <c r="AH400" s="1" t="str">
        <f t="array" ref="AH400">IFERROR(INDEX('Исходник'!$1:$626,MATCH($A400,'Исходник'!$T:$T,0),MATCH(AH$1,'Исходник'!$1:$1,0)))</f>
        <v/>
      </c>
      <c r="AI400" s="1" t="str">
        <f t="array" ref="AI400">IFERROR(INDEX('Исходник'!$1:$626,MATCH($A400,'Исходник'!$T:$T,0),MATCH(AI$1,'Исходник'!$1:$1,0)))</f>
        <v/>
      </c>
      <c r="AJ400" s="18">
        <f t="shared" si="15"/>
        <v>0</v>
      </c>
    </row>
    <row r="401" ht="15.75" customHeight="1">
      <c r="A401" s="27"/>
      <c r="B401" s="1" t="str">
        <f t="array" ref="B401">IFERROR(INDEX('Исходник'!$1:$626,MATCH($A401,'Исходник'!$T:$T,0),MATCH(B$1,'Исходник'!$1:$1,0)))</f>
        <v/>
      </c>
      <c r="C401" s="1" t="str">
        <f t="array" ref="C401">IFERROR(INDEX('Исходник'!$1:$626,MATCH($A401,'Исходник'!$T:$T,0),MATCH(C$1,'Исходник'!$1:$1,0)))</f>
        <v/>
      </c>
      <c r="D401" s="1" t="str">
        <f t="array" ref="D401">IFERROR(INDEX('Исходник'!$1:$626,MATCH($A401,'Исходник'!$T:$T,0),MATCH(D$1,'Исходник'!$1:$1,0)))</f>
        <v/>
      </c>
      <c r="E401" s="1" t="str">
        <f t="array" ref="E401">IFERROR(INDEX('Исходник'!$1:$626,MATCH($A401,'Исходник'!$T:$T,0),MATCH(E$1,'Исходник'!$1:$1,0)))</f>
        <v/>
      </c>
      <c r="F401" s="1" t="str">
        <f t="array" ref="F401">IFERROR(INDEX('Исходник'!$1:$626,MATCH($A401,'Исходник'!$T:$T,0),MATCH(F$1,'Исходник'!$1:$1,0)))</f>
        <v/>
      </c>
      <c r="G401" s="1" t="str">
        <f t="array" ref="G401">IFERROR(INDEX('Исходник'!$1:$626,MATCH($A401,'Исходник'!$T:$T,0),MATCH(G$1,'Исходник'!$1:$1,0)))</f>
        <v/>
      </c>
      <c r="H401" s="27">
        <f t="shared" si="1"/>
        <v>0</v>
      </c>
      <c r="I401" s="27" t="str">
        <f t="shared" si="2"/>
        <v/>
      </c>
      <c r="J401" s="1" t="str">
        <f t="array" ref="J401">IFERROR(INDEX('Исходник'!$1:$626,MATCH($A401,'Исходник'!$T:$T,0),MATCH(J$1,'Исходник'!$1:$1,0)))</f>
        <v/>
      </c>
      <c r="K401" s="27" t="str">
        <f t="shared" si="3"/>
        <v/>
      </c>
      <c r="L401" s="1" t="str">
        <f t="array" ref="L401">IFERROR(INDEX('Исходник'!$1:$626,MATCH($A401,'Исходник'!$T:$T,0),MATCH(L$1,'Исходник'!$1:$1,0)))</f>
        <v/>
      </c>
      <c r="M401" s="28">
        <f t="shared" si="4"/>
        <v>0</v>
      </c>
      <c r="N401" s="1" t="str">
        <f t="array" ref="N401">IFERROR(INDEX('Исходник'!$1:$626,MATCH($A401,'Исходник'!$T:$T,0),MATCH(N$1,'Исходник'!$1:$1,0)))</f>
        <v/>
      </c>
      <c r="O401" s="27">
        <f t="shared" si="5"/>
        <v>0</v>
      </c>
      <c r="P401" s="27" t="str">
        <f t="shared" si="6"/>
        <v/>
      </c>
      <c r="Q401" s="1" t="str">
        <f t="array" ref="Q401">IFERROR(INDEX('Исходник'!$1:$626,MATCH($A401,'Исходник'!$T:$T,0),MATCH(Q$1,'Исходник'!$1:$1,0)))</f>
        <v/>
      </c>
      <c r="R401" s="1" t="str">
        <f t="array" ref="R401">IFERROR(INDEX('Исходник'!$1:$626,MATCH($A401,'Исходник'!$T:$T,0),MATCH(R$1,'Исходник'!$1:$1,0)))</f>
        <v/>
      </c>
      <c r="S401" s="27">
        <f t="shared" si="7"/>
        <v>0</v>
      </c>
      <c r="T401" s="27" t="str">
        <f t="shared" si="8"/>
        <v/>
      </c>
      <c r="U401" s="1" t="str">
        <f t="array" ref="U401">IFERROR(INDEX('Исходник'!$1:$626,MATCH($A401,'Исходник'!$T:$T,0),MATCH(U$1,'Исходник'!$1:$1,0)))</f>
        <v/>
      </c>
      <c r="V401" s="27" t="str">
        <f t="shared" si="9"/>
        <v/>
      </c>
      <c r="W401" s="1" t="str">
        <f t="array" ref="W401">IFERROR(INDEX('Исходник'!$1:$626,MATCH($A401,'Исходник'!$T:$T,0),MATCH(W$1,'Исходник'!$1:$1,0)))</f>
        <v/>
      </c>
      <c r="X401" s="28">
        <f t="shared" si="10"/>
        <v>0</v>
      </c>
      <c r="Y401" s="1" t="str">
        <f t="array" ref="Y401">IFERROR(INDEX('Исходник'!$1:$626,MATCH($A401,'Исходник'!$T:$T,0),MATCH(Y$1,'Исходник'!$1:$1,0)))</f>
        <v/>
      </c>
      <c r="Z401" s="27">
        <f t="shared" si="11"/>
        <v>0</v>
      </c>
      <c r="AA401" s="27" t="str">
        <f t="shared" si="12"/>
        <v/>
      </c>
      <c r="AB401" s="1" t="str">
        <f t="array" ref="AB401">IFERROR(INDEX('Исходник'!$1:$626,MATCH($A401,'Исходник'!$T:$T,0),MATCH(AB$1,'Исходник'!$1:$1,0)))</f>
        <v/>
      </c>
      <c r="AC401" s="1" t="str">
        <f t="array" ref="AC401">IFERROR(INDEX('Исходник'!$1:$626,MATCH($A401,'Исходник'!$T:$T,0),MATCH(AC$1,'Исходник'!$1:$1,0)))</f>
        <v/>
      </c>
      <c r="AD401" s="27" t="str">
        <f t="shared" si="13"/>
        <v/>
      </c>
      <c r="AE401" s="1" t="str">
        <f t="array" ref="AE401">IFERROR(INDEX('Исходник'!$1:$626,MATCH($A401,'Исходник'!$T:$T,0),MATCH(AE$1,'Исходник'!$1:$1,0)))</f>
        <v/>
      </c>
      <c r="AF401" s="1" t="str">
        <f t="array" ref="AF401">IFERROR(INDEX('Исходник'!$1:$626,MATCH($A401,'Исходник'!$T:$T,0),MATCH(AF$1,'Исходник'!$1:$1,0)))</f>
        <v/>
      </c>
      <c r="AG401" s="27" t="str">
        <f t="shared" si="14"/>
        <v/>
      </c>
      <c r="AH401" s="1" t="str">
        <f t="array" ref="AH401">IFERROR(INDEX('Исходник'!$1:$626,MATCH($A401,'Исходник'!$T:$T,0),MATCH(AH$1,'Исходник'!$1:$1,0)))</f>
        <v/>
      </c>
      <c r="AI401" s="1" t="str">
        <f t="array" ref="AI401">IFERROR(INDEX('Исходник'!$1:$626,MATCH($A401,'Исходник'!$T:$T,0),MATCH(AI$1,'Исходник'!$1:$1,0)))</f>
        <v/>
      </c>
      <c r="AJ401" s="18">
        <f t="shared" si="15"/>
        <v>0</v>
      </c>
    </row>
    <row r="402" ht="15.75" customHeight="1">
      <c r="A402" s="27"/>
      <c r="B402" s="1" t="str">
        <f t="array" ref="B402">IFERROR(INDEX('Исходник'!$1:$626,MATCH($A402,'Исходник'!$T:$T,0),MATCH(B$1,'Исходник'!$1:$1,0)))</f>
        <v/>
      </c>
      <c r="C402" s="1" t="str">
        <f t="array" ref="C402">IFERROR(INDEX('Исходник'!$1:$626,MATCH($A402,'Исходник'!$T:$T,0),MATCH(C$1,'Исходник'!$1:$1,0)))</f>
        <v/>
      </c>
      <c r="D402" s="1" t="str">
        <f t="array" ref="D402">IFERROR(INDEX('Исходник'!$1:$626,MATCH($A402,'Исходник'!$T:$T,0),MATCH(D$1,'Исходник'!$1:$1,0)))</f>
        <v/>
      </c>
      <c r="E402" s="1" t="str">
        <f t="array" ref="E402">IFERROR(INDEX('Исходник'!$1:$626,MATCH($A402,'Исходник'!$T:$T,0),MATCH(E$1,'Исходник'!$1:$1,0)))</f>
        <v/>
      </c>
      <c r="F402" s="1" t="str">
        <f t="array" ref="F402">IFERROR(INDEX('Исходник'!$1:$626,MATCH($A402,'Исходник'!$T:$T,0),MATCH(F$1,'Исходник'!$1:$1,0)))</f>
        <v/>
      </c>
      <c r="G402" s="1" t="str">
        <f t="array" ref="G402">IFERROR(INDEX('Исходник'!$1:$626,MATCH($A402,'Исходник'!$T:$T,0),MATCH(G$1,'Исходник'!$1:$1,0)))</f>
        <v/>
      </c>
      <c r="H402" s="27">
        <f t="shared" si="1"/>
        <v>0</v>
      </c>
      <c r="I402" s="27" t="str">
        <f t="shared" si="2"/>
        <v/>
      </c>
      <c r="J402" s="1" t="str">
        <f t="array" ref="J402">IFERROR(INDEX('Исходник'!$1:$626,MATCH($A402,'Исходник'!$T:$T,0),MATCH(J$1,'Исходник'!$1:$1,0)))</f>
        <v/>
      </c>
      <c r="K402" s="27" t="str">
        <f t="shared" si="3"/>
        <v/>
      </c>
      <c r="L402" s="1" t="str">
        <f t="array" ref="L402">IFERROR(INDEX('Исходник'!$1:$626,MATCH($A402,'Исходник'!$T:$T,0),MATCH(L$1,'Исходник'!$1:$1,0)))</f>
        <v/>
      </c>
      <c r="M402" s="28">
        <f t="shared" si="4"/>
        <v>0</v>
      </c>
      <c r="N402" s="1" t="str">
        <f t="array" ref="N402">IFERROR(INDEX('Исходник'!$1:$626,MATCH($A402,'Исходник'!$T:$T,0),MATCH(N$1,'Исходник'!$1:$1,0)))</f>
        <v/>
      </c>
      <c r="O402" s="27">
        <f t="shared" si="5"/>
        <v>0</v>
      </c>
      <c r="P402" s="27" t="str">
        <f t="shared" si="6"/>
        <v/>
      </c>
      <c r="Q402" s="1" t="str">
        <f t="array" ref="Q402">IFERROR(INDEX('Исходник'!$1:$626,MATCH($A402,'Исходник'!$T:$T,0),MATCH(Q$1,'Исходник'!$1:$1,0)))</f>
        <v/>
      </c>
      <c r="R402" s="1" t="str">
        <f t="array" ref="R402">IFERROR(INDEX('Исходник'!$1:$626,MATCH($A402,'Исходник'!$T:$T,0),MATCH(R$1,'Исходник'!$1:$1,0)))</f>
        <v/>
      </c>
      <c r="S402" s="27">
        <f t="shared" si="7"/>
        <v>0</v>
      </c>
      <c r="T402" s="27" t="str">
        <f t="shared" si="8"/>
        <v/>
      </c>
      <c r="U402" s="1" t="str">
        <f t="array" ref="U402">IFERROR(INDEX('Исходник'!$1:$626,MATCH($A402,'Исходник'!$T:$T,0),MATCH(U$1,'Исходник'!$1:$1,0)))</f>
        <v/>
      </c>
      <c r="V402" s="27" t="str">
        <f t="shared" si="9"/>
        <v/>
      </c>
      <c r="W402" s="1" t="str">
        <f t="array" ref="W402">IFERROR(INDEX('Исходник'!$1:$626,MATCH($A402,'Исходник'!$T:$T,0),MATCH(W$1,'Исходник'!$1:$1,0)))</f>
        <v/>
      </c>
      <c r="X402" s="28">
        <f t="shared" si="10"/>
        <v>0</v>
      </c>
      <c r="Y402" s="1" t="str">
        <f t="array" ref="Y402">IFERROR(INDEX('Исходник'!$1:$626,MATCH($A402,'Исходник'!$T:$T,0),MATCH(Y$1,'Исходник'!$1:$1,0)))</f>
        <v/>
      </c>
      <c r="Z402" s="27">
        <f t="shared" si="11"/>
        <v>0</v>
      </c>
      <c r="AA402" s="27" t="str">
        <f t="shared" si="12"/>
        <v/>
      </c>
      <c r="AB402" s="1" t="str">
        <f t="array" ref="AB402">IFERROR(INDEX('Исходник'!$1:$626,MATCH($A402,'Исходник'!$T:$T,0),MATCH(AB$1,'Исходник'!$1:$1,0)))</f>
        <v/>
      </c>
      <c r="AC402" s="1" t="str">
        <f t="array" ref="AC402">IFERROR(INDEX('Исходник'!$1:$626,MATCH($A402,'Исходник'!$T:$T,0),MATCH(AC$1,'Исходник'!$1:$1,0)))</f>
        <v/>
      </c>
      <c r="AD402" s="27" t="str">
        <f t="shared" si="13"/>
        <v/>
      </c>
      <c r="AE402" s="1" t="str">
        <f t="array" ref="AE402">IFERROR(INDEX('Исходник'!$1:$626,MATCH($A402,'Исходник'!$T:$T,0),MATCH(AE$1,'Исходник'!$1:$1,0)))</f>
        <v/>
      </c>
      <c r="AF402" s="1" t="str">
        <f t="array" ref="AF402">IFERROR(INDEX('Исходник'!$1:$626,MATCH($A402,'Исходник'!$T:$T,0),MATCH(AF$1,'Исходник'!$1:$1,0)))</f>
        <v/>
      </c>
      <c r="AG402" s="27" t="str">
        <f t="shared" si="14"/>
        <v/>
      </c>
      <c r="AH402" s="1" t="str">
        <f t="array" ref="AH402">IFERROR(INDEX('Исходник'!$1:$626,MATCH($A402,'Исходник'!$T:$T,0),MATCH(AH$1,'Исходник'!$1:$1,0)))</f>
        <v/>
      </c>
      <c r="AI402" s="1" t="str">
        <f t="array" ref="AI402">IFERROR(INDEX('Исходник'!$1:$626,MATCH($A402,'Исходник'!$T:$T,0),MATCH(AI$1,'Исходник'!$1:$1,0)))</f>
        <v/>
      </c>
      <c r="AJ402" s="18">
        <f t="shared" si="15"/>
        <v>0</v>
      </c>
    </row>
    <row r="403" ht="15.75" customHeight="1">
      <c r="A403" s="27"/>
      <c r="B403" s="1" t="str">
        <f t="array" ref="B403">IFERROR(INDEX('Исходник'!$1:$626,MATCH($A403,'Исходник'!$T:$T,0),MATCH(B$1,'Исходник'!$1:$1,0)))</f>
        <v/>
      </c>
      <c r="C403" s="1" t="str">
        <f t="array" ref="C403">IFERROR(INDEX('Исходник'!$1:$626,MATCH($A403,'Исходник'!$T:$T,0),MATCH(C$1,'Исходник'!$1:$1,0)))</f>
        <v/>
      </c>
      <c r="D403" s="1" t="str">
        <f t="array" ref="D403">IFERROR(INDEX('Исходник'!$1:$626,MATCH($A403,'Исходник'!$T:$T,0),MATCH(D$1,'Исходник'!$1:$1,0)))</f>
        <v/>
      </c>
      <c r="E403" s="1" t="str">
        <f t="array" ref="E403">IFERROR(INDEX('Исходник'!$1:$626,MATCH($A403,'Исходник'!$T:$T,0),MATCH(E$1,'Исходник'!$1:$1,0)))</f>
        <v/>
      </c>
      <c r="F403" s="1" t="str">
        <f t="array" ref="F403">IFERROR(INDEX('Исходник'!$1:$626,MATCH($A403,'Исходник'!$T:$T,0),MATCH(F$1,'Исходник'!$1:$1,0)))</f>
        <v/>
      </c>
      <c r="G403" s="1" t="str">
        <f t="array" ref="G403">IFERROR(INDEX('Исходник'!$1:$626,MATCH($A403,'Исходник'!$T:$T,0),MATCH(G$1,'Исходник'!$1:$1,0)))</f>
        <v/>
      </c>
      <c r="H403" s="27">
        <f t="shared" si="1"/>
        <v>0</v>
      </c>
      <c r="I403" s="27" t="str">
        <f t="shared" si="2"/>
        <v/>
      </c>
      <c r="J403" s="1" t="str">
        <f t="array" ref="J403">IFERROR(INDEX('Исходник'!$1:$626,MATCH($A403,'Исходник'!$T:$T,0),MATCH(J$1,'Исходник'!$1:$1,0)))</f>
        <v/>
      </c>
      <c r="K403" s="27" t="str">
        <f t="shared" si="3"/>
        <v/>
      </c>
      <c r="L403" s="1" t="str">
        <f t="array" ref="L403">IFERROR(INDEX('Исходник'!$1:$626,MATCH($A403,'Исходник'!$T:$T,0),MATCH(L$1,'Исходник'!$1:$1,0)))</f>
        <v/>
      </c>
      <c r="M403" s="28">
        <f t="shared" si="4"/>
        <v>0</v>
      </c>
      <c r="N403" s="1" t="str">
        <f t="array" ref="N403">IFERROR(INDEX('Исходник'!$1:$626,MATCH($A403,'Исходник'!$T:$T,0),MATCH(N$1,'Исходник'!$1:$1,0)))</f>
        <v/>
      </c>
      <c r="O403" s="27">
        <f t="shared" si="5"/>
        <v>0</v>
      </c>
      <c r="P403" s="27" t="str">
        <f t="shared" si="6"/>
        <v/>
      </c>
      <c r="Q403" s="1" t="str">
        <f t="array" ref="Q403">IFERROR(INDEX('Исходник'!$1:$626,MATCH($A403,'Исходник'!$T:$T,0),MATCH(Q$1,'Исходник'!$1:$1,0)))</f>
        <v/>
      </c>
      <c r="R403" s="1" t="str">
        <f t="array" ref="R403">IFERROR(INDEX('Исходник'!$1:$626,MATCH($A403,'Исходник'!$T:$T,0),MATCH(R$1,'Исходник'!$1:$1,0)))</f>
        <v/>
      </c>
      <c r="S403" s="27">
        <f t="shared" si="7"/>
        <v>0</v>
      </c>
      <c r="T403" s="27" t="str">
        <f t="shared" si="8"/>
        <v/>
      </c>
      <c r="U403" s="1" t="str">
        <f t="array" ref="U403">IFERROR(INDEX('Исходник'!$1:$626,MATCH($A403,'Исходник'!$T:$T,0),MATCH(U$1,'Исходник'!$1:$1,0)))</f>
        <v/>
      </c>
      <c r="V403" s="27" t="str">
        <f t="shared" si="9"/>
        <v/>
      </c>
      <c r="W403" s="1" t="str">
        <f t="array" ref="W403">IFERROR(INDEX('Исходник'!$1:$626,MATCH($A403,'Исходник'!$T:$T,0),MATCH(W$1,'Исходник'!$1:$1,0)))</f>
        <v/>
      </c>
      <c r="X403" s="28">
        <f t="shared" si="10"/>
        <v>0</v>
      </c>
      <c r="Y403" s="1" t="str">
        <f t="array" ref="Y403">IFERROR(INDEX('Исходник'!$1:$626,MATCH($A403,'Исходник'!$T:$T,0),MATCH(Y$1,'Исходник'!$1:$1,0)))</f>
        <v/>
      </c>
      <c r="Z403" s="27">
        <f t="shared" si="11"/>
        <v>0</v>
      </c>
      <c r="AA403" s="27" t="str">
        <f t="shared" si="12"/>
        <v/>
      </c>
      <c r="AB403" s="1" t="str">
        <f t="array" ref="AB403">IFERROR(INDEX('Исходник'!$1:$626,MATCH($A403,'Исходник'!$T:$T,0),MATCH(AB$1,'Исходник'!$1:$1,0)))</f>
        <v/>
      </c>
      <c r="AC403" s="1" t="str">
        <f t="array" ref="AC403">IFERROR(INDEX('Исходник'!$1:$626,MATCH($A403,'Исходник'!$T:$T,0),MATCH(AC$1,'Исходник'!$1:$1,0)))</f>
        <v/>
      </c>
      <c r="AD403" s="27" t="str">
        <f t="shared" si="13"/>
        <v/>
      </c>
      <c r="AE403" s="1" t="str">
        <f t="array" ref="AE403">IFERROR(INDEX('Исходник'!$1:$626,MATCH($A403,'Исходник'!$T:$T,0),MATCH(AE$1,'Исходник'!$1:$1,0)))</f>
        <v/>
      </c>
      <c r="AF403" s="1" t="str">
        <f t="array" ref="AF403">IFERROR(INDEX('Исходник'!$1:$626,MATCH($A403,'Исходник'!$T:$T,0),MATCH(AF$1,'Исходник'!$1:$1,0)))</f>
        <v/>
      </c>
      <c r="AG403" s="27" t="str">
        <f t="shared" si="14"/>
        <v/>
      </c>
      <c r="AH403" s="1" t="str">
        <f t="array" ref="AH403">IFERROR(INDEX('Исходник'!$1:$626,MATCH($A403,'Исходник'!$T:$T,0),MATCH(AH$1,'Исходник'!$1:$1,0)))</f>
        <v/>
      </c>
      <c r="AI403" s="1" t="str">
        <f t="array" ref="AI403">IFERROR(INDEX('Исходник'!$1:$626,MATCH($A403,'Исходник'!$T:$T,0),MATCH(AI$1,'Исходник'!$1:$1,0)))</f>
        <v/>
      </c>
      <c r="AJ403" s="18">
        <f t="shared" si="15"/>
        <v>0</v>
      </c>
    </row>
    <row r="404" ht="15.75" customHeight="1">
      <c r="A404" s="27"/>
      <c r="B404" s="1" t="str">
        <f t="array" ref="B404">IFERROR(INDEX('Исходник'!$1:$626,MATCH($A404,'Исходник'!$T:$T,0),MATCH(B$1,'Исходник'!$1:$1,0)))</f>
        <v/>
      </c>
      <c r="C404" s="1" t="str">
        <f t="array" ref="C404">IFERROR(INDEX('Исходник'!$1:$626,MATCH($A404,'Исходник'!$T:$T,0),MATCH(C$1,'Исходник'!$1:$1,0)))</f>
        <v/>
      </c>
      <c r="D404" s="1" t="str">
        <f t="array" ref="D404">IFERROR(INDEX('Исходник'!$1:$626,MATCH($A404,'Исходник'!$T:$T,0),MATCH(D$1,'Исходник'!$1:$1,0)))</f>
        <v/>
      </c>
      <c r="E404" s="1" t="str">
        <f t="array" ref="E404">IFERROR(INDEX('Исходник'!$1:$626,MATCH($A404,'Исходник'!$T:$T,0),MATCH(E$1,'Исходник'!$1:$1,0)))</f>
        <v/>
      </c>
      <c r="F404" s="1" t="str">
        <f t="array" ref="F404">IFERROR(INDEX('Исходник'!$1:$626,MATCH($A404,'Исходник'!$T:$T,0),MATCH(F$1,'Исходник'!$1:$1,0)))</f>
        <v/>
      </c>
      <c r="G404" s="1" t="str">
        <f t="array" ref="G404">IFERROR(INDEX('Исходник'!$1:$626,MATCH($A404,'Исходник'!$T:$T,0),MATCH(G$1,'Исходник'!$1:$1,0)))</f>
        <v/>
      </c>
      <c r="H404" s="27">
        <f t="shared" si="1"/>
        <v>0</v>
      </c>
      <c r="I404" s="27" t="str">
        <f t="shared" si="2"/>
        <v/>
      </c>
      <c r="J404" s="1" t="str">
        <f t="array" ref="J404">IFERROR(INDEX('Исходник'!$1:$626,MATCH($A404,'Исходник'!$T:$T,0),MATCH(J$1,'Исходник'!$1:$1,0)))</f>
        <v/>
      </c>
      <c r="K404" s="27" t="str">
        <f t="shared" si="3"/>
        <v/>
      </c>
      <c r="L404" s="1" t="str">
        <f t="array" ref="L404">IFERROR(INDEX('Исходник'!$1:$626,MATCH($A404,'Исходник'!$T:$T,0),MATCH(L$1,'Исходник'!$1:$1,0)))</f>
        <v/>
      </c>
      <c r="M404" s="28">
        <f t="shared" si="4"/>
        <v>0</v>
      </c>
      <c r="N404" s="1" t="str">
        <f t="array" ref="N404">IFERROR(INDEX('Исходник'!$1:$626,MATCH($A404,'Исходник'!$T:$T,0),MATCH(N$1,'Исходник'!$1:$1,0)))</f>
        <v/>
      </c>
      <c r="O404" s="27">
        <f t="shared" si="5"/>
        <v>0</v>
      </c>
      <c r="P404" s="27" t="str">
        <f t="shared" si="6"/>
        <v/>
      </c>
      <c r="Q404" s="1" t="str">
        <f t="array" ref="Q404">IFERROR(INDEX('Исходник'!$1:$626,MATCH($A404,'Исходник'!$T:$T,0),MATCH(Q$1,'Исходник'!$1:$1,0)))</f>
        <v/>
      </c>
      <c r="R404" s="1" t="str">
        <f t="array" ref="R404">IFERROR(INDEX('Исходник'!$1:$626,MATCH($A404,'Исходник'!$T:$T,0),MATCH(R$1,'Исходник'!$1:$1,0)))</f>
        <v/>
      </c>
      <c r="S404" s="27">
        <f t="shared" si="7"/>
        <v>0</v>
      </c>
      <c r="T404" s="27" t="str">
        <f t="shared" si="8"/>
        <v/>
      </c>
      <c r="U404" s="1" t="str">
        <f t="array" ref="U404">IFERROR(INDEX('Исходник'!$1:$626,MATCH($A404,'Исходник'!$T:$T,0),MATCH(U$1,'Исходник'!$1:$1,0)))</f>
        <v/>
      </c>
      <c r="V404" s="27" t="str">
        <f t="shared" si="9"/>
        <v/>
      </c>
      <c r="W404" s="1" t="str">
        <f t="array" ref="W404">IFERROR(INDEX('Исходник'!$1:$626,MATCH($A404,'Исходник'!$T:$T,0),MATCH(W$1,'Исходник'!$1:$1,0)))</f>
        <v/>
      </c>
      <c r="X404" s="28">
        <f t="shared" si="10"/>
        <v>0</v>
      </c>
      <c r="Y404" s="1" t="str">
        <f t="array" ref="Y404">IFERROR(INDEX('Исходник'!$1:$626,MATCH($A404,'Исходник'!$T:$T,0),MATCH(Y$1,'Исходник'!$1:$1,0)))</f>
        <v/>
      </c>
      <c r="Z404" s="27">
        <f t="shared" si="11"/>
        <v>0</v>
      </c>
      <c r="AA404" s="27" t="str">
        <f t="shared" si="12"/>
        <v/>
      </c>
      <c r="AB404" s="1" t="str">
        <f t="array" ref="AB404">IFERROR(INDEX('Исходник'!$1:$626,MATCH($A404,'Исходник'!$T:$T,0),MATCH(AB$1,'Исходник'!$1:$1,0)))</f>
        <v/>
      </c>
      <c r="AC404" s="1" t="str">
        <f t="array" ref="AC404">IFERROR(INDEX('Исходник'!$1:$626,MATCH($A404,'Исходник'!$T:$T,0),MATCH(AC$1,'Исходник'!$1:$1,0)))</f>
        <v/>
      </c>
      <c r="AD404" s="27" t="str">
        <f t="shared" si="13"/>
        <v/>
      </c>
      <c r="AE404" s="1" t="str">
        <f t="array" ref="AE404">IFERROR(INDEX('Исходник'!$1:$626,MATCH($A404,'Исходник'!$T:$T,0),MATCH(AE$1,'Исходник'!$1:$1,0)))</f>
        <v/>
      </c>
      <c r="AF404" s="1" t="str">
        <f t="array" ref="AF404">IFERROR(INDEX('Исходник'!$1:$626,MATCH($A404,'Исходник'!$T:$T,0),MATCH(AF$1,'Исходник'!$1:$1,0)))</f>
        <v/>
      </c>
      <c r="AG404" s="27" t="str">
        <f t="shared" si="14"/>
        <v/>
      </c>
      <c r="AH404" s="1" t="str">
        <f t="array" ref="AH404">IFERROR(INDEX('Исходник'!$1:$626,MATCH($A404,'Исходник'!$T:$T,0),MATCH(AH$1,'Исходник'!$1:$1,0)))</f>
        <v/>
      </c>
      <c r="AI404" s="1" t="str">
        <f t="array" ref="AI404">IFERROR(INDEX('Исходник'!$1:$626,MATCH($A404,'Исходник'!$T:$T,0),MATCH(AI$1,'Исходник'!$1:$1,0)))</f>
        <v/>
      </c>
      <c r="AJ404" s="18">
        <f t="shared" si="15"/>
        <v>0</v>
      </c>
    </row>
    <row r="405" ht="15.75" customHeight="1">
      <c r="A405" s="27"/>
      <c r="B405" s="1" t="str">
        <f t="array" ref="B405">IFERROR(INDEX('Исходник'!$1:$626,MATCH($A405,'Исходник'!$T:$T,0),MATCH(B$1,'Исходник'!$1:$1,0)))</f>
        <v/>
      </c>
      <c r="C405" s="1" t="str">
        <f t="array" ref="C405">IFERROR(INDEX('Исходник'!$1:$626,MATCH($A405,'Исходник'!$T:$T,0),MATCH(C$1,'Исходник'!$1:$1,0)))</f>
        <v/>
      </c>
      <c r="D405" s="1" t="str">
        <f t="array" ref="D405">IFERROR(INDEX('Исходник'!$1:$626,MATCH($A405,'Исходник'!$T:$T,0),MATCH(D$1,'Исходник'!$1:$1,0)))</f>
        <v/>
      </c>
      <c r="E405" s="1" t="str">
        <f t="array" ref="E405">IFERROR(INDEX('Исходник'!$1:$626,MATCH($A405,'Исходник'!$T:$T,0),MATCH(E$1,'Исходник'!$1:$1,0)))</f>
        <v/>
      </c>
      <c r="F405" s="1" t="str">
        <f t="array" ref="F405">IFERROR(INDEX('Исходник'!$1:$626,MATCH($A405,'Исходник'!$T:$T,0),MATCH(F$1,'Исходник'!$1:$1,0)))</f>
        <v/>
      </c>
      <c r="G405" s="1" t="str">
        <f t="array" ref="G405">IFERROR(INDEX('Исходник'!$1:$626,MATCH($A405,'Исходник'!$T:$T,0),MATCH(G$1,'Исходник'!$1:$1,0)))</f>
        <v/>
      </c>
      <c r="H405" s="27">
        <f t="shared" si="1"/>
        <v>0</v>
      </c>
      <c r="I405" s="27" t="str">
        <f t="shared" si="2"/>
        <v/>
      </c>
      <c r="J405" s="1" t="str">
        <f t="array" ref="J405">IFERROR(INDEX('Исходник'!$1:$626,MATCH($A405,'Исходник'!$T:$T,0),MATCH(J$1,'Исходник'!$1:$1,0)))</f>
        <v/>
      </c>
      <c r="K405" s="27" t="str">
        <f t="shared" si="3"/>
        <v/>
      </c>
      <c r="L405" s="1" t="str">
        <f t="array" ref="L405">IFERROR(INDEX('Исходник'!$1:$626,MATCH($A405,'Исходник'!$T:$T,0),MATCH(L$1,'Исходник'!$1:$1,0)))</f>
        <v/>
      </c>
      <c r="M405" s="28">
        <f t="shared" si="4"/>
        <v>0</v>
      </c>
      <c r="N405" s="1" t="str">
        <f t="array" ref="N405">IFERROR(INDEX('Исходник'!$1:$626,MATCH($A405,'Исходник'!$T:$T,0),MATCH(N$1,'Исходник'!$1:$1,0)))</f>
        <v/>
      </c>
      <c r="O405" s="27">
        <f t="shared" si="5"/>
        <v>0</v>
      </c>
      <c r="P405" s="27" t="str">
        <f t="shared" si="6"/>
        <v/>
      </c>
      <c r="Q405" s="1" t="str">
        <f t="array" ref="Q405">IFERROR(INDEX('Исходник'!$1:$626,MATCH($A405,'Исходник'!$T:$T,0),MATCH(Q$1,'Исходник'!$1:$1,0)))</f>
        <v/>
      </c>
      <c r="R405" s="1" t="str">
        <f t="array" ref="R405">IFERROR(INDEX('Исходник'!$1:$626,MATCH($A405,'Исходник'!$T:$T,0),MATCH(R$1,'Исходник'!$1:$1,0)))</f>
        <v/>
      </c>
      <c r="S405" s="27">
        <f t="shared" si="7"/>
        <v>0</v>
      </c>
      <c r="T405" s="27" t="str">
        <f t="shared" si="8"/>
        <v/>
      </c>
      <c r="U405" s="1" t="str">
        <f t="array" ref="U405">IFERROR(INDEX('Исходник'!$1:$626,MATCH($A405,'Исходник'!$T:$T,0),MATCH(U$1,'Исходник'!$1:$1,0)))</f>
        <v/>
      </c>
      <c r="V405" s="27" t="str">
        <f t="shared" si="9"/>
        <v/>
      </c>
      <c r="W405" s="1" t="str">
        <f t="array" ref="W405">IFERROR(INDEX('Исходник'!$1:$626,MATCH($A405,'Исходник'!$T:$T,0),MATCH(W$1,'Исходник'!$1:$1,0)))</f>
        <v/>
      </c>
      <c r="X405" s="28">
        <f t="shared" si="10"/>
        <v>0</v>
      </c>
      <c r="Y405" s="1" t="str">
        <f t="array" ref="Y405">IFERROR(INDEX('Исходник'!$1:$626,MATCH($A405,'Исходник'!$T:$T,0),MATCH(Y$1,'Исходник'!$1:$1,0)))</f>
        <v/>
      </c>
      <c r="Z405" s="27">
        <f t="shared" si="11"/>
        <v>0</v>
      </c>
      <c r="AA405" s="27" t="str">
        <f t="shared" si="12"/>
        <v/>
      </c>
      <c r="AB405" s="1" t="str">
        <f t="array" ref="AB405">IFERROR(INDEX('Исходник'!$1:$626,MATCH($A405,'Исходник'!$T:$T,0),MATCH(AB$1,'Исходник'!$1:$1,0)))</f>
        <v/>
      </c>
      <c r="AC405" s="1" t="str">
        <f t="array" ref="AC405">IFERROR(INDEX('Исходник'!$1:$626,MATCH($A405,'Исходник'!$T:$T,0),MATCH(AC$1,'Исходник'!$1:$1,0)))</f>
        <v/>
      </c>
      <c r="AD405" s="27" t="str">
        <f t="shared" si="13"/>
        <v/>
      </c>
      <c r="AE405" s="1" t="str">
        <f t="array" ref="AE405">IFERROR(INDEX('Исходник'!$1:$626,MATCH($A405,'Исходник'!$T:$T,0),MATCH(AE$1,'Исходник'!$1:$1,0)))</f>
        <v/>
      </c>
      <c r="AF405" s="1" t="str">
        <f t="array" ref="AF405">IFERROR(INDEX('Исходник'!$1:$626,MATCH($A405,'Исходник'!$T:$T,0),MATCH(AF$1,'Исходник'!$1:$1,0)))</f>
        <v/>
      </c>
      <c r="AG405" s="27" t="str">
        <f t="shared" si="14"/>
        <v/>
      </c>
      <c r="AH405" s="1" t="str">
        <f t="array" ref="AH405">IFERROR(INDEX('Исходник'!$1:$626,MATCH($A405,'Исходник'!$T:$T,0),MATCH(AH$1,'Исходник'!$1:$1,0)))</f>
        <v/>
      </c>
      <c r="AI405" s="1" t="str">
        <f t="array" ref="AI405">IFERROR(INDEX('Исходник'!$1:$626,MATCH($A405,'Исходник'!$T:$T,0),MATCH(AI$1,'Исходник'!$1:$1,0)))</f>
        <v/>
      </c>
      <c r="AJ405" s="18">
        <f t="shared" si="15"/>
        <v>0</v>
      </c>
    </row>
    <row r="406" ht="15.75" customHeight="1">
      <c r="A406" s="27"/>
      <c r="B406" s="1" t="str">
        <f t="array" ref="B406">IFERROR(INDEX('Исходник'!$1:$626,MATCH($A406,'Исходник'!$T:$T,0),MATCH(B$1,'Исходник'!$1:$1,0)))</f>
        <v/>
      </c>
      <c r="C406" s="1" t="str">
        <f t="array" ref="C406">IFERROR(INDEX('Исходник'!$1:$626,MATCH($A406,'Исходник'!$T:$T,0),MATCH(C$1,'Исходник'!$1:$1,0)))</f>
        <v/>
      </c>
      <c r="D406" s="1" t="str">
        <f t="array" ref="D406">IFERROR(INDEX('Исходник'!$1:$626,MATCH($A406,'Исходник'!$T:$T,0),MATCH(D$1,'Исходник'!$1:$1,0)))</f>
        <v/>
      </c>
      <c r="E406" s="1" t="str">
        <f t="array" ref="E406">IFERROR(INDEX('Исходник'!$1:$626,MATCH($A406,'Исходник'!$T:$T,0),MATCH(E$1,'Исходник'!$1:$1,0)))</f>
        <v/>
      </c>
      <c r="F406" s="1" t="str">
        <f t="array" ref="F406">IFERROR(INDEX('Исходник'!$1:$626,MATCH($A406,'Исходник'!$T:$T,0),MATCH(F$1,'Исходник'!$1:$1,0)))</f>
        <v/>
      </c>
      <c r="G406" s="1" t="str">
        <f t="array" ref="G406">IFERROR(INDEX('Исходник'!$1:$626,MATCH($A406,'Исходник'!$T:$T,0),MATCH(G$1,'Исходник'!$1:$1,0)))</f>
        <v/>
      </c>
      <c r="H406" s="27">
        <f t="shared" si="1"/>
        <v>0</v>
      </c>
      <c r="I406" s="27" t="str">
        <f t="shared" si="2"/>
        <v/>
      </c>
      <c r="J406" s="1" t="str">
        <f t="array" ref="J406">IFERROR(INDEX('Исходник'!$1:$626,MATCH($A406,'Исходник'!$T:$T,0),MATCH(J$1,'Исходник'!$1:$1,0)))</f>
        <v/>
      </c>
      <c r="K406" s="27" t="str">
        <f t="shared" si="3"/>
        <v/>
      </c>
      <c r="L406" s="1" t="str">
        <f t="array" ref="L406">IFERROR(INDEX('Исходник'!$1:$626,MATCH($A406,'Исходник'!$T:$T,0),MATCH(L$1,'Исходник'!$1:$1,0)))</f>
        <v/>
      </c>
      <c r="M406" s="28">
        <f t="shared" si="4"/>
        <v>0</v>
      </c>
      <c r="N406" s="1" t="str">
        <f t="array" ref="N406">IFERROR(INDEX('Исходник'!$1:$626,MATCH($A406,'Исходник'!$T:$T,0),MATCH(N$1,'Исходник'!$1:$1,0)))</f>
        <v/>
      </c>
      <c r="O406" s="27">
        <f t="shared" si="5"/>
        <v>0</v>
      </c>
      <c r="P406" s="27" t="str">
        <f t="shared" si="6"/>
        <v/>
      </c>
      <c r="Q406" s="1" t="str">
        <f t="array" ref="Q406">IFERROR(INDEX('Исходник'!$1:$626,MATCH($A406,'Исходник'!$T:$T,0),MATCH(Q$1,'Исходник'!$1:$1,0)))</f>
        <v/>
      </c>
      <c r="R406" s="1" t="str">
        <f t="array" ref="R406">IFERROR(INDEX('Исходник'!$1:$626,MATCH($A406,'Исходник'!$T:$T,0),MATCH(R$1,'Исходник'!$1:$1,0)))</f>
        <v/>
      </c>
      <c r="S406" s="27">
        <f t="shared" si="7"/>
        <v>0</v>
      </c>
      <c r="T406" s="27" t="str">
        <f t="shared" si="8"/>
        <v/>
      </c>
      <c r="U406" s="1" t="str">
        <f t="array" ref="U406">IFERROR(INDEX('Исходник'!$1:$626,MATCH($A406,'Исходник'!$T:$T,0),MATCH(U$1,'Исходник'!$1:$1,0)))</f>
        <v/>
      </c>
      <c r="V406" s="27" t="str">
        <f t="shared" si="9"/>
        <v/>
      </c>
      <c r="W406" s="1" t="str">
        <f t="array" ref="W406">IFERROR(INDEX('Исходник'!$1:$626,MATCH($A406,'Исходник'!$T:$T,0),MATCH(W$1,'Исходник'!$1:$1,0)))</f>
        <v/>
      </c>
      <c r="X406" s="28">
        <f t="shared" si="10"/>
        <v>0</v>
      </c>
      <c r="Y406" s="1" t="str">
        <f t="array" ref="Y406">IFERROR(INDEX('Исходник'!$1:$626,MATCH($A406,'Исходник'!$T:$T,0),MATCH(Y$1,'Исходник'!$1:$1,0)))</f>
        <v/>
      </c>
      <c r="Z406" s="27">
        <f t="shared" si="11"/>
        <v>0</v>
      </c>
      <c r="AA406" s="27" t="str">
        <f t="shared" si="12"/>
        <v/>
      </c>
      <c r="AB406" s="1" t="str">
        <f t="array" ref="AB406">IFERROR(INDEX('Исходник'!$1:$626,MATCH($A406,'Исходник'!$T:$T,0),MATCH(AB$1,'Исходник'!$1:$1,0)))</f>
        <v/>
      </c>
      <c r="AC406" s="1" t="str">
        <f t="array" ref="AC406">IFERROR(INDEX('Исходник'!$1:$626,MATCH($A406,'Исходник'!$T:$T,0),MATCH(AC$1,'Исходник'!$1:$1,0)))</f>
        <v/>
      </c>
      <c r="AD406" s="27" t="str">
        <f t="shared" si="13"/>
        <v/>
      </c>
      <c r="AE406" s="1" t="str">
        <f t="array" ref="AE406">IFERROR(INDEX('Исходник'!$1:$626,MATCH($A406,'Исходник'!$T:$T,0),MATCH(AE$1,'Исходник'!$1:$1,0)))</f>
        <v/>
      </c>
      <c r="AF406" s="1" t="str">
        <f t="array" ref="AF406">IFERROR(INDEX('Исходник'!$1:$626,MATCH($A406,'Исходник'!$T:$T,0),MATCH(AF$1,'Исходник'!$1:$1,0)))</f>
        <v/>
      </c>
      <c r="AG406" s="27" t="str">
        <f t="shared" si="14"/>
        <v/>
      </c>
      <c r="AH406" s="1" t="str">
        <f t="array" ref="AH406">IFERROR(INDEX('Исходник'!$1:$626,MATCH($A406,'Исходник'!$T:$T,0),MATCH(AH$1,'Исходник'!$1:$1,0)))</f>
        <v/>
      </c>
      <c r="AI406" s="1" t="str">
        <f t="array" ref="AI406">IFERROR(INDEX('Исходник'!$1:$626,MATCH($A406,'Исходник'!$T:$T,0),MATCH(AI$1,'Исходник'!$1:$1,0)))</f>
        <v/>
      </c>
      <c r="AJ406" s="18">
        <f t="shared" si="15"/>
        <v>0</v>
      </c>
    </row>
    <row r="407" ht="15.75" customHeight="1">
      <c r="A407" s="27"/>
      <c r="B407" s="1" t="str">
        <f t="array" ref="B407">IFERROR(INDEX('Исходник'!$1:$626,MATCH($A407,'Исходник'!$T:$T,0),MATCH(B$1,'Исходник'!$1:$1,0)))</f>
        <v/>
      </c>
      <c r="C407" s="1" t="str">
        <f t="array" ref="C407">IFERROR(INDEX('Исходник'!$1:$626,MATCH($A407,'Исходник'!$T:$T,0),MATCH(C$1,'Исходник'!$1:$1,0)))</f>
        <v/>
      </c>
      <c r="D407" s="1" t="str">
        <f t="array" ref="D407">IFERROR(INDEX('Исходник'!$1:$626,MATCH($A407,'Исходник'!$T:$T,0),MATCH(D$1,'Исходник'!$1:$1,0)))</f>
        <v/>
      </c>
      <c r="E407" s="1" t="str">
        <f t="array" ref="E407">IFERROR(INDEX('Исходник'!$1:$626,MATCH($A407,'Исходник'!$T:$T,0),MATCH(E$1,'Исходник'!$1:$1,0)))</f>
        <v/>
      </c>
      <c r="F407" s="1" t="str">
        <f t="array" ref="F407">IFERROR(INDEX('Исходник'!$1:$626,MATCH($A407,'Исходник'!$T:$T,0),MATCH(F$1,'Исходник'!$1:$1,0)))</f>
        <v/>
      </c>
      <c r="G407" s="1" t="str">
        <f t="array" ref="G407">IFERROR(INDEX('Исходник'!$1:$626,MATCH($A407,'Исходник'!$T:$T,0),MATCH(G$1,'Исходник'!$1:$1,0)))</f>
        <v/>
      </c>
      <c r="H407" s="27">
        <f t="shared" si="1"/>
        <v>0</v>
      </c>
      <c r="I407" s="27" t="str">
        <f t="shared" si="2"/>
        <v/>
      </c>
      <c r="J407" s="1" t="str">
        <f t="array" ref="J407">IFERROR(INDEX('Исходник'!$1:$626,MATCH($A407,'Исходник'!$T:$T,0),MATCH(J$1,'Исходник'!$1:$1,0)))</f>
        <v/>
      </c>
      <c r="K407" s="27" t="str">
        <f t="shared" si="3"/>
        <v/>
      </c>
      <c r="L407" s="1" t="str">
        <f t="array" ref="L407">IFERROR(INDEX('Исходник'!$1:$626,MATCH($A407,'Исходник'!$T:$T,0),MATCH(L$1,'Исходник'!$1:$1,0)))</f>
        <v/>
      </c>
      <c r="M407" s="28">
        <f t="shared" si="4"/>
        <v>0</v>
      </c>
      <c r="N407" s="1" t="str">
        <f t="array" ref="N407">IFERROR(INDEX('Исходник'!$1:$626,MATCH($A407,'Исходник'!$T:$T,0),MATCH(N$1,'Исходник'!$1:$1,0)))</f>
        <v/>
      </c>
      <c r="O407" s="27">
        <f t="shared" si="5"/>
        <v>0</v>
      </c>
      <c r="P407" s="27" t="str">
        <f t="shared" si="6"/>
        <v/>
      </c>
      <c r="Q407" s="1" t="str">
        <f t="array" ref="Q407">IFERROR(INDEX('Исходник'!$1:$626,MATCH($A407,'Исходник'!$T:$T,0),MATCH(Q$1,'Исходник'!$1:$1,0)))</f>
        <v/>
      </c>
      <c r="R407" s="1" t="str">
        <f t="array" ref="R407">IFERROR(INDEX('Исходник'!$1:$626,MATCH($A407,'Исходник'!$T:$T,0),MATCH(R$1,'Исходник'!$1:$1,0)))</f>
        <v/>
      </c>
      <c r="S407" s="27">
        <f t="shared" si="7"/>
        <v>0</v>
      </c>
      <c r="T407" s="27" t="str">
        <f t="shared" si="8"/>
        <v/>
      </c>
      <c r="U407" s="1" t="str">
        <f t="array" ref="U407">IFERROR(INDEX('Исходник'!$1:$626,MATCH($A407,'Исходник'!$T:$T,0),MATCH(U$1,'Исходник'!$1:$1,0)))</f>
        <v/>
      </c>
      <c r="V407" s="27" t="str">
        <f t="shared" si="9"/>
        <v/>
      </c>
      <c r="W407" s="1" t="str">
        <f t="array" ref="W407">IFERROR(INDEX('Исходник'!$1:$626,MATCH($A407,'Исходник'!$T:$T,0),MATCH(W$1,'Исходник'!$1:$1,0)))</f>
        <v/>
      </c>
      <c r="X407" s="28">
        <f t="shared" si="10"/>
        <v>0</v>
      </c>
      <c r="Y407" s="1" t="str">
        <f t="array" ref="Y407">IFERROR(INDEX('Исходник'!$1:$626,MATCH($A407,'Исходник'!$T:$T,0),MATCH(Y$1,'Исходник'!$1:$1,0)))</f>
        <v/>
      </c>
      <c r="Z407" s="27">
        <f t="shared" si="11"/>
        <v>0</v>
      </c>
      <c r="AA407" s="27" t="str">
        <f t="shared" si="12"/>
        <v/>
      </c>
      <c r="AB407" s="1" t="str">
        <f t="array" ref="AB407">IFERROR(INDEX('Исходник'!$1:$626,MATCH($A407,'Исходник'!$T:$T,0),MATCH(AB$1,'Исходник'!$1:$1,0)))</f>
        <v/>
      </c>
      <c r="AC407" s="1" t="str">
        <f t="array" ref="AC407">IFERROR(INDEX('Исходник'!$1:$626,MATCH($A407,'Исходник'!$T:$T,0),MATCH(AC$1,'Исходник'!$1:$1,0)))</f>
        <v/>
      </c>
      <c r="AD407" s="27" t="str">
        <f t="shared" si="13"/>
        <v/>
      </c>
      <c r="AE407" s="1" t="str">
        <f t="array" ref="AE407">IFERROR(INDEX('Исходник'!$1:$626,MATCH($A407,'Исходник'!$T:$T,0),MATCH(AE$1,'Исходник'!$1:$1,0)))</f>
        <v/>
      </c>
      <c r="AF407" s="1" t="str">
        <f t="array" ref="AF407">IFERROR(INDEX('Исходник'!$1:$626,MATCH($A407,'Исходник'!$T:$T,0),MATCH(AF$1,'Исходник'!$1:$1,0)))</f>
        <v/>
      </c>
      <c r="AG407" s="27" t="str">
        <f t="shared" si="14"/>
        <v/>
      </c>
      <c r="AH407" s="1" t="str">
        <f t="array" ref="AH407">IFERROR(INDEX('Исходник'!$1:$626,MATCH($A407,'Исходник'!$T:$T,0),MATCH(AH$1,'Исходник'!$1:$1,0)))</f>
        <v/>
      </c>
      <c r="AI407" s="1" t="str">
        <f t="array" ref="AI407">IFERROR(INDEX('Исходник'!$1:$626,MATCH($A407,'Исходник'!$T:$T,0),MATCH(AI$1,'Исходник'!$1:$1,0)))</f>
        <v/>
      </c>
      <c r="AJ407" s="18">
        <f t="shared" si="15"/>
        <v>0</v>
      </c>
    </row>
    <row r="408" ht="15.75" customHeight="1">
      <c r="A408" s="27"/>
      <c r="B408" s="1" t="str">
        <f t="array" ref="B408">IFERROR(INDEX('Исходник'!$1:$626,MATCH($A408,'Исходник'!$T:$T,0),MATCH(B$1,'Исходник'!$1:$1,0)))</f>
        <v/>
      </c>
      <c r="C408" s="1" t="str">
        <f t="array" ref="C408">IFERROR(INDEX('Исходник'!$1:$626,MATCH($A408,'Исходник'!$T:$T,0),MATCH(C$1,'Исходник'!$1:$1,0)))</f>
        <v/>
      </c>
      <c r="D408" s="1" t="str">
        <f t="array" ref="D408">IFERROR(INDEX('Исходник'!$1:$626,MATCH($A408,'Исходник'!$T:$T,0),MATCH(D$1,'Исходник'!$1:$1,0)))</f>
        <v/>
      </c>
      <c r="E408" s="1" t="str">
        <f t="array" ref="E408">IFERROR(INDEX('Исходник'!$1:$626,MATCH($A408,'Исходник'!$T:$T,0),MATCH(E$1,'Исходник'!$1:$1,0)))</f>
        <v/>
      </c>
      <c r="F408" s="1" t="str">
        <f t="array" ref="F408">IFERROR(INDEX('Исходник'!$1:$626,MATCH($A408,'Исходник'!$T:$T,0),MATCH(F$1,'Исходник'!$1:$1,0)))</f>
        <v/>
      </c>
      <c r="G408" s="1" t="str">
        <f t="array" ref="G408">IFERROR(INDEX('Исходник'!$1:$626,MATCH($A408,'Исходник'!$T:$T,0),MATCH(G$1,'Исходник'!$1:$1,0)))</f>
        <v/>
      </c>
      <c r="H408" s="27">
        <f t="shared" si="1"/>
        <v>0</v>
      </c>
      <c r="I408" s="27" t="str">
        <f t="shared" si="2"/>
        <v/>
      </c>
      <c r="J408" s="1" t="str">
        <f t="array" ref="J408">IFERROR(INDEX('Исходник'!$1:$626,MATCH($A408,'Исходник'!$T:$T,0),MATCH(J$1,'Исходник'!$1:$1,0)))</f>
        <v/>
      </c>
      <c r="K408" s="27" t="str">
        <f t="shared" si="3"/>
        <v/>
      </c>
      <c r="L408" s="1" t="str">
        <f t="array" ref="L408">IFERROR(INDEX('Исходник'!$1:$626,MATCH($A408,'Исходник'!$T:$T,0),MATCH(L$1,'Исходник'!$1:$1,0)))</f>
        <v/>
      </c>
      <c r="M408" s="28">
        <f t="shared" si="4"/>
        <v>0</v>
      </c>
      <c r="N408" s="1" t="str">
        <f t="array" ref="N408">IFERROR(INDEX('Исходник'!$1:$626,MATCH($A408,'Исходник'!$T:$T,0),MATCH(N$1,'Исходник'!$1:$1,0)))</f>
        <v/>
      </c>
      <c r="O408" s="27">
        <f t="shared" si="5"/>
        <v>0</v>
      </c>
      <c r="P408" s="27" t="str">
        <f t="shared" si="6"/>
        <v/>
      </c>
      <c r="Q408" s="1" t="str">
        <f t="array" ref="Q408">IFERROR(INDEX('Исходник'!$1:$626,MATCH($A408,'Исходник'!$T:$T,0),MATCH(Q$1,'Исходник'!$1:$1,0)))</f>
        <v/>
      </c>
      <c r="R408" s="1" t="str">
        <f t="array" ref="R408">IFERROR(INDEX('Исходник'!$1:$626,MATCH($A408,'Исходник'!$T:$T,0),MATCH(R$1,'Исходник'!$1:$1,0)))</f>
        <v/>
      </c>
      <c r="S408" s="27">
        <f t="shared" si="7"/>
        <v>0</v>
      </c>
      <c r="T408" s="27" t="str">
        <f t="shared" si="8"/>
        <v/>
      </c>
      <c r="U408" s="1" t="str">
        <f t="array" ref="U408">IFERROR(INDEX('Исходник'!$1:$626,MATCH($A408,'Исходник'!$T:$T,0),MATCH(U$1,'Исходник'!$1:$1,0)))</f>
        <v/>
      </c>
      <c r="V408" s="27" t="str">
        <f t="shared" si="9"/>
        <v/>
      </c>
      <c r="W408" s="1" t="str">
        <f t="array" ref="W408">IFERROR(INDEX('Исходник'!$1:$626,MATCH($A408,'Исходник'!$T:$T,0),MATCH(W$1,'Исходник'!$1:$1,0)))</f>
        <v/>
      </c>
      <c r="X408" s="28">
        <f t="shared" si="10"/>
        <v>0</v>
      </c>
      <c r="Y408" s="1" t="str">
        <f t="array" ref="Y408">IFERROR(INDEX('Исходник'!$1:$626,MATCH($A408,'Исходник'!$T:$T,0),MATCH(Y$1,'Исходник'!$1:$1,0)))</f>
        <v/>
      </c>
      <c r="Z408" s="27">
        <f t="shared" si="11"/>
        <v>0</v>
      </c>
      <c r="AA408" s="27" t="str">
        <f t="shared" si="12"/>
        <v/>
      </c>
      <c r="AB408" s="1" t="str">
        <f t="array" ref="AB408">IFERROR(INDEX('Исходник'!$1:$626,MATCH($A408,'Исходник'!$T:$T,0),MATCH(AB$1,'Исходник'!$1:$1,0)))</f>
        <v/>
      </c>
      <c r="AC408" s="1" t="str">
        <f t="array" ref="AC408">IFERROR(INDEX('Исходник'!$1:$626,MATCH($A408,'Исходник'!$T:$T,0),MATCH(AC$1,'Исходник'!$1:$1,0)))</f>
        <v/>
      </c>
      <c r="AD408" s="27" t="str">
        <f t="shared" si="13"/>
        <v/>
      </c>
      <c r="AE408" s="1" t="str">
        <f t="array" ref="AE408">IFERROR(INDEX('Исходник'!$1:$626,MATCH($A408,'Исходник'!$T:$T,0),MATCH(AE$1,'Исходник'!$1:$1,0)))</f>
        <v/>
      </c>
      <c r="AF408" s="1" t="str">
        <f t="array" ref="AF408">IFERROR(INDEX('Исходник'!$1:$626,MATCH($A408,'Исходник'!$T:$T,0),MATCH(AF$1,'Исходник'!$1:$1,0)))</f>
        <v/>
      </c>
      <c r="AG408" s="27" t="str">
        <f t="shared" si="14"/>
        <v/>
      </c>
      <c r="AH408" s="1" t="str">
        <f t="array" ref="AH408">IFERROR(INDEX('Исходник'!$1:$626,MATCH($A408,'Исходник'!$T:$T,0),MATCH(AH$1,'Исходник'!$1:$1,0)))</f>
        <v/>
      </c>
      <c r="AI408" s="1" t="str">
        <f t="array" ref="AI408">IFERROR(INDEX('Исходник'!$1:$626,MATCH($A408,'Исходник'!$T:$T,0),MATCH(AI$1,'Исходник'!$1:$1,0)))</f>
        <v/>
      </c>
      <c r="AJ408" s="18">
        <f t="shared" si="15"/>
        <v>0</v>
      </c>
    </row>
    <row r="409" ht="15.75" customHeight="1">
      <c r="A409" s="27"/>
      <c r="B409" s="1" t="str">
        <f t="array" ref="B409">IFERROR(INDEX('Исходник'!$1:$626,MATCH($A409,'Исходник'!$T:$T,0),MATCH(B$1,'Исходник'!$1:$1,0)))</f>
        <v/>
      </c>
      <c r="C409" s="1" t="str">
        <f t="array" ref="C409">IFERROR(INDEX('Исходник'!$1:$626,MATCH($A409,'Исходник'!$T:$T,0),MATCH(C$1,'Исходник'!$1:$1,0)))</f>
        <v/>
      </c>
      <c r="D409" s="1" t="str">
        <f t="array" ref="D409">IFERROR(INDEX('Исходник'!$1:$626,MATCH($A409,'Исходник'!$T:$T,0),MATCH(D$1,'Исходник'!$1:$1,0)))</f>
        <v/>
      </c>
      <c r="E409" s="1" t="str">
        <f t="array" ref="E409">IFERROR(INDEX('Исходник'!$1:$626,MATCH($A409,'Исходник'!$T:$T,0),MATCH(E$1,'Исходник'!$1:$1,0)))</f>
        <v/>
      </c>
      <c r="F409" s="1" t="str">
        <f t="array" ref="F409">IFERROR(INDEX('Исходник'!$1:$626,MATCH($A409,'Исходник'!$T:$T,0),MATCH(F$1,'Исходник'!$1:$1,0)))</f>
        <v/>
      </c>
      <c r="G409" s="1" t="str">
        <f t="array" ref="G409">IFERROR(INDEX('Исходник'!$1:$626,MATCH($A409,'Исходник'!$T:$T,0),MATCH(G$1,'Исходник'!$1:$1,0)))</f>
        <v/>
      </c>
      <c r="H409" s="27">
        <f t="shared" si="1"/>
        <v>0</v>
      </c>
      <c r="I409" s="27" t="str">
        <f t="shared" si="2"/>
        <v/>
      </c>
      <c r="J409" s="1" t="str">
        <f t="array" ref="J409">IFERROR(INDEX('Исходник'!$1:$626,MATCH($A409,'Исходник'!$T:$T,0),MATCH(J$1,'Исходник'!$1:$1,0)))</f>
        <v/>
      </c>
      <c r="K409" s="27" t="str">
        <f t="shared" si="3"/>
        <v/>
      </c>
      <c r="L409" s="1" t="str">
        <f t="array" ref="L409">IFERROR(INDEX('Исходник'!$1:$626,MATCH($A409,'Исходник'!$T:$T,0),MATCH(L$1,'Исходник'!$1:$1,0)))</f>
        <v/>
      </c>
      <c r="M409" s="28">
        <f t="shared" si="4"/>
        <v>0</v>
      </c>
      <c r="N409" s="1" t="str">
        <f t="array" ref="N409">IFERROR(INDEX('Исходник'!$1:$626,MATCH($A409,'Исходник'!$T:$T,0),MATCH(N$1,'Исходник'!$1:$1,0)))</f>
        <v/>
      </c>
      <c r="O409" s="27">
        <f t="shared" si="5"/>
        <v>0</v>
      </c>
      <c r="P409" s="27" t="str">
        <f t="shared" si="6"/>
        <v/>
      </c>
      <c r="Q409" s="1" t="str">
        <f t="array" ref="Q409">IFERROR(INDEX('Исходник'!$1:$626,MATCH($A409,'Исходник'!$T:$T,0),MATCH(Q$1,'Исходник'!$1:$1,0)))</f>
        <v/>
      </c>
      <c r="R409" s="1" t="str">
        <f t="array" ref="R409">IFERROR(INDEX('Исходник'!$1:$626,MATCH($A409,'Исходник'!$T:$T,0),MATCH(R$1,'Исходник'!$1:$1,0)))</f>
        <v/>
      </c>
      <c r="S409" s="27">
        <f t="shared" si="7"/>
        <v>0</v>
      </c>
      <c r="T409" s="27" t="str">
        <f t="shared" si="8"/>
        <v/>
      </c>
      <c r="U409" s="1" t="str">
        <f t="array" ref="U409">IFERROR(INDEX('Исходник'!$1:$626,MATCH($A409,'Исходник'!$T:$T,0),MATCH(U$1,'Исходник'!$1:$1,0)))</f>
        <v/>
      </c>
      <c r="V409" s="27" t="str">
        <f t="shared" si="9"/>
        <v/>
      </c>
      <c r="W409" s="1" t="str">
        <f t="array" ref="W409">IFERROR(INDEX('Исходник'!$1:$626,MATCH($A409,'Исходник'!$T:$T,0),MATCH(W$1,'Исходник'!$1:$1,0)))</f>
        <v/>
      </c>
      <c r="X409" s="28">
        <f t="shared" si="10"/>
        <v>0</v>
      </c>
      <c r="Y409" s="1" t="str">
        <f t="array" ref="Y409">IFERROR(INDEX('Исходник'!$1:$626,MATCH($A409,'Исходник'!$T:$T,0),MATCH(Y$1,'Исходник'!$1:$1,0)))</f>
        <v/>
      </c>
      <c r="Z409" s="27">
        <f t="shared" si="11"/>
        <v>0</v>
      </c>
      <c r="AA409" s="27" t="str">
        <f t="shared" si="12"/>
        <v/>
      </c>
      <c r="AB409" s="1" t="str">
        <f t="array" ref="AB409">IFERROR(INDEX('Исходник'!$1:$626,MATCH($A409,'Исходник'!$T:$T,0),MATCH(AB$1,'Исходник'!$1:$1,0)))</f>
        <v/>
      </c>
      <c r="AC409" s="1" t="str">
        <f t="array" ref="AC409">IFERROR(INDEX('Исходник'!$1:$626,MATCH($A409,'Исходник'!$T:$T,0),MATCH(AC$1,'Исходник'!$1:$1,0)))</f>
        <v/>
      </c>
      <c r="AD409" s="27" t="str">
        <f t="shared" si="13"/>
        <v/>
      </c>
      <c r="AE409" s="1" t="str">
        <f t="array" ref="AE409">IFERROR(INDEX('Исходник'!$1:$626,MATCH($A409,'Исходник'!$T:$T,0),MATCH(AE$1,'Исходник'!$1:$1,0)))</f>
        <v/>
      </c>
      <c r="AF409" s="1" t="str">
        <f t="array" ref="AF409">IFERROR(INDEX('Исходник'!$1:$626,MATCH($A409,'Исходник'!$T:$T,0),MATCH(AF$1,'Исходник'!$1:$1,0)))</f>
        <v/>
      </c>
      <c r="AG409" s="27" t="str">
        <f t="shared" si="14"/>
        <v/>
      </c>
      <c r="AH409" s="1" t="str">
        <f t="array" ref="AH409">IFERROR(INDEX('Исходник'!$1:$626,MATCH($A409,'Исходник'!$T:$T,0),MATCH(AH$1,'Исходник'!$1:$1,0)))</f>
        <v/>
      </c>
      <c r="AI409" s="1" t="str">
        <f t="array" ref="AI409">IFERROR(INDEX('Исходник'!$1:$626,MATCH($A409,'Исходник'!$T:$T,0),MATCH(AI$1,'Исходник'!$1:$1,0)))</f>
        <v/>
      </c>
      <c r="AJ409" s="18">
        <f t="shared" si="15"/>
        <v>0</v>
      </c>
    </row>
    <row r="410" ht="15.75" customHeight="1">
      <c r="A410" s="27"/>
      <c r="B410" s="1" t="str">
        <f t="array" ref="B410">IFERROR(INDEX('Исходник'!$1:$626,MATCH($A410,'Исходник'!$T:$T,0),MATCH(B$1,'Исходник'!$1:$1,0)))</f>
        <v/>
      </c>
      <c r="C410" s="1" t="str">
        <f t="array" ref="C410">IFERROR(INDEX('Исходник'!$1:$626,MATCH($A410,'Исходник'!$T:$T,0),MATCH(C$1,'Исходник'!$1:$1,0)))</f>
        <v/>
      </c>
      <c r="D410" s="1" t="str">
        <f t="array" ref="D410">IFERROR(INDEX('Исходник'!$1:$626,MATCH($A410,'Исходник'!$T:$T,0),MATCH(D$1,'Исходник'!$1:$1,0)))</f>
        <v/>
      </c>
      <c r="E410" s="1" t="str">
        <f t="array" ref="E410">IFERROR(INDEX('Исходник'!$1:$626,MATCH($A410,'Исходник'!$T:$T,0),MATCH(E$1,'Исходник'!$1:$1,0)))</f>
        <v/>
      </c>
      <c r="F410" s="1" t="str">
        <f t="array" ref="F410">IFERROR(INDEX('Исходник'!$1:$626,MATCH($A410,'Исходник'!$T:$T,0),MATCH(F$1,'Исходник'!$1:$1,0)))</f>
        <v/>
      </c>
      <c r="G410" s="1" t="str">
        <f t="array" ref="G410">IFERROR(INDEX('Исходник'!$1:$626,MATCH($A410,'Исходник'!$T:$T,0),MATCH(G$1,'Исходник'!$1:$1,0)))</f>
        <v/>
      </c>
      <c r="H410" s="27">
        <f t="shared" si="1"/>
        <v>0</v>
      </c>
      <c r="I410" s="27" t="str">
        <f t="shared" si="2"/>
        <v/>
      </c>
      <c r="J410" s="1" t="str">
        <f t="array" ref="J410">IFERROR(INDEX('Исходник'!$1:$626,MATCH($A410,'Исходник'!$T:$T,0),MATCH(J$1,'Исходник'!$1:$1,0)))</f>
        <v/>
      </c>
      <c r="K410" s="27" t="str">
        <f t="shared" si="3"/>
        <v/>
      </c>
      <c r="L410" s="1" t="str">
        <f t="array" ref="L410">IFERROR(INDEX('Исходник'!$1:$626,MATCH($A410,'Исходник'!$T:$T,0),MATCH(L$1,'Исходник'!$1:$1,0)))</f>
        <v/>
      </c>
      <c r="M410" s="28">
        <f t="shared" si="4"/>
        <v>0</v>
      </c>
      <c r="N410" s="1" t="str">
        <f t="array" ref="N410">IFERROR(INDEX('Исходник'!$1:$626,MATCH($A410,'Исходник'!$T:$T,0),MATCH(N$1,'Исходник'!$1:$1,0)))</f>
        <v/>
      </c>
      <c r="O410" s="27">
        <f t="shared" si="5"/>
        <v>0</v>
      </c>
      <c r="P410" s="27" t="str">
        <f t="shared" si="6"/>
        <v/>
      </c>
      <c r="Q410" s="1" t="str">
        <f t="array" ref="Q410">IFERROR(INDEX('Исходник'!$1:$626,MATCH($A410,'Исходник'!$T:$T,0),MATCH(Q$1,'Исходник'!$1:$1,0)))</f>
        <v/>
      </c>
      <c r="R410" s="1" t="str">
        <f t="array" ref="R410">IFERROR(INDEX('Исходник'!$1:$626,MATCH($A410,'Исходник'!$T:$T,0),MATCH(R$1,'Исходник'!$1:$1,0)))</f>
        <v/>
      </c>
      <c r="S410" s="27">
        <f t="shared" si="7"/>
        <v>0</v>
      </c>
      <c r="T410" s="27" t="str">
        <f t="shared" si="8"/>
        <v/>
      </c>
      <c r="U410" s="1" t="str">
        <f t="array" ref="U410">IFERROR(INDEX('Исходник'!$1:$626,MATCH($A410,'Исходник'!$T:$T,0),MATCH(U$1,'Исходник'!$1:$1,0)))</f>
        <v/>
      </c>
      <c r="V410" s="27" t="str">
        <f t="shared" si="9"/>
        <v/>
      </c>
      <c r="W410" s="1" t="str">
        <f t="array" ref="W410">IFERROR(INDEX('Исходник'!$1:$626,MATCH($A410,'Исходник'!$T:$T,0),MATCH(W$1,'Исходник'!$1:$1,0)))</f>
        <v/>
      </c>
      <c r="X410" s="28">
        <f t="shared" si="10"/>
        <v>0</v>
      </c>
      <c r="Y410" s="1" t="str">
        <f t="array" ref="Y410">IFERROR(INDEX('Исходник'!$1:$626,MATCH($A410,'Исходник'!$T:$T,0),MATCH(Y$1,'Исходник'!$1:$1,0)))</f>
        <v/>
      </c>
      <c r="Z410" s="27">
        <f t="shared" si="11"/>
        <v>0</v>
      </c>
      <c r="AA410" s="27" t="str">
        <f t="shared" si="12"/>
        <v/>
      </c>
      <c r="AB410" s="1" t="str">
        <f t="array" ref="AB410">IFERROR(INDEX('Исходник'!$1:$626,MATCH($A410,'Исходник'!$T:$T,0),MATCH(AB$1,'Исходник'!$1:$1,0)))</f>
        <v/>
      </c>
      <c r="AC410" s="1" t="str">
        <f t="array" ref="AC410">IFERROR(INDEX('Исходник'!$1:$626,MATCH($A410,'Исходник'!$T:$T,0),MATCH(AC$1,'Исходник'!$1:$1,0)))</f>
        <v/>
      </c>
      <c r="AD410" s="27" t="str">
        <f t="shared" si="13"/>
        <v/>
      </c>
      <c r="AE410" s="1" t="str">
        <f t="array" ref="AE410">IFERROR(INDEX('Исходник'!$1:$626,MATCH($A410,'Исходник'!$T:$T,0),MATCH(AE$1,'Исходник'!$1:$1,0)))</f>
        <v/>
      </c>
      <c r="AF410" s="1" t="str">
        <f t="array" ref="AF410">IFERROR(INDEX('Исходник'!$1:$626,MATCH($A410,'Исходник'!$T:$T,0),MATCH(AF$1,'Исходник'!$1:$1,0)))</f>
        <v/>
      </c>
      <c r="AG410" s="27" t="str">
        <f t="shared" si="14"/>
        <v/>
      </c>
      <c r="AH410" s="1" t="str">
        <f t="array" ref="AH410">IFERROR(INDEX('Исходник'!$1:$626,MATCH($A410,'Исходник'!$T:$T,0),MATCH(AH$1,'Исходник'!$1:$1,0)))</f>
        <v/>
      </c>
      <c r="AI410" s="1" t="str">
        <f t="array" ref="AI410">IFERROR(INDEX('Исходник'!$1:$626,MATCH($A410,'Исходник'!$T:$T,0),MATCH(AI$1,'Исходник'!$1:$1,0)))</f>
        <v/>
      </c>
      <c r="AJ410" s="18">
        <f t="shared" si="15"/>
        <v>0</v>
      </c>
    </row>
    <row r="411" ht="15.75" customHeight="1">
      <c r="A411" s="27"/>
      <c r="B411" s="1" t="str">
        <f t="array" ref="B411">IFERROR(INDEX('Исходник'!$1:$626,MATCH($A411,'Исходник'!$T:$T,0),MATCH(B$1,'Исходник'!$1:$1,0)))</f>
        <v/>
      </c>
      <c r="C411" s="1" t="str">
        <f t="array" ref="C411">IFERROR(INDEX('Исходник'!$1:$626,MATCH($A411,'Исходник'!$T:$T,0),MATCH(C$1,'Исходник'!$1:$1,0)))</f>
        <v/>
      </c>
      <c r="D411" s="1" t="str">
        <f t="array" ref="D411">IFERROR(INDEX('Исходник'!$1:$626,MATCH($A411,'Исходник'!$T:$T,0),MATCH(D$1,'Исходник'!$1:$1,0)))</f>
        <v/>
      </c>
      <c r="E411" s="1" t="str">
        <f t="array" ref="E411">IFERROR(INDEX('Исходник'!$1:$626,MATCH($A411,'Исходник'!$T:$T,0),MATCH(E$1,'Исходник'!$1:$1,0)))</f>
        <v/>
      </c>
      <c r="F411" s="1" t="str">
        <f t="array" ref="F411">IFERROR(INDEX('Исходник'!$1:$626,MATCH($A411,'Исходник'!$T:$T,0),MATCH(F$1,'Исходник'!$1:$1,0)))</f>
        <v/>
      </c>
      <c r="G411" s="1" t="str">
        <f t="array" ref="G411">IFERROR(INDEX('Исходник'!$1:$626,MATCH($A411,'Исходник'!$T:$T,0),MATCH(G$1,'Исходник'!$1:$1,0)))</f>
        <v/>
      </c>
      <c r="H411" s="27">
        <f t="shared" si="1"/>
        <v>0</v>
      </c>
      <c r="I411" s="27" t="str">
        <f t="shared" si="2"/>
        <v/>
      </c>
      <c r="J411" s="1" t="str">
        <f t="array" ref="J411">IFERROR(INDEX('Исходник'!$1:$626,MATCH($A411,'Исходник'!$T:$T,0),MATCH(J$1,'Исходник'!$1:$1,0)))</f>
        <v/>
      </c>
      <c r="K411" s="27" t="str">
        <f t="shared" si="3"/>
        <v/>
      </c>
      <c r="L411" s="1" t="str">
        <f t="array" ref="L411">IFERROR(INDEX('Исходник'!$1:$626,MATCH($A411,'Исходник'!$T:$T,0),MATCH(L$1,'Исходник'!$1:$1,0)))</f>
        <v/>
      </c>
      <c r="M411" s="28">
        <f t="shared" si="4"/>
        <v>0</v>
      </c>
      <c r="N411" s="1" t="str">
        <f t="array" ref="N411">IFERROR(INDEX('Исходник'!$1:$626,MATCH($A411,'Исходник'!$T:$T,0),MATCH(N$1,'Исходник'!$1:$1,0)))</f>
        <v/>
      </c>
      <c r="O411" s="27">
        <f t="shared" si="5"/>
        <v>0</v>
      </c>
      <c r="P411" s="27" t="str">
        <f t="shared" si="6"/>
        <v/>
      </c>
      <c r="Q411" s="1" t="str">
        <f t="array" ref="Q411">IFERROR(INDEX('Исходник'!$1:$626,MATCH($A411,'Исходник'!$T:$T,0),MATCH(Q$1,'Исходник'!$1:$1,0)))</f>
        <v/>
      </c>
      <c r="R411" s="1" t="str">
        <f t="array" ref="R411">IFERROR(INDEX('Исходник'!$1:$626,MATCH($A411,'Исходник'!$T:$T,0),MATCH(R$1,'Исходник'!$1:$1,0)))</f>
        <v/>
      </c>
      <c r="S411" s="27">
        <f t="shared" si="7"/>
        <v>0</v>
      </c>
      <c r="T411" s="27" t="str">
        <f t="shared" si="8"/>
        <v/>
      </c>
      <c r="U411" s="1" t="str">
        <f t="array" ref="U411">IFERROR(INDEX('Исходник'!$1:$626,MATCH($A411,'Исходник'!$T:$T,0),MATCH(U$1,'Исходник'!$1:$1,0)))</f>
        <v/>
      </c>
      <c r="V411" s="27" t="str">
        <f t="shared" si="9"/>
        <v/>
      </c>
      <c r="W411" s="1" t="str">
        <f t="array" ref="W411">IFERROR(INDEX('Исходник'!$1:$626,MATCH($A411,'Исходник'!$T:$T,0),MATCH(W$1,'Исходник'!$1:$1,0)))</f>
        <v/>
      </c>
      <c r="X411" s="28">
        <f t="shared" si="10"/>
        <v>0</v>
      </c>
      <c r="Y411" s="1" t="str">
        <f t="array" ref="Y411">IFERROR(INDEX('Исходник'!$1:$626,MATCH($A411,'Исходник'!$T:$T,0),MATCH(Y$1,'Исходник'!$1:$1,0)))</f>
        <v/>
      </c>
      <c r="Z411" s="27">
        <f t="shared" si="11"/>
        <v>0</v>
      </c>
      <c r="AA411" s="27" t="str">
        <f t="shared" si="12"/>
        <v/>
      </c>
      <c r="AB411" s="1" t="str">
        <f t="array" ref="AB411">IFERROR(INDEX('Исходник'!$1:$626,MATCH($A411,'Исходник'!$T:$T,0),MATCH(AB$1,'Исходник'!$1:$1,0)))</f>
        <v/>
      </c>
      <c r="AC411" s="1" t="str">
        <f t="array" ref="AC411">IFERROR(INDEX('Исходник'!$1:$626,MATCH($A411,'Исходник'!$T:$T,0),MATCH(AC$1,'Исходник'!$1:$1,0)))</f>
        <v/>
      </c>
      <c r="AD411" s="27" t="str">
        <f t="shared" si="13"/>
        <v/>
      </c>
      <c r="AE411" s="1" t="str">
        <f t="array" ref="AE411">IFERROR(INDEX('Исходник'!$1:$626,MATCH($A411,'Исходник'!$T:$T,0),MATCH(AE$1,'Исходник'!$1:$1,0)))</f>
        <v/>
      </c>
      <c r="AF411" s="1" t="str">
        <f t="array" ref="AF411">IFERROR(INDEX('Исходник'!$1:$626,MATCH($A411,'Исходник'!$T:$T,0),MATCH(AF$1,'Исходник'!$1:$1,0)))</f>
        <v/>
      </c>
      <c r="AG411" s="27" t="str">
        <f t="shared" si="14"/>
        <v/>
      </c>
      <c r="AH411" s="1" t="str">
        <f t="array" ref="AH411">IFERROR(INDEX('Исходник'!$1:$626,MATCH($A411,'Исходник'!$T:$T,0),MATCH(AH$1,'Исходник'!$1:$1,0)))</f>
        <v/>
      </c>
      <c r="AI411" s="1" t="str">
        <f t="array" ref="AI411">IFERROR(INDEX('Исходник'!$1:$626,MATCH($A411,'Исходник'!$T:$T,0),MATCH(AI$1,'Исходник'!$1:$1,0)))</f>
        <v/>
      </c>
      <c r="AJ411" s="18">
        <f t="shared" si="15"/>
        <v>0</v>
      </c>
    </row>
    <row r="412" ht="15.75" customHeight="1">
      <c r="A412" s="27"/>
      <c r="B412" s="1" t="str">
        <f t="array" ref="B412">IFERROR(INDEX('Исходник'!$1:$626,MATCH($A412,'Исходник'!$T:$T,0),MATCH(B$1,'Исходник'!$1:$1,0)))</f>
        <v/>
      </c>
      <c r="C412" s="1" t="str">
        <f t="array" ref="C412">IFERROR(INDEX('Исходник'!$1:$626,MATCH($A412,'Исходник'!$T:$T,0),MATCH(C$1,'Исходник'!$1:$1,0)))</f>
        <v/>
      </c>
      <c r="D412" s="1" t="str">
        <f t="array" ref="D412">IFERROR(INDEX('Исходник'!$1:$626,MATCH($A412,'Исходник'!$T:$T,0),MATCH(D$1,'Исходник'!$1:$1,0)))</f>
        <v/>
      </c>
      <c r="E412" s="1" t="str">
        <f t="array" ref="E412">IFERROR(INDEX('Исходник'!$1:$626,MATCH($A412,'Исходник'!$T:$T,0),MATCH(E$1,'Исходник'!$1:$1,0)))</f>
        <v/>
      </c>
      <c r="F412" s="1" t="str">
        <f t="array" ref="F412">IFERROR(INDEX('Исходник'!$1:$626,MATCH($A412,'Исходник'!$T:$T,0),MATCH(F$1,'Исходник'!$1:$1,0)))</f>
        <v/>
      </c>
      <c r="G412" s="1" t="str">
        <f t="array" ref="G412">IFERROR(INDEX('Исходник'!$1:$626,MATCH($A412,'Исходник'!$T:$T,0),MATCH(G$1,'Исходник'!$1:$1,0)))</f>
        <v/>
      </c>
      <c r="H412" s="27">
        <f t="shared" si="1"/>
        <v>0</v>
      </c>
      <c r="I412" s="27" t="str">
        <f t="shared" si="2"/>
        <v/>
      </c>
      <c r="J412" s="1" t="str">
        <f t="array" ref="J412">IFERROR(INDEX('Исходник'!$1:$626,MATCH($A412,'Исходник'!$T:$T,0),MATCH(J$1,'Исходник'!$1:$1,0)))</f>
        <v/>
      </c>
      <c r="K412" s="27" t="str">
        <f t="shared" si="3"/>
        <v/>
      </c>
      <c r="L412" s="1" t="str">
        <f t="array" ref="L412">IFERROR(INDEX('Исходник'!$1:$626,MATCH($A412,'Исходник'!$T:$T,0),MATCH(L$1,'Исходник'!$1:$1,0)))</f>
        <v/>
      </c>
      <c r="M412" s="28">
        <f t="shared" si="4"/>
        <v>0</v>
      </c>
      <c r="N412" s="1" t="str">
        <f t="array" ref="N412">IFERROR(INDEX('Исходник'!$1:$626,MATCH($A412,'Исходник'!$T:$T,0),MATCH(N$1,'Исходник'!$1:$1,0)))</f>
        <v/>
      </c>
      <c r="O412" s="27">
        <f t="shared" si="5"/>
        <v>0</v>
      </c>
      <c r="P412" s="27" t="str">
        <f t="shared" si="6"/>
        <v/>
      </c>
      <c r="Q412" s="1" t="str">
        <f t="array" ref="Q412">IFERROR(INDEX('Исходник'!$1:$626,MATCH($A412,'Исходник'!$T:$T,0),MATCH(Q$1,'Исходник'!$1:$1,0)))</f>
        <v/>
      </c>
      <c r="R412" s="1" t="str">
        <f t="array" ref="R412">IFERROR(INDEX('Исходник'!$1:$626,MATCH($A412,'Исходник'!$T:$T,0),MATCH(R$1,'Исходник'!$1:$1,0)))</f>
        <v/>
      </c>
      <c r="S412" s="27">
        <f t="shared" si="7"/>
        <v>0</v>
      </c>
      <c r="T412" s="27" t="str">
        <f t="shared" si="8"/>
        <v/>
      </c>
      <c r="U412" s="1" t="str">
        <f t="array" ref="U412">IFERROR(INDEX('Исходник'!$1:$626,MATCH($A412,'Исходник'!$T:$T,0),MATCH(U$1,'Исходник'!$1:$1,0)))</f>
        <v/>
      </c>
      <c r="V412" s="27" t="str">
        <f t="shared" si="9"/>
        <v/>
      </c>
      <c r="W412" s="1" t="str">
        <f t="array" ref="W412">IFERROR(INDEX('Исходник'!$1:$626,MATCH($A412,'Исходник'!$T:$T,0),MATCH(W$1,'Исходник'!$1:$1,0)))</f>
        <v/>
      </c>
      <c r="X412" s="28">
        <f t="shared" si="10"/>
        <v>0</v>
      </c>
      <c r="Y412" s="1" t="str">
        <f t="array" ref="Y412">IFERROR(INDEX('Исходник'!$1:$626,MATCH($A412,'Исходник'!$T:$T,0),MATCH(Y$1,'Исходник'!$1:$1,0)))</f>
        <v/>
      </c>
      <c r="Z412" s="27">
        <f t="shared" si="11"/>
        <v>0</v>
      </c>
      <c r="AA412" s="27" t="str">
        <f t="shared" si="12"/>
        <v/>
      </c>
      <c r="AB412" s="1" t="str">
        <f t="array" ref="AB412">IFERROR(INDEX('Исходник'!$1:$626,MATCH($A412,'Исходник'!$T:$T,0),MATCH(AB$1,'Исходник'!$1:$1,0)))</f>
        <v/>
      </c>
      <c r="AC412" s="1" t="str">
        <f t="array" ref="AC412">IFERROR(INDEX('Исходник'!$1:$626,MATCH($A412,'Исходник'!$T:$T,0),MATCH(AC$1,'Исходник'!$1:$1,0)))</f>
        <v/>
      </c>
      <c r="AD412" s="27" t="str">
        <f t="shared" si="13"/>
        <v/>
      </c>
      <c r="AE412" s="1" t="str">
        <f t="array" ref="AE412">IFERROR(INDEX('Исходник'!$1:$626,MATCH($A412,'Исходник'!$T:$T,0),MATCH(AE$1,'Исходник'!$1:$1,0)))</f>
        <v/>
      </c>
      <c r="AF412" s="1" t="str">
        <f t="array" ref="AF412">IFERROR(INDEX('Исходник'!$1:$626,MATCH($A412,'Исходник'!$T:$T,0),MATCH(AF$1,'Исходник'!$1:$1,0)))</f>
        <v/>
      </c>
      <c r="AG412" s="27" t="str">
        <f t="shared" si="14"/>
        <v/>
      </c>
      <c r="AH412" s="1" t="str">
        <f t="array" ref="AH412">IFERROR(INDEX('Исходник'!$1:$626,MATCH($A412,'Исходник'!$T:$T,0),MATCH(AH$1,'Исходник'!$1:$1,0)))</f>
        <v/>
      </c>
      <c r="AI412" s="1" t="str">
        <f t="array" ref="AI412">IFERROR(INDEX('Исходник'!$1:$626,MATCH($A412,'Исходник'!$T:$T,0),MATCH(AI$1,'Исходник'!$1:$1,0)))</f>
        <v/>
      </c>
      <c r="AJ412" s="18">
        <f t="shared" si="15"/>
        <v>0</v>
      </c>
    </row>
    <row r="413" ht="15.75" customHeight="1">
      <c r="A413" s="27"/>
      <c r="B413" s="1" t="str">
        <f t="array" ref="B413">IFERROR(INDEX('Исходник'!$1:$626,MATCH($A413,'Исходник'!$T:$T,0),MATCH(B$1,'Исходник'!$1:$1,0)))</f>
        <v/>
      </c>
      <c r="C413" s="1" t="str">
        <f t="array" ref="C413">IFERROR(INDEX('Исходник'!$1:$626,MATCH($A413,'Исходник'!$T:$T,0),MATCH(C$1,'Исходник'!$1:$1,0)))</f>
        <v/>
      </c>
      <c r="D413" s="1" t="str">
        <f t="array" ref="D413">IFERROR(INDEX('Исходник'!$1:$626,MATCH($A413,'Исходник'!$T:$T,0),MATCH(D$1,'Исходник'!$1:$1,0)))</f>
        <v/>
      </c>
      <c r="E413" s="1" t="str">
        <f t="array" ref="E413">IFERROR(INDEX('Исходник'!$1:$626,MATCH($A413,'Исходник'!$T:$T,0),MATCH(E$1,'Исходник'!$1:$1,0)))</f>
        <v/>
      </c>
      <c r="F413" s="1" t="str">
        <f t="array" ref="F413">IFERROR(INDEX('Исходник'!$1:$626,MATCH($A413,'Исходник'!$T:$T,0),MATCH(F$1,'Исходник'!$1:$1,0)))</f>
        <v/>
      </c>
      <c r="G413" s="1" t="str">
        <f t="array" ref="G413">IFERROR(INDEX('Исходник'!$1:$626,MATCH($A413,'Исходник'!$T:$T,0),MATCH(G$1,'Исходник'!$1:$1,0)))</f>
        <v/>
      </c>
      <c r="H413" s="27">
        <f t="shared" si="1"/>
        <v>0</v>
      </c>
      <c r="I413" s="27" t="str">
        <f t="shared" si="2"/>
        <v/>
      </c>
      <c r="J413" s="1" t="str">
        <f t="array" ref="J413">IFERROR(INDEX('Исходник'!$1:$626,MATCH($A413,'Исходник'!$T:$T,0),MATCH(J$1,'Исходник'!$1:$1,0)))</f>
        <v/>
      </c>
      <c r="K413" s="27" t="str">
        <f t="shared" si="3"/>
        <v/>
      </c>
      <c r="L413" s="1" t="str">
        <f t="array" ref="L413">IFERROR(INDEX('Исходник'!$1:$626,MATCH($A413,'Исходник'!$T:$T,0),MATCH(L$1,'Исходник'!$1:$1,0)))</f>
        <v/>
      </c>
      <c r="M413" s="28">
        <f t="shared" si="4"/>
        <v>0</v>
      </c>
      <c r="N413" s="1" t="str">
        <f t="array" ref="N413">IFERROR(INDEX('Исходник'!$1:$626,MATCH($A413,'Исходник'!$T:$T,0),MATCH(N$1,'Исходник'!$1:$1,0)))</f>
        <v/>
      </c>
      <c r="O413" s="27">
        <f t="shared" si="5"/>
        <v>0</v>
      </c>
      <c r="P413" s="27" t="str">
        <f t="shared" si="6"/>
        <v/>
      </c>
      <c r="Q413" s="1" t="str">
        <f t="array" ref="Q413">IFERROR(INDEX('Исходник'!$1:$626,MATCH($A413,'Исходник'!$T:$T,0),MATCH(Q$1,'Исходник'!$1:$1,0)))</f>
        <v/>
      </c>
      <c r="R413" s="1" t="str">
        <f t="array" ref="R413">IFERROR(INDEX('Исходник'!$1:$626,MATCH($A413,'Исходник'!$T:$T,0),MATCH(R$1,'Исходник'!$1:$1,0)))</f>
        <v/>
      </c>
      <c r="S413" s="27">
        <f t="shared" si="7"/>
        <v>0</v>
      </c>
      <c r="T413" s="27" t="str">
        <f t="shared" si="8"/>
        <v/>
      </c>
      <c r="U413" s="1" t="str">
        <f t="array" ref="U413">IFERROR(INDEX('Исходник'!$1:$626,MATCH($A413,'Исходник'!$T:$T,0),MATCH(U$1,'Исходник'!$1:$1,0)))</f>
        <v/>
      </c>
      <c r="V413" s="27" t="str">
        <f t="shared" si="9"/>
        <v/>
      </c>
      <c r="W413" s="1" t="str">
        <f t="array" ref="W413">IFERROR(INDEX('Исходник'!$1:$626,MATCH($A413,'Исходник'!$T:$T,0),MATCH(W$1,'Исходник'!$1:$1,0)))</f>
        <v/>
      </c>
      <c r="X413" s="28">
        <f t="shared" si="10"/>
        <v>0</v>
      </c>
      <c r="Y413" s="1" t="str">
        <f t="array" ref="Y413">IFERROR(INDEX('Исходник'!$1:$626,MATCH($A413,'Исходник'!$T:$T,0),MATCH(Y$1,'Исходник'!$1:$1,0)))</f>
        <v/>
      </c>
      <c r="Z413" s="27">
        <f t="shared" si="11"/>
        <v>0</v>
      </c>
      <c r="AA413" s="27" t="str">
        <f t="shared" si="12"/>
        <v/>
      </c>
      <c r="AB413" s="1" t="str">
        <f t="array" ref="AB413">IFERROR(INDEX('Исходник'!$1:$626,MATCH($A413,'Исходник'!$T:$T,0),MATCH(AB$1,'Исходник'!$1:$1,0)))</f>
        <v/>
      </c>
      <c r="AC413" s="1" t="str">
        <f t="array" ref="AC413">IFERROR(INDEX('Исходник'!$1:$626,MATCH($A413,'Исходник'!$T:$T,0),MATCH(AC$1,'Исходник'!$1:$1,0)))</f>
        <v/>
      </c>
      <c r="AD413" s="27" t="str">
        <f t="shared" si="13"/>
        <v/>
      </c>
      <c r="AE413" s="1" t="str">
        <f t="array" ref="AE413">IFERROR(INDEX('Исходник'!$1:$626,MATCH($A413,'Исходник'!$T:$T,0),MATCH(AE$1,'Исходник'!$1:$1,0)))</f>
        <v/>
      </c>
      <c r="AF413" s="1" t="str">
        <f t="array" ref="AF413">IFERROR(INDEX('Исходник'!$1:$626,MATCH($A413,'Исходник'!$T:$T,0),MATCH(AF$1,'Исходник'!$1:$1,0)))</f>
        <v/>
      </c>
      <c r="AG413" s="27" t="str">
        <f t="shared" si="14"/>
        <v/>
      </c>
      <c r="AH413" s="1" t="str">
        <f t="array" ref="AH413">IFERROR(INDEX('Исходник'!$1:$626,MATCH($A413,'Исходник'!$T:$T,0),MATCH(AH$1,'Исходник'!$1:$1,0)))</f>
        <v/>
      </c>
      <c r="AI413" s="1" t="str">
        <f t="array" ref="AI413">IFERROR(INDEX('Исходник'!$1:$626,MATCH($A413,'Исходник'!$T:$T,0),MATCH(AI$1,'Исходник'!$1:$1,0)))</f>
        <v/>
      </c>
      <c r="AJ413" s="18">
        <f t="shared" si="15"/>
        <v>0</v>
      </c>
    </row>
    <row r="414" ht="15.75" customHeight="1">
      <c r="A414" s="27"/>
      <c r="B414" s="1" t="str">
        <f t="array" ref="B414">IFERROR(INDEX('Исходник'!$1:$626,MATCH($A414,'Исходник'!$T:$T,0),MATCH(B$1,'Исходник'!$1:$1,0)))</f>
        <v/>
      </c>
      <c r="C414" s="1" t="str">
        <f t="array" ref="C414">IFERROR(INDEX('Исходник'!$1:$626,MATCH($A414,'Исходник'!$T:$T,0),MATCH(C$1,'Исходник'!$1:$1,0)))</f>
        <v/>
      </c>
      <c r="D414" s="1" t="str">
        <f t="array" ref="D414">IFERROR(INDEX('Исходник'!$1:$626,MATCH($A414,'Исходник'!$T:$T,0),MATCH(D$1,'Исходник'!$1:$1,0)))</f>
        <v/>
      </c>
      <c r="E414" s="1" t="str">
        <f t="array" ref="E414">IFERROR(INDEX('Исходник'!$1:$626,MATCH($A414,'Исходник'!$T:$T,0),MATCH(E$1,'Исходник'!$1:$1,0)))</f>
        <v/>
      </c>
      <c r="F414" s="1" t="str">
        <f t="array" ref="F414">IFERROR(INDEX('Исходник'!$1:$626,MATCH($A414,'Исходник'!$T:$T,0),MATCH(F$1,'Исходник'!$1:$1,0)))</f>
        <v/>
      </c>
      <c r="G414" s="1" t="str">
        <f t="array" ref="G414">IFERROR(INDEX('Исходник'!$1:$626,MATCH($A414,'Исходник'!$T:$T,0),MATCH(G$1,'Исходник'!$1:$1,0)))</f>
        <v/>
      </c>
      <c r="H414" s="27">
        <f t="shared" si="1"/>
        <v>0</v>
      </c>
      <c r="I414" s="27" t="str">
        <f t="shared" si="2"/>
        <v/>
      </c>
      <c r="J414" s="1" t="str">
        <f t="array" ref="J414">IFERROR(INDEX('Исходник'!$1:$626,MATCH($A414,'Исходник'!$T:$T,0),MATCH(J$1,'Исходник'!$1:$1,0)))</f>
        <v/>
      </c>
      <c r="K414" s="27" t="str">
        <f t="shared" si="3"/>
        <v/>
      </c>
      <c r="L414" s="1" t="str">
        <f t="array" ref="L414">IFERROR(INDEX('Исходник'!$1:$626,MATCH($A414,'Исходник'!$T:$T,0),MATCH(L$1,'Исходник'!$1:$1,0)))</f>
        <v/>
      </c>
      <c r="M414" s="28">
        <f t="shared" si="4"/>
        <v>0</v>
      </c>
      <c r="N414" s="1" t="str">
        <f t="array" ref="N414">IFERROR(INDEX('Исходник'!$1:$626,MATCH($A414,'Исходник'!$T:$T,0),MATCH(N$1,'Исходник'!$1:$1,0)))</f>
        <v/>
      </c>
      <c r="O414" s="27">
        <f t="shared" si="5"/>
        <v>0</v>
      </c>
      <c r="P414" s="27" t="str">
        <f t="shared" si="6"/>
        <v/>
      </c>
      <c r="Q414" s="1" t="str">
        <f t="array" ref="Q414">IFERROR(INDEX('Исходник'!$1:$626,MATCH($A414,'Исходник'!$T:$T,0),MATCH(Q$1,'Исходник'!$1:$1,0)))</f>
        <v/>
      </c>
      <c r="R414" s="1" t="str">
        <f t="array" ref="R414">IFERROR(INDEX('Исходник'!$1:$626,MATCH($A414,'Исходник'!$T:$T,0),MATCH(R$1,'Исходник'!$1:$1,0)))</f>
        <v/>
      </c>
      <c r="S414" s="27">
        <f t="shared" si="7"/>
        <v>0</v>
      </c>
      <c r="T414" s="27" t="str">
        <f t="shared" si="8"/>
        <v/>
      </c>
      <c r="U414" s="1" t="str">
        <f t="array" ref="U414">IFERROR(INDEX('Исходник'!$1:$626,MATCH($A414,'Исходник'!$T:$T,0),MATCH(U$1,'Исходник'!$1:$1,0)))</f>
        <v/>
      </c>
      <c r="V414" s="27" t="str">
        <f t="shared" si="9"/>
        <v/>
      </c>
      <c r="W414" s="1" t="str">
        <f t="array" ref="W414">IFERROR(INDEX('Исходник'!$1:$626,MATCH($A414,'Исходник'!$T:$T,0),MATCH(W$1,'Исходник'!$1:$1,0)))</f>
        <v/>
      </c>
      <c r="X414" s="28">
        <f t="shared" si="10"/>
        <v>0</v>
      </c>
      <c r="Y414" s="1" t="str">
        <f t="array" ref="Y414">IFERROR(INDEX('Исходник'!$1:$626,MATCH($A414,'Исходник'!$T:$T,0),MATCH(Y$1,'Исходник'!$1:$1,0)))</f>
        <v/>
      </c>
      <c r="Z414" s="27">
        <f t="shared" si="11"/>
        <v>0</v>
      </c>
      <c r="AA414" s="27" t="str">
        <f t="shared" si="12"/>
        <v/>
      </c>
      <c r="AB414" s="1" t="str">
        <f t="array" ref="AB414">IFERROR(INDEX('Исходник'!$1:$626,MATCH($A414,'Исходник'!$T:$T,0),MATCH(AB$1,'Исходник'!$1:$1,0)))</f>
        <v/>
      </c>
      <c r="AC414" s="1" t="str">
        <f t="array" ref="AC414">IFERROR(INDEX('Исходник'!$1:$626,MATCH($A414,'Исходник'!$T:$T,0),MATCH(AC$1,'Исходник'!$1:$1,0)))</f>
        <v/>
      </c>
      <c r="AD414" s="27" t="str">
        <f t="shared" si="13"/>
        <v/>
      </c>
      <c r="AE414" s="1" t="str">
        <f t="array" ref="AE414">IFERROR(INDEX('Исходник'!$1:$626,MATCH($A414,'Исходник'!$T:$T,0),MATCH(AE$1,'Исходник'!$1:$1,0)))</f>
        <v/>
      </c>
      <c r="AF414" s="1" t="str">
        <f t="array" ref="AF414">IFERROR(INDEX('Исходник'!$1:$626,MATCH($A414,'Исходник'!$T:$T,0),MATCH(AF$1,'Исходник'!$1:$1,0)))</f>
        <v/>
      </c>
      <c r="AG414" s="27" t="str">
        <f t="shared" si="14"/>
        <v/>
      </c>
      <c r="AH414" s="1" t="str">
        <f t="array" ref="AH414">IFERROR(INDEX('Исходник'!$1:$626,MATCH($A414,'Исходник'!$T:$T,0),MATCH(AH$1,'Исходник'!$1:$1,0)))</f>
        <v/>
      </c>
      <c r="AI414" s="1" t="str">
        <f t="array" ref="AI414">IFERROR(INDEX('Исходник'!$1:$626,MATCH($A414,'Исходник'!$T:$T,0),MATCH(AI$1,'Исходник'!$1:$1,0)))</f>
        <v/>
      </c>
      <c r="AJ414" s="18">
        <f t="shared" si="15"/>
        <v>0</v>
      </c>
    </row>
    <row r="415" ht="15.75" customHeight="1">
      <c r="A415" s="27"/>
      <c r="B415" s="1" t="str">
        <f t="array" ref="B415">IFERROR(INDEX('Исходник'!$1:$626,MATCH($A415,'Исходник'!$T:$T,0),MATCH(B$1,'Исходник'!$1:$1,0)))</f>
        <v/>
      </c>
      <c r="C415" s="1" t="str">
        <f t="array" ref="C415">IFERROR(INDEX('Исходник'!$1:$626,MATCH($A415,'Исходник'!$T:$T,0),MATCH(C$1,'Исходник'!$1:$1,0)))</f>
        <v/>
      </c>
      <c r="D415" s="1" t="str">
        <f t="array" ref="D415">IFERROR(INDEX('Исходник'!$1:$626,MATCH($A415,'Исходник'!$T:$T,0),MATCH(D$1,'Исходник'!$1:$1,0)))</f>
        <v/>
      </c>
      <c r="E415" s="1" t="str">
        <f t="array" ref="E415">IFERROR(INDEX('Исходник'!$1:$626,MATCH($A415,'Исходник'!$T:$T,0),MATCH(E$1,'Исходник'!$1:$1,0)))</f>
        <v/>
      </c>
      <c r="F415" s="1" t="str">
        <f t="array" ref="F415">IFERROR(INDEX('Исходник'!$1:$626,MATCH($A415,'Исходник'!$T:$T,0),MATCH(F$1,'Исходник'!$1:$1,0)))</f>
        <v/>
      </c>
      <c r="G415" s="1" t="str">
        <f t="array" ref="G415">IFERROR(INDEX('Исходник'!$1:$626,MATCH($A415,'Исходник'!$T:$T,0),MATCH(G$1,'Исходник'!$1:$1,0)))</f>
        <v/>
      </c>
      <c r="H415" s="27">
        <f t="shared" si="1"/>
        <v>0</v>
      </c>
      <c r="I415" s="27" t="str">
        <f t="shared" si="2"/>
        <v/>
      </c>
      <c r="J415" s="1" t="str">
        <f t="array" ref="J415">IFERROR(INDEX('Исходник'!$1:$626,MATCH($A415,'Исходник'!$T:$T,0),MATCH(J$1,'Исходник'!$1:$1,0)))</f>
        <v/>
      </c>
      <c r="K415" s="27" t="str">
        <f t="shared" si="3"/>
        <v/>
      </c>
      <c r="L415" s="1" t="str">
        <f t="array" ref="L415">IFERROR(INDEX('Исходник'!$1:$626,MATCH($A415,'Исходник'!$T:$T,0),MATCH(L$1,'Исходник'!$1:$1,0)))</f>
        <v/>
      </c>
      <c r="M415" s="28">
        <f t="shared" si="4"/>
        <v>0</v>
      </c>
      <c r="N415" s="1" t="str">
        <f t="array" ref="N415">IFERROR(INDEX('Исходник'!$1:$626,MATCH($A415,'Исходник'!$T:$T,0),MATCH(N$1,'Исходник'!$1:$1,0)))</f>
        <v/>
      </c>
      <c r="O415" s="27">
        <f t="shared" si="5"/>
        <v>0</v>
      </c>
      <c r="P415" s="27" t="str">
        <f t="shared" si="6"/>
        <v/>
      </c>
      <c r="Q415" s="1" t="str">
        <f t="array" ref="Q415">IFERROR(INDEX('Исходник'!$1:$626,MATCH($A415,'Исходник'!$T:$T,0),MATCH(Q$1,'Исходник'!$1:$1,0)))</f>
        <v/>
      </c>
      <c r="R415" s="1" t="str">
        <f t="array" ref="R415">IFERROR(INDEX('Исходник'!$1:$626,MATCH($A415,'Исходник'!$T:$T,0),MATCH(R$1,'Исходник'!$1:$1,0)))</f>
        <v/>
      </c>
      <c r="S415" s="27">
        <f t="shared" si="7"/>
        <v>0</v>
      </c>
      <c r="T415" s="27" t="str">
        <f t="shared" si="8"/>
        <v/>
      </c>
      <c r="U415" s="1" t="str">
        <f t="array" ref="U415">IFERROR(INDEX('Исходник'!$1:$626,MATCH($A415,'Исходник'!$T:$T,0),MATCH(U$1,'Исходник'!$1:$1,0)))</f>
        <v/>
      </c>
      <c r="V415" s="27" t="str">
        <f t="shared" si="9"/>
        <v/>
      </c>
      <c r="W415" s="1" t="str">
        <f t="array" ref="W415">IFERROR(INDEX('Исходник'!$1:$626,MATCH($A415,'Исходник'!$T:$T,0),MATCH(W$1,'Исходник'!$1:$1,0)))</f>
        <v/>
      </c>
      <c r="X415" s="28">
        <f t="shared" si="10"/>
        <v>0</v>
      </c>
      <c r="Y415" s="1" t="str">
        <f t="array" ref="Y415">IFERROR(INDEX('Исходник'!$1:$626,MATCH($A415,'Исходник'!$T:$T,0),MATCH(Y$1,'Исходник'!$1:$1,0)))</f>
        <v/>
      </c>
      <c r="Z415" s="27">
        <f t="shared" si="11"/>
        <v>0</v>
      </c>
      <c r="AA415" s="27" t="str">
        <f t="shared" si="12"/>
        <v/>
      </c>
      <c r="AB415" s="1" t="str">
        <f t="array" ref="AB415">IFERROR(INDEX('Исходник'!$1:$626,MATCH($A415,'Исходник'!$T:$T,0),MATCH(AB$1,'Исходник'!$1:$1,0)))</f>
        <v/>
      </c>
      <c r="AC415" s="1" t="str">
        <f t="array" ref="AC415">IFERROR(INDEX('Исходник'!$1:$626,MATCH($A415,'Исходник'!$T:$T,0),MATCH(AC$1,'Исходник'!$1:$1,0)))</f>
        <v/>
      </c>
      <c r="AD415" s="27" t="str">
        <f t="shared" si="13"/>
        <v/>
      </c>
      <c r="AE415" s="1" t="str">
        <f t="array" ref="AE415">IFERROR(INDEX('Исходник'!$1:$626,MATCH($A415,'Исходник'!$T:$T,0),MATCH(AE$1,'Исходник'!$1:$1,0)))</f>
        <v/>
      </c>
      <c r="AF415" s="1" t="str">
        <f t="array" ref="AF415">IFERROR(INDEX('Исходник'!$1:$626,MATCH($A415,'Исходник'!$T:$T,0),MATCH(AF$1,'Исходник'!$1:$1,0)))</f>
        <v/>
      </c>
      <c r="AG415" s="27" t="str">
        <f t="shared" si="14"/>
        <v/>
      </c>
      <c r="AH415" s="1" t="str">
        <f t="array" ref="AH415">IFERROR(INDEX('Исходник'!$1:$626,MATCH($A415,'Исходник'!$T:$T,0),MATCH(AH$1,'Исходник'!$1:$1,0)))</f>
        <v/>
      </c>
      <c r="AI415" s="1" t="str">
        <f t="array" ref="AI415">IFERROR(INDEX('Исходник'!$1:$626,MATCH($A415,'Исходник'!$T:$T,0),MATCH(AI$1,'Исходник'!$1:$1,0)))</f>
        <v/>
      </c>
      <c r="AJ415" s="18">
        <f t="shared" si="15"/>
        <v>0</v>
      </c>
    </row>
    <row r="416" ht="15.75" customHeight="1">
      <c r="A416" s="27"/>
      <c r="B416" s="1" t="str">
        <f t="array" ref="B416">IFERROR(INDEX('Исходник'!$1:$626,MATCH($A416,'Исходник'!$T:$T,0),MATCH(B$1,'Исходник'!$1:$1,0)))</f>
        <v/>
      </c>
      <c r="C416" s="1" t="str">
        <f t="array" ref="C416">IFERROR(INDEX('Исходник'!$1:$626,MATCH($A416,'Исходник'!$T:$T,0),MATCH(C$1,'Исходник'!$1:$1,0)))</f>
        <v/>
      </c>
      <c r="D416" s="1" t="str">
        <f t="array" ref="D416">IFERROR(INDEX('Исходник'!$1:$626,MATCH($A416,'Исходник'!$T:$T,0),MATCH(D$1,'Исходник'!$1:$1,0)))</f>
        <v/>
      </c>
      <c r="E416" s="1" t="str">
        <f t="array" ref="E416">IFERROR(INDEX('Исходник'!$1:$626,MATCH($A416,'Исходник'!$T:$T,0),MATCH(E$1,'Исходник'!$1:$1,0)))</f>
        <v/>
      </c>
      <c r="F416" s="1" t="str">
        <f t="array" ref="F416">IFERROR(INDEX('Исходник'!$1:$626,MATCH($A416,'Исходник'!$T:$T,0),MATCH(F$1,'Исходник'!$1:$1,0)))</f>
        <v/>
      </c>
      <c r="G416" s="1" t="str">
        <f t="array" ref="G416">IFERROR(INDEX('Исходник'!$1:$626,MATCH($A416,'Исходник'!$T:$T,0),MATCH(G$1,'Исходник'!$1:$1,0)))</f>
        <v/>
      </c>
      <c r="H416" s="27">
        <f t="shared" si="1"/>
        <v>0</v>
      </c>
      <c r="I416" s="27" t="str">
        <f t="shared" si="2"/>
        <v/>
      </c>
      <c r="J416" s="1" t="str">
        <f t="array" ref="J416">IFERROR(INDEX('Исходник'!$1:$626,MATCH($A416,'Исходник'!$T:$T,0),MATCH(J$1,'Исходник'!$1:$1,0)))</f>
        <v/>
      </c>
      <c r="K416" s="27" t="str">
        <f t="shared" si="3"/>
        <v/>
      </c>
      <c r="L416" s="1" t="str">
        <f t="array" ref="L416">IFERROR(INDEX('Исходник'!$1:$626,MATCH($A416,'Исходник'!$T:$T,0),MATCH(L$1,'Исходник'!$1:$1,0)))</f>
        <v/>
      </c>
      <c r="M416" s="28">
        <f t="shared" si="4"/>
        <v>0</v>
      </c>
      <c r="N416" s="1" t="str">
        <f t="array" ref="N416">IFERROR(INDEX('Исходник'!$1:$626,MATCH($A416,'Исходник'!$T:$T,0),MATCH(N$1,'Исходник'!$1:$1,0)))</f>
        <v/>
      </c>
      <c r="O416" s="27">
        <f t="shared" si="5"/>
        <v>0</v>
      </c>
      <c r="P416" s="27" t="str">
        <f t="shared" si="6"/>
        <v/>
      </c>
      <c r="Q416" s="1" t="str">
        <f t="array" ref="Q416">IFERROR(INDEX('Исходник'!$1:$626,MATCH($A416,'Исходник'!$T:$T,0),MATCH(Q$1,'Исходник'!$1:$1,0)))</f>
        <v/>
      </c>
      <c r="R416" s="1" t="str">
        <f t="array" ref="R416">IFERROR(INDEX('Исходник'!$1:$626,MATCH($A416,'Исходник'!$T:$T,0),MATCH(R$1,'Исходник'!$1:$1,0)))</f>
        <v/>
      </c>
      <c r="S416" s="27">
        <f t="shared" si="7"/>
        <v>0</v>
      </c>
      <c r="T416" s="27" t="str">
        <f t="shared" si="8"/>
        <v/>
      </c>
      <c r="U416" s="1" t="str">
        <f t="array" ref="U416">IFERROR(INDEX('Исходник'!$1:$626,MATCH($A416,'Исходник'!$T:$T,0),MATCH(U$1,'Исходник'!$1:$1,0)))</f>
        <v/>
      </c>
      <c r="V416" s="27" t="str">
        <f t="shared" si="9"/>
        <v/>
      </c>
      <c r="W416" s="1" t="str">
        <f t="array" ref="W416">IFERROR(INDEX('Исходник'!$1:$626,MATCH($A416,'Исходник'!$T:$T,0),MATCH(W$1,'Исходник'!$1:$1,0)))</f>
        <v/>
      </c>
      <c r="X416" s="28">
        <f t="shared" si="10"/>
        <v>0</v>
      </c>
      <c r="Y416" s="1" t="str">
        <f t="array" ref="Y416">IFERROR(INDEX('Исходник'!$1:$626,MATCH($A416,'Исходник'!$T:$T,0),MATCH(Y$1,'Исходник'!$1:$1,0)))</f>
        <v/>
      </c>
      <c r="Z416" s="27">
        <f t="shared" si="11"/>
        <v>0</v>
      </c>
      <c r="AA416" s="27" t="str">
        <f t="shared" si="12"/>
        <v/>
      </c>
      <c r="AB416" s="1" t="str">
        <f t="array" ref="AB416">IFERROR(INDEX('Исходник'!$1:$626,MATCH($A416,'Исходник'!$T:$T,0),MATCH(AB$1,'Исходник'!$1:$1,0)))</f>
        <v/>
      </c>
      <c r="AC416" s="1" t="str">
        <f t="array" ref="AC416">IFERROR(INDEX('Исходник'!$1:$626,MATCH($A416,'Исходник'!$T:$T,0),MATCH(AC$1,'Исходник'!$1:$1,0)))</f>
        <v/>
      </c>
      <c r="AD416" s="27" t="str">
        <f t="shared" si="13"/>
        <v/>
      </c>
      <c r="AE416" s="1" t="str">
        <f t="array" ref="AE416">IFERROR(INDEX('Исходник'!$1:$626,MATCH($A416,'Исходник'!$T:$T,0),MATCH(AE$1,'Исходник'!$1:$1,0)))</f>
        <v/>
      </c>
      <c r="AF416" s="1" t="str">
        <f t="array" ref="AF416">IFERROR(INDEX('Исходник'!$1:$626,MATCH($A416,'Исходник'!$T:$T,0),MATCH(AF$1,'Исходник'!$1:$1,0)))</f>
        <v/>
      </c>
      <c r="AG416" s="27" t="str">
        <f t="shared" si="14"/>
        <v/>
      </c>
      <c r="AH416" s="1" t="str">
        <f t="array" ref="AH416">IFERROR(INDEX('Исходник'!$1:$626,MATCH($A416,'Исходник'!$T:$T,0),MATCH(AH$1,'Исходник'!$1:$1,0)))</f>
        <v/>
      </c>
      <c r="AI416" s="1" t="str">
        <f t="array" ref="AI416">IFERROR(INDEX('Исходник'!$1:$626,MATCH($A416,'Исходник'!$T:$T,0),MATCH(AI$1,'Исходник'!$1:$1,0)))</f>
        <v/>
      </c>
      <c r="AJ416" s="18">
        <f t="shared" si="15"/>
        <v>0</v>
      </c>
    </row>
    <row r="417" ht="15.75" customHeight="1">
      <c r="A417" s="27"/>
      <c r="B417" s="1" t="str">
        <f t="array" ref="B417">IFERROR(INDEX('Исходник'!$1:$626,MATCH($A417,'Исходник'!$T:$T,0),MATCH(B$1,'Исходник'!$1:$1,0)))</f>
        <v/>
      </c>
      <c r="C417" s="1" t="str">
        <f t="array" ref="C417">IFERROR(INDEX('Исходник'!$1:$626,MATCH($A417,'Исходник'!$T:$T,0),MATCH(C$1,'Исходник'!$1:$1,0)))</f>
        <v/>
      </c>
      <c r="D417" s="1" t="str">
        <f t="array" ref="D417">IFERROR(INDEX('Исходник'!$1:$626,MATCH($A417,'Исходник'!$T:$T,0),MATCH(D$1,'Исходник'!$1:$1,0)))</f>
        <v/>
      </c>
      <c r="E417" s="1" t="str">
        <f t="array" ref="E417">IFERROR(INDEX('Исходник'!$1:$626,MATCH($A417,'Исходник'!$T:$T,0),MATCH(E$1,'Исходник'!$1:$1,0)))</f>
        <v/>
      </c>
      <c r="F417" s="1" t="str">
        <f t="array" ref="F417">IFERROR(INDEX('Исходник'!$1:$626,MATCH($A417,'Исходник'!$T:$T,0),MATCH(F$1,'Исходник'!$1:$1,0)))</f>
        <v/>
      </c>
      <c r="G417" s="1" t="str">
        <f t="array" ref="G417">IFERROR(INDEX('Исходник'!$1:$626,MATCH($A417,'Исходник'!$T:$T,0),MATCH(G$1,'Исходник'!$1:$1,0)))</f>
        <v/>
      </c>
      <c r="H417" s="27">
        <f t="shared" si="1"/>
        <v>0</v>
      </c>
      <c r="I417" s="27" t="str">
        <f t="shared" si="2"/>
        <v/>
      </c>
      <c r="J417" s="1" t="str">
        <f t="array" ref="J417">IFERROR(INDEX('Исходник'!$1:$626,MATCH($A417,'Исходник'!$T:$T,0),MATCH(J$1,'Исходник'!$1:$1,0)))</f>
        <v/>
      </c>
      <c r="K417" s="27" t="str">
        <f t="shared" si="3"/>
        <v/>
      </c>
      <c r="L417" s="1" t="str">
        <f t="array" ref="L417">IFERROR(INDEX('Исходник'!$1:$626,MATCH($A417,'Исходник'!$T:$T,0),MATCH(L$1,'Исходник'!$1:$1,0)))</f>
        <v/>
      </c>
      <c r="M417" s="28">
        <f t="shared" si="4"/>
        <v>0</v>
      </c>
      <c r="N417" s="1" t="str">
        <f t="array" ref="N417">IFERROR(INDEX('Исходник'!$1:$626,MATCH($A417,'Исходник'!$T:$T,0),MATCH(N$1,'Исходник'!$1:$1,0)))</f>
        <v/>
      </c>
      <c r="O417" s="27">
        <f t="shared" si="5"/>
        <v>0</v>
      </c>
      <c r="P417" s="27" t="str">
        <f t="shared" si="6"/>
        <v/>
      </c>
      <c r="Q417" s="1" t="str">
        <f t="array" ref="Q417">IFERROR(INDEX('Исходник'!$1:$626,MATCH($A417,'Исходник'!$T:$T,0),MATCH(Q$1,'Исходник'!$1:$1,0)))</f>
        <v/>
      </c>
      <c r="R417" s="1" t="str">
        <f t="array" ref="R417">IFERROR(INDEX('Исходник'!$1:$626,MATCH($A417,'Исходник'!$T:$T,0),MATCH(R$1,'Исходник'!$1:$1,0)))</f>
        <v/>
      </c>
      <c r="S417" s="27">
        <f t="shared" si="7"/>
        <v>0</v>
      </c>
      <c r="T417" s="27" t="str">
        <f t="shared" si="8"/>
        <v/>
      </c>
      <c r="U417" s="1" t="str">
        <f t="array" ref="U417">IFERROR(INDEX('Исходник'!$1:$626,MATCH($A417,'Исходник'!$T:$T,0),MATCH(U$1,'Исходник'!$1:$1,0)))</f>
        <v/>
      </c>
      <c r="V417" s="27" t="str">
        <f t="shared" si="9"/>
        <v/>
      </c>
      <c r="W417" s="1" t="str">
        <f t="array" ref="W417">IFERROR(INDEX('Исходник'!$1:$626,MATCH($A417,'Исходник'!$T:$T,0),MATCH(W$1,'Исходник'!$1:$1,0)))</f>
        <v/>
      </c>
      <c r="X417" s="28">
        <f t="shared" si="10"/>
        <v>0</v>
      </c>
      <c r="Y417" s="1" t="str">
        <f t="array" ref="Y417">IFERROR(INDEX('Исходник'!$1:$626,MATCH($A417,'Исходник'!$T:$T,0),MATCH(Y$1,'Исходник'!$1:$1,0)))</f>
        <v/>
      </c>
      <c r="Z417" s="27">
        <f t="shared" si="11"/>
        <v>0</v>
      </c>
      <c r="AA417" s="27" t="str">
        <f t="shared" si="12"/>
        <v/>
      </c>
      <c r="AB417" s="1" t="str">
        <f t="array" ref="AB417">IFERROR(INDEX('Исходник'!$1:$626,MATCH($A417,'Исходник'!$T:$T,0),MATCH(AB$1,'Исходник'!$1:$1,0)))</f>
        <v/>
      </c>
      <c r="AC417" s="1" t="str">
        <f t="array" ref="AC417">IFERROR(INDEX('Исходник'!$1:$626,MATCH($A417,'Исходник'!$T:$T,0),MATCH(AC$1,'Исходник'!$1:$1,0)))</f>
        <v/>
      </c>
      <c r="AD417" s="27" t="str">
        <f t="shared" si="13"/>
        <v/>
      </c>
      <c r="AE417" s="1" t="str">
        <f t="array" ref="AE417">IFERROR(INDEX('Исходник'!$1:$626,MATCH($A417,'Исходник'!$T:$T,0),MATCH(AE$1,'Исходник'!$1:$1,0)))</f>
        <v/>
      </c>
      <c r="AF417" s="1" t="str">
        <f t="array" ref="AF417">IFERROR(INDEX('Исходник'!$1:$626,MATCH($A417,'Исходник'!$T:$T,0),MATCH(AF$1,'Исходник'!$1:$1,0)))</f>
        <v/>
      </c>
      <c r="AG417" s="27" t="str">
        <f t="shared" si="14"/>
        <v/>
      </c>
      <c r="AH417" s="1" t="str">
        <f t="array" ref="AH417">IFERROR(INDEX('Исходник'!$1:$626,MATCH($A417,'Исходник'!$T:$T,0),MATCH(AH$1,'Исходник'!$1:$1,0)))</f>
        <v/>
      </c>
      <c r="AI417" s="1" t="str">
        <f t="array" ref="AI417">IFERROR(INDEX('Исходник'!$1:$626,MATCH($A417,'Исходник'!$T:$T,0),MATCH(AI$1,'Исходник'!$1:$1,0)))</f>
        <v/>
      </c>
      <c r="AJ417" s="18">
        <f t="shared" si="15"/>
        <v>0</v>
      </c>
    </row>
    <row r="418" ht="15.75" customHeight="1">
      <c r="A418" s="27"/>
      <c r="B418" s="1" t="str">
        <f t="array" ref="B418">IFERROR(INDEX('Исходник'!$1:$626,MATCH($A418,'Исходник'!$T:$T,0),MATCH(B$1,'Исходник'!$1:$1,0)))</f>
        <v/>
      </c>
      <c r="C418" s="1" t="str">
        <f t="array" ref="C418">IFERROR(INDEX('Исходник'!$1:$626,MATCH($A418,'Исходник'!$T:$T,0),MATCH(C$1,'Исходник'!$1:$1,0)))</f>
        <v/>
      </c>
      <c r="D418" s="1" t="str">
        <f t="array" ref="D418">IFERROR(INDEX('Исходник'!$1:$626,MATCH($A418,'Исходник'!$T:$T,0),MATCH(D$1,'Исходник'!$1:$1,0)))</f>
        <v/>
      </c>
      <c r="E418" s="1" t="str">
        <f t="array" ref="E418">IFERROR(INDEX('Исходник'!$1:$626,MATCH($A418,'Исходник'!$T:$T,0),MATCH(E$1,'Исходник'!$1:$1,0)))</f>
        <v/>
      </c>
      <c r="F418" s="1" t="str">
        <f t="array" ref="F418">IFERROR(INDEX('Исходник'!$1:$626,MATCH($A418,'Исходник'!$T:$T,0),MATCH(F$1,'Исходник'!$1:$1,0)))</f>
        <v/>
      </c>
      <c r="G418" s="1" t="str">
        <f t="array" ref="G418">IFERROR(INDEX('Исходник'!$1:$626,MATCH($A418,'Исходник'!$T:$T,0),MATCH(G$1,'Исходник'!$1:$1,0)))</f>
        <v/>
      </c>
      <c r="H418" s="27">
        <f t="shared" si="1"/>
        <v>0</v>
      </c>
      <c r="I418" s="27" t="str">
        <f t="shared" si="2"/>
        <v/>
      </c>
      <c r="J418" s="1" t="str">
        <f t="array" ref="J418">IFERROR(INDEX('Исходник'!$1:$626,MATCH($A418,'Исходник'!$T:$T,0),MATCH(J$1,'Исходник'!$1:$1,0)))</f>
        <v/>
      </c>
      <c r="K418" s="27" t="str">
        <f t="shared" si="3"/>
        <v/>
      </c>
      <c r="L418" s="1" t="str">
        <f t="array" ref="L418">IFERROR(INDEX('Исходник'!$1:$626,MATCH($A418,'Исходник'!$T:$T,0),MATCH(L$1,'Исходник'!$1:$1,0)))</f>
        <v/>
      </c>
      <c r="M418" s="28">
        <f t="shared" si="4"/>
        <v>0</v>
      </c>
      <c r="N418" s="1" t="str">
        <f t="array" ref="N418">IFERROR(INDEX('Исходник'!$1:$626,MATCH($A418,'Исходник'!$T:$T,0),MATCH(N$1,'Исходник'!$1:$1,0)))</f>
        <v/>
      </c>
      <c r="O418" s="27">
        <f t="shared" si="5"/>
        <v>0</v>
      </c>
      <c r="P418" s="27" t="str">
        <f t="shared" si="6"/>
        <v/>
      </c>
      <c r="Q418" s="1" t="str">
        <f t="array" ref="Q418">IFERROR(INDEX('Исходник'!$1:$626,MATCH($A418,'Исходник'!$T:$T,0),MATCH(Q$1,'Исходник'!$1:$1,0)))</f>
        <v/>
      </c>
      <c r="R418" s="1" t="str">
        <f t="array" ref="R418">IFERROR(INDEX('Исходник'!$1:$626,MATCH($A418,'Исходник'!$T:$T,0),MATCH(R$1,'Исходник'!$1:$1,0)))</f>
        <v/>
      </c>
      <c r="S418" s="27">
        <f t="shared" si="7"/>
        <v>0</v>
      </c>
      <c r="T418" s="27" t="str">
        <f t="shared" si="8"/>
        <v/>
      </c>
      <c r="U418" s="1" t="str">
        <f t="array" ref="U418">IFERROR(INDEX('Исходник'!$1:$626,MATCH($A418,'Исходник'!$T:$T,0),MATCH(U$1,'Исходник'!$1:$1,0)))</f>
        <v/>
      </c>
      <c r="V418" s="27" t="str">
        <f t="shared" si="9"/>
        <v/>
      </c>
      <c r="W418" s="1" t="str">
        <f t="array" ref="W418">IFERROR(INDEX('Исходник'!$1:$626,MATCH($A418,'Исходник'!$T:$T,0),MATCH(W$1,'Исходник'!$1:$1,0)))</f>
        <v/>
      </c>
      <c r="X418" s="28">
        <f t="shared" si="10"/>
        <v>0</v>
      </c>
      <c r="Y418" s="1" t="str">
        <f t="array" ref="Y418">IFERROR(INDEX('Исходник'!$1:$626,MATCH($A418,'Исходник'!$T:$T,0),MATCH(Y$1,'Исходник'!$1:$1,0)))</f>
        <v/>
      </c>
      <c r="Z418" s="27">
        <f t="shared" si="11"/>
        <v>0</v>
      </c>
      <c r="AA418" s="27" t="str">
        <f t="shared" si="12"/>
        <v/>
      </c>
      <c r="AB418" s="1" t="str">
        <f t="array" ref="AB418">IFERROR(INDEX('Исходник'!$1:$626,MATCH($A418,'Исходник'!$T:$T,0),MATCH(AB$1,'Исходник'!$1:$1,0)))</f>
        <v/>
      </c>
      <c r="AC418" s="1" t="str">
        <f t="array" ref="AC418">IFERROR(INDEX('Исходник'!$1:$626,MATCH($A418,'Исходник'!$T:$T,0),MATCH(AC$1,'Исходник'!$1:$1,0)))</f>
        <v/>
      </c>
      <c r="AD418" s="27" t="str">
        <f t="shared" si="13"/>
        <v/>
      </c>
      <c r="AE418" s="1" t="str">
        <f t="array" ref="AE418">IFERROR(INDEX('Исходник'!$1:$626,MATCH($A418,'Исходник'!$T:$T,0),MATCH(AE$1,'Исходник'!$1:$1,0)))</f>
        <v/>
      </c>
      <c r="AF418" s="1" t="str">
        <f t="array" ref="AF418">IFERROR(INDEX('Исходник'!$1:$626,MATCH($A418,'Исходник'!$T:$T,0),MATCH(AF$1,'Исходник'!$1:$1,0)))</f>
        <v/>
      </c>
      <c r="AG418" s="27" t="str">
        <f t="shared" si="14"/>
        <v/>
      </c>
      <c r="AH418" s="1" t="str">
        <f t="array" ref="AH418">IFERROR(INDEX('Исходник'!$1:$626,MATCH($A418,'Исходник'!$T:$T,0),MATCH(AH$1,'Исходник'!$1:$1,0)))</f>
        <v/>
      </c>
      <c r="AI418" s="1" t="str">
        <f t="array" ref="AI418">IFERROR(INDEX('Исходник'!$1:$626,MATCH($A418,'Исходник'!$T:$T,0),MATCH(AI$1,'Исходник'!$1:$1,0)))</f>
        <v/>
      </c>
      <c r="AJ418" s="18">
        <f t="shared" si="15"/>
        <v>0</v>
      </c>
    </row>
    <row r="419" ht="15.75" customHeight="1">
      <c r="A419" s="27"/>
      <c r="B419" s="1" t="str">
        <f t="array" ref="B419">IFERROR(INDEX('Исходник'!$1:$626,MATCH($A419,'Исходник'!$T:$T,0),MATCH(B$1,'Исходник'!$1:$1,0)))</f>
        <v/>
      </c>
      <c r="C419" s="1" t="str">
        <f t="array" ref="C419">IFERROR(INDEX('Исходник'!$1:$626,MATCH($A419,'Исходник'!$T:$T,0),MATCH(C$1,'Исходник'!$1:$1,0)))</f>
        <v/>
      </c>
      <c r="D419" s="1" t="str">
        <f t="array" ref="D419">IFERROR(INDEX('Исходник'!$1:$626,MATCH($A419,'Исходник'!$T:$T,0),MATCH(D$1,'Исходник'!$1:$1,0)))</f>
        <v/>
      </c>
      <c r="E419" s="1" t="str">
        <f t="array" ref="E419">IFERROR(INDEX('Исходник'!$1:$626,MATCH($A419,'Исходник'!$T:$T,0),MATCH(E$1,'Исходник'!$1:$1,0)))</f>
        <v/>
      </c>
      <c r="F419" s="1" t="str">
        <f t="array" ref="F419">IFERROR(INDEX('Исходник'!$1:$626,MATCH($A419,'Исходник'!$T:$T,0),MATCH(F$1,'Исходник'!$1:$1,0)))</f>
        <v/>
      </c>
      <c r="G419" s="1" t="str">
        <f t="array" ref="G419">IFERROR(INDEX('Исходник'!$1:$626,MATCH($A419,'Исходник'!$T:$T,0),MATCH(G$1,'Исходник'!$1:$1,0)))</f>
        <v/>
      </c>
      <c r="H419" s="27">
        <f t="shared" si="1"/>
        <v>0</v>
      </c>
      <c r="I419" s="27" t="str">
        <f t="shared" si="2"/>
        <v/>
      </c>
      <c r="J419" s="1" t="str">
        <f t="array" ref="J419">IFERROR(INDEX('Исходник'!$1:$626,MATCH($A419,'Исходник'!$T:$T,0),MATCH(J$1,'Исходник'!$1:$1,0)))</f>
        <v/>
      </c>
      <c r="K419" s="27" t="str">
        <f t="shared" si="3"/>
        <v/>
      </c>
      <c r="L419" s="1" t="str">
        <f t="array" ref="L419">IFERROR(INDEX('Исходник'!$1:$626,MATCH($A419,'Исходник'!$T:$T,0),MATCH(L$1,'Исходник'!$1:$1,0)))</f>
        <v/>
      </c>
      <c r="M419" s="28">
        <f t="shared" si="4"/>
        <v>0</v>
      </c>
      <c r="N419" s="1" t="str">
        <f t="array" ref="N419">IFERROR(INDEX('Исходник'!$1:$626,MATCH($A419,'Исходник'!$T:$T,0),MATCH(N$1,'Исходник'!$1:$1,0)))</f>
        <v/>
      </c>
      <c r="O419" s="27">
        <f t="shared" si="5"/>
        <v>0</v>
      </c>
      <c r="P419" s="27" t="str">
        <f t="shared" si="6"/>
        <v/>
      </c>
      <c r="Q419" s="1" t="str">
        <f t="array" ref="Q419">IFERROR(INDEX('Исходник'!$1:$626,MATCH($A419,'Исходник'!$T:$T,0),MATCH(Q$1,'Исходник'!$1:$1,0)))</f>
        <v/>
      </c>
      <c r="R419" s="1" t="str">
        <f t="array" ref="R419">IFERROR(INDEX('Исходник'!$1:$626,MATCH($A419,'Исходник'!$T:$T,0),MATCH(R$1,'Исходник'!$1:$1,0)))</f>
        <v/>
      </c>
      <c r="S419" s="27">
        <f t="shared" si="7"/>
        <v>0</v>
      </c>
      <c r="T419" s="27" t="str">
        <f t="shared" si="8"/>
        <v/>
      </c>
      <c r="U419" s="1" t="str">
        <f t="array" ref="U419">IFERROR(INDEX('Исходник'!$1:$626,MATCH($A419,'Исходник'!$T:$T,0),MATCH(U$1,'Исходник'!$1:$1,0)))</f>
        <v/>
      </c>
      <c r="V419" s="27" t="str">
        <f t="shared" si="9"/>
        <v/>
      </c>
      <c r="W419" s="1" t="str">
        <f t="array" ref="W419">IFERROR(INDEX('Исходник'!$1:$626,MATCH($A419,'Исходник'!$T:$T,0),MATCH(W$1,'Исходник'!$1:$1,0)))</f>
        <v/>
      </c>
      <c r="X419" s="28">
        <f t="shared" si="10"/>
        <v>0</v>
      </c>
      <c r="Y419" s="1" t="str">
        <f t="array" ref="Y419">IFERROR(INDEX('Исходник'!$1:$626,MATCH($A419,'Исходник'!$T:$T,0),MATCH(Y$1,'Исходник'!$1:$1,0)))</f>
        <v/>
      </c>
      <c r="Z419" s="27">
        <f t="shared" si="11"/>
        <v>0</v>
      </c>
      <c r="AA419" s="27" t="str">
        <f t="shared" si="12"/>
        <v/>
      </c>
      <c r="AB419" s="1" t="str">
        <f t="array" ref="AB419">IFERROR(INDEX('Исходник'!$1:$626,MATCH($A419,'Исходник'!$T:$T,0),MATCH(AB$1,'Исходник'!$1:$1,0)))</f>
        <v/>
      </c>
      <c r="AC419" s="1" t="str">
        <f t="array" ref="AC419">IFERROR(INDEX('Исходник'!$1:$626,MATCH($A419,'Исходник'!$T:$T,0),MATCH(AC$1,'Исходник'!$1:$1,0)))</f>
        <v/>
      </c>
      <c r="AD419" s="27" t="str">
        <f t="shared" si="13"/>
        <v/>
      </c>
      <c r="AE419" s="1" t="str">
        <f t="array" ref="AE419">IFERROR(INDEX('Исходник'!$1:$626,MATCH($A419,'Исходник'!$T:$T,0),MATCH(AE$1,'Исходник'!$1:$1,0)))</f>
        <v/>
      </c>
      <c r="AF419" s="1" t="str">
        <f t="array" ref="AF419">IFERROR(INDEX('Исходник'!$1:$626,MATCH($A419,'Исходник'!$T:$T,0),MATCH(AF$1,'Исходник'!$1:$1,0)))</f>
        <v/>
      </c>
      <c r="AG419" s="27" t="str">
        <f t="shared" si="14"/>
        <v/>
      </c>
      <c r="AH419" s="1" t="str">
        <f t="array" ref="AH419">IFERROR(INDEX('Исходник'!$1:$626,MATCH($A419,'Исходник'!$T:$T,0),MATCH(AH$1,'Исходник'!$1:$1,0)))</f>
        <v/>
      </c>
      <c r="AI419" s="1" t="str">
        <f t="array" ref="AI419">IFERROR(INDEX('Исходник'!$1:$626,MATCH($A419,'Исходник'!$T:$T,0),MATCH(AI$1,'Исходник'!$1:$1,0)))</f>
        <v/>
      </c>
      <c r="AJ419" s="18">
        <f t="shared" si="15"/>
        <v>0</v>
      </c>
    </row>
    <row r="420" ht="15.75" customHeight="1">
      <c r="A420" s="27"/>
      <c r="B420" s="1" t="str">
        <f t="array" ref="B420">IFERROR(INDEX('Исходник'!$1:$626,MATCH($A420,'Исходник'!$T:$T,0),MATCH(B$1,'Исходник'!$1:$1,0)))</f>
        <v/>
      </c>
      <c r="C420" s="1" t="str">
        <f t="array" ref="C420">IFERROR(INDEX('Исходник'!$1:$626,MATCH($A420,'Исходник'!$T:$T,0),MATCH(C$1,'Исходник'!$1:$1,0)))</f>
        <v/>
      </c>
      <c r="D420" s="1" t="str">
        <f t="array" ref="D420">IFERROR(INDEX('Исходник'!$1:$626,MATCH($A420,'Исходник'!$T:$T,0),MATCH(D$1,'Исходник'!$1:$1,0)))</f>
        <v/>
      </c>
      <c r="E420" s="1" t="str">
        <f t="array" ref="E420">IFERROR(INDEX('Исходник'!$1:$626,MATCH($A420,'Исходник'!$T:$T,0),MATCH(E$1,'Исходник'!$1:$1,0)))</f>
        <v/>
      </c>
      <c r="F420" s="1" t="str">
        <f t="array" ref="F420">IFERROR(INDEX('Исходник'!$1:$626,MATCH($A420,'Исходник'!$T:$T,0),MATCH(F$1,'Исходник'!$1:$1,0)))</f>
        <v/>
      </c>
      <c r="G420" s="1" t="str">
        <f t="array" ref="G420">IFERROR(INDEX('Исходник'!$1:$626,MATCH($A420,'Исходник'!$T:$T,0),MATCH(G$1,'Исходник'!$1:$1,0)))</f>
        <v/>
      </c>
      <c r="H420" s="27">
        <f t="shared" si="1"/>
        <v>0</v>
      </c>
      <c r="I420" s="27" t="str">
        <f t="shared" si="2"/>
        <v/>
      </c>
      <c r="J420" s="1" t="str">
        <f t="array" ref="J420">IFERROR(INDEX('Исходник'!$1:$626,MATCH($A420,'Исходник'!$T:$T,0),MATCH(J$1,'Исходник'!$1:$1,0)))</f>
        <v/>
      </c>
      <c r="K420" s="27" t="str">
        <f t="shared" si="3"/>
        <v/>
      </c>
      <c r="L420" s="1" t="str">
        <f t="array" ref="L420">IFERROR(INDEX('Исходник'!$1:$626,MATCH($A420,'Исходник'!$T:$T,0),MATCH(L$1,'Исходник'!$1:$1,0)))</f>
        <v/>
      </c>
      <c r="M420" s="28">
        <f t="shared" si="4"/>
        <v>0</v>
      </c>
      <c r="N420" s="1" t="str">
        <f t="array" ref="N420">IFERROR(INDEX('Исходник'!$1:$626,MATCH($A420,'Исходник'!$T:$T,0),MATCH(N$1,'Исходник'!$1:$1,0)))</f>
        <v/>
      </c>
      <c r="O420" s="27">
        <f t="shared" si="5"/>
        <v>0</v>
      </c>
      <c r="P420" s="27" t="str">
        <f t="shared" si="6"/>
        <v/>
      </c>
      <c r="Q420" s="1" t="str">
        <f t="array" ref="Q420">IFERROR(INDEX('Исходник'!$1:$626,MATCH($A420,'Исходник'!$T:$T,0),MATCH(Q$1,'Исходник'!$1:$1,0)))</f>
        <v/>
      </c>
      <c r="R420" s="1" t="str">
        <f t="array" ref="R420">IFERROR(INDEX('Исходник'!$1:$626,MATCH($A420,'Исходник'!$T:$T,0),MATCH(R$1,'Исходник'!$1:$1,0)))</f>
        <v/>
      </c>
      <c r="S420" s="27">
        <f t="shared" si="7"/>
        <v>0</v>
      </c>
      <c r="T420" s="27" t="str">
        <f t="shared" si="8"/>
        <v/>
      </c>
      <c r="U420" s="1" t="str">
        <f t="array" ref="U420">IFERROR(INDEX('Исходник'!$1:$626,MATCH($A420,'Исходник'!$T:$T,0),MATCH(U$1,'Исходник'!$1:$1,0)))</f>
        <v/>
      </c>
      <c r="V420" s="27" t="str">
        <f t="shared" si="9"/>
        <v/>
      </c>
      <c r="W420" s="1" t="str">
        <f t="array" ref="W420">IFERROR(INDEX('Исходник'!$1:$626,MATCH($A420,'Исходник'!$T:$T,0),MATCH(W$1,'Исходник'!$1:$1,0)))</f>
        <v/>
      </c>
      <c r="X420" s="28">
        <f t="shared" si="10"/>
        <v>0</v>
      </c>
      <c r="Y420" s="1" t="str">
        <f t="array" ref="Y420">IFERROR(INDEX('Исходник'!$1:$626,MATCH($A420,'Исходник'!$T:$T,0),MATCH(Y$1,'Исходник'!$1:$1,0)))</f>
        <v/>
      </c>
      <c r="Z420" s="27">
        <f t="shared" si="11"/>
        <v>0</v>
      </c>
      <c r="AA420" s="27" t="str">
        <f t="shared" si="12"/>
        <v/>
      </c>
      <c r="AB420" s="1" t="str">
        <f t="array" ref="AB420">IFERROR(INDEX('Исходник'!$1:$626,MATCH($A420,'Исходник'!$T:$T,0),MATCH(AB$1,'Исходник'!$1:$1,0)))</f>
        <v/>
      </c>
      <c r="AC420" s="1" t="str">
        <f t="array" ref="AC420">IFERROR(INDEX('Исходник'!$1:$626,MATCH($A420,'Исходник'!$T:$T,0),MATCH(AC$1,'Исходник'!$1:$1,0)))</f>
        <v/>
      </c>
      <c r="AD420" s="27" t="str">
        <f t="shared" si="13"/>
        <v/>
      </c>
      <c r="AE420" s="1" t="str">
        <f t="array" ref="AE420">IFERROR(INDEX('Исходник'!$1:$626,MATCH($A420,'Исходник'!$T:$T,0),MATCH(AE$1,'Исходник'!$1:$1,0)))</f>
        <v/>
      </c>
      <c r="AF420" s="1" t="str">
        <f t="array" ref="AF420">IFERROR(INDEX('Исходник'!$1:$626,MATCH($A420,'Исходник'!$T:$T,0),MATCH(AF$1,'Исходник'!$1:$1,0)))</f>
        <v/>
      </c>
      <c r="AG420" s="27" t="str">
        <f t="shared" si="14"/>
        <v/>
      </c>
      <c r="AH420" s="1" t="str">
        <f t="array" ref="AH420">IFERROR(INDEX('Исходник'!$1:$626,MATCH($A420,'Исходник'!$T:$T,0),MATCH(AH$1,'Исходник'!$1:$1,0)))</f>
        <v/>
      </c>
      <c r="AI420" s="1" t="str">
        <f t="array" ref="AI420">IFERROR(INDEX('Исходник'!$1:$626,MATCH($A420,'Исходник'!$T:$T,0),MATCH(AI$1,'Исходник'!$1:$1,0)))</f>
        <v/>
      </c>
      <c r="AJ420" s="18">
        <f t="shared" si="15"/>
        <v>0</v>
      </c>
    </row>
    <row r="421" ht="15.75" customHeight="1">
      <c r="A421" s="27"/>
      <c r="B421" s="1" t="str">
        <f t="array" ref="B421">IFERROR(INDEX('Исходник'!$1:$626,MATCH($A421,'Исходник'!$T:$T,0),MATCH(B$1,'Исходник'!$1:$1,0)))</f>
        <v/>
      </c>
      <c r="C421" s="1" t="str">
        <f t="array" ref="C421">IFERROR(INDEX('Исходник'!$1:$626,MATCH($A421,'Исходник'!$T:$T,0),MATCH(C$1,'Исходник'!$1:$1,0)))</f>
        <v/>
      </c>
      <c r="D421" s="1" t="str">
        <f t="array" ref="D421">IFERROR(INDEX('Исходник'!$1:$626,MATCH($A421,'Исходник'!$T:$T,0),MATCH(D$1,'Исходник'!$1:$1,0)))</f>
        <v/>
      </c>
      <c r="E421" s="1" t="str">
        <f t="array" ref="E421">IFERROR(INDEX('Исходник'!$1:$626,MATCH($A421,'Исходник'!$T:$T,0),MATCH(E$1,'Исходник'!$1:$1,0)))</f>
        <v/>
      </c>
      <c r="F421" s="1" t="str">
        <f t="array" ref="F421">IFERROR(INDEX('Исходник'!$1:$626,MATCH($A421,'Исходник'!$T:$T,0),MATCH(F$1,'Исходник'!$1:$1,0)))</f>
        <v/>
      </c>
      <c r="G421" s="1" t="str">
        <f t="array" ref="G421">IFERROR(INDEX('Исходник'!$1:$626,MATCH($A421,'Исходник'!$T:$T,0),MATCH(G$1,'Исходник'!$1:$1,0)))</f>
        <v/>
      </c>
      <c r="H421" s="27">
        <f t="shared" si="1"/>
        <v>0</v>
      </c>
      <c r="I421" s="27" t="str">
        <f t="shared" si="2"/>
        <v/>
      </c>
      <c r="J421" s="1" t="str">
        <f t="array" ref="J421">IFERROR(INDEX('Исходник'!$1:$626,MATCH($A421,'Исходник'!$T:$T,0),MATCH(J$1,'Исходник'!$1:$1,0)))</f>
        <v/>
      </c>
      <c r="K421" s="27" t="str">
        <f t="shared" si="3"/>
        <v/>
      </c>
      <c r="L421" s="1" t="str">
        <f t="array" ref="L421">IFERROR(INDEX('Исходник'!$1:$626,MATCH($A421,'Исходник'!$T:$T,0),MATCH(L$1,'Исходник'!$1:$1,0)))</f>
        <v/>
      </c>
      <c r="M421" s="28">
        <f t="shared" si="4"/>
        <v>0</v>
      </c>
      <c r="N421" s="1" t="str">
        <f t="array" ref="N421">IFERROR(INDEX('Исходник'!$1:$626,MATCH($A421,'Исходник'!$T:$T,0),MATCH(N$1,'Исходник'!$1:$1,0)))</f>
        <v/>
      </c>
      <c r="O421" s="27">
        <f t="shared" si="5"/>
        <v>0</v>
      </c>
      <c r="P421" s="27" t="str">
        <f t="shared" si="6"/>
        <v/>
      </c>
      <c r="Q421" s="1" t="str">
        <f t="array" ref="Q421">IFERROR(INDEX('Исходник'!$1:$626,MATCH($A421,'Исходник'!$T:$T,0),MATCH(Q$1,'Исходник'!$1:$1,0)))</f>
        <v/>
      </c>
      <c r="R421" s="1" t="str">
        <f t="array" ref="R421">IFERROR(INDEX('Исходник'!$1:$626,MATCH($A421,'Исходник'!$T:$T,0),MATCH(R$1,'Исходник'!$1:$1,0)))</f>
        <v/>
      </c>
      <c r="S421" s="27">
        <f t="shared" si="7"/>
        <v>0</v>
      </c>
      <c r="T421" s="27" t="str">
        <f t="shared" si="8"/>
        <v/>
      </c>
      <c r="U421" s="1" t="str">
        <f t="array" ref="U421">IFERROR(INDEX('Исходник'!$1:$626,MATCH($A421,'Исходник'!$T:$T,0),MATCH(U$1,'Исходник'!$1:$1,0)))</f>
        <v/>
      </c>
      <c r="V421" s="27" t="str">
        <f t="shared" si="9"/>
        <v/>
      </c>
      <c r="W421" s="1" t="str">
        <f t="array" ref="W421">IFERROR(INDEX('Исходник'!$1:$626,MATCH($A421,'Исходник'!$T:$T,0),MATCH(W$1,'Исходник'!$1:$1,0)))</f>
        <v/>
      </c>
      <c r="X421" s="28">
        <f t="shared" si="10"/>
        <v>0</v>
      </c>
      <c r="Y421" s="1" t="str">
        <f t="array" ref="Y421">IFERROR(INDEX('Исходник'!$1:$626,MATCH($A421,'Исходник'!$T:$T,0),MATCH(Y$1,'Исходник'!$1:$1,0)))</f>
        <v/>
      </c>
      <c r="Z421" s="27">
        <f t="shared" si="11"/>
        <v>0</v>
      </c>
      <c r="AA421" s="27" t="str">
        <f t="shared" si="12"/>
        <v/>
      </c>
      <c r="AB421" s="1" t="str">
        <f t="array" ref="AB421">IFERROR(INDEX('Исходник'!$1:$626,MATCH($A421,'Исходник'!$T:$T,0),MATCH(AB$1,'Исходник'!$1:$1,0)))</f>
        <v/>
      </c>
      <c r="AC421" s="1" t="str">
        <f t="array" ref="AC421">IFERROR(INDEX('Исходник'!$1:$626,MATCH($A421,'Исходник'!$T:$T,0),MATCH(AC$1,'Исходник'!$1:$1,0)))</f>
        <v/>
      </c>
      <c r="AD421" s="27" t="str">
        <f t="shared" si="13"/>
        <v/>
      </c>
      <c r="AE421" s="1" t="str">
        <f t="array" ref="AE421">IFERROR(INDEX('Исходник'!$1:$626,MATCH($A421,'Исходник'!$T:$T,0),MATCH(AE$1,'Исходник'!$1:$1,0)))</f>
        <v/>
      </c>
      <c r="AF421" s="1" t="str">
        <f t="array" ref="AF421">IFERROR(INDEX('Исходник'!$1:$626,MATCH($A421,'Исходник'!$T:$T,0),MATCH(AF$1,'Исходник'!$1:$1,0)))</f>
        <v/>
      </c>
      <c r="AG421" s="27" t="str">
        <f t="shared" si="14"/>
        <v/>
      </c>
      <c r="AH421" s="1" t="str">
        <f t="array" ref="AH421">IFERROR(INDEX('Исходник'!$1:$626,MATCH($A421,'Исходник'!$T:$T,0),MATCH(AH$1,'Исходник'!$1:$1,0)))</f>
        <v/>
      </c>
      <c r="AI421" s="1" t="str">
        <f t="array" ref="AI421">IFERROR(INDEX('Исходник'!$1:$626,MATCH($A421,'Исходник'!$T:$T,0),MATCH(AI$1,'Исходник'!$1:$1,0)))</f>
        <v/>
      </c>
      <c r="AJ421" s="18">
        <f t="shared" si="15"/>
        <v>0</v>
      </c>
    </row>
    <row r="422" ht="15.75" customHeight="1">
      <c r="A422" s="27"/>
      <c r="B422" s="1" t="str">
        <f t="array" ref="B422">IFERROR(INDEX('Исходник'!$1:$626,MATCH($A422,'Исходник'!$T:$T,0),MATCH(B$1,'Исходник'!$1:$1,0)))</f>
        <v/>
      </c>
      <c r="C422" s="1" t="str">
        <f t="array" ref="C422">IFERROR(INDEX('Исходник'!$1:$626,MATCH($A422,'Исходник'!$T:$T,0),MATCH(C$1,'Исходник'!$1:$1,0)))</f>
        <v/>
      </c>
      <c r="D422" s="1" t="str">
        <f t="array" ref="D422">IFERROR(INDEX('Исходник'!$1:$626,MATCH($A422,'Исходник'!$T:$T,0),MATCH(D$1,'Исходник'!$1:$1,0)))</f>
        <v/>
      </c>
      <c r="E422" s="1" t="str">
        <f t="array" ref="E422">IFERROR(INDEX('Исходник'!$1:$626,MATCH($A422,'Исходник'!$T:$T,0),MATCH(E$1,'Исходник'!$1:$1,0)))</f>
        <v/>
      </c>
      <c r="F422" s="1" t="str">
        <f t="array" ref="F422">IFERROR(INDEX('Исходник'!$1:$626,MATCH($A422,'Исходник'!$T:$T,0),MATCH(F$1,'Исходник'!$1:$1,0)))</f>
        <v/>
      </c>
      <c r="G422" s="1" t="str">
        <f t="array" ref="G422">IFERROR(INDEX('Исходник'!$1:$626,MATCH($A422,'Исходник'!$T:$T,0),MATCH(G$1,'Исходник'!$1:$1,0)))</f>
        <v/>
      </c>
      <c r="H422" s="27">
        <f t="shared" si="1"/>
        <v>0</v>
      </c>
      <c r="I422" s="27" t="str">
        <f t="shared" si="2"/>
        <v/>
      </c>
      <c r="J422" s="1" t="str">
        <f t="array" ref="J422">IFERROR(INDEX('Исходник'!$1:$626,MATCH($A422,'Исходник'!$T:$T,0),MATCH(J$1,'Исходник'!$1:$1,0)))</f>
        <v/>
      </c>
      <c r="K422" s="27" t="str">
        <f t="shared" si="3"/>
        <v/>
      </c>
      <c r="L422" s="1" t="str">
        <f t="array" ref="L422">IFERROR(INDEX('Исходник'!$1:$626,MATCH($A422,'Исходник'!$T:$T,0),MATCH(L$1,'Исходник'!$1:$1,0)))</f>
        <v/>
      </c>
      <c r="M422" s="28">
        <f t="shared" si="4"/>
        <v>0</v>
      </c>
      <c r="N422" s="1" t="str">
        <f t="array" ref="N422">IFERROR(INDEX('Исходник'!$1:$626,MATCH($A422,'Исходник'!$T:$T,0),MATCH(N$1,'Исходник'!$1:$1,0)))</f>
        <v/>
      </c>
      <c r="O422" s="27">
        <f t="shared" si="5"/>
        <v>0</v>
      </c>
      <c r="P422" s="27" t="str">
        <f t="shared" si="6"/>
        <v/>
      </c>
      <c r="Q422" s="1" t="str">
        <f t="array" ref="Q422">IFERROR(INDEX('Исходник'!$1:$626,MATCH($A422,'Исходник'!$T:$T,0),MATCH(Q$1,'Исходник'!$1:$1,0)))</f>
        <v/>
      </c>
      <c r="R422" s="1" t="str">
        <f t="array" ref="R422">IFERROR(INDEX('Исходник'!$1:$626,MATCH($A422,'Исходник'!$T:$T,0),MATCH(R$1,'Исходник'!$1:$1,0)))</f>
        <v/>
      </c>
      <c r="S422" s="27">
        <f t="shared" si="7"/>
        <v>0</v>
      </c>
      <c r="T422" s="27" t="str">
        <f t="shared" si="8"/>
        <v/>
      </c>
      <c r="U422" s="1" t="str">
        <f t="array" ref="U422">IFERROR(INDEX('Исходник'!$1:$626,MATCH($A422,'Исходник'!$T:$T,0),MATCH(U$1,'Исходник'!$1:$1,0)))</f>
        <v/>
      </c>
      <c r="V422" s="27" t="str">
        <f t="shared" si="9"/>
        <v/>
      </c>
      <c r="W422" s="1" t="str">
        <f t="array" ref="W422">IFERROR(INDEX('Исходник'!$1:$626,MATCH($A422,'Исходник'!$T:$T,0),MATCH(W$1,'Исходник'!$1:$1,0)))</f>
        <v/>
      </c>
      <c r="X422" s="28">
        <f t="shared" si="10"/>
        <v>0</v>
      </c>
      <c r="Y422" s="1" t="str">
        <f t="array" ref="Y422">IFERROR(INDEX('Исходник'!$1:$626,MATCH($A422,'Исходник'!$T:$T,0),MATCH(Y$1,'Исходник'!$1:$1,0)))</f>
        <v/>
      </c>
      <c r="Z422" s="27">
        <f t="shared" si="11"/>
        <v>0</v>
      </c>
      <c r="AA422" s="27" t="str">
        <f t="shared" si="12"/>
        <v/>
      </c>
      <c r="AB422" s="1" t="str">
        <f t="array" ref="AB422">IFERROR(INDEX('Исходник'!$1:$626,MATCH($A422,'Исходник'!$T:$T,0),MATCH(AB$1,'Исходник'!$1:$1,0)))</f>
        <v/>
      </c>
      <c r="AC422" s="1" t="str">
        <f t="array" ref="AC422">IFERROR(INDEX('Исходник'!$1:$626,MATCH($A422,'Исходник'!$T:$T,0),MATCH(AC$1,'Исходник'!$1:$1,0)))</f>
        <v/>
      </c>
      <c r="AD422" s="27" t="str">
        <f t="shared" si="13"/>
        <v/>
      </c>
      <c r="AE422" s="1" t="str">
        <f t="array" ref="AE422">IFERROR(INDEX('Исходник'!$1:$626,MATCH($A422,'Исходник'!$T:$T,0),MATCH(AE$1,'Исходник'!$1:$1,0)))</f>
        <v/>
      </c>
      <c r="AF422" s="1" t="str">
        <f t="array" ref="AF422">IFERROR(INDEX('Исходник'!$1:$626,MATCH($A422,'Исходник'!$T:$T,0),MATCH(AF$1,'Исходник'!$1:$1,0)))</f>
        <v/>
      </c>
      <c r="AG422" s="27" t="str">
        <f t="shared" si="14"/>
        <v/>
      </c>
      <c r="AH422" s="1" t="str">
        <f t="array" ref="AH422">IFERROR(INDEX('Исходник'!$1:$626,MATCH($A422,'Исходник'!$T:$T,0),MATCH(AH$1,'Исходник'!$1:$1,0)))</f>
        <v/>
      </c>
      <c r="AI422" s="1" t="str">
        <f t="array" ref="AI422">IFERROR(INDEX('Исходник'!$1:$626,MATCH($A422,'Исходник'!$T:$T,0),MATCH(AI$1,'Исходник'!$1:$1,0)))</f>
        <v/>
      </c>
      <c r="AJ422" s="18">
        <f t="shared" si="15"/>
        <v>0</v>
      </c>
    </row>
    <row r="423" ht="15.75" customHeight="1">
      <c r="A423" s="27"/>
      <c r="B423" s="1" t="str">
        <f t="array" ref="B423">IFERROR(INDEX('Исходник'!$1:$626,MATCH($A423,'Исходник'!$T:$T,0),MATCH(B$1,'Исходник'!$1:$1,0)))</f>
        <v/>
      </c>
      <c r="C423" s="1" t="str">
        <f t="array" ref="C423">IFERROR(INDEX('Исходник'!$1:$626,MATCH($A423,'Исходник'!$T:$T,0),MATCH(C$1,'Исходник'!$1:$1,0)))</f>
        <v/>
      </c>
      <c r="D423" s="1" t="str">
        <f t="array" ref="D423">IFERROR(INDEX('Исходник'!$1:$626,MATCH($A423,'Исходник'!$T:$T,0),MATCH(D$1,'Исходник'!$1:$1,0)))</f>
        <v/>
      </c>
      <c r="E423" s="1" t="str">
        <f t="array" ref="E423">IFERROR(INDEX('Исходник'!$1:$626,MATCH($A423,'Исходник'!$T:$T,0),MATCH(E$1,'Исходник'!$1:$1,0)))</f>
        <v/>
      </c>
      <c r="F423" s="1" t="str">
        <f t="array" ref="F423">IFERROR(INDEX('Исходник'!$1:$626,MATCH($A423,'Исходник'!$T:$T,0),MATCH(F$1,'Исходник'!$1:$1,0)))</f>
        <v/>
      </c>
      <c r="G423" s="1" t="str">
        <f t="array" ref="G423">IFERROR(INDEX('Исходник'!$1:$626,MATCH($A423,'Исходник'!$T:$T,0),MATCH(G$1,'Исходник'!$1:$1,0)))</f>
        <v/>
      </c>
      <c r="H423" s="27">
        <f t="shared" si="1"/>
        <v>0</v>
      </c>
      <c r="I423" s="27" t="str">
        <f t="shared" si="2"/>
        <v/>
      </c>
      <c r="J423" s="1" t="str">
        <f t="array" ref="J423">IFERROR(INDEX('Исходник'!$1:$626,MATCH($A423,'Исходник'!$T:$T,0),MATCH(J$1,'Исходник'!$1:$1,0)))</f>
        <v/>
      </c>
      <c r="K423" s="27" t="str">
        <f t="shared" si="3"/>
        <v/>
      </c>
      <c r="L423" s="1" t="str">
        <f t="array" ref="L423">IFERROR(INDEX('Исходник'!$1:$626,MATCH($A423,'Исходник'!$T:$T,0),MATCH(L$1,'Исходник'!$1:$1,0)))</f>
        <v/>
      </c>
      <c r="M423" s="28">
        <f t="shared" si="4"/>
        <v>0</v>
      </c>
      <c r="N423" s="1" t="str">
        <f t="array" ref="N423">IFERROR(INDEX('Исходник'!$1:$626,MATCH($A423,'Исходник'!$T:$T,0),MATCH(N$1,'Исходник'!$1:$1,0)))</f>
        <v/>
      </c>
      <c r="O423" s="27">
        <f t="shared" si="5"/>
        <v>0</v>
      </c>
      <c r="P423" s="27" t="str">
        <f t="shared" si="6"/>
        <v/>
      </c>
      <c r="Q423" s="1" t="str">
        <f t="array" ref="Q423">IFERROR(INDEX('Исходник'!$1:$626,MATCH($A423,'Исходник'!$T:$T,0),MATCH(Q$1,'Исходник'!$1:$1,0)))</f>
        <v/>
      </c>
      <c r="R423" s="1" t="str">
        <f t="array" ref="R423">IFERROR(INDEX('Исходник'!$1:$626,MATCH($A423,'Исходник'!$T:$T,0),MATCH(R$1,'Исходник'!$1:$1,0)))</f>
        <v/>
      </c>
      <c r="S423" s="27">
        <f t="shared" si="7"/>
        <v>0</v>
      </c>
      <c r="T423" s="27" t="str">
        <f t="shared" si="8"/>
        <v/>
      </c>
      <c r="U423" s="1" t="str">
        <f t="array" ref="U423">IFERROR(INDEX('Исходник'!$1:$626,MATCH($A423,'Исходник'!$T:$T,0),MATCH(U$1,'Исходник'!$1:$1,0)))</f>
        <v/>
      </c>
      <c r="V423" s="27" t="str">
        <f t="shared" si="9"/>
        <v/>
      </c>
      <c r="W423" s="1" t="str">
        <f t="array" ref="W423">IFERROR(INDEX('Исходник'!$1:$626,MATCH($A423,'Исходник'!$T:$T,0),MATCH(W$1,'Исходник'!$1:$1,0)))</f>
        <v/>
      </c>
      <c r="X423" s="28">
        <f t="shared" si="10"/>
        <v>0</v>
      </c>
      <c r="Y423" s="1" t="str">
        <f t="array" ref="Y423">IFERROR(INDEX('Исходник'!$1:$626,MATCH($A423,'Исходник'!$T:$T,0),MATCH(Y$1,'Исходник'!$1:$1,0)))</f>
        <v/>
      </c>
      <c r="Z423" s="27">
        <f t="shared" si="11"/>
        <v>0</v>
      </c>
      <c r="AA423" s="27" t="str">
        <f t="shared" si="12"/>
        <v/>
      </c>
      <c r="AB423" s="1" t="str">
        <f t="array" ref="AB423">IFERROR(INDEX('Исходник'!$1:$626,MATCH($A423,'Исходник'!$T:$T,0),MATCH(AB$1,'Исходник'!$1:$1,0)))</f>
        <v/>
      </c>
      <c r="AC423" s="1" t="str">
        <f t="array" ref="AC423">IFERROR(INDEX('Исходник'!$1:$626,MATCH($A423,'Исходник'!$T:$T,0),MATCH(AC$1,'Исходник'!$1:$1,0)))</f>
        <v/>
      </c>
      <c r="AD423" s="27" t="str">
        <f t="shared" si="13"/>
        <v/>
      </c>
      <c r="AE423" s="1" t="str">
        <f t="array" ref="AE423">IFERROR(INDEX('Исходник'!$1:$626,MATCH($A423,'Исходник'!$T:$T,0),MATCH(AE$1,'Исходник'!$1:$1,0)))</f>
        <v/>
      </c>
      <c r="AF423" s="1" t="str">
        <f t="array" ref="AF423">IFERROR(INDEX('Исходник'!$1:$626,MATCH($A423,'Исходник'!$T:$T,0),MATCH(AF$1,'Исходник'!$1:$1,0)))</f>
        <v/>
      </c>
      <c r="AG423" s="27" t="str">
        <f t="shared" si="14"/>
        <v/>
      </c>
      <c r="AH423" s="1" t="str">
        <f t="array" ref="AH423">IFERROR(INDEX('Исходник'!$1:$626,MATCH($A423,'Исходник'!$T:$T,0),MATCH(AH$1,'Исходник'!$1:$1,0)))</f>
        <v/>
      </c>
      <c r="AI423" s="1" t="str">
        <f t="array" ref="AI423">IFERROR(INDEX('Исходник'!$1:$626,MATCH($A423,'Исходник'!$T:$T,0),MATCH(AI$1,'Исходник'!$1:$1,0)))</f>
        <v/>
      </c>
      <c r="AJ423" s="18">
        <f t="shared" si="15"/>
        <v>0</v>
      </c>
    </row>
    <row r="424" ht="15.75" customHeight="1">
      <c r="A424" s="27"/>
      <c r="B424" s="1" t="str">
        <f t="array" ref="B424">IFERROR(INDEX('Исходник'!$1:$626,MATCH($A424,'Исходник'!$T:$T,0),MATCH(B$1,'Исходник'!$1:$1,0)))</f>
        <v/>
      </c>
      <c r="C424" s="1" t="str">
        <f t="array" ref="C424">IFERROR(INDEX('Исходник'!$1:$626,MATCH($A424,'Исходник'!$T:$T,0),MATCH(C$1,'Исходник'!$1:$1,0)))</f>
        <v/>
      </c>
      <c r="D424" s="1" t="str">
        <f t="array" ref="D424">IFERROR(INDEX('Исходник'!$1:$626,MATCH($A424,'Исходник'!$T:$T,0),MATCH(D$1,'Исходник'!$1:$1,0)))</f>
        <v/>
      </c>
      <c r="E424" s="1" t="str">
        <f t="array" ref="E424">IFERROR(INDEX('Исходник'!$1:$626,MATCH($A424,'Исходник'!$T:$T,0),MATCH(E$1,'Исходник'!$1:$1,0)))</f>
        <v/>
      </c>
      <c r="F424" s="1" t="str">
        <f t="array" ref="F424">IFERROR(INDEX('Исходник'!$1:$626,MATCH($A424,'Исходник'!$T:$T,0),MATCH(F$1,'Исходник'!$1:$1,0)))</f>
        <v/>
      </c>
      <c r="G424" s="1" t="str">
        <f t="array" ref="G424">IFERROR(INDEX('Исходник'!$1:$626,MATCH($A424,'Исходник'!$T:$T,0),MATCH(G$1,'Исходник'!$1:$1,0)))</f>
        <v/>
      </c>
      <c r="H424" s="27">
        <f t="shared" si="1"/>
        <v>0</v>
      </c>
      <c r="I424" s="27" t="str">
        <f t="shared" si="2"/>
        <v/>
      </c>
      <c r="J424" s="1" t="str">
        <f t="array" ref="J424">IFERROR(INDEX('Исходник'!$1:$626,MATCH($A424,'Исходник'!$T:$T,0),MATCH(J$1,'Исходник'!$1:$1,0)))</f>
        <v/>
      </c>
      <c r="K424" s="27" t="str">
        <f t="shared" si="3"/>
        <v/>
      </c>
      <c r="L424" s="1" t="str">
        <f t="array" ref="L424">IFERROR(INDEX('Исходник'!$1:$626,MATCH($A424,'Исходник'!$T:$T,0),MATCH(L$1,'Исходник'!$1:$1,0)))</f>
        <v/>
      </c>
      <c r="M424" s="28">
        <f t="shared" si="4"/>
        <v>0</v>
      </c>
      <c r="N424" s="1" t="str">
        <f t="array" ref="N424">IFERROR(INDEX('Исходник'!$1:$626,MATCH($A424,'Исходник'!$T:$T,0),MATCH(N$1,'Исходник'!$1:$1,0)))</f>
        <v/>
      </c>
      <c r="O424" s="27">
        <f t="shared" si="5"/>
        <v>0</v>
      </c>
      <c r="P424" s="27" t="str">
        <f t="shared" si="6"/>
        <v/>
      </c>
      <c r="Q424" s="1" t="str">
        <f t="array" ref="Q424">IFERROR(INDEX('Исходник'!$1:$626,MATCH($A424,'Исходник'!$T:$T,0),MATCH(Q$1,'Исходник'!$1:$1,0)))</f>
        <v/>
      </c>
      <c r="R424" s="1" t="str">
        <f t="array" ref="R424">IFERROR(INDEX('Исходник'!$1:$626,MATCH($A424,'Исходник'!$T:$T,0),MATCH(R$1,'Исходник'!$1:$1,0)))</f>
        <v/>
      </c>
      <c r="S424" s="27">
        <f t="shared" si="7"/>
        <v>0</v>
      </c>
      <c r="T424" s="27" t="str">
        <f t="shared" si="8"/>
        <v/>
      </c>
      <c r="U424" s="1" t="str">
        <f t="array" ref="U424">IFERROR(INDEX('Исходник'!$1:$626,MATCH($A424,'Исходник'!$T:$T,0),MATCH(U$1,'Исходник'!$1:$1,0)))</f>
        <v/>
      </c>
      <c r="V424" s="27" t="str">
        <f t="shared" si="9"/>
        <v/>
      </c>
      <c r="W424" s="1" t="str">
        <f t="array" ref="W424">IFERROR(INDEX('Исходник'!$1:$626,MATCH($A424,'Исходник'!$T:$T,0),MATCH(W$1,'Исходник'!$1:$1,0)))</f>
        <v/>
      </c>
      <c r="X424" s="28">
        <f t="shared" si="10"/>
        <v>0</v>
      </c>
      <c r="Y424" s="1" t="str">
        <f t="array" ref="Y424">IFERROR(INDEX('Исходник'!$1:$626,MATCH($A424,'Исходник'!$T:$T,0),MATCH(Y$1,'Исходник'!$1:$1,0)))</f>
        <v/>
      </c>
      <c r="Z424" s="27">
        <f t="shared" si="11"/>
        <v>0</v>
      </c>
      <c r="AA424" s="27" t="str">
        <f t="shared" si="12"/>
        <v/>
      </c>
      <c r="AB424" s="1" t="str">
        <f t="array" ref="AB424">IFERROR(INDEX('Исходник'!$1:$626,MATCH($A424,'Исходник'!$T:$T,0),MATCH(AB$1,'Исходник'!$1:$1,0)))</f>
        <v/>
      </c>
      <c r="AC424" s="1" t="str">
        <f t="array" ref="AC424">IFERROR(INDEX('Исходник'!$1:$626,MATCH($A424,'Исходник'!$T:$T,0),MATCH(AC$1,'Исходник'!$1:$1,0)))</f>
        <v/>
      </c>
      <c r="AD424" s="27" t="str">
        <f t="shared" si="13"/>
        <v/>
      </c>
      <c r="AE424" s="1" t="str">
        <f t="array" ref="AE424">IFERROR(INDEX('Исходник'!$1:$626,MATCH($A424,'Исходник'!$T:$T,0),MATCH(AE$1,'Исходник'!$1:$1,0)))</f>
        <v/>
      </c>
      <c r="AF424" s="1" t="str">
        <f t="array" ref="AF424">IFERROR(INDEX('Исходник'!$1:$626,MATCH($A424,'Исходник'!$T:$T,0),MATCH(AF$1,'Исходник'!$1:$1,0)))</f>
        <v/>
      </c>
      <c r="AG424" s="27" t="str">
        <f t="shared" si="14"/>
        <v/>
      </c>
      <c r="AH424" s="1" t="str">
        <f t="array" ref="AH424">IFERROR(INDEX('Исходник'!$1:$626,MATCH($A424,'Исходник'!$T:$T,0),MATCH(AH$1,'Исходник'!$1:$1,0)))</f>
        <v/>
      </c>
      <c r="AI424" s="1" t="str">
        <f t="array" ref="AI424">IFERROR(INDEX('Исходник'!$1:$626,MATCH($A424,'Исходник'!$T:$T,0),MATCH(AI$1,'Исходник'!$1:$1,0)))</f>
        <v/>
      </c>
      <c r="AJ424" s="18">
        <f t="shared" si="15"/>
        <v>0</v>
      </c>
    </row>
    <row r="425" ht="15.75" customHeight="1">
      <c r="A425" s="27"/>
      <c r="B425" s="1" t="str">
        <f t="array" ref="B425">IFERROR(INDEX('Исходник'!$1:$626,MATCH($A425,'Исходник'!$T:$T,0),MATCH(B$1,'Исходник'!$1:$1,0)))</f>
        <v/>
      </c>
      <c r="C425" s="1" t="str">
        <f t="array" ref="C425">IFERROR(INDEX('Исходник'!$1:$626,MATCH($A425,'Исходник'!$T:$T,0),MATCH(C$1,'Исходник'!$1:$1,0)))</f>
        <v/>
      </c>
      <c r="D425" s="1" t="str">
        <f t="array" ref="D425">IFERROR(INDEX('Исходник'!$1:$626,MATCH($A425,'Исходник'!$T:$T,0),MATCH(D$1,'Исходник'!$1:$1,0)))</f>
        <v/>
      </c>
      <c r="E425" s="1" t="str">
        <f t="array" ref="E425">IFERROR(INDEX('Исходник'!$1:$626,MATCH($A425,'Исходник'!$T:$T,0),MATCH(E$1,'Исходник'!$1:$1,0)))</f>
        <v/>
      </c>
      <c r="F425" s="1" t="str">
        <f t="array" ref="F425">IFERROR(INDEX('Исходник'!$1:$626,MATCH($A425,'Исходник'!$T:$T,0),MATCH(F$1,'Исходник'!$1:$1,0)))</f>
        <v/>
      </c>
      <c r="G425" s="1" t="str">
        <f t="array" ref="G425">IFERROR(INDEX('Исходник'!$1:$626,MATCH($A425,'Исходник'!$T:$T,0),MATCH(G$1,'Исходник'!$1:$1,0)))</f>
        <v/>
      </c>
      <c r="H425" s="27">
        <f t="shared" si="1"/>
        <v>0</v>
      </c>
      <c r="I425" s="27" t="str">
        <f t="shared" si="2"/>
        <v/>
      </c>
      <c r="J425" s="1" t="str">
        <f t="array" ref="J425">IFERROR(INDEX('Исходник'!$1:$626,MATCH($A425,'Исходник'!$T:$T,0),MATCH(J$1,'Исходник'!$1:$1,0)))</f>
        <v/>
      </c>
      <c r="K425" s="27" t="str">
        <f t="shared" si="3"/>
        <v/>
      </c>
      <c r="L425" s="1" t="str">
        <f t="array" ref="L425">IFERROR(INDEX('Исходник'!$1:$626,MATCH($A425,'Исходник'!$T:$T,0),MATCH(L$1,'Исходник'!$1:$1,0)))</f>
        <v/>
      </c>
      <c r="M425" s="28">
        <f t="shared" si="4"/>
        <v>0</v>
      </c>
      <c r="N425" s="1" t="str">
        <f t="array" ref="N425">IFERROR(INDEX('Исходник'!$1:$626,MATCH($A425,'Исходник'!$T:$T,0),MATCH(N$1,'Исходник'!$1:$1,0)))</f>
        <v/>
      </c>
      <c r="O425" s="27">
        <f t="shared" si="5"/>
        <v>0</v>
      </c>
      <c r="P425" s="27" t="str">
        <f t="shared" si="6"/>
        <v/>
      </c>
      <c r="Q425" s="1" t="str">
        <f t="array" ref="Q425">IFERROR(INDEX('Исходник'!$1:$626,MATCH($A425,'Исходник'!$T:$T,0),MATCH(Q$1,'Исходник'!$1:$1,0)))</f>
        <v/>
      </c>
      <c r="R425" s="1" t="str">
        <f t="array" ref="R425">IFERROR(INDEX('Исходник'!$1:$626,MATCH($A425,'Исходник'!$T:$T,0),MATCH(R$1,'Исходник'!$1:$1,0)))</f>
        <v/>
      </c>
      <c r="S425" s="27">
        <f t="shared" si="7"/>
        <v>0</v>
      </c>
      <c r="T425" s="27" t="str">
        <f t="shared" si="8"/>
        <v/>
      </c>
      <c r="U425" s="1" t="str">
        <f t="array" ref="U425">IFERROR(INDEX('Исходник'!$1:$626,MATCH($A425,'Исходник'!$T:$T,0),MATCH(U$1,'Исходник'!$1:$1,0)))</f>
        <v/>
      </c>
      <c r="V425" s="27" t="str">
        <f t="shared" si="9"/>
        <v/>
      </c>
      <c r="W425" s="1" t="str">
        <f t="array" ref="W425">IFERROR(INDEX('Исходник'!$1:$626,MATCH($A425,'Исходник'!$T:$T,0),MATCH(W$1,'Исходник'!$1:$1,0)))</f>
        <v/>
      </c>
      <c r="X425" s="28">
        <f t="shared" si="10"/>
        <v>0</v>
      </c>
      <c r="Y425" s="1" t="str">
        <f t="array" ref="Y425">IFERROR(INDEX('Исходник'!$1:$626,MATCH($A425,'Исходник'!$T:$T,0),MATCH(Y$1,'Исходник'!$1:$1,0)))</f>
        <v/>
      </c>
      <c r="Z425" s="27">
        <f t="shared" si="11"/>
        <v>0</v>
      </c>
      <c r="AA425" s="27" t="str">
        <f t="shared" si="12"/>
        <v/>
      </c>
      <c r="AB425" s="1" t="str">
        <f t="array" ref="AB425">IFERROR(INDEX('Исходник'!$1:$626,MATCH($A425,'Исходник'!$T:$T,0),MATCH(AB$1,'Исходник'!$1:$1,0)))</f>
        <v/>
      </c>
      <c r="AC425" s="1" t="str">
        <f t="array" ref="AC425">IFERROR(INDEX('Исходник'!$1:$626,MATCH($A425,'Исходник'!$T:$T,0),MATCH(AC$1,'Исходник'!$1:$1,0)))</f>
        <v/>
      </c>
      <c r="AD425" s="27" t="str">
        <f t="shared" si="13"/>
        <v/>
      </c>
      <c r="AE425" s="1" t="str">
        <f t="array" ref="AE425">IFERROR(INDEX('Исходник'!$1:$626,MATCH($A425,'Исходник'!$T:$T,0),MATCH(AE$1,'Исходник'!$1:$1,0)))</f>
        <v/>
      </c>
      <c r="AF425" s="1" t="str">
        <f t="array" ref="AF425">IFERROR(INDEX('Исходник'!$1:$626,MATCH($A425,'Исходник'!$T:$T,0),MATCH(AF$1,'Исходник'!$1:$1,0)))</f>
        <v/>
      </c>
      <c r="AG425" s="27" t="str">
        <f t="shared" si="14"/>
        <v/>
      </c>
      <c r="AH425" s="1" t="str">
        <f t="array" ref="AH425">IFERROR(INDEX('Исходник'!$1:$626,MATCH($A425,'Исходник'!$T:$T,0),MATCH(AH$1,'Исходник'!$1:$1,0)))</f>
        <v/>
      </c>
      <c r="AI425" s="1" t="str">
        <f t="array" ref="AI425">IFERROR(INDEX('Исходник'!$1:$626,MATCH($A425,'Исходник'!$T:$T,0),MATCH(AI$1,'Исходник'!$1:$1,0)))</f>
        <v/>
      </c>
      <c r="AJ425" s="18">
        <f t="shared" si="15"/>
        <v>0</v>
      </c>
    </row>
    <row r="426" ht="15.75" customHeight="1">
      <c r="A426" s="27"/>
      <c r="B426" s="1" t="str">
        <f t="array" ref="B426">IFERROR(INDEX('Исходник'!$1:$626,MATCH($A426,'Исходник'!$T:$T,0),MATCH(B$1,'Исходник'!$1:$1,0)))</f>
        <v/>
      </c>
      <c r="C426" s="1" t="str">
        <f t="array" ref="C426">IFERROR(INDEX('Исходник'!$1:$626,MATCH($A426,'Исходник'!$T:$T,0),MATCH(C$1,'Исходник'!$1:$1,0)))</f>
        <v/>
      </c>
      <c r="D426" s="1" t="str">
        <f t="array" ref="D426">IFERROR(INDEX('Исходник'!$1:$626,MATCH($A426,'Исходник'!$T:$T,0),MATCH(D$1,'Исходник'!$1:$1,0)))</f>
        <v/>
      </c>
      <c r="E426" s="1" t="str">
        <f t="array" ref="E426">IFERROR(INDEX('Исходник'!$1:$626,MATCH($A426,'Исходник'!$T:$T,0),MATCH(E$1,'Исходник'!$1:$1,0)))</f>
        <v/>
      </c>
      <c r="F426" s="1" t="str">
        <f t="array" ref="F426">IFERROR(INDEX('Исходник'!$1:$626,MATCH($A426,'Исходник'!$T:$T,0),MATCH(F$1,'Исходник'!$1:$1,0)))</f>
        <v/>
      </c>
      <c r="G426" s="1" t="str">
        <f t="array" ref="G426">IFERROR(INDEX('Исходник'!$1:$626,MATCH($A426,'Исходник'!$T:$T,0),MATCH(G$1,'Исходник'!$1:$1,0)))</f>
        <v/>
      </c>
      <c r="H426" s="27">
        <f t="shared" si="1"/>
        <v>0</v>
      </c>
      <c r="I426" s="27" t="str">
        <f t="shared" si="2"/>
        <v/>
      </c>
      <c r="J426" s="1" t="str">
        <f t="array" ref="J426">IFERROR(INDEX('Исходник'!$1:$626,MATCH($A426,'Исходник'!$T:$T,0),MATCH(J$1,'Исходник'!$1:$1,0)))</f>
        <v/>
      </c>
      <c r="K426" s="27" t="str">
        <f t="shared" si="3"/>
        <v/>
      </c>
      <c r="L426" s="1" t="str">
        <f t="array" ref="L426">IFERROR(INDEX('Исходник'!$1:$626,MATCH($A426,'Исходник'!$T:$T,0),MATCH(L$1,'Исходник'!$1:$1,0)))</f>
        <v/>
      </c>
      <c r="M426" s="28">
        <f t="shared" si="4"/>
        <v>0</v>
      </c>
      <c r="N426" s="1" t="str">
        <f t="array" ref="N426">IFERROR(INDEX('Исходник'!$1:$626,MATCH($A426,'Исходник'!$T:$T,0),MATCH(N$1,'Исходник'!$1:$1,0)))</f>
        <v/>
      </c>
      <c r="O426" s="27">
        <f t="shared" si="5"/>
        <v>0</v>
      </c>
      <c r="P426" s="27" t="str">
        <f t="shared" si="6"/>
        <v/>
      </c>
      <c r="Q426" s="1" t="str">
        <f t="array" ref="Q426">IFERROR(INDEX('Исходник'!$1:$626,MATCH($A426,'Исходник'!$T:$T,0),MATCH(Q$1,'Исходник'!$1:$1,0)))</f>
        <v/>
      </c>
      <c r="R426" s="1" t="str">
        <f t="array" ref="R426">IFERROR(INDEX('Исходник'!$1:$626,MATCH($A426,'Исходник'!$T:$T,0),MATCH(R$1,'Исходник'!$1:$1,0)))</f>
        <v/>
      </c>
      <c r="S426" s="27">
        <f t="shared" si="7"/>
        <v>0</v>
      </c>
      <c r="T426" s="27" t="str">
        <f t="shared" si="8"/>
        <v/>
      </c>
      <c r="U426" s="1" t="str">
        <f t="array" ref="U426">IFERROR(INDEX('Исходник'!$1:$626,MATCH($A426,'Исходник'!$T:$T,0),MATCH(U$1,'Исходник'!$1:$1,0)))</f>
        <v/>
      </c>
      <c r="V426" s="27" t="str">
        <f t="shared" si="9"/>
        <v/>
      </c>
      <c r="W426" s="1" t="str">
        <f t="array" ref="W426">IFERROR(INDEX('Исходник'!$1:$626,MATCH($A426,'Исходник'!$T:$T,0),MATCH(W$1,'Исходник'!$1:$1,0)))</f>
        <v/>
      </c>
      <c r="X426" s="28">
        <f t="shared" si="10"/>
        <v>0</v>
      </c>
      <c r="Y426" s="1" t="str">
        <f t="array" ref="Y426">IFERROR(INDEX('Исходник'!$1:$626,MATCH($A426,'Исходник'!$T:$T,0),MATCH(Y$1,'Исходник'!$1:$1,0)))</f>
        <v/>
      </c>
      <c r="Z426" s="27">
        <f t="shared" si="11"/>
        <v>0</v>
      </c>
      <c r="AA426" s="27" t="str">
        <f t="shared" si="12"/>
        <v/>
      </c>
      <c r="AB426" s="1" t="str">
        <f t="array" ref="AB426">IFERROR(INDEX('Исходник'!$1:$626,MATCH($A426,'Исходник'!$T:$T,0),MATCH(AB$1,'Исходник'!$1:$1,0)))</f>
        <v/>
      </c>
      <c r="AC426" s="1" t="str">
        <f t="array" ref="AC426">IFERROR(INDEX('Исходник'!$1:$626,MATCH($A426,'Исходник'!$T:$T,0),MATCH(AC$1,'Исходник'!$1:$1,0)))</f>
        <v/>
      </c>
      <c r="AD426" s="27" t="str">
        <f t="shared" si="13"/>
        <v/>
      </c>
      <c r="AE426" s="1" t="str">
        <f t="array" ref="AE426">IFERROR(INDEX('Исходник'!$1:$626,MATCH($A426,'Исходник'!$T:$T,0),MATCH(AE$1,'Исходник'!$1:$1,0)))</f>
        <v/>
      </c>
      <c r="AF426" s="1" t="str">
        <f t="array" ref="AF426">IFERROR(INDEX('Исходник'!$1:$626,MATCH($A426,'Исходник'!$T:$T,0),MATCH(AF$1,'Исходник'!$1:$1,0)))</f>
        <v/>
      </c>
      <c r="AG426" s="27" t="str">
        <f t="shared" si="14"/>
        <v/>
      </c>
      <c r="AH426" s="1" t="str">
        <f t="array" ref="AH426">IFERROR(INDEX('Исходник'!$1:$626,MATCH($A426,'Исходник'!$T:$T,0),MATCH(AH$1,'Исходник'!$1:$1,0)))</f>
        <v/>
      </c>
      <c r="AI426" s="1" t="str">
        <f t="array" ref="AI426">IFERROR(INDEX('Исходник'!$1:$626,MATCH($A426,'Исходник'!$T:$T,0),MATCH(AI$1,'Исходник'!$1:$1,0)))</f>
        <v/>
      </c>
      <c r="AJ426" s="18">
        <f t="shared" si="15"/>
        <v>0</v>
      </c>
    </row>
    <row r="427" ht="15.75" customHeight="1">
      <c r="A427" s="27"/>
      <c r="B427" s="1" t="str">
        <f t="array" ref="B427">IFERROR(INDEX('Исходник'!$1:$626,MATCH($A427,'Исходник'!$T:$T,0),MATCH(B$1,'Исходник'!$1:$1,0)))</f>
        <v/>
      </c>
      <c r="C427" s="1" t="str">
        <f t="array" ref="C427">IFERROR(INDEX('Исходник'!$1:$626,MATCH($A427,'Исходник'!$T:$T,0),MATCH(C$1,'Исходник'!$1:$1,0)))</f>
        <v/>
      </c>
      <c r="D427" s="1" t="str">
        <f t="array" ref="D427">IFERROR(INDEX('Исходник'!$1:$626,MATCH($A427,'Исходник'!$T:$T,0),MATCH(D$1,'Исходник'!$1:$1,0)))</f>
        <v/>
      </c>
      <c r="E427" s="1" t="str">
        <f t="array" ref="E427">IFERROR(INDEX('Исходник'!$1:$626,MATCH($A427,'Исходник'!$T:$T,0),MATCH(E$1,'Исходник'!$1:$1,0)))</f>
        <v/>
      </c>
      <c r="F427" s="1" t="str">
        <f t="array" ref="F427">IFERROR(INDEX('Исходник'!$1:$626,MATCH($A427,'Исходник'!$T:$T,0),MATCH(F$1,'Исходник'!$1:$1,0)))</f>
        <v/>
      </c>
      <c r="G427" s="1" t="str">
        <f t="array" ref="G427">IFERROR(INDEX('Исходник'!$1:$626,MATCH($A427,'Исходник'!$T:$T,0),MATCH(G$1,'Исходник'!$1:$1,0)))</f>
        <v/>
      </c>
      <c r="H427" s="27">
        <f t="shared" si="1"/>
        <v>0</v>
      </c>
      <c r="I427" s="27" t="str">
        <f t="shared" si="2"/>
        <v/>
      </c>
      <c r="J427" s="1" t="str">
        <f t="array" ref="J427">IFERROR(INDEX('Исходник'!$1:$626,MATCH($A427,'Исходник'!$T:$T,0),MATCH(J$1,'Исходник'!$1:$1,0)))</f>
        <v/>
      </c>
      <c r="K427" s="27" t="str">
        <f t="shared" si="3"/>
        <v/>
      </c>
      <c r="L427" s="1" t="str">
        <f t="array" ref="L427">IFERROR(INDEX('Исходник'!$1:$626,MATCH($A427,'Исходник'!$T:$T,0),MATCH(L$1,'Исходник'!$1:$1,0)))</f>
        <v/>
      </c>
      <c r="M427" s="28">
        <f t="shared" si="4"/>
        <v>0</v>
      </c>
      <c r="N427" s="1" t="str">
        <f t="array" ref="N427">IFERROR(INDEX('Исходник'!$1:$626,MATCH($A427,'Исходник'!$T:$T,0),MATCH(N$1,'Исходник'!$1:$1,0)))</f>
        <v/>
      </c>
      <c r="O427" s="27">
        <f t="shared" si="5"/>
        <v>0</v>
      </c>
      <c r="P427" s="27" t="str">
        <f t="shared" si="6"/>
        <v/>
      </c>
      <c r="Q427" s="1" t="str">
        <f t="array" ref="Q427">IFERROR(INDEX('Исходник'!$1:$626,MATCH($A427,'Исходник'!$T:$T,0),MATCH(Q$1,'Исходник'!$1:$1,0)))</f>
        <v/>
      </c>
      <c r="R427" s="1" t="str">
        <f t="array" ref="R427">IFERROR(INDEX('Исходник'!$1:$626,MATCH($A427,'Исходник'!$T:$T,0),MATCH(R$1,'Исходник'!$1:$1,0)))</f>
        <v/>
      </c>
      <c r="S427" s="27">
        <f t="shared" si="7"/>
        <v>0</v>
      </c>
      <c r="T427" s="27" t="str">
        <f t="shared" si="8"/>
        <v/>
      </c>
      <c r="U427" s="1" t="str">
        <f t="array" ref="U427">IFERROR(INDEX('Исходник'!$1:$626,MATCH($A427,'Исходник'!$T:$T,0),MATCH(U$1,'Исходник'!$1:$1,0)))</f>
        <v/>
      </c>
      <c r="V427" s="27" t="str">
        <f t="shared" si="9"/>
        <v/>
      </c>
      <c r="W427" s="1" t="str">
        <f t="array" ref="W427">IFERROR(INDEX('Исходник'!$1:$626,MATCH($A427,'Исходник'!$T:$T,0),MATCH(W$1,'Исходник'!$1:$1,0)))</f>
        <v/>
      </c>
      <c r="X427" s="28">
        <f t="shared" si="10"/>
        <v>0</v>
      </c>
      <c r="Y427" s="1" t="str">
        <f t="array" ref="Y427">IFERROR(INDEX('Исходник'!$1:$626,MATCH($A427,'Исходник'!$T:$T,0),MATCH(Y$1,'Исходник'!$1:$1,0)))</f>
        <v/>
      </c>
      <c r="Z427" s="27">
        <f t="shared" si="11"/>
        <v>0</v>
      </c>
      <c r="AA427" s="27" t="str">
        <f t="shared" si="12"/>
        <v/>
      </c>
      <c r="AB427" s="1" t="str">
        <f t="array" ref="AB427">IFERROR(INDEX('Исходник'!$1:$626,MATCH($A427,'Исходник'!$T:$T,0),MATCH(AB$1,'Исходник'!$1:$1,0)))</f>
        <v/>
      </c>
      <c r="AC427" s="1" t="str">
        <f t="array" ref="AC427">IFERROR(INDEX('Исходник'!$1:$626,MATCH($A427,'Исходник'!$T:$T,0),MATCH(AC$1,'Исходник'!$1:$1,0)))</f>
        <v/>
      </c>
      <c r="AD427" s="27" t="str">
        <f t="shared" si="13"/>
        <v/>
      </c>
      <c r="AE427" s="1" t="str">
        <f t="array" ref="AE427">IFERROR(INDEX('Исходник'!$1:$626,MATCH($A427,'Исходник'!$T:$T,0),MATCH(AE$1,'Исходник'!$1:$1,0)))</f>
        <v/>
      </c>
      <c r="AF427" s="1" t="str">
        <f t="array" ref="AF427">IFERROR(INDEX('Исходник'!$1:$626,MATCH($A427,'Исходник'!$T:$T,0),MATCH(AF$1,'Исходник'!$1:$1,0)))</f>
        <v/>
      </c>
      <c r="AG427" s="27" t="str">
        <f t="shared" si="14"/>
        <v/>
      </c>
      <c r="AH427" s="1" t="str">
        <f t="array" ref="AH427">IFERROR(INDEX('Исходник'!$1:$626,MATCH($A427,'Исходник'!$T:$T,0),MATCH(AH$1,'Исходник'!$1:$1,0)))</f>
        <v/>
      </c>
      <c r="AI427" s="1" t="str">
        <f t="array" ref="AI427">IFERROR(INDEX('Исходник'!$1:$626,MATCH($A427,'Исходник'!$T:$T,0),MATCH(AI$1,'Исходник'!$1:$1,0)))</f>
        <v/>
      </c>
      <c r="AJ427" s="18">
        <f t="shared" si="15"/>
        <v>0</v>
      </c>
    </row>
    <row r="428" ht="15.75" customHeight="1">
      <c r="A428" s="27"/>
      <c r="B428" s="1" t="str">
        <f t="array" ref="B428">IFERROR(INDEX('Исходник'!$1:$626,MATCH($A428,'Исходник'!$T:$T,0),MATCH(B$1,'Исходник'!$1:$1,0)))</f>
        <v/>
      </c>
      <c r="C428" s="1" t="str">
        <f t="array" ref="C428">IFERROR(INDEX('Исходник'!$1:$626,MATCH($A428,'Исходник'!$T:$T,0),MATCH(C$1,'Исходник'!$1:$1,0)))</f>
        <v/>
      </c>
      <c r="D428" s="1" t="str">
        <f t="array" ref="D428">IFERROR(INDEX('Исходник'!$1:$626,MATCH($A428,'Исходник'!$T:$T,0),MATCH(D$1,'Исходник'!$1:$1,0)))</f>
        <v/>
      </c>
      <c r="E428" s="1" t="str">
        <f t="array" ref="E428">IFERROR(INDEX('Исходник'!$1:$626,MATCH($A428,'Исходник'!$T:$T,0),MATCH(E$1,'Исходник'!$1:$1,0)))</f>
        <v/>
      </c>
      <c r="F428" s="1" t="str">
        <f t="array" ref="F428">IFERROR(INDEX('Исходник'!$1:$626,MATCH($A428,'Исходник'!$T:$T,0),MATCH(F$1,'Исходник'!$1:$1,0)))</f>
        <v/>
      </c>
      <c r="G428" s="1" t="str">
        <f t="array" ref="G428">IFERROR(INDEX('Исходник'!$1:$626,MATCH($A428,'Исходник'!$T:$T,0),MATCH(G$1,'Исходник'!$1:$1,0)))</f>
        <v/>
      </c>
      <c r="H428" s="27">
        <f t="shared" si="1"/>
        <v>0</v>
      </c>
      <c r="I428" s="27" t="str">
        <f t="shared" si="2"/>
        <v/>
      </c>
      <c r="J428" s="1" t="str">
        <f t="array" ref="J428">IFERROR(INDEX('Исходник'!$1:$626,MATCH($A428,'Исходник'!$T:$T,0),MATCH(J$1,'Исходник'!$1:$1,0)))</f>
        <v/>
      </c>
      <c r="K428" s="27" t="str">
        <f t="shared" si="3"/>
        <v/>
      </c>
      <c r="L428" s="1" t="str">
        <f t="array" ref="L428">IFERROR(INDEX('Исходник'!$1:$626,MATCH($A428,'Исходник'!$T:$T,0),MATCH(L$1,'Исходник'!$1:$1,0)))</f>
        <v/>
      </c>
      <c r="M428" s="28">
        <f t="shared" si="4"/>
        <v>0</v>
      </c>
      <c r="N428" s="1" t="str">
        <f t="array" ref="N428">IFERROR(INDEX('Исходник'!$1:$626,MATCH($A428,'Исходник'!$T:$T,0),MATCH(N$1,'Исходник'!$1:$1,0)))</f>
        <v/>
      </c>
      <c r="O428" s="27">
        <f t="shared" si="5"/>
        <v>0</v>
      </c>
      <c r="P428" s="27" t="str">
        <f t="shared" si="6"/>
        <v/>
      </c>
      <c r="Q428" s="1" t="str">
        <f t="array" ref="Q428">IFERROR(INDEX('Исходник'!$1:$626,MATCH($A428,'Исходник'!$T:$T,0),MATCH(Q$1,'Исходник'!$1:$1,0)))</f>
        <v/>
      </c>
      <c r="R428" s="1" t="str">
        <f t="array" ref="R428">IFERROR(INDEX('Исходник'!$1:$626,MATCH($A428,'Исходник'!$T:$T,0),MATCH(R$1,'Исходник'!$1:$1,0)))</f>
        <v/>
      </c>
      <c r="S428" s="27">
        <f t="shared" si="7"/>
        <v>0</v>
      </c>
      <c r="T428" s="27" t="str">
        <f t="shared" si="8"/>
        <v/>
      </c>
      <c r="U428" s="1" t="str">
        <f t="array" ref="U428">IFERROR(INDEX('Исходник'!$1:$626,MATCH($A428,'Исходник'!$T:$T,0),MATCH(U$1,'Исходник'!$1:$1,0)))</f>
        <v/>
      </c>
      <c r="V428" s="27" t="str">
        <f t="shared" si="9"/>
        <v/>
      </c>
      <c r="W428" s="1" t="str">
        <f t="array" ref="W428">IFERROR(INDEX('Исходник'!$1:$626,MATCH($A428,'Исходник'!$T:$T,0),MATCH(W$1,'Исходник'!$1:$1,0)))</f>
        <v/>
      </c>
      <c r="X428" s="28">
        <f t="shared" si="10"/>
        <v>0</v>
      </c>
      <c r="Y428" s="1" t="str">
        <f t="array" ref="Y428">IFERROR(INDEX('Исходник'!$1:$626,MATCH($A428,'Исходник'!$T:$T,0),MATCH(Y$1,'Исходник'!$1:$1,0)))</f>
        <v/>
      </c>
      <c r="Z428" s="27">
        <f t="shared" si="11"/>
        <v>0</v>
      </c>
      <c r="AA428" s="27" t="str">
        <f t="shared" si="12"/>
        <v/>
      </c>
      <c r="AB428" s="1" t="str">
        <f t="array" ref="AB428">IFERROR(INDEX('Исходник'!$1:$626,MATCH($A428,'Исходник'!$T:$T,0),MATCH(AB$1,'Исходник'!$1:$1,0)))</f>
        <v/>
      </c>
      <c r="AC428" s="1" t="str">
        <f t="array" ref="AC428">IFERROR(INDEX('Исходник'!$1:$626,MATCH($A428,'Исходник'!$T:$T,0),MATCH(AC$1,'Исходник'!$1:$1,0)))</f>
        <v/>
      </c>
      <c r="AD428" s="27" t="str">
        <f t="shared" si="13"/>
        <v/>
      </c>
      <c r="AE428" s="1" t="str">
        <f t="array" ref="AE428">IFERROR(INDEX('Исходник'!$1:$626,MATCH($A428,'Исходник'!$T:$T,0),MATCH(AE$1,'Исходник'!$1:$1,0)))</f>
        <v/>
      </c>
      <c r="AF428" s="1" t="str">
        <f t="array" ref="AF428">IFERROR(INDEX('Исходник'!$1:$626,MATCH($A428,'Исходник'!$T:$T,0),MATCH(AF$1,'Исходник'!$1:$1,0)))</f>
        <v/>
      </c>
      <c r="AG428" s="27" t="str">
        <f t="shared" si="14"/>
        <v/>
      </c>
      <c r="AH428" s="1" t="str">
        <f t="array" ref="AH428">IFERROR(INDEX('Исходник'!$1:$626,MATCH($A428,'Исходник'!$T:$T,0),MATCH(AH$1,'Исходник'!$1:$1,0)))</f>
        <v/>
      </c>
      <c r="AI428" s="1" t="str">
        <f t="array" ref="AI428">IFERROR(INDEX('Исходник'!$1:$626,MATCH($A428,'Исходник'!$T:$T,0),MATCH(AI$1,'Исходник'!$1:$1,0)))</f>
        <v/>
      </c>
      <c r="AJ428" s="18">
        <f t="shared" si="15"/>
        <v>0</v>
      </c>
    </row>
    <row r="429" ht="15.75" customHeight="1">
      <c r="A429" s="27"/>
      <c r="B429" s="1" t="str">
        <f t="array" ref="B429">IFERROR(INDEX('Исходник'!$1:$626,MATCH($A429,'Исходник'!$T:$T,0),MATCH(B$1,'Исходник'!$1:$1,0)))</f>
        <v/>
      </c>
      <c r="C429" s="1" t="str">
        <f t="array" ref="C429">IFERROR(INDEX('Исходник'!$1:$626,MATCH($A429,'Исходник'!$T:$T,0),MATCH(C$1,'Исходник'!$1:$1,0)))</f>
        <v/>
      </c>
      <c r="D429" s="1" t="str">
        <f t="array" ref="D429">IFERROR(INDEX('Исходник'!$1:$626,MATCH($A429,'Исходник'!$T:$T,0),MATCH(D$1,'Исходник'!$1:$1,0)))</f>
        <v/>
      </c>
      <c r="E429" s="1" t="str">
        <f t="array" ref="E429">IFERROR(INDEX('Исходник'!$1:$626,MATCH($A429,'Исходник'!$T:$T,0),MATCH(E$1,'Исходник'!$1:$1,0)))</f>
        <v/>
      </c>
      <c r="F429" s="1" t="str">
        <f t="array" ref="F429">IFERROR(INDEX('Исходник'!$1:$626,MATCH($A429,'Исходник'!$T:$T,0),MATCH(F$1,'Исходник'!$1:$1,0)))</f>
        <v/>
      </c>
      <c r="G429" s="1" t="str">
        <f t="array" ref="G429">IFERROR(INDEX('Исходник'!$1:$626,MATCH($A429,'Исходник'!$T:$T,0),MATCH(G$1,'Исходник'!$1:$1,0)))</f>
        <v/>
      </c>
      <c r="H429" s="27">
        <f t="shared" si="1"/>
        <v>0</v>
      </c>
      <c r="I429" s="27" t="str">
        <f t="shared" si="2"/>
        <v/>
      </c>
      <c r="J429" s="1" t="str">
        <f t="array" ref="J429">IFERROR(INDEX('Исходник'!$1:$626,MATCH($A429,'Исходник'!$T:$T,0),MATCH(J$1,'Исходник'!$1:$1,0)))</f>
        <v/>
      </c>
      <c r="K429" s="27" t="str">
        <f t="shared" si="3"/>
        <v/>
      </c>
      <c r="L429" s="1" t="str">
        <f t="array" ref="L429">IFERROR(INDEX('Исходник'!$1:$626,MATCH($A429,'Исходник'!$T:$T,0),MATCH(L$1,'Исходник'!$1:$1,0)))</f>
        <v/>
      </c>
      <c r="M429" s="28">
        <f t="shared" si="4"/>
        <v>0</v>
      </c>
      <c r="N429" s="1" t="str">
        <f t="array" ref="N429">IFERROR(INDEX('Исходник'!$1:$626,MATCH($A429,'Исходник'!$T:$T,0),MATCH(N$1,'Исходник'!$1:$1,0)))</f>
        <v/>
      </c>
      <c r="O429" s="27">
        <f t="shared" si="5"/>
        <v>0</v>
      </c>
      <c r="P429" s="27" t="str">
        <f t="shared" si="6"/>
        <v/>
      </c>
      <c r="Q429" s="1" t="str">
        <f t="array" ref="Q429">IFERROR(INDEX('Исходник'!$1:$626,MATCH($A429,'Исходник'!$T:$T,0),MATCH(Q$1,'Исходник'!$1:$1,0)))</f>
        <v/>
      </c>
      <c r="R429" s="1" t="str">
        <f t="array" ref="R429">IFERROR(INDEX('Исходник'!$1:$626,MATCH($A429,'Исходник'!$T:$T,0),MATCH(R$1,'Исходник'!$1:$1,0)))</f>
        <v/>
      </c>
      <c r="S429" s="27">
        <f t="shared" si="7"/>
        <v>0</v>
      </c>
      <c r="T429" s="27" t="str">
        <f t="shared" si="8"/>
        <v/>
      </c>
      <c r="U429" s="1" t="str">
        <f t="array" ref="U429">IFERROR(INDEX('Исходник'!$1:$626,MATCH($A429,'Исходник'!$T:$T,0),MATCH(U$1,'Исходник'!$1:$1,0)))</f>
        <v/>
      </c>
      <c r="V429" s="27" t="str">
        <f t="shared" si="9"/>
        <v/>
      </c>
      <c r="W429" s="1" t="str">
        <f t="array" ref="W429">IFERROR(INDEX('Исходник'!$1:$626,MATCH($A429,'Исходник'!$T:$T,0),MATCH(W$1,'Исходник'!$1:$1,0)))</f>
        <v/>
      </c>
      <c r="X429" s="28">
        <f t="shared" si="10"/>
        <v>0</v>
      </c>
      <c r="Y429" s="1" t="str">
        <f t="array" ref="Y429">IFERROR(INDEX('Исходник'!$1:$626,MATCH($A429,'Исходник'!$T:$T,0),MATCH(Y$1,'Исходник'!$1:$1,0)))</f>
        <v/>
      </c>
      <c r="Z429" s="27">
        <f t="shared" si="11"/>
        <v>0</v>
      </c>
      <c r="AA429" s="27" t="str">
        <f t="shared" si="12"/>
        <v/>
      </c>
      <c r="AB429" s="1" t="str">
        <f t="array" ref="AB429">IFERROR(INDEX('Исходник'!$1:$626,MATCH($A429,'Исходник'!$T:$T,0),MATCH(AB$1,'Исходник'!$1:$1,0)))</f>
        <v/>
      </c>
      <c r="AC429" s="1" t="str">
        <f t="array" ref="AC429">IFERROR(INDEX('Исходник'!$1:$626,MATCH($A429,'Исходник'!$T:$T,0),MATCH(AC$1,'Исходник'!$1:$1,0)))</f>
        <v/>
      </c>
      <c r="AD429" s="27" t="str">
        <f t="shared" si="13"/>
        <v/>
      </c>
      <c r="AE429" s="1" t="str">
        <f t="array" ref="AE429">IFERROR(INDEX('Исходник'!$1:$626,MATCH($A429,'Исходник'!$T:$T,0),MATCH(AE$1,'Исходник'!$1:$1,0)))</f>
        <v/>
      </c>
      <c r="AF429" s="1" t="str">
        <f t="array" ref="AF429">IFERROR(INDEX('Исходник'!$1:$626,MATCH($A429,'Исходник'!$T:$T,0),MATCH(AF$1,'Исходник'!$1:$1,0)))</f>
        <v/>
      </c>
      <c r="AG429" s="27" t="str">
        <f t="shared" si="14"/>
        <v/>
      </c>
      <c r="AH429" s="1" t="str">
        <f t="array" ref="AH429">IFERROR(INDEX('Исходник'!$1:$626,MATCH($A429,'Исходник'!$T:$T,0),MATCH(AH$1,'Исходник'!$1:$1,0)))</f>
        <v/>
      </c>
      <c r="AI429" s="1" t="str">
        <f t="array" ref="AI429">IFERROR(INDEX('Исходник'!$1:$626,MATCH($A429,'Исходник'!$T:$T,0),MATCH(AI$1,'Исходник'!$1:$1,0)))</f>
        <v/>
      </c>
      <c r="AJ429" s="18">
        <f t="shared" si="15"/>
        <v>0</v>
      </c>
    </row>
    <row r="430" ht="15.75" customHeight="1">
      <c r="A430" s="27"/>
      <c r="B430" s="1" t="str">
        <f t="array" ref="B430">IFERROR(INDEX('Исходник'!$1:$626,MATCH($A430,'Исходник'!$T:$T,0),MATCH(B$1,'Исходник'!$1:$1,0)))</f>
        <v/>
      </c>
      <c r="C430" s="1" t="str">
        <f t="array" ref="C430">IFERROR(INDEX('Исходник'!$1:$626,MATCH($A430,'Исходник'!$T:$T,0),MATCH(C$1,'Исходник'!$1:$1,0)))</f>
        <v/>
      </c>
      <c r="D430" s="1" t="str">
        <f t="array" ref="D430">IFERROR(INDEX('Исходник'!$1:$626,MATCH($A430,'Исходник'!$T:$T,0),MATCH(D$1,'Исходник'!$1:$1,0)))</f>
        <v/>
      </c>
      <c r="E430" s="1" t="str">
        <f t="array" ref="E430">IFERROR(INDEX('Исходник'!$1:$626,MATCH($A430,'Исходник'!$T:$T,0),MATCH(E$1,'Исходник'!$1:$1,0)))</f>
        <v/>
      </c>
      <c r="F430" s="1" t="str">
        <f t="array" ref="F430">IFERROR(INDEX('Исходник'!$1:$626,MATCH($A430,'Исходник'!$T:$T,0),MATCH(F$1,'Исходник'!$1:$1,0)))</f>
        <v/>
      </c>
      <c r="G430" s="1" t="str">
        <f t="array" ref="G430">IFERROR(INDEX('Исходник'!$1:$626,MATCH($A430,'Исходник'!$T:$T,0),MATCH(G$1,'Исходник'!$1:$1,0)))</f>
        <v/>
      </c>
      <c r="H430" s="27">
        <f t="shared" si="1"/>
        <v>0</v>
      </c>
      <c r="I430" s="27" t="str">
        <f t="shared" si="2"/>
        <v/>
      </c>
      <c r="J430" s="1" t="str">
        <f t="array" ref="J430">IFERROR(INDEX('Исходник'!$1:$626,MATCH($A430,'Исходник'!$T:$T,0),MATCH(J$1,'Исходник'!$1:$1,0)))</f>
        <v/>
      </c>
      <c r="K430" s="27" t="str">
        <f t="shared" si="3"/>
        <v/>
      </c>
      <c r="L430" s="1" t="str">
        <f t="array" ref="L430">IFERROR(INDEX('Исходник'!$1:$626,MATCH($A430,'Исходник'!$T:$T,0),MATCH(L$1,'Исходник'!$1:$1,0)))</f>
        <v/>
      </c>
      <c r="M430" s="28">
        <f t="shared" si="4"/>
        <v>0</v>
      </c>
      <c r="N430" s="1" t="str">
        <f t="array" ref="N430">IFERROR(INDEX('Исходник'!$1:$626,MATCH($A430,'Исходник'!$T:$T,0),MATCH(N$1,'Исходник'!$1:$1,0)))</f>
        <v/>
      </c>
      <c r="O430" s="27">
        <f t="shared" si="5"/>
        <v>0</v>
      </c>
      <c r="P430" s="27" t="str">
        <f t="shared" si="6"/>
        <v/>
      </c>
      <c r="Q430" s="1" t="str">
        <f t="array" ref="Q430">IFERROR(INDEX('Исходник'!$1:$626,MATCH($A430,'Исходник'!$T:$T,0),MATCH(Q$1,'Исходник'!$1:$1,0)))</f>
        <v/>
      </c>
      <c r="R430" s="1" t="str">
        <f t="array" ref="R430">IFERROR(INDEX('Исходник'!$1:$626,MATCH($A430,'Исходник'!$T:$T,0),MATCH(R$1,'Исходник'!$1:$1,0)))</f>
        <v/>
      </c>
      <c r="S430" s="27">
        <f t="shared" si="7"/>
        <v>0</v>
      </c>
      <c r="T430" s="27" t="str">
        <f t="shared" si="8"/>
        <v/>
      </c>
      <c r="U430" s="1" t="str">
        <f t="array" ref="U430">IFERROR(INDEX('Исходник'!$1:$626,MATCH($A430,'Исходник'!$T:$T,0),MATCH(U$1,'Исходник'!$1:$1,0)))</f>
        <v/>
      </c>
      <c r="V430" s="27" t="str">
        <f t="shared" si="9"/>
        <v/>
      </c>
      <c r="W430" s="1" t="str">
        <f t="array" ref="W430">IFERROR(INDEX('Исходник'!$1:$626,MATCH($A430,'Исходник'!$T:$T,0),MATCH(W$1,'Исходник'!$1:$1,0)))</f>
        <v/>
      </c>
      <c r="X430" s="28">
        <f t="shared" si="10"/>
        <v>0</v>
      </c>
      <c r="Y430" s="1" t="str">
        <f t="array" ref="Y430">IFERROR(INDEX('Исходник'!$1:$626,MATCH($A430,'Исходник'!$T:$T,0),MATCH(Y$1,'Исходник'!$1:$1,0)))</f>
        <v/>
      </c>
      <c r="Z430" s="27">
        <f t="shared" si="11"/>
        <v>0</v>
      </c>
      <c r="AA430" s="27" t="str">
        <f t="shared" si="12"/>
        <v/>
      </c>
      <c r="AB430" s="1" t="str">
        <f t="array" ref="AB430">IFERROR(INDEX('Исходник'!$1:$626,MATCH($A430,'Исходник'!$T:$T,0),MATCH(AB$1,'Исходник'!$1:$1,0)))</f>
        <v/>
      </c>
      <c r="AC430" s="1" t="str">
        <f t="array" ref="AC430">IFERROR(INDEX('Исходник'!$1:$626,MATCH($A430,'Исходник'!$T:$T,0),MATCH(AC$1,'Исходник'!$1:$1,0)))</f>
        <v/>
      </c>
      <c r="AD430" s="27" t="str">
        <f t="shared" si="13"/>
        <v/>
      </c>
      <c r="AE430" s="1" t="str">
        <f t="array" ref="AE430">IFERROR(INDEX('Исходник'!$1:$626,MATCH($A430,'Исходник'!$T:$T,0),MATCH(AE$1,'Исходник'!$1:$1,0)))</f>
        <v/>
      </c>
      <c r="AF430" s="1" t="str">
        <f t="array" ref="AF430">IFERROR(INDEX('Исходник'!$1:$626,MATCH($A430,'Исходник'!$T:$T,0),MATCH(AF$1,'Исходник'!$1:$1,0)))</f>
        <v/>
      </c>
      <c r="AG430" s="27" t="str">
        <f t="shared" si="14"/>
        <v/>
      </c>
      <c r="AH430" s="1" t="str">
        <f t="array" ref="AH430">IFERROR(INDEX('Исходник'!$1:$626,MATCH($A430,'Исходник'!$T:$T,0),MATCH(AH$1,'Исходник'!$1:$1,0)))</f>
        <v/>
      </c>
      <c r="AI430" s="1" t="str">
        <f t="array" ref="AI430">IFERROR(INDEX('Исходник'!$1:$626,MATCH($A430,'Исходник'!$T:$T,0),MATCH(AI$1,'Исходник'!$1:$1,0)))</f>
        <v/>
      </c>
      <c r="AJ430" s="18">
        <f t="shared" si="15"/>
        <v>0</v>
      </c>
    </row>
    <row r="431" ht="15.75" customHeight="1">
      <c r="A431" s="27"/>
      <c r="B431" s="1" t="str">
        <f t="array" ref="B431">IFERROR(INDEX('Исходник'!$1:$626,MATCH($A431,'Исходник'!$T:$T,0),MATCH(B$1,'Исходник'!$1:$1,0)))</f>
        <v/>
      </c>
      <c r="C431" s="1" t="str">
        <f t="array" ref="C431">IFERROR(INDEX('Исходник'!$1:$626,MATCH($A431,'Исходник'!$T:$T,0),MATCH(C$1,'Исходник'!$1:$1,0)))</f>
        <v/>
      </c>
      <c r="D431" s="1" t="str">
        <f t="array" ref="D431">IFERROR(INDEX('Исходник'!$1:$626,MATCH($A431,'Исходник'!$T:$T,0),MATCH(D$1,'Исходник'!$1:$1,0)))</f>
        <v/>
      </c>
      <c r="E431" s="1" t="str">
        <f t="array" ref="E431">IFERROR(INDEX('Исходник'!$1:$626,MATCH($A431,'Исходник'!$T:$T,0),MATCH(E$1,'Исходник'!$1:$1,0)))</f>
        <v/>
      </c>
      <c r="F431" s="1" t="str">
        <f t="array" ref="F431">IFERROR(INDEX('Исходник'!$1:$626,MATCH($A431,'Исходник'!$T:$T,0),MATCH(F$1,'Исходник'!$1:$1,0)))</f>
        <v/>
      </c>
      <c r="G431" s="1" t="str">
        <f t="array" ref="G431">IFERROR(INDEX('Исходник'!$1:$626,MATCH($A431,'Исходник'!$T:$T,0),MATCH(G$1,'Исходник'!$1:$1,0)))</f>
        <v/>
      </c>
      <c r="H431" s="27">
        <f t="shared" si="1"/>
        <v>0</v>
      </c>
      <c r="I431" s="27" t="str">
        <f t="shared" si="2"/>
        <v/>
      </c>
      <c r="J431" s="1" t="str">
        <f t="array" ref="J431">IFERROR(INDEX('Исходник'!$1:$626,MATCH($A431,'Исходник'!$T:$T,0),MATCH(J$1,'Исходник'!$1:$1,0)))</f>
        <v/>
      </c>
      <c r="K431" s="27" t="str">
        <f t="shared" si="3"/>
        <v/>
      </c>
      <c r="L431" s="1" t="str">
        <f t="array" ref="L431">IFERROR(INDEX('Исходник'!$1:$626,MATCH($A431,'Исходник'!$T:$T,0),MATCH(L$1,'Исходник'!$1:$1,0)))</f>
        <v/>
      </c>
      <c r="M431" s="28">
        <f t="shared" si="4"/>
        <v>0</v>
      </c>
      <c r="N431" s="1" t="str">
        <f t="array" ref="N431">IFERROR(INDEX('Исходник'!$1:$626,MATCH($A431,'Исходник'!$T:$T,0),MATCH(N$1,'Исходник'!$1:$1,0)))</f>
        <v/>
      </c>
      <c r="O431" s="27">
        <f t="shared" si="5"/>
        <v>0</v>
      </c>
      <c r="P431" s="27" t="str">
        <f t="shared" si="6"/>
        <v/>
      </c>
      <c r="Q431" s="1" t="str">
        <f t="array" ref="Q431">IFERROR(INDEX('Исходник'!$1:$626,MATCH($A431,'Исходник'!$T:$T,0),MATCH(Q$1,'Исходник'!$1:$1,0)))</f>
        <v/>
      </c>
      <c r="R431" s="1" t="str">
        <f t="array" ref="R431">IFERROR(INDEX('Исходник'!$1:$626,MATCH($A431,'Исходник'!$T:$T,0),MATCH(R$1,'Исходник'!$1:$1,0)))</f>
        <v/>
      </c>
      <c r="S431" s="27">
        <f t="shared" si="7"/>
        <v>0</v>
      </c>
      <c r="T431" s="27" t="str">
        <f t="shared" si="8"/>
        <v/>
      </c>
      <c r="U431" s="1" t="str">
        <f t="array" ref="U431">IFERROR(INDEX('Исходник'!$1:$626,MATCH($A431,'Исходник'!$T:$T,0),MATCH(U$1,'Исходник'!$1:$1,0)))</f>
        <v/>
      </c>
      <c r="V431" s="27" t="str">
        <f t="shared" si="9"/>
        <v/>
      </c>
      <c r="W431" s="1" t="str">
        <f t="array" ref="W431">IFERROR(INDEX('Исходник'!$1:$626,MATCH($A431,'Исходник'!$T:$T,0),MATCH(W$1,'Исходник'!$1:$1,0)))</f>
        <v/>
      </c>
      <c r="X431" s="28">
        <f t="shared" si="10"/>
        <v>0</v>
      </c>
      <c r="Y431" s="1" t="str">
        <f t="array" ref="Y431">IFERROR(INDEX('Исходник'!$1:$626,MATCH($A431,'Исходник'!$T:$T,0),MATCH(Y$1,'Исходник'!$1:$1,0)))</f>
        <v/>
      </c>
      <c r="Z431" s="27">
        <f t="shared" si="11"/>
        <v>0</v>
      </c>
      <c r="AA431" s="27" t="str">
        <f t="shared" si="12"/>
        <v/>
      </c>
      <c r="AB431" s="1" t="str">
        <f t="array" ref="AB431">IFERROR(INDEX('Исходник'!$1:$626,MATCH($A431,'Исходник'!$T:$T,0),MATCH(AB$1,'Исходник'!$1:$1,0)))</f>
        <v/>
      </c>
      <c r="AC431" s="1" t="str">
        <f t="array" ref="AC431">IFERROR(INDEX('Исходник'!$1:$626,MATCH($A431,'Исходник'!$T:$T,0),MATCH(AC$1,'Исходник'!$1:$1,0)))</f>
        <v/>
      </c>
      <c r="AD431" s="27" t="str">
        <f t="shared" si="13"/>
        <v/>
      </c>
      <c r="AE431" s="1" t="str">
        <f t="array" ref="AE431">IFERROR(INDEX('Исходник'!$1:$626,MATCH($A431,'Исходник'!$T:$T,0),MATCH(AE$1,'Исходник'!$1:$1,0)))</f>
        <v/>
      </c>
      <c r="AF431" s="1" t="str">
        <f t="array" ref="AF431">IFERROR(INDEX('Исходник'!$1:$626,MATCH($A431,'Исходник'!$T:$T,0),MATCH(AF$1,'Исходник'!$1:$1,0)))</f>
        <v/>
      </c>
      <c r="AG431" s="27" t="str">
        <f t="shared" si="14"/>
        <v/>
      </c>
      <c r="AH431" s="1" t="str">
        <f t="array" ref="AH431">IFERROR(INDEX('Исходник'!$1:$626,MATCH($A431,'Исходник'!$T:$T,0),MATCH(AH$1,'Исходник'!$1:$1,0)))</f>
        <v/>
      </c>
      <c r="AI431" s="1" t="str">
        <f t="array" ref="AI431">IFERROR(INDEX('Исходник'!$1:$626,MATCH($A431,'Исходник'!$T:$T,0),MATCH(AI$1,'Исходник'!$1:$1,0)))</f>
        <v/>
      </c>
      <c r="AJ431" s="18">
        <f t="shared" si="15"/>
        <v>0</v>
      </c>
    </row>
    <row r="432" ht="15.75" customHeight="1">
      <c r="A432" s="27"/>
      <c r="B432" s="1" t="str">
        <f t="array" ref="B432">IFERROR(INDEX('Исходник'!$1:$626,MATCH($A432,'Исходник'!$T:$T,0),MATCH(B$1,'Исходник'!$1:$1,0)))</f>
        <v/>
      </c>
      <c r="C432" s="1" t="str">
        <f t="array" ref="C432">IFERROR(INDEX('Исходник'!$1:$626,MATCH($A432,'Исходник'!$T:$T,0),MATCH(C$1,'Исходник'!$1:$1,0)))</f>
        <v/>
      </c>
      <c r="D432" s="1" t="str">
        <f t="array" ref="D432">IFERROR(INDEX('Исходник'!$1:$626,MATCH($A432,'Исходник'!$T:$T,0),MATCH(D$1,'Исходник'!$1:$1,0)))</f>
        <v/>
      </c>
      <c r="E432" s="1" t="str">
        <f t="array" ref="E432">IFERROR(INDEX('Исходник'!$1:$626,MATCH($A432,'Исходник'!$T:$T,0),MATCH(E$1,'Исходник'!$1:$1,0)))</f>
        <v/>
      </c>
      <c r="F432" s="1" t="str">
        <f t="array" ref="F432">IFERROR(INDEX('Исходник'!$1:$626,MATCH($A432,'Исходник'!$T:$T,0),MATCH(F$1,'Исходник'!$1:$1,0)))</f>
        <v/>
      </c>
      <c r="G432" s="1" t="str">
        <f t="array" ref="G432">IFERROR(INDEX('Исходник'!$1:$626,MATCH($A432,'Исходник'!$T:$T,0),MATCH(G$1,'Исходник'!$1:$1,0)))</f>
        <v/>
      </c>
      <c r="H432" s="27">
        <f t="shared" si="1"/>
        <v>0</v>
      </c>
      <c r="I432" s="27" t="str">
        <f t="shared" si="2"/>
        <v/>
      </c>
      <c r="J432" s="1" t="str">
        <f t="array" ref="J432">IFERROR(INDEX('Исходник'!$1:$626,MATCH($A432,'Исходник'!$T:$T,0),MATCH(J$1,'Исходник'!$1:$1,0)))</f>
        <v/>
      </c>
      <c r="K432" s="27" t="str">
        <f t="shared" si="3"/>
        <v/>
      </c>
      <c r="L432" s="1" t="str">
        <f t="array" ref="L432">IFERROR(INDEX('Исходник'!$1:$626,MATCH($A432,'Исходник'!$T:$T,0),MATCH(L$1,'Исходник'!$1:$1,0)))</f>
        <v/>
      </c>
      <c r="M432" s="28">
        <f t="shared" si="4"/>
        <v>0</v>
      </c>
      <c r="N432" s="1" t="str">
        <f t="array" ref="N432">IFERROR(INDEX('Исходник'!$1:$626,MATCH($A432,'Исходник'!$T:$T,0),MATCH(N$1,'Исходник'!$1:$1,0)))</f>
        <v/>
      </c>
      <c r="O432" s="27">
        <f t="shared" si="5"/>
        <v>0</v>
      </c>
      <c r="P432" s="27" t="str">
        <f t="shared" si="6"/>
        <v/>
      </c>
      <c r="Q432" s="1" t="str">
        <f t="array" ref="Q432">IFERROR(INDEX('Исходник'!$1:$626,MATCH($A432,'Исходник'!$T:$T,0),MATCH(Q$1,'Исходник'!$1:$1,0)))</f>
        <v/>
      </c>
      <c r="R432" s="1" t="str">
        <f t="array" ref="R432">IFERROR(INDEX('Исходник'!$1:$626,MATCH($A432,'Исходник'!$T:$T,0),MATCH(R$1,'Исходник'!$1:$1,0)))</f>
        <v/>
      </c>
      <c r="S432" s="27">
        <f t="shared" si="7"/>
        <v>0</v>
      </c>
      <c r="T432" s="27" t="str">
        <f t="shared" si="8"/>
        <v/>
      </c>
      <c r="U432" s="1" t="str">
        <f t="array" ref="U432">IFERROR(INDEX('Исходник'!$1:$626,MATCH($A432,'Исходник'!$T:$T,0),MATCH(U$1,'Исходник'!$1:$1,0)))</f>
        <v/>
      </c>
      <c r="V432" s="27" t="str">
        <f t="shared" si="9"/>
        <v/>
      </c>
      <c r="W432" s="1" t="str">
        <f t="array" ref="W432">IFERROR(INDEX('Исходник'!$1:$626,MATCH($A432,'Исходник'!$T:$T,0),MATCH(W$1,'Исходник'!$1:$1,0)))</f>
        <v/>
      </c>
      <c r="X432" s="28">
        <f t="shared" si="10"/>
        <v>0</v>
      </c>
      <c r="Y432" s="1" t="str">
        <f t="array" ref="Y432">IFERROR(INDEX('Исходник'!$1:$626,MATCH($A432,'Исходник'!$T:$T,0),MATCH(Y$1,'Исходник'!$1:$1,0)))</f>
        <v/>
      </c>
      <c r="Z432" s="27">
        <f t="shared" si="11"/>
        <v>0</v>
      </c>
      <c r="AA432" s="27" t="str">
        <f t="shared" si="12"/>
        <v/>
      </c>
      <c r="AB432" s="1" t="str">
        <f t="array" ref="AB432">IFERROR(INDEX('Исходник'!$1:$626,MATCH($A432,'Исходник'!$T:$T,0),MATCH(AB$1,'Исходник'!$1:$1,0)))</f>
        <v/>
      </c>
      <c r="AC432" s="1" t="str">
        <f t="array" ref="AC432">IFERROR(INDEX('Исходник'!$1:$626,MATCH($A432,'Исходник'!$T:$T,0),MATCH(AC$1,'Исходник'!$1:$1,0)))</f>
        <v/>
      </c>
      <c r="AD432" s="27" t="str">
        <f t="shared" si="13"/>
        <v/>
      </c>
      <c r="AE432" s="1" t="str">
        <f t="array" ref="AE432">IFERROR(INDEX('Исходник'!$1:$626,MATCH($A432,'Исходник'!$T:$T,0),MATCH(AE$1,'Исходник'!$1:$1,0)))</f>
        <v/>
      </c>
      <c r="AF432" s="1" t="str">
        <f t="array" ref="AF432">IFERROR(INDEX('Исходник'!$1:$626,MATCH($A432,'Исходник'!$T:$T,0),MATCH(AF$1,'Исходник'!$1:$1,0)))</f>
        <v/>
      </c>
      <c r="AG432" s="27" t="str">
        <f t="shared" si="14"/>
        <v/>
      </c>
      <c r="AH432" s="1" t="str">
        <f t="array" ref="AH432">IFERROR(INDEX('Исходник'!$1:$626,MATCH($A432,'Исходник'!$T:$T,0),MATCH(AH$1,'Исходник'!$1:$1,0)))</f>
        <v/>
      </c>
      <c r="AI432" s="1" t="str">
        <f t="array" ref="AI432">IFERROR(INDEX('Исходник'!$1:$626,MATCH($A432,'Исходник'!$T:$T,0),MATCH(AI$1,'Исходник'!$1:$1,0)))</f>
        <v/>
      </c>
      <c r="AJ432" s="18">
        <f t="shared" si="15"/>
        <v>0</v>
      </c>
    </row>
    <row r="433" ht="15.75" customHeight="1">
      <c r="A433" s="27"/>
      <c r="B433" s="1" t="str">
        <f t="array" ref="B433">IFERROR(INDEX('Исходник'!$1:$626,MATCH($A433,'Исходник'!$T:$T,0),MATCH(B$1,'Исходник'!$1:$1,0)))</f>
        <v/>
      </c>
      <c r="C433" s="1" t="str">
        <f t="array" ref="C433">IFERROR(INDEX('Исходник'!$1:$626,MATCH($A433,'Исходник'!$T:$T,0),MATCH(C$1,'Исходник'!$1:$1,0)))</f>
        <v/>
      </c>
      <c r="D433" s="1" t="str">
        <f t="array" ref="D433">IFERROR(INDEX('Исходник'!$1:$626,MATCH($A433,'Исходник'!$T:$T,0),MATCH(D$1,'Исходник'!$1:$1,0)))</f>
        <v/>
      </c>
      <c r="E433" s="1" t="str">
        <f t="array" ref="E433">IFERROR(INDEX('Исходник'!$1:$626,MATCH($A433,'Исходник'!$T:$T,0),MATCH(E$1,'Исходник'!$1:$1,0)))</f>
        <v/>
      </c>
      <c r="F433" s="1" t="str">
        <f t="array" ref="F433">IFERROR(INDEX('Исходник'!$1:$626,MATCH($A433,'Исходник'!$T:$T,0),MATCH(F$1,'Исходник'!$1:$1,0)))</f>
        <v/>
      </c>
      <c r="G433" s="1" t="str">
        <f t="array" ref="G433">IFERROR(INDEX('Исходник'!$1:$626,MATCH($A433,'Исходник'!$T:$T,0),MATCH(G$1,'Исходник'!$1:$1,0)))</f>
        <v/>
      </c>
      <c r="H433" s="27">
        <f t="shared" si="1"/>
        <v>0</v>
      </c>
      <c r="I433" s="27" t="str">
        <f t="shared" si="2"/>
        <v/>
      </c>
      <c r="J433" s="1" t="str">
        <f t="array" ref="J433">IFERROR(INDEX('Исходник'!$1:$626,MATCH($A433,'Исходник'!$T:$T,0),MATCH(J$1,'Исходник'!$1:$1,0)))</f>
        <v/>
      </c>
      <c r="K433" s="27" t="str">
        <f t="shared" si="3"/>
        <v/>
      </c>
      <c r="L433" s="1" t="str">
        <f t="array" ref="L433">IFERROR(INDEX('Исходник'!$1:$626,MATCH($A433,'Исходник'!$T:$T,0),MATCH(L$1,'Исходник'!$1:$1,0)))</f>
        <v/>
      </c>
      <c r="M433" s="28">
        <f t="shared" si="4"/>
        <v>0</v>
      </c>
      <c r="N433" s="1" t="str">
        <f t="array" ref="N433">IFERROR(INDEX('Исходник'!$1:$626,MATCH($A433,'Исходник'!$T:$T,0),MATCH(N$1,'Исходник'!$1:$1,0)))</f>
        <v/>
      </c>
      <c r="O433" s="27">
        <f t="shared" si="5"/>
        <v>0</v>
      </c>
      <c r="P433" s="27" t="str">
        <f t="shared" si="6"/>
        <v/>
      </c>
      <c r="Q433" s="1" t="str">
        <f t="array" ref="Q433">IFERROR(INDEX('Исходник'!$1:$626,MATCH($A433,'Исходник'!$T:$T,0),MATCH(Q$1,'Исходник'!$1:$1,0)))</f>
        <v/>
      </c>
      <c r="R433" s="1" t="str">
        <f t="array" ref="R433">IFERROR(INDEX('Исходник'!$1:$626,MATCH($A433,'Исходник'!$T:$T,0),MATCH(R$1,'Исходник'!$1:$1,0)))</f>
        <v/>
      </c>
      <c r="S433" s="27">
        <f t="shared" si="7"/>
        <v>0</v>
      </c>
      <c r="T433" s="27" t="str">
        <f t="shared" si="8"/>
        <v/>
      </c>
      <c r="U433" s="1" t="str">
        <f t="array" ref="U433">IFERROR(INDEX('Исходник'!$1:$626,MATCH($A433,'Исходник'!$T:$T,0),MATCH(U$1,'Исходник'!$1:$1,0)))</f>
        <v/>
      </c>
      <c r="V433" s="27" t="str">
        <f t="shared" si="9"/>
        <v/>
      </c>
      <c r="W433" s="1" t="str">
        <f t="array" ref="W433">IFERROR(INDEX('Исходник'!$1:$626,MATCH($A433,'Исходник'!$T:$T,0),MATCH(W$1,'Исходник'!$1:$1,0)))</f>
        <v/>
      </c>
      <c r="X433" s="28">
        <f t="shared" si="10"/>
        <v>0</v>
      </c>
      <c r="Y433" s="1" t="str">
        <f t="array" ref="Y433">IFERROR(INDEX('Исходник'!$1:$626,MATCH($A433,'Исходник'!$T:$T,0),MATCH(Y$1,'Исходник'!$1:$1,0)))</f>
        <v/>
      </c>
      <c r="Z433" s="27">
        <f t="shared" si="11"/>
        <v>0</v>
      </c>
      <c r="AA433" s="27" t="str">
        <f t="shared" si="12"/>
        <v/>
      </c>
      <c r="AB433" s="1" t="str">
        <f t="array" ref="AB433">IFERROR(INDEX('Исходник'!$1:$626,MATCH($A433,'Исходник'!$T:$T,0),MATCH(AB$1,'Исходник'!$1:$1,0)))</f>
        <v/>
      </c>
      <c r="AC433" s="1" t="str">
        <f t="array" ref="AC433">IFERROR(INDEX('Исходник'!$1:$626,MATCH($A433,'Исходник'!$T:$T,0),MATCH(AC$1,'Исходник'!$1:$1,0)))</f>
        <v/>
      </c>
      <c r="AD433" s="27" t="str">
        <f t="shared" si="13"/>
        <v/>
      </c>
      <c r="AE433" s="1" t="str">
        <f t="array" ref="AE433">IFERROR(INDEX('Исходник'!$1:$626,MATCH($A433,'Исходник'!$T:$T,0),MATCH(AE$1,'Исходник'!$1:$1,0)))</f>
        <v/>
      </c>
      <c r="AF433" s="1" t="str">
        <f t="array" ref="AF433">IFERROR(INDEX('Исходник'!$1:$626,MATCH($A433,'Исходник'!$T:$T,0),MATCH(AF$1,'Исходник'!$1:$1,0)))</f>
        <v/>
      </c>
      <c r="AG433" s="27" t="str">
        <f t="shared" si="14"/>
        <v/>
      </c>
      <c r="AH433" s="1" t="str">
        <f t="array" ref="AH433">IFERROR(INDEX('Исходник'!$1:$626,MATCH($A433,'Исходник'!$T:$T,0),MATCH(AH$1,'Исходник'!$1:$1,0)))</f>
        <v/>
      </c>
      <c r="AI433" s="1" t="str">
        <f t="array" ref="AI433">IFERROR(INDEX('Исходник'!$1:$626,MATCH($A433,'Исходник'!$T:$T,0),MATCH(AI$1,'Исходник'!$1:$1,0)))</f>
        <v/>
      </c>
      <c r="AJ433" s="18">
        <f t="shared" si="15"/>
        <v>0</v>
      </c>
    </row>
    <row r="434" ht="15.75" customHeight="1">
      <c r="A434" s="27"/>
      <c r="B434" s="1" t="str">
        <f t="array" ref="B434">IFERROR(INDEX('Исходник'!$1:$626,MATCH($A434,'Исходник'!$T:$T,0),MATCH(B$1,'Исходник'!$1:$1,0)))</f>
        <v/>
      </c>
      <c r="C434" s="1" t="str">
        <f t="array" ref="C434">IFERROR(INDEX('Исходник'!$1:$626,MATCH($A434,'Исходник'!$T:$T,0),MATCH(C$1,'Исходник'!$1:$1,0)))</f>
        <v/>
      </c>
      <c r="D434" s="1" t="str">
        <f t="array" ref="D434">IFERROR(INDEX('Исходник'!$1:$626,MATCH($A434,'Исходник'!$T:$T,0),MATCH(D$1,'Исходник'!$1:$1,0)))</f>
        <v/>
      </c>
      <c r="E434" s="1" t="str">
        <f t="array" ref="E434">IFERROR(INDEX('Исходник'!$1:$626,MATCH($A434,'Исходник'!$T:$T,0),MATCH(E$1,'Исходник'!$1:$1,0)))</f>
        <v/>
      </c>
      <c r="F434" s="1" t="str">
        <f t="array" ref="F434">IFERROR(INDEX('Исходник'!$1:$626,MATCH($A434,'Исходник'!$T:$T,0),MATCH(F$1,'Исходник'!$1:$1,0)))</f>
        <v/>
      </c>
      <c r="G434" s="1" t="str">
        <f t="array" ref="G434">IFERROR(INDEX('Исходник'!$1:$626,MATCH($A434,'Исходник'!$T:$T,0),MATCH(G$1,'Исходник'!$1:$1,0)))</f>
        <v/>
      </c>
      <c r="H434" s="27">
        <f t="shared" si="1"/>
        <v>0</v>
      </c>
      <c r="I434" s="27" t="str">
        <f t="shared" si="2"/>
        <v/>
      </c>
      <c r="J434" s="1" t="str">
        <f t="array" ref="J434">IFERROR(INDEX('Исходник'!$1:$626,MATCH($A434,'Исходник'!$T:$T,0),MATCH(J$1,'Исходник'!$1:$1,0)))</f>
        <v/>
      </c>
      <c r="K434" s="27" t="str">
        <f t="shared" si="3"/>
        <v/>
      </c>
      <c r="L434" s="1" t="str">
        <f t="array" ref="L434">IFERROR(INDEX('Исходник'!$1:$626,MATCH($A434,'Исходник'!$T:$T,0),MATCH(L$1,'Исходник'!$1:$1,0)))</f>
        <v/>
      </c>
      <c r="M434" s="28">
        <f t="shared" si="4"/>
        <v>0</v>
      </c>
      <c r="N434" s="1" t="str">
        <f t="array" ref="N434">IFERROR(INDEX('Исходник'!$1:$626,MATCH($A434,'Исходник'!$T:$T,0),MATCH(N$1,'Исходник'!$1:$1,0)))</f>
        <v/>
      </c>
      <c r="O434" s="27">
        <f t="shared" si="5"/>
        <v>0</v>
      </c>
      <c r="P434" s="27" t="str">
        <f t="shared" si="6"/>
        <v/>
      </c>
      <c r="Q434" s="1" t="str">
        <f t="array" ref="Q434">IFERROR(INDEX('Исходник'!$1:$626,MATCH($A434,'Исходник'!$T:$T,0),MATCH(Q$1,'Исходник'!$1:$1,0)))</f>
        <v/>
      </c>
      <c r="R434" s="1" t="str">
        <f t="array" ref="R434">IFERROR(INDEX('Исходник'!$1:$626,MATCH($A434,'Исходник'!$T:$T,0),MATCH(R$1,'Исходник'!$1:$1,0)))</f>
        <v/>
      </c>
      <c r="S434" s="27">
        <f t="shared" si="7"/>
        <v>0</v>
      </c>
      <c r="T434" s="27" t="str">
        <f t="shared" si="8"/>
        <v/>
      </c>
      <c r="U434" s="1" t="str">
        <f t="array" ref="U434">IFERROR(INDEX('Исходник'!$1:$626,MATCH($A434,'Исходник'!$T:$T,0),MATCH(U$1,'Исходник'!$1:$1,0)))</f>
        <v/>
      </c>
      <c r="V434" s="27" t="str">
        <f t="shared" si="9"/>
        <v/>
      </c>
      <c r="W434" s="1" t="str">
        <f t="array" ref="W434">IFERROR(INDEX('Исходник'!$1:$626,MATCH($A434,'Исходник'!$T:$T,0),MATCH(W$1,'Исходник'!$1:$1,0)))</f>
        <v/>
      </c>
      <c r="X434" s="28">
        <f t="shared" si="10"/>
        <v>0</v>
      </c>
      <c r="Y434" s="1" t="str">
        <f t="array" ref="Y434">IFERROR(INDEX('Исходник'!$1:$626,MATCH($A434,'Исходник'!$T:$T,0),MATCH(Y$1,'Исходник'!$1:$1,0)))</f>
        <v/>
      </c>
      <c r="Z434" s="27">
        <f t="shared" si="11"/>
        <v>0</v>
      </c>
      <c r="AA434" s="27" t="str">
        <f t="shared" si="12"/>
        <v/>
      </c>
      <c r="AB434" s="1" t="str">
        <f t="array" ref="AB434">IFERROR(INDEX('Исходник'!$1:$626,MATCH($A434,'Исходник'!$T:$T,0),MATCH(AB$1,'Исходник'!$1:$1,0)))</f>
        <v/>
      </c>
      <c r="AC434" s="1" t="str">
        <f t="array" ref="AC434">IFERROR(INDEX('Исходник'!$1:$626,MATCH($A434,'Исходник'!$T:$T,0),MATCH(AC$1,'Исходник'!$1:$1,0)))</f>
        <v/>
      </c>
      <c r="AD434" s="27" t="str">
        <f t="shared" si="13"/>
        <v/>
      </c>
      <c r="AE434" s="1" t="str">
        <f t="array" ref="AE434">IFERROR(INDEX('Исходник'!$1:$626,MATCH($A434,'Исходник'!$T:$T,0),MATCH(AE$1,'Исходник'!$1:$1,0)))</f>
        <v/>
      </c>
      <c r="AF434" s="1" t="str">
        <f t="array" ref="AF434">IFERROR(INDEX('Исходник'!$1:$626,MATCH($A434,'Исходник'!$T:$T,0),MATCH(AF$1,'Исходник'!$1:$1,0)))</f>
        <v/>
      </c>
      <c r="AG434" s="27" t="str">
        <f t="shared" si="14"/>
        <v/>
      </c>
      <c r="AH434" s="1" t="str">
        <f t="array" ref="AH434">IFERROR(INDEX('Исходник'!$1:$626,MATCH($A434,'Исходник'!$T:$T,0),MATCH(AH$1,'Исходник'!$1:$1,0)))</f>
        <v/>
      </c>
      <c r="AI434" s="1" t="str">
        <f t="array" ref="AI434">IFERROR(INDEX('Исходник'!$1:$626,MATCH($A434,'Исходник'!$T:$T,0),MATCH(AI$1,'Исходник'!$1:$1,0)))</f>
        <v/>
      </c>
      <c r="AJ434" s="18">
        <f t="shared" si="15"/>
        <v>0</v>
      </c>
    </row>
    <row r="435" ht="15.75" customHeight="1">
      <c r="A435" s="27"/>
      <c r="B435" s="1" t="str">
        <f t="array" ref="B435">IFERROR(INDEX('Исходник'!$1:$626,MATCH($A435,'Исходник'!$T:$T,0),MATCH(B$1,'Исходник'!$1:$1,0)))</f>
        <v/>
      </c>
      <c r="C435" s="1" t="str">
        <f t="array" ref="C435">IFERROR(INDEX('Исходник'!$1:$626,MATCH($A435,'Исходник'!$T:$T,0),MATCH(C$1,'Исходник'!$1:$1,0)))</f>
        <v/>
      </c>
      <c r="D435" s="1" t="str">
        <f t="array" ref="D435">IFERROR(INDEX('Исходник'!$1:$626,MATCH($A435,'Исходник'!$T:$T,0),MATCH(D$1,'Исходник'!$1:$1,0)))</f>
        <v/>
      </c>
      <c r="E435" s="1" t="str">
        <f t="array" ref="E435">IFERROR(INDEX('Исходник'!$1:$626,MATCH($A435,'Исходник'!$T:$T,0),MATCH(E$1,'Исходник'!$1:$1,0)))</f>
        <v/>
      </c>
      <c r="F435" s="1" t="str">
        <f t="array" ref="F435">IFERROR(INDEX('Исходник'!$1:$626,MATCH($A435,'Исходник'!$T:$T,0),MATCH(F$1,'Исходник'!$1:$1,0)))</f>
        <v/>
      </c>
      <c r="G435" s="1" t="str">
        <f t="array" ref="G435">IFERROR(INDEX('Исходник'!$1:$626,MATCH($A435,'Исходник'!$T:$T,0),MATCH(G$1,'Исходник'!$1:$1,0)))</f>
        <v/>
      </c>
      <c r="H435" s="27">
        <f t="shared" si="1"/>
        <v>0</v>
      </c>
      <c r="I435" s="27" t="str">
        <f t="shared" si="2"/>
        <v/>
      </c>
      <c r="J435" s="1" t="str">
        <f t="array" ref="J435">IFERROR(INDEX('Исходник'!$1:$626,MATCH($A435,'Исходник'!$T:$T,0),MATCH(J$1,'Исходник'!$1:$1,0)))</f>
        <v/>
      </c>
      <c r="K435" s="27" t="str">
        <f t="shared" si="3"/>
        <v/>
      </c>
      <c r="L435" s="1" t="str">
        <f t="array" ref="L435">IFERROR(INDEX('Исходник'!$1:$626,MATCH($A435,'Исходник'!$T:$T,0),MATCH(L$1,'Исходник'!$1:$1,0)))</f>
        <v/>
      </c>
      <c r="M435" s="28">
        <f t="shared" si="4"/>
        <v>0</v>
      </c>
      <c r="N435" s="1" t="str">
        <f t="array" ref="N435">IFERROR(INDEX('Исходник'!$1:$626,MATCH($A435,'Исходник'!$T:$T,0),MATCH(N$1,'Исходник'!$1:$1,0)))</f>
        <v/>
      </c>
      <c r="O435" s="27">
        <f t="shared" si="5"/>
        <v>0</v>
      </c>
      <c r="P435" s="27" t="str">
        <f t="shared" si="6"/>
        <v/>
      </c>
      <c r="Q435" s="1" t="str">
        <f t="array" ref="Q435">IFERROR(INDEX('Исходник'!$1:$626,MATCH($A435,'Исходник'!$T:$T,0),MATCH(Q$1,'Исходник'!$1:$1,0)))</f>
        <v/>
      </c>
      <c r="R435" s="1" t="str">
        <f t="array" ref="R435">IFERROR(INDEX('Исходник'!$1:$626,MATCH($A435,'Исходник'!$T:$T,0),MATCH(R$1,'Исходник'!$1:$1,0)))</f>
        <v/>
      </c>
      <c r="S435" s="27">
        <f t="shared" si="7"/>
        <v>0</v>
      </c>
      <c r="T435" s="27" t="str">
        <f t="shared" si="8"/>
        <v/>
      </c>
      <c r="U435" s="1" t="str">
        <f t="array" ref="U435">IFERROR(INDEX('Исходник'!$1:$626,MATCH($A435,'Исходник'!$T:$T,0),MATCH(U$1,'Исходник'!$1:$1,0)))</f>
        <v/>
      </c>
      <c r="V435" s="27" t="str">
        <f t="shared" si="9"/>
        <v/>
      </c>
      <c r="W435" s="1" t="str">
        <f t="array" ref="W435">IFERROR(INDEX('Исходник'!$1:$626,MATCH($A435,'Исходник'!$T:$T,0),MATCH(W$1,'Исходник'!$1:$1,0)))</f>
        <v/>
      </c>
      <c r="X435" s="28">
        <f t="shared" si="10"/>
        <v>0</v>
      </c>
      <c r="Y435" s="1" t="str">
        <f t="array" ref="Y435">IFERROR(INDEX('Исходник'!$1:$626,MATCH($A435,'Исходник'!$T:$T,0),MATCH(Y$1,'Исходник'!$1:$1,0)))</f>
        <v/>
      </c>
      <c r="Z435" s="27">
        <f t="shared" si="11"/>
        <v>0</v>
      </c>
      <c r="AA435" s="27" t="str">
        <f t="shared" si="12"/>
        <v/>
      </c>
      <c r="AB435" s="1" t="str">
        <f t="array" ref="AB435">IFERROR(INDEX('Исходник'!$1:$626,MATCH($A435,'Исходник'!$T:$T,0),MATCH(AB$1,'Исходник'!$1:$1,0)))</f>
        <v/>
      </c>
      <c r="AC435" s="1" t="str">
        <f t="array" ref="AC435">IFERROR(INDEX('Исходник'!$1:$626,MATCH($A435,'Исходник'!$T:$T,0),MATCH(AC$1,'Исходник'!$1:$1,0)))</f>
        <v/>
      </c>
      <c r="AD435" s="27" t="str">
        <f t="shared" si="13"/>
        <v/>
      </c>
      <c r="AE435" s="1" t="str">
        <f t="array" ref="AE435">IFERROR(INDEX('Исходник'!$1:$626,MATCH($A435,'Исходник'!$T:$T,0),MATCH(AE$1,'Исходник'!$1:$1,0)))</f>
        <v/>
      </c>
      <c r="AF435" s="1" t="str">
        <f t="array" ref="AF435">IFERROR(INDEX('Исходник'!$1:$626,MATCH($A435,'Исходник'!$T:$T,0),MATCH(AF$1,'Исходник'!$1:$1,0)))</f>
        <v/>
      </c>
      <c r="AG435" s="27" t="str">
        <f t="shared" si="14"/>
        <v/>
      </c>
      <c r="AH435" s="1" t="str">
        <f t="array" ref="AH435">IFERROR(INDEX('Исходник'!$1:$626,MATCH($A435,'Исходник'!$T:$T,0),MATCH(AH$1,'Исходник'!$1:$1,0)))</f>
        <v/>
      </c>
      <c r="AI435" s="1" t="str">
        <f t="array" ref="AI435">IFERROR(INDEX('Исходник'!$1:$626,MATCH($A435,'Исходник'!$T:$T,0),MATCH(AI$1,'Исходник'!$1:$1,0)))</f>
        <v/>
      </c>
      <c r="AJ435" s="18">
        <f t="shared" si="15"/>
        <v>0</v>
      </c>
    </row>
    <row r="436" ht="15.75" customHeight="1">
      <c r="A436" s="27"/>
      <c r="B436" s="1" t="str">
        <f t="array" ref="B436">IFERROR(INDEX('Исходник'!$1:$626,MATCH($A436,'Исходник'!$T:$T,0),MATCH(B$1,'Исходник'!$1:$1,0)))</f>
        <v/>
      </c>
      <c r="C436" s="1" t="str">
        <f t="array" ref="C436">IFERROR(INDEX('Исходник'!$1:$626,MATCH($A436,'Исходник'!$T:$T,0),MATCH(C$1,'Исходник'!$1:$1,0)))</f>
        <v/>
      </c>
      <c r="D436" s="1" t="str">
        <f t="array" ref="D436">IFERROR(INDEX('Исходник'!$1:$626,MATCH($A436,'Исходник'!$T:$T,0),MATCH(D$1,'Исходник'!$1:$1,0)))</f>
        <v/>
      </c>
      <c r="E436" s="1" t="str">
        <f t="array" ref="E436">IFERROR(INDEX('Исходник'!$1:$626,MATCH($A436,'Исходник'!$T:$T,0),MATCH(E$1,'Исходник'!$1:$1,0)))</f>
        <v/>
      </c>
      <c r="F436" s="1" t="str">
        <f t="array" ref="F436">IFERROR(INDEX('Исходник'!$1:$626,MATCH($A436,'Исходник'!$T:$T,0),MATCH(F$1,'Исходник'!$1:$1,0)))</f>
        <v/>
      </c>
      <c r="G436" s="1" t="str">
        <f t="array" ref="G436">IFERROR(INDEX('Исходник'!$1:$626,MATCH($A436,'Исходник'!$T:$T,0),MATCH(G$1,'Исходник'!$1:$1,0)))</f>
        <v/>
      </c>
      <c r="H436" s="27">
        <f t="shared" si="1"/>
        <v>0</v>
      </c>
      <c r="I436" s="27" t="str">
        <f t="shared" si="2"/>
        <v/>
      </c>
      <c r="J436" s="1" t="str">
        <f t="array" ref="J436">IFERROR(INDEX('Исходник'!$1:$626,MATCH($A436,'Исходник'!$T:$T,0),MATCH(J$1,'Исходник'!$1:$1,0)))</f>
        <v/>
      </c>
      <c r="K436" s="27" t="str">
        <f t="shared" si="3"/>
        <v/>
      </c>
      <c r="L436" s="1" t="str">
        <f t="array" ref="L436">IFERROR(INDEX('Исходник'!$1:$626,MATCH($A436,'Исходник'!$T:$T,0),MATCH(L$1,'Исходник'!$1:$1,0)))</f>
        <v/>
      </c>
      <c r="M436" s="28">
        <f t="shared" si="4"/>
        <v>0</v>
      </c>
      <c r="N436" s="1" t="str">
        <f t="array" ref="N436">IFERROR(INDEX('Исходник'!$1:$626,MATCH($A436,'Исходник'!$T:$T,0),MATCH(N$1,'Исходник'!$1:$1,0)))</f>
        <v/>
      </c>
      <c r="O436" s="27">
        <f t="shared" si="5"/>
        <v>0</v>
      </c>
      <c r="P436" s="27" t="str">
        <f t="shared" si="6"/>
        <v/>
      </c>
      <c r="Q436" s="1" t="str">
        <f t="array" ref="Q436">IFERROR(INDEX('Исходник'!$1:$626,MATCH($A436,'Исходник'!$T:$T,0),MATCH(Q$1,'Исходник'!$1:$1,0)))</f>
        <v/>
      </c>
      <c r="R436" s="1" t="str">
        <f t="array" ref="R436">IFERROR(INDEX('Исходник'!$1:$626,MATCH($A436,'Исходник'!$T:$T,0),MATCH(R$1,'Исходник'!$1:$1,0)))</f>
        <v/>
      </c>
      <c r="S436" s="27">
        <f t="shared" si="7"/>
        <v>0</v>
      </c>
      <c r="T436" s="27" t="str">
        <f t="shared" si="8"/>
        <v/>
      </c>
      <c r="U436" s="1" t="str">
        <f t="array" ref="U436">IFERROR(INDEX('Исходник'!$1:$626,MATCH($A436,'Исходник'!$T:$T,0),MATCH(U$1,'Исходник'!$1:$1,0)))</f>
        <v/>
      </c>
      <c r="V436" s="27" t="str">
        <f t="shared" si="9"/>
        <v/>
      </c>
      <c r="W436" s="1" t="str">
        <f t="array" ref="W436">IFERROR(INDEX('Исходник'!$1:$626,MATCH($A436,'Исходник'!$T:$T,0),MATCH(W$1,'Исходник'!$1:$1,0)))</f>
        <v/>
      </c>
      <c r="X436" s="28">
        <f t="shared" si="10"/>
        <v>0</v>
      </c>
      <c r="Y436" s="1" t="str">
        <f t="array" ref="Y436">IFERROR(INDEX('Исходник'!$1:$626,MATCH($A436,'Исходник'!$T:$T,0),MATCH(Y$1,'Исходник'!$1:$1,0)))</f>
        <v/>
      </c>
      <c r="Z436" s="27">
        <f t="shared" si="11"/>
        <v>0</v>
      </c>
      <c r="AA436" s="27" t="str">
        <f t="shared" si="12"/>
        <v/>
      </c>
      <c r="AB436" s="1" t="str">
        <f t="array" ref="AB436">IFERROR(INDEX('Исходник'!$1:$626,MATCH($A436,'Исходник'!$T:$T,0),MATCH(AB$1,'Исходник'!$1:$1,0)))</f>
        <v/>
      </c>
      <c r="AC436" s="1" t="str">
        <f t="array" ref="AC436">IFERROR(INDEX('Исходник'!$1:$626,MATCH($A436,'Исходник'!$T:$T,0),MATCH(AC$1,'Исходник'!$1:$1,0)))</f>
        <v/>
      </c>
      <c r="AD436" s="27" t="str">
        <f t="shared" si="13"/>
        <v/>
      </c>
      <c r="AE436" s="1" t="str">
        <f t="array" ref="AE436">IFERROR(INDEX('Исходник'!$1:$626,MATCH($A436,'Исходник'!$T:$T,0),MATCH(AE$1,'Исходник'!$1:$1,0)))</f>
        <v/>
      </c>
      <c r="AF436" s="1" t="str">
        <f t="array" ref="AF436">IFERROR(INDEX('Исходник'!$1:$626,MATCH($A436,'Исходник'!$T:$T,0),MATCH(AF$1,'Исходник'!$1:$1,0)))</f>
        <v/>
      </c>
      <c r="AG436" s="27" t="str">
        <f t="shared" si="14"/>
        <v/>
      </c>
      <c r="AH436" s="1" t="str">
        <f t="array" ref="AH436">IFERROR(INDEX('Исходник'!$1:$626,MATCH($A436,'Исходник'!$T:$T,0),MATCH(AH$1,'Исходник'!$1:$1,0)))</f>
        <v/>
      </c>
      <c r="AI436" s="1" t="str">
        <f t="array" ref="AI436">IFERROR(INDEX('Исходник'!$1:$626,MATCH($A436,'Исходник'!$T:$T,0),MATCH(AI$1,'Исходник'!$1:$1,0)))</f>
        <v/>
      </c>
      <c r="AJ436" s="18">
        <f t="shared" si="15"/>
        <v>0</v>
      </c>
    </row>
    <row r="437" ht="15.75" customHeight="1">
      <c r="A437" s="27"/>
      <c r="B437" s="1" t="str">
        <f t="array" ref="B437">IFERROR(INDEX('Исходник'!$1:$626,MATCH($A437,'Исходник'!$T:$T,0),MATCH(B$1,'Исходник'!$1:$1,0)))</f>
        <v/>
      </c>
      <c r="C437" s="1" t="str">
        <f t="array" ref="C437">IFERROR(INDEX('Исходник'!$1:$626,MATCH($A437,'Исходник'!$T:$T,0),MATCH(C$1,'Исходник'!$1:$1,0)))</f>
        <v/>
      </c>
      <c r="D437" s="1" t="str">
        <f t="array" ref="D437">IFERROR(INDEX('Исходник'!$1:$626,MATCH($A437,'Исходник'!$T:$T,0),MATCH(D$1,'Исходник'!$1:$1,0)))</f>
        <v/>
      </c>
      <c r="E437" s="1" t="str">
        <f t="array" ref="E437">IFERROR(INDEX('Исходник'!$1:$626,MATCH($A437,'Исходник'!$T:$T,0),MATCH(E$1,'Исходник'!$1:$1,0)))</f>
        <v/>
      </c>
      <c r="F437" s="1" t="str">
        <f t="array" ref="F437">IFERROR(INDEX('Исходник'!$1:$626,MATCH($A437,'Исходник'!$T:$T,0),MATCH(F$1,'Исходник'!$1:$1,0)))</f>
        <v/>
      </c>
      <c r="G437" s="1" t="str">
        <f t="array" ref="G437">IFERROR(INDEX('Исходник'!$1:$626,MATCH($A437,'Исходник'!$T:$T,0),MATCH(G$1,'Исходник'!$1:$1,0)))</f>
        <v/>
      </c>
      <c r="H437" s="27">
        <f t="shared" si="1"/>
        <v>0</v>
      </c>
      <c r="I437" s="27" t="str">
        <f t="shared" si="2"/>
        <v/>
      </c>
      <c r="J437" s="1" t="str">
        <f t="array" ref="J437">IFERROR(INDEX('Исходник'!$1:$626,MATCH($A437,'Исходник'!$T:$T,0),MATCH(J$1,'Исходник'!$1:$1,0)))</f>
        <v/>
      </c>
      <c r="K437" s="27" t="str">
        <f t="shared" si="3"/>
        <v/>
      </c>
      <c r="L437" s="1" t="str">
        <f t="array" ref="L437">IFERROR(INDEX('Исходник'!$1:$626,MATCH($A437,'Исходник'!$T:$T,0),MATCH(L$1,'Исходник'!$1:$1,0)))</f>
        <v/>
      </c>
      <c r="M437" s="28">
        <f t="shared" si="4"/>
        <v>0</v>
      </c>
      <c r="N437" s="1" t="str">
        <f t="array" ref="N437">IFERROR(INDEX('Исходник'!$1:$626,MATCH($A437,'Исходник'!$T:$T,0),MATCH(N$1,'Исходник'!$1:$1,0)))</f>
        <v/>
      </c>
      <c r="O437" s="27">
        <f t="shared" si="5"/>
        <v>0</v>
      </c>
      <c r="P437" s="27" t="str">
        <f t="shared" si="6"/>
        <v/>
      </c>
      <c r="Q437" s="1" t="str">
        <f t="array" ref="Q437">IFERROR(INDEX('Исходник'!$1:$626,MATCH($A437,'Исходник'!$T:$T,0),MATCH(Q$1,'Исходник'!$1:$1,0)))</f>
        <v/>
      </c>
      <c r="R437" s="1" t="str">
        <f t="array" ref="R437">IFERROR(INDEX('Исходник'!$1:$626,MATCH($A437,'Исходник'!$T:$T,0),MATCH(R$1,'Исходник'!$1:$1,0)))</f>
        <v/>
      </c>
      <c r="S437" s="27">
        <f t="shared" si="7"/>
        <v>0</v>
      </c>
      <c r="T437" s="27" t="str">
        <f t="shared" si="8"/>
        <v/>
      </c>
      <c r="U437" s="1" t="str">
        <f t="array" ref="U437">IFERROR(INDEX('Исходник'!$1:$626,MATCH($A437,'Исходник'!$T:$T,0),MATCH(U$1,'Исходник'!$1:$1,0)))</f>
        <v/>
      </c>
      <c r="V437" s="27" t="str">
        <f t="shared" si="9"/>
        <v/>
      </c>
      <c r="W437" s="1" t="str">
        <f t="array" ref="W437">IFERROR(INDEX('Исходник'!$1:$626,MATCH($A437,'Исходник'!$T:$T,0),MATCH(W$1,'Исходник'!$1:$1,0)))</f>
        <v/>
      </c>
      <c r="X437" s="28">
        <f t="shared" si="10"/>
        <v>0</v>
      </c>
      <c r="Y437" s="1" t="str">
        <f t="array" ref="Y437">IFERROR(INDEX('Исходник'!$1:$626,MATCH($A437,'Исходник'!$T:$T,0),MATCH(Y$1,'Исходник'!$1:$1,0)))</f>
        <v/>
      </c>
      <c r="Z437" s="27">
        <f t="shared" si="11"/>
        <v>0</v>
      </c>
      <c r="AA437" s="27" t="str">
        <f t="shared" si="12"/>
        <v/>
      </c>
      <c r="AB437" s="1" t="str">
        <f t="array" ref="AB437">IFERROR(INDEX('Исходник'!$1:$626,MATCH($A437,'Исходник'!$T:$T,0),MATCH(AB$1,'Исходник'!$1:$1,0)))</f>
        <v/>
      </c>
      <c r="AC437" s="1" t="str">
        <f t="array" ref="AC437">IFERROR(INDEX('Исходник'!$1:$626,MATCH($A437,'Исходник'!$T:$T,0),MATCH(AC$1,'Исходник'!$1:$1,0)))</f>
        <v/>
      </c>
      <c r="AD437" s="27" t="str">
        <f t="shared" si="13"/>
        <v/>
      </c>
      <c r="AE437" s="1" t="str">
        <f t="array" ref="AE437">IFERROR(INDEX('Исходник'!$1:$626,MATCH($A437,'Исходник'!$T:$T,0),MATCH(AE$1,'Исходник'!$1:$1,0)))</f>
        <v/>
      </c>
      <c r="AF437" s="1" t="str">
        <f t="array" ref="AF437">IFERROR(INDEX('Исходник'!$1:$626,MATCH($A437,'Исходник'!$T:$T,0),MATCH(AF$1,'Исходник'!$1:$1,0)))</f>
        <v/>
      </c>
      <c r="AG437" s="27" t="str">
        <f t="shared" si="14"/>
        <v/>
      </c>
      <c r="AH437" s="1" t="str">
        <f t="array" ref="AH437">IFERROR(INDEX('Исходник'!$1:$626,MATCH($A437,'Исходник'!$T:$T,0),MATCH(AH$1,'Исходник'!$1:$1,0)))</f>
        <v/>
      </c>
      <c r="AI437" s="1" t="str">
        <f t="array" ref="AI437">IFERROR(INDEX('Исходник'!$1:$626,MATCH($A437,'Исходник'!$T:$T,0),MATCH(AI$1,'Исходник'!$1:$1,0)))</f>
        <v/>
      </c>
      <c r="AJ437" s="18">
        <f t="shared" si="15"/>
        <v>0</v>
      </c>
    </row>
    <row r="438" ht="15.75" customHeight="1">
      <c r="A438" s="27"/>
      <c r="B438" s="1" t="str">
        <f t="array" ref="B438">IFERROR(INDEX('Исходник'!$1:$626,MATCH($A438,'Исходник'!$T:$T,0),MATCH(B$1,'Исходник'!$1:$1,0)))</f>
        <v/>
      </c>
      <c r="C438" s="1" t="str">
        <f t="array" ref="C438">IFERROR(INDEX('Исходник'!$1:$626,MATCH($A438,'Исходник'!$T:$T,0),MATCH(C$1,'Исходник'!$1:$1,0)))</f>
        <v/>
      </c>
      <c r="D438" s="1" t="str">
        <f t="array" ref="D438">IFERROR(INDEX('Исходник'!$1:$626,MATCH($A438,'Исходник'!$T:$T,0),MATCH(D$1,'Исходник'!$1:$1,0)))</f>
        <v/>
      </c>
      <c r="E438" s="1" t="str">
        <f t="array" ref="E438">IFERROR(INDEX('Исходник'!$1:$626,MATCH($A438,'Исходник'!$T:$T,0),MATCH(E$1,'Исходник'!$1:$1,0)))</f>
        <v/>
      </c>
      <c r="F438" s="1" t="str">
        <f t="array" ref="F438">IFERROR(INDEX('Исходник'!$1:$626,MATCH($A438,'Исходник'!$T:$T,0),MATCH(F$1,'Исходник'!$1:$1,0)))</f>
        <v/>
      </c>
      <c r="G438" s="1" t="str">
        <f t="array" ref="G438">IFERROR(INDEX('Исходник'!$1:$626,MATCH($A438,'Исходник'!$T:$T,0),MATCH(G$1,'Исходник'!$1:$1,0)))</f>
        <v/>
      </c>
      <c r="H438" s="27">
        <f t="shared" si="1"/>
        <v>0</v>
      </c>
      <c r="I438" s="27" t="str">
        <f t="shared" si="2"/>
        <v/>
      </c>
      <c r="J438" s="1" t="str">
        <f t="array" ref="J438">IFERROR(INDEX('Исходник'!$1:$626,MATCH($A438,'Исходник'!$T:$T,0),MATCH(J$1,'Исходник'!$1:$1,0)))</f>
        <v/>
      </c>
      <c r="K438" s="27" t="str">
        <f t="shared" si="3"/>
        <v/>
      </c>
      <c r="L438" s="1" t="str">
        <f t="array" ref="L438">IFERROR(INDEX('Исходник'!$1:$626,MATCH($A438,'Исходник'!$T:$T,0),MATCH(L$1,'Исходник'!$1:$1,0)))</f>
        <v/>
      </c>
      <c r="M438" s="28">
        <f t="shared" si="4"/>
        <v>0</v>
      </c>
      <c r="N438" s="1" t="str">
        <f t="array" ref="N438">IFERROR(INDEX('Исходник'!$1:$626,MATCH($A438,'Исходник'!$T:$T,0),MATCH(N$1,'Исходник'!$1:$1,0)))</f>
        <v/>
      </c>
      <c r="O438" s="27">
        <f t="shared" si="5"/>
        <v>0</v>
      </c>
      <c r="P438" s="27" t="str">
        <f t="shared" si="6"/>
        <v/>
      </c>
      <c r="Q438" s="1" t="str">
        <f t="array" ref="Q438">IFERROR(INDEX('Исходник'!$1:$626,MATCH($A438,'Исходник'!$T:$T,0),MATCH(Q$1,'Исходник'!$1:$1,0)))</f>
        <v/>
      </c>
      <c r="R438" s="1" t="str">
        <f t="array" ref="R438">IFERROR(INDEX('Исходник'!$1:$626,MATCH($A438,'Исходник'!$T:$T,0),MATCH(R$1,'Исходник'!$1:$1,0)))</f>
        <v/>
      </c>
      <c r="S438" s="27">
        <f t="shared" si="7"/>
        <v>0</v>
      </c>
      <c r="T438" s="27" t="str">
        <f t="shared" si="8"/>
        <v/>
      </c>
      <c r="U438" s="1" t="str">
        <f t="array" ref="U438">IFERROR(INDEX('Исходник'!$1:$626,MATCH($A438,'Исходник'!$T:$T,0),MATCH(U$1,'Исходник'!$1:$1,0)))</f>
        <v/>
      </c>
      <c r="V438" s="27" t="str">
        <f t="shared" si="9"/>
        <v/>
      </c>
      <c r="W438" s="1" t="str">
        <f t="array" ref="W438">IFERROR(INDEX('Исходник'!$1:$626,MATCH($A438,'Исходник'!$T:$T,0),MATCH(W$1,'Исходник'!$1:$1,0)))</f>
        <v/>
      </c>
      <c r="X438" s="28">
        <f t="shared" si="10"/>
        <v>0</v>
      </c>
      <c r="Y438" s="1" t="str">
        <f t="array" ref="Y438">IFERROR(INDEX('Исходник'!$1:$626,MATCH($A438,'Исходник'!$T:$T,0),MATCH(Y$1,'Исходник'!$1:$1,0)))</f>
        <v/>
      </c>
      <c r="Z438" s="27">
        <f t="shared" si="11"/>
        <v>0</v>
      </c>
      <c r="AA438" s="27" t="str">
        <f t="shared" si="12"/>
        <v/>
      </c>
      <c r="AB438" s="1" t="str">
        <f t="array" ref="AB438">IFERROR(INDEX('Исходник'!$1:$626,MATCH($A438,'Исходник'!$T:$T,0),MATCH(AB$1,'Исходник'!$1:$1,0)))</f>
        <v/>
      </c>
      <c r="AC438" s="1" t="str">
        <f t="array" ref="AC438">IFERROR(INDEX('Исходник'!$1:$626,MATCH($A438,'Исходник'!$T:$T,0),MATCH(AC$1,'Исходник'!$1:$1,0)))</f>
        <v/>
      </c>
      <c r="AD438" s="27" t="str">
        <f t="shared" si="13"/>
        <v/>
      </c>
      <c r="AE438" s="1" t="str">
        <f t="array" ref="AE438">IFERROR(INDEX('Исходник'!$1:$626,MATCH($A438,'Исходник'!$T:$T,0),MATCH(AE$1,'Исходник'!$1:$1,0)))</f>
        <v/>
      </c>
      <c r="AF438" s="1" t="str">
        <f t="array" ref="AF438">IFERROR(INDEX('Исходник'!$1:$626,MATCH($A438,'Исходник'!$T:$T,0),MATCH(AF$1,'Исходник'!$1:$1,0)))</f>
        <v/>
      </c>
      <c r="AG438" s="27" t="str">
        <f t="shared" si="14"/>
        <v/>
      </c>
      <c r="AH438" s="1" t="str">
        <f t="array" ref="AH438">IFERROR(INDEX('Исходник'!$1:$626,MATCH($A438,'Исходник'!$T:$T,0),MATCH(AH$1,'Исходник'!$1:$1,0)))</f>
        <v/>
      </c>
      <c r="AI438" s="1" t="str">
        <f t="array" ref="AI438">IFERROR(INDEX('Исходник'!$1:$626,MATCH($A438,'Исходник'!$T:$T,0),MATCH(AI$1,'Исходник'!$1:$1,0)))</f>
        <v/>
      </c>
      <c r="AJ438" s="18">
        <f t="shared" si="15"/>
        <v>0</v>
      </c>
    </row>
    <row r="439" ht="15.75" customHeight="1">
      <c r="A439" s="27"/>
      <c r="B439" s="1" t="str">
        <f t="array" ref="B439">IFERROR(INDEX('Исходник'!$1:$626,MATCH($A439,'Исходник'!$T:$T,0),MATCH(B$1,'Исходник'!$1:$1,0)))</f>
        <v/>
      </c>
      <c r="C439" s="1" t="str">
        <f t="array" ref="C439">IFERROR(INDEX('Исходник'!$1:$626,MATCH($A439,'Исходник'!$T:$T,0),MATCH(C$1,'Исходник'!$1:$1,0)))</f>
        <v/>
      </c>
      <c r="D439" s="1" t="str">
        <f t="array" ref="D439">IFERROR(INDEX('Исходник'!$1:$626,MATCH($A439,'Исходник'!$T:$T,0),MATCH(D$1,'Исходник'!$1:$1,0)))</f>
        <v/>
      </c>
      <c r="E439" s="1" t="str">
        <f t="array" ref="E439">IFERROR(INDEX('Исходник'!$1:$626,MATCH($A439,'Исходник'!$T:$T,0),MATCH(E$1,'Исходник'!$1:$1,0)))</f>
        <v/>
      </c>
      <c r="F439" s="1" t="str">
        <f t="array" ref="F439">IFERROR(INDEX('Исходник'!$1:$626,MATCH($A439,'Исходник'!$T:$T,0),MATCH(F$1,'Исходник'!$1:$1,0)))</f>
        <v/>
      </c>
      <c r="G439" s="1" t="str">
        <f t="array" ref="G439">IFERROR(INDEX('Исходник'!$1:$626,MATCH($A439,'Исходник'!$T:$T,0),MATCH(G$1,'Исходник'!$1:$1,0)))</f>
        <v/>
      </c>
      <c r="H439" s="27">
        <f t="shared" si="1"/>
        <v>0</v>
      </c>
      <c r="I439" s="27" t="str">
        <f t="shared" si="2"/>
        <v/>
      </c>
      <c r="J439" s="1" t="str">
        <f t="array" ref="J439">IFERROR(INDEX('Исходник'!$1:$626,MATCH($A439,'Исходник'!$T:$T,0),MATCH(J$1,'Исходник'!$1:$1,0)))</f>
        <v/>
      </c>
      <c r="K439" s="27" t="str">
        <f t="shared" si="3"/>
        <v/>
      </c>
      <c r="L439" s="1" t="str">
        <f t="array" ref="L439">IFERROR(INDEX('Исходник'!$1:$626,MATCH($A439,'Исходник'!$T:$T,0),MATCH(L$1,'Исходник'!$1:$1,0)))</f>
        <v/>
      </c>
      <c r="M439" s="28">
        <f t="shared" si="4"/>
        <v>0</v>
      </c>
      <c r="N439" s="1" t="str">
        <f t="array" ref="N439">IFERROR(INDEX('Исходник'!$1:$626,MATCH($A439,'Исходник'!$T:$T,0),MATCH(N$1,'Исходник'!$1:$1,0)))</f>
        <v/>
      </c>
      <c r="O439" s="27">
        <f t="shared" si="5"/>
        <v>0</v>
      </c>
      <c r="P439" s="27" t="str">
        <f t="shared" si="6"/>
        <v/>
      </c>
      <c r="Q439" s="1" t="str">
        <f t="array" ref="Q439">IFERROR(INDEX('Исходник'!$1:$626,MATCH($A439,'Исходник'!$T:$T,0),MATCH(Q$1,'Исходник'!$1:$1,0)))</f>
        <v/>
      </c>
      <c r="R439" s="1" t="str">
        <f t="array" ref="R439">IFERROR(INDEX('Исходник'!$1:$626,MATCH($A439,'Исходник'!$T:$T,0),MATCH(R$1,'Исходник'!$1:$1,0)))</f>
        <v/>
      </c>
      <c r="S439" s="27">
        <f t="shared" si="7"/>
        <v>0</v>
      </c>
      <c r="T439" s="27" t="str">
        <f t="shared" si="8"/>
        <v/>
      </c>
      <c r="U439" s="1" t="str">
        <f t="array" ref="U439">IFERROR(INDEX('Исходник'!$1:$626,MATCH($A439,'Исходник'!$T:$T,0),MATCH(U$1,'Исходник'!$1:$1,0)))</f>
        <v/>
      </c>
      <c r="V439" s="27" t="str">
        <f t="shared" si="9"/>
        <v/>
      </c>
      <c r="W439" s="1" t="str">
        <f t="array" ref="W439">IFERROR(INDEX('Исходник'!$1:$626,MATCH($A439,'Исходник'!$T:$T,0),MATCH(W$1,'Исходник'!$1:$1,0)))</f>
        <v/>
      </c>
      <c r="X439" s="28">
        <f t="shared" si="10"/>
        <v>0</v>
      </c>
      <c r="Y439" s="1" t="str">
        <f t="array" ref="Y439">IFERROR(INDEX('Исходник'!$1:$626,MATCH($A439,'Исходник'!$T:$T,0),MATCH(Y$1,'Исходник'!$1:$1,0)))</f>
        <v/>
      </c>
      <c r="Z439" s="27">
        <f t="shared" si="11"/>
        <v>0</v>
      </c>
      <c r="AA439" s="27" t="str">
        <f t="shared" si="12"/>
        <v/>
      </c>
      <c r="AB439" s="1" t="str">
        <f t="array" ref="AB439">IFERROR(INDEX('Исходник'!$1:$626,MATCH($A439,'Исходник'!$T:$T,0),MATCH(AB$1,'Исходник'!$1:$1,0)))</f>
        <v/>
      </c>
      <c r="AC439" s="1" t="str">
        <f t="array" ref="AC439">IFERROR(INDEX('Исходник'!$1:$626,MATCH($A439,'Исходник'!$T:$T,0),MATCH(AC$1,'Исходник'!$1:$1,0)))</f>
        <v/>
      </c>
      <c r="AD439" s="27" t="str">
        <f t="shared" si="13"/>
        <v/>
      </c>
      <c r="AE439" s="1" t="str">
        <f t="array" ref="AE439">IFERROR(INDEX('Исходник'!$1:$626,MATCH($A439,'Исходник'!$T:$T,0),MATCH(AE$1,'Исходник'!$1:$1,0)))</f>
        <v/>
      </c>
      <c r="AF439" s="1" t="str">
        <f t="array" ref="AF439">IFERROR(INDEX('Исходник'!$1:$626,MATCH($A439,'Исходник'!$T:$T,0),MATCH(AF$1,'Исходник'!$1:$1,0)))</f>
        <v/>
      </c>
      <c r="AG439" s="27" t="str">
        <f t="shared" si="14"/>
        <v/>
      </c>
      <c r="AH439" s="1" t="str">
        <f t="array" ref="AH439">IFERROR(INDEX('Исходник'!$1:$626,MATCH($A439,'Исходник'!$T:$T,0),MATCH(AH$1,'Исходник'!$1:$1,0)))</f>
        <v/>
      </c>
      <c r="AI439" s="1" t="str">
        <f t="array" ref="AI439">IFERROR(INDEX('Исходник'!$1:$626,MATCH($A439,'Исходник'!$T:$T,0),MATCH(AI$1,'Исходник'!$1:$1,0)))</f>
        <v/>
      </c>
      <c r="AJ439" s="18">
        <f t="shared" si="15"/>
        <v>0</v>
      </c>
    </row>
    <row r="440" ht="15.75" customHeight="1">
      <c r="A440" s="27"/>
      <c r="B440" s="1" t="str">
        <f t="array" ref="B440">IFERROR(INDEX('Исходник'!$1:$626,MATCH($A440,'Исходник'!$T:$T,0),MATCH(B$1,'Исходник'!$1:$1,0)))</f>
        <v/>
      </c>
      <c r="C440" s="1" t="str">
        <f t="array" ref="C440">IFERROR(INDEX('Исходник'!$1:$626,MATCH($A440,'Исходник'!$T:$T,0),MATCH(C$1,'Исходник'!$1:$1,0)))</f>
        <v/>
      </c>
      <c r="D440" s="1" t="str">
        <f t="array" ref="D440">IFERROR(INDEX('Исходник'!$1:$626,MATCH($A440,'Исходник'!$T:$T,0),MATCH(D$1,'Исходник'!$1:$1,0)))</f>
        <v/>
      </c>
      <c r="E440" s="1" t="str">
        <f t="array" ref="E440">IFERROR(INDEX('Исходник'!$1:$626,MATCH($A440,'Исходник'!$T:$T,0),MATCH(E$1,'Исходник'!$1:$1,0)))</f>
        <v/>
      </c>
      <c r="F440" s="1" t="str">
        <f t="array" ref="F440">IFERROR(INDEX('Исходник'!$1:$626,MATCH($A440,'Исходник'!$T:$T,0),MATCH(F$1,'Исходник'!$1:$1,0)))</f>
        <v/>
      </c>
      <c r="G440" s="1" t="str">
        <f t="array" ref="G440">IFERROR(INDEX('Исходник'!$1:$626,MATCH($A440,'Исходник'!$T:$T,0),MATCH(G$1,'Исходник'!$1:$1,0)))</f>
        <v/>
      </c>
      <c r="H440" s="27">
        <f t="shared" si="1"/>
        <v>0</v>
      </c>
      <c r="I440" s="27" t="str">
        <f t="shared" si="2"/>
        <v/>
      </c>
      <c r="J440" s="1" t="str">
        <f t="array" ref="J440">IFERROR(INDEX('Исходник'!$1:$626,MATCH($A440,'Исходник'!$T:$T,0),MATCH(J$1,'Исходник'!$1:$1,0)))</f>
        <v/>
      </c>
      <c r="K440" s="27" t="str">
        <f t="shared" si="3"/>
        <v/>
      </c>
      <c r="L440" s="1" t="str">
        <f t="array" ref="L440">IFERROR(INDEX('Исходник'!$1:$626,MATCH($A440,'Исходник'!$T:$T,0),MATCH(L$1,'Исходник'!$1:$1,0)))</f>
        <v/>
      </c>
      <c r="M440" s="28">
        <f t="shared" si="4"/>
        <v>0</v>
      </c>
      <c r="N440" s="1" t="str">
        <f t="array" ref="N440">IFERROR(INDEX('Исходник'!$1:$626,MATCH($A440,'Исходник'!$T:$T,0),MATCH(N$1,'Исходник'!$1:$1,0)))</f>
        <v/>
      </c>
      <c r="O440" s="27">
        <f t="shared" si="5"/>
        <v>0</v>
      </c>
      <c r="P440" s="27" t="str">
        <f t="shared" si="6"/>
        <v/>
      </c>
      <c r="Q440" s="1" t="str">
        <f t="array" ref="Q440">IFERROR(INDEX('Исходник'!$1:$626,MATCH($A440,'Исходник'!$T:$T,0),MATCH(Q$1,'Исходник'!$1:$1,0)))</f>
        <v/>
      </c>
      <c r="R440" s="1" t="str">
        <f t="array" ref="R440">IFERROR(INDEX('Исходник'!$1:$626,MATCH($A440,'Исходник'!$T:$T,0),MATCH(R$1,'Исходник'!$1:$1,0)))</f>
        <v/>
      </c>
      <c r="S440" s="27">
        <f t="shared" si="7"/>
        <v>0</v>
      </c>
      <c r="T440" s="27" t="str">
        <f t="shared" si="8"/>
        <v/>
      </c>
      <c r="U440" s="1" t="str">
        <f t="array" ref="U440">IFERROR(INDEX('Исходник'!$1:$626,MATCH($A440,'Исходник'!$T:$T,0),MATCH(U$1,'Исходник'!$1:$1,0)))</f>
        <v/>
      </c>
      <c r="V440" s="27" t="str">
        <f t="shared" si="9"/>
        <v/>
      </c>
      <c r="W440" s="1" t="str">
        <f t="array" ref="W440">IFERROR(INDEX('Исходник'!$1:$626,MATCH($A440,'Исходник'!$T:$T,0),MATCH(W$1,'Исходник'!$1:$1,0)))</f>
        <v/>
      </c>
      <c r="X440" s="28">
        <f t="shared" si="10"/>
        <v>0</v>
      </c>
      <c r="Y440" s="1" t="str">
        <f t="array" ref="Y440">IFERROR(INDEX('Исходник'!$1:$626,MATCH($A440,'Исходник'!$T:$T,0),MATCH(Y$1,'Исходник'!$1:$1,0)))</f>
        <v/>
      </c>
      <c r="Z440" s="27">
        <f t="shared" si="11"/>
        <v>0</v>
      </c>
      <c r="AA440" s="27" t="str">
        <f t="shared" si="12"/>
        <v/>
      </c>
      <c r="AB440" s="1" t="str">
        <f t="array" ref="AB440">IFERROR(INDEX('Исходник'!$1:$626,MATCH($A440,'Исходник'!$T:$T,0),MATCH(AB$1,'Исходник'!$1:$1,0)))</f>
        <v/>
      </c>
      <c r="AC440" s="1" t="str">
        <f t="array" ref="AC440">IFERROR(INDEX('Исходник'!$1:$626,MATCH($A440,'Исходник'!$T:$T,0),MATCH(AC$1,'Исходник'!$1:$1,0)))</f>
        <v/>
      </c>
      <c r="AD440" s="27" t="str">
        <f t="shared" si="13"/>
        <v/>
      </c>
      <c r="AE440" s="1" t="str">
        <f t="array" ref="AE440">IFERROR(INDEX('Исходник'!$1:$626,MATCH($A440,'Исходник'!$T:$T,0),MATCH(AE$1,'Исходник'!$1:$1,0)))</f>
        <v/>
      </c>
      <c r="AF440" s="1" t="str">
        <f t="array" ref="AF440">IFERROR(INDEX('Исходник'!$1:$626,MATCH($A440,'Исходник'!$T:$T,0),MATCH(AF$1,'Исходник'!$1:$1,0)))</f>
        <v/>
      </c>
      <c r="AG440" s="27" t="str">
        <f t="shared" si="14"/>
        <v/>
      </c>
      <c r="AH440" s="1" t="str">
        <f t="array" ref="AH440">IFERROR(INDEX('Исходник'!$1:$626,MATCH($A440,'Исходник'!$T:$T,0),MATCH(AH$1,'Исходник'!$1:$1,0)))</f>
        <v/>
      </c>
      <c r="AI440" s="1" t="str">
        <f t="array" ref="AI440">IFERROR(INDEX('Исходник'!$1:$626,MATCH($A440,'Исходник'!$T:$T,0),MATCH(AI$1,'Исходник'!$1:$1,0)))</f>
        <v/>
      </c>
      <c r="AJ440" s="18">
        <f t="shared" si="15"/>
        <v>0</v>
      </c>
    </row>
    <row r="441" ht="15.75" customHeight="1">
      <c r="A441" s="27"/>
      <c r="B441" s="1" t="str">
        <f t="array" ref="B441">IFERROR(INDEX('Исходник'!$1:$626,MATCH($A441,'Исходник'!$T:$T,0),MATCH(B$1,'Исходник'!$1:$1,0)))</f>
        <v/>
      </c>
      <c r="C441" s="1" t="str">
        <f t="array" ref="C441">IFERROR(INDEX('Исходник'!$1:$626,MATCH($A441,'Исходник'!$T:$T,0),MATCH(C$1,'Исходник'!$1:$1,0)))</f>
        <v/>
      </c>
      <c r="D441" s="1" t="str">
        <f t="array" ref="D441">IFERROR(INDEX('Исходник'!$1:$626,MATCH($A441,'Исходник'!$T:$T,0),MATCH(D$1,'Исходник'!$1:$1,0)))</f>
        <v/>
      </c>
      <c r="E441" s="1" t="str">
        <f t="array" ref="E441">IFERROR(INDEX('Исходник'!$1:$626,MATCH($A441,'Исходник'!$T:$T,0),MATCH(E$1,'Исходник'!$1:$1,0)))</f>
        <v/>
      </c>
      <c r="F441" s="1" t="str">
        <f t="array" ref="F441">IFERROR(INDEX('Исходник'!$1:$626,MATCH($A441,'Исходник'!$T:$T,0),MATCH(F$1,'Исходник'!$1:$1,0)))</f>
        <v/>
      </c>
      <c r="G441" s="1" t="str">
        <f t="array" ref="G441">IFERROR(INDEX('Исходник'!$1:$626,MATCH($A441,'Исходник'!$T:$T,0),MATCH(G$1,'Исходник'!$1:$1,0)))</f>
        <v/>
      </c>
      <c r="H441" s="27">
        <f t="shared" si="1"/>
        <v>0</v>
      </c>
      <c r="I441" s="27" t="str">
        <f t="shared" si="2"/>
        <v/>
      </c>
      <c r="J441" s="1" t="str">
        <f t="array" ref="J441">IFERROR(INDEX('Исходник'!$1:$626,MATCH($A441,'Исходник'!$T:$T,0),MATCH(J$1,'Исходник'!$1:$1,0)))</f>
        <v/>
      </c>
      <c r="K441" s="27" t="str">
        <f t="shared" si="3"/>
        <v/>
      </c>
      <c r="L441" s="1" t="str">
        <f t="array" ref="L441">IFERROR(INDEX('Исходник'!$1:$626,MATCH($A441,'Исходник'!$T:$T,0),MATCH(L$1,'Исходник'!$1:$1,0)))</f>
        <v/>
      </c>
      <c r="M441" s="28">
        <f t="shared" si="4"/>
        <v>0</v>
      </c>
      <c r="N441" s="1" t="str">
        <f t="array" ref="N441">IFERROR(INDEX('Исходник'!$1:$626,MATCH($A441,'Исходник'!$T:$T,0),MATCH(N$1,'Исходник'!$1:$1,0)))</f>
        <v/>
      </c>
      <c r="O441" s="27">
        <f t="shared" si="5"/>
        <v>0</v>
      </c>
      <c r="P441" s="27" t="str">
        <f t="shared" si="6"/>
        <v/>
      </c>
      <c r="Q441" s="1" t="str">
        <f t="array" ref="Q441">IFERROR(INDEX('Исходник'!$1:$626,MATCH($A441,'Исходник'!$T:$T,0),MATCH(Q$1,'Исходник'!$1:$1,0)))</f>
        <v/>
      </c>
      <c r="R441" s="1" t="str">
        <f t="array" ref="R441">IFERROR(INDEX('Исходник'!$1:$626,MATCH($A441,'Исходник'!$T:$T,0),MATCH(R$1,'Исходник'!$1:$1,0)))</f>
        <v/>
      </c>
      <c r="S441" s="27">
        <f t="shared" si="7"/>
        <v>0</v>
      </c>
      <c r="T441" s="27" t="str">
        <f t="shared" si="8"/>
        <v/>
      </c>
      <c r="U441" s="1" t="str">
        <f t="array" ref="U441">IFERROR(INDEX('Исходник'!$1:$626,MATCH($A441,'Исходник'!$T:$T,0),MATCH(U$1,'Исходник'!$1:$1,0)))</f>
        <v/>
      </c>
      <c r="V441" s="27" t="str">
        <f t="shared" si="9"/>
        <v/>
      </c>
      <c r="W441" s="1" t="str">
        <f t="array" ref="W441">IFERROR(INDEX('Исходник'!$1:$626,MATCH($A441,'Исходник'!$T:$T,0),MATCH(W$1,'Исходник'!$1:$1,0)))</f>
        <v/>
      </c>
      <c r="X441" s="28">
        <f t="shared" si="10"/>
        <v>0</v>
      </c>
      <c r="Y441" s="1" t="str">
        <f t="array" ref="Y441">IFERROR(INDEX('Исходник'!$1:$626,MATCH($A441,'Исходник'!$T:$T,0),MATCH(Y$1,'Исходник'!$1:$1,0)))</f>
        <v/>
      </c>
      <c r="Z441" s="27">
        <f t="shared" si="11"/>
        <v>0</v>
      </c>
      <c r="AA441" s="27" t="str">
        <f t="shared" si="12"/>
        <v/>
      </c>
      <c r="AB441" s="1" t="str">
        <f t="array" ref="AB441">IFERROR(INDEX('Исходник'!$1:$626,MATCH($A441,'Исходник'!$T:$T,0),MATCH(AB$1,'Исходник'!$1:$1,0)))</f>
        <v/>
      </c>
      <c r="AC441" s="1" t="str">
        <f t="array" ref="AC441">IFERROR(INDEX('Исходник'!$1:$626,MATCH($A441,'Исходник'!$T:$T,0),MATCH(AC$1,'Исходник'!$1:$1,0)))</f>
        <v/>
      </c>
      <c r="AD441" s="27" t="str">
        <f t="shared" si="13"/>
        <v/>
      </c>
      <c r="AE441" s="1" t="str">
        <f t="array" ref="AE441">IFERROR(INDEX('Исходник'!$1:$626,MATCH($A441,'Исходник'!$T:$T,0),MATCH(AE$1,'Исходник'!$1:$1,0)))</f>
        <v/>
      </c>
      <c r="AF441" s="1" t="str">
        <f t="array" ref="AF441">IFERROR(INDEX('Исходник'!$1:$626,MATCH($A441,'Исходник'!$T:$T,0),MATCH(AF$1,'Исходник'!$1:$1,0)))</f>
        <v/>
      </c>
      <c r="AG441" s="27" t="str">
        <f t="shared" si="14"/>
        <v/>
      </c>
      <c r="AH441" s="1" t="str">
        <f t="array" ref="AH441">IFERROR(INDEX('Исходник'!$1:$626,MATCH($A441,'Исходник'!$T:$T,0),MATCH(AH$1,'Исходник'!$1:$1,0)))</f>
        <v/>
      </c>
      <c r="AI441" s="1" t="str">
        <f t="array" ref="AI441">IFERROR(INDEX('Исходник'!$1:$626,MATCH($A441,'Исходник'!$T:$T,0),MATCH(AI$1,'Исходник'!$1:$1,0)))</f>
        <v/>
      </c>
      <c r="AJ441" s="18">
        <f t="shared" si="15"/>
        <v>0</v>
      </c>
    </row>
    <row r="442" ht="15.75" customHeight="1">
      <c r="A442" s="27"/>
      <c r="B442" s="1" t="str">
        <f t="array" ref="B442">IFERROR(INDEX('Исходник'!$1:$626,MATCH($A442,'Исходник'!$T:$T,0),MATCH(B$1,'Исходник'!$1:$1,0)))</f>
        <v/>
      </c>
      <c r="C442" s="1" t="str">
        <f t="array" ref="C442">IFERROR(INDEX('Исходник'!$1:$626,MATCH($A442,'Исходник'!$T:$T,0),MATCH(C$1,'Исходник'!$1:$1,0)))</f>
        <v/>
      </c>
      <c r="D442" s="1" t="str">
        <f t="array" ref="D442">IFERROR(INDEX('Исходник'!$1:$626,MATCH($A442,'Исходник'!$T:$T,0),MATCH(D$1,'Исходник'!$1:$1,0)))</f>
        <v/>
      </c>
      <c r="E442" s="1" t="str">
        <f t="array" ref="E442">IFERROR(INDEX('Исходник'!$1:$626,MATCH($A442,'Исходник'!$T:$T,0),MATCH(E$1,'Исходник'!$1:$1,0)))</f>
        <v/>
      </c>
      <c r="F442" s="1" t="str">
        <f t="array" ref="F442">IFERROR(INDEX('Исходник'!$1:$626,MATCH($A442,'Исходник'!$T:$T,0),MATCH(F$1,'Исходник'!$1:$1,0)))</f>
        <v/>
      </c>
      <c r="G442" s="1" t="str">
        <f t="array" ref="G442">IFERROR(INDEX('Исходник'!$1:$626,MATCH($A442,'Исходник'!$T:$T,0),MATCH(G$1,'Исходник'!$1:$1,0)))</f>
        <v/>
      </c>
      <c r="H442" s="27">
        <f t="shared" si="1"/>
        <v>0</v>
      </c>
      <c r="I442" s="27" t="str">
        <f t="shared" si="2"/>
        <v/>
      </c>
      <c r="J442" s="1" t="str">
        <f t="array" ref="J442">IFERROR(INDEX('Исходник'!$1:$626,MATCH($A442,'Исходник'!$T:$T,0),MATCH(J$1,'Исходник'!$1:$1,0)))</f>
        <v/>
      </c>
      <c r="K442" s="27" t="str">
        <f t="shared" si="3"/>
        <v/>
      </c>
      <c r="L442" s="1" t="str">
        <f t="array" ref="L442">IFERROR(INDEX('Исходник'!$1:$626,MATCH($A442,'Исходник'!$T:$T,0),MATCH(L$1,'Исходник'!$1:$1,0)))</f>
        <v/>
      </c>
      <c r="M442" s="28">
        <f t="shared" si="4"/>
        <v>0</v>
      </c>
      <c r="N442" s="1" t="str">
        <f t="array" ref="N442">IFERROR(INDEX('Исходник'!$1:$626,MATCH($A442,'Исходник'!$T:$T,0),MATCH(N$1,'Исходник'!$1:$1,0)))</f>
        <v/>
      </c>
      <c r="O442" s="27">
        <f t="shared" si="5"/>
        <v>0</v>
      </c>
      <c r="P442" s="27" t="str">
        <f t="shared" si="6"/>
        <v/>
      </c>
      <c r="Q442" s="1" t="str">
        <f t="array" ref="Q442">IFERROR(INDEX('Исходник'!$1:$626,MATCH($A442,'Исходник'!$T:$T,0),MATCH(Q$1,'Исходник'!$1:$1,0)))</f>
        <v/>
      </c>
      <c r="R442" s="1" t="str">
        <f t="array" ref="R442">IFERROR(INDEX('Исходник'!$1:$626,MATCH($A442,'Исходник'!$T:$T,0),MATCH(R$1,'Исходник'!$1:$1,0)))</f>
        <v/>
      </c>
      <c r="S442" s="27">
        <f t="shared" si="7"/>
        <v>0</v>
      </c>
      <c r="T442" s="27" t="str">
        <f t="shared" si="8"/>
        <v/>
      </c>
      <c r="U442" s="1" t="str">
        <f t="array" ref="U442">IFERROR(INDEX('Исходник'!$1:$626,MATCH($A442,'Исходник'!$T:$T,0),MATCH(U$1,'Исходник'!$1:$1,0)))</f>
        <v/>
      </c>
      <c r="V442" s="27" t="str">
        <f t="shared" si="9"/>
        <v/>
      </c>
      <c r="W442" s="1" t="str">
        <f t="array" ref="W442">IFERROR(INDEX('Исходник'!$1:$626,MATCH($A442,'Исходник'!$T:$T,0),MATCH(W$1,'Исходник'!$1:$1,0)))</f>
        <v/>
      </c>
      <c r="X442" s="28">
        <f t="shared" si="10"/>
        <v>0</v>
      </c>
      <c r="Y442" s="1" t="str">
        <f t="array" ref="Y442">IFERROR(INDEX('Исходник'!$1:$626,MATCH($A442,'Исходник'!$T:$T,0),MATCH(Y$1,'Исходник'!$1:$1,0)))</f>
        <v/>
      </c>
      <c r="Z442" s="27">
        <f t="shared" si="11"/>
        <v>0</v>
      </c>
      <c r="AA442" s="27" t="str">
        <f t="shared" si="12"/>
        <v/>
      </c>
      <c r="AB442" s="1" t="str">
        <f t="array" ref="AB442">IFERROR(INDEX('Исходник'!$1:$626,MATCH($A442,'Исходник'!$T:$T,0),MATCH(AB$1,'Исходник'!$1:$1,0)))</f>
        <v/>
      </c>
      <c r="AC442" s="1" t="str">
        <f t="array" ref="AC442">IFERROR(INDEX('Исходник'!$1:$626,MATCH($A442,'Исходник'!$T:$T,0),MATCH(AC$1,'Исходник'!$1:$1,0)))</f>
        <v/>
      </c>
      <c r="AD442" s="27" t="str">
        <f t="shared" si="13"/>
        <v/>
      </c>
      <c r="AE442" s="1" t="str">
        <f t="array" ref="AE442">IFERROR(INDEX('Исходник'!$1:$626,MATCH($A442,'Исходник'!$T:$T,0),MATCH(AE$1,'Исходник'!$1:$1,0)))</f>
        <v/>
      </c>
      <c r="AF442" s="1" t="str">
        <f t="array" ref="AF442">IFERROR(INDEX('Исходник'!$1:$626,MATCH($A442,'Исходник'!$T:$T,0),MATCH(AF$1,'Исходник'!$1:$1,0)))</f>
        <v/>
      </c>
      <c r="AG442" s="27" t="str">
        <f t="shared" si="14"/>
        <v/>
      </c>
      <c r="AH442" s="1" t="str">
        <f t="array" ref="AH442">IFERROR(INDEX('Исходник'!$1:$626,MATCH($A442,'Исходник'!$T:$T,0),MATCH(AH$1,'Исходник'!$1:$1,0)))</f>
        <v/>
      </c>
      <c r="AI442" s="1" t="str">
        <f t="array" ref="AI442">IFERROR(INDEX('Исходник'!$1:$626,MATCH($A442,'Исходник'!$T:$T,0),MATCH(AI$1,'Исходник'!$1:$1,0)))</f>
        <v/>
      </c>
      <c r="AJ442" s="18">
        <f t="shared" si="15"/>
        <v>0</v>
      </c>
    </row>
    <row r="443" ht="15.75" customHeight="1">
      <c r="A443" s="27"/>
      <c r="B443" s="1" t="str">
        <f t="array" ref="B443">IFERROR(INDEX('Исходник'!$1:$626,MATCH($A443,'Исходник'!$T:$T,0),MATCH(B$1,'Исходник'!$1:$1,0)))</f>
        <v/>
      </c>
      <c r="C443" s="1" t="str">
        <f t="array" ref="C443">IFERROR(INDEX('Исходник'!$1:$626,MATCH($A443,'Исходник'!$T:$T,0),MATCH(C$1,'Исходник'!$1:$1,0)))</f>
        <v/>
      </c>
      <c r="D443" s="1" t="str">
        <f t="array" ref="D443">IFERROR(INDEX('Исходник'!$1:$626,MATCH($A443,'Исходник'!$T:$T,0),MATCH(D$1,'Исходник'!$1:$1,0)))</f>
        <v/>
      </c>
      <c r="E443" s="1" t="str">
        <f t="array" ref="E443">IFERROR(INDEX('Исходник'!$1:$626,MATCH($A443,'Исходник'!$T:$T,0),MATCH(E$1,'Исходник'!$1:$1,0)))</f>
        <v/>
      </c>
      <c r="F443" s="1" t="str">
        <f t="array" ref="F443">IFERROR(INDEX('Исходник'!$1:$626,MATCH($A443,'Исходник'!$T:$T,0),MATCH(F$1,'Исходник'!$1:$1,0)))</f>
        <v/>
      </c>
      <c r="G443" s="1" t="str">
        <f t="array" ref="G443">IFERROR(INDEX('Исходник'!$1:$626,MATCH($A443,'Исходник'!$T:$T,0),MATCH(G$1,'Исходник'!$1:$1,0)))</f>
        <v/>
      </c>
      <c r="H443" s="27">
        <f t="shared" si="1"/>
        <v>0</v>
      </c>
      <c r="I443" s="27" t="str">
        <f t="shared" si="2"/>
        <v/>
      </c>
      <c r="J443" s="1" t="str">
        <f t="array" ref="J443">IFERROR(INDEX('Исходник'!$1:$626,MATCH($A443,'Исходник'!$T:$T,0),MATCH(J$1,'Исходник'!$1:$1,0)))</f>
        <v/>
      </c>
      <c r="K443" s="27" t="str">
        <f t="shared" si="3"/>
        <v/>
      </c>
      <c r="L443" s="1" t="str">
        <f t="array" ref="L443">IFERROR(INDEX('Исходник'!$1:$626,MATCH($A443,'Исходник'!$T:$T,0),MATCH(L$1,'Исходник'!$1:$1,0)))</f>
        <v/>
      </c>
      <c r="M443" s="28">
        <f t="shared" si="4"/>
        <v>0</v>
      </c>
      <c r="N443" s="1" t="str">
        <f t="array" ref="N443">IFERROR(INDEX('Исходник'!$1:$626,MATCH($A443,'Исходник'!$T:$T,0),MATCH(N$1,'Исходник'!$1:$1,0)))</f>
        <v/>
      </c>
      <c r="O443" s="27">
        <f t="shared" si="5"/>
        <v>0</v>
      </c>
      <c r="P443" s="27" t="str">
        <f t="shared" si="6"/>
        <v/>
      </c>
      <c r="Q443" s="1" t="str">
        <f t="array" ref="Q443">IFERROR(INDEX('Исходник'!$1:$626,MATCH($A443,'Исходник'!$T:$T,0),MATCH(Q$1,'Исходник'!$1:$1,0)))</f>
        <v/>
      </c>
      <c r="R443" s="1" t="str">
        <f t="array" ref="R443">IFERROR(INDEX('Исходник'!$1:$626,MATCH($A443,'Исходник'!$T:$T,0),MATCH(R$1,'Исходник'!$1:$1,0)))</f>
        <v/>
      </c>
      <c r="S443" s="27">
        <f t="shared" si="7"/>
        <v>0</v>
      </c>
      <c r="T443" s="27" t="str">
        <f t="shared" si="8"/>
        <v/>
      </c>
      <c r="U443" s="1" t="str">
        <f t="array" ref="U443">IFERROR(INDEX('Исходник'!$1:$626,MATCH($A443,'Исходник'!$T:$T,0),MATCH(U$1,'Исходник'!$1:$1,0)))</f>
        <v/>
      </c>
      <c r="V443" s="27" t="str">
        <f t="shared" si="9"/>
        <v/>
      </c>
      <c r="W443" s="1" t="str">
        <f t="array" ref="W443">IFERROR(INDEX('Исходник'!$1:$626,MATCH($A443,'Исходник'!$T:$T,0),MATCH(W$1,'Исходник'!$1:$1,0)))</f>
        <v/>
      </c>
      <c r="X443" s="28">
        <f t="shared" si="10"/>
        <v>0</v>
      </c>
      <c r="Y443" s="1" t="str">
        <f t="array" ref="Y443">IFERROR(INDEX('Исходник'!$1:$626,MATCH($A443,'Исходник'!$T:$T,0),MATCH(Y$1,'Исходник'!$1:$1,0)))</f>
        <v/>
      </c>
      <c r="Z443" s="27">
        <f t="shared" si="11"/>
        <v>0</v>
      </c>
      <c r="AA443" s="27" t="str">
        <f t="shared" si="12"/>
        <v/>
      </c>
      <c r="AB443" s="1" t="str">
        <f t="array" ref="AB443">IFERROR(INDEX('Исходник'!$1:$626,MATCH($A443,'Исходник'!$T:$T,0),MATCH(AB$1,'Исходник'!$1:$1,0)))</f>
        <v/>
      </c>
      <c r="AC443" s="1" t="str">
        <f t="array" ref="AC443">IFERROR(INDEX('Исходник'!$1:$626,MATCH($A443,'Исходник'!$T:$T,0),MATCH(AC$1,'Исходник'!$1:$1,0)))</f>
        <v/>
      </c>
      <c r="AD443" s="27" t="str">
        <f t="shared" si="13"/>
        <v/>
      </c>
      <c r="AE443" s="1" t="str">
        <f t="array" ref="AE443">IFERROR(INDEX('Исходник'!$1:$626,MATCH($A443,'Исходник'!$T:$T,0),MATCH(AE$1,'Исходник'!$1:$1,0)))</f>
        <v/>
      </c>
      <c r="AF443" s="1" t="str">
        <f t="array" ref="AF443">IFERROR(INDEX('Исходник'!$1:$626,MATCH($A443,'Исходник'!$T:$T,0),MATCH(AF$1,'Исходник'!$1:$1,0)))</f>
        <v/>
      </c>
      <c r="AG443" s="27" t="str">
        <f t="shared" si="14"/>
        <v/>
      </c>
      <c r="AH443" s="1" t="str">
        <f t="array" ref="AH443">IFERROR(INDEX('Исходник'!$1:$626,MATCH($A443,'Исходник'!$T:$T,0),MATCH(AH$1,'Исходник'!$1:$1,0)))</f>
        <v/>
      </c>
      <c r="AI443" s="1" t="str">
        <f t="array" ref="AI443">IFERROR(INDEX('Исходник'!$1:$626,MATCH($A443,'Исходник'!$T:$T,0),MATCH(AI$1,'Исходник'!$1:$1,0)))</f>
        <v/>
      </c>
      <c r="AJ443" s="18">
        <f t="shared" si="15"/>
        <v>0</v>
      </c>
    </row>
    <row r="444" ht="15.75" customHeight="1">
      <c r="A444" s="27"/>
      <c r="B444" s="1" t="str">
        <f t="array" ref="B444">IFERROR(INDEX('Исходник'!$1:$626,MATCH($A444,'Исходник'!$T:$T,0),MATCH(B$1,'Исходник'!$1:$1,0)))</f>
        <v/>
      </c>
      <c r="C444" s="1" t="str">
        <f t="array" ref="C444">IFERROR(INDEX('Исходник'!$1:$626,MATCH($A444,'Исходник'!$T:$T,0),MATCH(C$1,'Исходник'!$1:$1,0)))</f>
        <v/>
      </c>
      <c r="D444" s="1" t="str">
        <f t="array" ref="D444">IFERROR(INDEX('Исходник'!$1:$626,MATCH($A444,'Исходник'!$T:$T,0),MATCH(D$1,'Исходник'!$1:$1,0)))</f>
        <v/>
      </c>
      <c r="E444" s="1" t="str">
        <f t="array" ref="E444">IFERROR(INDEX('Исходник'!$1:$626,MATCH($A444,'Исходник'!$T:$T,0),MATCH(E$1,'Исходник'!$1:$1,0)))</f>
        <v/>
      </c>
      <c r="F444" s="1" t="str">
        <f t="array" ref="F444">IFERROR(INDEX('Исходник'!$1:$626,MATCH($A444,'Исходник'!$T:$T,0),MATCH(F$1,'Исходник'!$1:$1,0)))</f>
        <v/>
      </c>
      <c r="G444" s="1" t="str">
        <f t="array" ref="G444">IFERROR(INDEX('Исходник'!$1:$626,MATCH($A444,'Исходник'!$T:$T,0),MATCH(G$1,'Исходник'!$1:$1,0)))</f>
        <v/>
      </c>
      <c r="H444" s="27">
        <f t="shared" si="1"/>
        <v>0</v>
      </c>
      <c r="I444" s="27" t="str">
        <f t="shared" si="2"/>
        <v/>
      </c>
      <c r="J444" s="1" t="str">
        <f t="array" ref="J444">IFERROR(INDEX('Исходник'!$1:$626,MATCH($A444,'Исходник'!$T:$T,0),MATCH(J$1,'Исходник'!$1:$1,0)))</f>
        <v/>
      </c>
      <c r="K444" s="27" t="str">
        <f t="shared" si="3"/>
        <v/>
      </c>
      <c r="L444" s="1" t="str">
        <f t="array" ref="L444">IFERROR(INDEX('Исходник'!$1:$626,MATCH($A444,'Исходник'!$T:$T,0),MATCH(L$1,'Исходник'!$1:$1,0)))</f>
        <v/>
      </c>
      <c r="M444" s="28">
        <f t="shared" si="4"/>
        <v>0</v>
      </c>
      <c r="N444" s="1" t="str">
        <f t="array" ref="N444">IFERROR(INDEX('Исходник'!$1:$626,MATCH($A444,'Исходник'!$T:$T,0),MATCH(N$1,'Исходник'!$1:$1,0)))</f>
        <v/>
      </c>
      <c r="O444" s="27">
        <f t="shared" si="5"/>
        <v>0</v>
      </c>
      <c r="P444" s="27" t="str">
        <f t="shared" si="6"/>
        <v/>
      </c>
      <c r="Q444" s="1" t="str">
        <f t="array" ref="Q444">IFERROR(INDEX('Исходник'!$1:$626,MATCH($A444,'Исходник'!$T:$T,0),MATCH(Q$1,'Исходник'!$1:$1,0)))</f>
        <v/>
      </c>
      <c r="R444" s="1" t="str">
        <f t="array" ref="R444">IFERROR(INDEX('Исходник'!$1:$626,MATCH($A444,'Исходник'!$T:$T,0),MATCH(R$1,'Исходник'!$1:$1,0)))</f>
        <v/>
      </c>
      <c r="S444" s="27">
        <f t="shared" si="7"/>
        <v>0</v>
      </c>
      <c r="T444" s="27" t="str">
        <f t="shared" si="8"/>
        <v/>
      </c>
      <c r="U444" s="1" t="str">
        <f t="array" ref="U444">IFERROR(INDEX('Исходник'!$1:$626,MATCH($A444,'Исходник'!$T:$T,0),MATCH(U$1,'Исходник'!$1:$1,0)))</f>
        <v/>
      </c>
      <c r="V444" s="27" t="str">
        <f t="shared" si="9"/>
        <v/>
      </c>
      <c r="W444" s="1" t="str">
        <f t="array" ref="W444">IFERROR(INDEX('Исходник'!$1:$626,MATCH($A444,'Исходник'!$T:$T,0),MATCH(W$1,'Исходник'!$1:$1,0)))</f>
        <v/>
      </c>
      <c r="X444" s="28">
        <f t="shared" si="10"/>
        <v>0</v>
      </c>
      <c r="Y444" s="1" t="str">
        <f t="array" ref="Y444">IFERROR(INDEX('Исходник'!$1:$626,MATCH($A444,'Исходник'!$T:$T,0),MATCH(Y$1,'Исходник'!$1:$1,0)))</f>
        <v/>
      </c>
      <c r="Z444" s="27">
        <f t="shared" si="11"/>
        <v>0</v>
      </c>
      <c r="AA444" s="27" t="str">
        <f t="shared" si="12"/>
        <v/>
      </c>
      <c r="AB444" s="1" t="str">
        <f t="array" ref="AB444">IFERROR(INDEX('Исходник'!$1:$626,MATCH($A444,'Исходник'!$T:$T,0),MATCH(AB$1,'Исходник'!$1:$1,0)))</f>
        <v/>
      </c>
      <c r="AC444" s="1" t="str">
        <f t="array" ref="AC444">IFERROR(INDEX('Исходник'!$1:$626,MATCH($A444,'Исходник'!$T:$T,0),MATCH(AC$1,'Исходник'!$1:$1,0)))</f>
        <v/>
      </c>
      <c r="AD444" s="27" t="str">
        <f t="shared" si="13"/>
        <v/>
      </c>
      <c r="AE444" s="1" t="str">
        <f t="array" ref="AE444">IFERROR(INDEX('Исходник'!$1:$626,MATCH($A444,'Исходник'!$T:$T,0),MATCH(AE$1,'Исходник'!$1:$1,0)))</f>
        <v/>
      </c>
      <c r="AF444" s="1" t="str">
        <f t="array" ref="AF444">IFERROR(INDEX('Исходник'!$1:$626,MATCH($A444,'Исходник'!$T:$T,0),MATCH(AF$1,'Исходник'!$1:$1,0)))</f>
        <v/>
      </c>
      <c r="AG444" s="27" t="str">
        <f t="shared" si="14"/>
        <v/>
      </c>
      <c r="AH444" s="1" t="str">
        <f t="array" ref="AH444">IFERROR(INDEX('Исходник'!$1:$626,MATCH($A444,'Исходник'!$T:$T,0),MATCH(AH$1,'Исходник'!$1:$1,0)))</f>
        <v/>
      </c>
      <c r="AI444" s="1" t="str">
        <f t="array" ref="AI444">IFERROR(INDEX('Исходник'!$1:$626,MATCH($A444,'Исходник'!$T:$T,0),MATCH(AI$1,'Исходник'!$1:$1,0)))</f>
        <v/>
      </c>
      <c r="AJ444" s="18">
        <f t="shared" si="15"/>
        <v>0</v>
      </c>
    </row>
    <row r="445" ht="15.75" customHeight="1">
      <c r="A445" s="27"/>
      <c r="B445" s="1" t="str">
        <f t="array" ref="B445">IFERROR(INDEX('Исходник'!$1:$626,MATCH($A445,'Исходник'!$T:$T,0),MATCH(B$1,'Исходник'!$1:$1,0)))</f>
        <v/>
      </c>
      <c r="C445" s="1" t="str">
        <f t="array" ref="C445">IFERROR(INDEX('Исходник'!$1:$626,MATCH($A445,'Исходник'!$T:$T,0),MATCH(C$1,'Исходник'!$1:$1,0)))</f>
        <v/>
      </c>
      <c r="D445" s="1" t="str">
        <f t="array" ref="D445">IFERROR(INDEX('Исходник'!$1:$626,MATCH($A445,'Исходник'!$T:$T,0),MATCH(D$1,'Исходник'!$1:$1,0)))</f>
        <v/>
      </c>
      <c r="E445" s="1" t="str">
        <f t="array" ref="E445">IFERROR(INDEX('Исходник'!$1:$626,MATCH($A445,'Исходник'!$T:$T,0),MATCH(E$1,'Исходник'!$1:$1,0)))</f>
        <v/>
      </c>
      <c r="F445" s="1" t="str">
        <f t="array" ref="F445">IFERROR(INDEX('Исходник'!$1:$626,MATCH($A445,'Исходник'!$T:$T,0),MATCH(F$1,'Исходник'!$1:$1,0)))</f>
        <v/>
      </c>
      <c r="G445" s="1" t="str">
        <f t="array" ref="G445">IFERROR(INDEX('Исходник'!$1:$626,MATCH($A445,'Исходник'!$T:$T,0),MATCH(G$1,'Исходник'!$1:$1,0)))</f>
        <v/>
      </c>
      <c r="H445" s="27">
        <f t="shared" si="1"/>
        <v>0</v>
      </c>
      <c r="I445" s="27" t="str">
        <f t="shared" si="2"/>
        <v/>
      </c>
      <c r="J445" s="1" t="str">
        <f t="array" ref="J445">IFERROR(INDEX('Исходник'!$1:$626,MATCH($A445,'Исходник'!$T:$T,0),MATCH(J$1,'Исходник'!$1:$1,0)))</f>
        <v/>
      </c>
      <c r="K445" s="27" t="str">
        <f t="shared" si="3"/>
        <v/>
      </c>
      <c r="L445" s="1" t="str">
        <f t="array" ref="L445">IFERROR(INDEX('Исходник'!$1:$626,MATCH($A445,'Исходник'!$T:$T,0),MATCH(L$1,'Исходник'!$1:$1,0)))</f>
        <v/>
      </c>
      <c r="M445" s="28">
        <f t="shared" si="4"/>
        <v>0</v>
      </c>
      <c r="N445" s="1" t="str">
        <f t="array" ref="N445">IFERROR(INDEX('Исходник'!$1:$626,MATCH($A445,'Исходник'!$T:$T,0),MATCH(N$1,'Исходник'!$1:$1,0)))</f>
        <v/>
      </c>
      <c r="O445" s="27">
        <f t="shared" si="5"/>
        <v>0</v>
      </c>
      <c r="P445" s="27" t="str">
        <f t="shared" si="6"/>
        <v/>
      </c>
      <c r="Q445" s="1" t="str">
        <f t="array" ref="Q445">IFERROR(INDEX('Исходник'!$1:$626,MATCH($A445,'Исходник'!$T:$T,0),MATCH(Q$1,'Исходник'!$1:$1,0)))</f>
        <v/>
      </c>
      <c r="R445" s="1" t="str">
        <f t="array" ref="R445">IFERROR(INDEX('Исходник'!$1:$626,MATCH($A445,'Исходник'!$T:$T,0),MATCH(R$1,'Исходник'!$1:$1,0)))</f>
        <v/>
      </c>
      <c r="S445" s="27">
        <f t="shared" si="7"/>
        <v>0</v>
      </c>
      <c r="T445" s="27" t="str">
        <f t="shared" si="8"/>
        <v/>
      </c>
      <c r="U445" s="1" t="str">
        <f t="array" ref="U445">IFERROR(INDEX('Исходник'!$1:$626,MATCH($A445,'Исходник'!$T:$T,0),MATCH(U$1,'Исходник'!$1:$1,0)))</f>
        <v/>
      </c>
      <c r="V445" s="27" t="str">
        <f t="shared" si="9"/>
        <v/>
      </c>
      <c r="W445" s="1" t="str">
        <f t="array" ref="W445">IFERROR(INDEX('Исходник'!$1:$626,MATCH($A445,'Исходник'!$T:$T,0),MATCH(W$1,'Исходник'!$1:$1,0)))</f>
        <v/>
      </c>
      <c r="X445" s="28">
        <f t="shared" si="10"/>
        <v>0</v>
      </c>
      <c r="Y445" s="1" t="str">
        <f t="array" ref="Y445">IFERROR(INDEX('Исходник'!$1:$626,MATCH($A445,'Исходник'!$T:$T,0),MATCH(Y$1,'Исходник'!$1:$1,0)))</f>
        <v/>
      </c>
      <c r="Z445" s="27">
        <f t="shared" si="11"/>
        <v>0</v>
      </c>
      <c r="AA445" s="27" t="str">
        <f t="shared" si="12"/>
        <v/>
      </c>
      <c r="AB445" s="1" t="str">
        <f t="array" ref="AB445">IFERROR(INDEX('Исходник'!$1:$626,MATCH($A445,'Исходник'!$T:$T,0),MATCH(AB$1,'Исходник'!$1:$1,0)))</f>
        <v/>
      </c>
      <c r="AC445" s="1" t="str">
        <f t="array" ref="AC445">IFERROR(INDEX('Исходник'!$1:$626,MATCH($A445,'Исходник'!$T:$T,0),MATCH(AC$1,'Исходник'!$1:$1,0)))</f>
        <v/>
      </c>
      <c r="AD445" s="27" t="str">
        <f t="shared" si="13"/>
        <v/>
      </c>
      <c r="AE445" s="1" t="str">
        <f t="array" ref="AE445">IFERROR(INDEX('Исходник'!$1:$626,MATCH($A445,'Исходник'!$T:$T,0),MATCH(AE$1,'Исходник'!$1:$1,0)))</f>
        <v/>
      </c>
      <c r="AF445" s="1" t="str">
        <f t="array" ref="AF445">IFERROR(INDEX('Исходник'!$1:$626,MATCH($A445,'Исходник'!$T:$T,0),MATCH(AF$1,'Исходник'!$1:$1,0)))</f>
        <v/>
      </c>
      <c r="AG445" s="27" t="str">
        <f t="shared" si="14"/>
        <v/>
      </c>
      <c r="AH445" s="1" t="str">
        <f t="array" ref="AH445">IFERROR(INDEX('Исходник'!$1:$626,MATCH($A445,'Исходник'!$T:$T,0),MATCH(AH$1,'Исходник'!$1:$1,0)))</f>
        <v/>
      </c>
      <c r="AI445" s="1" t="str">
        <f t="array" ref="AI445">IFERROR(INDEX('Исходник'!$1:$626,MATCH($A445,'Исходник'!$T:$T,0),MATCH(AI$1,'Исходник'!$1:$1,0)))</f>
        <v/>
      </c>
      <c r="AJ445" s="18">
        <f t="shared" si="15"/>
        <v>0</v>
      </c>
    </row>
    <row r="446" ht="15.75" customHeight="1">
      <c r="A446" s="27"/>
      <c r="B446" s="1" t="str">
        <f t="array" ref="B446">IFERROR(INDEX('Исходник'!$1:$626,MATCH($A446,'Исходник'!$T:$T,0),MATCH(B$1,'Исходник'!$1:$1,0)))</f>
        <v/>
      </c>
      <c r="C446" s="1" t="str">
        <f t="array" ref="C446">IFERROR(INDEX('Исходник'!$1:$626,MATCH($A446,'Исходник'!$T:$T,0),MATCH(C$1,'Исходник'!$1:$1,0)))</f>
        <v/>
      </c>
      <c r="D446" s="1" t="str">
        <f t="array" ref="D446">IFERROR(INDEX('Исходник'!$1:$626,MATCH($A446,'Исходник'!$T:$T,0),MATCH(D$1,'Исходник'!$1:$1,0)))</f>
        <v/>
      </c>
      <c r="E446" s="1" t="str">
        <f t="array" ref="E446">IFERROR(INDEX('Исходник'!$1:$626,MATCH($A446,'Исходник'!$T:$T,0),MATCH(E$1,'Исходник'!$1:$1,0)))</f>
        <v/>
      </c>
      <c r="F446" s="1" t="str">
        <f t="array" ref="F446">IFERROR(INDEX('Исходник'!$1:$626,MATCH($A446,'Исходник'!$T:$T,0),MATCH(F$1,'Исходник'!$1:$1,0)))</f>
        <v/>
      </c>
      <c r="G446" s="1" t="str">
        <f t="array" ref="G446">IFERROR(INDEX('Исходник'!$1:$626,MATCH($A446,'Исходник'!$T:$T,0),MATCH(G$1,'Исходник'!$1:$1,0)))</f>
        <v/>
      </c>
      <c r="H446" s="27">
        <f t="shared" si="1"/>
        <v>0</v>
      </c>
      <c r="I446" s="27" t="str">
        <f t="shared" si="2"/>
        <v/>
      </c>
      <c r="J446" s="1" t="str">
        <f t="array" ref="J446">IFERROR(INDEX('Исходник'!$1:$626,MATCH($A446,'Исходник'!$T:$T,0),MATCH(J$1,'Исходник'!$1:$1,0)))</f>
        <v/>
      </c>
      <c r="K446" s="27" t="str">
        <f t="shared" si="3"/>
        <v/>
      </c>
      <c r="L446" s="1" t="str">
        <f t="array" ref="L446">IFERROR(INDEX('Исходник'!$1:$626,MATCH($A446,'Исходник'!$T:$T,0),MATCH(L$1,'Исходник'!$1:$1,0)))</f>
        <v/>
      </c>
      <c r="M446" s="28">
        <f t="shared" si="4"/>
        <v>0</v>
      </c>
      <c r="N446" s="1" t="str">
        <f t="array" ref="N446">IFERROR(INDEX('Исходник'!$1:$626,MATCH($A446,'Исходник'!$T:$T,0),MATCH(N$1,'Исходник'!$1:$1,0)))</f>
        <v/>
      </c>
      <c r="O446" s="27">
        <f t="shared" si="5"/>
        <v>0</v>
      </c>
      <c r="P446" s="27" t="str">
        <f t="shared" si="6"/>
        <v/>
      </c>
      <c r="Q446" s="1" t="str">
        <f t="array" ref="Q446">IFERROR(INDEX('Исходник'!$1:$626,MATCH($A446,'Исходник'!$T:$T,0),MATCH(Q$1,'Исходник'!$1:$1,0)))</f>
        <v/>
      </c>
      <c r="R446" s="1" t="str">
        <f t="array" ref="R446">IFERROR(INDEX('Исходник'!$1:$626,MATCH($A446,'Исходник'!$T:$T,0),MATCH(R$1,'Исходник'!$1:$1,0)))</f>
        <v/>
      </c>
      <c r="S446" s="27">
        <f t="shared" si="7"/>
        <v>0</v>
      </c>
      <c r="T446" s="27" t="str">
        <f t="shared" si="8"/>
        <v/>
      </c>
      <c r="U446" s="1" t="str">
        <f t="array" ref="U446">IFERROR(INDEX('Исходник'!$1:$626,MATCH($A446,'Исходник'!$T:$T,0),MATCH(U$1,'Исходник'!$1:$1,0)))</f>
        <v/>
      </c>
      <c r="V446" s="27" t="str">
        <f t="shared" si="9"/>
        <v/>
      </c>
      <c r="W446" s="1" t="str">
        <f t="array" ref="W446">IFERROR(INDEX('Исходник'!$1:$626,MATCH($A446,'Исходник'!$T:$T,0),MATCH(W$1,'Исходник'!$1:$1,0)))</f>
        <v/>
      </c>
      <c r="X446" s="28">
        <f t="shared" si="10"/>
        <v>0</v>
      </c>
      <c r="Y446" s="1" t="str">
        <f t="array" ref="Y446">IFERROR(INDEX('Исходник'!$1:$626,MATCH($A446,'Исходник'!$T:$T,0),MATCH(Y$1,'Исходник'!$1:$1,0)))</f>
        <v/>
      </c>
      <c r="Z446" s="27">
        <f t="shared" si="11"/>
        <v>0</v>
      </c>
      <c r="AA446" s="27" t="str">
        <f t="shared" si="12"/>
        <v/>
      </c>
      <c r="AB446" s="1" t="str">
        <f t="array" ref="AB446">IFERROR(INDEX('Исходник'!$1:$626,MATCH($A446,'Исходник'!$T:$T,0),MATCH(AB$1,'Исходник'!$1:$1,0)))</f>
        <v/>
      </c>
      <c r="AC446" s="1" t="str">
        <f t="array" ref="AC446">IFERROR(INDEX('Исходник'!$1:$626,MATCH($A446,'Исходник'!$T:$T,0),MATCH(AC$1,'Исходник'!$1:$1,0)))</f>
        <v/>
      </c>
      <c r="AD446" s="27" t="str">
        <f t="shared" si="13"/>
        <v/>
      </c>
      <c r="AE446" s="1" t="str">
        <f t="array" ref="AE446">IFERROR(INDEX('Исходник'!$1:$626,MATCH($A446,'Исходник'!$T:$T,0),MATCH(AE$1,'Исходник'!$1:$1,0)))</f>
        <v/>
      </c>
      <c r="AF446" s="1" t="str">
        <f t="array" ref="AF446">IFERROR(INDEX('Исходник'!$1:$626,MATCH($A446,'Исходник'!$T:$T,0),MATCH(AF$1,'Исходник'!$1:$1,0)))</f>
        <v/>
      </c>
      <c r="AG446" s="27" t="str">
        <f t="shared" si="14"/>
        <v/>
      </c>
      <c r="AH446" s="1" t="str">
        <f t="array" ref="AH446">IFERROR(INDEX('Исходник'!$1:$626,MATCH($A446,'Исходник'!$T:$T,0),MATCH(AH$1,'Исходник'!$1:$1,0)))</f>
        <v/>
      </c>
      <c r="AI446" s="1" t="str">
        <f t="array" ref="AI446">IFERROR(INDEX('Исходник'!$1:$626,MATCH($A446,'Исходник'!$T:$T,0),MATCH(AI$1,'Исходник'!$1:$1,0)))</f>
        <v/>
      </c>
      <c r="AJ446" s="18">
        <f t="shared" si="15"/>
        <v>0</v>
      </c>
    </row>
    <row r="447" ht="15.75" customHeight="1">
      <c r="A447" s="27"/>
      <c r="B447" s="1" t="str">
        <f t="array" ref="B447">IFERROR(INDEX('Исходник'!$1:$626,MATCH($A447,'Исходник'!$T:$T,0),MATCH(B$1,'Исходник'!$1:$1,0)))</f>
        <v/>
      </c>
      <c r="C447" s="1" t="str">
        <f t="array" ref="C447">IFERROR(INDEX('Исходник'!$1:$626,MATCH($A447,'Исходник'!$T:$T,0),MATCH(C$1,'Исходник'!$1:$1,0)))</f>
        <v/>
      </c>
      <c r="D447" s="1" t="str">
        <f t="array" ref="D447">IFERROR(INDEX('Исходник'!$1:$626,MATCH($A447,'Исходник'!$T:$T,0),MATCH(D$1,'Исходник'!$1:$1,0)))</f>
        <v/>
      </c>
      <c r="E447" s="1" t="str">
        <f t="array" ref="E447">IFERROR(INDEX('Исходник'!$1:$626,MATCH($A447,'Исходник'!$T:$T,0),MATCH(E$1,'Исходник'!$1:$1,0)))</f>
        <v/>
      </c>
      <c r="F447" s="1" t="str">
        <f t="array" ref="F447">IFERROR(INDEX('Исходник'!$1:$626,MATCH($A447,'Исходник'!$T:$T,0),MATCH(F$1,'Исходник'!$1:$1,0)))</f>
        <v/>
      </c>
      <c r="G447" s="1" t="str">
        <f t="array" ref="G447">IFERROR(INDEX('Исходник'!$1:$626,MATCH($A447,'Исходник'!$T:$T,0),MATCH(G$1,'Исходник'!$1:$1,0)))</f>
        <v/>
      </c>
      <c r="H447" s="27">
        <f t="shared" si="1"/>
        <v>0</v>
      </c>
      <c r="I447" s="27" t="str">
        <f t="shared" si="2"/>
        <v/>
      </c>
      <c r="J447" s="1" t="str">
        <f t="array" ref="J447">IFERROR(INDEX('Исходник'!$1:$626,MATCH($A447,'Исходник'!$T:$T,0),MATCH(J$1,'Исходник'!$1:$1,0)))</f>
        <v/>
      </c>
      <c r="K447" s="27" t="str">
        <f t="shared" si="3"/>
        <v/>
      </c>
      <c r="L447" s="1" t="str">
        <f t="array" ref="L447">IFERROR(INDEX('Исходник'!$1:$626,MATCH($A447,'Исходник'!$T:$T,0),MATCH(L$1,'Исходник'!$1:$1,0)))</f>
        <v/>
      </c>
      <c r="M447" s="28">
        <f t="shared" si="4"/>
        <v>0</v>
      </c>
      <c r="N447" s="1" t="str">
        <f t="array" ref="N447">IFERROR(INDEX('Исходник'!$1:$626,MATCH($A447,'Исходник'!$T:$T,0),MATCH(N$1,'Исходник'!$1:$1,0)))</f>
        <v/>
      </c>
      <c r="O447" s="27">
        <f t="shared" si="5"/>
        <v>0</v>
      </c>
      <c r="P447" s="27" t="str">
        <f t="shared" si="6"/>
        <v/>
      </c>
      <c r="Q447" s="1" t="str">
        <f t="array" ref="Q447">IFERROR(INDEX('Исходник'!$1:$626,MATCH($A447,'Исходник'!$T:$T,0),MATCH(Q$1,'Исходник'!$1:$1,0)))</f>
        <v/>
      </c>
      <c r="R447" s="1" t="str">
        <f t="array" ref="R447">IFERROR(INDEX('Исходник'!$1:$626,MATCH($A447,'Исходник'!$T:$T,0),MATCH(R$1,'Исходник'!$1:$1,0)))</f>
        <v/>
      </c>
      <c r="S447" s="27">
        <f t="shared" si="7"/>
        <v>0</v>
      </c>
      <c r="T447" s="27" t="str">
        <f t="shared" si="8"/>
        <v/>
      </c>
      <c r="U447" s="1" t="str">
        <f t="array" ref="U447">IFERROR(INDEX('Исходник'!$1:$626,MATCH($A447,'Исходник'!$T:$T,0),MATCH(U$1,'Исходник'!$1:$1,0)))</f>
        <v/>
      </c>
      <c r="V447" s="27" t="str">
        <f t="shared" si="9"/>
        <v/>
      </c>
      <c r="W447" s="1" t="str">
        <f t="array" ref="W447">IFERROR(INDEX('Исходник'!$1:$626,MATCH($A447,'Исходник'!$T:$T,0),MATCH(W$1,'Исходник'!$1:$1,0)))</f>
        <v/>
      </c>
      <c r="X447" s="28">
        <f t="shared" si="10"/>
        <v>0</v>
      </c>
      <c r="Y447" s="1" t="str">
        <f t="array" ref="Y447">IFERROR(INDEX('Исходник'!$1:$626,MATCH($A447,'Исходник'!$T:$T,0),MATCH(Y$1,'Исходник'!$1:$1,0)))</f>
        <v/>
      </c>
      <c r="Z447" s="27">
        <f t="shared" si="11"/>
        <v>0</v>
      </c>
      <c r="AA447" s="27" t="str">
        <f t="shared" si="12"/>
        <v/>
      </c>
      <c r="AB447" s="1" t="str">
        <f t="array" ref="AB447">IFERROR(INDEX('Исходник'!$1:$626,MATCH($A447,'Исходник'!$T:$T,0),MATCH(AB$1,'Исходник'!$1:$1,0)))</f>
        <v/>
      </c>
      <c r="AC447" s="1" t="str">
        <f t="array" ref="AC447">IFERROR(INDEX('Исходник'!$1:$626,MATCH($A447,'Исходник'!$T:$T,0),MATCH(AC$1,'Исходник'!$1:$1,0)))</f>
        <v/>
      </c>
      <c r="AD447" s="27" t="str">
        <f t="shared" si="13"/>
        <v/>
      </c>
      <c r="AE447" s="1" t="str">
        <f t="array" ref="AE447">IFERROR(INDEX('Исходник'!$1:$626,MATCH($A447,'Исходник'!$T:$T,0),MATCH(AE$1,'Исходник'!$1:$1,0)))</f>
        <v/>
      </c>
      <c r="AF447" s="1" t="str">
        <f t="array" ref="AF447">IFERROR(INDEX('Исходник'!$1:$626,MATCH($A447,'Исходник'!$T:$T,0),MATCH(AF$1,'Исходник'!$1:$1,0)))</f>
        <v/>
      </c>
      <c r="AG447" s="27" t="str">
        <f t="shared" si="14"/>
        <v/>
      </c>
      <c r="AH447" s="1" t="str">
        <f t="array" ref="AH447">IFERROR(INDEX('Исходник'!$1:$626,MATCH($A447,'Исходник'!$T:$T,0),MATCH(AH$1,'Исходник'!$1:$1,0)))</f>
        <v/>
      </c>
      <c r="AI447" s="1" t="str">
        <f t="array" ref="AI447">IFERROR(INDEX('Исходник'!$1:$626,MATCH($A447,'Исходник'!$T:$T,0),MATCH(AI$1,'Исходник'!$1:$1,0)))</f>
        <v/>
      </c>
      <c r="AJ447" s="18">
        <f t="shared" si="15"/>
        <v>0</v>
      </c>
    </row>
    <row r="448" ht="15.75" customHeight="1">
      <c r="A448" s="27"/>
      <c r="B448" s="1" t="str">
        <f t="array" ref="B448">IFERROR(INDEX('Исходник'!$1:$626,MATCH($A448,'Исходник'!$T:$T,0),MATCH(B$1,'Исходник'!$1:$1,0)))</f>
        <v/>
      </c>
      <c r="C448" s="1" t="str">
        <f t="array" ref="C448">IFERROR(INDEX('Исходник'!$1:$626,MATCH($A448,'Исходник'!$T:$T,0),MATCH(C$1,'Исходник'!$1:$1,0)))</f>
        <v/>
      </c>
      <c r="D448" s="1" t="str">
        <f t="array" ref="D448">IFERROR(INDEX('Исходник'!$1:$626,MATCH($A448,'Исходник'!$T:$T,0),MATCH(D$1,'Исходник'!$1:$1,0)))</f>
        <v/>
      </c>
      <c r="E448" s="1" t="str">
        <f t="array" ref="E448">IFERROR(INDEX('Исходник'!$1:$626,MATCH($A448,'Исходник'!$T:$T,0),MATCH(E$1,'Исходник'!$1:$1,0)))</f>
        <v/>
      </c>
      <c r="F448" s="1" t="str">
        <f t="array" ref="F448">IFERROR(INDEX('Исходник'!$1:$626,MATCH($A448,'Исходник'!$T:$T,0),MATCH(F$1,'Исходник'!$1:$1,0)))</f>
        <v/>
      </c>
      <c r="G448" s="1" t="str">
        <f t="array" ref="G448">IFERROR(INDEX('Исходник'!$1:$626,MATCH($A448,'Исходник'!$T:$T,0),MATCH(G$1,'Исходник'!$1:$1,0)))</f>
        <v/>
      </c>
      <c r="H448" s="27">
        <f t="shared" si="1"/>
        <v>0</v>
      </c>
      <c r="I448" s="27" t="str">
        <f t="shared" si="2"/>
        <v/>
      </c>
      <c r="J448" s="1" t="str">
        <f t="array" ref="J448">IFERROR(INDEX('Исходник'!$1:$626,MATCH($A448,'Исходник'!$T:$T,0),MATCH(J$1,'Исходник'!$1:$1,0)))</f>
        <v/>
      </c>
      <c r="K448" s="27" t="str">
        <f t="shared" si="3"/>
        <v/>
      </c>
      <c r="L448" s="1" t="str">
        <f t="array" ref="L448">IFERROR(INDEX('Исходник'!$1:$626,MATCH($A448,'Исходник'!$T:$T,0),MATCH(L$1,'Исходник'!$1:$1,0)))</f>
        <v/>
      </c>
      <c r="M448" s="28">
        <f t="shared" si="4"/>
        <v>0</v>
      </c>
      <c r="N448" s="1" t="str">
        <f t="array" ref="N448">IFERROR(INDEX('Исходник'!$1:$626,MATCH($A448,'Исходник'!$T:$T,0),MATCH(N$1,'Исходник'!$1:$1,0)))</f>
        <v/>
      </c>
      <c r="O448" s="27">
        <f t="shared" si="5"/>
        <v>0</v>
      </c>
      <c r="P448" s="27" t="str">
        <f t="shared" si="6"/>
        <v/>
      </c>
      <c r="Q448" s="1" t="str">
        <f t="array" ref="Q448">IFERROR(INDEX('Исходник'!$1:$626,MATCH($A448,'Исходник'!$T:$T,0),MATCH(Q$1,'Исходник'!$1:$1,0)))</f>
        <v/>
      </c>
      <c r="R448" s="1" t="str">
        <f t="array" ref="R448">IFERROR(INDEX('Исходник'!$1:$626,MATCH($A448,'Исходник'!$T:$T,0),MATCH(R$1,'Исходник'!$1:$1,0)))</f>
        <v/>
      </c>
      <c r="S448" s="27">
        <f t="shared" si="7"/>
        <v>0</v>
      </c>
      <c r="T448" s="27" t="str">
        <f t="shared" si="8"/>
        <v/>
      </c>
      <c r="U448" s="1" t="str">
        <f t="array" ref="U448">IFERROR(INDEX('Исходник'!$1:$626,MATCH($A448,'Исходник'!$T:$T,0),MATCH(U$1,'Исходник'!$1:$1,0)))</f>
        <v/>
      </c>
      <c r="V448" s="27" t="str">
        <f t="shared" si="9"/>
        <v/>
      </c>
      <c r="W448" s="1" t="str">
        <f t="array" ref="W448">IFERROR(INDEX('Исходник'!$1:$626,MATCH($A448,'Исходник'!$T:$T,0),MATCH(W$1,'Исходник'!$1:$1,0)))</f>
        <v/>
      </c>
      <c r="X448" s="28">
        <f t="shared" si="10"/>
        <v>0</v>
      </c>
      <c r="Y448" s="1" t="str">
        <f t="array" ref="Y448">IFERROR(INDEX('Исходник'!$1:$626,MATCH($A448,'Исходник'!$T:$T,0),MATCH(Y$1,'Исходник'!$1:$1,0)))</f>
        <v/>
      </c>
      <c r="Z448" s="27">
        <f t="shared" si="11"/>
        <v>0</v>
      </c>
      <c r="AA448" s="27" t="str">
        <f t="shared" si="12"/>
        <v/>
      </c>
      <c r="AB448" s="1" t="str">
        <f t="array" ref="AB448">IFERROR(INDEX('Исходник'!$1:$626,MATCH($A448,'Исходник'!$T:$T,0),MATCH(AB$1,'Исходник'!$1:$1,0)))</f>
        <v/>
      </c>
      <c r="AC448" s="1" t="str">
        <f t="array" ref="AC448">IFERROR(INDEX('Исходник'!$1:$626,MATCH($A448,'Исходник'!$T:$T,0),MATCH(AC$1,'Исходник'!$1:$1,0)))</f>
        <v/>
      </c>
      <c r="AD448" s="27" t="str">
        <f t="shared" si="13"/>
        <v/>
      </c>
      <c r="AE448" s="1" t="str">
        <f t="array" ref="AE448">IFERROR(INDEX('Исходник'!$1:$626,MATCH($A448,'Исходник'!$T:$T,0),MATCH(AE$1,'Исходник'!$1:$1,0)))</f>
        <v/>
      </c>
      <c r="AF448" s="1" t="str">
        <f t="array" ref="AF448">IFERROR(INDEX('Исходник'!$1:$626,MATCH($A448,'Исходник'!$T:$T,0),MATCH(AF$1,'Исходник'!$1:$1,0)))</f>
        <v/>
      </c>
      <c r="AG448" s="27" t="str">
        <f t="shared" si="14"/>
        <v/>
      </c>
      <c r="AH448" s="1" t="str">
        <f t="array" ref="AH448">IFERROR(INDEX('Исходник'!$1:$626,MATCH($A448,'Исходник'!$T:$T,0),MATCH(AH$1,'Исходник'!$1:$1,0)))</f>
        <v/>
      </c>
      <c r="AI448" s="1" t="str">
        <f t="array" ref="AI448">IFERROR(INDEX('Исходник'!$1:$626,MATCH($A448,'Исходник'!$T:$T,0),MATCH(AI$1,'Исходник'!$1:$1,0)))</f>
        <v/>
      </c>
      <c r="AJ448" s="18">
        <f t="shared" si="15"/>
        <v>0</v>
      </c>
    </row>
    <row r="449" ht="15.75" customHeight="1">
      <c r="A449" s="27"/>
      <c r="B449" s="1" t="str">
        <f t="array" ref="B449">IFERROR(INDEX('Исходник'!$1:$626,MATCH($A449,'Исходник'!$T:$T,0),MATCH(B$1,'Исходник'!$1:$1,0)))</f>
        <v/>
      </c>
      <c r="C449" s="1" t="str">
        <f t="array" ref="C449">IFERROR(INDEX('Исходник'!$1:$626,MATCH($A449,'Исходник'!$T:$T,0),MATCH(C$1,'Исходник'!$1:$1,0)))</f>
        <v/>
      </c>
      <c r="D449" s="1" t="str">
        <f t="array" ref="D449">IFERROR(INDEX('Исходник'!$1:$626,MATCH($A449,'Исходник'!$T:$T,0),MATCH(D$1,'Исходник'!$1:$1,0)))</f>
        <v/>
      </c>
      <c r="E449" s="1" t="str">
        <f t="array" ref="E449">IFERROR(INDEX('Исходник'!$1:$626,MATCH($A449,'Исходник'!$T:$T,0),MATCH(E$1,'Исходник'!$1:$1,0)))</f>
        <v/>
      </c>
      <c r="F449" s="1" t="str">
        <f t="array" ref="F449">IFERROR(INDEX('Исходник'!$1:$626,MATCH($A449,'Исходник'!$T:$T,0),MATCH(F$1,'Исходник'!$1:$1,0)))</f>
        <v/>
      </c>
      <c r="G449" s="1" t="str">
        <f t="array" ref="G449">IFERROR(INDEX('Исходник'!$1:$626,MATCH($A449,'Исходник'!$T:$T,0),MATCH(G$1,'Исходник'!$1:$1,0)))</f>
        <v/>
      </c>
      <c r="H449" s="27">
        <f t="shared" si="1"/>
        <v>0</v>
      </c>
      <c r="I449" s="27" t="str">
        <f t="shared" si="2"/>
        <v/>
      </c>
      <c r="J449" s="1" t="str">
        <f t="array" ref="J449">IFERROR(INDEX('Исходник'!$1:$626,MATCH($A449,'Исходник'!$T:$T,0),MATCH(J$1,'Исходник'!$1:$1,0)))</f>
        <v/>
      </c>
      <c r="K449" s="27" t="str">
        <f t="shared" si="3"/>
        <v/>
      </c>
      <c r="L449" s="1" t="str">
        <f t="array" ref="L449">IFERROR(INDEX('Исходник'!$1:$626,MATCH($A449,'Исходник'!$T:$T,0),MATCH(L$1,'Исходник'!$1:$1,0)))</f>
        <v/>
      </c>
      <c r="M449" s="28">
        <f t="shared" si="4"/>
        <v>0</v>
      </c>
      <c r="N449" s="1" t="str">
        <f t="array" ref="N449">IFERROR(INDEX('Исходник'!$1:$626,MATCH($A449,'Исходник'!$T:$T,0),MATCH(N$1,'Исходник'!$1:$1,0)))</f>
        <v/>
      </c>
      <c r="O449" s="27">
        <f t="shared" si="5"/>
        <v>0</v>
      </c>
      <c r="P449" s="27" t="str">
        <f t="shared" si="6"/>
        <v/>
      </c>
      <c r="Q449" s="1" t="str">
        <f t="array" ref="Q449">IFERROR(INDEX('Исходник'!$1:$626,MATCH($A449,'Исходник'!$T:$T,0),MATCH(Q$1,'Исходник'!$1:$1,0)))</f>
        <v/>
      </c>
      <c r="R449" s="1" t="str">
        <f t="array" ref="R449">IFERROR(INDEX('Исходник'!$1:$626,MATCH($A449,'Исходник'!$T:$T,0),MATCH(R$1,'Исходник'!$1:$1,0)))</f>
        <v/>
      </c>
      <c r="S449" s="27">
        <f t="shared" si="7"/>
        <v>0</v>
      </c>
      <c r="T449" s="27" t="str">
        <f t="shared" si="8"/>
        <v/>
      </c>
      <c r="U449" s="1" t="str">
        <f t="array" ref="U449">IFERROR(INDEX('Исходник'!$1:$626,MATCH($A449,'Исходник'!$T:$T,0),MATCH(U$1,'Исходник'!$1:$1,0)))</f>
        <v/>
      </c>
      <c r="V449" s="27" t="str">
        <f t="shared" si="9"/>
        <v/>
      </c>
      <c r="W449" s="1" t="str">
        <f t="array" ref="W449">IFERROR(INDEX('Исходник'!$1:$626,MATCH($A449,'Исходник'!$T:$T,0),MATCH(W$1,'Исходник'!$1:$1,0)))</f>
        <v/>
      </c>
      <c r="X449" s="28">
        <f t="shared" si="10"/>
        <v>0</v>
      </c>
      <c r="Y449" s="1" t="str">
        <f t="array" ref="Y449">IFERROR(INDEX('Исходник'!$1:$626,MATCH($A449,'Исходник'!$T:$T,0),MATCH(Y$1,'Исходник'!$1:$1,0)))</f>
        <v/>
      </c>
      <c r="Z449" s="27">
        <f t="shared" si="11"/>
        <v>0</v>
      </c>
      <c r="AA449" s="27" t="str">
        <f t="shared" si="12"/>
        <v/>
      </c>
      <c r="AB449" s="1" t="str">
        <f t="array" ref="AB449">IFERROR(INDEX('Исходник'!$1:$626,MATCH($A449,'Исходник'!$T:$T,0),MATCH(AB$1,'Исходник'!$1:$1,0)))</f>
        <v/>
      </c>
      <c r="AC449" s="1" t="str">
        <f t="array" ref="AC449">IFERROR(INDEX('Исходник'!$1:$626,MATCH($A449,'Исходник'!$T:$T,0),MATCH(AC$1,'Исходник'!$1:$1,0)))</f>
        <v/>
      </c>
      <c r="AD449" s="27" t="str">
        <f t="shared" si="13"/>
        <v/>
      </c>
      <c r="AE449" s="1" t="str">
        <f t="array" ref="AE449">IFERROR(INDEX('Исходник'!$1:$626,MATCH($A449,'Исходник'!$T:$T,0),MATCH(AE$1,'Исходник'!$1:$1,0)))</f>
        <v/>
      </c>
      <c r="AF449" s="1" t="str">
        <f t="array" ref="AF449">IFERROR(INDEX('Исходник'!$1:$626,MATCH($A449,'Исходник'!$T:$T,0),MATCH(AF$1,'Исходник'!$1:$1,0)))</f>
        <v/>
      </c>
      <c r="AG449" s="27" t="str">
        <f t="shared" si="14"/>
        <v/>
      </c>
      <c r="AH449" s="1" t="str">
        <f t="array" ref="AH449">IFERROR(INDEX('Исходник'!$1:$626,MATCH($A449,'Исходник'!$T:$T,0),MATCH(AH$1,'Исходник'!$1:$1,0)))</f>
        <v/>
      </c>
      <c r="AI449" s="1" t="str">
        <f t="array" ref="AI449">IFERROR(INDEX('Исходник'!$1:$626,MATCH($A449,'Исходник'!$T:$T,0),MATCH(AI$1,'Исходник'!$1:$1,0)))</f>
        <v/>
      </c>
      <c r="AJ449" s="18">
        <f t="shared" si="15"/>
        <v>0</v>
      </c>
    </row>
    <row r="450" ht="15.75" customHeight="1">
      <c r="A450" s="27"/>
      <c r="B450" s="1" t="str">
        <f t="array" ref="B450">IFERROR(INDEX('Исходник'!$1:$626,MATCH($A450,'Исходник'!$T:$T,0),MATCH(B$1,'Исходник'!$1:$1,0)))</f>
        <v/>
      </c>
      <c r="C450" s="1" t="str">
        <f t="array" ref="C450">IFERROR(INDEX('Исходник'!$1:$626,MATCH($A450,'Исходник'!$T:$T,0),MATCH(C$1,'Исходник'!$1:$1,0)))</f>
        <v/>
      </c>
      <c r="D450" s="1" t="str">
        <f t="array" ref="D450">IFERROR(INDEX('Исходник'!$1:$626,MATCH($A450,'Исходник'!$T:$T,0),MATCH(D$1,'Исходник'!$1:$1,0)))</f>
        <v/>
      </c>
      <c r="E450" s="1" t="str">
        <f t="array" ref="E450">IFERROR(INDEX('Исходник'!$1:$626,MATCH($A450,'Исходник'!$T:$T,0),MATCH(E$1,'Исходник'!$1:$1,0)))</f>
        <v/>
      </c>
      <c r="F450" s="1" t="str">
        <f t="array" ref="F450">IFERROR(INDEX('Исходник'!$1:$626,MATCH($A450,'Исходник'!$T:$T,0),MATCH(F$1,'Исходник'!$1:$1,0)))</f>
        <v/>
      </c>
      <c r="G450" s="1" t="str">
        <f t="array" ref="G450">IFERROR(INDEX('Исходник'!$1:$626,MATCH($A450,'Исходник'!$T:$T,0),MATCH(G$1,'Исходник'!$1:$1,0)))</f>
        <v/>
      </c>
      <c r="H450" s="27">
        <f t="shared" si="1"/>
        <v>0</v>
      </c>
      <c r="I450" s="27" t="str">
        <f t="shared" si="2"/>
        <v/>
      </c>
      <c r="J450" s="1" t="str">
        <f t="array" ref="J450">IFERROR(INDEX('Исходник'!$1:$626,MATCH($A450,'Исходник'!$T:$T,0),MATCH(J$1,'Исходник'!$1:$1,0)))</f>
        <v/>
      </c>
      <c r="K450" s="27" t="str">
        <f t="shared" si="3"/>
        <v/>
      </c>
      <c r="L450" s="1" t="str">
        <f t="array" ref="L450">IFERROR(INDEX('Исходник'!$1:$626,MATCH($A450,'Исходник'!$T:$T,0),MATCH(L$1,'Исходник'!$1:$1,0)))</f>
        <v/>
      </c>
      <c r="M450" s="28">
        <f t="shared" si="4"/>
        <v>0</v>
      </c>
      <c r="N450" s="1" t="str">
        <f t="array" ref="N450">IFERROR(INDEX('Исходник'!$1:$626,MATCH($A450,'Исходник'!$T:$T,0),MATCH(N$1,'Исходник'!$1:$1,0)))</f>
        <v/>
      </c>
      <c r="O450" s="27">
        <f t="shared" si="5"/>
        <v>0</v>
      </c>
      <c r="P450" s="27" t="str">
        <f t="shared" si="6"/>
        <v/>
      </c>
      <c r="Q450" s="1" t="str">
        <f t="array" ref="Q450">IFERROR(INDEX('Исходник'!$1:$626,MATCH($A450,'Исходник'!$T:$T,0),MATCH(Q$1,'Исходник'!$1:$1,0)))</f>
        <v/>
      </c>
      <c r="R450" s="1" t="str">
        <f t="array" ref="R450">IFERROR(INDEX('Исходник'!$1:$626,MATCH($A450,'Исходник'!$T:$T,0),MATCH(R$1,'Исходник'!$1:$1,0)))</f>
        <v/>
      </c>
      <c r="S450" s="27">
        <f t="shared" si="7"/>
        <v>0</v>
      </c>
      <c r="T450" s="27" t="str">
        <f t="shared" si="8"/>
        <v/>
      </c>
      <c r="U450" s="1" t="str">
        <f t="array" ref="U450">IFERROR(INDEX('Исходник'!$1:$626,MATCH($A450,'Исходник'!$T:$T,0),MATCH(U$1,'Исходник'!$1:$1,0)))</f>
        <v/>
      </c>
      <c r="V450" s="27" t="str">
        <f t="shared" si="9"/>
        <v/>
      </c>
      <c r="W450" s="1" t="str">
        <f t="array" ref="W450">IFERROR(INDEX('Исходник'!$1:$626,MATCH($A450,'Исходник'!$T:$T,0),MATCH(W$1,'Исходник'!$1:$1,0)))</f>
        <v/>
      </c>
      <c r="X450" s="28">
        <f t="shared" si="10"/>
        <v>0</v>
      </c>
      <c r="Y450" s="1" t="str">
        <f t="array" ref="Y450">IFERROR(INDEX('Исходник'!$1:$626,MATCH($A450,'Исходник'!$T:$T,0),MATCH(Y$1,'Исходник'!$1:$1,0)))</f>
        <v/>
      </c>
      <c r="Z450" s="27">
        <f t="shared" si="11"/>
        <v>0</v>
      </c>
      <c r="AA450" s="27" t="str">
        <f t="shared" si="12"/>
        <v/>
      </c>
      <c r="AB450" s="1" t="str">
        <f t="array" ref="AB450">IFERROR(INDEX('Исходник'!$1:$626,MATCH($A450,'Исходник'!$T:$T,0),MATCH(AB$1,'Исходник'!$1:$1,0)))</f>
        <v/>
      </c>
      <c r="AC450" s="1" t="str">
        <f t="array" ref="AC450">IFERROR(INDEX('Исходник'!$1:$626,MATCH($A450,'Исходник'!$T:$T,0),MATCH(AC$1,'Исходник'!$1:$1,0)))</f>
        <v/>
      </c>
      <c r="AD450" s="27" t="str">
        <f t="shared" si="13"/>
        <v/>
      </c>
      <c r="AE450" s="1" t="str">
        <f t="array" ref="AE450">IFERROR(INDEX('Исходник'!$1:$626,MATCH($A450,'Исходник'!$T:$T,0),MATCH(AE$1,'Исходник'!$1:$1,0)))</f>
        <v/>
      </c>
      <c r="AF450" s="1" t="str">
        <f t="array" ref="AF450">IFERROR(INDEX('Исходник'!$1:$626,MATCH($A450,'Исходник'!$T:$T,0),MATCH(AF$1,'Исходник'!$1:$1,0)))</f>
        <v/>
      </c>
      <c r="AG450" s="27" t="str">
        <f t="shared" si="14"/>
        <v/>
      </c>
      <c r="AH450" s="1" t="str">
        <f t="array" ref="AH450">IFERROR(INDEX('Исходник'!$1:$626,MATCH($A450,'Исходник'!$T:$T,0),MATCH(AH$1,'Исходник'!$1:$1,0)))</f>
        <v/>
      </c>
      <c r="AI450" s="1" t="str">
        <f t="array" ref="AI450">IFERROR(INDEX('Исходник'!$1:$626,MATCH($A450,'Исходник'!$T:$T,0),MATCH(AI$1,'Исходник'!$1:$1,0)))</f>
        <v/>
      </c>
      <c r="AJ450" s="18">
        <f t="shared" si="15"/>
        <v>0</v>
      </c>
    </row>
    <row r="451" ht="15.75" customHeight="1">
      <c r="A451" s="27"/>
      <c r="B451" s="1" t="str">
        <f t="array" ref="B451">IFERROR(INDEX('Исходник'!$1:$626,MATCH($A451,'Исходник'!$T:$T,0),MATCH(B$1,'Исходник'!$1:$1,0)))</f>
        <v/>
      </c>
      <c r="C451" s="1" t="str">
        <f t="array" ref="C451">IFERROR(INDEX('Исходник'!$1:$626,MATCH($A451,'Исходник'!$T:$T,0),MATCH(C$1,'Исходник'!$1:$1,0)))</f>
        <v/>
      </c>
      <c r="D451" s="1" t="str">
        <f t="array" ref="D451">IFERROR(INDEX('Исходник'!$1:$626,MATCH($A451,'Исходник'!$T:$T,0),MATCH(D$1,'Исходник'!$1:$1,0)))</f>
        <v/>
      </c>
      <c r="E451" s="1" t="str">
        <f t="array" ref="E451">IFERROR(INDEX('Исходник'!$1:$626,MATCH($A451,'Исходник'!$T:$T,0),MATCH(E$1,'Исходник'!$1:$1,0)))</f>
        <v/>
      </c>
      <c r="F451" s="1" t="str">
        <f t="array" ref="F451">IFERROR(INDEX('Исходник'!$1:$626,MATCH($A451,'Исходник'!$T:$T,0),MATCH(F$1,'Исходник'!$1:$1,0)))</f>
        <v/>
      </c>
      <c r="G451" s="1" t="str">
        <f t="array" ref="G451">IFERROR(INDEX('Исходник'!$1:$626,MATCH($A451,'Исходник'!$T:$T,0),MATCH(G$1,'Исходник'!$1:$1,0)))</f>
        <v/>
      </c>
      <c r="H451" s="27">
        <f t="shared" si="1"/>
        <v>0</v>
      </c>
      <c r="I451" s="27" t="str">
        <f t="shared" si="2"/>
        <v/>
      </c>
      <c r="J451" s="1" t="str">
        <f t="array" ref="J451">IFERROR(INDEX('Исходник'!$1:$626,MATCH($A451,'Исходник'!$T:$T,0),MATCH(J$1,'Исходник'!$1:$1,0)))</f>
        <v/>
      </c>
      <c r="K451" s="27" t="str">
        <f t="shared" si="3"/>
        <v/>
      </c>
      <c r="L451" s="1" t="str">
        <f t="array" ref="L451">IFERROR(INDEX('Исходник'!$1:$626,MATCH($A451,'Исходник'!$T:$T,0),MATCH(L$1,'Исходник'!$1:$1,0)))</f>
        <v/>
      </c>
      <c r="M451" s="28">
        <f t="shared" si="4"/>
        <v>0</v>
      </c>
      <c r="N451" s="1" t="str">
        <f t="array" ref="N451">IFERROR(INDEX('Исходник'!$1:$626,MATCH($A451,'Исходник'!$T:$T,0),MATCH(N$1,'Исходник'!$1:$1,0)))</f>
        <v/>
      </c>
      <c r="O451" s="27">
        <f t="shared" si="5"/>
        <v>0</v>
      </c>
      <c r="P451" s="27" t="str">
        <f t="shared" si="6"/>
        <v/>
      </c>
      <c r="Q451" s="1" t="str">
        <f t="array" ref="Q451">IFERROR(INDEX('Исходник'!$1:$626,MATCH($A451,'Исходник'!$T:$T,0),MATCH(Q$1,'Исходник'!$1:$1,0)))</f>
        <v/>
      </c>
      <c r="R451" s="1" t="str">
        <f t="array" ref="R451">IFERROR(INDEX('Исходник'!$1:$626,MATCH($A451,'Исходник'!$T:$T,0),MATCH(R$1,'Исходник'!$1:$1,0)))</f>
        <v/>
      </c>
      <c r="S451" s="27">
        <f t="shared" si="7"/>
        <v>0</v>
      </c>
      <c r="T451" s="27" t="str">
        <f t="shared" si="8"/>
        <v/>
      </c>
      <c r="U451" s="1" t="str">
        <f t="array" ref="U451">IFERROR(INDEX('Исходник'!$1:$626,MATCH($A451,'Исходник'!$T:$T,0),MATCH(U$1,'Исходник'!$1:$1,0)))</f>
        <v/>
      </c>
      <c r="V451" s="27" t="str">
        <f t="shared" si="9"/>
        <v/>
      </c>
      <c r="W451" s="1" t="str">
        <f t="array" ref="W451">IFERROR(INDEX('Исходник'!$1:$626,MATCH($A451,'Исходник'!$T:$T,0),MATCH(W$1,'Исходник'!$1:$1,0)))</f>
        <v/>
      </c>
      <c r="X451" s="28">
        <f t="shared" si="10"/>
        <v>0</v>
      </c>
      <c r="Y451" s="1" t="str">
        <f t="array" ref="Y451">IFERROR(INDEX('Исходник'!$1:$626,MATCH($A451,'Исходник'!$T:$T,0),MATCH(Y$1,'Исходник'!$1:$1,0)))</f>
        <v/>
      </c>
      <c r="Z451" s="27">
        <f t="shared" si="11"/>
        <v>0</v>
      </c>
      <c r="AA451" s="27" t="str">
        <f t="shared" si="12"/>
        <v/>
      </c>
      <c r="AB451" s="1" t="str">
        <f t="array" ref="AB451">IFERROR(INDEX('Исходник'!$1:$626,MATCH($A451,'Исходник'!$T:$T,0),MATCH(AB$1,'Исходник'!$1:$1,0)))</f>
        <v/>
      </c>
      <c r="AC451" s="1" t="str">
        <f t="array" ref="AC451">IFERROR(INDEX('Исходник'!$1:$626,MATCH($A451,'Исходник'!$T:$T,0),MATCH(AC$1,'Исходник'!$1:$1,0)))</f>
        <v/>
      </c>
      <c r="AD451" s="27" t="str">
        <f t="shared" si="13"/>
        <v/>
      </c>
      <c r="AE451" s="1" t="str">
        <f t="array" ref="AE451">IFERROR(INDEX('Исходник'!$1:$626,MATCH($A451,'Исходник'!$T:$T,0),MATCH(AE$1,'Исходник'!$1:$1,0)))</f>
        <v/>
      </c>
      <c r="AF451" s="1" t="str">
        <f t="array" ref="AF451">IFERROR(INDEX('Исходник'!$1:$626,MATCH($A451,'Исходник'!$T:$T,0),MATCH(AF$1,'Исходник'!$1:$1,0)))</f>
        <v/>
      </c>
      <c r="AG451" s="27" t="str">
        <f t="shared" si="14"/>
        <v/>
      </c>
      <c r="AH451" s="1" t="str">
        <f t="array" ref="AH451">IFERROR(INDEX('Исходник'!$1:$626,MATCH($A451,'Исходник'!$T:$T,0),MATCH(AH$1,'Исходник'!$1:$1,0)))</f>
        <v/>
      </c>
      <c r="AI451" s="1" t="str">
        <f t="array" ref="AI451">IFERROR(INDEX('Исходник'!$1:$626,MATCH($A451,'Исходник'!$T:$T,0),MATCH(AI$1,'Исходник'!$1:$1,0)))</f>
        <v/>
      </c>
      <c r="AJ451" s="18">
        <f t="shared" si="15"/>
        <v>0</v>
      </c>
    </row>
    <row r="452" ht="15.75" customHeight="1">
      <c r="A452" s="27"/>
      <c r="B452" s="1" t="str">
        <f t="array" ref="B452">IFERROR(INDEX('Исходник'!$1:$626,MATCH($A452,'Исходник'!$T:$T,0),MATCH(B$1,'Исходник'!$1:$1,0)))</f>
        <v/>
      </c>
      <c r="C452" s="1" t="str">
        <f t="array" ref="C452">IFERROR(INDEX('Исходник'!$1:$626,MATCH($A452,'Исходник'!$T:$T,0),MATCH(C$1,'Исходник'!$1:$1,0)))</f>
        <v/>
      </c>
      <c r="D452" s="1" t="str">
        <f t="array" ref="D452">IFERROR(INDEX('Исходник'!$1:$626,MATCH($A452,'Исходник'!$T:$T,0),MATCH(D$1,'Исходник'!$1:$1,0)))</f>
        <v/>
      </c>
      <c r="E452" s="1" t="str">
        <f t="array" ref="E452">IFERROR(INDEX('Исходник'!$1:$626,MATCH($A452,'Исходник'!$T:$T,0),MATCH(E$1,'Исходник'!$1:$1,0)))</f>
        <v/>
      </c>
      <c r="F452" s="1" t="str">
        <f t="array" ref="F452">IFERROR(INDEX('Исходник'!$1:$626,MATCH($A452,'Исходник'!$T:$T,0),MATCH(F$1,'Исходник'!$1:$1,0)))</f>
        <v/>
      </c>
      <c r="G452" s="1" t="str">
        <f t="array" ref="G452">IFERROR(INDEX('Исходник'!$1:$626,MATCH($A452,'Исходник'!$T:$T,0),MATCH(G$1,'Исходник'!$1:$1,0)))</f>
        <v/>
      </c>
      <c r="H452" s="27">
        <f t="shared" si="1"/>
        <v>0</v>
      </c>
      <c r="I452" s="27" t="str">
        <f t="shared" si="2"/>
        <v/>
      </c>
      <c r="J452" s="1" t="str">
        <f t="array" ref="J452">IFERROR(INDEX('Исходник'!$1:$626,MATCH($A452,'Исходник'!$T:$T,0),MATCH(J$1,'Исходник'!$1:$1,0)))</f>
        <v/>
      </c>
      <c r="K452" s="27" t="str">
        <f t="shared" si="3"/>
        <v/>
      </c>
      <c r="L452" s="1" t="str">
        <f t="array" ref="L452">IFERROR(INDEX('Исходник'!$1:$626,MATCH($A452,'Исходник'!$T:$T,0),MATCH(L$1,'Исходник'!$1:$1,0)))</f>
        <v/>
      </c>
      <c r="M452" s="28">
        <f t="shared" si="4"/>
        <v>0</v>
      </c>
      <c r="N452" s="1" t="str">
        <f t="array" ref="N452">IFERROR(INDEX('Исходник'!$1:$626,MATCH($A452,'Исходник'!$T:$T,0),MATCH(N$1,'Исходник'!$1:$1,0)))</f>
        <v/>
      </c>
      <c r="O452" s="27">
        <f t="shared" si="5"/>
        <v>0</v>
      </c>
      <c r="P452" s="27" t="str">
        <f t="shared" si="6"/>
        <v/>
      </c>
      <c r="Q452" s="1" t="str">
        <f t="array" ref="Q452">IFERROR(INDEX('Исходник'!$1:$626,MATCH($A452,'Исходник'!$T:$T,0),MATCH(Q$1,'Исходник'!$1:$1,0)))</f>
        <v/>
      </c>
      <c r="R452" s="1" t="str">
        <f t="array" ref="R452">IFERROR(INDEX('Исходник'!$1:$626,MATCH($A452,'Исходник'!$T:$T,0),MATCH(R$1,'Исходник'!$1:$1,0)))</f>
        <v/>
      </c>
      <c r="S452" s="27">
        <f t="shared" si="7"/>
        <v>0</v>
      </c>
      <c r="T452" s="27" t="str">
        <f t="shared" si="8"/>
        <v/>
      </c>
      <c r="U452" s="1" t="str">
        <f t="array" ref="U452">IFERROR(INDEX('Исходник'!$1:$626,MATCH($A452,'Исходник'!$T:$T,0),MATCH(U$1,'Исходник'!$1:$1,0)))</f>
        <v/>
      </c>
      <c r="V452" s="27" t="str">
        <f t="shared" si="9"/>
        <v/>
      </c>
      <c r="W452" s="1" t="str">
        <f t="array" ref="W452">IFERROR(INDEX('Исходник'!$1:$626,MATCH($A452,'Исходник'!$T:$T,0),MATCH(W$1,'Исходник'!$1:$1,0)))</f>
        <v/>
      </c>
      <c r="X452" s="28">
        <f t="shared" si="10"/>
        <v>0</v>
      </c>
      <c r="Y452" s="1" t="str">
        <f t="array" ref="Y452">IFERROR(INDEX('Исходник'!$1:$626,MATCH($A452,'Исходник'!$T:$T,0),MATCH(Y$1,'Исходник'!$1:$1,0)))</f>
        <v/>
      </c>
      <c r="Z452" s="27">
        <f t="shared" si="11"/>
        <v>0</v>
      </c>
      <c r="AA452" s="27" t="str">
        <f t="shared" si="12"/>
        <v/>
      </c>
      <c r="AB452" s="1" t="str">
        <f t="array" ref="AB452">IFERROR(INDEX('Исходник'!$1:$626,MATCH($A452,'Исходник'!$T:$T,0),MATCH(AB$1,'Исходник'!$1:$1,0)))</f>
        <v/>
      </c>
      <c r="AC452" s="1" t="str">
        <f t="array" ref="AC452">IFERROR(INDEX('Исходник'!$1:$626,MATCH($A452,'Исходник'!$T:$T,0),MATCH(AC$1,'Исходник'!$1:$1,0)))</f>
        <v/>
      </c>
      <c r="AD452" s="27" t="str">
        <f t="shared" si="13"/>
        <v/>
      </c>
      <c r="AE452" s="1" t="str">
        <f t="array" ref="AE452">IFERROR(INDEX('Исходник'!$1:$626,MATCH($A452,'Исходник'!$T:$T,0),MATCH(AE$1,'Исходник'!$1:$1,0)))</f>
        <v/>
      </c>
      <c r="AF452" s="1" t="str">
        <f t="array" ref="AF452">IFERROR(INDEX('Исходник'!$1:$626,MATCH($A452,'Исходник'!$T:$T,0),MATCH(AF$1,'Исходник'!$1:$1,0)))</f>
        <v/>
      </c>
      <c r="AG452" s="27" t="str">
        <f t="shared" si="14"/>
        <v/>
      </c>
      <c r="AH452" s="1" t="str">
        <f t="array" ref="AH452">IFERROR(INDEX('Исходник'!$1:$626,MATCH($A452,'Исходник'!$T:$T,0),MATCH(AH$1,'Исходник'!$1:$1,0)))</f>
        <v/>
      </c>
      <c r="AI452" s="1" t="str">
        <f t="array" ref="AI452">IFERROR(INDEX('Исходник'!$1:$626,MATCH($A452,'Исходник'!$T:$T,0),MATCH(AI$1,'Исходник'!$1:$1,0)))</f>
        <v/>
      </c>
      <c r="AJ452" s="18">
        <f t="shared" si="15"/>
        <v>0</v>
      </c>
    </row>
    <row r="453" ht="15.75" customHeight="1">
      <c r="A453" s="27"/>
      <c r="B453" s="1" t="str">
        <f t="array" ref="B453">IFERROR(INDEX('Исходник'!$1:$626,MATCH($A453,'Исходник'!$T:$T,0),MATCH(B$1,'Исходник'!$1:$1,0)))</f>
        <v/>
      </c>
      <c r="C453" s="1" t="str">
        <f t="array" ref="C453">IFERROR(INDEX('Исходник'!$1:$626,MATCH($A453,'Исходник'!$T:$T,0),MATCH(C$1,'Исходник'!$1:$1,0)))</f>
        <v/>
      </c>
      <c r="D453" s="1" t="str">
        <f t="array" ref="D453">IFERROR(INDEX('Исходник'!$1:$626,MATCH($A453,'Исходник'!$T:$T,0),MATCH(D$1,'Исходник'!$1:$1,0)))</f>
        <v/>
      </c>
      <c r="E453" s="1" t="str">
        <f t="array" ref="E453">IFERROR(INDEX('Исходник'!$1:$626,MATCH($A453,'Исходник'!$T:$T,0),MATCH(E$1,'Исходник'!$1:$1,0)))</f>
        <v/>
      </c>
      <c r="F453" s="1" t="str">
        <f t="array" ref="F453">IFERROR(INDEX('Исходник'!$1:$626,MATCH($A453,'Исходник'!$T:$T,0),MATCH(F$1,'Исходник'!$1:$1,0)))</f>
        <v/>
      </c>
      <c r="G453" s="1" t="str">
        <f t="array" ref="G453">IFERROR(INDEX('Исходник'!$1:$626,MATCH($A453,'Исходник'!$T:$T,0),MATCH(G$1,'Исходник'!$1:$1,0)))</f>
        <v/>
      </c>
      <c r="H453" s="27">
        <f t="shared" si="1"/>
        <v>0</v>
      </c>
      <c r="I453" s="27" t="str">
        <f t="shared" si="2"/>
        <v/>
      </c>
      <c r="J453" s="1" t="str">
        <f t="array" ref="J453">IFERROR(INDEX('Исходник'!$1:$626,MATCH($A453,'Исходник'!$T:$T,0),MATCH(J$1,'Исходник'!$1:$1,0)))</f>
        <v/>
      </c>
      <c r="K453" s="27" t="str">
        <f t="shared" si="3"/>
        <v/>
      </c>
      <c r="L453" s="1" t="str">
        <f t="array" ref="L453">IFERROR(INDEX('Исходник'!$1:$626,MATCH($A453,'Исходник'!$T:$T,0),MATCH(L$1,'Исходник'!$1:$1,0)))</f>
        <v/>
      </c>
      <c r="M453" s="28">
        <f t="shared" si="4"/>
        <v>0</v>
      </c>
      <c r="N453" s="1" t="str">
        <f t="array" ref="N453">IFERROR(INDEX('Исходник'!$1:$626,MATCH($A453,'Исходник'!$T:$T,0),MATCH(N$1,'Исходник'!$1:$1,0)))</f>
        <v/>
      </c>
      <c r="O453" s="27">
        <f t="shared" si="5"/>
        <v>0</v>
      </c>
      <c r="P453" s="27" t="str">
        <f t="shared" si="6"/>
        <v/>
      </c>
      <c r="Q453" s="1" t="str">
        <f t="array" ref="Q453">IFERROR(INDEX('Исходник'!$1:$626,MATCH($A453,'Исходник'!$T:$T,0),MATCH(Q$1,'Исходник'!$1:$1,0)))</f>
        <v/>
      </c>
      <c r="R453" s="1" t="str">
        <f t="array" ref="R453">IFERROR(INDEX('Исходник'!$1:$626,MATCH($A453,'Исходник'!$T:$T,0),MATCH(R$1,'Исходник'!$1:$1,0)))</f>
        <v/>
      </c>
      <c r="S453" s="27">
        <f t="shared" si="7"/>
        <v>0</v>
      </c>
      <c r="T453" s="27" t="str">
        <f t="shared" si="8"/>
        <v/>
      </c>
      <c r="U453" s="1" t="str">
        <f t="array" ref="U453">IFERROR(INDEX('Исходник'!$1:$626,MATCH($A453,'Исходник'!$T:$T,0),MATCH(U$1,'Исходник'!$1:$1,0)))</f>
        <v/>
      </c>
      <c r="V453" s="27" t="str">
        <f t="shared" si="9"/>
        <v/>
      </c>
      <c r="W453" s="1" t="str">
        <f t="array" ref="W453">IFERROR(INDEX('Исходник'!$1:$626,MATCH($A453,'Исходник'!$T:$T,0),MATCH(W$1,'Исходник'!$1:$1,0)))</f>
        <v/>
      </c>
      <c r="X453" s="28">
        <f t="shared" si="10"/>
        <v>0</v>
      </c>
      <c r="Y453" s="1" t="str">
        <f t="array" ref="Y453">IFERROR(INDEX('Исходник'!$1:$626,MATCH($A453,'Исходник'!$T:$T,0),MATCH(Y$1,'Исходник'!$1:$1,0)))</f>
        <v/>
      </c>
      <c r="Z453" s="27">
        <f t="shared" si="11"/>
        <v>0</v>
      </c>
      <c r="AA453" s="27" t="str">
        <f t="shared" si="12"/>
        <v/>
      </c>
      <c r="AB453" s="1" t="str">
        <f t="array" ref="AB453">IFERROR(INDEX('Исходник'!$1:$626,MATCH($A453,'Исходник'!$T:$T,0),MATCH(AB$1,'Исходник'!$1:$1,0)))</f>
        <v/>
      </c>
      <c r="AC453" s="1" t="str">
        <f t="array" ref="AC453">IFERROR(INDEX('Исходник'!$1:$626,MATCH($A453,'Исходник'!$T:$T,0),MATCH(AC$1,'Исходник'!$1:$1,0)))</f>
        <v/>
      </c>
      <c r="AD453" s="27" t="str">
        <f t="shared" si="13"/>
        <v/>
      </c>
      <c r="AE453" s="1" t="str">
        <f t="array" ref="AE453">IFERROR(INDEX('Исходник'!$1:$626,MATCH($A453,'Исходник'!$T:$T,0),MATCH(AE$1,'Исходник'!$1:$1,0)))</f>
        <v/>
      </c>
      <c r="AF453" s="1" t="str">
        <f t="array" ref="AF453">IFERROR(INDEX('Исходник'!$1:$626,MATCH($A453,'Исходник'!$T:$T,0),MATCH(AF$1,'Исходник'!$1:$1,0)))</f>
        <v/>
      </c>
      <c r="AG453" s="27" t="str">
        <f t="shared" si="14"/>
        <v/>
      </c>
      <c r="AH453" s="1" t="str">
        <f t="array" ref="AH453">IFERROR(INDEX('Исходник'!$1:$626,MATCH($A453,'Исходник'!$T:$T,0),MATCH(AH$1,'Исходник'!$1:$1,0)))</f>
        <v/>
      </c>
      <c r="AI453" s="1" t="str">
        <f t="array" ref="AI453">IFERROR(INDEX('Исходник'!$1:$626,MATCH($A453,'Исходник'!$T:$T,0),MATCH(AI$1,'Исходник'!$1:$1,0)))</f>
        <v/>
      </c>
      <c r="AJ453" s="18">
        <f t="shared" si="15"/>
        <v>0</v>
      </c>
    </row>
    <row r="454" ht="15.75" customHeight="1">
      <c r="A454" s="27"/>
      <c r="B454" s="1" t="str">
        <f t="array" ref="B454">IFERROR(INDEX('Исходник'!$1:$626,MATCH($A454,'Исходник'!$T:$T,0),MATCH(B$1,'Исходник'!$1:$1,0)))</f>
        <v/>
      </c>
      <c r="C454" s="1" t="str">
        <f t="array" ref="C454">IFERROR(INDEX('Исходник'!$1:$626,MATCH($A454,'Исходник'!$T:$T,0),MATCH(C$1,'Исходник'!$1:$1,0)))</f>
        <v/>
      </c>
      <c r="D454" s="1" t="str">
        <f t="array" ref="D454">IFERROR(INDEX('Исходник'!$1:$626,MATCH($A454,'Исходник'!$T:$T,0),MATCH(D$1,'Исходник'!$1:$1,0)))</f>
        <v/>
      </c>
      <c r="E454" s="1" t="str">
        <f t="array" ref="E454">IFERROR(INDEX('Исходник'!$1:$626,MATCH($A454,'Исходник'!$T:$T,0),MATCH(E$1,'Исходник'!$1:$1,0)))</f>
        <v/>
      </c>
      <c r="F454" s="1" t="str">
        <f t="array" ref="F454">IFERROR(INDEX('Исходник'!$1:$626,MATCH($A454,'Исходник'!$T:$T,0),MATCH(F$1,'Исходник'!$1:$1,0)))</f>
        <v/>
      </c>
      <c r="G454" s="1" t="str">
        <f t="array" ref="G454">IFERROR(INDEX('Исходник'!$1:$626,MATCH($A454,'Исходник'!$T:$T,0),MATCH(G$1,'Исходник'!$1:$1,0)))</f>
        <v/>
      </c>
      <c r="H454" s="27">
        <f t="shared" si="1"/>
        <v>0</v>
      </c>
      <c r="I454" s="27" t="str">
        <f t="shared" si="2"/>
        <v/>
      </c>
      <c r="J454" s="1" t="str">
        <f t="array" ref="J454">IFERROR(INDEX('Исходник'!$1:$626,MATCH($A454,'Исходник'!$T:$T,0),MATCH(J$1,'Исходник'!$1:$1,0)))</f>
        <v/>
      </c>
      <c r="K454" s="27" t="str">
        <f t="shared" si="3"/>
        <v/>
      </c>
      <c r="L454" s="1" t="str">
        <f t="array" ref="L454">IFERROR(INDEX('Исходник'!$1:$626,MATCH($A454,'Исходник'!$T:$T,0),MATCH(L$1,'Исходник'!$1:$1,0)))</f>
        <v/>
      </c>
      <c r="M454" s="28">
        <f t="shared" si="4"/>
        <v>0</v>
      </c>
      <c r="N454" s="1" t="str">
        <f t="array" ref="N454">IFERROR(INDEX('Исходник'!$1:$626,MATCH($A454,'Исходник'!$T:$T,0),MATCH(N$1,'Исходник'!$1:$1,0)))</f>
        <v/>
      </c>
      <c r="O454" s="27">
        <f t="shared" si="5"/>
        <v>0</v>
      </c>
      <c r="P454" s="27" t="str">
        <f t="shared" si="6"/>
        <v/>
      </c>
      <c r="Q454" s="1" t="str">
        <f t="array" ref="Q454">IFERROR(INDEX('Исходник'!$1:$626,MATCH($A454,'Исходник'!$T:$T,0),MATCH(Q$1,'Исходник'!$1:$1,0)))</f>
        <v/>
      </c>
      <c r="R454" s="1" t="str">
        <f t="array" ref="R454">IFERROR(INDEX('Исходник'!$1:$626,MATCH($A454,'Исходник'!$T:$T,0),MATCH(R$1,'Исходник'!$1:$1,0)))</f>
        <v/>
      </c>
      <c r="S454" s="27">
        <f t="shared" si="7"/>
        <v>0</v>
      </c>
      <c r="T454" s="27" t="str">
        <f t="shared" si="8"/>
        <v/>
      </c>
      <c r="U454" s="1" t="str">
        <f t="array" ref="U454">IFERROR(INDEX('Исходник'!$1:$626,MATCH($A454,'Исходник'!$T:$T,0),MATCH(U$1,'Исходник'!$1:$1,0)))</f>
        <v/>
      </c>
      <c r="V454" s="27" t="str">
        <f t="shared" si="9"/>
        <v/>
      </c>
      <c r="W454" s="1" t="str">
        <f t="array" ref="W454">IFERROR(INDEX('Исходник'!$1:$626,MATCH($A454,'Исходник'!$T:$T,0),MATCH(W$1,'Исходник'!$1:$1,0)))</f>
        <v/>
      </c>
      <c r="X454" s="28">
        <f t="shared" si="10"/>
        <v>0</v>
      </c>
      <c r="Y454" s="1" t="str">
        <f t="array" ref="Y454">IFERROR(INDEX('Исходник'!$1:$626,MATCH($A454,'Исходник'!$T:$T,0),MATCH(Y$1,'Исходник'!$1:$1,0)))</f>
        <v/>
      </c>
      <c r="Z454" s="27">
        <f t="shared" si="11"/>
        <v>0</v>
      </c>
      <c r="AA454" s="27" t="str">
        <f t="shared" si="12"/>
        <v/>
      </c>
      <c r="AB454" s="1" t="str">
        <f t="array" ref="AB454">IFERROR(INDEX('Исходник'!$1:$626,MATCH($A454,'Исходник'!$T:$T,0),MATCH(AB$1,'Исходник'!$1:$1,0)))</f>
        <v/>
      </c>
      <c r="AC454" s="1" t="str">
        <f t="array" ref="AC454">IFERROR(INDEX('Исходник'!$1:$626,MATCH($A454,'Исходник'!$T:$T,0),MATCH(AC$1,'Исходник'!$1:$1,0)))</f>
        <v/>
      </c>
      <c r="AD454" s="27" t="str">
        <f t="shared" si="13"/>
        <v/>
      </c>
      <c r="AE454" s="1" t="str">
        <f t="array" ref="AE454">IFERROR(INDEX('Исходник'!$1:$626,MATCH($A454,'Исходник'!$T:$T,0),MATCH(AE$1,'Исходник'!$1:$1,0)))</f>
        <v/>
      </c>
      <c r="AF454" s="1" t="str">
        <f t="array" ref="AF454">IFERROR(INDEX('Исходник'!$1:$626,MATCH($A454,'Исходник'!$T:$T,0),MATCH(AF$1,'Исходник'!$1:$1,0)))</f>
        <v/>
      </c>
      <c r="AG454" s="27" t="str">
        <f t="shared" si="14"/>
        <v/>
      </c>
      <c r="AH454" s="1" t="str">
        <f t="array" ref="AH454">IFERROR(INDEX('Исходник'!$1:$626,MATCH($A454,'Исходник'!$T:$T,0),MATCH(AH$1,'Исходник'!$1:$1,0)))</f>
        <v/>
      </c>
      <c r="AI454" s="1" t="str">
        <f t="array" ref="AI454">IFERROR(INDEX('Исходник'!$1:$626,MATCH($A454,'Исходник'!$T:$T,0),MATCH(AI$1,'Исходник'!$1:$1,0)))</f>
        <v/>
      </c>
      <c r="AJ454" s="18">
        <f t="shared" si="15"/>
        <v>0</v>
      </c>
    </row>
    <row r="455" ht="15.75" customHeight="1">
      <c r="A455" s="27"/>
      <c r="B455" s="1" t="str">
        <f t="array" ref="B455">IFERROR(INDEX('Исходник'!$1:$626,MATCH($A455,'Исходник'!$T:$T,0),MATCH(B$1,'Исходник'!$1:$1,0)))</f>
        <v/>
      </c>
      <c r="C455" s="1" t="str">
        <f t="array" ref="C455">IFERROR(INDEX('Исходник'!$1:$626,MATCH($A455,'Исходник'!$T:$T,0),MATCH(C$1,'Исходник'!$1:$1,0)))</f>
        <v/>
      </c>
      <c r="D455" s="1" t="str">
        <f t="array" ref="D455">IFERROR(INDEX('Исходник'!$1:$626,MATCH($A455,'Исходник'!$T:$T,0),MATCH(D$1,'Исходник'!$1:$1,0)))</f>
        <v/>
      </c>
      <c r="E455" s="1" t="str">
        <f t="array" ref="E455">IFERROR(INDEX('Исходник'!$1:$626,MATCH($A455,'Исходник'!$T:$T,0),MATCH(E$1,'Исходник'!$1:$1,0)))</f>
        <v/>
      </c>
      <c r="F455" s="1" t="str">
        <f t="array" ref="F455">IFERROR(INDEX('Исходник'!$1:$626,MATCH($A455,'Исходник'!$T:$T,0),MATCH(F$1,'Исходник'!$1:$1,0)))</f>
        <v/>
      </c>
      <c r="G455" s="1" t="str">
        <f t="array" ref="G455">IFERROR(INDEX('Исходник'!$1:$626,MATCH($A455,'Исходник'!$T:$T,0),MATCH(G$1,'Исходник'!$1:$1,0)))</f>
        <v/>
      </c>
      <c r="H455" s="27">
        <f t="shared" si="1"/>
        <v>0</v>
      </c>
      <c r="I455" s="27" t="str">
        <f t="shared" si="2"/>
        <v/>
      </c>
      <c r="J455" s="1" t="str">
        <f t="array" ref="J455">IFERROR(INDEX('Исходник'!$1:$626,MATCH($A455,'Исходник'!$T:$T,0),MATCH(J$1,'Исходник'!$1:$1,0)))</f>
        <v/>
      </c>
      <c r="K455" s="27" t="str">
        <f t="shared" si="3"/>
        <v/>
      </c>
      <c r="L455" s="1" t="str">
        <f t="array" ref="L455">IFERROR(INDEX('Исходник'!$1:$626,MATCH($A455,'Исходник'!$T:$T,0),MATCH(L$1,'Исходник'!$1:$1,0)))</f>
        <v/>
      </c>
      <c r="M455" s="28">
        <f t="shared" si="4"/>
        <v>0</v>
      </c>
      <c r="N455" s="1" t="str">
        <f t="array" ref="N455">IFERROR(INDEX('Исходник'!$1:$626,MATCH($A455,'Исходник'!$T:$T,0),MATCH(N$1,'Исходник'!$1:$1,0)))</f>
        <v/>
      </c>
      <c r="O455" s="27">
        <f t="shared" si="5"/>
        <v>0</v>
      </c>
      <c r="P455" s="27" t="str">
        <f t="shared" si="6"/>
        <v/>
      </c>
      <c r="Q455" s="1" t="str">
        <f t="array" ref="Q455">IFERROR(INDEX('Исходник'!$1:$626,MATCH($A455,'Исходник'!$T:$T,0),MATCH(Q$1,'Исходник'!$1:$1,0)))</f>
        <v/>
      </c>
      <c r="R455" s="1" t="str">
        <f t="array" ref="R455">IFERROR(INDEX('Исходник'!$1:$626,MATCH($A455,'Исходник'!$T:$T,0),MATCH(R$1,'Исходник'!$1:$1,0)))</f>
        <v/>
      </c>
      <c r="S455" s="27">
        <f t="shared" si="7"/>
        <v>0</v>
      </c>
      <c r="T455" s="27" t="str">
        <f t="shared" si="8"/>
        <v/>
      </c>
      <c r="U455" s="1" t="str">
        <f t="array" ref="U455">IFERROR(INDEX('Исходник'!$1:$626,MATCH($A455,'Исходник'!$T:$T,0),MATCH(U$1,'Исходник'!$1:$1,0)))</f>
        <v/>
      </c>
      <c r="V455" s="27" t="str">
        <f t="shared" si="9"/>
        <v/>
      </c>
      <c r="W455" s="1" t="str">
        <f t="array" ref="W455">IFERROR(INDEX('Исходник'!$1:$626,MATCH($A455,'Исходник'!$T:$T,0),MATCH(W$1,'Исходник'!$1:$1,0)))</f>
        <v/>
      </c>
      <c r="X455" s="28">
        <f t="shared" si="10"/>
        <v>0</v>
      </c>
      <c r="Y455" s="1" t="str">
        <f t="array" ref="Y455">IFERROR(INDEX('Исходник'!$1:$626,MATCH($A455,'Исходник'!$T:$T,0),MATCH(Y$1,'Исходник'!$1:$1,0)))</f>
        <v/>
      </c>
      <c r="Z455" s="27">
        <f t="shared" si="11"/>
        <v>0</v>
      </c>
      <c r="AA455" s="27" t="str">
        <f t="shared" si="12"/>
        <v/>
      </c>
      <c r="AB455" s="1" t="str">
        <f t="array" ref="AB455">IFERROR(INDEX('Исходник'!$1:$626,MATCH($A455,'Исходник'!$T:$T,0),MATCH(AB$1,'Исходник'!$1:$1,0)))</f>
        <v/>
      </c>
      <c r="AC455" s="1" t="str">
        <f t="array" ref="AC455">IFERROR(INDEX('Исходник'!$1:$626,MATCH($A455,'Исходник'!$T:$T,0),MATCH(AC$1,'Исходник'!$1:$1,0)))</f>
        <v/>
      </c>
      <c r="AD455" s="27" t="str">
        <f t="shared" si="13"/>
        <v/>
      </c>
      <c r="AE455" s="1" t="str">
        <f t="array" ref="AE455">IFERROR(INDEX('Исходник'!$1:$626,MATCH($A455,'Исходник'!$T:$T,0),MATCH(AE$1,'Исходник'!$1:$1,0)))</f>
        <v/>
      </c>
      <c r="AF455" s="1" t="str">
        <f t="array" ref="AF455">IFERROR(INDEX('Исходник'!$1:$626,MATCH($A455,'Исходник'!$T:$T,0),MATCH(AF$1,'Исходник'!$1:$1,0)))</f>
        <v/>
      </c>
      <c r="AG455" s="27" t="str">
        <f t="shared" si="14"/>
        <v/>
      </c>
      <c r="AH455" s="1" t="str">
        <f t="array" ref="AH455">IFERROR(INDEX('Исходник'!$1:$626,MATCH($A455,'Исходник'!$T:$T,0),MATCH(AH$1,'Исходник'!$1:$1,0)))</f>
        <v/>
      </c>
      <c r="AI455" s="1" t="str">
        <f t="array" ref="AI455">IFERROR(INDEX('Исходник'!$1:$626,MATCH($A455,'Исходник'!$T:$T,0),MATCH(AI$1,'Исходник'!$1:$1,0)))</f>
        <v/>
      </c>
      <c r="AJ455" s="18">
        <f t="shared" si="15"/>
        <v>0</v>
      </c>
    </row>
    <row r="456" ht="15.75" customHeight="1">
      <c r="A456" s="27"/>
      <c r="B456" s="1" t="str">
        <f t="array" ref="B456">IFERROR(INDEX('Исходник'!$1:$626,MATCH($A456,'Исходник'!$T:$T,0),MATCH(B$1,'Исходник'!$1:$1,0)))</f>
        <v/>
      </c>
      <c r="C456" s="1" t="str">
        <f t="array" ref="C456">IFERROR(INDEX('Исходник'!$1:$626,MATCH($A456,'Исходник'!$T:$T,0),MATCH(C$1,'Исходник'!$1:$1,0)))</f>
        <v/>
      </c>
      <c r="D456" s="1" t="str">
        <f t="array" ref="D456">IFERROR(INDEX('Исходник'!$1:$626,MATCH($A456,'Исходник'!$T:$T,0),MATCH(D$1,'Исходник'!$1:$1,0)))</f>
        <v/>
      </c>
      <c r="E456" s="1" t="str">
        <f t="array" ref="E456">IFERROR(INDEX('Исходник'!$1:$626,MATCH($A456,'Исходник'!$T:$T,0),MATCH(E$1,'Исходник'!$1:$1,0)))</f>
        <v/>
      </c>
      <c r="F456" s="1" t="str">
        <f t="array" ref="F456">IFERROR(INDEX('Исходник'!$1:$626,MATCH($A456,'Исходник'!$T:$T,0),MATCH(F$1,'Исходник'!$1:$1,0)))</f>
        <v/>
      </c>
      <c r="G456" s="1" t="str">
        <f t="array" ref="G456">IFERROR(INDEX('Исходник'!$1:$626,MATCH($A456,'Исходник'!$T:$T,0),MATCH(G$1,'Исходник'!$1:$1,0)))</f>
        <v/>
      </c>
      <c r="H456" s="27">
        <f t="shared" si="1"/>
        <v>0</v>
      </c>
      <c r="I456" s="27" t="str">
        <f t="shared" si="2"/>
        <v/>
      </c>
      <c r="J456" s="1" t="str">
        <f t="array" ref="J456">IFERROR(INDEX('Исходник'!$1:$626,MATCH($A456,'Исходник'!$T:$T,0),MATCH(J$1,'Исходник'!$1:$1,0)))</f>
        <v/>
      </c>
      <c r="K456" s="27" t="str">
        <f t="shared" si="3"/>
        <v/>
      </c>
      <c r="L456" s="1" t="str">
        <f t="array" ref="L456">IFERROR(INDEX('Исходник'!$1:$626,MATCH($A456,'Исходник'!$T:$T,0),MATCH(L$1,'Исходник'!$1:$1,0)))</f>
        <v/>
      </c>
      <c r="M456" s="28">
        <f t="shared" si="4"/>
        <v>0</v>
      </c>
      <c r="N456" s="1" t="str">
        <f t="array" ref="N456">IFERROR(INDEX('Исходник'!$1:$626,MATCH($A456,'Исходник'!$T:$T,0),MATCH(N$1,'Исходник'!$1:$1,0)))</f>
        <v/>
      </c>
      <c r="O456" s="27">
        <f t="shared" si="5"/>
        <v>0</v>
      </c>
      <c r="P456" s="27" t="str">
        <f t="shared" si="6"/>
        <v/>
      </c>
      <c r="Q456" s="1" t="str">
        <f t="array" ref="Q456">IFERROR(INDEX('Исходник'!$1:$626,MATCH($A456,'Исходник'!$T:$T,0),MATCH(Q$1,'Исходник'!$1:$1,0)))</f>
        <v/>
      </c>
      <c r="R456" s="1" t="str">
        <f t="array" ref="R456">IFERROR(INDEX('Исходник'!$1:$626,MATCH($A456,'Исходник'!$T:$T,0),MATCH(R$1,'Исходник'!$1:$1,0)))</f>
        <v/>
      </c>
      <c r="S456" s="27">
        <f t="shared" si="7"/>
        <v>0</v>
      </c>
      <c r="T456" s="27" t="str">
        <f t="shared" si="8"/>
        <v/>
      </c>
      <c r="U456" s="1" t="str">
        <f t="array" ref="U456">IFERROR(INDEX('Исходник'!$1:$626,MATCH($A456,'Исходник'!$T:$T,0),MATCH(U$1,'Исходник'!$1:$1,0)))</f>
        <v/>
      </c>
      <c r="V456" s="27" t="str">
        <f t="shared" si="9"/>
        <v/>
      </c>
      <c r="W456" s="1" t="str">
        <f t="array" ref="W456">IFERROR(INDEX('Исходник'!$1:$626,MATCH($A456,'Исходник'!$T:$T,0),MATCH(W$1,'Исходник'!$1:$1,0)))</f>
        <v/>
      </c>
      <c r="X456" s="28">
        <f t="shared" si="10"/>
        <v>0</v>
      </c>
      <c r="Y456" s="1" t="str">
        <f t="array" ref="Y456">IFERROR(INDEX('Исходник'!$1:$626,MATCH($A456,'Исходник'!$T:$T,0),MATCH(Y$1,'Исходник'!$1:$1,0)))</f>
        <v/>
      </c>
      <c r="Z456" s="27">
        <f t="shared" si="11"/>
        <v>0</v>
      </c>
      <c r="AA456" s="27" t="str">
        <f t="shared" si="12"/>
        <v/>
      </c>
      <c r="AB456" s="1" t="str">
        <f t="array" ref="AB456">IFERROR(INDEX('Исходник'!$1:$626,MATCH($A456,'Исходник'!$T:$T,0),MATCH(AB$1,'Исходник'!$1:$1,0)))</f>
        <v/>
      </c>
      <c r="AC456" s="1" t="str">
        <f t="array" ref="AC456">IFERROR(INDEX('Исходник'!$1:$626,MATCH($A456,'Исходник'!$T:$T,0),MATCH(AC$1,'Исходник'!$1:$1,0)))</f>
        <v/>
      </c>
      <c r="AD456" s="27" t="str">
        <f t="shared" si="13"/>
        <v/>
      </c>
      <c r="AE456" s="1" t="str">
        <f t="array" ref="AE456">IFERROR(INDEX('Исходник'!$1:$626,MATCH($A456,'Исходник'!$T:$T,0),MATCH(AE$1,'Исходник'!$1:$1,0)))</f>
        <v/>
      </c>
      <c r="AF456" s="1" t="str">
        <f t="array" ref="AF456">IFERROR(INDEX('Исходник'!$1:$626,MATCH($A456,'Исходник'!$T:$T,0),MATCH(AF$1,'Исходник'!$1:$1,0)))</f>
        <v/>
      </c>
      <c r="AG456" s="27" t="str">
        <f t="shared" si="14"/>
        <v/>
      </c>
      <c r="AH456" s="1" t="str">
        <f t="array" ref="AH456">IFERROR(INDEX('Исходник'!$1:$626,MATCH($A456,'Исходник'!$T:$T,0),MATCH(AH$1,'Исходник'!$1:$1,0)))</f>
        <v/>
      </c>
      <c r="AI456" s="1" t="str">
        <f t="array" ref="AI456">IFERROR(INDEX('Исходник'!$1:$626,MATCH($A456,'Исходник'!$T:$T,0),MATCH(AI$1,'Исходник'!$1:$1,0)))</f>
        <v/>
      </c>
      <c r="AJ456" s="18">
        <f t="shared" si="15"/>
        <v>0</v>
      </c>
    </row>
    <row r="457" ht="15.75" customHeight="1">
      <c r="A457" s="27"/>
      <c r="B457" s="1" t="str">
        <f t="array" ref="B457">IFERROR(INDEX('Исходник'!$1:$626,MATCH($A457,'Исходник'!$T:$T,0),MATCH(B$1,'Исходник'!$1:$1,0)))</f>
        <v/>
      </c>
      <c r="C457" s="1" t="str">
        <f t="array" ref="C457">IFERROR(INDEX('Исходник'!$1:$626,MATCH($A457,'Исходник'!$T:$T,0),MATCH(C$1,'Исходник'!$1:$1,0)))</f>
        <v/>
      </c>
      <c r="D457" s="1" t="str">
        <f t="array" ref="D457">IFERROR(INDEX('Исходник'!$1:$626,MATCH($A457,'Исходник'!$T:$T,0),MATCH(D$1,'Исходник'!$1:$1,0)))</f>
        <v/>
      </c>
      <c r="E457" s="1" t="str">
        <f t="array" ref="E457">IFERROR(INDEX('Исходник'!$1:$626,MATCH($A457,'Исходник'!$T:$T,0),MATCH(E$1,'Исходник'!$1:$1,0)))</f>
        <v/>
      </c>
      <c r="F457" s="1" t="str">
        <f t="array" ref="F457">IFERROR(INDEX('Исходник'!$1:$626,MATCH($A457,'Исходник'!$T:$T,0),MATCH(F$1,'Исходник'!$1:$1,0)))</f>
        <v/>
      </c>
      <c r="G457" s="1" t="str">
        <f t="array" ref="G457">IFERROR(INDEX('Исходник'!$1:$626,MATCH($A457,'Исходник'!$T:$T,0),MATCH(G$1,'Исходник'!$1:$1,0)))</f>
        <v/>
      </c>
      <c r="H457" s="27">
        <f t="shared" si="1"/>
        <v>0</v>
      </c>
      <c r="I457" s="27" t="str">
        <f t="shared" si="2"/>
        <v/>
      </c>
      <c r="J457" s="1" t="str">
        <f t="array" ref="J457">IFERROR(INDEX('Исходник'!$1:$626,MATCH($A457,'Исходник'!$T:$T,0),MATCH(J$1,'Исходник'!$1:$1,0)))</f>
        <v/>
      </c>
      <c r="K457" s="27" t="str">
        <f t="shared" si="3"/>
        <v/>
      </c>
      <c r="L457" s="1" t="str">
        <f t="array" ref="L457">IFERROR(INDEX('Исходник'!$1:$626,MATCH($A457,'Исходник'!$T:$T,0),MATCH(L$1,'Исходник'!$1:$1,0)))</f>
        <v/>
      </c>
      <c r="M457" s="28">
        <f t="shared" si="4"/>
        <v>0</v>
      </c>
      <c r="N457" s="1" t="str">
        <f t="array" ref="N457">IFERROR(INDEX('Исходник'!$1:$626,MATCH($A457,'Исходник'!$T:$T,0),MATCH(N$1,'Исходник'!$1:$1,0)))</f>
        <v/>
      </c>
      <c r="O457" s="27">
        <f t="shared" si="5"/>
        <v>0</v>
      </c>
      <c r="P457" s="27" t="str">
        <f t="shared" si="6"/>
        <v/>
      </c>
      <c r="Q457" s="1" t="str">
        <f t="array" ref="Q457">IFERROR(INDEX('Исходник'!$1:$626,MATCH($A457,'Исходник'!$T:$T,0),MATCH(Q$1,'Исходник'!$1:$1,0)))</f>
        <v/>
      </c>
      <c r="R457" s="1" t="str">
        <f t="array" ref="R457">IFERROR(INDEX('Исходник'!$1:$626,MATCH($A457,'Исходник'!$T:$T,0),MATCH(R$1,'Исходник'!$1:$1,0)))</f>
        <v/>
      </c>
      <c r="S457" s="27">
        <f t="shared" si="7"/>
        <v>0</v>
      </c>
      <c r="T457" s="27" t="str">
        <f t="shared" si="8"/>
        <v/>
      </c>
      <c r="U457" s="1" t="str">
        <f t="array" ref="U457">IFERROR(INDEX('Исходник'!$1:$626,MATCH($A457,'Исходник'!$T:$T,0),MATCH(U$1,'Исходник'!$1:$1,0)))</f>
        <v/>
      </c>
      <c r="V457" s="27" t="str">
        <f t="shared" si="9"/>
        <v/>
      </c>
      <c r="W457" s="1" t="str">
        <f t="array" ref="W457">IFERROR(INDEX('Исходник'!$1:$626,MATCH($A457,'Исходник'!$T:$T,0),MATCH(W$1,'Исходник'!$1:$1,0)))</f>
        <v/>
      </c>
      <c r="X457" s="28">
        <f t="shared" si="10"/>
        <v>0</v>
      </c>
      <c r="Y457" s="1" t="str">
        <f t="array" ref="Y457">IFERROR(INDEX('Исходник'!$1:$626,MATCH($A457,'Исходник'!$T:$T,0),MATCH(Y$1,'Исходник'!$1:$1,0)))</f>
        <v/>
      </c>
      <c r="Z457" s="27">
        <f t="shared" si="11"/>
        <v>0</v>
      </c>
      <c r="AA457" s="27" t="str">
        <f t="shared" si="12"/>
        <v/>
      </c>
      <c r="AB457" s="1" t="str">
        <f t="array" ref="AB457">IFERROR(INDEX('Исходник'!$1:$626,MATCH($A457,'Исходник'!$T:$T,0),MATCH(AB$1,'Исходник'!$1:$1,0)))</f>
        <v/>
      </c>
      <c r="AC457" s="1" t="str">
        <f t="array" ref="AC457">IFERROR(INDEX('Исходник'!$1:$626,MATCH($A457,'Исходник'!$T:$T,0),MATCH(AC$1,'Исходник'!$1:$1,0)))</f>
        <v/>
      </c>
      <c r="AD457" s="27" t="str">
        <f t="shared" si="13"/>
        <v/>
      </c>
      <c r="AE457" s="1" t="str">
        <f t="array" ref="AE457">IFERROR(INDEX('Исходник'!$1:$626,MATCH($A457,'Исходник'!$T:$T,0),MATCH(AE$1,'Исходник'!$1:$1,0)))</f>
        <v/>
      </c>
      <c r="AF457" s="1" t="str">
        <f t="array" ref="AF457">IFERROR(INDEX('Исходник'!$1:$626,MATCH($A457,'Исходник'!$T:$T,0),MATCH(AF$1,'Исходник'!$1:$1,0)))</f>
        <v/>
      </c>
      <c r="AG457" s="27" t="str">
        <f t="shared" si="14"/>
        <v/>
      </c>
      <c r="AH457" s="1" t="str">
        <f t="array" ref="AH457">IFERROR(INDEX('Исходник'!$1:$626,MATCH($A457,'Исходник'!$T:$T,0),MATCH(AH$1,'Исходник'!$1:$1,0)))</f>
        <v/>
      </c>
      <c r="AI457" s="1" t="str">
        <f t="array" ref="AI457">IFERROR(INDEX('Исходник'!$1:$626,MATCH($A457,'Исходник'!$T:$T,0),MATCH(AI$1,'Исходник'!$1:$1,0)))</f>
        <v/>
      </c>
      <c r="AJ457" s="18">
        <f t="shared" si="15"/>
        <v>0</v>
      </c>
    </row>
    <row r="458" ht="15.75" customHeight="1">
      <c r="A458" s="27"/>
      <c r="B458" s="1" t="str">
        <f t="array" ref="B458">IFERROR(INDEX('Исходник'!$1:$626,MATCH($A458,'Исходник'!$T:$T,0),MATCH(B$1,'Исходник'!$1:$1,0)))</f>
        <v/>
      </c>
      <c r="C458" s="1" t="str">
        <f t="array" ref="C458">IFERROR(INDEX('Исходник'!$1:$626,MATCH($A458,'Исходник'!$T:$T,0),MATCH(C$1,'Исходник'!$1:$1,0)))</f>
        <v/>
      </c>
      <c r="D458" s="1" t="str">
        <f t="array" ref="D458">IFERROR(INDEX('Исходник'!$1:$626,MATCH($A458,'Исходник'!$T:$T,0),MATCH(D$1,'Исходник'!$1:$1,0)))</f>
        <v/>
      </c>
      <c r="E458" s="1" t="str">
        <f t="array" ref="E458">IFERROR(INDEX('Исходник'!$1:$626,MATCH($A458,'Исходник'!$T:$T,0),MATCH(E$1,'Исходник'!$1:$1,0)))</f>
        <v/>
      </c>
      <c r="F458" s="1" t="str">
        <f t="array" ref="F458">IFERROR(INDEX('Исходник'!$1:$626,MATCH($A458,'Исходник'!$T:$T,0),MATCH(F$1,'Исходник'!$1:$1,0)))</f>
        <v/>
      </c>
      <c r="G458" s="1" t="str">
        <f t="array" ref="G458">IFERROR(INDEX('Исходник'!$1:$626,MATCH($A458,'Исходник'!$T:$T,0),MATCH(G$1,'Исходник'!$1:$1,0)))</f>
        <v/>
      </c>
      <c r="H458" s="27">
        <f t="shared" si="1"/>
        <v>0</v>
      </c>
      <c r="I458" s="27" t="str">
        <f t="shared" si="2"/>
        <v/>
      </c>
      <c r="J458" s="1" t="str">
        <f t="array" ref="J458">IFERROR(INDEX('Исходник'!$1:$626,MATCH($A458,'Исходник'!$T:$T,0),MATCH(J$1,'Исходник'!$1:$1,0)))</f>
        <v/>
      </c>
      <c r="K458" s="27" t="str">
        <f t="shared" si="3"/>
        <v/>
      </c>
      <c r="L458" s="1" t="str">
        <f t="array" ref="L458">IFERROR(INDEX('Исходник'!$1:$626,MATCH($A458,'Исходник'!$T:$T,0),MATCH(L$1,'Исходник'!$1:$1,0)))</f>
        <v/>
      </c>
      <c r="M458" s="28">
        <f t="shared" si="4"/>
        <v>0</v>
      </c>
      <c r="N458" s="1" t="str">
        <f t="array" ref="N458">IFERROR(INDEX('Исходник'!$1:$626,MATCH($A458,'Исходник'!$T:$T,0),MATCH(N$1,'Исходник'!$1:$1,0)))</f>
        <v/>
      </c>
      <c r="O458" s="27">
        <f t="shared" si="5"/>
        <v>0</v>
      </c>
      <c r="P458" s="27" t="str">
        <f t="shared" si="6"/>
        <v/>
      </c>
      <c r="Q458" s="1" t="str">
        <f t="array" ref="Q458">IFERROR(INDEX('Исходник'!$1:$626,MATCH($A458,'Исходник'!$T:$T,0),MATCH(Q$1,'Исходник'!$1:$1,0)))</f>
        <v/>
      </c>
      <c r="R458" s="1" t="str">
        <f t="array" ref="R458">IFERROR(INDEX('Исходник'!$1:$626,MATCH($A458,'Исходник'!$T:$T,0),MATCH(R$1,'Исходник'!$1:$1,0)))</f>
        <v/>
      </c>
      <c r="S458" s="27">
        <f t="shared" si="7"/>
        <v>0</v>
      </c>
      <c r="T458" s="27" t="str">
        <f t="shared" si="8"/>
        <v/>
      </c>
      <c r="U458" s="1" t="str">
        <f t="array" ref="U458">IFERROR(INDEX('Исходник'!$1:$626,MATCH($A458,'Исходник'!$T:$T,0),MATCH(U$1,'Исходник'!$1:$1,0)))</f>
        <v/>
      </c>
      <c r="V458" s="27" t="str">
        <f t="shared" si="9"/>
        <v/>
      </c>
      <c r="W458" s="1" t="str">
        <f t="array" ref="W458">IFERROR(INDEX('Исходник'!$1:$626,MATCH($A458,'Исходник'!$T:$T,0),MATCH(W$1,'Исходник'!$1:$1,0)))</f>
        <v/>
      </c>
      <c r="X458" s="28">
        <f t="shared" si="10"/>
        <v>0</v>
      </c>
      <c r="Y458" s="1" t="str">
        <f t="array" ref="Y458">IFERROR(INDEX('Исходник'!$1:$626,MATCH($A458,'Исходник'!$T:$T,0),MATCH(Y$1,'Исходник'!$1:$1,0)))</f>
        <v/>
      </c>
      <c r="Z458" s="27">
        <f t="shared" si="11"/>
        <v>0</v>
      </c>
      <c r="AA458" s="27" t="str">
        <f t="shared" si="12"/>
        <v/>
      </c>
      <c r="AB458" s="1" t="str">
        <f t="array" ref="AB458">IFERROR(INDEX('Исходник'!$1:$626,MATCH($A458,'Исходник'!$T:$T,0),MATCH(AB$1,'Исходник'!$1:$1,0)))</f>
        <v/>
      </c>
      <c r="AC458" s="1" t="str">
        <f t="array" ref="AC458">IFERROR(INDEX('Исходник'!$1:$626,MATCH($A458,'Исходник'!$T:$T,0),MATCH(AC$1,'Исходник'!$1:$1,0)))</f>
        <v/>
      </c>
      <c r="AD458" s="27" t="str">
        <f t="shared" si="13"/>
        <v/>
      </c>
      <c r="AE458" s="1" t="str">
        <f t="array" ref="AE458">IFERROR(INDEX('Исходник'!$1:$626,MATCH($A458,'Исходник'!$T:$T,0),MATCH(AE$1,'Исходник'!$1:$1,0)))</f>
        <v/>
      </c>
      <c r="AF458" s="1" t="str">
        <f t="array" ref="AF458">IFERROR(INDEX('Исходник'!$1:$626,MATCH($A458,'Исходник'!$T:$T,0),MATCH(AF$1,'Исходник'!$1:$1,0)))</f>
        <v/>
      </c>
      <c r="AG458" s="27" t="str">
        <f t="shared" si="14"/>
        <v/>
      </c>
      <c r="AH458" s="1" t="str">
        <f t="array" ref="AH458">IFERROR(INDEX('Исходник'!$1:$626,MATCH($A458,'Исходник'!$T:$T,0),MATCH(AH$1,'Исходник'!$1:$1,0)))</f>
        <v/>
      </c>
      <c r="AI458" s="1" t="str">
        <f t="array" ref="AI458">IFERROR(INDEX('Исходник'!$1:$626,MATCH($A458,'Исходник'!$T:$T,0),MATCH(AI$1,'Исходник'!$1:$1,0)))</f>
        <v/>
      </c>
      <c r="AJ458" s="18">
        <f t="shared" si="15"/>
        <v>0</v>
      </c>
    </row>
    <row r="459" ht="15.75" customHeight="1">
      <c r="A459" s="27"/>
      <c r="B459" s="1" t="str">
        <f t="array" ref="B459">IFERROR(INDEX('Исходник'!$1:$626,MATCH($A459,'Исходник'!$T:$T,0),MATCH(B$1,'Исходник'!$1:$1,0)))</f>
        <v/>
      </c>
      <c r="C459" s="1" t="str">
        <f t="array" ref="C459">IFERROR(INDEX('Исходник'!$1:$626,MATCH($A459,'Исходник'!$T:$T,0),MATCH(C$1,'Исходник'!$1:$1,0)))</f>
        <v/>
      </c>
      <c r="D459" s="1" t="str">
        <f t="array" ref="D459">IFERROR(INDEX('Исходник'!$1:$626,MATCH($A459,'Исходник'!$T:$T,0),MATCH(D$1,'Исходник'!$1:$1,0)))</f>
        <v/>
      </c>
      <c r="E459" s="1" t="str">
        <f t="array" ref="E459">IFERROR(INDEX('Исходник'!$1:$626,MATCH($A459,'Исходник'!$T:$T,0),MATCH(E$1,'Исходник'!$1:$1,0)))</f>
        <v/>
      </c>
      <c r="F459" s="1" t="str">
        <f t="array" ref="F459">IFERROR(INDEX('Исходник'!$1:$626,MATCH($A459,'Исходник'!$T:$T,0),MATCH(F$1,'Исходник'!$1:$1,0)))</f>
        <v/>
      </c>
      <c r="G459" s="1" t="str">
        <f t="array" ref="G459">IFERROR(INDEX('Исходник'!$1:$626,MATCH($A459,'Исходник'!$T:$T,0),MATCH(G$1,'Исходник'!$1:$1,0)))</f>
        <v/>
      </c>
      <c r="H459" s="27">
        <f t="shared" si="1"/>
        <v>0</v>
      </c>
      <c r="I459" s="27" t="str">
        <f t="shared" si="2"/>
        <v/>
      </c>
      <c r="J459" s="1" t="str">
        <f t="array" ref="J459">IFERROR(INDEX('Исходник'!$1:$626,MATCH($A459,'Исходник'!$T:$T,0),MATCH(J$1,'Исходник'!$1:$1,0)))</f>
        <v/>
      </c>
      <c r="K459" s="27" t="str">
        <f t="shared" si="3"/>
        <v/>
      </c>
      <c r="L459" s="1" t="str">
        <f t="array" ref="L459">IFERROR(INDEX('Исходник'!$1:$626,MATCH($A459,'Исходник'!$T:$T,0),MATCH(L$1,'Исходник'!$1:$1,0)))</f>
        <v/>
      </c>
      <c r="M459" s="28">
        <f t="shared" si="4"/>
        <v>0</v>
      </c>
      <c r="N459" s="1" t="str">
        <f t="array" ref="N459">IFERROR(INDEX('Исходник'!$1:$626,MATCH($A459,'Исходник'!$T:$T,0),MATCH(N$1,'Исходник'!$1:$1,0)))</f>
        <v/>
      </c>
      <c r="O459" s="27">
        <f t="shared" si="5"/>
        <v>0</v>
      </c>
      <c r="P459" s="27" t="str">
        <f t="shared" si="6"/>
        <v/>
      </c>
      <c r="Q459" s="1" t="str">
        <f t="array" ref="Q459">IFERROR(INDEX('Исходник'!$1:$626,MATCH($A459,'Исходник'!$T:$T,0),MATCH(Q$1,'Исходник'!$1:$1,0)))</f>
        <v/>
      </c>
      <c r="R459" s="1" t="str">
        <f t="array" ref="R459">IFERROR(INDEX('Исходник'!$1:$626,MATCH($A459,'Исходник'!$T:$T,0),MATCH(R$1,'Исходник'!$1:$1,0)))</f>
        <v/>
      </c>
      <c r="S459" s="27">
        <f t="shared" si="7"/>
        <v>0</v>
      </c>
      <c r="T459" s="27" t="str">
        <f t="shared" si="8"/>
        <v/>
      </c>
      <c r="U459" s="1" t="str">
        <f t="array" ref="U459">IFERROR(INDEX('Исходник'!$1:$626,MATCH($A459,'Исходник'!$T:$T,0),MATCH(U$1,'Исходник'!$1:$1,0)))</f>
        <v/>
      </c>
      <c r="V459" s="27" t="str">
        <f t="shared" si="9"/>
        <v/>
      </c>
      <c r="W459" s="1" t="str">
        <f t="array" ref="W459">IFERROR(INDEX('Исходник'!$1:$626,MATCH($A459,'Исходник'!$T:$T,0),MATCH(W$1,'Исходник'!$1:$1,0)))</f>
        <v/>
      </c>
      <c r="X459" s="28">
        <f t="shared" si="10"/>
        <v>0</v>
      </c>
      <c r="Y459" s="1" t="str">
        <f t="array" ref="Y459">IFERROR(INDEX('Исходник'!$1:$626,MATCH($A459,'Исходник'!$T:$T,0),MATCH(Y$1,'Исходник'!$1:$1,0)))</f>
        <v/>
      </c>
      <c r="Z459" s="27">
        <f t="shared" si="11"/>
        <v>0</v>
      </c>
      <c r="AA459" s="27" t="str">
        <f t="shared" si="12"/>
        <v/>
      </c>
      <c r="AB459" s="1" t="str">
        <f t="array" ref="AB459">IFERROR(INDEX('Исходник'!$1:$626,MATCH($A459,'Исходник'!$T:$T,0),MATCH(AB$1,'Исходник'!$1:$1,0)))</f>
        <v/>
      </c>
      <c r="AC459" s="1" t="str">
        <f t="array" ref="AC459">IFERROR(INDEX('Исходник'!$1:$626,MATCH($A459,'Исходник'!$T:$T,0),MATCH(AC$1,'Исходник'!$1:$1,0)))</f>
        <v/>
      </c>
      <c r="AD459" s="27" t="str">
        <f t="shared" si="13"/>
        <v/>
      </c>
      <c r="AE459" s="1" t="str">
        <f t="array" ref="AE459">IFERROR(INDEX('Исходник'!$1:$626,MATCH($A459,'Исходник'!$T:$T,0),MATCH(AE$1,'Исходник'!$1:$1,0)))</f>
        <v/>
      </c>
      <c r="AF459" s="1" t="str">
        <f t="array" ref="AF459">IFERROR(INDEX('Исходник'!$1:$626,MATCH($A459,'Исходник'!$T:$T,0),MATCH(AF$1,'Исходник'!$1:$1,0)))</f>
        <v/>
      </c>
      <c r="AG459" s="27" t="str">
        <f t="shared" si="14"/>
        <v/>
      </c>
      <c r="AH459" s="1" t="str">
        <f t="array" ref="AH459">IFERROR(INDEX('Исходник'!$1:$626,MATCH($A459,'Исходник'!$T:$T,0),MATCH(AH$1,'Исходник'!$1:$1,0)))</f>
        <v/>
      </c>
      <c r="AI459" s="1" t="str">
        <f t="array" ref="AI459">IFERROR(INDEX('Исходник'!$1:$626,MATCH($A459,'Исходник'!$T:$T,0),MATCH(AI$1,'Исходник'!$1:$1,0)))</f>
        <v/>
      </c>
      <c r="AJ459" s="18">
        <f t="shared" si="15"/>
        <v>0</v>
      </c>
    </row>
    <row r="460" ht="15.75" customHeight="1">
      <c r="A460" s="27"/>
      <c r="B460" s="1" t="str">
        <f t="array" ref="B460">IFERROR(INDEX('Исходник'!$1:$626,MATCH($A460,'Исходник'!$T:$T,0),MATCH(B$1,'Исходник'!$1:$1,0)))</f>
        <v/>
      </c>
      <c r="C460" s="1" t="str">
        <f t="array" ref="C460">IFERROR(INDEX('Исходник'!$1:$626,MATCH($A460,'Исходник'!$T:$T,0),MATCH(C$1,'Исходник'!$1:$1,0)))</f>
        <v/>
      </c>
      <c r="D460" s="1" t="str">
        <f t="array" ref="D460">IFERROR(INDEX('Исходник'!$1:$626,MATCH($A460,'Исходник'!$T:$T,0),MATCH(D$1,'Исходник'!$1:$1,0)))</f>
        <v/>
      </c>
      <c r="E460" s="1" t="str">
        <f t="array" ref="E460">IFERROR(INDEX('Исходник'!$1:$626,MATCH($A460,'Исходник'!$T:$T,0),MATCH(E$1,'Исходник'!$1:$1,0)))</f>
        <v/>
      </c>
      <c r="F460" s="1" t="str">
        <f t="array" ref="F460">IFERROR(INDEX('Исходник'!$1:$626,MATCH($A460,'Исходник'!$T:$T,0),MATCH(F$1,'Исходник'!$1:$1,0)))</f>
        <v/>
      </c>
      <c r="G460" s="1" t="str">
        <f t="array" ref="G460">IFERROR(INDEX('Исходник'!$1:$626,MATCH($A460,'Исходник'!$T:$T,0),MATCH(G$1,'Исходник'!$1:$1,0)))</f>
        <v/>
      </c>
      <c r="H460" s="27">
        <f t="shared" si="1"/>
        <v>0</v>
      </c>
      <c r="I460" s="27" t="str">
        <f t="shared" si="2"/>
        <v/>
      </c>
      <c r="J460" s="1" t="str">
        <f t="array" ref="J460">IFERROR(INDEX('Исходник'!$1:$626,MATCH($A460,'Исходник'!$T:$T,0),MATCH(J$1,'Исходник'!$1:$1,0)))</f>
        <v/>
      </c>
      <c r="K460" s="27" t="str">
        <f t="shared" si="3"/>
        <v/>
      </c>
      <c r="L460" s="1" t="str">
        <f t="array" ref="L460">IFERROR(INDEX('Исходник'!$1:$626,MATCH($A460,'Исходник'!$T:$T,0),MATCH(L$1,'Исходник'!$1:$1,0)))</f>
        <v/>
      </c>
      <c r="M460" s="28">
        <f t="shared" si="4"/>
        <v>0</v>
      </c>
      <c r="N460" s="1" t="str">
        <f t="array" ref="N460">IFERROR(INDEX('Исходник'!$1:$626,MATCH($A460,'Исходник'!$T:$T,0),MATCH(N$1,'Исходник'!$1:$1,0)))</f>
        <v/>
      </c>
      <c r="O460" s="27">
        <f t="shared" si="5"/>
        <v>0</v>
      </c>
      <c r="P460" s="27" t="str">
        <f t="shared" si="6"/>
        <v/>
      </c>
      <c r="Q460" s="1" t="str">
        <f t="array" ref="Q460">IFERROR(INDEX('Исходник'!$1:$626,MATCH($A460,'Исходник'!$T:$T,0),MATCH(Q$1,'Исходник'!$1:$1,0)))</f>
        <v/>
      </c>
      <c r="R460" s="1" t="str">
        <f t="array" ref="R460">IFERROR(INDEX('Исходник'!$1:$626,MATCH($A460,'Исходник'!$T:$T,0),MATCH(R$1,'Исходник'!$1:$1,0)))</f>
        <v/>
      </c>
      <c r="S460" s="27">
        <f t="shared" si="7"/>
        <v>0</v>
      </c>
      <c r="T460" s="27" t="str">
        <f t="shared" si="8"/>
        <v/>
      </c>
      <c r="U460" s="1" t="str">
        <f t="array" ref="U460">IFERROR(INDEX('Исходник'!$1:$626,MATCH($A460,'Исходник'!$T:$T,0),MATCH(U$1,'Исходник'!$1:$1,0)))</f>
        <v/>
      </c>
      <c r="V460" s="27" t="str">
        <f t="shared" si="9"/>
        <v/>
      </c>
      <c r="W460" s="1" t="str">
        <f t="array" ref="W460">IFERROR(INDEX('Исходник'!$1:$626,MATCH($A460,'Исходник'!$T:$T,0),MATCH(W$1,'Исходник'!$1:$1,0)))</f>
        <v/>
      </c>
      <c r="X460" s="28">
        <f t="shared" si="10"/>
        <v>0</v>
      </c>
      <c r="Y460" s="1" t="str">
        <f t="array" ref="Y460">IFERROR(INDEX('Исходник'!$1:$626,MATCH($A460,'Исходник'!$T:$T,0),MATCH(Y$1,'Исходник'!$1:$1,0)))</f>
        <v/>
      </c>
      <c r="Z460" s="27">
        <f t="shared" si="11"/>
        <v>0</v>
      </c>
      <c r="AA460" s="27" t="str">
        <f t="shared" si="12"/>
        <v/>
      </c>
      <c r="AB460" s="1" t="str">
        <f t="array" ref="AB460">IFERROR(INDEX('Исходник'!$1:$626,MATCH($A460,'Исходник'!$T:$T,0),MATCH(AB$1,'Исходник'!$1:$1,0)))</f>
        <v/>
      </c>
      <c r="AC460" s="1" t="str">
        <f t="array" ref="AC460">IFERROR(INDEX('Исходник'!$1:$626,MATCH($A460,'Исходник'!$T:$T,0),MATCH(AC$1,'Исходник'!$1:$1,0)))</f>
        <v/>
      </c>
      <c r="AD460" s="27" t="str">
        <f t="shared" si="13"/>
        <v/>
      </c>
      <c r="AE460" s="1" t="str">
        <f t="array" ref="AE460">IFERROR(INDEX('Исходник'!$1:$626,MATCH($A460,'Исходник'!$T:$T,0),MATCH(AE$1,'Исходник'!$1:$1,0)))</f>
        <v/>
      </c>
      <c r="AF460" s="1" t="str">
        <f t="array" ref="AF460">IFERROR(INDEX('Исходник'!$1:$626,MATCH($A460,'Исходник'!$T:$T,0),MATCH(AF$1,'Исходник'!$1:$1,0)))</f>
        <v/>
      </c>
      <c r="AG460" s="27" t="str">
        <f t="shared" si="14"/>
        <v/>
      </c>
      <c r="AH460" s="1" t="str">
        <f t="array" ref="AH460">IFERROR(INDEX('Исходник'!$1:$626,MATCH($A460,'Исходник'!$T:$T,0),MATCH(AH$1,'Исходник'!$1:$1,0)))</f>
        <v/>
      </c>
      <c r="AI460" s="1" t="str">
        <f t="array" ref="AI460">IFERROR(INDEX('Исходник'!$1:$626,MATCH($A460,'Исходник'!$T:$T,0),MATCH(AI$1,'Исходник'!$1:$1,0)))</f>
        <v/>
      </c>
      <c r="AJ460" s="18">
        <f t="shared" si="15"/>
        <v>0</v>
      </c>
    </row>
    <row r="461" ht="15.75" customHeight="1">
      <c r="A461" s="27"/>
      <c r="B461" s="1" t="str">
        <f t="array" ref="B461">IFERROR(INDEX('Исходник'!$1:$626,MATCH($A461,'Исходник'!$T:$T,0),MATCH(B$1,'Исходник'!$1:$1,0)))</f>
        <v/>
      </c>
      <c r="C461" s="1" t="str">
        <f t="array" ref="C461">IFERROR(INDEX('Исходник'!$1:$626,MATCH($A461,'Исходник'!$T:$T,0),MATCH(C$1,'Исходник'!$1:$1,0)))</f>
        <v/>
      </c>
      <c r="D461" s="1" t="str">
        <f t="array" ref="D461">IFERROR(INDEX('Исходник'!$1:$626,MATCH($A461,'Исходник'!$T:$T,0),MATCH(D$1,'Исходник'!$1:$1,0)))</f>
        <v/>
      </c>
      <c r="E461" s="1" t="str">
        <f t="array" ref="E461">IFERROR(INDEX('Исходник'!$1:$626,MATCH($A461,'Исходник'!$T:$T,0),MATCH(E$1,'Исходник'!$1:$1,0)))</f>
        <v/>
      </c>
      <c r="F461" s="1" t="str">
        <f t="array" ref="F461">IFERROR(INDEX('Исходник'!$1:$626,MATCH($A461,'Исходник'!$T:$T,0),MATCH(F$1,'Исходник'!$1:$1,0)))</f>
        <v/>
      </c>
      <c r="G461" s="1" t="str">
        <f t="array" ref="G461">IFERROR(INDEX('Исходник'!$1:$626,MATCH($A461,'Исходник'!$T:$T,0),MATCH(G$1,'Исходник'!$1:$1,0)))</f>
        <v/>
      </c>
      <c r="H461" s="27">
        <f t="shared" si="1"/>
        <v>0</v>
      </c>
      <c r="I461" s="27" t="str">
        <f t="shared" si="2"/>
        <v/>
      </c>
      <c r="J461" s="1" t="str">
        <f t="array" ref="J461">IFERROR(INDEX('Исходник'!$1:$626,MATCH($A461,'Исходник'!$T:$T,0),MATCH(J$1,'Исходник'!$1:$1,0)))</f>
        <v/>
      </c>
      <c r="K461" s="27" t="str">
        <f t="shared" si="3"/>
        <v/>
      </c>
      <c r="L461" s="1" t="str">
        <f t="array" ref="L461">IFERROR(INDEX('Исходник'!$1:$626,MATCH($A461,'Исходник'!$T:$T,0),MATCH(L$1,'Исходник'!$1:$1,0)))</f>
        <v/>
      </c>
      <c r="M461" s="28">
        <f t="shared" si="4"/>
        <v>0</v>
      </c>
      <c r="N461" s="1" t="str">
        <f t="array" ref="N461">IFERROR(INDEX('Исходник'!$1:$626,MATCH($A461,'Исходник'!$T:$T,0),MATCH(N$1,'Исходник'!$1:$1,0)))</f>
        <v/>
      </c>
      <c r="O461" s="27">
        <f t="shared" si="5"/>
        <v>0</v>
      </c>
      <c r="P461" s="27" t="str">
        <f t="shared" si="6"/>
        <v/>
      </c>
      <c r="Q461" s="1" t="str">
        <f t="array" ref="Q461">IFERROR(INDEX('Исходник'!$1:$626,MATCH($A461,'Исходник'!$T:$T,0),MATCH(Q$1,'Исходник'!$1:$1,0)))</f>
        <v/>
      </c>
      <c r="R461" s="1" t="str">
        <f t="array" ref="R461">IFERROR(INDEX('Исходник'!$1:$626,MATCH($A461,'Исходник'!$T:$T,0),MATCH(R$1,'Исходник'!$1:$1,0)))</f>
        <v/>
      </c>
      <c r="S461" s="27">
        <f t="shared" si="7"/>
        <v>0</v>
      </c>
      <c r="T461" s="27" t="str">
        <f t="shared" si="8"/>
        <v/>
      </c>
      <c r="U461" s="1" t="str">
        <f t="array" ref="U461">IFERROR(INDEX('Исходник'!$1:$626,MATCH($A461,'Исходник'!$T:$T,0),MATCH(U$1,'Исходник'!$1:$1,0)))</f>
        <v/>
      </c>
      <c r="V461" s="27" t="str">
        <f t="shared" si="9"/>
        <v/>
      </c>
      <c r="W461" s="1" t="str">
        <f t="array" ref="W461">IFERROR(INDEX('Исходник'!$1:$626,MATCH($A461,'Исходник'!$T:$T,0),MATCH(W$1,'Исходник'!$1:$1,0)))</f>
        <v/>
      </c>
      <c r="X461" s="28">
        <f t="shared" si="10"/>
        <v>0</v>
      </c>
      <c r="Y461" s="1" t="str">
        <f t="array" ref="Y461">IFERROR(INDEX('Исходник'!$1:$626,MATCH($A461,'Исходник'!$T:$T,0),MATCH(Y$1,'Исходник'!$1:$1,0)))</f>
        <v/>
      </c>
      <c r="Z461" s="27">
        <f t="shared" si="11"/>
        <v>0</v>
      </c>
      <c r="AA461" s="27" t="str">
        <f t="shared" si="12"/>
        <v/>
      </c>
      <c r="AB461" s="1" t="str">
        <f t="array" ref="AB461">IFERROR(INDEX('Исходник'!$1:$626,MATCH($A461,'Исходник'!$T:$T,0),MATCH(AB$1,'Исходник'!$1:$1,0)))</f>
        <v/>
      </c>
      <c r="AC461" s="1" t="str">
        <f t="array" ref="AC461">IFERROR(INDEX('Исходник'!$1:$626,MATCH($A461,'Исходник'!$T:$T,0),MATCH(AC$1,'Исходник'!$1:$1,0)))</f>
        <v/>
      </c>
      <c r="AD461" s="27" t="str">
        <f t="shared" si="13"/>
        <v/>
      </c>
      <c r="AE461" s="1" t="str">
        <f t="array" ref="AE461">IFERROR(INDEX('Исходник'!$1:$626,MATCH($A461,'Исходник'!$T:$T,0),MATCH(AE$1,'Исходник'!$1:$1,0)))</f>
        <v/>
      </c>
      <c r="AF461" s="1" t="str">
        <f t="array" ref="AF461">IFERROR(INDEX('Исходник'!$1:$626,MATCH($A461,'Исходник'!$T:$T,0),MATCH(AF$1,'Исходник'!$1:$1,0)))</f>
        <v/>
      </c>
      <c r="AG461" s="27" t="str">
        <f t="shared" si="14"/>
        <v/>
      </c>
      <c r="AH461" s="1" t="str">
        <f t="array" ref="AH461">IFERROR(INDEX('Исходник'!$1:$626,MATCH($A461,'Исходник'!$T:$T,0),MATCH(AH$1,'Исходник'!$1:$1,0)))</f>
        <v/>
      </c>
      <c r="AI461" s="1" t="str">
        <f t="array" ref="AI461">IFERROR(INDEX('Исходник'!$1:$626,MATCH($A461,'Исходник'!$T:$T,0),MATCH(AI$1,'Исходник'!$1:$1,0)))</f>
        <v/>
      </c>
      <c r="AJ461" s="18">
        <f t="shared" si="15"/>
        <v>0</v>
      </c>
    </row>
    <row r="462" ht="15.75" customHeight="1">
      <c r="A462" s="27"/>
      <c r="B462" s="1" t="str">
        <f t="array" ref="B462">IFERROR(INDEX('Исходник'!$1:$626,MATCH($A462,'Исходник'!$T:$T,0),MATCH(B$1,'Исходник'!$1:$1,0)))</f>
        <v/>
      </c>
      <c r="C462" s="1" t="str">
        <f t="array" ref="C462">IFERROR(INDEX('Исходник'!$1:$626,MATCH($A462,'Исходник'!$T:$T,0),MATCH(C$1,'Исходник'!$1:$1,0)))</f>
        <v/>
      </c>
      <c r="D462" s="1" t="str">
        <f t="array" ref="D462">IFERROR(INDEX('Исходник'!$1:$626,MATCH($A462,'Исходник'!$T:$T,0),MATCH(D$1,'Исходник'!$1:$1,0)))</f>
        <v/>
      </c>
      <c r="E462" s="1" t="str">
        <f t="array" ref="E462">IFERROR(INDEX('Исходник'!$1:$626,MATCH($A462,'Исходник'!$T:$T,0),MATCH(E$1,'Исходник'!$1:$1,0)))</f>
        <v/>
      </c>
      <c r="F462" s="1" t="str">
        <f t="array" ref="F462">IFERROR(INDEX('Исходник'!$1:$626,MATCH($A462,'Исходник'!$T:$T,0),MATCH(F$1,'Исходник'!$1:$1,0)))</f>
        <v/>
      </c>
      <c r="G462" s="1" t="str">
        <f t="array" ref="G462">IFERROR(INDEX('Исходник'!$1:$626,MATCH($A462,'Исходник'!$T:$T,0),MATCH(G$1,'Исходник'!$1:$1,0)))</f>
        <v/>
      </c>
      <c r="H462" s="27">
        <f t="shared" si="1"/>
        <v>0</v>
      </c>
      <c r="I462" s="27" t="str">
        <f t="shared" si="2"/>
        <v/>
      </c>
      <c r="J462" s="1" t="str">
        <f t="array" ref="J462">IFERROR(INDEX('Исходник'!$1:$626,MATCH($A462,'Исходник'!$T:$T,0),MATCH(J$1,'Исходник'!$1:$1,0)))</f>
        <v/>
      </c>
      <c r="K462" s="27" t="str">
        <f t="shared" si="3"/>
        <v/>
      </c>
      <c r="L462" s="1" t="str">
        <f t="array" ref="L462">IFERROR(INDEX('Исходник'!$1:$626,MATCH($A462,'Исходник'!$T:$T,0),MATCH(L$1,'Исходник'!$1:$1,0)))</f>
        <v/>
      </c>
      <c r="M462" s="28">
        <f t="shared" si="4"/>
        <v>0</v>
      </c>
      <c r="N462" s="1" t="str">
        <f t="array" ref="N462">IFERROR(INDEX('Исходник'!$1:$626,MATCH($A462,'Исходник'!$T:$T,0),MATCH(N$1,'Исходник'!$1:$1,0)))</f>
        <v/>
      </c>
      <c r="O462" s="27">
        <f t="shared" si="5"/>
        <v>0</v>
      </c>
      <c r="P462" s="27" t="str">
        <f t="shared" si="6"/>
        <v/>
      </c>
      <c r="Q462" s="1" t="str">
        <f t="array" ref="Q462">IFERROR(INDEX('Исходник'!$1:$626,MATCH($A462,'Исходник'!$T:$T,0),MATCH(Q$1,'Исходник'!$1:$1,0)))</f>
        <v/>
      </c>
      <c r="R462" s="1" t="str">
        <f t="array" ref="R462">IFERROR(INDEX('Исходник'!$1:$626,MATCH($A462,'Исходник'!$T:$T,0),MATCH(R$1,'Исходник'!$1:$1,0)))</f>
        <v/>
      </c>
      <c r="S462" s="27">
        <f t="shared" si="7"/>
        <v>0</v>
      </c>
      <c r="T462" s="27" t="str">
        <f t="shared" si="8"/>
        <v/>
      </c>
      <c r="U462" s="1" t="str">
        <f t="array" ref="U462">IFERROR(INDEX('Исходник'!$1:$626,MATCH($A462,'Исходник'!$T:$T,0),MATCH(U$1,'Исходник'!$1:$1,0)))</f>
        <v/>
      </c>
      <c r="V462" s="27" t="str">
        <f t="shared" si="9"/>
        <v/>
      </c>
      <c r="W462" s="1" t="str">
        <f t="array" ref="W462">IFERROR(INDEX('Исходник'!$1:$626,MATCH($A462,'Исходник'!$T:$T,0),MATCH(W$1,'Исходник'!$1:$1,0)))</f>
        <v/>
      </c>
      <c r="X462" s="28">
        <f t="shared" si="10"/>
        <v>0</v>
      </c>
      <c r="Y462" s="1" t="str">
        <f t="array" ref="Y462">IFERROR(INDEX('Исходник'!$1:$626,MATCH($A462,'Исходник'!$T:$T,0),MATCH(Y$1,'Исходник'!$1:$1,0)))</f>
        <v/>
      </c>
      <c r="Z462" s="27">
        <f t="shared" si="11"/>
        <v>0</v>
      </c>
      <c r="AA462" s="27" t="str">
        <f t="shared" si="12"/>
        <v/>
      </c>
      <c r="AB462" s="1" t="str">
        <f t="array" ref="AB462">IFERROR(INDEX('Исходник'!$1:$626,MATCH($A462,'Исходник'!$T:$T,0),MATCH(AB$1,'Исходник'!$1:$1,0)))</f>
        <v/>
      </c>
      <c r="AC462" s="1" t="str">
        <f t="array" ref="AC462">IFERROR(INDEX('Исходник'!$1:$626,MATCH($A462,'Исходник'!$T:$T,0),MATCH(AC$1,'Исходник'!$1:$1,0)))</f>
        <v/>
      </c>
      <c r="AD462" s="27" t="str">
        <f t="shared" si="13"/>
        <v/>
      </c>
      <c r="AE462" s="1" t="str">
        <f t="array" ref="AE462">IFERROR(INDEX('Исходник'!$1:$626,MATCH($A462,'Исходник'!$T:$T,0),MATCH(AE$1,'Исходник'!$1:$1,0)))</f>
        <v/>
      </c>
      <c r="AF462" s="1" t="str">
        <f t="array" ref="AF462">IFERROR(INDEX('Исходник'!$1:$626,MATCH($A462,'Исходник'!$T:$T,0),MATCH(AF$1,'Исходник'!$1:$1,0)))</f>
        <v/>
      </c>
      <c r="AG462" s="27" t="str">
        <f t="shared" si="14"/>
        <v/>
      </c>
      <c r="AH462" s="1" t="str">
        <f t="array" ref="AH462">IFERROR(INDEX('Исходник'!$1:$626,MATCH($A462,'Исходник'!$T:$T,0),MATCH(AH$1,'Исходник'!$1:$1,0)))</f>
        <v/>
      </c>
      <c r="AI462" s="1" t="str">
        <f t="array" ref="AI462">IFERROR(INDEX('Исходник'!$1:$626,MATCH($A462,'Исходник'!$T:$T,0),MATCH(AI$1,'Исходник'!$1:$1,0)))</f>
        <v/>
      </c>
      <c r="AJ462" s="18">
        <f t="shared" si="15"/>
        <v>0</v>
      </c>
    </row>
    <row r="463" ht="15.75" customHeight="1">
      <c r="A463" s="27"/>
      <c r="B463" s="1" t="str">
        <f t="array" ref="B463">IFERROR(INDEX('Исходник'!$1:$626,MATCH($A463,'Исходник'!$T:$T,0),MATCH(B$1,'Исходник'!$1:$1,0)))</f>
        <v/>
      </c>
      <c r="C463" s="1" t="str">
        <f t="array" ref="C463">IFERROR(INDEX('Исходник'!$1:$626,MATCH($A463,'Исходник'!$T:$T,0),MATCH(C$1,'Исходник'!$1:$1,0)))</f>
        <v/>
      </c>
      <c r="D463" s="1" t="str">
        <f t="array" ref="D463">IFERROR(INDEX('Исходник'!$1:$626,MATCH($A463,'Исходник'!$T:$T,0),MATCH(D$1,'Исходник'!$1:$1,0)))</f>
        <v/>
      </c>
      <c r="E463" s="1" t="str">
        <f t="array" ref="E463">IFERROR(INDEX('Исходник'!$1:$626,MATCH($A463,'Исходник'!$T:$T,0),MATCH(E$1,'Исходник'!$1:$1,0)))</f>
        <v/>
      </c>
      <c r="F463" s="1" t="str">
        <f t="array" ref="F463">IFERROR(INDEX('Исходник'!$1:$626,MATCH($A463,'Исходник'!$T:$T,0),MATCH(F$1,'Исходник'!$1:$1,0)))</f>
        <v/>
      </c>
      <c r="G463" s="1" t="str">
        <f t="array" ref="G463">IFERROR(INDEX('Исходник'!$1:$626,MATCH($A463,'Исходник'!$T:$T,0),MATCH(G$1,'Исходник'!$1:$1,0)))</f>
        <v/>
      </c>
      <c r="H463" s="27">
        <f t="shared" si="1"/>
        <v>0</v>
      </c>
      <c r="I463" s="27" t="str">
        <f t="shared" si="2"/>
        <v/>
      </c>
      <c r="J463" s="1" t="str">
        <f t="array" ref="J463">IFERROR(INDEX('Исходник'!$1:$626,MATCH($A463,'Исходник'!$T:$T,0),MATCH(J$1,'Исходник'!$1:$1,0)))</f>
        <v/>
      </c>
      <c r="K463" s="27" t="str">
        <f t="shared" si="3"/>
        <v/>
      </c>
      <c r="L463" s="1" t="str">
        <f t="array" ref="L463">IFERROR(INDEX('Исходник'!$1:$626,MATCH($A463,'Исходник'!$T:$T,0),MATCH(L$1,'Исходник'!$1:$1,0)))</f>
        <v/>
      </c>
      <c r="M463" s="28">
        <f t="shared" si="4"/>
        <v>0</v>
      </c>
      <c r="N463" s="1" t="str">
        <f t="array" ref="N463">IFERROR(INDEX('Исходник'!$1:$626,MATCH($A463,'Исходник'!$T:$T,0),MATCH(N$1,'Исходник'!$1:$1,0)))</f>
        <v/>
      </c>
      <c r="O463" s="27">
        <f t="shared" si="5"/>
        <v>0</v>
      </c>
      <c r="P463" s="27" t="str">
        <f t="shared" si="6"/>
        <v/>
      </c>
      <c r="Q463" s="1" t="str">
        <f t="array" ref="Q463">IFERROR(INDEX('Исходник'!$1:$626,MATCH($A463,'Исходник'!$T:$T,0),MATCH(Q$1,'Исходник'!$1:$1,0)))</f>
        <v/>
      </c>
      <c r="R463" s="1" t="str">
        <f t="array" ref="R463">IFERROR(INDEX('Исходник'!$1:$626,MATCH($A463,'Исходник'!$T:$T,0),MATCH(R$1,'Исходник'!$1:$1,0)))</f>
        <v/>
      </c>
      <c r="S463" s="27">
        <f t="shared" si="7"/>
        <v>0</v>
      </c>
      <c r="T463" s="27" t="str">
        <f t="shared" si="8"/>
        <v/>
      </c>
      <c r="U463" s="1" t="str">
        <f t="array" ref="U463">IFERROR(INDEX('Исходник'!$1:$626,MATCH($A463,'Исходник'!$T:$T,0),MATCH(U$1,'Исходник'!$1:$1,0)))</f>
        <v/>
      </c>
      <c r="V463" s="27" t="str">
        <f t="shared" si="9"/>
        <v/>
      </c>
      <c r="W463" s="1" t="str">
        <f t="array" ref="W463">IFERROR(INDEX('Исходник'!$1:$626,MATCH($A463,'Исходник'!$T:$T,0),MATCH(W$1,'Исходник'!$1:$1,0)))</f>
        <v/>
      </c>
      <c r="X463" s="28">
        <f t="shared" si="10"/>
        <v>0</v>
      </c>
      <c r="Y463" s="1" t="str">
        <f t="array" ref="Y463">IFERROR(INDEX('Исходник'!$1:$626,MATCH($A463,'Исходник'!$T:$T,0),MATCH(Y$1,'Исходник'!$1:$1,0)))</f>
        <v/>
      </c>
      <c r="Z463" s="27">
        <f t="shared" si="11"/>
        <v>0</v>
      </c>
      <c r="AA463" s="27" t="str">
        <f t="shared" si="12"/>
        <v/>
      </c>
      <c r="AB463" s="1" t="str">
        <f t="array" ref="AB463">IFERROR(INDEX('Исходник'!$1:$626,MATCH($A463,'Исходник'!$T:$T,0),MATCH(AB$1,'Исходник'!$1:$1,0)))</f>
        <v/>
      </c>
      <c r="AC463" s="1" t="str">
        <f t="array" ref="AC463">IFERROR(INDEX('Исходник'!$1:$626,MATCH($A463,'Исходник'!$T:$T,0),MATCH(AC$1,'Исходник'!$1:$1,0)))</f>
        <v/>
      </c>
      <c r="AD463" s="27" t="str">
        <f t="shared" si="13"/>
        <v/>
      </c>
      <c r="AE463" s="1" t="str">
        <f t="array" ref="AE463">IFERROR(INDEX('Исходник'!$1:$626,MATCH($A463,'Исходник'!$T:$T,0),MATCH(AE$1,'Исходник'!$1:$1,0)))</f>
        <v/>
      </c>
      <c r="AF463" s="1" t="str">
        <f t="array" ref="AF463">IFERROR(INDEX('Исходник'!$1:$626,MATCH($A463,'Исходник'!$T:$T,0),MATCH(AF$1,'Исходник'!$1:$1,0)))</f>
        <v/>
      </c>
      <c r="AG463" s="27" t="str">
        <f t="shared" si="14"/>
        <v/>
      </c>
      <c r="AH463" s="1" t="str">
        <f t="array" ref="AH463">IFERROR(INDEX('Исходник'!$1:$626,MATCH($A463,'Исходник'!$T:$T,0),MATCH(AH$1,'Исходник'!$1:$1,0)))</f>
        <v/>
      </c>
      <c r="AI463" s="1" t="str">
        <f t="array" ref="AI463">IFERROR(INDEX('Исходник'!$1:$626,MATCH($A463,'Исходник'!$T:$T,0),MATCH(AI$1,'Исходник'!$1:$1,0)))</f>
        <v/>
      </c>
      <c r="AJ463" s="18">
        <f t="shared" si="15"/>
        <v>0</v>
      </c>
    </row>
    <row r="464" ht="15.75" customHeight="1">
      <c r="A464" s="27"/>
      <c r="B464" s="1" t="str">
        <f t="array" ref="B464">IFERROR(INDEX('Исходник'!$1:$626,MATCH($A464,'Исходник'!$T:$T,0),MATCH(B$1,'Исходник'!$1:$1,0)))</f>
        <v/>
      </c>
      <c r="C464" s="1" t="str">
        <f t="array" ref="C464">IFERROR(INDEX('Исходник'!$1:$626,MATCH($A464,'Исходник'!$T:$T,0),MATCH(C$1,'Исходник'!$1:$1,0)))</f>
        <v/>
      </c>
      <c r="D464" s="1" t="str">
        <f t="array" ref="D464">IFERROR(INDEX('Исходник'!$1:$626,MATCH($A464,'Исходник'!$T:$T,0),MATCH(D$1,'Исходник'!$1:$1,0)))</f>
        <v/>
      </c>
      <c r="E464" s="1" t="str">
        <f t="array" ref="E464">IFERROR(INDEX('Исходник'!$1:$626,MATCH($A464,'Исходник'!$T:$T,0),MATCH(E$1,'Исходник'!$1:$1,0)))</f>
        <v/>
      </c>
      <c r="F464" s="1" t="str">
        <f t="array" ref="F464">IFERROR(INDEX('Исходник'!$1:$626,MATCH($A464,'Исходник'!$T:$T,0),MATCH(F$1,'Исходник'!$1:$1,0)))</f>
        <v/>
      </c>
      <c r="G464" s="1" t="str">
        <f t="array" ref="G464">IFERROR(INDEX('Исходник'!$1:$626,MATCH($A464,'Исходник'!$T:$T,0),MATCH(G$1,'Исходник'!$1:$1,0)))</f>
        <v/>
      </c>
      <c r="H464" s="27">
        <f t="shared" si="1"/>
        <v>0</v>
      </c>
      <c r="I464" s="27" t="str">
        <f t="shared" si="2"/>
        <v/>
      </c>
      <c r="J464" s="1" t="str">
        <f t="array" ref="J464">IFERROR(INDEX('Исходник'!$1:$626,MATCH($A464,'Исходник'!$T:$T,0),MATCH(J$1,'Исходник'!$1:$1,0)))</f>
        <v/>
      </c>
      <c r="K464" s="27" t="str">
        <f t="shared" si="3"/>
        <v/>
      </c>
      <c r="L464" s="1" t="str">
        <f t="array" ref="L464">IFERROR(INDEX('Исходник'!$1:$626,MATCH($A464,'Исходник'!$T:$T,0),MATCH(L$1,'Исходник'!$1:$1,0)))</f>
        <v/>
      </c>
      <c r="M464" s="28">
        <f t="shared" si="4"/>
        <v>0</v>
      </c>
      <c r="N464" s="1" t="str">
        <f t="array" ref="N464">IFERROR(INDEX('Исходник'!$1:$626,MATCH($A464,'Исходник'!$T:$T,0),MATCH(N$1,'Исходник'!$1:$1,0)))</f>
        <v/>
      </c>
      <c r="O464" s="27">
        <f t="shared" si="5"/>
        <v>0</v>
      </c>
      <c r="P464" s="27" t="str">
        <f t="shared" si="6"/>
        <v/>
      </c>
      <c r="Q464" s="1" t="str">
        <f t="array" ref="Q464">IFERROR(INDEX('Исходник'!$1:$626,MATCH($A464,'Исходник'!$T:$T,0),MATCH(Q$1,'Исходник'!$1:$1,0)))</f>
        <v/>
      </c>
      <c r="R464" s="1" t="str">
        <f t="array" ref="R464">IFERROR(INDEX('Исходник'!$1:$626,MATCH($A464,'Исходник'!$T:$T,0),MATCH(R$1,'Исходник'!$1:$1,0)))</f>
        <v/>
      </c>
      <c r="S464" s="27">
        <f t="shared" si="7"/>
        <v>0</v>
      </c>
      <c r="T464" s="27" t="str">
        <f t="shared" si="8"/>
        <v/>
      </c>
      <c r="U464" s="1" t="str">
        <f t="array" ref="U464">IFERROR(INDEX('Исходник'!$1:$626,MATCH($A464,'Исходник'!$T:$T,0),MATCH(U$1,'Исходник'!$1:$1,0)))</f>
        <v/>
      </c>
      <c r="V464" s="27" t="str">
        <f t="shared" si="9"/>
        <v/>
      </c>
      <c r="W464" s="1" t="str">
        <f t="array" ref="W464">IFERROR(INDEX('Исходник'!$1:$626,MATCH($A464,'Исходник'!$T:$T,0),MATCH(W$1,'Исходник'!$1:$1,0)))</f>
        <v/>
      </c>
      <c r="X464" s="28">
        <f t="shared" si="10"/>
        <v>0</v>
      </c>
      <c r="Y464" s="1" t="str">
        <f t="array" ref="Y464">IFERROR(INDEX('Исходник'!$1:$626,MATCH($A464,'Исходник'!$T:$T,0),MATCH(Y$1,'Исходник'!$1:$1,0)))</f>
        <v/>
      </c>
      <c r="Z464" s="27">
        <f t="shared" si="11"/>
        <v>0</v>
      </c>
      <c r="AA464" s="27" t="str">
        <f t="shared" si="12"/>
        <v/>
      </c>
      <c r="AB464" s="1" t="str">
        <f t="array" ref="AB464">IFERROR(INDEX('Исходник'!$1:$626,MATCH($A464,'Исходник'!$T:$T,0),MATCH(AB$1,'Исходник'!$1:$1,0)))</f>
        <v/>
      </c>
      <c r="AC464" s="1" t="str">
        <f t="array" ref="AC464">IFERROR(INDEX('Исходник'!$1:$626,MATCH($A464,'Исходник'!$T:$T,0),MATCH(AC$1,'Исходник'!$1:$1,0)))</f>
        <v/>
      </c>
      <c r="AD464" s="27" t="str">
        <f t="shared" si="13"/>
        <v/>
      </c>
      <c r="AE464" s="1" t="str">
        <f t="array" ref="AE464">IFERROR(INDEX('Исходник'!$1:$626,MATCH($A464,'Исходник'!$T:$T,0),MATCH(AE$1,'Исходник'!$1:$1,0)))</f>
        <v/>
      </c>
      <c r="AF464" s="1" t="str">
        <f t="array" ref="AF464">IFERROR(INDEX('Исходник'!$1:$626,MATCH($A464,'Исходник'!$T:$T,0),MATCH(AF$1,'Исходник'!$1:$1,0)))</f>
        <v/>
      </c>
      <c r="AG464" s="27" t="str">
        <f t="shared" si="14"/>
        <v/>
      </c>
      <c r="AH464" s="1" t="str">
        <f t="array" ref="AH464">IFERROR(INDEX('Исходник'!$1:$626,MATCH($A464,'Исходник'!$T:$T,0),MATCH(AH$1,'Исходник'!$1:$1,0)))</f>
        <v/>
      </c>
      <c r="AI464" s="1" t="str">
        <f t="array" ref="AI464">IFERROR(INDEX('Исходник'!$1:$626,MATCH($A464,'Исходник'!$T:$T,0),MATCH(AI$1,'Исходник'!$1:$1,0)))</f>
        <v/>
      </c>
      <c r="AJ464" s="18">
        <f t="shared" si="15"/>
        <v>0</v>
      </c>
    </row>
    <row r="465" ht="15.75" customHeight="1">
      <c r="A465" s="27"/>
      <c r="B465" s="1" t="str">
        <f t="array" ref="B465">IFERROR(INDEX('Исходник'!$1:$626,MATCH($A465,'Исходник'!$T:$T,0),MATCH(B$1,'Исходник'!$1:$1,0)))</f>
        <v/>
      </c>
      <c r="C465" s="1" t="str">
        <f t="array" ref="C465">IFERROR(INDEX('Исходник'!$1:$626,MATCH($A465,'Исходник'!$T:$T,0),MATCH(C$1,'Исходник'!$1:$1,0)))</f>
        <v/>
      </c>
      <c r="D465" s="1" t="str">
        <f t="array" ref="D465">IFERROR(INDEX('Исходник'!$1:$626,MATCH($A465,'Исходник'!$T:$T,0),MATCH(D$1,'Исходник'!$1:$1,0)))</f>
        <v/>
      </c>
      <c r="E465" s="1" t="str">
        <f t="array" ref="E465">IFERROR(INDEX('Исходник'!$1:$626,MATCH($A465,'Исходник'!$T:$T,0),MATCH(E$1,'Исходник'!$1:$1,0)))</f>
        <v/>
      </c>
      <c r="F465" s="1" t="str">
        <f t="array" ref="F465">IFERROR(INDEX('Исходник'!$1:$626,MATCH($A465,'Исходник'!$T:$T,0),MATCH(F$1,'Исходник'!$1:$1,0)))</f>
        <v/>
      </c>
      <c r="G465" s="1" t="str">
        <f t="array" ref="G465">IFERROR(INDEX('Исходник'!$1:$626,MATCH($A465,'Исходник'!$T:$T,0),MATCH(G$1,'Исходник'!$1:$1,0)))</f>
        <v/>
      </c>
      <c r="H465" s="27">
        <f t="shared" si="1"/>
        <v>0</v>
      </c>
      <c r="I465" s="27" t="str">
        <f t="shared" si="2"/>
        <v/>
      </c>
      <c r="J465" s="1" t="str">
        <f t="array" ref="J465">IFERROR(INDEX('Исходник'!$1:$626,MATCH($A465,'Исходник'!$T:$T,0),MATCH(J$1,'Исходник'!$1:$1,0)))</f>
        <v/>
      </c>
      <c r="K465" s="27" t="str">
        <f t="shared" si="3"/>
        <v/>
      </c>
      <c r="L465" s="1" t="str">
        <f t="array" ref="L465">IFERROR(INDEX('Исходник'!$1:$626,MATCH($A465,'Исходник'!$T:$T,0),MATCH(L$1,'Исходник'!$1:$1,0)))</f>
        <v/>
      </c>
      <c r="M465" s="28">
        <f t="shared" si="4"/>
        <v>0</v>
      </c>
      <c r="N465" s="1" t="str">
        <f t="array" ref="N465">IFERROR(INDEX('Исходник'!$1:$626,MATCH($A465,'Исходник'!$T:$T,0),MATCH(N$1,'Исходник'!$1:$1,0)))</f>
        <v/>
      </c>
      <c r="O465" s="27">
        <f t="shared" si="5"/>
        <v>0</v>
      </c>
      <c r="P465" s="27" t="str">
        <f t="shared" si="6"/>
        <v/>
      </c>
      <c r="Q465" s="1" t="str">
        <f t="array" ref="Q465">IFERROR(INDEX('Исходник'!$1:$626,MATCH($A465,'Исходник'!$T:$T,0),MATCH(Q$1,'Исходник'!$1:$1,0)))</f>
        <v/>
      </c>
      <c r="R465" s="1" t="str">
        <f t="array" ref="R465">IFERROR(INDEX('Исходник'!$1:$626,MATCH($A465,'Исходник'!$T:$T,0),MATCH(R$1,'Исходник'!$1:$1,0)))</f>
        <v/>
      </c>
      <c r="S465" s="27">
        <f t="shared" si="7"/>
        <v>0</v>
      </c>
      <c r="T465" s="27" t="str">
        <f t="shared" si="8"/>
        <v/>
      </c>
      <c r="U465" s="1" t="str">
        <f t="array" ref="U465">IFERROR(INDEX('Исходник'!$1:$626,MATCH($A465,'Исходник'!$T:$T,0),MATCH(U$1,'Исходник'!$1:$1,0)))</f>
        <v/>
      </c>
      <c r="V465" s="27" t="str">
        <f t="shared" si="9"/>
        <v/>
      </c>
      <c r="W465" s="1" t="str">
        <f t="array" ref="W465">IFERROR(INDEX('Исходник'!$1:$626,MATCH($A465,'Исходник'!$T:$T,0),MATCH(W$1,'Исходник'!$1:$1,0)))</f>
        <v/>
      </c>
      <c r="X465" s="28">
        <f t="shared" si="10"/>
        <v>0</v>
      </c>
      <c r="Y465" s="1" t="str">
        <f t="array" ref="Y465">IFERROR(INDEX('Исходник'!$1:$626,MATCH($A465,'Исходник'!$T:$T,0),MATCH(Y$1,'Исходник'!$1:$1,0)))</f>
        <v/>
      </c>
      <c r="Z465" s="27">
        <f t="shared" si="11"/>
        <v>0</v>
      </c>
      <c r="AA465" s="27" t="str">
        <f t="shared" si="12"/>
        <v/>
      </c>
      <c r="AB465" s="1" t="str">
        <f t="array" ref="AB465">IFERROR(INDEX('Исходник'!$1:$626,MATCH($A465,'Исходник'!$T:$T,0),MATCH(AB$1,'Исходник'!$1:$1,0)))</f>
        <v/>
      </c>
      <c r="AC465" s="1" t="str">
        <f t="array" ref="AC465">IFERROR(INDEX('Исходник'!$1:$626,MATCH($A465,'Исходник'!$T:$T,0),MATCH(AC$1,'Исходник'!$1:$1,0)))</f>
        <v/>
      </c>
      <c r="AD465" s="27" t="str">
        <f t="shared" si="13"/>
        <v/>
      </c>
      <c r="AE465" s="1" t="str">
        <f t="array" ref="AE465">IFERROR(INDEX('Исходник'!$1:$626,MATCH($A465,'Исходник'!$T:$T,0),MATCH(AE$1,'Исходник'!$1:$1,0)))</f>
        <v/>
      </c>
      <c r="AF465" s="1" t="str">
        <f t="array" ref="AF465">IFERROR(INDEX('Исходник'!$1:$626,MATCH($A465,'Исходник'!$T:$T,0),MATCH(AF$1,'Исходник'!$1:$1,0)))</f>
        <v/>
      </c>
      <c r="AG465" s="27" t="str">
        <f t="shared" si="14"/>
        <v/>
      </c>
      <c r="AH465" s="1" t="str">
        <f t="array" ref="AH465">IFERROR(INDEX('Исходник'!$1:$626,MATCH($A465,'Исходник'!$T:$T,0),MATCH(AH$1,'Исходник'!$1:$1,0)))</f>
        <v/>
      </c>
      <c r="AI465" s="1" t="str">
        <f t="array" ref="AI465">IFERROR(INDEX('Исходник'!$1:$626,MATCH($A465,'Исходник'!$T:$T,0),MATCH(AI$1,'Исходник'!$1:$1,0)))</f>
        <v/>
      </c>
      <c r="AJ465" s="18">
        <f t="shared" si="15"/>
        <v>0</v>
      </c>
    </row>
    <row r="466" ht="15.75" customHeight="1">
      <c r="A466" s="27"/>
      <c r="B466" s="1" t="str">
        <f t="array" ref="B466">IFERROR(INDEX('Исходник'!$1:$626,MATCH($A466,'Исходник'!$T:$T,0),MATCH(B$1,'Исходник'!$1:$1,0)))</f>
        <v/>
      </c>
      <c r="C466" s="1" t="str">
        <f t="array" ref="C466">IFERROR(INDEX('Исходник'!$1:$626,MATCH($A466,'Исходник'!$T:$T,0),MATCH(C$1,'Исходник'!$1:$1,0)))</f>
        <v/>
      </c>
      <c r="D466" s="1" t="str">
        <f t="array" ref="D466">IFERROR(INDEX('Исходник'!$1:$626,MATCH($A466,'Исходник'!$T:$T,0),MATCH(D$1,'Исходник'!$1:$1,0)))</f>
        <v/>
      </c>
      <c r="E466" s="1" t="str">
        <f t="array" ref="E466">IFERROR(INDEX('Исходник'!$1:$626,MATCH($A466,'Исходник'!$T:$T,0),MATCH(E$1,'Исходник'!$1:$1,0)))</f>
        <v/>
      </c>
      <c r="F466" s="1" t="str">
        <f t="array" ref="F466">IFERROR(INDEX('Исходник'!$1:$626,MATCH($A466,'Исходник'!$T:$T,0),MATCH(F$1,'Исходник'!$1:$1,0)))</f>
        <v/>
      </c>
      <c r="G466" s="1" t="str">
        <f t="array" ref="G466">IFERROR(INDEX('Исходник'!$1:$626,MATCH($A466,'Исходник'!$T:$T,0),MATCH(G$1,'Исходник'!$1:$1,0)))</f>
        <v/>
      </c>
      <c r="H466" s="27">
        <f t="shared" si="1"/>
        <v>0</v>
      </c>
      <c r="I466" s="27" t="str">
        <f t="shared" si="2"/>
        <v/>
      </c>
      <c r="J466" s="1" t="str">
        <f t="array" ref="J466">IFERROR(INDEX('Исходник'!$1:$626,MATCH($A466,'Исходник'!$T:$T,0),MATCH(J$1,'Исходник'!$1:$1,0)))</f>
        <v/>
      </c>
      <c r="K466" s="27" t="str">
        <f t="shared" si="3"/>
        <v/>
      </c>
      <c r="L466" s="1" t="str">
        <f t="array" ref="L466">IFERROR(INDEX('Исходник'!$1:$626,MATCH($A466,'Исходник'!$T:$T,0),MATCH(L$1,'Исходник'!$1:$1,0)))</f>
        <v/>
      </c>
      <c r="M466" s="28">
        <f t="shared" si="4"/>
        <v>0</v>
      </c>
      <c r="N466" s="1" t="str">
        <f t="array" ref="N466">IFERROR(INDEX('Исходник'!$1:$626,MATCH($A466,'Исходник'!$T:$T,0),MATCH(N$1,'Исходник'!$1:$1,0)))</f>
        <v/>
      </c>
      <c r="O466" s="27">
        <f t="shared" si="5"/>
        <v>0</v>
      </c>
      <c r="P466" s="27" t="str">
        <f t="shared" si="6"/>
        <v/>
      </c>
      <c r="Q466" s="1" t="str">
        <f t="array" ref="Q466">IFERROR(INDEX('Исходник'!$1:$626,MATCH($A466,'Исходник'!$T:$T,0),MATCH(Q$1,'Исходник'!$1:$1,0)))</f>
        <v/>
      </c>
      <c r="R466" s="1" t="str">
        <f t="array" ref="R466">IFERROR(INDEX('Исходник'!$1:$626,MATCH($A466,'Исходник'!$T:$T,0),MATCH(R$1,'Исходник'!$1:$1,0)))</f>
        <v/>
      </c>
      <c r="S466" s="27">
        <f t="shared" si="7"/>
        <v>0</v>
      </c>
      <c r="T466" s="27" t="str">
        <f t="shared" si="8"/>
        <v/>
      </c>
      <c r="U466" s="1" t="str">
        <f t="array" ref="U466">IFERROR(INDEX('Исходник'!$1:$626,MATCH($A466,'Исходник'!$T:$T,0),MATCH(U$1,'Исходник'!$1:$1,0)))</f>
        <v/>
      </c>
      <c r="V466" s="27" t="str">
        <f t="shared" si="9"/>
        <v/>
      </c>
      <c r="W466" s="1" t="str">
        <f t="array" ref="W466">IFERROR(INDEX('Исходник'!$1:$626,MATCH($A466,'Исходник'!$T:$T,0),MATCH(W$1,'Исходник'!$1:$1,0)))</f>
        <v/>
      </c>
      <c r="X466" s="28">
        <f t="shared" si="10"/>
        <v>0</v>
      </c>
      <c r="Y466" s="1" t="str">
        <f t="array" ref="Y466">IFERROR(INDEX('Исходник'!$1:$626,MATCH($A466,'Исходник'!$T:$T,0),MATCH(Y$1,'Исходник'!$1:$1,0)))</f>
        <v/>
      </c>
      <c r="Z466" s="27">
        <f t="shared" si="11"/>
        <v>0</v>
      </c>
      <c r="AA466" s="27" t="str">
        <f t="shared" si="12"/>
        <v/>
      </c>
      <c r="AB466" s="1" t="str">
        <f t="array" ref="AB466">IFERROR(INDEX('Исходник'!$1:$626,MATCH($A466,'Исходник'!$T:$T,0),MATCH(AB$1,'Исходник'!$1:$1,0)))</f>
        <v/>
      </c>
      <c r="AC466" s="1" t="str">
        <f t="array" ref="AC466">IFERROR(INDEX('Исходник'!$1:$626,MATCH($A466,'Исходник'!$T:$T,0),MATCH(AC$1,'Исходник'!$1:$1,0)))</f>
        <v/>
      </c>
      <c r="AD466" s="27" t="str">
        <f t="shared" si="13"/>
        <v/>
      </c>
      <c r="AE466" s="1" t="str">
        <f t="array" ref="AE466">IFERROR(INDEX('Исходник'!$1:$626,MATCH($A466,'Исходник'!$T:$T,0),MATCH(AE$1,'Исходник'!$1:$1,0)))</f>
        <v/>
      </c>
      <c r="AF466" s="1" t="str">
        <f t="array" ref="AF466">IFERROR(INDEX('Исходник'!$1:$626,MATCH($A466,'Исходник'!$T:$T,0),MATCH(AF$1,'Исходник'!$1:$1,0)))</f>
        <v/>
      </c>
      <c r="AG466" s="27" t="str">
        <f t="shared" si="14"/>
        <v/>
      </c>
      <c r="AH466" s="1" t="str">
        <f t="array" ref="AH466">IFERROR(INDEX('Исходник'!$1:$626,MATCH($A466,'Исходник'!$T:$T,0),MATCH(AH$1,'Исходник'!$1:$1,0)))</f>
        <v/>
      </c>
      <c r="AI466" s="1" t="str">
        <f t="array" ref="AI466">IFERROR(INDEX('Исходник'!$1:$626,MATCH($A466,'Исходник'!$T:$T,0),MATCH(AI$1,'Исходник'!$1:$1,0)))</f>
        <v/>
      </c>
      <c r="AJ466" s="18">
        <f t="shared" si="15"/>
        <v>0</v>
      </c>
    </row>
    <row r="467" ht="15.75" customHeight="1">
      <c r="A467" s="27"/>
      <c r="B467" s="1" t="str">
        <f t="array" ref="B467">IFERROR(INDEX('Исходник'!$1:$626,MATCH($A467,'Исходник'!$T:$T,0),MATCH(B$1,'Исходник'!$1:$1,0)))</f>
        <v/>
      </c>
      <c r="C467" s="1" t="str">
        <f t="array" ref="C467">IFERROR(INDEX('Исходник'!$1:$626,MATCH($A467,'Исходник'!$T:$T,0),MATCH(C$1,'Исходник'!$1:$1,0)))</f>
        <v/>
      </c>
      <c r="D467" s="1" t="str">
        <f t="array" ref="D467">IFERROR(INDEX('Исходник'!$1:$626,MATCH($A467,'Исходник'!$T:$T,0),MATCH(D$1,'Исходник'!$1:$1,0)))</f>
        <v/>
      </c>
      <c r="E467" s="1" t="str">
        <f t="array" ref="E467">IFERROR(INDEX('Исходник'!$1:$626,MATCH($A467,'Исходник'!$T:$T,0),MATCH(E$1,'Исходник'!$1:$1,0)))</f>
        <v/>
      </c>
      <c r="F467" s="1" t="str">
        <f t="array" ref="F467">IFERROR(INDEX('Исходник'!$1:$626,MATCH($A467,'Исходник'!$T:$T,0),MATCH(F$1,'Исходник'!$1:$1,0)))</f>
        <v/>
      </c>
      <c r="G467" s="1" t="str">
        <f t="array" ref="G467">IFERROR(INDEX('Исходник'!$1:$626,MATCH($A467,'Исходник'!$T:$T,0),MATCH(G$1,'Исходник'!$1:$1,0)))</f>
        <v/>
      </c>
      <c r="H467" s="27">
        <f t="shared" si="1"/>
        <v>0</v>
      </c>
      <c r="I467" s="27" t="str">
        <f t="shared" si="2"/>
        <v/>
      </c>
      <c r="J467" s="1" t="str">
        <f t="array" ref="J467">IFERROR(INDEX('Исходник'!$1:$626,MATCH($A467,'Исходник'!$T:$T,0),MATCH(J$1,'Исходник'!$1:$1,0)))</f>
        <v/>
      </c>
      <c r="K467" s="27" t="str">
        <f t="shared" si="3"/>
        <v/>
      </c>
      <c r="L467" s="1" t="str">
        <f t="array" ref="L467">IFERROR(INDEX('Исходник'!$1:$626,MATCH($A467,'Исходник'!$T:$T,0),MATCH(L$1,'Исходник'!$1:$1,0)))</f>
        <v/>
      </c>
      <c r="M467" s="28">
        <f t="shared" si="4"/>
        <v>0</v>
      </c>
      <c r="N467" s="1" t="str">
        <f t="array" ref="N467">IFERROR(INDEX('Исходник'!$1:$626,MATCH($A467,'Исходник'!$T:$T,0),MATCH(N$1,'Исходник'!$1:$1,0)))</f>
        <v/>
      </c>
      <c r="O467" s="27">
        <f t="shared" si="5"/>
        <v>0</v>
      </c>
      <c r="P467" s="27" t="str">
        <f t="shared" si="6"/>
        <v/>
      </c>
      <c r="Q467" s="1" t="str">
        <f t="array" ref="Q467">IFERROR(INDEX('Исходник'!$1:$626,MATCH($A467,'Исходник'!$T:$T,0),MATCH(Q$1,'Исходник'!$1:$1,0)))</f>
        <v/>
      </c>
      <c r="R467" s="1" t="str">
        <f t="array" ref="R467">IFERROR(INDEX('Исходник'!$1:$626,MATCH($A467,'Исходник'!$T:$T,0),MATCH(R$1,'Исходник'!$1:$1,0)))</f>
        <v/>
      </c>
      <c r="S467" s="27">
        <f t="shared" si="7"/>
        <v>0</v>
      </c>
      <c r="T467" s="27" t="str">
        <f t="shared" si="8"/>
        <v/>
      </c>
      <c r="U467" s="1" t="str">
        <f t="array" ref="U467">IFERROR(INDEX('Исходник'!$1:$626,MATCH($A467,'Исходник'!$T:$T,0),MATCH(U$1,'Исходник'!$1:$1,0)))</f>
        <v/>
      </c>
      <c r="V467" s="27" t="str">
        <f t="shared" si="9"/>
        <v/>
      </c>
      <c r="W467" s="1" t="str">
        <f t="array" ref="W467">IFERROR(INDEX('Исходник'!$1:$626,MATCH($A467,'Исходник'!$T:$T,0),MATCH(W$1,'Исходник'!$1:$1,0)))</f>
        <v/>
      </c>
      <c r="X467" s="28">
        <f t="shared" si="10"/>
        <v>0</v>
      </c>
      <c r="Y467" s="1" t="str">
        <f t="array" ref="Y467">IFERROR(INDEX('Исходник'!$1:$626,MATCH($A467,'Исходник'!$T:$T,0),MATCH(Y$1,'Исходник'!$1:$1,0)))</f>
        <v/>
      </c>
      <c r="Z467" s="27">
        <f t="shared" si="11"/>
        <v>0</v>
      </c>
      <c r="AA467" s="27" t="str">
        <f t="shared" si="12"/>
        <v/>
      </c>
      <c r="AB467" s="1" t="str">
        <f t="array" ref="AB467">IFERROR(INDEX('Исходник'!$1:$626,MATCH($A467,'Исходник'!$T:$T,0),MATCH(AB$1,'Исходник'!$1:$1,0)))</f>
        <v/>
      </c>
      <c r="AC467" s="1" t="str">
        <f t="array" ref="AC467">IFERROR(INDEX('Исходник'!$1:$626,MATCH($A467,'Исходник'!$T:$T,0),MATCH(AC$1,'Исходник'!$1:$1,0)))</f>
        <v/>
      </c>
      <c r="AD467" s="27" t="str">
        <f t="shared" si="13"/>
        <v/>
      </c>
      <c r="AE467" s="1" t="str">
        <f t="array" ref="AE467">IFERROR(INDEX('Исходник'!$1:$626,MATCH($A467,'Исходник'!$T:$T,0),MATCH(AE$1,'Исходник'!$1:$1,0)))</f>
        <v/>
      </c>
      <c r="AF467" s="1" t="str">
        <f t="array" ref="AF467">IFERROR(INDEX('Исходник'!$1:$626,MATCH($A467,'Исходник'!$T:$T,0),MATCH(AF$1,'Исходник'!$1:$1,0)))</f>
        <v/>
      </c>
      <c r="AG467" s="27" t="str">
        <f t="shared" si="14"/>
        <v/>
      </c>
      <c r="AH467" s="1" t="str">
        <f t="array" ref="AH467">IFERROR(INDEX('Исходник'!$1:$626,MATCH($A467,'Исходник'!$T:$T,0),MATCH(AH$1,'Исходник'!$1:$1,0)))</f>
        <v/>
      </c>
      <c r="AI467" s="1" t="str">
        <f t="array" ref="AI467">IFERROR(INDEX('Исходник'!$1:$626,MATCH($A467,'Исходник'!$T:$T,0),MATCH(AI$1,'Исходник'!$1:$1,0)))</f>
        <v/>
      </c>
      <c r="AJ467" s="18">
        <f t="shared" si="15"/>
        <v>0</v>
      </c>
    </row>
    <row r="468" ht="15.75" customHeight="1">
      <c r="A468" s="27"/>
      <c r="B468" s="1" t="str">
        <f t="array" ref="B468">IFERROR(INDEX('Исходник'!$1:$626,MATCH($A468,'Исходник'!$T:$T,0),MATCH(B$1,'Исходник'!$1:$1,0)))</f>
        <v/>
      </c>
      <c r="C468" s="1" t="str">
        <f t="array" ref="C468">IFERROR(INDEX('Исходник'!$1:$626,MATCH($A468,'Исходник'!$T:$T,0),MATCH(C$1,'Исходник'!$1:$1,0)))</f>
        <v/>
      </c>
      <c r="D468" s="1" t="str">
        <f t="array" ref="D468">IFERROR(INDEX('Исходник'!$1:$626,MATCH($A468,'Исходник'!$T:$T,0),MATCH(D$1,'Исходник'!$1:$1,0)))</f>
        <v/>
      </c>
      <c r="E468" s="1" t="str">
        <f t="array" ref="E468">IFERROR(INDEX('Исходник'!$1:$626,MATCH($A468,'Исходник'!$T:$T,0),MATCH(E$1,'Исходник'!$1:$1,0)))</f>
        <v/>
      </c>
      <c r="F468" s="1" t="str">
        <f t="array" ref="F468">IFERROR(INDEX('Исходник'!$1:$626,MATCH($A468,'Исходник'!$T:$T,0),MATCH(F$1,'Исходник'!$1:$1,0)))</f>
        <v/>
      </c>
      <c r="G468" s="1" t="str">
        <f t="array" ref="G468">IFERROR(INDEX('Исходник'!$1:$626,MATCH($A468,'Исходник'!$T:$T,0),MATCH(G$1,'Исходник'!$1:$1,0)))</f>
        <v/>
      </c>
      <c r="H468" s="27">
        <f t="shared" si="1"/>
        <v>0</v>
      </c>
      <c r="I468" s="27" t="str">
        <f t="shared" si="2"/>
        <v/>
      </c>
      <c r="J468" s="1" t="str">
        <f t="array" ref="J468">IFERROR(INDEX('Исходник'!$1:$626,MATCH($A468,'Исходник'!$T:$T,0),MATCH(J$1,'Исходник'!$1:$1,0)))</f>
        <v/>
      </c>
      <c r="K468" s="27" t="str">
        <f t="shared" si="3"/>
        <v/>
      </c>
      <c r="L468" s="1" t="str">
        <f t="array" ref="L468">IFERROR(INDEX('Исходник'!$1:$626,MATCH($A468,'Исходник'!$T:$T,0),MATCH(L$1,'Исходник'!$1:$1,0)))</f>
        <v/>
      </c>
      <c r="M468" s="28">
        <f t="shared" si="4"/>
        <v>0</v>
      </c>
      <c r="N468" s="1" t="str">
        <f t="array" ref="N468">IFERROR(INDEX('Исходник'!$1:$626,MATCH($A468,'Исходник'!$T:$T,0),MATCH(N$1,'Исходник'!$1:$1,0)))</f>
        <v/>
      </c>
      <c r="O468" s="27">
        <f t="shared" si="5"/>
        <v>0</v>
      </c>
      <c r="P468" s="27" t="str">
        <f t="shared" si="6"/>
        <v/>
      </c>
      <c r="Q468" s="1" t="str">
        <f t="array" ref="Q468">IFERROR(INDEX('Исходник'!$1:$626,MATCH($A468,'Исходник'!$T:$T,0),MATCH(Q$1,'Исходник'!$1:$1,0)))</f>
        <v/>
      </c>
      <c r="R468" s="1" t="str">
        <f t="array" ref="R468">IFERROR(INDEX('Исходник'!$1:$626,MATCH($A468,'Исходник'!$T:$T,0),MATCH(R$1,'Исходник'!$1:$1,0)))</f>
        <v/>
      </c>
      <c r="S468" s="27">
        <f t="shared" si="7"/>
        <v>0</v>
      </c>
      <c r="T468" s="27" t="str">
        <f t="shared" si="8"/>
        <v/>
      </c>
      <c r="U468" s="1" t="str">
        <f t="array" ref="U468">IFERROR(INDEX('Исходник'!$1:$626,MATCH($A468,'Исходник'!$T:$T,0),MATCH(U$1,'Исходник'!$1:$1,0)))</f>
        <v/>
      </c>
      <c r="V468" s="27" t="str">
        <f t="shared" si="9"/>
        <v/>
      </c>
      <c r="W468" s="1" t="str">
        <f t="array" ref="W468">IFERROR(INDEX('Исходник'!$1:$626,MATCH($A468,'Исходник'!$T:$T,0),MATCH(W$1,'Исходник'!$1:$1,0)))</f>
        <v/>
      </c>
      <c r="X468" s="28">
        <f t="shared" si="10"/>
        <v>0</v>
      </c>
      <c r="Y468" s="1" t="str">
        <f t="array" ref="Y468">IFERROR(INDEX('Исходник'!$1:$626,MATCH($A468,'Исходник'!$T:$T,0),MATCH(Y$1,'Исходник'!$1:$1,0)))</f>
        <v/>
      </c>
      <c r="Z468" s="27">
        <f t="shared" si="11"/>
        <v>0</v>
      </c>
      <c r="AA468" s="27" t="str">
        <f t="shared" si="12"/>
        <v/>
      </c>
      <c r="AB468" s="1" t="str">
        <f t="array" ref="AB468">IFERROR(INDEX('Исходник'!$1:$626,MATCH($A468,'Исходник'!$T:$T,0),MATCH(AB$1,'Исходник'!$1:$1,0)))</f>
        <v/>
      </c>
      <c r="AC468" s="1" t="str">
        <f t="array" ref="AC468">IFERROR(INDEX('Исходник'!$1:$626,MATCH($A468,'Исходник'!$T:$T,0),MATCH(AC$1,'Исходник'!$1:$1,0)))</f>
        <v/>
      </c>
      <c r="AD468" s="27" t="str">
        <f t="shared" si="13"/>
        <v/>
      </c>
      <c r="AE468" s="1" t="str">
        <f t="array" ref="AE468">IFERROR(INDEX('Исходник'!$1:$626,MATCH($A468,'Исходник'!$T:$T,0),MATCH(AE$1,'Исходник'!$1:$1,0)))</f>
        <v/>
      </c>
      <c r="AF468" s="1" t="str">
        <f t="array" ref="AF468">IFERROR(INDEX('Исходник'!$1:$626,MATCH($A468,'Исходник'!$T:$T,0),MATCH(AF$1,'Исходник'!$1:$1,0)))</f>
        <v/>
      </c>
      <c r="AG468" s="27" t="str">
        <f t="shared" si="14"/>
        <v/>
      </c>
      <c r="AH468" s="1" t="str">
        <f t="array" ref="AH468">IFERROR(INDEX('Исходник'!$1:$626,MATCH($A468,'Исходник'!$T:$T,0),MATCH(AH$1,'Исходник'!$1:$1,0)))</f>
        <v/>
      </c>
      <c r="AI468" s="1" t="str">
        <f t="array" ref="AI468">IFERROR(INDEX('Исходник'!$1:$626,MATCH($A468,'Исходник'!$T:$T,0),MATCH(AI$1,'Исходник'!$1:$1,0)))</f>
        <v/>
      </c>
      <c r="AJ468" s="18">
        <f t="shared" si="15"/>
        <v>0</v>
      </c>
    </row>
    <row r="469" ht="15.75" customHeight="1">
      <c r="A469" s="27"/>
      <c r="B469" s="1" t="str">
        <f t="array" ref="B469">IFERROR(INDEX('Исходник'!$1:$626,MATCH($A469,'Исходник'!$T:$T,0),MATCH(B$1,'Исходник'!$1:$1,0)))</f>
        <v/>
      </c>
      <c r="C469" s="1" t="str">
        <f t="array" ref="C469">IFERROR(INDEX('Исходник'!$1:$626,MATCH($A469,'Исходник'!$T:$T,0),MATCH(C$1,'Исходник'!$1:$1,0)))</f>
        <v/>
      </c>
      <c r="D469" s="1" t="str">
        <f t="array" ref="D469">IFERROR(INDEX('Исходник'!$1:$626,MATCH($A469,'Исходник'!$T:$T,0),MATCH(D$1,'Исходник'!$1:$1,0)))</f>
        <v/>
      </c>
      <c r="E469" s="1" t="str">
        <f t="array" ref="E469">IFERROR(INDEX('Исходник'!$1:$626,MATCH($A469,'Исходник'!$T:$T,0),MATCH(E$1,'Исходник'!$1:$1,0)))</f>
        <v/>
      </c>
      <c r="F469" s="1" t="str">
        <f t="array" ref="F469">IFERROR(INDEX('Исходник'!$1:$626,MATCH($A469,'Исходник'!$T:$T,0),MATCH(F$1,'Исходник'!$1:$1,0)))</f>
        <v/>
      </c>
      <c r="G469" s="1" t="str">
        <f t="array" ref="G469">IFERROR(INDEX('Исходник'!$1:$626,MATCH($A469,'Исходник'!$T:$T,0),MATCH(G$1,'Исходник'!$1:$1,0)))</f>
        <v/>
      </c>
      <c r="H469" s="27">
        <f t="shared" si="1"/>
        <v>0</v>
      </c>
      <c r="I469" s="27" t="str">
        <f t="shared" si="2"/>
        <v/>
      </c>
      <c r="J469" s="1" t="str">
        <f t="array" ref="J469">IFERROR(INDEX('Исходник'!$1:$626,MATCH($A469,'Исходник'!$T:$T,0),MATCH(J$1,'Исходник'!$1:$1,0)))</f>
        <v/>
      </c>
      <c r="K469" s="27" t="str">
        <f t="shared" si="3"/>
        <v/>
      </c>
      <c r="L469" s="1" t="str">
        <f t="array" ref="L469">IFERROR(INDEX('Исходник'!$1:$626,MATCH($A469,'Исходник'!$T:$T,0),MATCH(L$1,'Исходник'!$1:$1,0)))</f>
        <v/>
      </c>
      <c r="M469" s="28">
        <f t="shared" si="4"/>
        <v>0</v>
      </c>
      <c r="N469" s="1" t="str">
        <f t="array" ref="N469">IFERROR(INDEX('Исходник'!$1:$626,MATCH($A469,'Исходник'!$T:$T,0),MATCH(N$1,'Исходник'!$1:$1,0)))</f>
        <v/>
      </c>
      <c r="O469" s="27">
        <f t="shared" si="5"/>
        <v>0</v>
      </c>
      <c r="P469" s="27" t="str">
        <f t="shared" si="6"/>
        <v/>
      </c>
      <c r="Q469" s="1" t="str">
        <f t="array" ref="Q469">IFERROR(INDEX('Исходник'!$1:$626,MATCH($A469,'Исходник'!$T:$T,0),MATCH(Q$1,'Исходник'!$1:$1,0)))</f>
        <v/>
      </c>
      <c r="R469" s="1" t="str">
        <f t="array" ref="R469">IFERROR(INDEX('Исходник'!$1:$626,MATCH($A469,'Исходник'!$T:$T,0),MATCH(R$1,'Исходник'!$1:$1,0)))</f>
        <v/>
      </c>
      <c r="S469" s="27">
        <f t="shared" si="7"/>
        <v>0</v>
      </c>
      <c r="T469" s="27" t="str">
        <f t="shared" si="8"/>
        <v/>
      </c>
      <c r="U469" s="1" t="str">
        <f t="array" ref="U469">IFERROR(INDEX('Исходник'!$1:$626,MATCH($A469,'Исходник'!$T:$T,0),MATCH(U$1,'Исходник'!$1:$1,0)))</f>
        <v/>
      </c>
      <c r="V469" s="27" t="str">
        <f t="shared" si="9"/>
        <v/>
      </c>
      <c r="W469" s="1" t="str">
        <f t="array" ref="W469">IFERROR(INDEX('Исходник'!$1:$626,MATCH($A469,'Исходник'!$T:$T,0),MATCH(W$1,'Исходник'!$1:$1,0)))</f>
        <v/>
      </c>
      <c r="X469" s="28">
        <f t="shared" si="10"/>
        <v>0</v>
      </c>
      <c r="Y469" s="1" t="str">
        <f t="array" ref="Y469">IFERROR(INDEX('Исходник'!$1:$626,MATCH($A469,'Исходник'!$T:$T,0),MATCH(Y$1,'Исходник'!$1:$1,0)))</f>
        <v/>
      </c>
      <c r="Z469" s="27">
        <f t="shared" si="11"/>
        <v>0</v>
      </c>
      <c r="AA469" s="27" t="str">
        <f t="shared" si="12"/>
        <v/>
      </c>
      <c r="AB469" s="1" t="str">
        <f t="array" ref="AB469">IFERROR(INDEX('Исходник'!$1:$626,MATCH($A469,'Исходник'!$T:$T,0),MATCH(AB$1,'Исходник'!$1:$1,0)))</f>
        <v/>
      </c>
      <c r="AC469" s="1" t="str">
        <f t="array" ref="AC469">IFERROR(INDEX('Исходник'!$1:$626,MATCH($A469,'Исходник'!$T:$T,0),MATCH(AC$1,'Исходник'!$1:$1,0)))</f>
        <v/>
      </c>
      <c r="AD469" s="27" t="str">
        <f t="shared" si="13"/>
        <v/>
      </c>
      <c r="AE469" s="1" t="str">
        <f t="array" ref="AE469">IFERROR(INDEX('Исходник'!$1:$626,MATCH($A469,'Исходник'!$T:$T,0),MATCH(AE$1,'Исходник'!$1:$1,0)))</f>
        <v/>
      </c>
      <c r="AF469" s="1" t="str">
        <f t="array" ref="AF469">IFERROR(INDEX('Исходник'!$1:$626,MATCH($A469,'Исходник'!$T:$T,0),MATCH(AF$1,'Исходник'!$1:$1,0)))</f>
        <v/>
      </c>
      <c r="AG469" s="27" t="str">
        <f t="shared" si="14"/>
        <v/>
      </c>
      <c r="AH469" s="1" t="str">
        <f t="array" ref="AH469">IFERROR(INDEX('Исходник'!$1:$626,MATCH($A469,'Исходник'!$T:$T,0),MATCH(AH$1,'Исходник'!$1:$1,0)))</f>
        <v/>
      </c>
      <c r="AI469" s="1" t="str">
        <f t="array" ref="AI469">IFERROR(INDEX('Исходник'!$1:$626,MATCH($A469,'Исходник'!$T:$T,0),MATCH(AI$1,'Исходник'!$1:$1,0)))</f>
        <v/>
      </c>
      <c r="AJ469" s="18">
        <f t="shared" si="15"/>
        <v>0</v>
      </c>
    </row>
    <row r="470" ht="15.75" customHeight="1">
      <c r="A470" s="27"/>
      <c r="B470" s="1" t="str">
        <f t="array" ref="B470">IFERROR(INDEX('Исходник'!$1:$626,MATCH($A470,'Исходник'!$T:$T,0),MATCH(B$1,'Исходник'!$1:$1,0)))</f>
        <v/>
      </c>
      <c r="C470" s="1" t="str">
        <f t="array" ref="C470">IFERROR(INDEX('Исходник'!$1:$626,MATCH($A470,'Исходник'!$T:$T,0),MATCH(C$1,'Исходник'!$1:$1,0)))</f>
        <v/>
      </c>
      <c r="D470" s="1" t="str">
        <f t="array" ref="D470">IFERROR(INDEX('Исходник'!$1:$626,MATCH($A470,'Исходник'!$T:$T,0),MATCH(D$1,'Исходник'!$1:$1,0)))</f>
        <v/>
      </c>
      <c r="E470" s="1" t="str">
        <f t="array" ref="E470">IFERROR(INDEX('Исходник'!$1:$626,MATCH($A470,'Исходник'!$T:$T,0),MATCH(E$1,'Исходник'!$1:$1,0)))</f>
        <v/>
      </c>
      <c r="F470" s="1" t="str">
        <f t="array" ref="F470">IFERROR(INDEX('Исходник'!$1:$626,MATCH($A470,'Исходник'!$T:$T,0),MATCH(F$1,'Исходник'!$1:$1,0)))</f>
        <v/>
      </c>
      <c r="G470" s="1" t="str">
        <f t="array" ref="G470">IFERROR(INDEX('Исходник'!$1:$626,MATCH($A470,'Исходник'!$T:$T,0),MATCH(G$1,'Исходник'!$1:$1,0)))</f>
        <v/>
      </c>
      <c r="H470" s="27">
        <f t="shared" si="1"/>
        <v>0</v>
      </c>
      <c r="I470" s="27" t="str">
        <f t="shared" si="2"/>
        <v/>
      </c>
      <c r="J470" s="1" t="str">
        <f t="array" ref="J470">IFERROR(INDEX('Исходник'!$1:$626,MATCH($A470,'Исходник'!$T:$T,0),MATCH(J$1,'Исходник'!$1:$1,0)))</f>
        <v/>
      </c>
      <c r="K470" s="27" t="str">
        <f t="shared" si="3"/>
        <v/>
      </c>
      <c r="L470" s="1" t="str">
        <f t="array" ref="L470">IFERROR(INDEX('Исходник'!$1:$626,MATCH($A470,'Исходник'!$T:$T,0),MATCH(L$1,'Исходник'!$1:$1,0)))</f>
        <v/>
      </c>
      <c r="M470" s="28">
        <f t="shared" si="4"/>
        <v>0</v>
      </c>
      <c r="N470" s="1" t="str">
        <f t="array" ref="N470">IFERROR(INDEX('Исходник'!$1:$626,MATCH($A470,'Исходник'!$T:$T,0),MATCH(N$1,'Исходник'!$1:$1,0)))</f>
        <v/>
      </c>
      <c r="O470" s="27">
        <f t="shared" si="5"/>
        <v>0</v>
      </c>
      <c r="P470" s="27" t="str">
        <f t="shared" si="6"/>
        <v/>
      </c>
      <c r="Q470" s="1" t="str">
        <f t="array" ref="Q470">IFERROR(INDEX('Исходник'!$1:$626,MATCH($A470,'Исходник'!$T:$T,0),MATCH(Q$1,'Исходник'!$1:$1,0)))</f>
        <v/>
      </c>
      <c r="R470" s="1" t="str">
        <f t="array" ref="R470">IFERROR(INDEX('Исходник'!$1:$626,MATCH($A470,'Исходник'!$T:$T,0),MATCH(R$1,'Исходник'!$1:$1,0)))</f>
        <v/>
      </c>
      <c r="S470" s="27">
        <f t="shared" si="7"/>
        <v>0</v>
      </c>
      <c r="T470" s="27" t="str">
        <f t="shared" si="8"/>
        <v/>
      </c>
      <c r="U470" s="1" t="str">
        <f t="array" ref="U470">IFERROR(INDEX('Исходник'!$1:$626,MATCH($A470,'Исходник'!$T:$T,0),MATCH(U$1,'Исходник'!$1:$1,0)))</f>
        <v/>
      </c>
      <c r="V470" s="27" t="str">
        <f t="shared" si="9"/>
        <v/>
      </c>
      <c r="W470" s="1" t="str">
        <f t="array" ref="W470">IFERROR(INDEX('Исходник'!$1:$626,MATCH($A470,'Исходник'!$T:$T,0),MATCH(W$1,'Исходник'!$1:$1,0)))</f>
        <v/>
      </c>
      <c r="X470" s="28">
        <f t="shared" si="10"/>
        <v>0</v>
      </c>
      <c r="Y470" s="1" t="str">
        <f t="array" ref="Y470">IFERROR(INDEX('Исходник'!$1:$626,MATCH($A470,'Исходник'!$T:$T,0),MATCH(Y$1,'Исходник'!$1:$1,0)))</f>
        <v/>
      </c>
      <c r="Z470" s="27">
        <f t="shared" si="11"/>
        <v>0</v>
      </c>
      <c r="AA470" s="27" t="str">
        <f t="shared" si="12"/>
        <v/>
      </c>
      <c r="AB470" s="1" t="str">
        <f t="array" ref="AB470">IFERROR(INDEX('Исходник'!$1:$626,MATCH($A470,'Исходник'!$T:$T,0),MATCH(AB$1,'Исходник'!$1:$1,0)))</f>
        <v/>
      </c>
      <c r="AC470" s="1" t="str">
        <f t="array" ref="AC470">IFERROR(INDEX('Исходник'!$1:$626,MATCH($A470,'Исходник'!$T:$T,0),MATCH(AC$1,'Исходник'!$1:$1,0)))</f>
        <v/>
      </c>
      <c r="AD470" s="27" t="str">
        <f t="shared" si="13"/>
        <v/>
      </c>
      <c r="AE470" s="1" t="str">
        <f t="array" ref="AE470">IFERROR(INDEX('Исходник'!$1:$626,MATCH($A470,'Исходник'!$T:$T,0),MATCH(AE$1,'Исходник'!$1:$1,0)))</f>
        <v/>
      </c>
      <c r="AF470" s="1" t="str">
        <f t="array" ref="AF470">IFERROR(INDEX('Исходник'!$1:$626,MATCH($A470,'Исходник'!$T:$T,0),MATCH(AF$1,'Исходник'!$1:$1,0)))</f>
        <v/>
      </c>
      <c r="AG470" s="27" t="str">
        <f t="shared" si="14"/>
        <v/>
      </c>
      <c r="AH470" s="1" t="str">
        <f t="array" ref="AH470">IFERROR(INDEX('Исходник'!$1:$626,MATCH($A470,'Исходник'!$T:$T,0),MATCH(AH$1,'Исходник'!$1:$1,0)))</f>
        <v/>
      </c>
      <c r="AI470" s="1" t="str">
        <f t="array" ref="AI470">IFERROR(INDEX('Исходник'!$1:$626,MATCH($A470,'Исходник'!$T:$T,0),MATCH(AI$1,'Исходник'!$1:$1,0)))</f>
        <v/>
      </c>
      <c r="AJ470" s="18">
        <f t="shared" si="15"/>
        <v>0</v>
      </c>
    </row>
    <row r="471" ht="15.75" customHeight="1">
      <c r="A471" s="27"/>
      <c r="B471" s="1" t="str">
        <f t="array" ref="B471">IFERROR(INDEX('Исходник'!$1:$626,MATCH($A471,'Исходник'!$T:$T,0),MATCH(B$1,'Исходник'!$1:$1,0)))</f>
        <v/>
      </c>
      <c r="C471" s="1" t="str">
        <f t="array" ref="C471">IFERROR(INDEX('Исходник'!$1:$626,MATCH($A471,'Исходник'!$T:$T,0),MATCH(C$1,'Исходник'!$1:$1,0)))</f>
        <v/>
      </c>
      <c r="D471" s="1" t="str">
        <f t="array" ref="D471">IFERROR(INDEX('Исходник'!$1:$626,MATCH($A471,'Исходник'!$T:$T,0),MATCH(D$1,'Исходник'!$1:$1,0)))</f>
        <v/>
      </c>
      <c r="E471" s="1" t="str">
        <f t="array" ref="E471">IFERROR(INDEX('Исходник'!$1:$626,MATCH($A471,'Исходник'!$T:$T,0),MATCH(E$1,'Исходник'!$1:$1,0)))</f>
        <v/>
      </c>
      <c r="F471" s="1" t="str">
        <f t="array" ref="F471">IFERROR(INDEX('Исходник'!$1:$626,MATCH($A471,'Исходник'!$T:$T,0),MATCH(F$1,'Исходник'!$1:$1,0)))</f>
        <v/>
      </c>
      <c r="G471" s="1" t="str">
        <f t="array" ref="G471">IFERROR(INDEX('Исходник'!$1:$626,MATCH($A471,'Исходник'!$T:$T,0),MATCH(G$1,'Исходник'!$1:$1,0)))</f>
        <v/>
      </c>
      <c r="H471" s="27">
        <f t="shared" si="1"/>
        <v>0</v>
      </c>
      <c r="I471" s="27" t="str">
        <f t="shared" si="2"/>
        <v/>
      </c>
      <c r="J471" s="1" t="str">
        <f t="array" ref="J471">IFERROR(INDEX('Исходник'!$1:$626,MATCH($A471,'Исходник'!$T:$T,0),MATCH(J$1,'Исходник'!$1:$1,0)))</f>
        <v/>
      </c>
      <c r="K471" s="27" t="str">
        <f t="shared" si="3"/>
        <v/>
      </c>
      <c r="L471" s="1" t="str">
        <f t="array" ref="L471">IFERROR(INDEX('Исходник'!$1:$626,MATCH($A471,'Исходник'!$T:$T,0),MATCH(L$1,'Исходник'!$1:$1,0)))</f>
        <v/>
      </c>
      <c r="M471" s="28">
        <f t="shared" si="4"/>
        <v>0</v>
      </c>
      <c r="N471" s="1" t="str">
        <f t="array" ref="N471">IFERROR(INDEX('Исходник'!$1:$626,MATCH($A471,'Исходник'!$T:$T,0),MATCH(N$1,'Исходник'!$1:$1,0)))</f>
        <v/>
      </c>
      <c r="O471" s="27">
        <f t="shared" si="5"/>
        <v>0</v>
      </c>
      <c r="P471" s="27" t="str">
        <f t="shared" si="6"/>
        <v/>
      </c>
      <c r="Q471" s="1" t="str">
        <f t="array" ref="Q471">IFERROR(INDEX('Исходник'!$1:$626,MATCH($A471,'Исходник'!$T:$T,0),MATCH(Q$1,'Исходник'!$1:$1,0)))</f>
        <v/>
      </c>
      <c r="R471" s="1" t="str">
        <f t="array" ref="R471">IFERROR(INDEX('Исходник'!$1:$626,MATCH($A471,'Исходник'!$T:$T,0),MATCH(R$1,'Исходник'!$1:$1,0)))</f>
        <v/>
      </c>
      <c r="S471" s="27">
        <f t="shared" si="7"/>
        <v>0</v>
      </c>
      <c r="T471" s="27" t="str">
        <f t="shared" si="8"/>
        <v/>
      </c>
      <c r="U471" s="1" t="str">
        <f t="array" ref="U471">IFERROR(INDEX('Исходник'!$1:$626,MATCH($A471,'Исходник'!$T:$T,0),MATCH(U$1,'Исходник'!$1:$1,0)))</f>
        <v/>
      </c>
      <c r="V471" s="27" t="str">
        <f t="shared" si="9"/>
        <v/>
      </c>
      <c r="W471" s="1" t="str">
        <f t="array" ref="W471">IFERROR(INDEX('Исходник'!$1:$626,MATCH($A471,'Исходник'!$T:$T,0),MATCH(W$1,'Исходник'!$1:$1,0)))</f>
        <v/>
      </c>
      <c r="X471" s="28">
        <f t="shared" si="10"/>
        <v>0</v>
      </c>
      <c r="Y471" s="1" t="str">
        <f t="array" ref="Y471">IFERROR(INDEX('Исходник'!$1:$626,MATCH($A471,'Исходник'!$T:$T,0),MATCH(Y$1,'Исходник'!$1:$1,0)))</f>
        <v/>
      </c>
      <c r="Z471" s="27">
        <f t="shared" si="11"/>
        <v>0</v>
      </c>
      <c r="AA471" s="27" t="str">
        <f t="shared" si="12"/>
        <v/>
      </c>
      <c r="AB471" s="1" t="str">
        <f t="array" ref="AB471">IFERROR(INDEX('Исходник'!$1:$626,MATCH($A471,'Исходник'!$T:$T,0),MATCH(AB$1,'Исходник'!$1:$1,0)))</f>
        <v/>
      </c>
      <c r="AC471" s="1" t="str">
        <f t="array" ref="AC471">IFERROR(INDEX('Исходник'!$1:$626,MATCH($A471,'Исходник'!$T:$T,0),MATCH(AC$1,'Исходник'!$1:$1,0)))</f>
        <v/>
      </c>
      <c r="AD471" s="27" t="str">
        <f t="shared" si="13"/>
        <v/>
      </c>
      <c r="AE471" s="1" t="str">
        <f t="array" ref="AE471">IFERROR(INDEX('Исходник'!$1:$626,MATCH($A471,'Исходник'!$T:$T,0),MATCH(AE$1,'Исходник'!$1:$1,0)))</f>
        <v/>
      </c>
      <c r="AF471" s="1" t="str">
        <f t="array" ref="AF471">IFERROR(INDEX('Исходник'!$1:$626,MATCH($A471,'Исходник'!$T:$T,0),MATCH(AF$1,'Исходник'!$1:$1,0)))</f>
        <v/>
      </c>
      <c r="AG471" s="27" t="str">
        <f t="shared" si="14"/>
        <v/>
      </c>
      <c r="AH471" s="1" t="str">
        <f t="array" ref="AH471">IFERROR(INDEX('Исходник'!$1:$626,MATCH($A471,'Исходник'!$T:$T,0),MATCH(AH$1,'Исходник'!$1:$1,0)))</f>
        <v/>
      </c>
      <c r="AI471" s="1" t="str">
        <f t="array" ref="AI471">IFERROR(INDEX('Исходник'!$1:$626,MATCH($A471,'Исходник'!$T:$T,0),MATCH(AI$1,'Исходник'!$1:$1,0)))</f>
        <v/>
      </c>
      <c r="AJ471" s="18">
        <f t="shared" si="15"/>
        <v>0</v>
      </c>
    </row>
    <row r="472" ht="15.75" customHeight="1">
      <c r="A472" s="27"/>
      <c r="B472" s="1" t="str">
        <f t="array" ref="B472">IFERROR(INDEX('Исходник'!$1:$626,MATCH($A472,'Исходник'!$T:$T,0),MATCH(B$1,'Исходник'!$1:$1,0)))</f>
        <v/>
      </c>
      <c r="C472" s="1" t="str">
        <f t="array" ref="C472">IFERROR(INDEX('Исходник'!$1:$626,MATCH($A472,'Исходник'!$T:$T,0),MATCH(C$1,'Исходник'!$1:$1,0)))</f>
        <v/>
      </c>
      <c r="D472" s="1" t="str">
        <f t="array" ref="D472">IFERROR(INDEX('Исходник'!$1:$626,MATCH($A472,'Исходник'!$T:$T,0),MATCH(D$1,'Исходник'!$1:$1,0)))</f>
        <v/>
      </c>
      <c r="E472" s="1" t="str">
        <f t="array" ref="E472">IFERROR(INDEX('Исходник'!$1:$626,MATCH($A472,'Исходник'!$T:$T,0),MATCH(E$1,'Исходник'!$1:$1,0)))</f>
        <v/>
      </c>
      <c r="F472" s="1" t="str">
        <f t="array" ref="F472">IFERROR(INDEX('Исходник'!$1:$626,MATCH($A472,'Исходник'!$T:$T,0),MATCH(F$1,'Исходник'!$1:$1,0)))</f>
        <v/>
      </c>
      <c r="G472" s="1" t="str">
        <f t="array" ref="G472">IFERROR(INDEX('Исходник'!$1:$626,MATCH($A472,'Исходник'!$T:$T,0),MATCH(G$1,'Исходник'!$1:$1,0)))</f>
        <v/>
      </c>
      <c r="H472" s="27">
        <f t="shared" si="1"/>
        <v>0</v>
      </c>
      <c r="I472" s="27" t="str">
        <f t="shared" si="2"/>
        <v/>
      </c>
      <c r="J472" s="1" t="str">
        <f t="array" ref="J472">IFERROR(INDEX('Исходник'!$1:$626,MATCH($A472,'Исходник'!$T:$T,0),MATCH(J$1,'Исходник'!$1:$1,0)))</f>
        <v/>
      </c>
      <c r="K472" s="27" t="str">
        <f t="shared" si="3"/>
        <v/>
      </c>
      <c r="L472" s="1" t="str">
        <f t="array" ref="L472">IFERROR(INDEX('Исходник'!$1:$626,MATCH($A472,'Исходник'!$T:$T,0),MATCH(L$1,'Исходник'!$1:$1,0)))</f>
        <v/>
      </c>
      <c r="M472" s="28">
        <f t="shared" si="4"/>
        <v>0</v>
      </c>
      <c r="N472" s="1" t="str">
        <f t="array" ref="N472">IFERROR(INDEX('Исходник'!$1:$626,MATCH($A472,'Исходник'!$T:$T,0),MATCH(N$1,'Исходник'!$1:$1,0)))</f>
        <v/>
      </c>
      <c r="O472" s="27">
        <f t="shared" si="5"/>
        <v>0</v>
      </c>
      <c r="P472" s="27" t="str">
        <f t="shared" si="6"/>
        <v/>
      </c>
      <c r="Q472" s="1" t="str">
        <f t="array" ref="Q472">IFERROR(INDEX('Исходник'!$1:$626,MATCH($A472,'Исходник'!$T:$T,0),MATCH(Q$1,'Исходник'!$1:$1,0)))</f>
        <v/>
      </c>
      <c r="R472" s="1" t="str">
        <f t="array" ref="R472">IFERROR(INDEX('Исходник'!$1:$626,MATCH($A472,'Исходник'!$T:$T,0),MATCH(R$1,'Исходник'!$1:$1,0)))</f>
        <v/>
      </c>
      <c r="S472" s="27">
        <f t="shared" si="7"/>
        <v>0</v>
      </c>
      <c r="T472" s="27" t="str">
        <f t="shared" si="8"/>
        <v/>
      </c>
      <c r="U472" s="1" t="str">
        <f t="array" ref="U472">IFERROR(INDEX('Исходник'!$1:$626,MATCH($A472,'Исходник'!$T:$T,0),MATCH(U$1,'Исходник'!$1:$1,0)))</f>
        <v/>
      </c>
      <c r="V472" s="27" t="str">
        <f t="shared" si="9"/>
        <v/>
      </c>
      <c r="W472" s="1" t="str">
        <f t="array" ref="W472">IFERROR(INDEX('Исходник'!$1:$626,MATCH($A472,'Исходник'!$T:$T,0),MATCH(W$1,'Исходник'!$1:$1,0)))</f>
        <v/>
      </c>
      <c r="X472" s="28">
        <f t="shared" si="10"/>
        <v>0</v>
      </c>
      <c r="Y472" s="1" t="str">
        <f t="array" ref="Y472">IFERROR(INDEX('Исходник'!$1:$626,MATCH($A472,'Исходник'!$T:$T,0),MATCH(Y$1,'Исходник'!$1:$1,0)))</f>
        <v/>
      </c>
      <c r="Z472" s="27">
        <f t="shared" si="11"/>
        <v>0</v>
      </c>
      <c r="AA472" s="27" t="str">
        <f t="shared" si="12"/>
        <v/>
      </c>
      <c r="AB472" s="1" t="str">
        <f t="array" ref="AB472">IFERROR(INDEX('Исходник'!$1:$626,MATCH($A472,'Исходник'!$T:$T,0),MATCH(AB$1,'Исходник'!$1:$1,0)))</f>
        <v/>
      </c>
      <c r="AC472" s="1" t="str">
        <f t="array" ref="AC472">IFERROR(INDEX('Исходник'!$1:$626,MATCH($A472,'Исходник'!$T:$T,0),MATCH(AC$1,'Исходник'!$1:$1,0)))</f>
        <v/>
      </c>
      <c r="AD472" s="27" t="str">
        <f t="shared" si="13"/>
        <v/>
      </c>
      <c r="AE472" s="1" t="str">
        <f t="array" ref="AE472">IFERROR(INDEX('Исходник'!$1:$626,MATCH($A472,'Исходник'!$T:$T,0),MATCH(AE$1,'Исходник'!$1:$1,0)))</f>
        <v/>
      </c>
      <c r="AF472" s="1" t="str">
        <f t="array" ref="AF472">IFERROR(INDEX('Исходник'!$1:$626,MATCH($A472,'Исходник'!$T:$T,0),MATCH(AF$1,'Исходник'!$1:$1,0)))</f>
        <v/>
      </c>
      <c r="AG472" s="27" t="str">
        <f t="shared" si="14"/>
        <v/>
      </c>
      <c r="AH472" s="1" t="str">
        <f t="array" ref="AH472">IFERROR(INDEX('Исходник'!$1:$626,MATCH($A472,'Исходник'!$T:$T,0),MATCH(AH$1,'Исходник'!$1:$1,0)))</f>
        <v/>
      </c>
      <c r="AI472" s="1" t="str">
        <f t="array" ref="AI472">IFERROR(INDEX('Исходник'!$1:$626,MATCH($A472,'Исходник'!$T:$T,0),MATCH(AI$1,'Исходник'!$1:$1,0)))</f>
        <v/>
      </c>
      <c r="AJ472" s="18">
        <f t="shared" si="15"/>
        <v>0</v>
      </c>
    </row>
    <row r="473" ht="15.75" customHeight="1">
      <c r="A473" s="27"/>
      <c r="B473" s="1" t="str">
        <f t="array" ref="B473">IFERROR(INDEX('Исходник'!$1:$626,MATCH($A473,'Исходник'!$T:$T,0),MATCH(B$1,'Исходник'!$1:$1,0)))</f>
        <v/>
      </c>
      <c r="C473" s="1" t="str">
        <f t="array" ref="C473">IFERROR(INDEX('Исходник'!$1:$626,MATCH($A473,'Исходник'!$T:$T,0),MATCH(C$1,'Исходник'!$1:$1,0)))</f>
        <v/>
      </c>
      <c r="D473" s="1" t="str">
        <f t="array" ref="D473">IFERROR(INDEX('Исходник'!$1:$626,MATCH($A473,'Исходник'!$T:$T,0),MATCH(D$1,'Исходник'!$1:$1,0)))</f>
        <v/>
      </c>
      <c r="E473" s="1" t="str">
        <f t="array" ref="E473">IFERROR(INDEX('Исходник'!$1:$626,MATCH($A473,'Исходник'!$T:$T,0),MATCH(E$1,'Исходник'!$1:$1,0)))</f>
        <v/>
      </c>
      <c r="F473" s="1" t="str">
        <f t="array" ref="F473">IFERROR(INDEX('Исходник'!$1:$626,MATCH($A473,'Исходник'!$T:$T,0),MATCH(F$1,'Исходник'!$1:$1,0)))</f>
        <v/>
      </c>
      <c r="G473" s="1" t="str">
        <f t="array" ref="G473">IFERROR(INDEX('Исходник'!$1:$626,MATCH($A473,'Исходник'!$T:$T,0),MATCH(G$1,'Исходник'!$1:$1,0)))</f>
        <v/>
      </c>
      <c r="H473" s="27">
        <f t="shared" si="1"/>
        <v>0</v>
      </c>
      <c r="I473" s="27" t="str">
        <f t="shared" si="2"/>
        <v/>
      </c>
      <c r="J473" s="1" t="str">
        <f t="array" ref="J473">IFERROR(INDEX('Исходник'!$1:$626,MATCH($A473,'Исходник'!$T:$T,0),MATCH(J$1,'Исходник'!$1:$1,0)))</f>
        <v/>
      </c>
      <c r="K473" s="27" t="str">
        <f t="shared" si="3"/>
        <v/>
      </c>
      <c r="L473" s="1" t="str">
        <f t="array" ref="L473">IFERROR(INDEX('Исходник'!$1:$626,MATCH($A473,'Исходник'!$T:$T,0),MATCH(L$1,'Исходник'!$1:$1,0)))</f>
        <v/>
      </c>
      <c r="M473" s="28">
        <f t="shared" si="4"/>
        <v>0</v>
      </c>
      <c r="N473" s="1" t="str">
        <f t="array" ref="N473">IFERROR(INDEX('Исходник'!$1:$626,MATCH($A473,'Исходник'!$T:$T,0),MATCH(N$1,'Исходник'!$1:$1,0)))</f>
        <v/>
      </c>
      <c r="O473" s="27">
        <f t="shared" si="5"/>
        <v>0</v>
      </c>
      <c r="P473" s="27" t="str">
        <f t="shared" si="6"/>
        <v/>
      </c>
      <c r="Q473" s="1" t="str">
        <f t="array" ref="Q473">IFERROR(INDEX('Исходник'!$1:$626,MATCH($A473,'Исходник'!$T:$T,0),MATCH(Q$1,'Исходник'!$1:$1,0)))</f>
        <v/>
      </c>
      <c r="R473" s="1" t="str">
        <f t="array" ref="R473">IFERROR(INDEX('Исходник'!$1:$626,MATCH($A473,'Исходник'!$T:$T,0),MATCH(R$1,'Исходник'!$1:$1,0)))</f>
        <v/>
      </c>
      <c r="S473" s="27">
        <f t="shared" si="7"/>
        <v>0</v>
      </c>
      <c r="T473" s="27" t="str">
        <f t="shared" si="8"/>
        <v/>
      </c>
      <c r="U473" s="1" t="str">
        <f t="array" ref="U473">IFERROR(INDEX('Исходник'!$1:$626,MATCH($A473,'Исходник'!$T:$T,0),MATCH(U$1,'Исходник'!$1:$1,0)))</f>
        <v/>
      </c>
      <c r="V473" s="27" t="str">
        <f t="shared" si="9"/>
        <v/>
      </c>
      <c r="W473" s="1" t="str">
        <f t="array" ref="W473">IFERROR(INDEX('Исходник'!$1:$626,MATCH($A473,'Исходник'!$T:$T,0),MATCH(W$1,'Исходник'!$1:$1,0)))</f>
        <v/>
      </c>
      <c r="X473" s="28">
        <f t="shared" si="10"/>
        <v>0</v>
      </c>
      <c r="Y473" s="1" t="str">
        <f t="array" ref="Y473">IFERROR(INDEX('Исходник'!$1:$626,MATCH($A473,'Исходник'!$T:$T,0),MATCH(Y$1,'Исходник'!$1:$1,0)))</f>
        <v/>
      </c>
      <c r="Z473" s="27">
        <f t="shared" si="11"/>
        <v>0</v>
      </c>
      <c r="AA473" s="27" t="str">
        <f t="shared" si="12"/>
        <v/>
      </c>
      <c r="AB473" s="1" t="str">
        <f t="array" ref="AB473">IFERROR(INDEX('Исходник'!$1:$626,MATCH($A473,'Исходник'!$T:$T,0),MATCH(AB$1,'Исходник'!$1:$1,0)))</f>
        <v/>
      </c>
      <c r="AC473" s="1" t="str">
        <f t="array" ref="AC473">IFERROR(INDEX('Исходник'!$1:$626,MATCH($A473,'Исходник'!$T:$T,0),MATCH(AC$1,'Исходник'!$1:$1,0)))</f>
        <v/>
      </c>
      <c r="AD473" s="27" t="str">
        <f t="shared" si="13"/>
        <v/>
      </c>
      <c r="AE473" s="1" t="str">
        <f t="array" ref="AE473">IFERROR(INDEX('Исходник'!$1:$626,MATCH($A473,'Исходник'!$T:$T,0),MATCH(AE$1,'Исходник'!$1:$1,0)))</f>
        <v/>
      </c>
      <c r="AF473" s="1" t="str">
        <f t="array" ref="AF473">IFERROR(INDEX('Исходник'!$1:$626,MATCH($A473,'Исходник'!$T:$T,0),MATCH(AF$1,'Исходник'!$1:$1,0)))</f>
        <v/>
      </c>
      <c r="AG473" s="27" t="str">
        <f t="shared" si="14"/>
        <v/>
      </c>
      <c r="AH473" s="1" t="str">
        <f t="array" ref="AH473">IFERROR(INDEX('Исходник'!$1:$626,MATCH($A473,'Исходник'!$T:$T,0),MATCH(AH$1,'Исходник'!$1:$1,0)))</f>
        <v/>
      </c>
      <c r="AI473" s="1" t="str">
        <f t="array" ref="AI473">IFERROR(INDEX('Исходник'!$1:$626,MATCH($A473,'Исходник'!$T:$T,0),MATCH(AI$1,'Исходник'!$1:$1,0)))</f>
        <v/>
      </c>
      <c r="AJ473" s="18">
        <f t="shared" si="15"/>
        <v>0</v>
      </c>
    </row>
    <row r="474" ht="15.75" customHeight="1">
      <c r="A474" s="27"/>
      <c r="B474" s="1" t="str">
        <f t="array" ref="B474">IFERROR(INDEX('Исходник'!$1:$626,MATCH($A474,'Исходник'!$T:$T,0),MATCH(B$1,'Исходник'!$1:$1,0)))</f>
        <v/>
      </c>
      <c r="C474" s="1" t="str">
        <f t="array" ref="C474">IFERROR(INDEX('Исходник'!$1:$626,MATCH($A474,'Исходник'!$T:$T,0),MATCH(C$1,'Исходник'!$1:$1,0)))</f>
        <v/>
      </c>
      <c r="D474" s="1" t="str">
        <f t="array" ref="D474">IFERROR(INDEX('Исходник'!$1:$626,MATCH($A474,'Исходник'!$T:$T,0),MATCH(D$1,'Исходник'!$1:$1,0)))</f>
        <v/>
      </c>
      <c r="E474" s="1" t="str">
        <f t="array" ref="E474">IFERROR(INDEX('Исходник'!$1:$626,MATCH($A474,'Исходник'!$T:$T,0),MATCH(E$1,'Исходник'!$1:$1,0)))</f>
        <v/>
      </c>
      <c r="F474" s="1" t="str">
        <f t="array" ref="F474">IFERROR(INDEX('Исходник'!$1:$626,MATCH($A474,'Исходник'!$T:$T,0),MATCH(F$1,'Исходник'!$1:$1,0)))</f>
        <v/>
      </c>
      <c r="G474" s="1" t="str">
        <f t="array" ref="G474">IFERROR(INDEX('Исходник'!$1:$626,MATCH($A474,'Исходник'!$T:$T,0),MATCH(G$1,'Исходник'!$1:$1,0)))</f>
        <v/>
      </c>
      <c r="H474" s="27">
        <f t="shared" si="1"/>
        <v>0</v>
      </c>
      <c r="I474" s="27" t="str">
        <f t="shared" si="2"/>
        <v/>
      </c>
      <c r="J474" s="1" t="str">
        <f t="array" ref="J474">IFERROR(INDEX('Исходник'!$1:$626,MATCH($A474,'Исходник'!$T:$T,0),MATCH(J$1,'Исходник'!$1:$1,0)))</f>
        <v/>
      </c>
      <c r="K474" s="27" t="str">
        <f t="shared" si="3"/>
        <v/>
      </c>
      <c r="L474" s="1" t="str">
        <f t="array" ref="L474">IFERROR(INDEX('Исходник'!$1:$626,MATCH($A474,'Исходник'!$T:$T,0),MATCH(L$1,'Исходник'!$1:$1,0)))</f>
        <v/>
      </c>
      <c r="M474" s="28">
        <f t="shared" si="4"/>
        <v>0</v>
      </c>
      <c r="N474" s="1" t="str">
        <f t="array" ref="N474">IFERROR(INDEX('Исходник'!$1:$626,MATCH($A474,'Исходник'!$T:$T,0),MATCH(N$1,'Исходник'!$1:$1,0)))</f>
        <v/>
      </c>
      <c r="O474" s="27">
        <f t="shared" si="5"/>
        <v>0</v>
      </c>
      <c r="P474" s="27" t="str">
        <f t="shared" si="6"/>
        <v/>
      </c>
      <c r="Q474" s="1" t="str">
        <f t="array" ref="Q474">IFERROR(INDEX('Исходник'!$1:$626,MATCH($A474,'Исходник'!$T:$T,0),MATCH(Q$1,'Исходник'!$1:$1,0)))</f>
        <v/>
      </c>
      <c r="R474" s="1" t="str">
        <f t="array" ref="R474">IFERROR(INDEX('Исходник'!$1:$626,MATCH($A474,'Исходник'!$T:$T,0),MATCH(R$1,'Исходник'!$1:$1,0)))</f>
        <v/>
      </c>
      <c r="S474" s="27">
        <f t="shared" si="7"/>
        <v>0</v>
      </c>
      <c r="T474" s="27" t="str">
        <f t="shared" si="8"/>
        <v/>
      </c>
      <c r="U474" s="1" t="str">
        <f t="array" ref="U474">IFERROR(INDEX('Исходник'!$1:$626,MATCH($A474,'Исходник'!$T:$T,0),MATCH(U$1,'Исходник'!$1:$1,0)))</f>
        <v/>
      </c>
      <c r="V474" s="27" t="str">
        <f t="shared" si="9"/>
        <v/>
      </c>
      <c r="W474" s="1" t="str">
        <f t="array" ref="W474">IFERROR(INDEX('Исходник'!$1:$626,MATCH($A474,'Исходник'!$T:$T,0),MATCH(W$1,'Исходник'!$1:$1,0)))</f>
        <v/>
      </c>
      <c r="X474" s="28">
        <f t="shared" si="10"/>
        <v>0</v>
      </c>
      <c r="Y474" s="1" t="str">
        <f t="array" ref="Y474">IFERROR(INDEX('Исходник'!$1:$626,MATCH($A474,'Исходник'!$T:$T,0),MATCH(Y$1,'Исходник'!$1:$1,0)))</f>
        <v/>
      </c>
      <c r="Z474" s="27">
        <f t="shared" si="11"/>
        <v>0</v>
      </c>
      <c r="AA474" s="27" t="str">
        <f t="shared" si="12"/>
        <v/>
      </c>
      <c r="AB474" s="1" t="str">
        <f t="array" ref="AB474">IFERROR(INDEX('Исходник'!$1:$626,MATCH($A474,'Исходник'!$T:$T,0),MATCH(AB$1,'Исходник'!$1:$1,0)))</f>
        <v/>
      </c>
      <c r="AC474" s="1" t="str">
        <f t="array" ref="AC474">IFERROR(INDEX('Исходник'!$1:$626,MATCH($A474,'Исходник'!$T:$T,0),MATCH(AC$1,'Исходник'!$1:$1,0)))</f>
        <v/>
      </c>
      <c r="AD474" s="27" t="str">
        <f t="shared" si="13"/>
        <v/>
      </c>
      <c r="AE474" s="1" t="str">
        <f t="array" ref="AE474">IFERROR(INDEX('Исходник'!$1:$626,MATCH($A474,'Исходник'!$T:$T,0),MATCH(AE$1,'Исходник'!$1:$1,0)))</f>
        <v/>
      </c>
      <c r="AF474" s="1" t="str">
        <f t="array" ref="AF474">IFERROR(INDEX('Исходник'!$1:$626,MATCH($A474,'Исходник'!$T:$T,0),MATCH(AF$1,'Исходник'!$1:$1,0)))</f>
        <v/>
      </c>
      <c r="AG474" s="27" t="str">
        <f t="shared" si="14"/>
        <v/>
      </c>
      <c r="AH474" s="1" t="str">
        <f t="array" ref="AH474">IFERROR(INDEX('Исходник'!$1:$626,MATCH($A474,'Исходник'!$T:$T,0),MATCH(AH$1,'Исходник'!$1:$1,0)))</f>
        <v/>
      </c>
      <c r="AI474" s="1" t="str">
        <f t="array" ref="AI474">IFERROR(INDEX('Исходник'!$1:$626,MATCH($A474,'Исходник'!$T:$T,0),MATCH(AI$1,'Исходник'!$1:$1,0)))</f>
        <v/>
      </c>
      <c r="AJ474" s="18">
        <f t="shared" si="15"/>
        <v>0</v>
      </c>
    </row>
    <row r="475" ht="15.75" customHeight="1">
      <c r="A475" s="27"/>
      <c r="B475" s="1" t="str">
        <f t="array" ref="B475">IFERROR(INDEX('Исходник'!$1:$626,MATCH($A475,'Исходник'!$T:$T,0),MATCH(B$1,'Исходник'!$1:$1,0)))</f>
        <v/>
      </c>
      <c r="C475" s="1" t="str">
        <f t="array" ref="C475">IFERROR(INDEX('Исходник'!$1:$626,MATCH($A475,'Исходник'!$T:$T,0),MATCH(C$1,'Исходник'!$1:$1,0)))</f>
        <v/>
      </c>
      <c r="D475" s="1" t="str">
        <f t="array" ref="D475">IFERROR(INDEX('Исходник'!$1:$626,MATCH($A475,'Исходник'!$T:$T,0),MATCH(D$1,'Исходник'!$1:$1,0)))</f>
        <v/>
      </c>
      <c r="E475" s="1" t="str">
        <f t="array" ref="E475">IFERROR(INDEX('Исходник'!$1:$626,MATCH($A475,'Исходник'!$T:$T,0),MATCH(E$1,'Исходник'!$1:$1,0)))</f>
        <v/>
      </c>
      <c r="F475" s="1" t="str">
        <f t="array" ref="F475">IFERROR(INDEX('Исходник'!$1:$626,MATCH($A475,'Исходник'!$T:$T,0),MATCH(F$1,'Исходник'!$1:$1,0)))</f>
        <v/>
      </c>
      <c r="G475" s="1" t="str">
        <f t="array" ref="G475">IFERROR(INDEX('Исходник'!$1:$626,MATCH($A475,'Исходник'!$T:$T,0),MATCH(G$1,'Исходник'!$1:$1,0)))</f>
        <v/>
      </c>
      <c r="H475" s="27">
        <f t="shared" si="1"/>
        <v>0</v>
      </c>
      <c r="I475" s="27" t="str">
        <f t="shared" si="2"/>
        <v/>
      </c>
      <c r="J475" s="1" t="str">
        <f t="array" ref="J475">IFERROR(INDEX('Исходник'!$1:$626,MATCH($A475,'Исходник'!$T:$T,0),MATCH(J$1,'Исходник'!$1:$1,0)))</f>
        <v/>
      </c>
      <c r="K475" s="27" t="str">
        <f t="shared" si="3"/>
        <v/>
      </c>
      <c r="L475" s="1" t="str">
        <f t="array" ref="L475">IFERROR(INDEX('Исходник'!$1:$626,MATCH($A475,'Исходник'!$T:$T,0),MATCH(L$1,'Исходник'!$1:$1,0)))</f>
        <v/>
      </c>
      <c r="M475" s="28">
        <f t="shared" si="4"/>
        <v>0</v>
      </c>
      <c r="N475" s="1" t="str">
        <f t="array" ref="N475">IFERROR(INDEX('Исходник'!$1:$626,MATCH($A475,'Исходник'!$T:$T,0),MATCH(N$1,'Исходник'!$1:$1,0)))</f>
        <v/>
      </c>
      <c r="O475" s="27">
        <f t="shared" si="5"/>
        <v>0</v>
      </c>
      <c r="P475" s="27" t="str">
        <f t="shared" si="6"/>
        <v/>
      </c>
      <c r="Q475" s="1" t="str">
        <f t="array" ref="Q475">IFERROR(INDEX('Исходник'!$1:$626,MATCH($A475,'Исходник'!$T:$T,0),MATCH(Q$1,'Исходник'!$1:$1,0)))</f>
        <v/>
      </c>
      <c r="R475" s="1" t="str">
        <f t="array" ref="R475">IFERROR(INDEX('Исходник'!$1:$626,MATCH($A475,'Исходник'!$T:$T,0),MATCH(R$1,'Исходник'!$1:$1,0)))</f>
        <v/>
      </c>
      <c r="S475" s="27">
        <f t="shared" si="7"/>
        <v>0</v>
      </c>
      <c r="T475" s="27" t="str">
        <f t="shared" si="8"/>
        <v/>
      </c>
      <c r="U475" s="1" t="str">
        <f t="array" ref="U475">IFERROR(INDEX('Исходник'!$1:$626,MATCH($A475,'Исходник'!$T:$T,0),MATCH(U$1,'Исходник'!$1:$1,0)))</f>
        <v/>
      </c>
      <c r="V475" s="27" t="str">
        <f t="shared" si="9"/>
        <v/>
      </c>
      <c r="W475" s="1" t="str">
        <f t="array" ref="W475">IFERROR(INDEX('Исходник'!$1:$626,MATCH($A475,'Исходник'!$T:$T,0),MATCH(W$1,'Исходник'!$1:$1,0)))</f>
        <v/>
      </c>
      <c r="X475" s="28">
        <f t="shared" si="10"/>
        <v>0</v>
      </c>
      <c r="Y475" s="1" t="str">
        <f t="array" ref="Y475">IFERROR(INDEX('Исходник'!$1:$626,MATCH($A475,'Исходник'!$T:$T,0),MATCH(Y$1,'Исходник'!$1:$1,0)))</f>
        <v/>
      </c>
      <c r="Z475" s="27">
        <f t="shared" si="11"/>
        <v>0</v>
      </c>
      <c r="AA475" s="27" t="str">
        <f t="shared" si="12"/>
        <v/>
      </c>
      <c r="AB475" s="1" t="str">
        <f t="array" ref="AB475">IFERROR(INDEX('Исходник'!$1:$626,MATCH($A475,'Исходник'!$T:$T,0),MATCH(AB$1,'Исходник'!$1:$1,0)))</f>
        <v/>
      </c>
      <c r="AC475" s="1" t="str">
        <f t="array" ref="AC475">IFERROR(INDEX('Исходник'!$1:$626,MATCH($A475,'Исходник'!$T:$T,0),MATCH(AC$1,'Исходник'!$1:$1,0)))</f>
        <v/>
      </c>
      <c r="AD475" s="27" t="str">
        <f t="shared" si="13"/>
        <v/>
      </c>
      <c r="AE475" s="1" t="str">
        <f t="array" ref="AE475">IFERROR(INDEX('Исходник'!$1:$626,MATCH($A475,'Исходник'!$T:$T,0),MATCH(AE$1,'Исходник'!$1:$1,0)))</f>
        <v/>
      </c>
      <c r="AF475" s="1" t="str">
        <f t="array" ref="AF475">IFERROR(INDEX('Исходник'!$1:$626,MATCH($A475,'Исходник'!$T:$T,0),MATCH(AF$1,'Исходник'!$1:$1,0)))</f>
        <v/>
      </c>
      <c r="AG475" s="27" t="str">
        <f t="shared" si="14"/>
        <v/>
      </c>
      <c r="AH475" s="1" t="str">
        <f t="array" ref="AH475">IFERROR(INDEX('Исходник'!$1:$626,MATCH($A475,'Исходник'!$T:$T,0),MATCH(AH$1,'Исходник'!$1:$1,0)))</f>
        <v/>
      </c>
      <c r="AI475" s="1" t="str">
        <f t="array" ref="AI475">IFERROR(INDEX('Исходник'!$1:$626,MATCH($A475,'Исходник'!$T:$T,0),MATCH(AI$1,'Исходник'!$1:$1,0)))</f>
        <v/>
      </c>
      <c r="AJ475" s="18">
        <f t="shared" si="15"/>
        <v>0</v>
      </c>
    </row>
    <row r="476" ht="15.75" customHeight="1">
      <c r="A476" s="27"/>
      <c r="B476" s="1" t="str">
        <f t="array" ref="B476">IFERROR(INDEX('Исходник'!$1:$626,MATCH($A476,'Исходник'!$T:$T,0),MATCH(B$1,'Исходник'!$1:$1,0)))</f>
        <v/>
      </c>
      <c r="C476" s="1" t="str">
        <f t="array" ref="C476">IFERROR(INDEX('Исходник'!$1:$626,MATCH($A476,'Исходник'!$T:$T,0),MATCH(C$1,'Исходник'!$1:$1,0)))</f>
        <v/>
      </c>
      <c r="D476" s="1" t="str">
        <f t="array" ref="D476">IFERROR(INDEX('Исходник'!$1:$626,MATCH($A476,'Исходник'!$T:$T,0),MATCH(D$1,'Исходник'!$1:$1,0)))</f>
        <v/>
      </c>
      <c r="E476" s="1" t="str">
        <f t="array" ref="E476">IFERROR(INDEX('Исходник'!$1:$626,MATCH($A476,'Исходник'!$T:$T,0),MATCH(E$1,'Исходник'!$1:$1,0)))</f>
        <v/>
      </c>
      <c r="F476" s="1" t="str">
        <f t="array" ref="F476">IFERROR(INDEX('Исходник'!$1:$626,MATCH($A476,'Исходник'!$T:$T,0),MATCH(F$1,'Исходник'!$1:$1,0)))</f>
        <v/>
      </c>
      <c r="G476" s="1" t="str">
        <f t="array" ref="G476">IFERROR(INDEX('Исходник'!$1:$626,MATCH($A476,'Исходник'!$T:$T,0),MATCH(G$1,'Исходник'!$1:$1,0)))</f>
        <v/>
      </c>
      <c r="H476" s="27">
        <f t="shared" si="1"/>
        <v>0</v>
      </c>
      <c r="I476" s="27" t="str">
        <f t="shared" si="2"/>
        <v/>
      </c>
      <c r="J476" s="1" t="str">
        <f t="array" ref="J476">IFERROR(INDEX('Исходник'!$1:$626,MATCH($A476,'Исходник'!$T:$T,0),MATCH(J$1,'Исходник'!$1:$1,0)))</f>
        <v/>
      </c>
      <c r="K476" s="27" t="str">
        <f t="shared" si="3"/>
        <v/>
      </c>
      <c r="L476" s="1" t="str">
        <f t="array" ref="L476">IFERROR(INDEX('Исходник'!$1:$626,MATCH($A476,'Исходник'!$T:$T,0),MATCH(L$1,'Исходник'!$1:$1,0)))</f>
        <v/>
      </c>
      <c r="M476" s="28">
        <f t="shared" si="4"/>
        <v>0</v>
      </c>
      <c r="N476" s="1" t="str">
        <f t="array" ref="N476">IFERROR(INDEX('Исходник'!$1:$626,MATCH($A476,'Исходник'!$T:$T,0),MATCH(N$1,'Исходник'!$1:$1,0)))</f>
        <v/>
      </c>
      <c r="O476" s="27">
        <f t="shared" si="5"/>
        <v>0</v>
      </c>
      <c r="P476" s="27" t="str">
        <f t="shared" si="6"/>
        <v/>
      </c>
      <c r="Q476" s="1" t="str">
        <f t="array" ref="Q476">IFERROR(INDEX('Исходник'!$1:$626,MATCH($A476,'Исходник'!$T:$T,0),MATCH(Q$1,'Исходник'!$1:$1,0)))</f>
        <v/>
      </c>
      <c r="R476" s="1" t="str">
        <f t="array" ref="R476">IFERROR(INDEX('Исходник'!$1:$626,MATCH($A476,'Исходник'!$T:$T,0),MATCH(R$1,'Исходник'!$1:$1,0)))</f>
        <v/>
      </c>
      <c r="S476" s="27">
        <f t="shared" si="7"/>
        <v>0</v>
      </c>
      <c r="T476" s="27" t="str">
        <f t="shared" si="8"/>
        <v/>
      </c>
      <c r="U476" s="1" t="str">
        <f t="array" ref="U476">IFERROR(INDEX('Исходник'!$1:$626,MATCH($A476,'Исходник'!$T:$T,0),MATCH(U$1,'Исходник'!$1:$1,0)))</f>
        <v/>
      </c>
      <c r="V476" s="27" t="str">
        <f t="shared" si="9"/>
        <v/>
      </c>
      <c r="W476" s="1" t="str">
        <f t="array" ref="W476">IFERROR(INDEX('Исходник'!$1:$626,MATCH($A476,'Исходник'!$T:$T,0),MATCH(W$1,'Исходник'!$1:$1,0)))</f>
        <v/>
      </c>
      <c r="X476" s="28">
        <f t="shared" si="10"/>
        <v>0</v>
      </c>
      <c r="Y476" s="1" t="str">
        <f t="array" ref="Y476">IFERROR(INDEX('Исходник'!$1:$626,MATCH($A476,'Исходник'!$T:$T,0),MATCH(Y$1,'Исходник'!$1:$1,0)))</f>
        <v/>
      </c>
      <c r="Z476" s="27">
        <f t="shared" si="11"/>
        <v>0</v>
      </c>
      <c r="AA476" s="27" t="str">
        <f t="shared" si="12"/>
        <v/>
      </c>
      <c r="AB476" s="1" t="str">
        <f t="array" ref="AB476">IFERROR(INDEX('Исходник'!$1:$626,MATCH($A476,'Исходник'!$T:$T,0),MATCH(AB$1,'Исходник'!$1:$1,0)))</f>
        <v/>
      </c>
      <c r="AC476" s="1" t="str">
        <f t="array" ref="AC476">IFERROR(INDEX('Исходник'!$1:$626,MATCH($A476,'Исходник'!$T:$T,0),MATCH(AC$1,'Исходник'!$1:$1,0)))</f>
        <v/>
      </c>
      <c r="AD476" s="27" t="str">
        <f t="shared" si="13"/>
        <v/>
      </c>
      <c r="AE476" s="1" t="str">
        <f t="array" ref="AE476">IFERROR(INDEX('Исходник'!$1:$626,MATCH($A476,'Исходник'!$T:$T,0),MATCH(AE$1,'Исходник'!$1:$1,0)))</f>
        <v/>
      </c>
      <c r="AF476" s="1" t="str">
        <f t="array" ref="AF476">IFERROR(INDEX('Исходник'!$1:$626,MATCH($A476,'Исходник'!$T:$T,0),MATCH(AF$1,'Исходник'!$1:$1,0)))</f>
        <v/>
      </c>
      <c r="AG476" s="27" t="str">
        <f t="shared" si="14"/>
        <v/>
      </c>
      <c r="AH476" s="1" t="str">
        <f t="array" ref="AH476">IFERROR(INDEX('Исходник'!$1:$626,MATCH($A476,'Исходник'!$T:$T,0),MATCH(AH$1,'Исходник'!$1:$1,0)))</f>
        <v/>
      </c>
      <c r="AI476" s="1" t="str">
        <f t="array" ref="AI476">IFERROR(INDEX('Исходник'!$1:$626,MATCH($A476,'Исходник'!$T:$T,0),MATCH(AI$1,'Исходник'!$1:$1,0)))</f>
        <v/>
      </c>
      <c r="AJ476" s="18">
        <f t="shared" si="15"/>
        <v>0</v>
      </c>
    </row>
    <row r="477" ht="15.75" customHeight="1">
      <c r="A477" s="27"/>
      <c r="B477" s="1" t="str">
        <f t="array" ref="B477">IFERROR(INDEX('Исходник'!$1:$626,MATCH($A477,'Исходник'!$T:$T,0),MATCH(B$1,'Исходник'!$1:$1,0)))</f>
        <v/>
      </c>
      <c r="C477" s="1" t="str">
        <f t="array" ref="C477">IFERROR(INDEX('Исходник'!$1:$626,MATCH($A477,'Исходник'!$T:$T,0),MATCH(C$1,'Исходник'!$1:$1,0)))</f>
        <v/>
      </c>
      <c r="D477" s="1" t="str">
        <f t="array" ref="D477">IFERROR(INDEX('Исходник'!$1:$626,MATCH($A477,'Исходник'!$T:$T,0),MATCH(D$1,'Исходник'!$1:$1,0)))</f>
        <v/>
      </c>
      <c r="E477" s="1" t="str">
        <f t="array" ref="E477">IFERROR(INDEX('Исходник'!$1:$626,MATCH($A477,'Исходник'!$T:$T,0),MATCH(E$1,'Исходник'!$1:$1,0)))</f>
        <v/>
      </c>
      <c r="F477" s="1" t="str">
        <f t="array" ref="F477">IFERROR(INDEX('Исходник'!$1:$626,MATCH($A477,'Исходник'!$T:$T,0),MATCH(F$1,'Исходник'!$1:$1,0)))</f>
        <v/>
      </c>
      <c r="G477" s="1" t="str">
        <f t="array" ref="G477">IFERROR(INDEX('Исходник'!$1:$626,MATCH($A477,'Исходник'!$T:$T,0),MATCH(G$1,'Исходник'!$1:$1,0)))</f>
        <v/>
      </c>
      <c r="H477" s="27">
        <f t="shared" si="1"/>
        <v>0</v>
      </c>
      <c r="I477" s="27" t="str">
        <f t="shared" si="2"/>
        <v/>
      </c>
      <c r="J477" s="1" t="str">
        <f t="array" ref="J477">IFERROR(INDEX('Исходник'!$1:$626,MATCH($A477,'Исходник'!$T:$T,0),MATCH(J$1,'Исходник'!$1:$1,0)))</f>
        <v/>
      </c>
      <c r="K477" s="27" t="str">
        <f t="shared" si="3"/>
        <v/>
      </c>
      <c r="L477" s="1" t="str">
        <f t="array" ref="L477">IFERROR(INDEX('Исходник'!$1:$626,MATCH($A477,'Исходник'!$T:$T,0),MATCH(L$1,'Исходник'!$1:$1,0)))</f>
        <v/>
      </c>
      <c r="M477" s="28">
        <f t="shared" si="4"/>
        <v>0</v>
      </c>
      <c r="N477" s="1" t="str">
        <f t="array" ref="N477">IFERROR(INDEX('Исходник'!$1:$626,MATCH($A477,'Исходник'!$T:$T,0),MATCH(N$1,'Исходник'!$1:$1,0)))</f>
        <v/>
      </c>
      <c r="O477" s="27">
        <f t="shared" si="5"/>
        <v>0</v>
      </c>
      <c r="P477" s="27" t="str">
        <f t="shared" si="6"/>
        <v/>
      </c>
      <c r="Q477" s="1" t="str">
        <f t="array" ref="Q477">IFERROR(INDEX('Исходник'!$1:$626,MATCH($A477,'Исходник'!$T:$T,0),MATCH(Q$1,'Исходник'!$1:$1,0)))</f>
        <v/>
      </c>
      <c r="R477" s="1" t="str">
        <f t="array" ref="R477">IFERROR(INDEX('Исходник'!$1:$626,MATCH($A477,'Исходник'!$T:$T,0),MATCH(R$1,'Исходник'!$1:$1,0)))</f>
        <v/>
      </c>
      <c r="S477" s="27">
        <f t="shared" si="7"/>
        <v>0</v>
      </c>
      <c r="T477" s="27" t="str">
        <f t="shared" si="8"/>
        <v/>
      </c>
      <c r="U477" s="1" t="str">
        <f t="array" ref="U477">IFERROR(INDEX('Исходник'!$1:$626,MATCH($A477,'Исходник'!$T:$T,0),MATCH(U$1,'Исходник'!$1:$1,0)))</f>
        <v/>
      </c>
      <c r="V477" s="27" t="str">
        <f t="shared" si="9"/>
        <v/>
      </c>
      <c r="W477" s="1" t="str">
        <f t="array" ref="W477">IFERROR(INDEX('Исходник'!$1:$626,MATCH($A477,'Исходник'!$T:$T,0),MATCH(W$1,'Исходник'!$1:$1,0)))</f>
        <v/>
      </c>
      <c r="X477" s="28">
        <f t="shared" si="10"/>
        <v>0</v>
      </c>
      <c r="Y477" s="1" t="str">
        <f t="array" ref="Y477">IFERROR(INDEX('Исходник'!$1:$626,MATCH($A477,'Исходник'!$T:$T,0),MATCH(Y$1,'Исходник'!$1:$1,0)))</f>
        <v/>
      </c>
      <c r="Z477" s="27">
        <f t="shared" si="11"/>
        <v>0</v>
      </c>
      <c r="AA477" s="27" t="str">
        <f t="shared" si="12"/>
        <v/>
      </c>
      <c r="AB477" s="1" t="str">
        <f t="array" ref="AB477">IFERROR(INDEX('Исходник'!$1:$626,MATCH($A477,'Исходник'!$T:$T,0),MATCH(AB$1,'Исходник'!$1:$1,0)))</f>
        <v/>
      </c>
      <c r="AC477" s="1" t="str">
        <f t="array" ref="AC477">IFERROR(INDEX('Исходник'!$1:$626,MATCH($A477,'Исходник'!$T:$T,0),MATCH(AC$1,'Исходник'!$1:$1,0)))</f>
        <v/>
      </c>
      <c r="AD477" s="27" t="str">
        <f t="shared" si="13"/>
        <v/>
      </c>
      <c r="AE477" s="1" t="str">
        <f t="array" ref="AE477">IFERROR(INDEX('Исходник'!$1:$626,MATCH($A477,'Исходник'!$T:$T,0),MATCH(AE$1,'Исходник'!$1:$1,0)))</f>
        <v/>
      </c>
      <c r="AF477" s="1" t="str">
        <f t="array" ref="AF477">IFERROR(INDEX('Исходник'!$1:$626,MATCH($A477,'Исходник'!$T:$T,0),MATCH(AF$1,'Исходник'!$1:$1,0)))</f>
        <v/>
      </c>
      <c r="AG477" s="27" t="str">
        <f t="shared" si="14"/>
        <v/>
      </c>
      <c r="AH477" s="1" t="str">
        <f t="array" ref="AH477">IFERROR(INDEX('Исходник'!$1:$626,MATCH($A477,'Исходник'!$T:$T,0),MATCH(AH$1,'Исходник'!$1:$1,0)))</f>
        <v/>
      </c>
      <c r="AI477" s="1" t="str">
        <f t="array" ref="AI477">IFERROR(INDEX('Исходник'!$1:$626,MATCH($A477,'Исходник'!$T:$T,0),MATCH(AI$1,'Исходник'!$1:$1,0)))</f>
        <v/>
      </c>
      <c r="AJ477" s="18">
        <f t="shared" si="15"/>
        <v>0</v>
      </c>
    </row>
    <row r="478" ht="15.75" customHeight="1">
      <c r="A478" s="27"/>
      <c r="B478" s="1" t="str">
        <f t="array" ref="B478">IFERROR(INDEX('Исходник'!$1:$626,MATCH($A478,'Исходник'!$T:$T,0),MATCH(B$1,'Исходник'!$1:$1,0)))</f>
        <v/>
      </c>
      <c r="C478" s="1" t="str">
        <f t="array" ref="C478">IFERROR(INDEX('Исходник'!$1:$626,MATCH($A478,'Исходник'!$T:$T,0),MATCH(C$1,'Исходник'!$1:$1,0)))</f>
        <v/>
      </c>
      <c r="D478" s="1" t="str">
        <f t="array" ref="D478">IFERROR(INDEX('Исходник'!$1:$626,MATCH($A478,'Исходник'!$T:$T,0),MATCH(D$1,'Исходник'!$1:$1,0)))</f>
        <v/>
      </c>
      <c r="E478" s="1" t="str">
        <f t="array" ref="E478">IFERROR(INDEX('Исходник'!$1:$626,MATCH($A478,'Исходник'!$T:$T,0),MATCH(E$1,'Исходник'!$1:$1,0)))</f>
        <v/>
      </c>
      <c r="F478" s="1" t="str">
        <f t="array" ref="F478">IFERROR(INDEX('Исходник'!$1:$626,MATCH($A478,'Исходник'!$T:$T,0),MATCH(F$1,'Исходник'!$1:$1,0)))</f>
        <v/>
      </c>
      <c r="G478" s="1" t="str">
        <f t="array" ref="G478">IFERROR(INDEX('Исходник'!$1:$626,MATCH($A478,'Исходник'!$T:$T,0),MATCH(G$1,'Исходник'!$1:$1,0)))</f>
        <v/>
      </c>
      <c r="H478" s="27">
        <f t="shared" si="1"/>
        <v>0</v>
      </c>
      <c r="I478" s="27" t="str">
        <f t="shared" si="2"/>
        <v/>
      </c>
      <c r="J478" s="1" t="str">
        <f t="array" ref="J478">IFERROR(INDEX('Исходник'!$1:$626,MATCH($A478,'Исходник'!$T:$T,0),MATCH(J$1,'Исходник'!$1:$1,0)))</f>
        <v/>
      </c>
      <c r="K478" s="27" t="str">
        <f t="shared" si="3"/>
        <v/>
      </c>
      <c r="L478" s="1" t="str">
        <f t="array" ref="L478">IFERROR(INDEX('Исходник'!$1:$626,MATCH($A478,'Исходник'!$T:$T,0),MATCH(L$1,'Исходник'!$1:$1,0)))</f>
        <v/>
      </c>
      <c r="M478" s="28">
        <f t="shared" si="4"/>
        <v>0</v>
      </c>
      <c r="N478" s="1" t="str">
        <f t="array" ref="N478">IFERROR(INDEX('Исходник'!$1:$626,MATCH($A478,'Исходник'!$T:$T,0),MATCH(N$1,'Исходник'!$1:$1,0)))</f>
        <v/>
      </c>
      <c r="O478" s="27">
        <f t="shared" si="5"/>
        <v>0</v>
      </c>
      <c r="P478" s="27" t="str">
        <f t="shared" si="6"/>
        <v/>
      </c>
      <c r="Q478" s="1" t="str">
        <f t="array" ref="Q478">IFERROR(INDEX('Исходник'!$1:$626,MATCH($A478,'Исходник'!$T:$T,0),MATCH(Q$1,'Исходник'!$1:$1,0)))</f>
        <v/>
      </c>
      <c r="R478" s="1" t="str">
        <f t="array" ref="R478">IFERROR(INDEX('Исходник'!$1:$626,MATCH($A478,'Исходник'!$T:$T,0),MATCH(R$1,'Исходник'!$1:$1,0)))</f>
        <v/>
      </c>
      <c r="S478" s="27">
        <f t="shared" si="7"/>
        <v>0</v>
      </c>
      <c r="T478" s="27" t="str">
        <f t="shared" si="8"/>
        <v/>
      </c>
      <c r="U478" s="1" t="str">
        <f t="array" ref="U478">IFERROR(INDEX('Исходник'!$1:$626,MATCH($A478,'Исходник'!$T:$T,0),MATCH(U$1,'Исходник'!$1:$1,0)))</f>
        <v/>
      </c>
      <c r="V478" s="27" t="str">
        <f t="shared" si="9"/>
        <v/>
      </c>
      <c r="W478" s="1" t="str">
        <f t="array" ref="W478">IFERROR(INDEX('Исходник'!$1:$626,MATCH($A478,'Исходник'!$T:$T,0),MATCH(W$1,'Исходник'!$1:$1,0)))</f>
        <v/>
      </c>
      <c r="X478" s="28">
        <f t="shared" si="10"/>
        <v>0</v>
      </c>
      <c r="Y478" s="1" t="str">
        <f t="array" ref="Y478">IFERROR(INDEX('Исходник'!$1:$626,MATCH($A478,'Исходник'!$T:$T,0),MATCH(Y$1,'Исходник'!$1:$1,0)))</f>
        <v/>
      </c>
      <c r="Z478" s="27">
        <f t="shared" si="11"/>
        <v>0</v>
      </c>
      <c r="AA478" s="27" t="str">
        <f t="shared" si="12"/>
        <v/>
      </c>
      <c r="AB478" s="1" t="str">
        <f t="array" ref="AB478">IFERROR(INDEX('Исходник'!$1:$626,MATCH($A478,'Исходник'!$T:$T,0),MATCH(AB$1,'Исходник'!$1:$1,0)))</f>
        <v/>
      </c>
      <c r="AC478" s="1" t="str">
        <f t="array" ref="AC478">IFERROR(INDEX('Исходник'!$1:$626,MATCH($A478,'Исходник'!$T:$T,0),MATCH(AC$1,'Исходник'!$1:$1,0)))</f>
        <v/>
      </c>
      <c r="AD478" s="27" t="str">
        <f t="shared" si="13"/>
        <v/>
      </c>
      <c r="AE478" s="1" t="str">
        <f t="array" ref="AE478">IFERROR(INDEX('Исходник'!$1:$626,MATCH($A478,'Исходник'!$T:$T,0),MATCH(AE$1,'Исходник'!$1:$1,0)))</f>
        <v/>
      </c>
      <c r="AF478" s="1" t="str">
        <f t="array" ref="AF478">IFERROR(INDEX('Исходник'!$1:$626,MATCH($A478,'Исходник'!$T:$T,0),MATCH(AF$1,'Исходник'!$1:$1,0)))</f>
        <v/>
      </c>
      <c r="AG478" s="27" t="str">
        <f t="shared" si="14"/>
        <v/>
      </c>
      <c r="AH478" s="1" t="str">
        <f t="array" ref="AH478">IFERROR(INDEX('Исходник'!$1:$626,MATCH($A478,'Исходник'!$T:$T,0),MATCH(AH$1,'Исходник'!$1:$1,0)))</f>
        <v/>
      </c>
      <c r="AI478" s="1" t="str">
        <f t="array" ref="AI478">IFERROR(INDEX('Исходник'!$1:$626,MATCH($A478,'Исходник'!$T:$T,0),MATCH(AI$1,'Исходник'!$1:$1,0)))</f>
        <v/>
      </c>
      <c r="AJ478" s="18">
        <f t="shared" si="15"/>
        <v>0</v>
      </c>
    </row>
    <row r="479" ht="15.75" customHeight="1">
      <c r="A479" s="27"/>
      <c r="B479" s="1" t="str">
        <f t="array" ref="B479">IFERROR(INDEX('Исходник'!$1:$626,MATCH($A479,'Исходник'!$T:$T,0),MATCH(B$1,'Исходник'!$1:$1,0)))</f>
        <v/>
      </c>
      <c r="C479" s="1" t="str">
        <f t="array" ref="C479">IFERROR(INDEX('Исходник'!$1:$626,MATCH($A479,'Исходник'!$T:$T,0),MATCH(C$1,'Исходник'!$1:$1,0)))</f>
        <v/>
      </c>
      <c r="D479" s="1" t="str">
        <f t="array" ref="D479">IFERROR(INDEX('Исходник'!$1:$626,MATCH($A479,'Исходник'!$T:$T,0),MATCH(D$1,'Исходник'!$1:$1,0)))</f>
        <v/>
      </c>
      <c r="E479" s="1" t="str">
        <f t="array" ref="E479">IFERROR(INDEX('Исходник'!$1:$626,MATCH($A479,'Исходник'!$T:$T,0),MATCH(E$1,'Исходник'!$1:$1,0)))</f>
        <v/>
      </c>
      <c r="F479" s="1" t="str">
        <f t="array" ref="F479">IFERROR(INDEX('Исходник'!$1:$626,MATCH($A479,'Исходник'!$T:$T,0),MATCH(F$1,'Исходник'!$1:$1,0)))</f>
        <v/>
      </c>
      <c r="G479" s="1" t="str">
        <f t="array" ref="G479">IFERROR(INDEX('Исходник'!$1:$626,MATCH($A479,'Исходник'!$T:$T,0),MATCH(G$1,'Исходник'!$1:$1,0)))</f>
        <v/>
      </c>
      <c r="H479" s="27">
        <f t="shared" si="1"/>
        <v>0</v>
      </c>
      <c r="I479" s="27" t="str">
        <f t="shared" si="2"/>
        <v/>
      </c>
      <c r="J479" s="1" t="str">
        <f t="array" ref="J479">IFERROR(INDEX('Исходник'!$1:$626,MATCH($A479,'Исходник'!$T:$T,0),MATCH(J$1,'Исходник'!$1:$1,0)))</f>
        <v/>
      </c>
      <c r="K479" s="27" t="str">
        <f t="shared" si="3"/>
        <v/>
      </c>
      <c r="L479" s="1" t="str">
        <f t="array" ref="L479">IFERROR(INDEX('Исходник'!$1:$626,MATCH($A479,'Исходник'!$T:$T,0),MATCH(L$1,'Исходник'!$1:$1,0)))</f>
        <v/>
      </c>
      <c r="M479" s="28">
        <f t="shared" si="4"/>
        <v>0</v>
      </c>
      <c r="N479" s="1" t="str">
        <f t="array" ref="N479">IFERROR(INDEX('Исходник'!$1:$626,MATCH($A479,'Исходник'!$T:$T,0),MATCH(N$1,'Исходник'!$1:$1,0)))</f>
        <v/>
      </c>
      <c r="O479" s="27">
        <f t="shared" si="5"/>
        <v>0</v>
      </c>
      <c r="P479" s="27" t="str">
        <f t="shared" si="6"/>
        <v/>
      </c>
      <c r="Q479" s="1" t="str">
        <f t="array" ref="Q479">IFERROR(INDEX('Исходник'!$1:$626,MATCH($A479,'Исходник'!$T:$T,0),MATCH(Q$1,'Исходник'!$1:$1,0)))</f>
        <v/>
      </c>
      <c r="R479" s="1" t="str">
        <f t="array" ref="R479">IFERROR(INDEX('Исходник'!$1:$626,MATCH($A479,'Исходник'!$T:$T,0),MATCH(R$1,'Исходник'!$1:$1,0)))</f>
        <v/>
      </c>
      <c r="S479" s="27">
        <f t="shared" si="7"/>
        <v>0</v>
      </c>
      <c r="T479" s="27" t="str">
        <f t="shared" si="8"/>
        <v/>
      </c>
      <c r="U479" s="1" t="str">
        <f t="array" ref="U479">IFERROR(INDEX('Исходник'!$1:$626,MATCH($A479,'Исходник'!$T:$T,0),MATCH(U$1,'Исходник'!$1:$1,0)))</f>
        <v/>
      </c>
      <c r="V479" s="27" t="str">
        <f t="shared" si="9"/>
        <v/>
      </c>
      <c r="W479" s="1" t="str">
        <f t="array" ref="W479">IFERROR(INDEX('Исходник'!$1:$626,MATCH($A479,'Исходник'!$T:$T,0),MATCH(W$1,'Исходник'!$1:$1,0)))</f>
        <v/>
      </c>
      <c r="X479" s="28">
        <f t="shared" si="10"/>
        <v>0</v>
      </c>
      <c r="Y479" s="1" t="str">
        <f t="array" ref="Y479">IFERROR(INDEX('Исходник'!$1:$626,MATCH($A479,'Исходник'!$T:$T,0),MATCH(Y$1,'Исходник'!$1:$1,0)))</f>
        <v/>
      </c>
      <c r="Z479" s="27">
        <f t="shared" si="11"/>
        <v>0</v>
      </c>
      <c r="AA479" s="27" t="str">
        <f t="shared" si="12"/>
        <v/>
      </c>
      <c r="AB479" s="1" t="str">
        <f t="array" ref="AB479">IFERROR(INDEX('Исходник'!$1:$626,MATCH($A479,'Исходник'!$T:$T,0),MATCH(AB$1,'Исходник'!$1:$1,0)))</f>
        <v/>
      </c>
      <c r="AC479" s="1" t="str">
        <f t="array" ref="AC479">IFERROR(INDEX('Исходник'!$1:$626,MATCH($A479,'Исходник'!$T:$T,0),MATCH(AC$1,'Исходник'!$1:$1,0)))</f>
        <v/>
      </c>
      <c r="AD479" s="27" t="str">
        <f t="shared" si="13"/>
        <v/>
      </c>
      <c r="AE479" s="1" t="str">
        <f t="array" ref="AE479">IFERROR(INDEX('Исходник'!$1:$626,MATCH($A479,'Исходник'!$T:$T,0),MATCH(AE$1,'Исходник'!$1:$1,0)))</f>
        <v/>
      </c>
      <c r="AF479" s="1" t="str">
        <f t="array" ref="AF479">IFERROR(INDEX('Исходник'!$1:$626,MATCH($A479,'Исходник'!$T:$T,0),MATCH(AF$1,'Исходник'!$1:$1,0)))</f>
        <v/>
      </c>
      <c r="AG479" s="27" t="str">
        <f t="shared" si="14"/>
        <v/>
      </c>
      <c r="AH479" s="1" t="str">
        <f t="array" ref="AH479">IFERROR(INDEX('Исходник'!$1:$626,MATCH($A479,'Исходник'!$T:$T,0),MATCH(AH$1,'Исходник'!$1:$1,0)))</f>
        <v/>
      </c>
      <c r="AI479" s="1" t="str">
        <f t="array" ref="AI479">IFERROR(INDEX('Исходник'!$1:$626,MATCH($A479,'Исходник'!$T:$T,0),MATCH(AI$1,'Исходник'!$1:$1,0)))</f>
        <v/>
      </c>
      <c r="AJ479" s="18">
        <f t="shared" si="15"/>
        <v>0</v>
      </c>
    </row>
    <row r="480" ht="15.75" customHeight="1">
      <c r="A480" s="27"/>
      <c r="B480" s="1" t="str">
        <f t="array" ref="B480">IFERROR(INDEX('Исходник'!$1:$626,MATCH($A480,'Исходник'!$T:$T,0),MATCH(B$1,'Исходник'!$1:$1,0)))</f>
        <v/>
      </c>
      <c r="C480" s="1" t="str">
        <f t="array" ref="C480">IFERROR(INDEX('Исходник'!$1:$626,MATCH($A480,'Исходник'!$T:$T,0),MATCH(C$1,'Исходник'!$1:$1,0)))</f>
        <v/>
      </c>
      <c r="D480" s="1" t="str">
        <f t="array" ref="D480">IFERROR(INDEX('Исходник'!$1:$626,MATCH($A480,'Исходник'!$T:$T,0),MATCH(D$1,'Исходник'!$1:$1,0)))</f>
        <v/>
      </c>
      <c r="E480" s="1" t="str">
        <f t="array" ref="E480">IFERROR(INDEX('Исходник'!$1:$626,MATCH($A480,'Исходник'!$T:$T,0),MATCH(E$1,'Исходник'!$1:$1,0)))</f>
        <v/>
      </c>
      <c r="F480" s="1" t="str">
        <f t="array" ref="F480">IFERROR(INDEX('Исходник'!$1:$626,MATCH($A480,'Исходник'!$T:$T,0),MATCH(F$1,'Исходник'!$1:$1,0)))</f>
        <v/>
      </c>
      <c r="G480" s="1" t="str">
        <f t="array" ref="G480">IFERROR(INDEX('Исходник'!$1:$626,MATCH($A480,'Исходник'!$T:$T,0),MATCH(G$1,'Исходник'!$1:$1,0)))</f>
        <v/>
      </c>
      <c r="H480" s="27">
        <f t="shared" si="1"/>
        <v>0</v>
      </c>
      <c r="I480" s="27" t="str">
        <f t="shared" si="2"/>
        <v/>
      </c>
      <c r="J480" s="1" t="str">
        <f t="array" ref="J480">IFERROR(INDEX('Исходник'!$1:$626,MATCH($A480,'Исходник'!$T:$T,0),MATCH(J$1,'Исходник'!$1:$1,0)))</f>
        <v/>
      </c>
      <c r="K480" s="27" t="str">
        <f t="shared" si="3"/>
        <v/>
      </c>
      <c r="L480" s="1" t="str">
        <f t="array" ref="L480">IFERROR(INDEX('Исходник'!$1:$626,MATCH($A480,'Исходник'!$T:$T,0),MATCH(L$1,'Исходник'!$1:$1,0)))</f>
        <v/>
      </c>
      <c r="M480" s="28">
        <f t="shared" si="4"/>
        <v>0</v>
      </c>
      <c r="N480" s="1" t="str">
        <f t="array" ref="N480">IFERROR(INDEX('Исходник'!$1:$626,MATCH($A480,'Исходник'!$T:$T,0),MATCH(N$1,'Исходник'!$1:$1,0)))</f>
        <v/>
      </c>
      <c r="O480" s="27">
        <f t="shared" si="5"/>
        <v>0</v>
      </c>
      <c r="P480" s="27" t="str">
        <f t="shared" si="6"/>
        <v/>
      </c>
      <c r="Q480" s="1" t="str">
        <f t="array" ref="Q480">IFERROR(INDEX('Исходник'!$1:$626,MATCH($A480,'Исходник'!$T:$T,0),MATCH(Q$1,'Исходник'!$1:$1,0)))</f>
        <v/>
      </c>
      <c r="R480" s="1" t="str">
        <f t="array" ref="R480">IFERROR(INDEX('Исходник'!$1:$626,MATCH($A480,'Исходник'!$T:$T,0),MATCH(R$1,'Исходник'!$1:$1,0)))</f>
        <v/>
      </c>
      <c r="S480" s="27">
        <f t="shared" si="7"/>
        <v>0</v>
      </c>
      <c r="T480" s="27" t="str">
        <f t="shared" si="8"/>
        <v/>
      </c>
      <c r="U480" s="1" t="str">
        <f t="array" ref="U480">IFERROR(INDEX('Исходник'!$1:$626,MATCH($A480,'Исходник'!$T:$T,0),MATCH(U$1,'Исходник'!$1:$1,0)))</f>
        <v/>
      </c>
      <c r="V480" s="27" t="str">
        <f t="shared" si="9"/>
        <v/>
      </c>
      <c r="W480" s="1" t="str">
        <f t="array" ref="W480">IFERROR(INDEX('Исходник'!$1:$626,MATCH($A480,'Исходник'!$T:$T,0),MATCH(W$1,'Исходник'!$1:$1,0)))</f>
        <v/>
      </c>
      <c r="X480" s="28">
        <f t="shared" si="10"/>
        <v>0</v>
      </c>
      <c r="Y480" s="1" t="str">
        <f t="array" ref="Y480">IFERROR(INDEX('Исходник'!$1:$626,MATCH($A480,'Исходник'!$T:$T,0),MATCH(Y$1,'Исходник'!$1:$1,0)))</f>
        <v/>
      </c>
      <c r="Z480" s="27">
        <f t="shared" si="11"/>
        <v>0</v>
      </c>
      <c r="AA480" s="27" t="str">
        <f t="shared" si="12"/>
        <v/>
      </c>
      <c r="AB480" s="1" t="str">
        <f t="array" ref="AB480">IFERROR(INDEX('Исходник'!$1:$626,MATCH($A480,'Исходник'!$T:$T,0),MATCH(AB$1,'Исходник'!$1:$1,0)))</f>
        <v/>
      </c>
      <c r="AC480" s="1" t="str">
        <f t="array" ref="AC480">IFERROR(INDEX('Исходник'!$1:$626,MATCH($A480,'Исходник'!$T:$T,0),MATCH(AC$1,'Исходник'!$1:$1,0)))</f>
        <v/>
      </c>
      <c r="AD480" s="27" t="str">
        <f t="shared" si="13"/>
        <v/>
      </c>
      <c r="AE480" s="1" t="str">
        <f t="array" ref="AE480">IFERROR(INDEX('Исходник'!$1:$626,MATCH($A480,'Исходник'!$T:$T,0),MATCH(AE$1,'Исходник'!$1:$1,0)))</f>
        <v/>
      </c>
      <c r="AF480" s="1" t="str">
        <f t="array" ref="AF480">IFERROR(INDEX('Исходник'!$1:$626,MATCH($A480,'Исходник'!$T:$T,0),MATCH(AF$1,'Исходник'!$1:$1,0)))</f>
        <v/>
      </c>
      <c r="AG480" s="27" t="str">
        <f t="shared" si="14"/>
        <v/>
      </c>
      <c r="AH480" s="1" t="str">
        <f t="array" ref="AH480">IFERROR(INDEX('Исходник'!$1:$626,MATCH($A480,'Исходник'!$T:$T,0),MATCH(AH$1,'Исходник'!$1:$1,0)))</f>
        <v/>
      </c>
      <c r="AI480" s="1" t="str">
        <f t="array" ref="AI480">IFERROR(INDEX('Исходник'!$1:$626,MATCH($A480,'Исходник'!$T:$T,0),MATCH(AI$1,'Исходник'!$1:$1,0)))</f>
        <v/>
      </c>
      <c r="AJ480" s="18">
        <f t="shared" si="15"/>
        <v>0</v>
      </c>
    </row>
    <row r="481" ht="15.75" customHeight="1">
      <c r="A481" s="27"/>
      <c r="B481" s="1" t="str">
        <f t="array" ref="B481">IFERROR(INDEX('Исходник'!$1:$626,MATCH($A481,'Исходник'!$T:$T,0),MATCH(B$1,'Исходник'!$1:$1,0)))</f>
        <v/>
      </c>
      <c r="C481" s="1" t="str">
        <f t="array" ref="C481">IFERROR(INDEX('Исходник'!$1:$626,MATCH($A481,'Исходник'!$T:$T,0),MATCH(C$1,'Исходник'!$1:$1,0)))</f>
        <v/>
      </c>
      <c r="D481" s="1" t="str">
        <f t="array" ref="D481">IFERROR(INDEX('Исходник'!$1:$626,MATCH($A481,'Исходник'!$T:$T,0),MATCH(D$1,'Исходник'!$1:$1,0)))</f>
        <v/>
      </c>
      <c r="E481" s="1" t="str">
        <f t="array" ref="E481">IFERROR(INDEX('Исходник'!$1:$626,MATCH($A481,'Исходник'!$T:$T,0),MATCH(E$1,'Исходник'!$1:$1,0)))</f>
        <v/>
      </c>
      <c r="F481" s="1" t="str">
        <f t="array" ref="F481">IFERROR(INDEX('Исходник'!$1:$626,MATCH($A481,'Исходник'!$T:$T,0),MATCH(F$1,'Исходник'!$1:$1,0)))</f>
        <v/>
      </c>
      <c r="G481" s="1" t="str">
        <f t="array" ref="G481">IFERROR(INDEX('Исходник'!$1:$626,MATCH($A481,'Исходник'!$T:$T,0),MATCH(G$1,'Исходник'!$1:$1,0)))</f>
        <v/>
      </c>
      <c r="H481" s="27">
        <f t="shared" si="1"/>
        <v>0</v>
      </c>
      <c r="I481" s="27" t="str">
        <f t="shared" si="2"/>
        <v/>
      </c>
      <c r="J481" s="1" t="str">
        <f t="array" ref="J481">IFERROR(INDEX('Исходник'!$1:$626,MATCH($A481,'Исходник'!$T:$T,0),MATCH(J$1,'Исходник'!$1:$1,0)))</f>
        <v/>
      </c>
      <c r="K481" s="27" t="str">
        <f t="shared" si="3"/>
        <v/>
      </c>
      <c r="L481" s="1" t="str">
        <f t="array" ref="L481">IFERROR(INDEX('Исходник'!$1:$626,MATCH($A481,'Исходник'!$T:$T,0),MATCH(L$1,'Исходник'!$1:$1,0)))</f>
        <v/>
      </c>
      <c r="M481" s="28">
        <f t="shared" si="4"/>
        <v>0</v>
      </c>
      <c r="N481" s="1" t="str">
        <f t="array" ref="N481">IFERROR(INDEX('Исходник'!$1:$626,MATCH($A481,'Исходник'!$T:$T,0),MATCH(N$1,'Исходник'!$1:$1,0)))</f>
        <v/>
      </c>
      <c r="O481" s="27">
        <f t="shared" si="5"/>
        <v>0</v>
      </c>
      <c r="P481" s="27" t="str">
        <f t="shared" si="6"/>
        <v/>
      </c>
      <c r="Q481" s="1" t="str">
        <f t="array" ref="Q481">IFERROR(INDEX('Исходник'!$1:$626,MATCH($A481,'Исходник'!$T:$T,0),MATCH(Q$1,'Исходник'!$1:$1,0)))</f>
        <v/>
      </c>
      <c r="R481" s="1" t="str">
        <f t="array" ref="R481">IFERROR(INDEX('Исходник'!$1:$626,MATCH($A481,'Исходник'!$T:$T,0),MATCH(R$1,'Исходник'!$1:$1,0)))</f>
        <v/>
      </c>
      <c r="S481" s="27">
        <f t="shared" si="7"/>
        <v>0</v>
      </c>
      <c r="T481" s="27" t="str">
        <f t="shared" si="8"/>
        <v/>
      </c>
      <c r="U481" s="1" t="str">
        <f t="array" ref="U481">IFERROR(INDEX('Исходник'!$1:$626,MATCH($A481,'Исходник'!$T:$T,0),MATCH(U$1,'Исходник'!$1:$1,0)))</f>
        <v/>
      </c>
      <c r="V481" s="27" t="str">
        <f t="shared" si="9"/>
        <v/>
      </c>
      <c r="W481" s="1" t="str">
        <f t="array" ref="W481">IFERROR(INDEX('Исходник'!$1:$626,MATCH($A481,'Исходник'!$T:$T,0),MATCH(W$1,'Исходник'!$1:$1,0)))</f>
        <v/>
      </c>
      <c r="X481" s="28">
        <f t="shared" si="10"/>
        <v>0</v>
      </c>
      <c r="Y481" s="1" t="str">
        <f t="array" ref="Y481">IFERROR(INDEX('Исходник'!$1:$626,MATCH($A481,'Исходник'!$T:$T,0),MATCH(Y$1,'Исходник'!$1:$1,0)))</f>
        <v/>
      </c>
      <c r="Z481" s="27">
        <f t="shared" si="11"/>
        <v>0</v>
      </c>
      <c r="AA481" s="27" t="str">
        <f t="shared" si="12"/>
        <v/>
      </c>
      <c r="AB481" s="1" t="str">
        <f t="array" ref="AB481">IFERROR(INDEX('Исходник'!$1:$626,MATCH($A481,'Исходник'!$T:$T,0),MATCH(AB$1,'Исходник'!$1:$1,0)))</f>
        <v/>
      </c>
      <c r="AC481" s="1" t="str">
        <f t="array" ref="AC481">IFERROR(INDEX('Исходник'!$1:$626,MATCH($A481,'Исходник'!$T:$T,0),MATCH(AC$1,'Исходник'!$1:$1,0)))</f>
        <v/>
      </c>
      <c r="AD481" s="27" t="str">
        <f t="shared" si="13"/>
        <v/>
      </c>
      <c r="AE481" s="1" t="str">
        <f t="array" ref="AE481">IFERROR(INDEX('Исходник'!$1:$626,MATCH($A481,'Исходник'!$T:$T,0),MATCH(AE$1,'Исходник'!$1:$1,0)))</f>
        <v/>
      </c>
      <c r="AF481" s="1" t="str">
        <f t="array" ref="AF481">IFERROR(INDEX('Исходник'!$1:$626,MATCH($A481,'Исходник'!$T:$T,0),MATCH(AF$1,'Исходник'!$1:$1,0)))</f>
        <v/>
      </c>
      <c r="AG481" s="27" t="str">
        <f t="shared" si="14"/>
        <v/>
      </c>
      <c r="AH481" s="1" t="str">
        <f t="array" ref="AH481">IFERROR(INDEX('Исходник'!$1:$626,MATCH($A481,'Исходник'!$T:$T,0),MATCH(AH$1,'Исходник'!$1:$1,0)))</f>
        <v/>
      </c>
      <c r="AI481" s="1" t="str">
        <f t="array" ref="AI481">IFERROR(INDEX('Исходник'!$1:$626,MATCH($A481,'Исходник'!$T:$T,0),MATCH(AI$1,'Исходник'!$1:$1,0)))</f>
        <v/>
      </c>
      <c r="AJ481" s="18">
        <f t="shared" si="15"/>
        <v>0</v>
      </c>
    </row>
    <row r="482" ht="15.75" customHeight="1">
      <c r="A482" s="27"/>
      <c r="B482" s="1" t="str">
        <f t="array" ref="B482">IFERROR(INDEX('Исходник'!$1:$626,MATCH($A482,'Исходник'!$T:$T,0),MATCH(B$1,'Исходник'!$1:$1,0)))</f>
        <v/>
      </c>
      <c r="C482" s="1" t="str">
        <f t="array" ref="C482">IFERROR(INDEX('Исходник'!$1:$626,MATCH($A482,'Исходник'!$T:$T,0),MATCH(C$1,'Исходник'!$1:$1,0)))</f>
        <v/>
      </c>
      <c r="D482" s="1" t="str">
        <f t="array" ref="D482">IFERROR(INDEX('Исходник'!$1:$626,MATCH($A482,'Исходник'!$T:$T,0),MATCH(D$1,'Исходник'!$1:$1,0)))</f>
        <v/>
      </c>
      <c r="E482" s="1" t="str">
        <f t="array" ref="E482">IFERROR(INDEX('Исходник'!$1:$626,MATCH($A482,'Исходник'!$T:$T,0),MATCH(E$1,'Исходник'!$1:$1,0)))</f>
        <v/>
      </c>
      <c r="F482" s="1" t="str">
        <f t="array" ref="F482">IFERROR(INDEX('Исходник'!$1:$626,MATCH($A482,'Исходник'!$T:$T,0),MATCH(F$1,'Исходник'!$1:$1,0)))</f>
        <v/>
      </c>
      <c r="G482" s="1" t="str">
        <f t="array" ref="G482">IFERROR(INDEX('Исходник'!$1:$626,MATCH($A482,'Исходник'!$T:$T,0),MATCH(G$1,'Исходник'!$1:$1,0)))</f>
        <v/>
      </c>
      <c r="H482" s="27">
        <f t="shared" si="1"/>
        <v>0</v>
      </c>
      <c r="I482" s="27" t="str">
        <f t="shared" si="2"/>
        <v/>
      </c>
      <c r="J482" s="1" t="str">
        <f t="array" ref="J482">IFERROR(INDEX('Исходник'!$1:$626,MATCH($A482,'Исходник'!$T:$T,0),MATCH(J$1,'Исходник'!$1:$1,0)))</f>
        <v/>
      </c>
      <c r="K482" s="27" t="str">
        <f t="shared" si="3"/>
        <v/>
      </c>
      <c r="L482" s="1" t="str">
        <f t="array" ref="L482">IFERROR(INDEX('Исходник'!$1:$626,MATCH($A482,'Исходник'!$T:$T,0),MATCH(L$1,'Исходник'!$1:$1,0)))</f>
        <v/>
      </c>
      <c r="M482" s="28">
        <f t="shared" si="4"/>
        <v>0</v>
      </c>
      <c r="N482" s="1" t="str">
        <f t="array" ref="N482">IFERROR(INDEX('Исходник'!$1:$626,MATCH($A482,'Исходник'!$T:$T,0),MATCH(N$1,'Исходник'!$1:$1,0)))</f>
        <v/>
      </c>
      <c r="O482" s="27">
        <f t="shared" si="5"/>
        <v>0</v>
      </c>
      <c r="P482" s="27" t="str">
        <f t="shared" si="6"/>
        <v/>
      </c>
      <c r="Q482" s="1" t="str">
        <f t="array" ref="Q482">IFERROR(INDEX('Исходник'!$1:$626,MATCH($A482,'Исходник'!$T:$T,0),MATCH(Q$1,'Исходник'!$1:$1,0)))</f>
        <v/>
      </c>
      <c r="R482" s="1" t="str">
        <f t="array" ref="R482">IFERROR(INDEX('Исходник'!$1:$626,MATCH($A482,'Исходник'!$T:$T,0),MATCH(R$1,'Исходник'!$1:$1,0)))</f>
        <v/>
      </c>
      <c r="S482" s="27">
        <f t="shared" si="7"/>
        <v>0</v>
      </c>
      <c r="T482" s="27" t="str">
        <f t="shared" si="8"/>
        <v/>
      </c>
      <c r="U482" s="1" t="str">
        <f t="array" ref="U482">IFERROR(INDEX('Исходник'!$1:$626,MATCH($A482,'Исходник'!$T:$T,0),MATCH(U$1,'Исходник'!$1:$1,0)))</f>
        <v/>
      </c>
      <c r="V482" s="27" t="str">
        <f t="shared" si="9"/>
        <v/>
      </c>
      <c r="W482" s="1" t="str">
        <f t="array" ref="W482">IFERROR(INDEX('Исходник'!$1:$626,MATCH($A482,'Исходник'!$T:$T,0),MATCH(W$1,'Исходник'!$1:$1,0)))</f>
        <v/>
      </c>
      <c r="X482" s="28">
        <f t="shared" si="10"/>
        <v>0</v>
      </c>
      <c r="Y482" s="1" t="str">
        <f t="array" ref="Y482">IFERROR(INDEX('Исходник'!$1:$626,MATCH($A482,'Исходник'!$T:$T,0),MATCH(Y$1,'Исходник'!$1:$1,0)))</f>
        <v/>
      </c>
      <c r="Z482" s="27">
        <f t="shared" si="11"/>
        <v>0</v>
      </c>
      <c r="AA482" s="27" t="str">
        <f t="shared" si="12"/>
        <v/>
      </c>
      <c r="AB482" s="1" t="str">
        <f t="array" ref="AB482">IFERROR(INDEX('Исходник'!$1:$626,MATCH($A482,'Исходник'!$T:$T,0),MATCH(AB$1,'Исходник'!$1:$1,0)))</f>
        <v/>
      </c>
      <c r="AC482" s="1" t="str">
        <f t="array" ref="AC482">IFERROR(INDEX('Исходник'!$1:$626,MATCH($A482,'Исходник'!$T:$T,0),MATCH(AC$1,'Исходник'!$1:$1,0)))</f>
        <v/>
      </c>
      <c r="AD482" s="27" t="str">
        <f t="shared" si="13"/>
        <v/>
      </c>
      <c r="AE482" s="1" t="str">
        <f t="array" ref="AE482">IFERROR(INDEX('Исходник'!$1:$626,MATCH($A482,'Исходник'!$T:$T,0),MATCH(AE$1,'Исходник'!$1:$1,0)))</f>
        <v/>
      </c>
      <c r="AF482" s="1" t="str">
        <f t="array" ref="AF482">IFERROR(INDEX('Исходник'!$1:$626,MATCH($A482,'Исходник'!$T:$T,0),MATCH(AF$1,'Исходник'!$1:$1,0)))</f>
        <v/>
      </c>
      <c r="AG482" s="27" t="str">
        <f t="shared" si="14"/>
        <v/>
      </c>
      <c r="AH482" s="1" t="str">
        <f t="array" ref="AH482">IFERROR(INDEX('Исходник'!$1:$626,MATCH($A482,'Исходник'!$T:$T,0),MATCH(AH$1,'Исходник'!$1:$1,0)))</f>
        <v/>
      </c>
      <c r="AI482" s="1" t="str">
        <f t="array" ref="AI482">IFERROR(INDEX('Исходник'!$1:$626,MATCH($A482,'Исходник'!$T:$T,0),MATCH(AI$1,'Исходник'!$1:$1,0)))</f>
        <v/>
      </c>
      <c r="AJ482" s="18">
        <f t="shared" si="15"/>
        <v>0</v>
      </c>
    </row>
    <row r="483" ht="15.75" customHeight="1">
      <c r="A483" s="27"/>
      <c r="B483" s="1" t="str">
        <f t="array" ref="B483">IFERROR(INDEX('Исходник'!$1:$626,MATCH($A483,'Исходник'!$T:$T,0),MATCH(B$1,'Исходник'!$1:$1,0)))</f>
        <v/>
      </c>
      <c r="C483" s="1" t="str">
        <f t="array" ref="C483">IFERROR(INDEX('Исходник'!$1:$626,MATCH($A483,'Исходник'!$T:$T,0),MATCH(C$1,'Исходник'!$1:$1,0)))</f>
        <v/>
      </c>
      <c r="D483" s="1" t="str">
        <f t="array" ref="D483">IFERROR(INDEX('Исходник'!$1:$626,MATCH($A483,'Исходник'!$T:$T,0),MATCH(D$1,'Исходник'!$1:$1,0)))</f>
        <v/>
      </c>
      <c r="E483" s="1" t="str">
        <f t="array" ref="E483">IFERROR(INDEX('Исходник'!$1:$626,MATCH($A483,'Исходник'!$T:$T,0),MATCH(E$1,'Исходник'!$1:$1,0)))</f>
        <v/>
      </c>
      <c r="F483" s="1" t="str">
        <f t="array" ref="F483">IFERROR(INDEX('Исходник'!$1:$626,MATCH($A483,'Исходник'!$T:$T,0),MATCH(F$1,'Исходник'!$1:$1,0)))</f>
        <v/>
      </c>
      <c r="G483" s="1" t="str">
        <f t="array" ref="G483">IFERROR(INDEX('Исходник'!$1:$626,MATCH($A483,'Исходник'!$T:$T,0),MATCH(G$1,'Исходник'!$1:$1,0)))</f>
        <v/>
      </c>
      <c r="H483" s="27">
        <f t="shared" si="1"/>
        <v>0</v>
      </c>
      <c r="I483" s="27" t="str">
        <f t="shared" si="2"/>
        <v/>
      </c>
      <c r="J483" s="1" t="str">
        <f t="array" ref="J483">IFERROR(INDEX('Исходник'!$1:$626,MATCH($A483,'Исходник'!$T:$T,0),MATCH(J$1,'Исходник'!$1:$1,0)))</f>
        <v/>
      </c>
      <c r="K483" s="27" t="str">
        <f t="shared" si="3"/>
        <v/>
      </c>
      <c r="L483" s="1" t="str">
        <f t="array" ref="L483">IFERROR(INDEX('Исходник'!$1:$626,MATCH($A483,'Исходник'!$T:$T,0),MATCH(L$1,'Исходник'!$1:$1,0)))</f>
        <v/>
      </c>
      <c r="M483" s="28">
        <f t="shared" si="4"/>
        <v>0</v>
      </c>
      <c r="N483" s="1" t="str">
        <f t="array" ref="N483">IFERROR(INDEX('Исходник'!$1:$626,MATCH($A483,'Исходник'!$T:$T,0),MATCH(N$1,'Исходник'!$1:$1,0)))</f>
        <v/>
      </c>
      <c r="O483" s="27">
        <f t="shared" si="5"/>
        <v>0</v>
      </c>
      <c r="P483" s="27" t="str">
        <f t="shared" si="6"/>
        <v/>
      </c>
      <c r="Q483" s="1" t="str">
        <f t="array" ref="Q483">IFERROR(INDEX('Исходник'!$1:$626,MATCH($A483,'Исходник'!$T:$T,0),MATCH(Q$1,'Исходник'!$1:$1,0)))</f>
        <v/>
      </c>
      <c r="R483" s="1" t="str">
        <f t="array" ref="R483">IFERROR(INDEX('Исходник'!$1:$626,MATCH($A483,'Исходник'!$T:$T,0),MATCH(R$1,'Исходник'!$1:$1,0)))</f>
        <v/>
      </c>
      <c r="S483" s="27">
        <f t="shared" si="7"/>
        <v>0</v>
      </c>
      <c r="T483" s="27" t="str">
        <f t="shared" si="8"/>
        <v/>
      </c>
      <c r="U483" s="1" t="str">
        <f t="array" ref="U483">IFERROR(INDEX('Исходник'!$1:$626,MATCH($A483,'Исходник'!$T:$T,0),MATCH(U$1,'Исходник'!$1:$1,0)))</f>
        <v/>
      </c>
      <c r="V483" s="27" t="str">
        <f t="shared" si="9"/>
        <v/>
      </c>
      <c r="W483" s="1" t="str">
        <f t="array" ref="W483">IFERROR(INDEX('Исходник'!$1:$626,MATCH($A483,'Исходник'!$T:$T,0),MATCH(W$1,'Исходник'!$1:$1,0)))</f>
        <v/>
      </c>
      <c r="X483" s="28">
        <f t="shared" si="10"/>
        <v>0</v>
      </c>
      <c r="Y483" s="1" t="str">
        <f t="array" ref="Y483">IFERROR(INDEX('Исходник'!$1:$626,MATCH($A483,'Исходник'!$T:$T,0),MATCH(Y$1,'Исходник'!$1:$1,0)))</f>
        <v/>
      </c>
      <c r="Z483" s="27">
        <f t="shared" si="11"/>
        <v>0</v>
      </c>
      <c r="AA483" s="27" t="str">
        <f t="shared" si="12"/>
        <v/>
      </c>
      <c r="AB483" s="1" t="str">
        <f t="array" ref="AB483">IFERROR(INDEX('Исходник'!$1:$626,MATCH($A483,'Исходник'!$T:$T,0),MATCH(AB$1,'Исходник'!$1:$1,0)))</f>
        <v/>
      </c>
      <c r="AC483" s="1" t="str">
        <f t="array" ref="AC483">IFERROR(INDEX('Исходник'!$1:$626,MATCH($A483,'Исходник'!$T:$T,0),MATCH(AC$1,'Исходник'!$1:$1,0)))</f>
        <v/>
      </c>
      <c r="AD483" s="27" t="str">
        <f t="shared" si="13"/>
        <v/>
      </c>
      <c r="AE483" s="1" t="str">
        <f t="array" ref="AE483">IFERROR(INDEX('Исходник'!$1:$626,MATCH($A483,'Исходник'!$T:$T,0),MATCH(AE$1,'Исходник'!$1:$1,0)))</f>
        <v/>
      </c>
      <c r="AF483" s="1" t="str">
        <f t="array" ref="AF483">IFERROR(INDEX('Исходник'!$1:$626,MATCH($A483,'Исходник'!$T:$T,0),MATCH(AF$1,'Исходник'!$1:$1,0)))</f>
        <v/>
      </c>
      <c r="AG483" s="27" t="str">
        <f t="shared" si="14"/>
        <v/>
      </c>
      <c r="AH483" s="1" t="str">
        <f t="array" ref="AH483">IFERROR(INDEX('Исходник'!$1:$626,MATCH($A483,'Исходник'!$T:$T,0),MATCH(AH$1,'Исходник'!$1:$1,0)))</f>
        <v/>
      </c>
      <c r="AI483" s="1" t="str">
        <f t="array" ref="AI483">IFERROR(INDEX('Исходник'!$1:$626,MATCH($A483,'Исходник'!$T:$T,0),MATCH(AI$1,'Исходник'!$1:$1,0)))</f>
        <v/>
      </c>
      <c r="AJ483" s="18">
        <f t="shared" si="15"/>
        <v>0</v>
      </c>
    </row>
    <row r="484" ht="15.75" customHeight="1">
      <c r="A484" s="27"/>
      <c r="B484" s="1" t="str">
        <f t="array" ref="B484">IFERROR(INDEX('Исходник'!$1:$626,MATCH($A484,'Исходник'!$T:$T,0),MATCH(B$1,'Исходник'!$1:$1,0)))</f>
        <v/>
      </c>
      <c r="C484" s="1" t="str">
        <f t="array" ref="C484">IFERROR(INDEX('Исходник'!$1:$626,MATCH($A484,'Исходник'!$T:$T,0),MATCH(C$1,'Исходник'!$1:$1,0)))</f>
        <v/>
      </c>
      <c r="D484" s="1" t="str">
        <f t="array" ref="D484">IFERROR(INDEX('Исходник'!$1:$626,MATCH($A484,'Исходник'!$T:$T,0),MATCH(D$1,'Исходник'!$1:$1,0)))</f>
        <v/>
      </c>
      <c r="E484" s="1" t="str">
        <f t="array" ref="E484">IFERROR(INDEX('Исходник'!$1:$626,MATCH($A484,'Исходник'!$T:$T,0),MATCH(E$1,'Исходник'!$1:$1,0)))</f>
        <v/>
      </c>
      <c r="F484" s="1" t="str">
        <f t="array" ref="F484">IFERROR(INDEX('Исходник'!$1:$626,MATCH($A484,'Исходник'!$T:$T,0),MATCH(F$1,'Исходник'!$1:$1,0)))</f>
        <v/>
      </c>
      <c r="G484" s="1" t="str">
        <f t="array" ref="G484">IFERROR(INDEX('Исходник'!$1:$626,MATCH($A484,'Исходник'!$T:$T,0),MATCH(G$1,'Исходник'!$1:$1,0)))</f>
        <v/>
      </c>
      <c r="H484" s="27">
        <f t="shared" si="1"/>
        <v>0</v>
      </c>
      <c r="I484" s="27" t="str">
        <f t="shared" si="2"/>
        <v/>
      </c>
      <c r="J484" s="1" t="str">
        <f t="array" ref="J484">IFERROR(INDEX('Исходник'!$1:$626,MATCH($A484,'Исходник'!$T:$T,0),MATCH(J$1,'Исходник'!$1:$1,0)))</f>
        <v/>
      </c>
      <c r="K484" s="27" t="str">
        <f t="shared" si="3"/>
        <v/>
      </c>
      <c r="L484" s="1" t="str">
        <f t="array" ref="L484">IFERROR(INDEX('Исходник'!$1:$626,MATCH($A484,'Исходник'!$T:$T,0),MATCH(L$1,'Исходник'!$1:$1,0)))</f>
        <v/>
      </c>
      <c r="M484" s="28">
        <f t="shared" si="4"/>
        <v>0</v>
      </c>
      <c r="N484" s="1" t="str">
        <f t="array" ref="N484">IFERROR(INDEX('Исходник'!$1:$626,MATCH($A484,'Исходник'!$T:$T,0),MATCH(N$1,'Исходник'!$1:$1,0)))</f>
        <v/>
      </c>
      <c r="O484" s="27">
        <f t="shared" si="5"/>
        <v>0</v>
      </c>
      <c r="P484" s="27" t="str">
        <f t="shared" si="6"/>
        <v/>
      </c>
      <c r="Q484" s="1" t="str">
        <f t="array" ref="Q484">IFERROR(INDEX('Исходник'!$1:$626,MATCH($A484,'Исходник'!$T:$T,0),MATCH(Q$1,'Исходник'!$1:$1,0)))</f>
        <v/>
      </c>
      <c r="R484" s="1" t="str">
        <f t="array" ref="R484">IFERROR(INDEX('Исходник'!$1:$626,MATCH($A484,'Исходник'!$T:$T,0),MATCH(R$1,'Исходник'!$1:$1,0)))</f>
        <v/>
      </c>
      <c r="S484" s="27">
        <f t="shared" si="7"/>
        <v>0</v>
      </c>
      <c r="T484" s="27" t="str">
        <f t="shared" si="8"/>
        <v/>
      </c>
      <c r="U484" s="1" t="str">
        <f t="array" ref="U484">IFERROR(INDEX('Исходник'!$1:$626,MATCH($A484,'Исходник'!$T:$T,0),MATCH(U$1,'Исходник'!$1:$1,0)))</f>
        <v/>
      </c>
      <c r="V484" s="27" t="str">
        <f t="shared" si="9"/>
        <v/>
      </c>
      <c r="W484" s="1" t="str">
        <f t="array" ref="W484">IFERROR(INDEX('Исходник'!$1:$626,MATCH($A484,'Исходник'!$T:$T,0),MATCH(W$1,'Исходник'!$1:$1,0)))</f>
        <v/>
      </c>
      <c r="X484" s="28">
        <f t="shared" si="10"/>
        <v>0</v>
      </c>
      <c r="Y484" s="1" t="str">
        <f t="array" ref="Y484">IFERROR(INDEX('Исходник'!$1:$626,MATCH($A484,'Исходник'!$T:$T,0),MATCH(Y$1,'Исходник'!$1:$1,0)))</f>
        <v/>
      </c>
      <c r="Z484" s="27">
        <f t="shared" si="11"/>
        <v>0</v>
      </c>
      <c r="AA484" s="27" t="str">
        <f t="shared" si="12"/>
        <v/>
      </c>
      <c r="AB484" s="1" t="str">
        <f t="array" ref="AB484">IFERROR(INDEX('Исходник'!$1:$626,MATCH($A484,'Исходник'!$T:$T,0),MATCH(AB$1,'Исходник'!$1:$1,0)))</f>
        <v/>
      </c>
      <c r="AC484" s="1" t="str">
        <f t="array" ref="AC484">IFERROR(INDEX('Исходник'!$1:$626,MATCH($A484,'Исходник'!$T:$T,0),MATCH(AC$1,'Исходник'!$1:$1,0)))</f>
        <v/>
      </c>
      <c r="AD484" s="27" t="str">
        <f t="shared" si="13"/>
        <v/>
      </c>
      <c r="AE484" s="1" t="str">
        <f t="array" ref="AE484">IFERROR(INDEX('Исходник'!$1:$626,MATCH($A484,'Исходник'!$T:$T,0),MATCH(AE$1,'Исходник'!$1:$1,0)))</f>
        <v/>
      </c>
      <c r="AF484" s="1" t="str">
        <f t="array" ref="AF484">IFERROR(INDEX('Исходник'!$1:$626,MATCH($A484,'Исходник'!$T:$T,0),MATCH(AF$1,'Исходник'!$1:$1,0)))</f>
        <v/>
      </c>
      <c r="AG484" s="27" t="str">
        <f t="shared" si="14"/>
        <v/>
      </c>
      <c r="AH484" s="1" t="str">
        <f t="array" ref="AH484">IFERROR(INDEX('Исходник'!$1:$626,MATCH($A484,'Исходник'!$T:$T,0),MATCH(AH$1,'Исходник'!$1:$1,0)))</f>
        <v/>
      </c>
      <c r="AI484" s="1" t="str">
        <f t="array" ref="AI484">IFERROR(INDEX('Исходник'!$1:$626,MATCH($A484,'Исходник'!$T:$T,0),MATCH(AI$1,'Исходник'!$1:$1,0)))</f>
        <v/>
      </c>
      <c r="AJ484" s="18">
        <f t="shared" si="15"/>
        <v>0</v>
      </c>
    </row>
    <row r="485" ht="15.75" customHeight="1">
      <c r="A485" s="27"/>
      <c r="B485" s="1" t="str">
        <f t="array" ref="B485">IFERROR(INDEX('Исходник'!$1:$626,MATCH($A485,'Исходник'!$T:$T,0),MATCH(B$1,'Исходник'!$1:$1,0)))</f>
        <v/>
      </c>
      <c r="C485" s="1" t="str">
        <f t="array" ref="C485">IFERROR(INDEX('Исходник'!$1:$626,MATCH($A485,'Исходник'!$T:$T,0),MATCH(C$1,'Исходник'!$1:$1,0)))</f>
        <v/>
      </c>
      <c r="D485" s="1" t="str">
        <f t="array" ref="D485">IFERROR(INDEX('Исходник'!$1:$626,MATCH($A485,'Исходник'!$T:$T,0),MATCH(D$1,'Исходник'!$1:$1,0)))</f>
        <v/>
      </c>
      <c r="E485" s="1" t="str">
        <f t="array" ref="E485">IFERROR(INDEX('Исходник'!$1:$626,MATCH($A485,'Исходник'!$T:$T,0),MATCH(E$1,'Исходник'!$1:$1,0)))</f>
        <v/>
      </c>
      <c r="F485" s="1" t="str">
        <f t="array" ref="F485">IFERROR(INDEX('Исходник'!$1:$626,MATCH($A485,'Исходник'!$T:$T,0),MATCH(F$1,'Исходник'!$1:$1,0)))</f>
        <v/>
      </c>
      <c r="G485" s="1" t="str">
        <f t="array" ref="G485">IFERROR(INDEX('Исходник'!$1:$626,MATCH($A485,'Исходник'!$T:$T,0),MATCH(G$1,'Исходник'!$1:$1,0)))</f>
        <v/>
      </c>
      <c r="H485" s="27">
        <f t="shared" si="1"/>
        <v>0</v>
      </c>
      <c r="I485" s="27" t="str">
        <f t="shared" si="2"/>
        <v/>
      </c>
      <c r="J485" s="1" t="str">
        <f t="array" ref="J485">IFERROR(INDEX('Исходник'!$1:$626,MATCH($A485,'Исходник'!$T:$T,0),MATCH(J$1,'Исходник'!$1:$1,0)))</f>
        <v/>
      </c>
      <c r="K485" s="27" t="str">
        <f t="shared" si="3"/>
        <v/>
      </c>
      <c r="L485" s="1" t="str">
        <f t="array" ref="L485">IFERROR(INDEX('Исходник'!$1:$626,MATCH($A485,'Исходник'!$T:$T,0),MATCH(L$1,'Исходник'!$1:$1,0)))</f>
        <v/>
      </c>
      <c r="M485" s="28">
        <f t="shared" si="4"/>
        <v>0</v>
      </c>
      <c r="N485" s="1" t="str">
        <f t="array" ref="N485">IFERROR(INDEX('Исходник'!$1:$626,MATCH($A485,'Исходник'!$T:$T,0),MATCH(N$1,'Исходник'!$1:$1,0)))</f>
        <v/>
      </c>
      <c r="O485" s="27">
        <f t="shared" si="5"/>
        <v>0</v>
      </c>
      <c r="P485" s="27" t="str">
        <f t="shared" si="6"/>
        <v/>
      </c>
      <c r="Q485" s="1" t="str">
        <f t="array" ref="Q485">IFERROR(INDEX('Исходник'!$1:$626,MATCH($A485,'Исходник'!$T:$T,0),MATCH(Q$1,'Исходник'!$1:$1,0)))</f>
        <v/>
      </c>
      <c r="R485" s="1" t="str">
        <f t="array" ref="R485">IFERROR(INDEX('Исходник'!$1:$626,MATCH($A485,'Исходник'!$T:$T,0),MATCH(R$1,'Исходник'!$1:$1,0)))</f>
        <v/>
      </c>
      <c r="S485" s="27">
        <f t="shared" si="7"/>
        <v>0</v>
      </c>
      <c r="T485" s="27" t="str">
        <f t="shared" si="8"/>
        <v/>
      </c>
      <c r="U485" s="1" t="str">
        <f t="array" ref="U485">IFERROR(INDEX('Исходник'!$1:$626,MATCH($A485,'Исходник'!$T:$T,0),MATCH(U$1,'Исходник'!$1:$1,0)))</f>
        <v/>
      </c>
      <c r="V485" s="27" t="str">
        <f t="shared" si="9"/>
        <v/>
      </c>
      <c r="W485" s="1" t="str">
        <f t="array" ref="W485">IFERROR(INDEX('Исходник'!$1:$626,MATCH($A485,'Исходник'!$T:$T,0),MATCH(W$1,'Исходник'!$1:$1,0)))</f>
        <v/>
      </c>
      <c r="X485" s="28">
        <f t="shared" si="10"/>
        <v>0</v>
      </c>
      <c r="Y485" s="1" t="str">
        <f t="array" ref="Y485">IFERROR(INDEX('Исходник'!$1:$626,MATCH($A485,'Исходник'!$T:$T,0),MATCH(Y$1,'Исходник'!$1:$1,0)))</f>
        <v/>
      </c>
      <c r="Z485" s="27">
        <f t="shared" si="11"/>
        <v>0</v>
      </c>
      <c r="AA485" s="27" t="str">
        <f t="shared" si="12"/>
        <v/>
      </c>
      <c r="AB485" s="1" t="str">
        <f t="array" ref="AB485">IFERROR(INDEX('Исходник'!$1:$626,MATCH($A485,'Исходник'!$T:$T,0),MATCH(AB$1,'Исходник'!$1:$1,0)))</f>
        <v/>
      </c>
      <c r="AC485" s="1" t="str">
        <f t="array" ref="AC485">IFERROR(INDEX('Исходник'!$1:$626,MATCH($A485,'Исходник'!$T:$T,0),MATCH(AC$1,'Исходник'!$1:$1,0)))</f>
        <v/>
      </c>
      <c r="AD485" s="27" t="str">
        <f t="shared" si="13"/>
        <v/>
      </c>
      <c r="AE485" s="1" t="str">
        <f t="array" ref="AE485">IFERROR(INDEX('Исходник'!$1:$626,MATCH($A485,'Исходник'!$T:$T,0),MATCH(AE$1,'Исходник'!$1:$1,0)))</f>
        <v/>
      </c>
      <c r="AF485" s="1" t="str">
        <f t="array" ref="AF485">IFERROR(INDEX('Исходник'!$1:$626,MATCH($A485,'Исходник'!$T:$T,0),MATCH(AF$1,'Исходник'!$1:$1,0)))</f>
        <v/>
      </c>
      <c r="AG485" s="27" t="str">
        <f t="shared" si="14"/>
        <v/>
      </c>
      <c r="AH485" s="1" t="str">
        <f t="array" ref="AH485">IFERROR(INDEX('Исходник'!$1:$626,MATCH($A485,'Исходник'!$T:$T,0),MATCH(AH$1,'Исходник'!$1:$1,0)))</f>
        <v/>
      </c>
      <c r="AI485" s="1" t="str">
        <f t="array" ref="AI485">IFERROR(INDEX('Исходник'!$1:$626,MATCH($A485,'Исходник'!$T:$T,0),MATCH(AI$1,'Исходник'!$1:$1,0)))</f>
        <v/>
      </c>
      <c r="AJ485" s="18">
        <f t="shared" si="15"/>
        <v>0</v>
      </c>
    </row>
    <row r="486" ht="15.75" customHeight="1">
      <c r="A486" s="27"/>
      <c r="B486" s="1" t="str">
        <f t="array" ref="B486">IFERROR(INDEX('Исходник'!$1:$626,MATCH($A486,'Исходник'!$T:$T,0),MATCH(B$1,'Исходник'!$1:$1,0)))</f>
        <v/>
      </c>
      <c r="C486" s="1" t="str">
        <f t="array" ref="C486">IFERROR(INDEX('Исходник'!$1:$626,MATCH($A486,'Исходник'!$T:$T,0),MATCH(C$1,'Исходник'!$1:$1,0)))</f>
        <v/>
      </c>
      <c r="D486" s="1" t="str">
        <f t="array" ref="D486">IFERROR(INDEX('Исходник'!$1:$626,MATCH($A486,'Исходник'!$T:$T,0),MATCH(D$1,'Исходник'!$1:$1,0)))</f>
        <v/>
      </c>
      <c r="E486" s="1" t="str">
        <f t="array" ref="E486">IFERROR(INDEX('Исходник'!$1:$626,MATCH($A486,'Исходник'!$T:$T,0),MATCH(E$1,'Исходник'!$1:$1,0)))</f>
        <v/>
      </c>
      <c r="F486" s="1" t="str">
        <f t="array" ref="F486">IFERROR(INDEX('Исходник'!$1:$626,MATCH($A486,'Исходник'!$T:$T,0),MATCH(F$1,'Исходник'!$1:$1,0)))</f>
        <v/>
      </c>
      <c r="G486" s="1" t="str">
        <f t="array" ref="G486">IFERROR(INDEX('Исходник'!$1:$626,MATCH($A486,'Исходник'!$T:$T,0),MATCH(G$1,'Исходник'!$1:$1,0)))</f>
        <v/>
      </c>
      <c r="H486" s="27">
        <f t="shared" si="1"/>
        <v>0</v>
      </c>
      <c r="I486" s="27" t="str">
        <f t="shared" si="2"/>
        <v/>
      </c>
      <c r="J486" s="1" t="str">
        <f t="array" ref="J486">IFERROR(INDEX('Исходник'!$1:$626,MATCH($A486,'Исходник'!$T:$T,0),MATCH(J$1,'Исходник'!$1:$1,0)))</f>
        <v/>
      </c>
      <c r="K486" s="27" t="str">
        <f t="shared" si="3"/>
        <v/>
      </c>
      <c r="L486" s="1" t="str">
        <f t="array" ref="L486">IFERROR(INDEX('Исходник'!$1:$626,MATCH($A486,'Исходник'!$T:$T,0),MATCH(L$1,'Исходник'!$1:$1,0)))</f>
        <v/>
      </c>
      <c r="M486" s="28">
        <f t="shared" si="4"/>
        <v>0</v>
      </c>
      <c r="N486" s="1" t="str">
        <f t="array" ref="N486">IFERROR(INDEX('Исходник'!$1:$626,MATCH($A486,'Исходник'!$T:$T,0),MATCH(N$1,'Исходник'!$1:$1,0)))</f>
        <v/>
      </c>
      <c r="O486" s="27">
        <f t="shared" si="5"/>
        <v>0</v>
      </c>
      <c r="P486" s="27" t="str">
        <f t="shared" si="6"/>
        <v/>
      </c>
      <c r="Q486" s="1" t="str">
        <f t="array" ref="Q486">IFERROR(INDEX('Исходник'!$1:$626,MATCH($A486,'Исходник'!$T:$T,0),MATCH(Q$1,'Исходник'!$1:$1,0)))</f>
        <v/>
      </c>
      <c r="R486" s="1" t="str">
        <f t="array" ref="R486">IFERROR(INDEX('Исходник'!$1:$626,MATCH($A486,'Исходник'!$T:$T,0),MATCH(R$1,'Исходник'!$1:$1,0)))</f>
        <v/>
      </c>
      <c r="S486" s="27">
        <f t="shared" si="7"/>
        <v>0</v>
      </c>
      <c r="T486" s="27" t="str">
        <f t="shared" si="8"/>
        <v/>
      </c>
      <c r="U486" s="1" t="str">
        <f t="array" ref="U486">IFERROR(INDEX('Исходник'!$1:$626,MATCH($A486,'Исходник'!$T:$T,0),MATCH(U$1,'Исходник'!$1:$1,0)))</f>
        <v/>
      </c>
      <c r="V486" s="27" t="str">
        <f t="shared" si="9"/>
        <v/>
      </c>
      <c r="W486" s="1" t="str">
        <f t="array" ref="W486">IFERROR(INDEX('Исходник'!$1:$626,MATCH($A486,'Исходник'!$T:$T,0),MATCH(W$1,'Исходник'!$1:$1,0)))</f>
        <v/>
      </c>
      <c r="X486" s="28">
        <f t="shared" si="10"/>
        <v>0</v>
      </c>
      <c r="Y486" s="1" t="str">
        <f t="array" ref="Y486">IFERROR(INDEX('Исходник'!$1:$626,MATCH($A486,'Исходник'!$T:$T,0),MATCH(Y$1,'Исходник'!$1:$1,0)))</f>
        <v/>
      </c>
      <c r="Z486" s="27">
        <f t="shared" si="11"/>
        <v>0</v>
      </c>
      <c r="AA486" s="27" t="str">
        <f t="shared" si="12"/>
        <v/>
      </c>
      <c r="AB486" s="1" t="str">
        <f t="array" ref="AB486">IFERROR(INDEX('Исходник'!$1:$626,MATCH($A486,'Исходник'!$T:$T,0),MATCH(AB$1,'Исходник'!$1:$1,0)))</f>
        <v/>
      </c>
      <c r="AC486" s="1" t="str">
        <f t="array" ref="AC486">IFERROR(INDEX('Исходник'!$1:$626,MATCH($A486,'Исходник'!$T:$T,0),MATCH(AC$1,'Исходник'!$1:$1,0)))</f>
        <v/>
      </c>
      <c r="AD486" s="27" t="str">
        <f t="shared" si="13"/>
        <v/>
      </c>
      <c r="AE486" s="1" t="str">
        <f t="array" ref="AE486">IFERROR(INDEX('Исходник'!$1:$626,MATCH($A486,'Исходник'!$T:$T,0),MATCH(AE$1,'Исходник'!$1:$1,0)))</f>
        <v/>
      </c>
      <c r="AF486" s="1" t="str">
        <f t="array" ref="AF486">IFERROR(INDEX('Исходник'!$1:$626,MATCH($A486,'Исходник'!$T:$T,0),MATCH(AF$1,'Исходник'!$1:$1,0)))</f>
        <v/>
      </c>
      <c r="AG486" s="27" t="str">
        <f t="shared" si="14"/>
        <v/>
      </c>
      <c r="AH486" s="1" t="str">
        <f t="array" ref="AH486">IFERROR(INDEX('Исходник'!$1:$626,MATCH($A486,'Исходник'!$T:$T,0),MATCH(AH$1,'Исходник'!$1:$1,0)))</f>
        <v/>
      </c>
      <c r="AI486" s="1" t="str">
        <f t="array" ref="AI486">IFERROR(INDEX('Исходник'!$1:$626,MATCH($A486,'Исходник'!$T:$T,0),MATCH(AI$1,'Исходник'!$1:$1,0)))</f>
        <v/>
      </c>
      <c r="AJ486" s="18">
        <f t="shared" si="15"/>
        <v>0</v>
      </c>
    </row>
    <row r="487" ht="15.75" customHeight="1">
      <c r="A487" s="27"/>
      <c r="B487" s="1" t="str">
        <f t="array" ref="B487">IFERROR(INDEX('Исходник'!$1:$626,MATCH($A487,'Исходник'!$T:$T,0),MATCH(B$1,'Исходник'!$1:$1,0)))</f>
        <v/>
      </c>
      <c r="C487" s="1" t="str">
        <f t="array" ref="C487">IFERROR(INDEX('Исходник'!$1:$626,MATCH($A487,'Исходник'!$T:$T,0),MATCH(C$1,'Исходник'!$1:$1,0)))</f>
        <v/>
      </c>
      <c r="D487" s="1" t="str">
        <f t="array" ref="D487">IFERROR(INDEX('Исходник'!$1:$626,MATCH($A487,'Исходник'!$T:$T,0),MATCH(D$1,'Исходник'!$1:$1,0)))</f>
        <v/>
      </c>
      <c r="E487" s="1" t="str">
        <f t="array" ref="E487">IFERROR(INDEX('Исходник'!$1:$626,MATCH($A487,'Исходник'!$T:$T,0),MATCH(E$1,'Исходник'!$1:$1,0)))</f>
        <v/>
      </c>
      <c r="F487" s="1" t="str">
        <f t="array" ref="F487">IFERROR(INDEX('Исходник'!$1:$626,MATCH($A487,'Исходник'!$T:$T,0),MATCH(F$1,'Исходник'!$1:$1,0)))</f>
        <v/>
      </c>
      <c r="G487" s="1" t="str">
        <f t="array" ref="G487">IFERROR(INDEX('Исходник'!$1:$626,MATCH($A487,'Исходник'!$T:$T,0),MATCH(G$1,'Исходник'!$1:$1,0)))</f>
        <v/>
      </c>
      <c r="H487" s="27">
        <f t="shared" si="1"/>
        <v>0</v>
      </c>
      <c r="I487" s="27" t="str">
        <f t="shared" si="2"/>
        <v/>
      </c>
      <c r="J487" s="1" t="str">
        <f t="array" ref="J487">IFERROR(INDEX('Исходник'!$1:$626,MATCH($A487,'Исходник'!$T:$T,0),MATCH(J$1,'Исходник'!$1:$1,0)))</f>
        <v/>
      </c>
      <c r="K487" s="27" t="str">
        <f t="shared" si="3"/>
        <v/>
      </c>
      <c r="L487" s="1" t="str">
        <f t="array" ref="L487">IFERROR(INDEX('Исходник'!$1:$626,MATCH($A487,'Исходник'!$T:$T,0),MATCH(L$1,'Исходник'!$1:$1,0)))</f>
        <v/>
      </c>
      <c r="M487" s="28">
        <f t="shared" si="4"/>
        <v>0</v>
      </c>
      <c r="N487" s="1" t="str">
        <f t="array" ref="N487">IFERROR(INDEX('Исходник'!$1:$626,MATCH($A487,'Исходник'!$T:$T,0),MATCH(N$1,'Исходник'!$1:$1,0)))</f>
        <v/>
      </c>
      <c r="O487" s="27">
        <f t="shared" si="5"/>
        <v>0</v>
      </c>
      <c r="P487" s="27" t="str">
        <f t="shared" si="6"/>
        <v/>
      </c>
      <c r="Q487" s="1" t="str">
        <f t="array" ref="Q487">IFERROR(INDEX('Исходник'!$1:$626,MATCH($A487,'Исходник'!$T:$T,0),MATCH(Q$1,'Исходник'!$1:$1,0)))</f>
        <v/>
      </c>
      <c r="R487" s="1" t="str">
        <f t="array" ref="R487">IFERROR(INDEX('Исходник'!$1:$626,MATCH($A487,'Исходник'!$T:$T,0),MATCH(R$1,'Исходник'!$1:$1,0)))</f>
        <v/>
      </c>
      <c r="S487" s="27">
        <f t="shared" si="7"/>
        <v>0</v>
      </c>
      <c r="T487" s="27" t="str">
        <f t="shared" si="8"/>
        <v/>
      </c>
      <c r="U487" s="1" t="str">
        <f t="array" ref="U487">IFERROR(INDEX('Исходник'!$1:$626,MATCH($A487,'Исходник'!$T:$T,0),MATCH(U$1,'Исходник'!$1:$1,0)))</f>
        <v/>
      </c>
      <c r="V487" s="27" t="str">
        <f t="shared" si="9"/>
        <v/>
      </c>
      <c r="W487" s="1" t="str">
        <f t="array" ref="W487">IFERROR(INDEX('Исходник'!$1:$626,MATCH($A487,'Исходник'!$T:$T,0),MATCH(W$1,'Исходник'!$1:$1,0)))</f>
        <v/>
      </c>
      <c r="X487" s="28">
        <f t="shared" si="10"/>
        <v>0</v>
      </c>
      <c r="Y487" s="1" t="str">
        <f t="array" ref="Y487">IFERROR(INDEX('Исходник'!$1:$626,MATCH($A487,'Исходник'!$T:$T,0),MATCH(Y$1,'Исходник'!$1:$1,0)))</f>
        <v/>
      </c>
      <c r="Z487" s="27">
        <f t="shared" si="11"/>
        <v>0</v>
      </c>
      <c r="AA487" s="27" t="str">
        <f t="shared" si="12"/>
        <v/>
      </c>
      <c r="AB487" s="1" t="str">
        <f t="array" ref="AB487">IFERROR(INDEX('Исходник'!$1:$626,MATCH($A487,'Исходник'!$T:$T,0),MATCH(AB$1,'Исходник'!$1:$1,0)))</f>
        <v/>
      </c>
      <c r="AC487" s="1" t="str">
        <f t="array" ref="AC487">IFERROR(INDEX('Исходник'!$1:$626,MATCH($A487,'Исходник'!$T:$T,0),MATCH(AC$1,'Исходник'!$1:$1,0)))</f>
        <v/>
      </c>
      <c r="AD487" s="27" t="str">
        <f t="shared" si="13"/>
        <v/>
      </c>
      <c r="AE487" s="1" t="str">
        <f t="array" ref="AE487">IFERROR(INDEX('Исходник'!$1:$626,MATCH($A487,'Исходник'!$T:$T,0),MATCH(AE$1,'Исходник'!$1:$1,0)))</f>
        <v/>
      </c>
      <c r="AF487" s="1" t="str">
        <f t="array" ref="AF487">IFERROR(INDEX('Исходник'!$1:$626,MATCH($A487,'Исходник'!$T:$T,0),MATCH(AF$1,'Исходник'!$1:$1,0)))</f>
        <v/>
      </c>
      <c r="AG487" s="27" t="str">
        <f t="shared" si="14"/>
        <v/>
      </c>
      <c r="AH487" s="1" t="str">
        <f t="array" ref="AH487">IFERROR(INDEX('Исходник'!$1:$626,MATCH($A487,'Исходник'!$T:$T,0),MATCH(AH$1,'Исходник'!$1:$1,0)))</f>
        <v/>
      </c>
      <c r="AI487" s="1" t="str">
        <f t="array" ref="AI487">IFERROR(INDEX('Исходник'!$1:$626,MATCH($A487,'Исходник'!$T:$T,0),MATCH(AI$1,'Исходник'!$1:$1,0)))</f>
        <v/>
      </c>
      <c r="AJ487" s="18">
        <f t="shared" si="15"/>
        <v>0</v>
      </c>
    </row>
    <row r="488" ht="15.75" customHeight="1">
      <c r="A488" s="27"/>
      <c r="B488" s="1" t="str">
        <f t="array" ref="B488">IFERROR(INDEX('Исходник'!$1:$626,MATCH($A488,'Исходник'!$T:$T,0),MATCH(B$1,'Исходник'!$1:$1,0)))</f>
        <v/>
      </c>
      <c r="C488" s="1" t="str">
        <f t="array" ref="C488">IFERROR(INDEX('Исходник'!$1:$626,MATCH($A488,'Исходник'!$T:$T,0),MATCH(C$1,'Исходник'!$1:$1,0)))</f>
        <v/>
      </c>
      <c r="D488" s="1" t="str">
        <f t="array" ref="D488">IFERROR(INDEX('Исходник'!$1:$626,MATCH($A488,'Исходник'!$T:$T,0),MATCH(D$1,'Исходник'!$1:$1,0)))</f>
        <v/>
      </c>
      <c r="E488" s="1" t="str">
        <f t="array" ref="E488">IFERROR(INDEX('Исходник'!$1:$626,MATCH($A488,'Исходник'!$T:$T,0),MATCH(E$1,'Исходник'!$1:$1,0)))</f>
        <v/>
      </c>
      <c r="F488" s="1" t="str">
        <f t="array" ref="F488">IFERROR(INDEX('Исходник'!$1:$626,MATCH($A488,'Исходник'!$T:$T,0),MATCH(F$1,'Исходник'!$1:$1,0)))</f>
        <v/>
      </c>
      <c r="G488" s="1" t="str">
        <f t="array" ref="G488">IFERROR(INDEX('Исходник'!$1:$626,MATCH($A488,'Исходник'!$T:$T,0),MATCH(G$1,'Исходник'!$1:$1,0)))</f>
        <v/>
      </c>
      <c r="H488" s="27">
        <f t="shared" si="1"/>
        <v>0</v>
      </c>
      <c r="I488" s="27" t="str">
        <f t="shared" si="2"/>
        <v/>
      </c>
      <c r="J488" s="1" t="str">
        <f t="array" ref="J488">IFERROR(INDEX('Исходник'!$1:$626,MATCH($A488,'Исходник'!$T:$T,0),MATCH(J$1,'Исходник'!$1:$1,0)))</f>
        <v/>
      </c>
      <c r="K488" s="27" t="str">
        <f t="shared" si="3"/>
        <v/>
      </c>
      <c r="L488" s="1" t="str">
        <f t="array" ref="L488">IFERROR(INDEX('Исходник'!$1:$626,MATCH($A488,'Исходник'!$T:$T,0),MATCH(L$1,'Исходник'!$1:$1,0)))</f>
        <v/>
      </c>
      <c r="M488" s="28">
        <f t="shared" si="4"/>
        <v>0</v>
      </c>
      <c r="N488" s="1" t="str">
        <f t="array" ref="N488">IFERROR(INDEX('Исходник'!$1:$626,MATCH($A488,'Исходник'!$T:$T,0),MATCH(N$1,'Исходник'!$1:$1,0)))</f>
        <v/>
      </c>
      <c r="O488" s="27">
        <f t="shared" si="5"/>
        <v>0</v>
      </c>
      <c r="P488" s="27" t="str">
        <f t="shared" si="6"/>
        <v/>
      </c>
      <c r="Q488" s="1" t="str">
        <f t="array" ref="Q488">IFERROR(INDEX('Исходник'!$1:$626,MATCH($A488,'Исходник'!$T:$T,0),MATCH(Q$1,'Исходник'!$1:$1,0)))</f>
        <v/>
      </c>
      <c r="R488" s="1" t="str">
        <f t="array" ref="R488">IFERROR(INDEX('Исходник'!$1:$626,MATCH($A488,'Исходник'!$T:$T,0),MATCH(R$1,'Исходник'!$1:$1,0)))</f>
        <v/>
      </c>
      <c r="S488" s="27">
        <f t="shared" si="7"/>
        <v>0</v>
      </c>
      <c r="T488" s="27" t="str">
        <f t="shared" si="8"/>
        <v/>
      </c>
      <c r="U488" s="1" t="str">
        <f t="array" ref="U488">IFERROR(INDEX('Исходник'!$1:$626,MATCH($A488,'Исходник'!$T:$T,0),MATCH(U$1,'Исходник'!$1:$1,0)))</f>
        <v/>
      </c>
      <c r="V488" s="27" t="str">
        <f t="shared" si="9"/>
        <v/>
      </c>
      <c r="W488" s="1" t="str">
        <f t="array" ref="W488">IFERROR(INDEX('Исходник'!$1:$626,MATCH($A488,'Исходник'!$T:$T,0),MATCH(W$1,'Исходник'!$1:$1,0)))</f>
        <v/>
      </c>
      <c r="X488" s="28">
        <f t="shared" si="10"/>
        <v>0</v>
      </c>
      <c r="Y488" s="1" t="str">
        <f t="array" ref="Y488">IFERROR(INDEX('Исходник'!$1:$626,MATCH($A488,'Исходник'!$T:$T,0),MATCH(Y$1,'Исходник'!$1:$1,0)))</f>
        <v/>
      </c>
      <c r="Z488" s="27">
        <f t="shared" si="11"/>
        <v>0</v>
      </c>
      <c r="AA488" s="27" t="str">
        <f t="shared" si="12"/>
        <v/>
      </c>
      <c r="AB488" s="1" t="str">
        <f t="array" ref="AB488">IFERROR(INDEX('Исходник'!$1:$626,MATCH($A488,'Исходник'!$T:$T,0),MATCH(AB$1,'Исходник'!$1:$1,0)))</f>
        <v/>
      </c>
      <c r="AC488" s="1" t="str">
        <f t="array" ref="AC488">IFERROR(INDEX('Исходник'!$1:$626,MATCH($A488,'Исходник'!$T:$T,0),MATCH(AC$1,'Исходник'!$1:$1,0)))</f>
        <v/>
      </c>
      <c r="AD488" s="27" t="str">
        <f t="shared" si="13"/>
        <v/>
      </c>
      <c r="AE488" s="1" t="str">
        <f t="array" ref="AE488">IFERROR(INDEX('Исходник'!$1:$626,MATCH($A488,'Исходник'!$T:$T,0),MATCH(AE$1,'Исходник'!$1:$1,0)))</f>
        <v/>
      </c>
      <c r="AF488" s="1" t="str">
        <f t="array" ref="AF488">IFERROR(INDEX('Исходник'!$1:$626,MATCH($A488,'Исходник'!$T:$T,0),MATCH(AF$1,'Исходник'!$1:$1,0)))</f>
        <v/>
      </c>
      <c r="AG488" s="27" t="str">
        <f t="shared" si="14"/>
        <v/>
      </c>
      <c r="AH488" s="1" t="str">
        <f t="array" ref="AH488">IFERROR(INDEX('Исходник'!$1:$626,MATCH($A488,'Исходник'!$T:$T,0),MATCH(AH$1,'Исходник'!$1:$1,0)))</f>
        <v/>
      </c>
      <c r="AI488" s="1" t="str">
        <f t="array" ref="AI488">IFERROR(INDEX('Исходник'!$1:$626,MATCH($A488,'Исходник'!$T:$T,0),MATCH(AI$1,'Исходник'!$1:$1,0)))</f>
        <v/>
      </c>
      <c r="AJ488" s="18">
        <f t="shared" si="15"/>
        <v>0</v>
      </c>
    </row>
    <row r="489" ht="15.75" customHeight="1">
      <c r="A489" s="27"/>
      <c r="B489" s="1" t="str">
        <f t="array" ref="B489">IFERROR(INDEX('Исходник'!$1:$626,MATCH($A489,'Исходник'!$T:$T,0),MATCH(B$1,'Исходник'!$1:$1,0)))</f>
        <v/>
      </c>
      <c r="C489" s="1" t="str">
        <f t="array" ref="C489">IFERROR(INDEX('Исходник'!$1:$626,MATCH($A489,'Исходник'!$T:$T,0),MATCH(C$1,'Исходник'!$1:$1,0)))</f>
        <v/>
      </c>
      <c r="D489" s="1" t="str">
        <f t="array" ref="D489">IFERROR(INDEX('Исходник'!$1:$626,MATCH($A489,'Исходник'!$T:$T,0),MATCH(D$1,'Исходник'!$1:$1,0)))</f>
        <v/>
      </c>
      <c r="E489" s="1" t="str">
        <f t="array" ref="E489">IFERROR(INDEX('Исходник'!$1:$626,MATCH($A489,'Исходник'!$T:$T,0),MATCH(E$1,'Исходник'!$1:$1,0)))</f>
        <v/>
      </c>
      <c r="F489" s="1" t="str">
        <f t="array" ref="F489">IFERROR(INDEX('Исходник'!$1:$626,MATCH($A489,'Исходник'!$T:$T,0),MATCH(F$1,'Исходник'!$1:$1,0)))</f>
        <v/>
      </c>
      <c r="G489" s="1" t="str">
        <f t="array" ref="G489">IFERROR(INDEX('Исходник'!$1:$626,MATCH($A489,'Исходник'!$T:$T,0),MATCH(G$1,'Исходник'!$1:$1,0)))</f>
        <v/>
      </c>
      <c r="H489" s="27">
        <f t="shared" si="1"/>
        <v>0</v>
      </c>
      <c r="I489" s="27" t="str">
        <f t="shared" si="2"/>
        <v/>
      </c>
      <c r="J489" s="1" t="str">
        <f t="array" ref="J489">IFERROR(INDEX('Исходник'!$1:$626,MATCH($A489,'Исходник'!$T:$T,0),MATCH(J$1,'Исходник'!$1:$1,0)))</f>
        <v/>
      </c>
      <c r="K489" s="27" t="str">
        <f t="shared" si="3"/>
        <v/>
      </c>
      <c r="L489" s="1" t="str">
        <f t="array" ref="L489">IFERROR(INDEX('Исходник'!$1:$626,MATCH($A489,'Исходник'!$T:$T,0),MATCH(L$1,'Исходник'!$1:$1,0)))</f>
        <v/>
      </c>
      <c r="M489" s="28">
        <f t="shared" si="4"/>
        <v>0</v>
      </c>
      <c r="N489" s="1" t="str">
        <f t="array" ref="N489">IFERROR(INDEX('Исходник'!$1:$626,MATCH($A489,'Исходник'!$T:$T,0),MATCH(N$1,'Исходник'!$1:$1,0)))</f>
        <v/>
      </c>
      <c r="O489" s="27">
        <f t="shared" si="5"/>
        <v>0</v>
      </c>
      <c r="P489" s="27" t="str">
        <f t="shared" si="6"/>
        <v/>
      </c>
      <c r="Q489" s="1" t="str">
        <f t="array" ref="Q489">IFERROR(INDEX('Исходник'!$1:$626,MATCH($A489,'Исходник'!$T:$T,0),MATCH(Q$1,'Исходник'!$1:$1,0)))</f>
        <v/>
      </c>
      <c r="R489" s="1" t="str">
        <f t="array" ref="R489">IFERROR(INDEX('Исходник'!$1:$626,MATCH($A489,'Исходник'!$T:$T,0),MATCH(R$1,'Исходник'!$1:$1,0)))</f>
        <v/>
      </c>
      <c r="S489" s="27">
        <f t="shared" si="7"/>
        <v>0</v>
      </c>
      <c r="T489" s="27" t="str">
        <f t="shared" si="8"/>
        <v/>
      </c>
      <c r="U489" s="1" t="str">
        <f t="array" ref="U489">IFERROR(INDEX('Исходник'!$1:$626,MATCH($A489,'Исходник'!$T:$T,0),MATCH(U$1,'Исходник'!$1:$1,0)))</f>
        <v/>
      </c>
      <c r="V489" s="27" t="str">
        <f t="shared" si="9"/>
        <v/>
      </c>
      <c r="W489" s="1" t="str">
        <f t="array" ref="W489">IFERROR(INDEX('Исходник'!$1:$626,MATCH($A489,'Исходник'!$T:$T,0),MATCH(W$1,'Исходник'!$1:$1,0)))</f>
        <v/>
      </c>
      <c r="X489" s="28">
        <f t="shared" si="10"/>
        <v>0</v>
      </c>
      <c r="Y489" s="1" t="str">
        <f t="array" ref="Y489">IFERROR(INDEX('Исходник'!$1:$626,MATCH($A489,'Исходник'!$T:$T,0),MATCH(Y$1,'Исходник'!$1:$1,0)))</f>
        <v/>
      </c>
      <c r="Z489" s="27">
        <f t="shared" si="11"/>
        <v>0</v>
      </c>
      <c r="AA489" s="27" t="str">
        <f t="shared" si="12"/>
        <v/>
      </c>
      <c r="AB489" s="1" t="str">
        <f t="array" ref="AB489">IFERROR(INDEX('Исходник'!$1:$626,MATCH($A489,'Исходник'!$T:$T,0),MATCH(AB$1,'Исходник'!$1:$1,0)))</f>
        <v/>
      </c>
      <c r="AC489" s="1" t="str">
        <f t="array" ref="AC489">IFERROR(INDEX('Исходник'!$1:$626,MATCH($A489,'Исходник'!$T:$T,0),MATCH(AC$1,'Исходник'!$1:$1,0)))</f>
        <v/>
      </c>
      <c r="AD489" s="27" t="str">
        <f t="shared" si="13"/>
        <v/>
      </c>
      <c r="AE489" s="1" t="str">
        <f t="array" ref="AE489">IFERROR(INDEX('Исходник'!$1:$626,MATCH($A489,'Исходник'!$T:$T,0),MATCH(AE$1,'Исходник'!$1:$1,0)))</f>
        <v/>
      </c>
      <c r="AF489" s="1" t="str">
        <f t="array" ref="AF489">IFERROR(INDEX('Исходник'!$1:$626,MATCH($A489,'Исходник'!$T:$T,0),MATCH(AF$1,'Исходник'!$1:$1,0)))</f>
        <v/>
      </c>
      <c r="AG489" s="27" t="str">
        <f t="shared" si="14"/>
        <v/>
      </c>
      <c r="AH489" s="1" t="str">
        <f t="array" ref="AH489">IFERROR(INDEX('Исходник'!$1:$626,MATCH($A489,'Исходник'!$T:$T,0),MATCH(AH$1,'Исходник'!$1:$1,0)))</f>
        <v/>
      </c>
      <c r="AI489" s="1" t="str">
        <f t="array" ref="AI489">IFERROR(INDEX('Исходник'!$1:$626,MATCH($A489,'Исходник'!$T:$T,0),MATCH(AI$1,'Исходник'!$1:$1,0)))</f>
        <v/>
      </c>
      <c r="AJ489" s="18">
        <f t="shared" si="15"/>
        <v>0</v>
      </c>
    </row>
    <row r="490" ht="15.75" customHeight="1">
      <c r="A490" s="27"/>
      <c r="B490" s="1" t="str">
        <f t="array" ref="B490">IFERROR(INDEX('Исходник'!$1:$626,MATCH($A490,'Исходник'!$T:$T,0),MATCH(B$1,'Исходник'!$1:$1,0)))</f>
        <v/>
      </c>
      <c r="C490" s="1" t="str">
        <f t="array" ref="C490">IFERROR(INDEX('Исходник'!$1:$626,MATCH($A490,'Исходник'!$T:$T,0),MATCH(C$1,'Исходник'!$1:$1,0)))</f>
        <v/>
      </c>
      <c r="D490" s="1" t="str">
        <f t="array" ref="D490">IFERROR(INDEX('Исходник'!$1:$626,MATCH($A490,'Исходник'!$T:$T,0),MATCH(D$1,'Исходник'!$1:$1,0)))</f>
        <v/>
      </c>
      <c r="E490" s="1" t="str">
        <f t="array" ref="E490">IFERROR(INDEX('Исходник'!$1:$626,MATCH($A490,'Исходник'!$T:$T,0),MATCH(E$1,'Исходник'!$1:$1,0)))</f>
        <v/>
      </c>
      <c r="F490" s="1" t="str">
        <f t="array" ref="F490">IFERROR(INDEX('Исходник'!$1:$626,MATCH($A490,'Исходник'!$T:$T,0),MATCH(F$1,'Исходник'!$1:$1,0)))</f>
        <v/>
      </c>
      <c r="G490" s="1" t="str">
        <f t="array" ref="G490">IFERROR(INDEX('Исходник'!$1:$626,MATCH($A490,'Исходник'!$T:$T,0),MATCH(G$1,'Исходник'!$1:$1,0)))</f>
        <v/>
      </c>
      <c r="H490" s="27">
        <f t="shared" si="1"/>
        <v>0</v>
      </c>
      <c r="I490" s="27" t="str">
        <f t="shared" si="2"/>
        <v/>
      </c>
      <c r="J490" s="1" t="str">
        <f t="array" ref="J490">IFERROR(INDEX('Исходник'!$1:$626,MATCH($A490,'Исходник'!$T:$T,0),MATCH(J$1,'Исходник'!$1:$1,0)))</f>
        <v/>
      </c>
      <c r="K490" s="27" t="str">
        <f t="shared" si="3"/>
        <v/>
      </c>
      <c r="L490" s="1" t="str">
        <f t="array" ref="L490">IFERROR(INDEX('Исходник'!$1:$626,MATCH($A490,'Исходник'!$T:$T,0),MATCH(L$1,'Исходник'!$1:$1,0)))</f>
        <v/>
      </c>
      <c r="M490" s="28">
        <f t="shared" si="4"/>
        <v>0</v>
      </c>
      <c r="N490" s="1" t="str">
        <f t="array" ref="N490">IFERROR(INDEX('Исходник'!$1:$626,MATCH($A490,'Исходник'!$T:$T,0),MATCH(N$1,'Исходник'!$1:$1,0)))</f>
        <v/>
      </c>
      <c r="O490" s="27">
        <f t="shared" si="5"/>
        <v>0</v>
      </c>
      <c r="P490" s="27" t="str">
        <f t="shared" si="6"/>
        <v/>
      </c>
      <c r="Q490" s="1" t="str">
        <f t="array" ref="Q490">IFERROR(INDEX('Исходник'!$1:$626,MATCH($A490,'Исходник'!$T:$T,0),MATCH(Q$1,'Исходник'!$1:$1,0)))</f>
        <v/>
      </c>
      <c r="R490" s="1" t="str">
        <f t="array" ref="R490">IFERROR(INDEX('Исходник'!$1:$626,MATCH($A490,'Исходник'!$T:$T,0),MATCH(R$1,'Исходник'!$1:$1,0)))</f>
        <v/>
      </c>
      <c r="S490" s="27">
        <f t="shared" si="7"/>
        <v>0</v>
      </c>
      <c r="T490" s="27" t="str">
        <f t="shared" si="8"/>
        <v/>
      </c>
      <c r="U490" s="1" t="str">
        <f t="array" ref="U490">IFERROR(INDEX('Исходник'!$1:$626,MATCH($A490,'Исходник'!$T:$T,0),MATCH(U$1,'Исходник'!$1:$1,0)))</f>
        <v/>
      </c>
      <c r="V490" s="27" t="str">
        <f t="shared" si="9"/>
        <v/>
      </c>
      <c r="W490" s="1" t="str">
        <f t="array" ref="W490">IFERROR(INDEX('Исходник'!$1:$626,MATCH($A490,'Исходник'!$T:$T,0),MATCH(W$1,'Исходник'!$1:$1,0)))</f>
        <v/>
      </c>
      <c r="X490" s="28">
        <f t="shared" si="10"/>
        <v>0</v>
      </c>
      <c r="Y490" s="1" t="str">
        <f t="array" ref="Y490">IFERROR(INDEX('Исходник'!$1:$626,MATCH($A490,'Исходник'!$T:$T,0),MATCH(Y$1,'Исходник'!$1:$1,0)))</f>
        <v/>
      </c>
      <c r="Z490" s="27">
        <f t="shared" si="11"/>
        <v>0</v>
      </c>
      <c r="AA490" s="27" t="str">
        <f t="shared" si="12"/>
        <v/>
      </c>
      <c r="AB490" s="1" t="str">
        <f t="array" ref="AB490">IFERROR(INDEX('Исходник'!$1:$626,MATCH($A490,'Исходник'!$T:$T,0),MATCH(AB$1,'Исходник'!$1:$1,0)))</f>
        <v/>
      </c>
      <c r="AC490" s="1" t="str">
        <f t="array" ref="AC490">IFERROR(INDEX('Исходник'!$1:$626,MATCH($A490,'Исходник'!$T:$T,0),MATCH(AC$1,'Исходник'!$1:$1,0)))</f>
        <v/>
      </c>
      <c r="AD490" s="27" t="str">
        <f t="shared" si="13"/>
        <v/>
      </c>
      <c r="AE490" s="1" t="str">
        <f t="array" ref="AE490">IFERROR(INDEX('Исходник'!$1:$626,MATCH($A490,'Исходник'!$T:$T,0),MATCH(AE$1,'Исходник'!$1:$1,0)))</f>
        <v/>
      </c>
      <c r="AF490" s="1" t="str">
        <f t="array" ref="AF490">IFERROR(INDEX('Исходник'!$1:$626,MATCH($A490,'Исходник'!$T:$T,0),MATCH(AF$1,'Исходник'!$1:$1,0)))</f>
        <v/>
      </c>
      <c r="AG490" s="27" t="str">
        <f t="shared" si="14"/>
        <v/>
      </c>
      <c r="AH490" s="1" t="str">
        <f t="array" ref="AH490">IFERROR(INDEX('Исходник'!$1:$626,MATCH($A490,'Исходник'!$T:$T,0),MATCH(AH$1,'Исходник'!$1:$1,0)))</f>
        <v/>
      </c>
      <c r="AI490" s="1" t="str">
        <f t="array" ref="AI490">IFERROR(INDEX('Исходник'!$1:$626,MATCH($A490,'Исходник'!$T:$T,0),MATCH(AI$1,'Исходник'!$1:$1,0)))</f>
        <v/>
      </c>
      <c r="AJ490" s="18">
        <f t="shared" si="15"/>
        <v>0</v>
      </c>
    </row>
    <row r="491" ht="15.75" customHeight="1">
      <c r="A491" s="27"/>
      <c r="B491" s="1" t="str">
        <f t="array" ref="B491">IFERROR(INDEX('Исходник'!$1:$626,MATCH($A491,'Исходник'!$T:$T,0),MATCH(B$1,'Исходник'!$1:$1,0)))</f>
        <v/>
      </c>
      <c r="C491" s="1" t="str">
        <f t="array" ref="C491">IFERROR(INDEX('Исходник'!$1:$626,MATCH($A491,'Исходник'!$T:$T,0),MATCH(C$1,'Исходник'!$1:$1,0)))</f>
        <v/>
      </c>
      <c r="D491" s="1" t="str">
        <f t="array" ref="D491">IFERROR(INDEX('Исходник'!$1:$626,MATCH($A491,'Исходник'!$T:$T,0),MATCH(D$1,'Исходник'!$1:$1,0)))</f>
        <v/>
      </c>
      <c r="E491" s="1" t="str">
        <f t="array" ref="E491">IFERROR(INDEX('Исходник'!$1:$626,MATCH($A491,'Исходник'!$T:$T,0),MATCH(E$1,'Исходник'!$1:$1,0)))</f>
        <v/>
      </c>
      <c r="F491" s="1" t="str">
        <f t="array" ref="F491">IFERROR(INDEX('Исходник'!$1:$626,MATCH($A491,'Исходник'!$T:$T,0),MATCH(F$1,'Исходник'!$1:$1,0)))</f>
        <v/>
      </c>
      <c r="G491" s="1" t="str">
        <f t="array" ref="G491">IFERROR(INDEX('Исходник'!$1:$626,MATCH($A491,'Исходник'!$T:$T,0),MATCH(G$1,'Исходник'!$1:$1,0)))</f>
        <v/>
      </c>
      <c r="H491" s="27">
        <f t="shared" si="1"/>
        <v>0</v>
      </c>
      <c r="I491" s="27" t="str">
        <f t="shared" si="2"/>
        <v/>
      </c>
      <c r="J491" s="1" t="str">
        <f t="array" ref="J491">IFERROR(INDEX('Исходник'!$1:$626,MATCH($A491,'Исходник'!$T:$T,0),MATCH(J$1,'Исходник'!$1:$1,0)))</f>
        <v/>
      </c>
      <c r="K491" s="27" t="str">
        <f t="shared" si="3"/>
        <v/>
      </c>
      <c r="L491" s="1" t="str">
        <f t="array" ref="L491">IFERROR(INDEX('Исходник'!$1:$626,MATCH($A491,'Исходник'!$T:$T,0),MATCH(L$1,'Исходник'!$1:$1,0)))</f>
        <v/>
      </c>
      <c r="M491" s="28">
        <f t="shared" si="4"/>
        <v>0</v>
      </c>
      <c r="N491" s="1" t="str">
        <f t="array" ref="N491">IFERROR(INDEX('Исходник'!$1:$626,MATCH($A491,'Исходник'!$T:$T,0),MATCH(N$1,'Исходник'!$1:$1,0)))</f>
        <v/>
      </c>
      <c r="O491" s="27">
        <f t="shared" si="5"/>
        <v>0</v>
      </c>
      <c r="P491" s="27" t="str">
        <f t="shared" si="6"/>
        <v/>
      </c>
      <c r="Q491" s="1" t="str">
        <f t="array" ref="Q491">IFERROR(INDEX('Исходник'!$1:$626,MATCH($A491,'Исходник'!$T:$T,0),MATCH(Q$1,'Исходник'!$1:$1,0)))</f>
        <v/>
      </c>
      <c r="R491" s="1" t="str">
        <f t="array" ref="R491">IFERROR(INDEX('Исходник'!$1:$626,MATCH($A491,'Исходник'!$T:$T,0),MATCH(R$1,'Исходник'!$1:$1,0)))</f>
        <v/>
      </c>
      <c r="S491" s="27">
        <f t="shared" si="7"/>
        <v>0</v>
      </c>
      <c r="T491" s="27" t="str">
        <f t="shared" si="8"/>
        <v/>
      </c>
      <c r="U491" s="1" t="str">
        <f t="array" ref="U491">IFERROR(INDEX('Исходник'!$1:$626,MATCH($A491,'Исходник'!$T:$T,0),MATCH(U$1,'Исходник'!$1:$1,0)))</f>
        <v/>
      </c>
      <c r="V491" s="27" t="str">
        <f t="shared" si="9"/>
        <v/>
      </c>
      <c r="W491" s="1" t="str">
        <f t="array" ref="W491">IFERROR(INDEX('Исходник'!$1:$626,MATCH($A491,'Исходник'!$T:$T,0),MATCH(W$1,'Исходник'!$1:$1,0)))</f>
        <v/>
      </c>
      <c r="X491" s="28">
        <f t="shared" si="10"/>
        <v>0</v>
      </c>
      <c r="Y491" s="1" t="str">
        <f t="array" ref="Y491">IFERROR(INDEX('Исходник'!$1:$626,MATCH($A491,'Исходник'!$T:$T,0),MATCH(Y$1,'Исходник'!$1:$1,0)))</f>
        <v/>
      </c>
      <c r="Z491" s="27">
        <f t="shared" si="11"/>
        <v>0</v>
      </c>
      <c r="AA491" s="27" t="str">
        <f t="shared" si="12"/>
        <v/>
      </c>
      <c r="AB491" s="1" t="str">
        <f t="array" ref="AB491">IFERROR(INDEX('Исходник'!$1:$626,MATCH($A491,'Исходник'!$T:$T,0),MATCH(AB$1,'Исходник'!$1:$1,0)))</f>
        <v/>
      </c>
      <c r="AC491" s="1" t="str">
        <f t="array" ref="AC491">IFERROR(INDEX('Исходник'!$1:$626,MATCH($A491,'Исходник'!$T:$T,0),MATCH(AC$1,'Исходник'!$1:$1,0)))</f>
        <v/>
      </c>
      <c r="AD491" s="27" t="str">
        <f t="shared" si="13"/>
        <v/>
      </c>
      <c r="AE491" s="1" t="str">
        <f t="array" ref="AE491">IFERROR(INDEX('Исходник'!$1:$626,MATCH($A491,'Исходник'!$T:$T,0),MATCH(AE$1,'Исходник'!$1:$1,0)))</f>
        <v/>
      </c>
      <c r="AF491" s="1" t="str">
        <f t="array" ref="AF491">IFERROR(INDEX('Исходник'!$1:$626,MATCH($A491,'Исходник'!$T:$T,0),MATCH(AF$1,'Исходник'!$1:$1,0)))</f>
        <v/>
      </c>
      <c r="AG491" s="27" t="str">
        <f t="shared" si="14"/>
        <v/>
      </c>
      <c r="AH491" s="1" t="str">
        <f t="array" ref="AH491">IFERROR(INDEX('Исходник'!$1:$626,MATCH($A491,'Исходник'!$T:$T,0),MATCH(AH$1,'Исходник'!$1:$1,0)))</f>
        <v/>
      </c>
      <c r="AI491" s="1" t="str">
        <f t="array" ref="AI491">IFERROR(INDEX('Исходник'!$1:$626,MATCH($A491,'Исходник'!$T:$T,0),MATCH(AI$1,'Исходник'!$1:$1,0)))</f>
        <v/>
      </c>
      <c r="AJ491" s="18">
        <f t="shared" si="15"/>
        <v>0</v>
      </c>
    </row>
    <row r="492" ht="15.75" customHeight="1">
      <c r="A492" s="27"/>
      <c r="B492" s="1" t="str">
        <f t="array" ref="B492">IFERROR(INDEX('Исходник'!$1:$626,MATCH($A492,'Исходник'!$T:$T,0),MATCH(B$1,'Исходник'!$1:$1,0)))</f>
        <v/>
      </c>
      <c r="C492" s="1" t="str">
        <f t="array" ref="C492">IFERROR(INDEX('Исходник'!$1:$626,MATCH($A492,'Исходник'!$T:$T,0),MATCH(C$1,'Исходник'!$1:$1,0)))</f>
        <v/>
      </c>
      <c r="D492" s="1" t="str">
        <f t="array" ref="D492">IFERROR(INDEX('Исходник'!$1:$626,MATCH($A492,'Исходник'!$T:$T,0),MATCH(D$1,'Исходник'!$1:$1,0)))</f>
        <v/>
      </c>
      <c r="E492" s="1" t="str">
        <f t="array" ref="E492">IFERROR(INDEX('Исходник'!$1:$626,MATCH($A492,'Исходник'!$T:$T,0),MATCH(E$1,'Исходник'!$1:$1,0)))</f>
        <v/>
      </c>
      <c r="F492" s="1" t="str">
        <f t="array" ref="F492">IFERROR(INDEX('Исходник'!$1:$626,MATCH($A492,'Исходник'!$T:$T,0),MATCH(F$1,'Исходник'!$1:$1,0)))</f>
        <v/>
      </c>
      <c r="G492" s="1" t="str">
        <f t="array" ref="G492">IFERROR(INDEX('Исходник'!$1:$626,MATCH($A492,'Исходник'!$T:$T,0),MATCH(G$1,'Исходник'!$1:$1,0)))</f>
        <v/>
      </c>
      <c r="H492" s="27">
        <f t="shared" si="1"/>
        <v>0</v>
      </c>
      <c r="I492" s="27" t="str">
        <f t="shared" si="2"/>
        <v/>
      </c>
      <c r="J492" s="1" t="str">
        <f t="array" ref="J492">IFERROR(INDEX('Исходник'!$1:$626,MATCH($A492,'Исходник'!$T:$T,0),MATCH(J$1,'Исходник'!$1:$1,0)))</f>
        <v/>
      </c>
      <c r="K492" s="27" t="str">
        <f t="shared" si="3"/>
        <v/>
      </c>
      <c r="L492" s="1" t="str">
        <f t="array" ref="L492">IFERROR(INDEX('Исходник'!$1:$626,MATCH($A492,'Исходник'!$T:$T,0),MATCH(L$1,'Исходник'!$1:$1,0)))</f>
        <v/>
      </c>
      <c r="M492" s="28">
        <f t="shared" si="4"/>
        <v>0</v>
      </c>
      <c r="N492" s="1" t="str">
        <f t="array" ref="N492">IFERROR(INDEX('Исходник'!$1:$626,MATCH($A492,'Исходник'!$T:$T,0),MATCH(N$1,'Исходник'!$1:$1,0)))</f>
        <v/>
      </c>
      <c r="O492" s="27">
        <f t="shared" si="5"/>
        <v>0</v>
      </c>
      <c r="P492" s="27" t="str">
        <f t="shared" si="6"/>
        <v/>
      </c>
      <c r="Q492" s="1" t="str">
        <f t="array" ref="Q492">IFERROR(INDEX('Исходник'!$1:$626,MATCH($A492,'Исходник'!$T:$T,0),MATCH(Q$1,'Исходник'!$1:$1,0)))</f>
        <v/>
      </c>
      <c r="R492" s="1" t="str">
        <f t="array" ref="R492">IFERROR(INDEX('Исходник'!$1:$626,MATCH($A492,'Исходник'!$T:$T,0),MATCH(R$1,'Исходник'!$1:$1,0)))</f>
        <v/>
      </c>
      <c r="S492" s="27">
        <f t="shared" si="7"/>
        <v>0</v>
      </c>
      <c r="T492" s="27" t="str">
        <f t="shared" si="8"/>
        <v/>
      </c>
      <c r="U492" s="1" t="str">
        <f t="array" ref="U492">IFERROR(INDEX('Исходник'!$1:$626,MATCH($A492,'Исходник'!$T:$T,0),MATCH(U$1,'Исходник'!$1:$1,0)))</f>
        <v/>
      </c>
      <c r="V492" s="27" t="str">
        <f t="shared" si="9"/>
        <v/>
      </c>
      <c r="W492" s="1" t="str">
        <f t="array" ref="W492">IFERROR(INDEX('Исходник'!$1:$626,MATCH($A492,'Исходник'!$T:$T,0),MATCH(W$1,'Исходник'!$1:$1,0)))</f>
        <v/>
      </c>
      <c r="X492" s="28">
        <f t="shared" si="10"/>
        <v>0</v>
      </c>
      <c r="Y492" s="1" t="str">
        <f t="array" ref="Y492">IFERROR(INDEX('Исходник'!$1:$626,MATCH($A492,'Исходник'!$T:$T,0),MATCH(Y$1,'Исходник'!$1:$1,0)))</f>
        <v/>
      </c>
      <c r="Z492" s="27">
        <f t="shared" si="11"/>
        <v>0</v>
      </c>
      <c r="AA492" s="27" t="str">
        <f t="shared" si="12"/>
        <v/>
      </c>
      <c r="AB492" s="1" t="str">
        <f t="array" ref="AB492">IFERROR(INDEX('Исходник'!$1:$626,MATCH($A492,'Исходник'!$T:$T,0),MATCH(AB$1,'Исходник'!$1:$1,0)))</f>
        <v/>
      </c>
      <c r="AC492" s="1" t="str">
        <f t="array" ref="AC492">IFERROR(INDEX('Исходник'!$1:$626,MATCH($A492,'Исходник'!$T:$T,0),MATCH(AC$1,'Исходник'!$1:$1,0)))</f>
        <v/>
      </c>
      <c r="AD492" s="27" t="str">
        <f t="shared" si="13"/>
        <v/>
      </c>
      <c r="AE492" s="1" t="str">
        <f t="array" ref="AE492">IFERROR(INDEX('Исходник'!$1:$626,MATCH($A492,'Исходник'!$T:$T,0),MATCH(AE$1,'Исходник'!$1:$1,0)))</f>
        <v/>
      </c>
      <c r="AF492" s="1" t="str">
        <f t="array" ref="AF492">IFERROR(INDEX('Исходник'!$1:$626,MATCH($A492,'Исходник'!$T:$T,0),MATCH(AF$1,'Исходник'!$1:$1,0)))</f>
        <v/>
      </c>
      <c r="AG492" s="27" t="str">
        <f t="shared" si="14"/>
        <v/>
      </c>
      <c r="AH492" s="1" t="str">
        <f t="array" ref="AH492">IFERROR(INDEX('Исходник'!$1:$626,MATCH($A492,'Исходник'!$T:$T,0),MATCH(AH$1,'Исходник'!$1:$1,0)))</f>
        <v/>
      </c>
      <c r="AI492" s="1" t="str">
        <f t="array" ref="AI492">IFERROR(INDEX('Исходник'!$1:$626,MATCH($A492,'Исходник'!$T:$T,0),MATCH(AI$1,'Исходник'!$1:$1,0)))</f>
        <v/>
      </c>
      <c r="AJ492" s="18">
        <f t="shared" si="15"/>
        <v>0</v>
      </c>
    </row>
    <row r="493" ht="15.75" customHeight="1">
      <c r="A493" s="27"/>
      <c r="B493" s="1" t="str">
        <f t="array" ref="B493">IFERROR(INDEX('Исходник'!$1:$626,MATCH($A493,'Исходник'!$T:$T,0),MATCH(B$1,'Исходник'!$1:$1,0)))</f>
        <v/>
      </c>
      <c r="C493" s="1" t="str">
        <f t="array" ref="C493">IFERROR(INDEX('Исходник'!$1:$626,MATCH($A493,'Исходник'!$T:$T,0),MATCH(C$1,'Исходник'!$1:$1,0)))</f>
        <v/>
      </c>
      <c r="D493" s="1" t="str">
        <f t="array" ref="D493">IFERROR(INDEX('Исходник'!$1:$626,MATCH($A493,'Исходник'!$T:$T,0),MATCH(D$1,'Исходник'!$1:$1,0)))</f>
        <v/>
      </c>
      <c r="E493" s="1" t="str">
        <f t="array" ref="E493">IFERROR(INDEX('Исходник'!$1:$626,MATCH($A493,'Исходник'!$T:$T,0),MATCH(E$1,'Исходник'!$1:$1,0)))</f>
        <v/>
      </c>
      <c r="F493" s="1" t="str">
        <f t="array" ref="F493">IFERROR(INDEX('Исходник'!$1:$626,MATCH($A493,'Исходник'!$T:$T,0),MATCH(F$1,'Исходник'!$1:$1,0)))</f>
        <v/>
      </c>
      <c r="G493" s="1" t="str">
        <f t="array" ref="G493">IFERROR(INDEX('Исходник'!$1:$626,MATCH($A493,'Исходник'!$T:$T,0),MATCH(G$1,'Исходник'!$1:$1,0)))</f>
        <v/>
      </c>
      <c r="H493" s="27">
        <f t="shared" si="1"/>
        <v>0</v>
      </c>
      <c r="I493" s="27" t="str">
        <f t="shared" si="2"/>
        <v/>
      </c>
      <c r="J493" s="1" t="str">
        <f t="array" ref="J493">IFERROR(INDEX('Исходник'!$1:$626,MATCH($A493,'Исходник'!$T:$T,0),MATCH(J$1,'Исходник'!$1:$1,0)))</f>
        <v/>
      </c>
      <c r="K493" s="27" t="str">
        <f t="shared" si="3"/>
        <v/>
      </c>
      <c r="L493" s="1" t="str">
        <f t="array" ref="L493">IFERROR(INDEX('Исходник'!$1:$626,MATCH($A493,'Исходник'!$T:$T,0),MATCH(L$1,'Исходник'!$1:$1,0)))</f>
        <v/>
      </c>
      <c r="M493" s="28">
        <f t="shared" si="4"/>
        <v>0</v>
      </c>
      <c r="N493" s="1" t="str">
        <f t="array" ref="N493">IFERROR(INDEX('Исходник'!$1:$626,MATCH($A493,'Исходник'!$T:$T,0),MATCH(N$1,'Исходник'!$1:$1,0)))</f>
        <v/>
      </c>
      <c r="O493" s="27">
        <f t="shared" si="5"/>
        <v>0</v>
      </c>
      <c r="P493" s="27" t="str">
        <f t="shared" si="6"/>
        <v/>
      </c>
      <c r="Q493" s="1" t="str">
        <f t="array" ref="Q493">IFERROR(INDEX('Исходник'!$1:$626,MATCH($A493,'Исходник'!$T:$T,0),MATCH(Q$1,'Исходник'!$1:$1,0)))</f>
        <v/>
      </c>
      <c r="R493" s="1" t="str">
        <f t="array" ref="R493">IFERROR(INDEX('Исходник'!$1:$626,MATCH($A493,'Исходник'!$T:$T,0),MATCH(R$1,'Исходник'!$1:$1,0)))</f>
        <v/>
      </c>
      <c r="S493" s="27">
        <f t="shared" si="7"/>
        <v>0</v>
      </c>
      <c r="T493" s="27" t="str">
        <f t="shared" si="8"/>
        <v/>
      </c>
      <c r="U493" s="1" t="str">
        <f t="array" ref="U493">IFERROR(INDEX('Исходник'!$1:$626,MATCH($A493,'Исходник'!$T:$T,0),MATCH(U$1,'Исходник'!$1:$1,0)))</f>
        <v/>
      </c>
      <c r="V493" s="27" t="str">
        <f t="shared" si="9"/>
        <v/>
      </c>
      <c r="W493" s="1" t="str">
        <f t="array" ref="W493">IFERROR(INDEX('Исходник'!$1:$626,MATCH($A493,'Исходник'!$T:$T,0),MATCH(W$1,'Исходник'!$1:$1,0)))</f>
        <v/>
      </c>
      <c r="X493" s="28">
        <f t="shared" si="10"/>
        <v>0</v>
      </c>
      <c r="Y493" s="1" t="str">
        <f t="array" ref="Y493">IFERROR(INDEX('Исходник'!$1:$626,MATCH($A493,'Исходник'!$T:$T,0),MATCH(Y$1,'Исходник'!$1:$1,0)))</f>
        <v/>
      </c>
      <c r="Z493" s="27">
        <f t="shared" si="11"/>
        <v>0</v>
      </c>
      <c r="AA493" s="27" t="str">
        <f t="shared" si="12"/>
        <v/>
      </c>
      <c r="AB493" s="1" t="str">
        <f t="array" ref="AB493">IFERROR(INDEX('Исходник'!$1:$626,MATCH($A493,'Исходник'!$T:$T,0),MATCH(AB$1,'Исходник'!$1:$1,0)))</f>
        <v/>
      </c>
      <c r="AC493" s="1" t="str">
        <f t="array" ref="AC493">IFERROR(INDEX('Исходник'!$1:$626,MATCH($A493,'Исходник'!$T:$T,0),MATCH(AC$1,'Исходник'!$1:$1,0)))</f>
        <v/>
      </c>
      <c r="AD493" s="27" t="str">
        <f t="shared" si="13"/>
        <v/>
      </c>
      <c r="AE493" s="1" t="str">
        <f t="array" ref="AE493">IFERROR(INDEX('Исходник'!$1:$626,MATCH($A493,'Исходник'!$T:$T,0),MATCH(AE$1,'Исходник'!$1:$1,0)))</f>
        <v/>
      </c>
      <c r="AF493" s="1" t="str">
        <f t="array" ref="AF493">IFERROR(INDEX('Исходник'!$1:$626,MATCH($A493,'Исходник'!$T:$T,0),MATCH(AF$1,'Исходник'!$1:$1,0)))</f>
        <v/>
      </c>
      <c r="AG493" s="27" t="str">
        <f t="shared" si="14"/>
        <v/>
      </c>
      <c r="AH493" s="1" t="str">
        <f t="array" ref="AH493">IFERROR(INDEX('Исходник'!$1:$626,MATCH($A493,'Исходник'!$T:$T,0),MATCH(AH$1,'Исходник'!$1:$1,0)))</f>
        <v/>
      </c>
      <c r="AI493" s="1" t="str">
        <f t="array" ref="AI493">IFERROR(INDEX('Исходник'!$1:$626,MATCH($A493,'Исходник'!$T:$T,0),MATCH(AI$1,'Исходник'!$1:$1,0)))</f>
        <v/>
      </c>
      <c r="AJ493" s="18">
        <f t="shared" si="15"/>
        <v>0</v>
      </c>
    </row>
    <row r="494" ht="15.75" customHeight="1">
      <c r="A494" s="27"/>
      <c r="B494" s="1" t="str">
        <f t="array" ref="B494">IFERROR(INDEX('Исходник'!$1:$626,MATCH($A494,'Исходник'!$T:$T,0),MATCH(B$1,'Исходник'!$1:$1,0)))</f>
        <v/>
      </c>
      <c r="C494" s="1" t="str">
        <f t="array" ref="C494">IFERROR(INDEX('Исходник'!$1:$626,MATCH($A494,'Исходник'!$T:$T,0),MATCH(C$1,'Исходник'!$1:$1,0)))</f>
        <v/>
      </c>
      <c r="D494" s="1" t="str">
        <f t="array" ref="D494">IFERROR(INDEX('Исходник'!$1:$626,MATCH($A494,'Исходник'!$T:$T,0),MATCH(D$1,'Исходник'!$1:$1,0)))</f>
        <v/>
      </c>
      <c r="E494" s="1" t="str">
        <f t="array" ref="E494">IFERROR(INDEX('Исходник'!$1:$626,MATCH($A494,'Исходник'!$T:$T,0),MATCH(E$1,'Исходник'!$1:$1,0)))</f>
        <v/>
      </c>
      <c r="F494" s="1" t="str">
        <f t="array" ref="F494">IFERROR(INDEX('Исходник'!$1:$626,MATCH($A494,'Исходник'!$T:$T,0),MATCH(F$1,'Исходник'!$1:$1,0)))</f>
        <v/>
      </c>
      <c r="G494" s="1" t="str">
        <f t="array" ref="G494">IFERROR(INDEX('Исходник'!$1:$626,MATCH($A494,'Исходник'!$T:$T,0),MATCH(G$1,'Исходник'!$1:$1,0)))</f>
        <v/>
      </c>
      <c r="H494" s="27">
        <f t="shared" si="1"/>
        <v>0</v>
      </c>
      <c r="I494" s="27" t="str">
        <f t="shared" si="2"/>
        <v/>
      </c>
      <c r="J494" s="1" t="str">
        <f t="array" ref="J494">IFERROR(INDEX('Исходник'!$1:$626,MATCH($A494,'Исходник'!$T:$T,0),MATCH(J$1,'Исходник'!$1:$1,0)))</f>
        <v/>
      </c>
      <c r="K494" s="27" t="str">
        <f t="shared" si="3"/>
        <v/>
      </c>
      <c r="L494" s="1" t="str">
        <f t="array" ref="L494">IFERROR(INDEX('Исходник'!$1:$626,MATCH($A494,'Исходник'!$T:$T,0),MATCH(L$1,'Исходник'!$1:$1,0)))</f>
        <v/>
      </c>
      <c r="M494" s="28">
        <f t="shared" si="4"/>
        <v>0</v>
      </c>
      <c r="N494" s="1" t="str">
        <f t="array" ref="N494">IFERROR(INDEX('Исходник'!$1:$626,MATCH($A494,'Исходник'!$T:$T,0),MATCH(N$1,'Исходник'!$1:$1,0)))</f>
        <v/>
      </c>
      <c r="O494" s="27">
        <f t="shared" si="5"/>
        <v>0</v>
      </c>
      <c r="P494" s="27" t="str">
        <f t="shared" si="6"/>
        <v/>
      </c>
      <c r="Q494" s="1" t="str">
        <f t="array" ref="Q494">IFERROR(INDEX('Исходник'!$1:$626,MATCH($A494,'Исходник'!$T:$T,0),MATCH(Q$1,'Исходник'!$1:$1,0)))</f>
        <v/>
      </c>
      <c r="R494" s="1" t="str">
        <f t="array" ref="R494">IFERROR(INDEX('Исходник'!$1:$626,MATCH($A494,'Исходник'!$T:$T,0),MATCH(R$1,'Исходник'!$1:$1,0)))</f>
        <v/>
      </c>
      <c r="S494" s="27">
        <f t="shared" si="7"/>
        <v>0</v>
      </c>
      <c r="T494" s="27" t="str">
        <f t="shared" si="8"/>
        <v/>
      </c>
      <c r="U494" s="1" t="str">
        <f t="array" ref="U494">IFERROR(INDEX('Исходник'!$1:$626,MATCH($A494,'Исходник'!$T:$T,0),MATCH(U$1,'Исходник'!$1:$1,0)))</f>
        <v/>
      </c>
      <c r="V494" s="27" t="str">
        <f t="shared" si="9"/>
        <v/>
      </c>
      <c r="W494" s="1" t="str">
        <f t="array" ref="W494">IFERROR(INDEX('Исходник'!$1:$626,MATCH($A494,'Исходник'!$T:$T,0),MATCH(W$1,'Исходник'!$1:$1,0)))</f>
        <v/>
      </c>
      <c r="X494" s="28">
        <f t="shared" si="10"/>
        <v>0</v>
      </c>
      <c r="Y494" s="1" t="str">
        <f t="array" ref="Y494">IFERROR(INDEX('Исходник'!$1:$626,MATCH($A494,'Исходник'!$T:$T,0),MATCH(Y$1,'Исходник'!$1:$1,0)))</f>
        <v/>
      </c>
      <c r="Z494" s="27">
        <f t="shared" si="11"/>
        <v>0</v>
      </c>
      <c r="AA494" s="27" t="str">
        <f t="shared" si="12"/>
        <v/>
      </c>
      <c r="AB494" s="1" t="str">
        <f t="array" ref="AB494">IFERROR(INDEX('Исходник'!$1:$626,MATCH($A494,'Исходник'!$T:$T,0),MATCH(AB$1,'Исходник'!$1:$1,0)))</f>
        <v/>
      </c>
      <c r="AC494" s="1" t="str">
        <f t="array" ref="AC494">IFERROR(INDEX('Исходник'!$1:$626,MATCH($A494,'Исходник'!$T:$T,0),MATCH(AC$1,'Исходник'!$1:$1,0)))</f>
        <v/>
      </c>
      <c r="AD494" s="27" t="str">
        <f t="shared" si="13"/>
        <v/>
      </c>
      <c r="AE494" s="1" t="str">
        <f t="array" ref="AE494">IFERROR(INDEX('Исходник'!$1:$626,MATCH($A494,'Исходник'!$T:$T,0),MATCH(AE$1,'Исходник'!$1:$1,0)))</f>
        <v/>
      </c>
      <c r="AF494" s="1" t="str">
        <f t="array" ref="AF494">IFERROR(INDEX('Исходник'!$1:$626,MATCH($A494,'Исходник'!$T:$T,0),MATCH(AF$1,'Исходник'!$1:$1,0)))</f>
        <v/>
      </c>
      <c r="AG494" s="27" t="str">
        <f t="shared" si="14"/>
        <v/>
      </c>
      <c r="AH494" s="1" t="str">
        <f t="array" ref="AH494">IFERROR(INDEX('Исходник'!$1:$626,MATCH($A494,'Исходник'!$T:$T,0),MATCH(AH$1,'Исходник'!$1:$1,0)))</f>
        <v/>
      </c>
      <c r="AI494" s="1" t="str">
        <f t="array" ref="AI494">IFERROR(INDEX('Исходник'!$1:$626,MATCH($A494,'Исходник'!$T:$T,0),MATCH(AI$1,'Исходник'!$1:$1,0)))</f>
        <v/>
      </c>
      <c r="AJ494" s="18">
        <f t="shared" si="15"/>
        <v>0</v>
      </c>
    </row>
    <row r="495" ht="15.75" customHeight="1">
      <c r="A495" s="27"/>
      <c r="B495" s="1" t="str">
        <f t="array" ref="B495">IFERROR(INDEX('Исходник'!$1:$626,MATCH($A495,'Исходник'!$T:$T,0),MATCH(B$1,'Исходник'!$1:$1,0)))</f>
        <v/>
      </c>
      <c r="C495" s="1" t="str">
        <f t="array" ref="C495">IFERROR(INDEX('Исходник'!$1:$626,MATCH($A495,'Исходник'!$T:$T,0),MATCH(C$1,'Исходник'!$1:$1,0)))</f>
        <v/>
      </c>
      <c r="D495" s="1" t="str">
        <f t="array" ref="D495">IFERROR(INDEX('Исходник'!$1:$626,MATCH($A495,'Исходник'!$T:$T,0),MATCH(D$1,'Исходник'!$1:$1,0)))</f>
        <v/>
      </c>
      <c r="E495" s="1" t="str">
        <f t="array" ref="E495">IFERROR(INDEX('Исходник'!$1:$626,MATCH($A495,'Исходник'!$T:$T,0),MATCH(E$1,'Исходник'!$1:$1,0)))</f>
        <v/>
      </c>
      <c r="F495" s="1" t="str">
        <f t="array" ref="F495">IFERROR(INDEX('Исходник'!$1:$626,MATCH($A495,'Исходник'!$T:$T,0),MATCH(F$1,'Исходник'!$1:$1,0)))</f>
        <v/>
      </c>
      <c r="G495" s="1" t="str">
        <f t="array" ref="G495">IFERROR(INDEX('Исходник'!$1:$626,MATCH($A495,'Исходник'!$T:$T,0),MATCH(G$1,'Исходник'!$1:$1,0)))</f>
        <v/>
      </c>
      <c r="H495" s="27">
        <f t="shared" si="1"/>
        <v>0</v>
      </c>
      <c r="I495" s="27" t="str">
        <f t="shared" si="2"/>
        <v/>
      </c>
      <c r="J495" s="1" t="str">
        <f t="array" ref="J495">IFERROR(INDEX('Исходник'!$1:$626,MATCH($A495,'Исходник'!$T:$T,0),MATCH(J$1,'Исходник'!$1:$1,0)))</f>
        <v/>
      </c>
      <c r="K495" s="27" t="str">
        <f t="shared" si="3"/>
        <v/>
      </c>
      <c r="L495" s="1" t="str">
        <f t="array" ref="L495">IFERROR(INDEX('Исходник'!$1:$626,MATCH($A495,'Исходник'!$T:$T,0),MATCH(L$1,'Исходник'!$1:$1,0)))</f>
        <v/>
      </c>
      <c r="M495" s="28">
        <f t="shared" si="4"/>
        <v>0</v>
      </c>
      <c r="N495" s="1" t="str">
        <f t="array" ref="N495">IFERROR(INDEX('Исходник'!$1:$626,MATCH($A495,'Исходник'!$T:$T,0),MATCH(N$1,'Исходник'!$1:$1,0)))</f>
        <v/>
      </c>
      <c r="O495" s="27">
        <f t="shared" si="5"/>
        <v>0</v>
      </c>
      <c r="P495" s="27" t="str">
        <f t="shared" si="6"/>
        <v/>
      </c>
      <c r="Q495" s="1" t="str">
        <f t="array" ref="Q495">IFERROR(INDEX('Исходник'!$1:$626,MATCH($A495,'Исходник'!$T:$T,0),MATCH(Q$1,'Исходник'!$1:$1,0)))</f>
        <v/>
      </c>
      <c r="R495" s="1" t="str">
        <f t="array" ref="R495">IFERROR(INDEX('Исходник'!$1:$626,MATCH($A495,'Исходник'!$T:$T,0),MATCH(R$1,'Исходник'!$1:$1,0)))</f>
        <v/>
      </c>
      <c r="S495" s="27">
        <f t="shared" si="7"/>
        <v>0</v>
      </c>
      <c r="T495" s="27" t="str">
        <f t="shared" si="8"/>
        <v/>
      </c>
      <c r="U495" s="1" t="str">
        <f t="array" ref="U495">IFERROR(INDEX('Исходник'!$1:$626,MATCH($A495,'Исходник'!$T:$T,0),MATCH(U$1,'Исходник'!$1:$1,0)))</f>
        <v/>
      </c>
      <c r="V495" s="27" t="str">
        <f t="shared" si="9"/>
        <v/>
      </c>
      <c r="W495" s="1" t="str">
        <f t="array" ref="W495">IFERROR(INDEX('Исходник'!$1:$626,MATCH($A495,'Исходник'!$T:$T,0),MATCH(W$1,'Исходник'!$1:$1,0)))</f>
        <v/>
      </c>
      <c r="X495" s="28">
        <f t="shared" si="10"/>
        <v>0</v>
      </c>
      <c r="Y495" s="1" t="str">
        <f t="array" ref="Y495">IFERROR(INDEX('Исходник'!$1:$626,MATCH($A495,'Исходник'!$T:$T,0),MATCH(Y$1,'Исходник'!$1:$1,0)))</f>
        <v/>
      </c>
      <c r="Z495" s="27">
        <f t="shared" si="11"/>
        <v>0</v>
      </c>
      <c r="AA495" s="27" t="str">
        <f t="shared" si="12"/>
        <v/>
      </c>
      <c r="AB495" s="1" t="str">
        <f t="array" ref="AB495">IFERROR(INDEX('Исходник'!$1:$626,MATCH($A495,'Исходник'!$T:$T,0),MATCH(AB$1,'Исходник'!$1:$1,0)))</f>
        <v/>
      </c>
      <c r="AC495" s="1" t="str">
        <f t="array" ref="AC495">IFERROR(INDEX('Исходник'!$1:$626,MATCH($A495,'Исходник'!$T:$T,0),MATCH(AC$1,'Исходник'!$1:$1,0)))</f>
        <v/>
      </c>
      <c r="AD495" s="27" t="str">
        <f t="shared" si="13"/>
        <v/>
      </c>
      <c r="AE495" s="1" t="str">
        <f t="array" ref="AE495">IFERROR(INDEX('Исходник'!$1:$626,MATCH($A495,'Исходник'!$T:$T,0),MATCH(AE$1,'Исходник'!$1:$1,0)))</f>
        <v/>
      </c>
      <c r="AF495" s="1" t="str">
        <f t="array" ref="AF495">IFERROR(INDEX('Исходник'!$1:$626,MATCH($A495,'Исходник'!$T:$T,0),MATCH(AF$1,'Исходник'!$1:$1,0)))</f>
        <v/>
      </c>
      <c r="AG495" s="27" t="str">
        <f t="shared" si="14"/>
        <v/>
      </c>
      <c r="AH495" s="1" t="str">
        <f t="array" ref="AH495">IFERROR(INDEX('Исходник'!$1:$626,MATCH($A495,'Исходник'!$T:$T,0),MATCH(AH$1,'Исходник'!$1:$1,0)))</f>
        <v/>
      </c>
      <c r="AI495" s="1" t="str">
        <f t="array" ref="AI495">IFERROR(INDEX('Исходник'!$1:$626,MATCH($A495,'Исходник'!$T:$T,0),MATCH(AI$1,'Исходник'!$1:$1,0)))</f>
        <v/>
      </c>
      <c r="AJ495" s="18">
        <f t="shared" si="15"/>
        <v>0</v>
      </c>
    </row>
    <row r="496" ht="15.75" customHeight="1">
      <c r="A496" s="27"/>
      <c r="B496" s="1" t="str">
        <f t="array" ref="B496">IFERROR(INDEX('Исходник'!$1:$626,MATCH($A496,'Исходник'!$T:$T,0),MATCH(B$1,'Исходник'!$1:$1,0)))</f>
        <v/>
      </c>
      <c r="C496" s="1" t="str">
        <f t="array" ref="C496">IFERROR(INDEX('Исходник'!$1:$626,MATCH($A496,'Исходник'!$T:$T,0),MATCH(C$1,'Исходник'!$1:$1,0)))</f>
        <v/>
      </c>
      <c r="D496" s="1" t="str">
        <f t="array" ref="D496">IFERROR(INDEX('Исходник'!$1:$626,MATCH($A496,'Исходник'!$T:$T,0),MATCH(D$1,'Исходник'!$1:$1,0)))</f>
        <v/>
      </c>
      <c r="E496" s="1" t="str">
        <f t="array" ref="E496">IFERROR(INDEX('Исходник'!$1:$626,MATCH($A496,'Исходник'!$T:$T,0),MATCH(E$1,'Исходник'!$1:$1,0)))</f>
        <v/>
      </c>
      <c r="F496" s="1" t="str">
        <f t="array" ref="F496">IFERROR(INDEX('Исходник'!$1:$626,MATCH($A496,'Исходник'!$T:$T,0),MATCH(F$1,'Исходник'!$1:$1,0)))</f>
        <v/>
      </c>
      <c r="G496" s="1" t="str">
        <f t="array" ref="G496">IFERROR(INDEX('Исходник'!$1:$626,MATCH($A496,'Исходник'!$T:$T,0),MATCH(G$1,'Исходник'!$1:$1,0)))</f>
        <v/>
      </c>
      <c r="H496" s="27">
        <f t="shared" si="1"/>
        <v>0</v>
      </c>
      <c r="I496" s="27" t="str">
        <f t="shared" si="2"/>
        <v/>
      </c>
      <c r="J496" s="1" t="str">
        <f t="array" ref="J496">IFERROR(INDEX('Исходник'!$1:$626,MATCH($A496,'Исходник'!$T:$T,0),MATCH(J$1,'Исходник'!$1:$1,0)))</f>
        <v/>
      </c>
      <c r="K496" s="27" t="str">
        <f t="shared" si="3"/>
        <v/>
      </c>
      <c r="L496" s="1" t="str">
        <f t="array" ref="L496">IFERROR(INDEX('Исходник'!$1:$626,MATCH($A496,'Исходник'!$T:$T,0),MATCH(L$1,'Исходник'!$1:$1,0)))</f>
        <v/>
      </c>
      <c r="M496" s="28">
        <f t="shared" si="4"/>
        <v>0</v>
      </c>
      <c r="N496" s="1" t="str">
        <f t="array" ref="N496">IFERROR(INDEX('Исходник'!$1:$626,MATCH($A496,'Исходник'!$T:$T,0),MATCH(N$1,'Исходник'!$1:$1,0)))</f>
        <v/>
      </c>
      <c r="O496" s="27">
        <f t="shared" si="5"/>
        <v>0</v>
      </c>
      <c r="P496" s="27" t="str">
        <f t="shared" si="6"/>
        <v/>
      </c>
      <c r="Q496" s="1" t="str">
        <f t="array" ref="Q496">IFERROR(INDEX('Исходник'!$1:$626,MATCH($A496,'Исходник'!$T:$T,0),MATCH(Q$1,'Исходник'!$1:$1,0)))</f>
        <v/>
      </c>
      <c r="R496" s="1" t="str">
        <f t="array" ref="R496">IFERROR(INDEX('Исходник'!$1:$626,MATCH($A496,'Исходник'!$T:$T,0),MATCH(R$1,'Исходник'!$1:$1,0)))</f>
        <v/>
      </c>
      <c r="S496" s="27">
        <f t="shared" si="7"/>
        <v>0</v>
      </c>
      <c r="T496" s="27" t="str">
        <f t="shared" si="8"/>
        <v/>
      </c>
      <c r="U496" s="1" t="str">
        <f t="array" ref="U496">IFERROR(INDEX('Исходник'!$1:$626,MATCH($A496,'Исходник'!$T:$T,0),MATCH(U$1,'Исходник'!$1:$1,0)))</f>
        <v/>
      </c>
      <c r="V496" s="27" t="str">
        <f t="shared" si="9"/>
        <v/>
      </c>
      <c r="W496" s="1" t="str">
        <f t="array" ref="W496">IFERROR(INDEX('Исходник'!$1:$626,MATCH($A496,'Исходник'!$T:$T,0),MATCH(W$1,'Исходник'!$1:$1,0)))</f>
        <v/>
      </c>
      <c r="X496" s="28">
        <f t="shared" si="10"/>
        <v>0</v>
      </c>
      <c r="Y496" s="1" t="str">
        <f t="array" ref="Y496">IFERROR(INDEX('Исходник'!$1:$626,MATCH($A496,'Исходник'!$T:$T,0),MATCH(Y$1,'Исходник'!$1:$1,0)))</f>
        <v/>
      </c>
      <c r="Z496" s="27">
        <f t="shared" si="11"/>
        <v>0</v>
      </c>
      <c r="AA496" s="27" t="str">
        <f t="shared" si="12"/>
        <v/>
      </c>
      <c r="AB496" s="1" t="str">
        <f t="array" ref="AB496">IFERROR(INDEX('Исходник'!$1:$626,MATCH($A496,'Исходник'!$T:$T,0),MATCH(AB$1,'Исходник'!$1:$1,0)))</f>
        <v/>
      </c>
      <c r="AC496" s="1" t="str">
        <f t="array" ref="AC496">IFERROR(INDEX('Исходник'!$1:$626,MATCH($A496,'Исходник'!$T:$T,0),MATCH(AC$1,'Исходник'!$1:$1,0)))</f>
        <v/>
      </c>
      <c r="AD496" s="27" t="str">
        <f t="shared" si="13"/>
        <v/>
      </c>
      <c r="AE496" s="1" t="str">
        <f t="array" ref="AE496">IFERROR(INDEX('Исходник'!$1:$626,MATCH($A496,'Исходник'!$T:$T,0),MATCH(AE$1,'Исходник'!$1:$1,0)))</f>
        <v/>
      </c>
      <c r="AF496" s="1" t="str">
        <f t="array" ref="AF496">IFERROR(INDEX('Исходник'!$1:$626,MATCH($A496,'Исходник'!$T:$T,0),MATCH(AF$1,'Исходник'!$1:$1,0)))</f>
        <v/>
      </c>
      <c r="AG496" s="27" t="str">
        <f t="shared" si="14"/>
        <v/>
      </c>
      <c r="AH496" s="1" t="str">
        <f t="array" ref="AH496">IFERROR(INDEX('Исходник'!$1:$626,MATCH($A496,'Исходник'!$T:$T,0),MATCH(AH$1,'Исходник'!$1:$1,0)))</f>
        <v/>
      </c>
      <c r="AI496" s="1" t="str">
        <f t="array" ref="AI496">IFERROR(INDEX('Исходник'!$1:$626,MATCH($A496,'Исходник'!$T:$T,0),MATCH(AI$1,'Исходник'!$1:$1,0)))</f>
        <v/>
      </c>
      <c r="AJ496" s="18">
        <f t="shared" si="15"/>
        <v>0</v>
      </c>
    </row>
    <row r="497" ht="15.75" customHeight="1">
      <c r="A497" s="27"/>
      <c r="B497" s="1" t="str">
        <f t="array" ref="B497">IFERROR(INDEX('Исходник'!$1:$626,MATCH($A497,'Исходник'!$T:$T,0),MATCH(B$1,'Исходник'!$1:$1,0)))</f>
        <v/>
      </c>
      <c r="C497" s="1" t="str">
        <f t="array" ref="C497">IFERROR(INDEX('Исходник'!$1:$626,MATCH($A497,'Исходник'!$T:$T,0),MATCH(C$1,'Исходник'!$1:$1,0)))</f>
        <v/>
      </c>
      <c r="D497" s="1" t="str">
        <f t="array" ref="D497">IFERROR(INDEX('Исходник'!$1:$626,MATCH($A497,'Исходник'!$T:$T,0),MATCH(D$1,'Исходник'!$1:$1,0)))</f>
        <v/>
      </c>
      <c r="E497" s="1" t="str">
        <f t="array" ref="E497">IFERROR(INDEX('Исходник'!$1:$626,MATCH($A497,'Исходник'!$T:$T,0),MATCH(E$1,'Исходник'!$1:$1,0)))</f>
        <v/>
      </c>
      <c r="F497" s="1" t="str">
        <f t="array" ref="F497">IFERROR(INDEX('Исходник'!$1:$626,MATCH($A497,'Исходник'!$T:$T,0),MATCH(F$1,'Исходник'!$1:$1,0)))</f>
        <v/>
      </c>
      <c r="G497" s="1" t="str">
        <f t="array" ref="G497">IFERROR(INDEX('Исходник'!$1:$626,MATCH($A497,'Исходник'!$T:$T,0),MATCH(G$1,'Исходник'!$1:$1,0)))</f>
        <v/>
      </c>
      <c r="H497" s="27">
        <f t="shared" si="1"/>
        <v>0</v>
      </c>
      <c r="I497" s="27" t="str">
        <f t="shared" si="2"/>
        <v/>
      </c>
      <c r="J497" s="1" t="str">
        <f t="array" ref="J497">IFERROR(INDEX('Исходник'!$1:$626,MATCH($A497,'Исходник'!$T:$T,0),MATCH(J$1,'Исходник'!$1:$1,0)))</f>
        <v/>
      </c>
      <c r="K497" s="27" t="str">
        <f t="shared" si="3"/>
        <v/>
      </c>
      <c r="L497" s="1" t="str">
        <f t="array" ref="L497">IFERROR(INDEX('Исходник'!$1:$626,MATCH($A497,'Исходник'!$T:$T,0),MATCH(L$1,'Исходник'!$1:$1,0)))</f>
        <v/>
      </c>
      <c r="M497" s="28">
        <f t="shared" si="4"/>
        <v>0</v>
      </c>
      <c r="N497" s="1" t="str">
        <f t="array" ref="N497">IFERROR(INDEX('Исходник'!$1:$626,MATCH($A497,'Исходник'!$T:$T,0),MATCH(N$1,'Исходник'!$1:$1,0)))</f>
        <v/>
      </c>
      <c r="O497" s="27">
        <f t="shared" si="5"/>
        <v>0</v>
      </c>
      <c r="P497" s="27" t="str">
        <f t="shared" si="6"/>
        <v/>
      </c>
      <c r="Q497" s="1" t="str">
        <f t="array" ref="Q497">IFERROR(INDEX('Исходник'!$1:$626,MATCH($A497,'Исходник'!$T:$T,0),MATCH(Q$1,'Исходник'!$1:$1,0)))</f>
        <v/>
      </c>
      <c r="R497" s="1" t="str">
        <f t="array" ref="R497">IFERROR(INDEX('Исходник'!$1:$626,MATCH($A497,'Исходник'!$T:$T,0),MATCH(R$1,'Исходник'!$1:$1,0)))</f>
        <v/>
      </c>
      <c r="S497" s="27">
        <f t="shared" si="7"/>
        <v>0</v>
      </c>
      <c r="T497" s="27" t="str">
        <f t="shared" si="8"/>
        <v/>
      </c>
      <c r="U497" s="1" t="str">
        <f t="array" ref="U497">IFERROR(INDEX('Исходник'!$1:$626,MATCH($A497,'Исходник'!$T:$T,0),MATCH(U$1,'Исходник'!$1:$1,0)))</f>
        <v/>
      </c>
      <c r="V497" s="27" t="str">
        <f t="shared" si="9"/>
        <v/>
      </c>
      <c r="W497" s="1" t="str">
        <f t="array" ref="W497">IFERROR(INDEX('Исходник'!$1:$626,MATCH($A497,'Исходник'!$T:$T,0),MATCH(W$1,'Исходник'!$1:$1,0)))</f>
        <v/>
      </c>
      <c r="X497" s="28">
        <f t="shared" si="10"/>
        <v>0</v>
      </c>
      <c r="Y497" s="1" t="str">
        <f t="array" ref="Y497">IFERROR(INDEX('Исходник'!$1:$626,MATCH($A497,'Исходник'!$T:$T,0),MATCH(Y$1,'Исходник'!$1:$1,0)))</f>
        <v/>
      </c>
      <c r="Z497" s="27">
        <f t="shared" si="11"/>
        <v>0</v>
      </c>
      <c r="AA497" s="27" t="str">
        <f t="shared" si="12"/>
        <v/>
      </c>
      <c r="AB497" s="1" t="str">
        <f t="array" ref="AB497">IFERROR(INDEX('Исходник'!$1:$626,MATCH($A497,'Исходник'!$T:$T,0),MATCH(AB$1,'Исходник'!$1:$1,0)))</f>
        <v/>
      </c>
      <c r="AC497" s="1" t="str">
        <f t="array" ref="AC497">IFERROR(INDEX('Исходник'!$1:$626,MATCH($A497,'Исходник'!$T:$T,0),MATCH(AC$1,'Исходник'!$1:$1,0)))</f>
        <v/>
      </c>
      <c r="AD497" s="27" t="str">
        <f t="shared" si="13"/>
        <v/>
      </c>
      <c r="AE497" s="1" t="str">
        <f t="array" ref="AE497">IFERROR(INDEX('Исходник'!$1:$626,MATCH($A497,'Исходник'!$T:$T,0),MATCH(AE$1,'Исходник'!$1:$1,0)))</f>
        <v/>
      </c>
      <c r="AF497" s="1" t="str">
        <f t="array" ref="AF497">IFERROR(INDEX('Исходник'!$1:$626,MATCH($A497,'Исходник'!$T:$T,0),MATCH(AF$1,'Исходник'!$1:$1,0)))</f>
        <v/>
      </c>
      <c r="AG497" s="27" t="str">
        <f t="shared" si="14"/>
        <v/>
      </c>
      <c r="AH497" s="1" t="str">
        <f t="array" ref="AH497">IFERROR(INDEX('Исходник'!$1:$626,MATCH($A497,'Исходник'!$T:$T,0),MATCH(AH$1,'Исходник'!$1:$1,0)))</f>
        <v/>
      </c>
      <c r="AI497" s="1" t="str">
        <f t="array" ref="AI497">IFERROR(INDEX('Исходник'!$1:$626,MATCH($A497,'Исходник'!$T:$T,0),MATCH(AI$1,'Исходник'!$1:$1,0)))</f>
        <v/>
      </c>
      <c r="AJ497" s="18">
        <f t="shared" si="15"/>
        <v>0</v>
      </c>
    </row>
    <row r="498" ht="15.75" customHeight="1">
      <c r="A498" s="27"/>
      <c r="B498" s="1" t="str">
        <f t="array" ref="B498">IFERROR(INDEX('Исходник'!$1:$626,MATCH($A498,'Исходник'!$T:$T,0),MATCH(B$1,'Исходник'!$1:$1,0)))</f>
        <v/>
      </c>
      <c r="C498" s="1" t="str">
        <f t="array" ref="C498">IFERROR(INDEX('Исходник'!$1:$626,MATCH($A498,'Исходник'!$T:$T,0),MATCH(C$1,'Исходник'!$1:$1,0)))</f>
        <v/>
      </c>
      <c r="D498" s="1" t="str">
        <f t="array" ref="D498">IFERROR(INDEX('Исходник'!$1:$626,MATCH($A498,'Исходник'!$T:$T,0),MATCH(D$1,'Исходник'!$1:$1,0)))</f>
        <v/>
      </c>
      <c r="E498" s="1" t="str">
        <f t="array" ref="E498">IFERROR(INDEX('Исходник'!$1:$626,MATCH($A498,'Исходник'!$T:$T,0),MATCH(E$1,'Исходник'!$1:$1,0)))</f>
        <v/>
      </c>
      <c r="F498" s="1" t="str">
        <f t="array" ref="F498">IFERROR(INDEX('Исходник'!$1:$626,MATCH($A498,'Исходник'!$T:$T,0),MATCH(F$1,'Исходник'!$1:$1,0)))</f>
        <v/>
      </c>
      <c r="G498" s="1" t="str">
        <f t="array" ref="G498">IFERROR(INDEX('Исходник'!$1:$626,MATCH($A498,'Исходник'!$T:$T,0),MATCH(G$1,'Исходник'!$1:$1,0)))</f>
        <v/>
      </c>
      <c r="H498" s="27">
        <f t="shared" si="1"/>
        <v>0</v>
      </c>
      <c r="I498" s="27" t="str">
        <f t="shared" si="2"/>
        <v/>
      </c>
      <c r="J498" s="1" t="str">
        <f t="array" ref="J498">IFERROR(INDEX('Исходник'!$1:$626,MATCH($A498,'Исходник'!$T:$T,0),MATCH(J$1,'Исходник'!$1:$1,0)))</f>
        <v/>
      </c>
      <c r="K498" s="27" t="str">
        <f t="shared" si="3"/>
        <v/>
      </c>
      <c r="L498" s="1" t="str">
        <f t="array" ref="L498">IFERROR(INDEX('Исходник'!$1:$626,MATCH($A498,'Исходник'!$T:$T,0),MATCH(L$1,'Исходник'!$1:$1,0)))</f>
        <v/>
      </c>
      <c r="M498" s="28">
        <f t="shared" si="4"/>
        <v>0</v>
      </c>
      <c r="N498" s="1" t="str">
        <f t="array" ref="N498">IFERROR(INDEX('Исходник'!$1:$626,MATCH($A498,'Исходник'!$T:$T,0),MATCH(N$1,'Исходник'!$1:$1,0)))</f>
        <v/>
      </c>
      <c r="O498" s="27">
        <f t="shared" si="5"/>
        <v>0</v>
      </c>
      <c r="P498" s="27" t="str">
        <f t="shared" si="6"/>
        <v/>
      </c>
      <c r="Q498" s="1" t="str">
        <f t="array" ref="Q498">IFERROR(INDEX('Исходник'!$1:$626,MATCH($A498,'Исходник'!$T:$T,0),MATCH(Q$1,'Исходник'!$1:$1,0)))</f>
        <v/>
      </c>
      <c r="R498" s="1" t="str">
        <f t="array" ref="R498">IFERROR(INDEX('Исходник'!$1:$626,MATCH($A498,'Исходник'!$T:$T,0),MATCH(R$1,'Исходник'!$1:$1,0)))</f>
        <v/>
      </c>
      <c r="S498" s="27">
        <f t="shared" si="7"/>
        <v>0</v>
      </c>
      <c r="T498" s="27" t="str">
        <f t="shared" si="8"/>
        <v/>
      </c>
      <c r="U498" s="1" t="str">
        <f t="array" ref="U498">IFERROR(INDEX('Исходник'!$1:$626,MATCH($A498,'Исходник'!$T:$T,0),MATCH(U$1,'Исходник'!$1:$1,0)))</f>
        <v/>
      </c>
      <c r="V498" s="27" t="str">
        <f t="shared" si="9"/>
        <v/>
      </c>
      <c r="W498" s="1" t="str">
        <f t="array" ref="W498">IFERROR(INDEX('Исходник'!$1:$626,MATCH($A498,'Исходник'!$T:$T,0),MATCH(W$1,'Исходник'!$1:$1,0)))</f>
        <v/>
      </c>
      <c r="X498" s="28">
        <f t="shared" si="10"/>
        <v>0</v>
      </c>
      <c r="Y498" s="1" t="str">
        <f t="array" ref="Y498">IFERROR(INDEX('Исходник'!$1:$626,MATCH($A498,'Исходник'!$T:$T,0),MATCH(Y$1,'Исходник'!$1:$1,0)))</f>
        <v/>
      </c>
      <c r="Z498" s="27">
        <f t="shared" si="11"/>
        <v>0</v>
      </c>
      <c r="AA498" s="27" t="str">
        <f t="shared" si="12"/>
        <v/>
      </c>
      <c r="AB498" s="1" t="str">
        <f t="array" ref="AB498">IFERROR(INDEX('Исходник'!$1:$626,MATCH($A498,'Исходник'!$T:$T,0),MATCH(AB$1,'Исходник'!$1:$1,0)))</f>
        <v/>
      </c>
      <c r="AC498" s="1" t="str">
        <f t="array" ref="AC498">IFERROR(INDEX('Исходник'!$1:$626,MATCH($A498,'Исходник'!$T:$T,0),MATCH(AC$1,'Исходник'!$1:$1,0)))</f>
        <v/>
      </c>
      <c r="AD498" s="27" t="str">
        <f t="shared" si="13"/>
        <v/>
      </c>
      <c r="AE498" s="1" t="str">
        <f t="array" ref="AE498">IFERROR(INDEX('Исходник'!$1:$626,MATCH($A498,'Исходник'!$T:$T,0),MATCH(AE$1,'Исходник'!$1:$1,0)))</f>
        <v/>
      </c>
      <c r="AF498" s="1" t="str">
        <f t="array" ref="AF498">IFERROR(INDEX('Исходник'!$1:$626,MATCH($A498,'Исходник'!$T:$T,0),MATCH(AF$1,'Исходник'!$1:$1,0)))</f>
        <v/>
      </c>
      <c r="AG498" s="27" t="str">
        <f t="shared" si="14"/>
        <v/>
      </c>
      <c r="AH498" s="1" t="str">
        <f t="array" ref="AH498">IFERROR(INDEX('Исходник'!$1:$626,MATCH($A498,'Исходник'!$T:$T,0),MATCH(AH$1,'Исходник'!$1:$1,0)))</f>
        <v/>
      </c>
      <c r="AI498" s="1" t="str">
        <f t="array" ref="AI498">IFERROR(INDEX('Исходник'!$1:$626,MATCH($A498,'Исходник'!$T:$T,0),MATCH(AI$1,'Исходник'!$1:$1,0)))</f>
        <v/>
      </c>
      <c r="AJ498" s="18">
        <f t="shared" si="15"/>
        <v>0</v>
      </c>
    </row>
    <row r="499" ht="15.75" customHeight="1">
      <c r="A499" s="27"/>
      <c r="B499" s="1" t="str">
        <f t="array" ref="B499">IFERROR(INDEX('Исходник'!$1:$626,MATCH($A499,'Исходник'!$T:$T,0),MATCH(B$1,'Исходник'!$1:$1,0)))</f>
        <v/>
      </c>
      <c r="C499" s="1" t="str">
        <f t="array" ref="C499">IFERROR(INDEX('Исходник'!$1:$626,MATCH($A499,'Исходник'!$T:$T,0),MATCH(C$1,'Исходник'!$1:$1,0)))</f>
        <v/>
      </c>
      <c r="D499" s="1" t="str">
        <f t="array" ref="D499">IFERROR(INDEX('Исходник'!$1:$626,MATCH($A499,'Исходник'!$T:$T,0),MATCH(D$1,'Исходник'!$1:$1,0)))</f>
        <v/>
      </c>
      <c r="E499" s="1" t="str">
        <f t="array" ref="E499">IFERROR(INDEX('Исходник'!$1:$626,MATCH($A499,'Исходник'!$T:$T,0),MATCH(E$1,'Исходник'!$1:$1,0)))</f>
        <v/>
      </c>
      <c r="F499" s="1" t="str">
        <f t="array" ref="F499">IFERROR(INDEX('Исходник'!$1:$626,MATCH($A499,'Исходник'!$T:$T,0),MATCH(F$1,'Исходник'!$1:$1,0)))</f>
        <v/>
      </c>
      <c r="G499" s="1" t="str">
        <f t="array" ref="G499">IFERROR(INDEX('Исходник'!$1:$626,MATCH($A499,'Исходник'!$T:$T,0),MATCH(G$1,'Исходник'!$1:$1,0)))</f>
        <v/>
      </c>
      <c r="H499" s="27">
        <f t="shared" si="1"/>
        <v>0</v>
      </c>
      <c r="I499" s="27" t="str">
        <f t="shared" si="2"/>
        <v/>
      </c>
      <c r="J499" s="1" t="str">
        <f t="array" ref="J499">IFERROR(INDEX('Исходник'!$1:$626,MATCH($A499,'Исходник'!$T:$T,0),MATCH(J$1,'Исходник'!$1:$1,0)))</f>
        <v/>
      </c>
      <c r="K499" s="27" t="str">
        <f t="shared" si="3"/>
        <v/>
      </c>
      <c r="L499" s="1" t="str">
        <f t="array" ref="L499">IFERROR(INDEX('Исходник'!$1:$626,MATCH($A499,'Исходник'!$T:$T,0),MATCH(L$1,'Исходник'!$1:$1,0)))</f>
        <v/>
      </c>
      <c r="M499" s="28">
        <f t="shared" si="4"/>
        <v>0</v>
      </c>
      <c r="N499" s="1" t="str">
        <f t="array" ref="N499">IFERROR(INDEX('Исходник'!$1:$626,MATCH($A499,'Исходник'!$T:$T,0),MATCH(N$1,'Исходник'!$1:$1,0)))</f>
        <v/>
      </c>
      <c r="O499" s="27">
        <f t="shared" si="5"/>
        <v>0</v>
      </c>
      <c r="P499" s="27" t="str">
        <f t="shared" si="6"/>
        <v/>
      </c>
      <c r="Q499" s="1" t="str">
        <f t="array" ref="Q499">IFERROR(INDEX('Исходник'!$1:$626,MATCH($A499,'Исходник'!$T:$T,0),MATCH(Q$1,'Исходник'!$1:$1,0)))</f>
        <v/>
      </c>
      <c r="R499" s="1" t="str">
        <f t="array" ref="R499">IFERROR(INDEX('Исходник'!$1:$626,MATCH($A499,'Исходник'!$T:$T,0),MATCH(R$1,'Исходник'!$1:$1,0)))</f>
        <v/>
      </c>
      <c r="S499" s="27">
        <f t="shared" si="7"/>
        <v>0</v>
      </c>
      <c r="T499" s="27" t="str">
        <f t="shared" si="8"/>
        <v/>
      </c>
      <c r="U499" s="1" t="str">
        <f t="array" ref="U499">IFERROR(INDEX('Исходник'!$1:$626,MATCH($A499,'Исходник'!$T:$T,0),MATCH(U$1,'Исходник'!$1:$1,0)))</f>
        <v/>
      </c>
      <c r="V499" s="27" t="str">
        <f t="shared" si="9"/>
        <v/>
      </c>
      <c r="W499" s="1" t="str">
        <f t="array" ref="W499">IFERROR(INDEX('Исходник'!$1:$626,MATCH($A499,'Исходник'!$T:$T,0),MATCH(W$1,'Исходник'!$1:$1,0)))</f>
        <v/>
      </c>
      <c r="X499" s="28">
        <f t="shared" si="10"/>
        <v>0</v>
      </c>
      <c r="Y499" s="1" t="str">
        <f t="array" ref="Y499">IFERROR(INDEX('Исходник'!$1:$626,MATCH($A499,'Исходник'!$T:$T,0),MATCH(Y$1,'Исходник'!$1:$1,0)))</f>
        <v/>
      </c>
      <c r="Z499" s="27">
        <f t="shared" si="11"/>
        <v>0</v>
      </c>
      <c r="AA499" s="27" t="str">
        <f t="shared" si="12"/>
        <v/>
      </c>
      <c r="AB499" s="1" t="str">
        <f t="array" ref="AB499">IFERROR(INDEX('Исходник'!$1:$626,MATCH($A499,'Исходник'!$T:$T,0),MATCH(AB$1,'Исходник'!$1:$1,0)))</f>
        <v/>
      </c>
      <c r="AC499" s="1" t="str">
        <f t="array" ref="AC499">IFERROR(INDEX('Исходник'!$1:$626,MATCH($A499,'Исходник'!$T:$T,0),MATCH(AC$1,'Исходник'!$1:$1,0)))</f>
        <v/>
      </c>
      <c r="AD499" s="27" t="str">
        <f t="shared" si="13"/>
        <v/>
      </c>
      <c r="AE499" s="1" t="str">
        <f t="array" ref="AE499">IFERROR(INDEX('Исходник'!$1:$626,MATCH($A499,'Исходник'!$T:$T,0),MATCH(AE$1,'Исходник'!$1:$1,0)))</f>
        <v/>
      </c>
      <c r="AF499" s="1" t="str">
        <f t="array" ref="AF499">IFERROR(INDEX('Исходник'!$1:$626,MATCH($A499,'Исходник'!$T:$T,0),MATCH(AF$1,'Исходник'!$1:$1,0)))</f>
        <v/>
      </c>
      <c r="AG499" s="27" t="str">
        <f t="shared" si="14"/>
        <v/>
      </c>
      <c r="AH499" s="1" t="str">
        <f t="array" ref="AH499">IFERROR(INDEX('Исходник'!$1:$626,MATCH($A499,'Исходник'!$T:$T,0),MATCH(AH$1,'Исходник'!$1:$1,0)))</f>
        <v/>
      </c>
      <c r="AI499" s="1" t="str">
        <f t="array" ref="AI499">IFERROR(INDEX('Исходник'!$1:$626,MATCH($A499,'Исходник'!$T:$T,0),MATCH(AI$1,'Исходник'!$1:$1,0)))</f>
        <v/>
      </c>
      <c r="AJ499" s="18">
        <f t="shared" si="15"/>
        <v>0</v>
      </c>
    </row>
    <row r="500" ht="15.75" customHeight="1">
      <c r="A500" s="27"/>
      <c r="B500" s="1" t="str">
        <f t="array" ref="B500">IFERROR(INDEX('Исходник'!$1:$626,MATCH($A500,'Исходник'!$T:$T,0),MATCH(B$1,'Исходник'!$1:$1,0)))</f>
        <v/>
      </c>
      <c r="C500" s="1" t="str">
        <f t="array" ref="C500">IFERROR(INDEX('Исходник'!$1:$626,MATCH($A500,'Исходник'!$T:$T,0),MATCH(C$1,'Исходник'!$1:$1,0)))</f>
        <v/>
      </c>
      <c r="D500" s="1" t="str">
        <f t="array" ref="D500">IFERROR(INDEX('Исходник'!$1:$626,MATCH($A500,'Исходник'!$T:$T,0),MATCH(D$1,'Исходник'!$1:$1,0)))</f>
        <v/>
      </c>
      <c r="E500" s="1" t="str">
        <f t="array" ref="E500">IFERROR(INDEX('Исходник'!$1:$626,MATCH($A500,'Исходник'!$T:$T,0),MATCH(E$1,'Исходник'!$1:$1,0)))</f>
        <v/>
      </c>
      <c r="F500" s="1" t="str">
        <f t="array" ref="F500">IFERROR(INDEX('Исходник'!$1:$626,MATCH($A500,'Исходник'!$T:$T,0),MATCH(F$1,'Исходник'!$1:$1,0)))</f>
        <v/>
      </c>
      <c r="G500" s="1" t="str">
        <f t="array" ref="G500">IFERROR(INDEX('Исходник'!$1:$626,MATCH($A500,'Исходник'!$T:$T,0),MATCH(G$1,'Исходник'!$1:$1,0)))</f>
        <v/>
      </c>
      <c r="H500" s="27">
        <f t="shared" si="1"/>
        <v>0</v>
      </c>
      <c r="I500" s="27" t="str">
        <f t="shared" si="2"/>
        <v/>
      </c>
      <c r="J500" s="1" t="str">
        <f t="array" ref="J500">IFERROR(INDEX('Исходник'!$1:$626,MATCH($A500,'Исходник'!$T:$T,0),MATCH(J$1,'Исходник'!$1:$1,0)))</f>
        <v/>
      </c>
      <c r="K500" s="27" t="str">
        <f t="shared" si="3"/>
        <v/>
      </c>
      <c r="L500" s="1" t="str">
        <f t="array" ref="L500">IFERROR(INDEX('Исходник'!$1:$626,MATCH($A500,'Исходник'!$T:$T,0),MATCH(L$1,'Исходник'!$1:$1,0)))</f>
        <v/>
      </c>
      <c r="M500" s="28">
        <f t="shared" si="4"/>
        <v>0</v>
      </c>
      <c r="N500" s="1" t="str">
        <f t="array" ref="N500">IFERROR(INDEX('Исходник'!$1:$626,MATCH($A500,'Исходник'!$T:$T,0),MATCH(N$1,'Исходник'!$1:$1,0)))</f>
        <v/>
      </c>
      <c r="O500" s="27">
        <f t="shared" si="5"/>
        <v>0</v>
      </c>
      <c r="P500" s="27" t="str">
        <f t="shared" si="6"/>
        <v/>
      </c>
      <c r="Q500" s="1" t="str">
        <f t="array" ref="Q500">IFERROR(INDEX('Исходник'!$1:$626,MATCH($A500,'Исходник'!$T:$T,0),MATCH(Q$1,'Исходник'!$1:$1,0)))</f>
        <v/>
      </c>
      <c r="R500" s="1" t="str">
        <f t="array" ref="R500">IFERROR(INDEX('Исходник'!$1:$626,MATCH($A500,'Исходник'!$T:$T,0),MATCH(R$1,'Исходник'!$1:$1,0)))</f>
        <v/>
      </c>
      <c r="S500" s="27">
        <f t="shared" si="7"/>
        <v>0</v>
      </c>
      <c r="T500" s="27" t="str">
        <f t="shared" si="8"/>
        <v/>
      </c>
      <c r="U500" s="1" t="str">
        <f t="array" ref="U500">IFERROR(INDEX('Исходник'!$1:$626,MATCH($A500,'Исходник'!$T:$T,0),MATCH(U$1,'Исходник'!$1:$1,0)))</f>
        <v/>
      </c>
      <c r="V500" s="27" t="str">
        <f t="shared" si="9"/>
        <v/>
      </c>
      <c r="W500" s="1" t="str">
        <f t="array" ref="W500">IFERROR(INDEX('Исходник'!$1:$626,MATCH($A500,'Исходник'!$T:$T,0),MATCH(W$1,'Исходник'!$1:$1,0)))</f>
        <v/>
      </c>
      <c r="X500" s="28">
        <f t="shared" si="10"/>
        <v>0</v>
      </c>
      <c r="Y500" s="1" t="str">
        <f t="array" ref="Y500">IFERROR(INDEX('Исходник'!$1:$626,MATCH($A500,'Исходник'!$T:$T,0),MATCH(Y$1,'Исходник'!$1:$1,0)))</f>
        <v/>
      </c>
      <c r="Z500" s="27">
        <f t="shared" si="11"/>
        <v>0</v>
      </c>
      <c r="AA500" s="27" t="str">
        <f t="shared" si="12"/>
        <v/>
      </c>
      <c r="AB500" s="1" t="str">
        <f t="array" ref="AB500">IFERROR(INDEX('Исходник'!$1:$626,MATCH($A500,'Исходник'!$T:$T,0),MATCH(AB$1,'Исходник'!$1:$1,0)))</f>
        <v/>
      </c>
      <c r="AC500" s="1" t="str">
        <f t="array" ref="AC500">IFERROR(INDEX('Исходник'!$1:$626,MATCH($A500,'Исходник'!$T:$T,0),MATCH(AC$1,'Исходник'!$1:$1,0)))</f>
        <v/>
      </c>
      <c r="AD500" s="27" t="str">
        <f t="shared" si="13"/>
        <v/>
      </c>
      <c r="AE500" s="1" t="str">
        <f t="array" ref="AE500">IFERROR(INDEX('Исходник'!$1:$626,MATCH($A500,'Исходник'!$T:$T,0),MATCH(AE$1,'Исходник'!$1:$1,0)))</f>
        <v/>
      </c>
      <c r="AF500" s="1" t="str">
        <f t="array" ref="AF500">IFERROR(INDEX('Исходник'!$1:$626,MATCH($A500,'Исходник'!$T:$T,0),MATCH(AF$1,'Исходник'!$1:$1,0)))</f>
        <v/>
      </c>
      <c r="AG500" s="27" t="str">
        <f t="shared" si="14"/>
        <v/>
      </c>
      <c r="AH500" s="1" t="str">
        <f t="array" ref="AH500">IFERROR(INDEX('Исходник'!$1:$626,MATCH($A500,'Исходник'!$T:$T,0),MATCH(AH$1,'Исходник'!$1:$1,0)))</f>
        <v/>
      </c>
      <c r="AI500" s="1" t="str">
        <f t="array" ref="AI500">IFERROR(INDEX('Исходник'!$1:$626,MATCH($A500,'Исходник'!$T:$T,0),MATCH(AI$1,'Исходник'!$1:$1,0)))</f>
        <v/>
      </c>
      <c r="AJ500" s="18">
        <f t="shared" si="15"/>
        <v>0</v>
      </c>
    </row>
    <row r="501" ht="15.75" customHeight="1">
      <c r="A501" s="27"/>
      <c r="B501" s="1" t="str">
        <f t="array" ref="B501">IFERROR(INDEX('Исходник'!$1:$626,MATCH($A501,'Исходник'!$T:$T,0),MATCH(B$1,'Исходник'!$1:$1,0)))</f>
        <v/>
      </c>
      <c r="C501" s="1" t="str">
        <f t="array" ref="C501">IFERROR(INDEX('Исходник'!$1:$626,MATCH($A501,'Исходник'!$T:$T,0),MATCH(C$1,'Исходник'!$1:$1,0)))</f>
        <v/>
      </c>
      <c r="D501" s="1" t="str">
        <f t="array" ref="D501">IFERROR(INDEX('Исходник'!$1:$626,MATCH($A501,'Исходник'!$T:$T,0),MATCH(D$1,'Исходник'!$1:$1,0)))</f>
        <v/>
      </c>
      <c r="E501" s="1" t="str">
        <f t="array" ref="E501">IFERROR(INDEX('Исходник'!$1:$626,MATCH($A501,'Исходник'!$T:$T,0),MATCH(E$1,'Исходник'!$1:$1,0)))</f>
        <v/>
      </c>
      <c r="F501" s="1" t="str">
        <f t="array" ref="F501">IFERROR(INDEX('Исходник'!$1:$626,MATCH($A501,'Исходник'!$T:$T,0),MATCH(F$1,'Исходник'!$1:$1,0)))</f>
        <v/>
      </c>
      <c r="G501" s="1" t="str">
        <f t="array" ref="G501">IFERROR(INDEX('Исходник'!$1:$626,MATCH($A501,'Исходник'!$T:$T,0),MATCH(G$1,'Исходник'!$1:$1,0)))</f>
        <v/>
      </c>
      <c r="H501" s="27">
        <f t="shared" si="1"/>
        <v>0</v>
      </c>
      <c r="I501" s="27" t="str">
        <f t="shared" si="2"/>
        <v/>
      </c>
      <c r="J501" s="1" t="str">
        <f t="array" ref="J501">IFERROR(INDEX('Исходник'!$1:$626,MATCH($A501,'Исходник'!$T:$T,0),MATCH(J$1,'Исходник'!$1:$1,0)))</f>
        <v/>
      </c>
      <c r="K501" s="27" t="str">
        <f t="shared" si="3"/>
        <v/>
      </c>
      <c r="L501" s="1" t="str">
        <f t="array" ref="L501">IFERROR(INDEX('Исходник'!$1:$626,MATCH($A501,'Исходник'!$T:$T,0),MATCH(L$1,'Исходник'!$1:$1,0)))</f>
        <v/>
      </c>
      <c r="M501" s="28">
        <f t="shared" si="4"/>
        <v>0</v>
      </c>
      <c r="N501" s="1" t="str">
        <f t="array" ref="N501">IFERROR(INDEX('Исходник'!$1:$626,MATCH($A501,'Исходник'!$T:$T,0),MATCH(N$1,'Исходник'!$1:$1,0)))</f>
        <v/>
      </c>
      <c r="O501" s="27">
        <f t="shared" si="5"/>
        <v>0</v>
      </c>
      <c r="P501" s="27" t="str">
        <f t="shared" si="6"/>
        <v/>
      </c>
      <c r="Q501" s="1" t="str">
        <f t="array" ref="Q501">IFERROR(INDEX('Исходник'!$1:$626,MATCH($A501,'Исходник'!$T:$T,0),MATCH(Q$1,'Исходник'!$1:$1,0)))</f>
        <v/>
      </c>
      <c r="R501" s="1" t="str">
        <f t="array" ref="R501">IFERROR(INDEX('Исходник'!$1:$626,MATCH($A501,'Исходник'!$T:$T,0),MATCH(R$1,'Исходник'!$1:$1,0)))</f>
        <v/>
      </c>
      <c r="S501" s="27">
        <f t="shared" si="7"/>
        <v>0</v>
      </c>
      <c r="T501" s="27" t="str">
        <f t="shared" si="8"/>
        <v/>
      </c>
      <c r="U501" s="1" t="str">
        <f t="array" ref="U501">IFERROR(INDEX('Исходник'!$1:$626,MATCH($A501,'Исходник'!$T:$T,0),MATCH(U$1,'Исходник'!$1:$1,0)))</f>
        <v/>
      </c>
      <c r="V501" s="27" t="str">
        <f t="shared" si="9"/>
        <v/>
      </c>
      <c r="W501" s="1" t="str">
        <f t="array" ref="W501">IFERROR(INDEX('Исходник'!$1:$626,MATCH($A501,'Исходник'!$T:$T,0),MATCH(W$1,'Исходник'!$1:$1,0)))</f>
        <v/>
      </c>
      <c r="X501" s="28">
        <f t="shared" si="10"/>
        <v>0</v>
      </c>
      <c r="Y501" s="1" t="str">
        <f t="array" ref="Y501">IFERROR(INDEX('Исходник'!$1:$626,MATCH($A501,'Исходник'!$T:$T,0),MATCH(Y$1,'Исходник'!$1:$1,0)))</f>
        <v/>
      </c>
      <c r="Z501" s="27">
        <f t="shared" si="11"/>
        <v>0</v>
      </c>
      <c r="AA501" s="27" t="str">
        <f t="shared" si="12"/>
        <v/>
      </c>
      <c r="AB501" s="1" t="str">
        <f t="array" ref="AB501">IFERROR(INDEX('Исходник'!$1:$626,MATCH($A501,'Исходник'!$T:$T,0),MATCH(AB$1,'Исходник'!$1:$1,0)))</f>
        <v/>
      </c>
      <c r="AC501" s="1" t="str">
        <f t="array" ref="AC501">IFERROR(INDEX('Исходник'!$1:$626,MATCH($A501,'Исходник'!$T:$T,0),MATCH(AC$1,'Исходник'!$1:$1,0)))</f>
        <v/>
      </c>
      <c r="AD501" s="27" t="str">
        <f t="shared" si="13"/>
        <v/>
      </c>
      <c r="AE501" s="1" t="str">
        <f t="array" ref="AE501">IFERROR(INDEX('Исходник'!$1:$626,MATCH($A501,'Исходник'!$T:$T,0),MATCH(AE$1,'Исходник'!$1:$1,0)))</f>
        <v/>
      </c>
      <c r="AF501" s="1" t="str">
        <f t="array" ref="AF501">IFERROR(INDEX('Исходник'!$1:$626,MATCH($A501,'Исходник'!$T:$T,0),MATCH(AF$1,'Исходник'!$1:$1,0)))</f>
        <v/>
      </c>
      <c r="AG501" s="27" t="str">
        <f t="shared" si="14"/>
        <v/>
      </c>
      <c r="AH501" s="1" t="str">
        <f t="array" ref="AH501">IFERROR(INDEX('Исходник'!$1:$626,MATCH($A501,'Исходник'!$T:$T,0),MATCH(AH$1,'Исходник'!$1:$1,0)))</f>
        <v/>
      </c>
      <c r="AI501" s="1" t="str">
        <f t="array" ref="AI501">IFERROR(INDEX('Исходник'!$1:$626,MATCH($A501,'Исходник'!$T:$T,0),MATCH(AI$1,'Исходник'!$1:$1,0)))</f>
        <v/>
      </c>
      <c r="AJ501" s="18">
        <f t="shared" si="15"/>
        <v>0</v>
      </c>
    </row>
    <row r="502" ht="15.75" customHeight="1">
      <c r="A502" s="27"/>
      <c r="B502" s="1" t="str">
        <f t="array" ref="B502">IFERROR(INDEX('Исходник'!$1:$626,MATCH($A502,'Исходник'!$T:$T,0),MATCH(B$1,'Исходник'!$1:$1,0)))</f>
        <v/>
      </c>
      <c r="C502" s="1" t="str">
        <f t="array" ref="C502">IFERROR(INDEX('Исходник'!$1:$626,MATCH($A502,'Исходник'!$T:$T,0),MATCH(C$1,'Исходник'!$1:$1,0)))</f>
        <v/>
      </c>
      <c r="D502" s="1" t="str">
        <f t="array" ref="D502">IFERROR(INDEX('Исходник'!$1:$626,MATCH($A502,'Исходник'!$T:$T,0),MATCH(D$1,'Исходник'!$1:$1,0)))</f>
        <v/>
      </c>
      <c r="E502" s="1" t="str">
        <f t="array" ref="E502">IFERROR(INDEX('Исходник'!$1:$626,MATCH($A502,'Исходник'!$T:$T,0),MATCH(E$1,'Исходник'!$1:$1,0)))</f>
        <v/>
      </c>
      <c r="F502" s="1" t="str">
        <f t="array" ref="F502">IFERROR(INDEX('Исходник'!$1:$626,MATCH($A502,'Исходник'!$T:$T,0),MATCH(F$1,'Исходник'!$1:$1,0)))</f>
        <v/>
      </c>
      <c r="G502" s="1" t="str">
        <f t="array" ref="G502">IFERROR(INDEX('Исходник'!$1:$626,MATCH($A502,'Исходник'!$T:$T,0),MATCH(G$1,'Исходник'!$1:$1,0)))</f>
        <v/>
      </c>
      <c r="H502" s="27">
        <f t="shared" si="1"/>
        <v>0</v>
      </c>
      <c r="I502" s="27" t="str">
        <f t="shared" si="2"/>
        <v/>
      </c>
      <c r="J502" s="1" t="str">
        <f t="array" ref="J502">IFERROR(INDEX('Исходник'!$1:$626,MATCH($A502,'Исходник'!$T:$T,0),MATCH(J$1,'Исходник'!$1:$1,0)))</f>
        <v/>
      </c>
      <c r="K502" s="27" t="str">
        <f t="shared" si="3"/>
        <v/>
      </c>
      <c r="L502" s="1" t="str">
        <f t="array" ref="L502">IFERROR(INDEX('Исходник'!$1:$626,MATCH($A502,'Исходник'!$T:$T,0),MATCH(L$1,'Исходник'!$1:$1,0)))</f>
        <v/>
      </c>
      <c r="M502" s="28">
        <f t="shared" si="4"/>
        <v>0</v>
      </c>
      <c r="N502" s="1" t="str">
        <f t="array" ref="N502">IFERROR(INDEX('Исходник'!$1:$626,MATCH($A502,'Исходник'!$T:$T,0),MATCH(N$1,'Исходник'!$1:$1,0)))</f>
        <v/>
      </c>
      <c r="O502" s="27">
        <f t="shared" si="5"/>
        <v>0</v>
      </c>
      <c r="P502" s="27" t="str">
        <f t="shared" si="6"/>
        <v/>
      </c>
      <c r="Q502" s="1" t="str">
        <f t="array" ref="Q502">IFERROR(INDEX('Исходник'!$1:$626,MATCH($A502,'Исходник'!$T:$T,0),MATCH(Q$1,'Исходник'!$1:$1,0)))</f>
        <v/>
      </c>
      <c r="R502" s="1" t="str">
        <f t="array" ref="R502">IFERROR(INDEX('Исходник'!$1:$626,MATCH($A502,'Исходник'!$T:$T,0),MATCH(R$1,'Исходник'!$1:$1,0)))</f>
        <v/>
      </c>
      <c r="S502" s="27">
        <f t="shared" si="7"/>
        <v>0</v>
      </c>
      <c r="T502" s="27" t="str">
        <f t="shared" si="8"/>
        <v/>
      </c>
      <c r="U502" s="1" t="str">
        <f t="array" ref="U502">IFERROR(INDEX('Исходник'!$1:$626,MATCH($A502,'Исходник'!$T:$T,0),MATCH(U$1,'Исходник'!$1:$1,0)))</f>
        <v/>
      </c>
      <c r="V502" s="27" t="str">
        <f t="shared" si="9"/>
        <v/>
      </c>
      <c r="W502" s="1" t="str">
        <f t="array" ref="W502">IFERROR(INDEX('Исходник'!$1:$626,MATCH($A502,'Исходник'!$T:$T,0),MATCH(W$1,'Исходник'!$1:$1,0)))</f>
        <v/>
      </c>
      <c r="X502" s="28">
        <f t="shared" si="10"/>
        <v>0</v>
      </c>
      <c r="Y502" s="1" t="str">
        <f t="array" ref="Y502">IFERROR(INDEX('Исходник'!$1:$626,MATCH($A502,'Исходник'!$T:$T,0),MATCH(Y$1,'Исходник'!$1:$1,0)))</f>
        <v/>
      </c>
      <c r="Z502" s="27">
        <f t="shared" si="11"/>
        <v>0</v>
      </c>
      <c r="AA502" s="27" t="str">
        <f t="shared" si="12"/>
        <v/>
      </c>
      <c r="AB502" s="1" t="str">
        <f t="array" ref="AB502">IFERROR(INDEX('Исходник'!$1:$626,MATCH($A502,'Исходник'!$T:$T,0),MATCH(AB$1,'Исходник'!$1:$1,0)))</f>
        <v/>
      </c>
      <c r="AC502" s="1" t="str">
        <f t="array" ref="AC502">IFERROR(INDEX('Исходник'!$1:$626,MATCH($A502,'Исходник'!$T:$T,0),MATCH(AC$1,'Исходник'!$1:$1,0)))</f>
        <v/>
      </c>
      <c r="AD502" s="27" t="str">
        <f t="shared" si="13"/>
        <v/>
      </c>
      <c r="AE502" s="1" t="str">
        <f t="array" ref="AE502">IFERROR(INDEX('Исходник'!$1:$626,MATCH($A502,'Исходник'!$T:$T,0),MATCH(AE$1,'Исходник'!$1:$1,0)))</f>
        <v/>
      </c>
      <c r="AF502" s="1" t="str">
        <f t="array" ref="AF502">IFERROR(INDEX('Исходник'!$1:$626,MATCH($A502,'Исходник'!$T:$T,0),MATCH(AF$1,'Исходник'!$1:$1,0)))</f>
        <v/>
      </c>
      <c r="AG502" s="27" t="str">
        <f t="shared" si="14"/>
        <v/>
      </c>
      <c r="AH502" s="1" t="str">
        <f t="array" ref="AH502">IFERROR(INDEX('Исходник'!$1:$626,MATCH($A502,'Исходник'!$T:$T,0),MATCH(AH$1,'Исходник'!$1:$1,0)))</f>
        <v/>
      </c>
      <c r="AI502" s="1" t="str">
        <f t="array" ref="AI502">IFERROR(INDEX('Исходник'!$1:$626,MATCH($A502,'Исходник'!$T:$T,0),MATCH(AI$1,'Исходник'!$1:$1,0)))</f>
        <v/>
      </c>
      <c r="AJ502" s="18">
        <f t="shared" si="15"/>
        <v>0</v>
      </c>
    </row>
    <row r="503" ht="15.75" customHeight="1">
      <c r="A503" s="27"/>
      <c r="B503" s="1" t="str">
        <f t="array" ref="B503">IFERROR(INDEX('Исходник'!$1:$626,MATCH($A503,'Исходник'!$T:$T,0),MATCH(B$1,'Исходник'!$1:$1,0)))</f>
        <v/>
      </c>
      <c r="C503" s="1" t="str">
        <f t="array" ref="C503">IFERROR(INDEX('Исходник'!$1:$626,MATCH($A503,'Исходник'!$T:$T,0),MATCH(C$1,'Исходник'!$1:$1,0)))</f>
        <v/>
      </c>
      <c r="D503" s="1" t="str">
        <f t="array" ref="D503">IFERROR(INDEX('Исходник'!$1:$626,MATCH($A503,'Исходник'!$T:$T,0),MATCH(D$1,'Исходник'!$1:$1,0)))</f>
        <v/>
      </c>
      <c r="E503" s="1" t="str">
        <f t="array" ref="E503">IFERROR(INDEX('Исходник'!$1:$626,MATCH($A503,'Исходник'!$T:$T,0),MATCH(E$1,'Исходник'!$1:$1,0)))</f>
        <v/>
      </c>
      <c r="F503" s="1" t="str">
        <f t="array" ref="F503">IFERROR(INDEX('Исходник'!$1:$626,MATCH($A503,'Исходник'!$T:$T,0),MATCH(F$1,'Исходник'!$1:$1,0)))</f>
        <v/>
      </c>
      <c r="G503" s="1" t="str">
        <f t="array" ref="G503">IFERROR(INDEX('Исходник'!$1:$626,MATCH($A503,'Исходник'!$T:$T,0),MATCH(G$1,'Исходник'!$1:$1,0)))</f>
        <v/>
      </c>
      <c r="H503" s="27">
        <f t="shared" si="1"/>
        <v>0</v>
      </c>
      <c r="I503" s="27" t="str">
        <f t="shared" si="2"/>
        <v/>
      </c>
      <c r="J503" s="1" t="str">
        <f t="array" ref="J503">IFERROR(INDEX('Исходник'!$1:$626,MATCH($A503,'Исходник'!$T:$T,0),MATCH(J$1,'Исходник'!$1:$1,0)))</f>
        <v/>
      </c>
      <c r="K503" s="27" t="str">
        <f t="shared" si="3"/>
        <v/>
      </c>
      <c r="L503" s="1" t="str">
        <f t="array" ref="L503">IFERROR(INDEX('Исходник'!$1:$626,MATCH($A503,'Исходник'!$T:$T,0),MATCH(L$1,'Исходник'!$1:$1,0)))</f>
        <v/>
      </c>
      <c r="M503" s="28">
        <f t="shared" si="4"/>
        <v>0</v>
      </c>
      <c r="N503" s="1" t="str">
        <f t="array" ref="N503">IFERROR(INDEX('Исходник'!$1:$626,MATCH($A503,'Исходник'!$T:$T,0),MATCH(N$1,'Исходник'!$1:$1,0)))</f>
        <v/>
      </c>
      <c r="O503" s="27">
        <f t="shared" si="5"/>
        <v>0</v>
      </c>
      <c r="P503" s="27" t="str">
        <f t="shared" si="6"/>
        <v/>
      </c>
      <c r="Q503" s="1" t="str">
        <f t="array" ref="Q503">IFERROR(INDEX('Исходник'!$1:$626,MATCH($A503,'Исходник'!$T:$T,0),MATCH(Q$1,'Исходник'!$1:$1,0)))</f>
        <v/>
      </c>
      <c r="R503" s="1" t="str">
        <f t="array" ref="R503">IFERROR(INDEX('Исходник'!$1:$626,MATCH($A503,'Исходник'!$T:$T,0),MATCH(R$1,'Исходник'!$1:$1,0)))</f>
        <v/>
      </c>
      <c r="S503" s="27">
        <f t="shared" si="7"/>
        <v>0</v>
      </c>
      <c r="T503" s="27" t="str">
        <f t="shared" si="8"/>
        <v/>
      </c>
      <c r="U503" s="1" t="str">
        <f t="array" ref="U503">IFERROR(INDEX('Исходник'!$1:$626,MATCH($A503,'Исходник'!$T:$T,0),MATCH(U$1,'Исходник'!$1:$1,0)))</f>
        <v/>
      </c>
      <c r="V503" s="27" t="str">
        <f t="shared" si="9"/>
        <v/>
      </c>
      <c r="W503" s="1" t="str">
        <f t="array" ref="W503">IFERROR(INDEX('Исходник'!$1:$626,MATCH($A503,'Исходник'!$T:$T,0),MATCH(W$1,'Исходник'!$1:$1,0)))</f>
        <v/>
      </c>
      <c r="X503" s="28">
        <f t="shared" si="10"/>
        <v>0</v>
      </c>
      <c r="Y503" s="1" t="str">
        <f t="array" ref="Y503">IFERROR(INDEX('Исходник'!$1:$626,MATCH($A503,'Исходник'!$T:$T,0),MATCH(Y$1,'Исходник'!$1:$1,0)))</f>
        <v/>
      </c>
      <c r="Z503" s="27">
        <f t="shared" si="11"/>
        <v>0</v>
      </c>
      <c r="AA503" s="27" t="str">
        <f t="shared" si="12"/>
        <v/>
      </c>
      <c r="AB503" s="1" t="str">
        <f t="array" ref="AB503">IFERROR(INDEX('Исходник'!$1:$626,MATCH($A503,'Исходник'!$T:$T,0),MATCH(AB$1,'Исходник'!$1:$1,0)))</f>
        <v/>
      </c>
      <c r="AC503" s="1" t="str">
        <f t="array" ref="AC503">IFERROR(INDEX('Исходник'!$1:$626,MATCH($A503,'Исходник'!$T:$T,0),MATCH(AC$1,'Исходник'!$1:$1,0)))</f>
        <v/>
      </c>
      <c r="AD503" s="27" t="str">
        <f t="shared" si="13"/>
        <v/>
      </c>
      <c r="AE503" s="1" t="str">
        <f t="array" ref="AE503">IFERROR(INDEX('Исходник'!$1:$626,MATCH($A503,'Исходник'!$T:$T,0),MATCH(AE$1,'Исходник'!$1:$1,0)))</f>
        <v/>
      </c>
      <c r="AF503" s="1" t="str">
        <f t="array" ref="AF503">IFERROR(INDEX('Исходник'!$1:$626,MATCH($A503,'Исходник'!$T:$T,0),MATCH(AF$1,'Исходник'!$1:$1,0)))</f>
        <v/>
      </c>
      <c r="AG503" s="27" t="str">
        <f t="shared" si="14"/>
        <v/>
      </c>
      <c r="AH503" s="1" t="str">
        <f t="array" ref="AH503">IFERROR(INDEX('Исходник'!$1:$626,MATCH($A503,'Исходник'!$T:$T,0),MATCH(AH$1,'Исходник'!$1:$1,0)))</f>
        <v/>
      </c>
      <c r="AI503" s="1" t="str">
        <f t="array" ref="AI503">IFERROR(INDEX('Исходник'!$1:$626,MATCH($A503,'Исходник'!$T:$T,0),MATCH(AI$1,'Исходник'!$1:$1,0)))</f>
        <v/>
      </c>
      <c r="AJ503" s="18">
        <f t="shared" si="15"/>
        <v>0</v>
      </c>
    </row>
    <row r="504" ht="15.75" customHeight="1">
      <c r="A504" s="27"/>
      <c r="B504" s="1" t="str">
        <f t="array" ref="B504">IFERROR(INDEX('Исходник'!$1:$626,MATCH($A504,'Исходник'!$T:$T,0),MATCH(B$1,'Исходник'!$1:$1,0)))</f>
        <v/>
      </c>
      <c r="C504" s="1" t="str">
        <f t="array" ref="C504">IFERROR(INDEX('Исходник'!$1:$626,MATCH($A504,'Исходник'!$T:$T,0),MATCH(C$1,'Исходник'!$1:$1,0)))</f>
        <v/>
      </c>
      <c r="D504" s="1" t="str">
        <f t="array" ref="D504">IFERROR(INDEX('Исходник'!$1:$626,MATCH($A504,'Исходник'!$T:$T,0),MATCH(D$1,'Исходник'!$1:$1,0)))</f>
        <v/>
      </c>
      <c r="E504" s="1" t="str">
        <f t="array" ref="E504">IFERROR(INDEX('Исходник'!$1:$626,MATCH($A504,'Исходник'!$T:$T,0),MATCH(E$1,'Исходник'!$1:$1,0)))</f>
        <v/>
      </c>
      <c r="F504" s="1" t="str">
        <f t="array" ref="F504">IFERROR(INDEX('Исходник'!$1:$626,MATCH($A504,'Исходник'!$T:$T,0),MATCH(F$1,'Исходник'!$1:$1,0)))</f>
        <v/>
      </c>
      <c r="G504" s="1" t="str">
        <f t="array" ref="G504">IFERROR(INDEX('Исходник'!$1:$626,MATCH($A504,'Исходник'!$T:$T,0),MATCH(G$1,'Исходник'!$1:$1,0)))</f>
        <v/>
      </c>
      <c r="H504" s="27">
        <f t="shared" si="1"/>
        <v>0</v>
      </c>
      <c r="I504" s="27" t="str">
        <f t="shared" si="2"/>
        <v/>
      </c>
      <c r="J504" s="1" t="str">
        <f t="array" ref="J504">IFERROR(INDEX('Исходник'!$1:$626,MATCH($A504,'Исходник'!$T:$T,0),MATCH(J$1,'Исходник'!$1:$1,0)))</f>
        <v/>
      </c>
      <c r="K504" s="27" t="str">
        <f t="shared" si="3"/>
        <v/>
      </c>
      <c r="L504" s="1" t="str">
        <f t="array" ref="L504">IFERROR(INDEX('Исходник'!$1:$626,MATCH($A504,'Исходник'!$T:$T,0),MATCH(L$1,'Исходник'!$1:$1,0)))</f>
        <v/>
      </c>
      <c r="M504" s="28">
        <f t="shared" si="4"/>
        <v>0</v>
      </c>
      <c r="N504" s="1" t="str">
        <f t="array" ref="N504">IFERROR(INDEX('Исходник'!$1:$626,MATCH($A504,'Исходник'!$T:$T,0),MATCH(N$1,'Исходник'!$1:$1,0)))</f>
        <v/>
      </c>
      <c r="O504" s="27">
        <f t="shared" si="5"/>
        <v>0</v>
      </c>
      <c r="P504" s="27" t="str">
        <f t="shared" si="6"/>
        <v/>
      </c>
      <c r="Q504" s="1" t="str">
        <f t="array" ref="Q504">IFERROR(INDEX('Исходник'!$1:$626,MATCH($A504,'Исходник'!$T:$T,0),MATCH(Q$1,'Исходник'!$1:$1,0)))</f>
        <v/>
      </c>
      <c r="R504" s="1" t="str">
        <f t="array" ref="R504">IFERROR(INDEX('Исходник'!$1:$626,MATCH($A504,'Исходник'!$T:$T,0),MATCH(R$1,'Исходник'!$1:$1,0)))</f>
        <v/>
      </c>
      <c r="S504" s="27">
        <f t="shared" si="7"/>
        <v>0</v>
      </c>
      <c r="T504" s="27" t="str">
        <f t="shared" si="8"/>
        <v/>
      </c>
      <c r="U504" s="1" t="str">
        <f t="array" ref="U504">IFERROR(INDEX('Исходник'!$1:$626,MATCH($A504,'Исходник'!$T:$T,0),MATCH(U$1,'Исходник'!$1:$1,0)))</f>
        <v/>
      </c>
      <c r="V504" s="27" t="str">
        <f t="shared" si="9"/>
        <v/>
      </c>
      <c r="W504" s="1" t="str">
        <f t="array" ref="W504">IFERROR(INDEX('Исходник'!$1:$626,MATCH($A504,'Исходник'!$T:$T,0),MATCH(W$1,'Исходник'!$1:$1,0)))</f>
        <v/>
      </c>
      <c r="X504" s="28">
        <f t="shared" si="10"/>
        <v>0</v>
      </c>
      <c r="Y504" s="1" t="str">
        <f t="array" ref="Y504">IFERROR(INDEX('Исходник'!$1:$626,MATCH($A504,'Исходник'!$T:$T,0),MATCH(Y$1,'Исходник'!$1:$1,0)))</f>
        <v/>
      </c>
      <c r="Z504" s="27">
        <f t="shared" si="11"/>
        <v>0</v>
      </c>
      <c r="AA504" s="27" t="str">
        <f t="shared" si="12"/>
        <v/>
      </c>
      <c r="AB504" s="1" t="str">
        <f t="array" ref="AB504">IFERROR(INDEX('Исходник'!$1:$626,MATCH($A504,'Исходник'!$T:$T,0),MATCH(AB$1,'Исходник'!$1:$1,0)))</f>
        <v/>
      </c>
      <c r="AC504" s="1" t="str">
        <f t="array" ref="AC504">IFERROR(INDEX('Исходник'!$1:$626,MATCH($A504,'Исходник'!$T:$T,0),MATCH(AC$1,'Исходник'!$1:$1,0)))</f>
        <v/>
      </c>
      <c r="AD504" s="27" t="str">
        <f t="shared" si="13"/>
        <v/>
      </c>
      <c r="AE504" s="1" t="str">
        <f t="array" ref="AE504">IFERROR(INDEX('Исходник'!$1:$626,MATCH($A504,'Исходник'!$T:$T,0),MATCH(AE$1,'Исходник'!$1:$1,0)))</f>
        <v/>
      </c>
      <c r="AF504" s="1" t="str">
        <f t="array" ref="AF504">IFERROR(INDEX('Исходник'!$1:$626,MATCH($A504,'Исходник'!$T:$T,0),MATCH(AF$1,'Исходник'!$1:$1,0)))</f>
        <v/>
      </c>
      <c r="AG504" s="27" t="str">
        <f t="shared" si="14"/>
        <v/>
      </c>
      <c r="AH504" s="1" t="str">
        <f t="array" ref="AH504">IFERROR(INDEX('Исходник'!$1:$626,MATCH($A504,'Исходник'!$T:$T,0),MATCH(AH$1,'Исходник'!$1:$1,0)))</f>
        <v/>
      </c>
      <c r="AI504" s="1" t="str">
        <f t="array" ref="AI504">IFERROR(INDEX('Исходник'!$1:$626,MATCH($A504,'Исходник'!$T:$T,0),MATCH(AI$1,'Исходник'!$1:$1,0)))</f>
        <v/>
      </c>
      <c r="AJ504" s="18">
        <f t="shared" si="15"/>
        <v>0</v>
      </c>
    </row>
    <row r="505" ht="15.75" customHeight="1">
      <c r="A505" s="27"/>
      <c r="B505" s="1" t="str">
        <f t="array" ref="B505">IFERROR(INDEX('Исходник'!$1:$626,MATCH($A505,'Исходник'!$T:$T,0),MATCH(B$1,'Исходник'!$1:$1,0)))</f>
        <v/>
      </c>
      <c r="C505" s="1" t="str">
        <f t="array" ref="C505">IFERROR(INDEX('Исходник'!$1:$626,MATCH($A505,'Исходник'!$T:$T,0),MATCH(C$1,'Исходник'!$1:$1,0)))</f>
        <v/>
      </c>
      <c r="D505" s="1" t="str">
        <f t="array" ref="D505">IFERROR(INDEX('Исходник'!$1:$626,MATCH($A505,'Исходник'!$T:$T,0),MATCH(D$1,'Исходник'!$1:$1,0)))</f>
        <v/>
      </c>
      <c r="E505" s="1" t="str">
        <f t="array" ref="E505">IFERROR(INDEX('Исходник'!$1:$626,MATCH($A505,'Исходник'!$T:$T,0),MATCH(E$1,'Исходник'!$1:$1,0)))</f>
        <v/>
      </c>
      <c r="F505" s="1" t="str">
        <f t="array" ref="F505">IFERROR(INDEX('Исходник'!$1:$626,MATCH($A505,'Исходник'!$T:$T,0),MATCH(F$1,'Исходник'!$1:$1,0)))</f>
        <v/>
      </c>
      <c r="G505" s="1" t="str">
        <f t="array" ref="G505">IFERROR(INDEX('Исходник'!$1:$626,MATCH($A505,'Исходник'!$T:$T,0),MATCH(G$1,'Исходник'!$1:$1,0)))</f>
        <v/>
      </c>
      <c r="H505" s="27">
        <f t="shared" si="1"/>
        <v>0</v>
      </c>
      <c r="I505" s="27" t="str">
        <f t="shared" si="2"/>
        <v/>
      </c>
      <c r="J505" s="1" t="str">
        <f t="array" ref="J505">IFERROR(INDEX('Исходник'!$1:$626,MATCH($A505,'Исходник'!$T:$T,0),MATCH(J$1,'Исходник'!$1:$1,0)))</f>
        <v/>
      </c>
      <c r="K505" s="27" t="str">
        <f t="shared" si="3"/>
        <v/>
      </c>
      <c r="L505" s="1" t="str">
        <f t="array" ref="L505">IFERROR(INDEX('Исходник'!$1:$626,MATCH($A505,'Исходник'!$T:$T,0),MATCH(L$1,'Исходник'!$1:$1,0)))</f>
        <v/>
      </c>
      <c r="M505" s="28">
        <f t="shared" si="4"/>
        <v>0</v>
      </c>
      <c r="N505" s="1" t="str">
        <f t="array" ref="N505">IFERROR(INDEX('Исходник'!$1:$626,MATCH($A505,'Исходник'!$T:$T,0),MATCH(N$1,'Исходник'!$1:$1,0)))</f>
        <v/>
      </c>
      <c r="O505" s="27">
        <f t="shared" si="5"/>
        <v>0</v>
      </c>
      <c r="P505" s="27" t="str">
        <f t="shared" si="6"/>
        <v/>
      </c>
      <c r="Q505" s="1" t="str">
        <f t="array" ref="Q505">IFERROR(INDEX('Исходник'!$1:$626,MATCH($A505,'Исходник'!$T:$T,0),MATCH(Q$1,'Исходник'!$1:$1,0)))</f>
        <v/>
      </c>
      <c r="R505" s="1" t="str">
        <f t="array" ref="R505">IFERROR(INDEX('Исходник'!$1:$626,MATCH($A505,'Исходник'!$T:$T,0),MATCH(R$1,'Исходник'!$1:$1,0)))</f>
        <v/>
      </c>
      <c r="S505" s="27">
        <f t="shared" si="7"/>
        <v>0</v>
      </c>
      <c r="T505" s="27" t="str">
        <f t="shared" si="8"/>
        <v/>
      </c>
      <c r="U505" s="1" t="str">
        <f t="array" ref="U505">IFERROR(INDEX('Исходник'!$1:$626,MATCH($A505,'Исходник'!$T:$T,0),MATCH(U$1,'Исходник'!$1:$1,0)))</f>
        <v/>
      </c>
      <c r="V505" s="27" t="str">
        <f t="shared" si="9"/>
        <v/>
      </c>
      <c r="W505" s="1" t="str">
        <f t="array" ref="W505">IFERROR(INDEX('Исходник'!$1:$626,MATCH($A505,'Исходник'!$T:$T,0),MATCH(W$1,'Исходник'!$1:$1,0)))</f>
        <v/>
      </c>
      <c r="X505" s="28">
        <f t="shared" si="10"/>
        <v>0</v>
      </c>
      <c r="Y505" s="1" t="str">
        <f t="array" ref="Y505">IFERROR(INDEX('Исходник'!$1:$626,MATCH($A505,'Исходник'!$T:$T,0),MATCH(Y$1,'Исходник'!$1:$1,0)))</f>
        <v/>
      </c>
      <c r="Z505" s="27">
        <f t="shared" si="11"/>
        <v>0</v>
      </c>
      <c r="AA505" s="27" t="str">
        <f t="shared" si="12"/>
        <v/>
      </c>
      <c r="AB505" s="1" t="str">
        <f t="array" ref="AB505">IFERROR(INDEX('Исходник'!$1:$626,MATCH($A505,'Исходник'!$T:$T,0),MATCH(AB$1,'Исходник'!$1:$1,0)))</f>
        <v/>
      </c>
      <c r="AC505" s="1" t="str">
        <f t="array" ref="AC505">IFERROR(INDEX('Исходник'!$1:$626,MATCH($A505,'Исходник'!$T:$T,0),MATCH(AC$1,'Исходник'!$1:$1,0)))</f>
        <v/>
      </c>
      <c r="AD505" s="27" t="str">
        <f t="shared" si="13"/>
        <v/>
      </c>
      <c r="AE505" s="1" t="str">
        <f t="array" ref="AE505">IFERROR(INDEX('Исходник'!$1:$626,MATCH($A505,'Исходник'!$T:$T,0),MATCH(AE$1,'Исходник'!$1:$1,0)))</f>
        <v/>
      </c>
      <c r="AF505" s="1" t="str">
        <f t="array" ref="AF505">IFERROR(INDEX('Исходник'!$1:$626,MATCH($A505,'Исходник'!$T:$T,0),MATCH(AF$1,'Исходник'!$1:$1,0)))</f>
        <v/>
      </c>
      <c r="AG505" s="27" t="str">
        <f t="shared" si="14"/>
        <v/>
      </c>
      <c r="AH505" s="1" t="str">
        <f t="array" ref="AH505">IFERROR(INDEX('Исходник'!$1:$626,MATCH($A505,'Исходник'!$T:$T,0),MATCH(AH$1,'Исходник'!$1:$1,0)))</f>
        <v/>
      </c>
      <c r="AI505" s="1" t="str">
        <f t="array" ref="AI505">IFERROR(INDEX('Исходник'!$1:$626,MATCH($A505,'Исходник'!$T:$T,0),MATCH(AI$1,'Исходник'!$1:$1,0)))</f>
        <v/>
      </c>
      <c r="AJ505" s="18">
        <f t="shared" si="15"/>
        <v>0</v>
      </c>
    </row>
    <row r="506" ht="15.75" customHeight="1">
      <c r="A506" s="27"/>
      <c r="B506" s="1" t="str">
        <f t="array" ref="B506">IFERROR(INDEX('Исходник'!$1:$626,MATCH($A506,'Исходник'!$T:$T,0),MATCH(B$1,'Исходник'!$1:$1,0)))</f>
        <v/>
      </c>
      <c r="C506" s="1" t="str">
        <f t="array" ref="C506">IFERROR(INDEX('Исходник'!$1:$626,MATCH($A506,'Исходник'!$T:$T,0),MATCH(C$1,'Исходник'!$1:$1,0)))</f>
        <v/>
      </c>
      <c r="D506" s="1" t="str">
        <f t="array" ref="D506">IFERROR(INDEX('Исходник'!$1:$626,MATCH($A506,'Исходник'!$T:$T,0),MATCH(D$1,'Исходник'!$1:$1,0)))</f>
        <v/>
      </c>
      <c r="E506" s="1" t="str">
        <f t="array" ref="E506">IFERROR(INDEX('Исходник'!$1:$626,MATCH($A506,'Исходник'!$T:$T,0),MATCH(E$1,'Исходник'!$1:$1,0)))</f>
        <v/>
      </c>
      <c r="F506" s="1" t="str">
        <f t="array" ref="F506">IFERROR(INDEX('Исходник'!$1:$626,MATCH($A506,'Исходник'!$T:$T,0),MATCH(F$1,'Исходник'!$1:$1,0)))</f>
        <v/>
      </c>
      <c r="G506" s="1" t="str">
        <f t="array" ref="G506">IFERROR(INDEX('Исходник'!$1:$626,MATCH($A506,'Исходник'!$T:$T,0),MATCH(G$1,'Исходник'!$1:$1,0)))</f>
        <v/>
      </c>
      <c r="H506" s="27">
        <f t="shared" si="1"/>
        <v>0</v>
      </c>
      <c r="I506" s="27" t="str">
        <f t="shared" si="2"/>
        <v/>
      </c>
      <c r="J506" s="1" t="str">
        <f t="array" ref="J506">IFERROR(INDEX('Исходник'!$1:$626,MATCH($A506,'Исходник'!$T:$T,0),MATCH(J$1,'Исходник'!$1:$1,0)))</f>
        <v/>
      </c>
      <c r="K506" s="27" t="str">
        <f t="shared" si="3"/>
        <v/>
      </c>
      <c r="L506" s="1" t="str">
        <f t="array" ref="L506">IFERROR(INDEX('Исходник'!$1:$626,MATCH($A506,'Исходник'!$T:$T,0),MATCH(L$1,'Исходник'!$1:$1,0)))</f>
        <v/>
      </c>
      <c r="M506" s="28">
        <f t="shared" si="4"/>
        <v>0</v>
      </c>
      <c r="N506" s="1" t="str">
        <f t="array" ref="N506">IFERROR(INDEX('Исходник'!$1:$626,MATCH($A506,'Исходник'!$T:$T,0),MATCH(N$1,'Исходник'!$1:$1,0)))</f>
        <v/>
      </c>
      <c r="O506" s="27">
        <f t="shared" si="5"/>
        <v>0</v>
      </c>
      <c r="P506" s="27" t="str">
        <f t="shared" si="6"/>
        <v/>
      </c>
      <c r="Q506" s="1" t="str">
        <f t="array" ref="Q506">IFERROR(INDEX('Исходник'!$1:$626,MATCH($A506,'Исходник'!$T:$T,0),MATCH(Q$1,'Исходник'!$1:$1,0)))</f>
        <v/>
      </c>
      <c r="R506" s="1" t="str">
        <f t="array" ref="R506">IFERROR(INDEX('Исходник'!$1:$626,MATCH($A506,'Исходник'!$T:$T,0),MATCH(R$1,'Исходник'!$1:$1,0)))</f>
        <v/>
      </c>
      <c r="S506" s="27">
        <f t="shared" si="7"/>
        <v>0</v>
      </c>
      <c r="T506" s="27" t="str">
        <f t="shared" si="8"/>
        <v/>
      </c>
      <c r="U506" s="1" t="str">
        <f t="array" ref="U506">IFERROR(INDEX('Исходник'!$1:$626,MATCH($A506,'Исходник'!$T:$T,0),MATCH(U$1,'Исходник'!$1:$1,0)))</f>
        <v/>
      </c>
      <c r="V506" s="27" t="str">
        <f t="shared" si="9"/>
        <v/>
      </c>
      <c r="W506" s="1" t="str">
        <f t="array" ref="W506">IFERROR(INDEX('Исходник'!$1:$626,MATCH($A506,'Исходник'!$T:$T,0),MATCH(W$1,'Исходник'!$1:$1,0)))</f>
        <v/>
      </c>
      <c r="X506" s="28">
        <f t="shared" si="10"/>
        <v>0</v>
      </c>
      <c r="Y506" s="1" t="str">
        <f t="array" ref="Y506">IFERROR(INDEX('Исходник'!$1:$626,MATCH($A506,'Исходник'!$T:$T,0),MATCH(Y$1,'Исходник'!$1:$1,0)))</f>
        <v/>
      </c>
      <c r="Z506" s="27">
        <f t="shared" si="11"/>
        <v>0</v>
      </c>
      <c r="AA506" s="27" t="str">
        <f t="shared" si="12"/>
        <v/>
      </c>
      <c r="AB506" s="1" t="str">
        <f t="array" ref="AB506">IFERROR(INDEX('Исходник'!$1:$626,MATCH($A506,'Исходник'!$T:$T,0),MATCH(AB$1,'Исходник'!$1:$1,0)))</f>
        <v/>
      </c>
      <c r="AC506" s="1" t="str">
        <f t="array" ref="AC506">IFERROR(INDEX('Исходник'!$1:$626,MATCH($A506,'Исходник'!$T:$T,0),MATCH(AC$1,'Исходник'!$1:$1,0)))</f>
        <v/>
      </c>
      <c r="AD506" s="27" t="str">
        <f t="shared" si="13"/>
        <v/>
      </c>
      <c r="AE506" s="1" t="str">
        <f t="array" ref="AE506">IFERROR(INDEX('Исходник'!$1:$626,MATCH($A506,'Исходник'!$T:$T,0),MATCH(AE$1,'Исходник'!$1:$1,0)))</f>
        <v/>
      </c>
      <c r="AF506" s="1" t="str">
        <f t="array" ref="AF506">IFERROR(INDEX('Исходник'!$1:$626,MATCH($A506,'Исходник'!$T:$T,0),MATCH(AF$1,'Исходник'!$1:$1,0)))</f>
        <v/>
      </c>
      <c r="AG506" s="27" t="str">
        <f t="shared" si="14"/>
        <v/>
      </c>
      <c r="AH506" s="1" t="str">
        <f t="array" ref="AH506">IFERROR(INDEX('Исходник'!$1:$626,MATCH($A506,'Исходник'!$T:$T,0),MATCH(AH$1,'Исходник'!$1:$1,0)))</f>
        <v/>
      </c>
      <c r="AI506" s="1" t="str">
        <f t="array" ref="AI506">IFERROR(INDEX('Исходник'!$1:$626,MATCH($A506,'Исходник'!$T:$T,0),MATCH(AI$1,'Исходник'!$1:$1,0)))</f>
        <v/>
      </c>
      <c r="AJ506" s="18">
        <f t="shared" si="15"/>
        <v>0</v>
      </c>
    </row>
    <row r="507" ht="15.75" customHeight="1">
      <c r="A507" s="27"/>
      <c r="B507" s="1" t="str">
        <f t="array" ref="B507">IFERROR(INDEX('Исходник'!$1:$626,MATCH($A507,'Исходник'!$T:$T,0),MATCH(B$1,'Исходник'!$1:$1,0)))</f>
        <v/>
      </c>
      <c r="C507" s="1" t="str">
        <f t="array" ref="C507">IFERROR(INDEX('Исходник'!$1:$626,MATCH($A507,'Исходник'!$T:$T,0),MATCH(C$1,'Исходник'!$1:$1,0)))</f>
        <v/>
      </c>
      <c r="D507" s="1" t="str">
        <f t="array" ref="D507">IFERROR(INDEX('Исходник'!$1:$626,MATCH($A507,'Исходник'!$T:$T,0),MATCH(D$1,'Исходник'!$1:$1,0)))</f>
        <v/>
      </c>
      <c r="E507" s="1" t="str">
        <f t="array" ref="E507">IFERROR(INDEX('Исходник'!$1:$626,MATCH($A507,'Исходник'!$T:$T,0),MATCH(E$1,'Исходник'!$1:$1,0)))</f>
        <v/>
      </c>
      <c r="F507" s="1" t="str">
        <f t="array" ref="F507">IFERROR(INDEX('Исходник'!$1:$626,MATCH($A507,'Исходник'!$T:$T,0),MATCH(F$1,'Исходник'!$1:$1,0)))</f>
        <v/>
      </c>
      <c r="G507" s="1" t="str">
        <f t="array" ref="G507">IFERROR(INDEX('Исходник'!$1:$626,MATCH($A507,'Исходник'!$T:$T,0),MATCH(G$1,'Исходник'!$1:$1,0)))</f>
        <v/>
      </c>
      <c r="H507" s="27">
        <f t="shared" si="1"/>
        <v>0</v>
      </c>
      <c r="I507" s="27" t="str">
        <f t="shared" si="2"/>
        <v/>
      </c>
      <c r="J507" s="1" t="str">
        <f t="array" ref="J507">IFERROR(INDEX('Исходник'!$1:$626,MATCH($A507,'Исходник'!$T:$T,0),MATCH(J$1,'Исходник'!$1:$1,0)))</f>
        <v/>
      </c>
      <c r="K507" s="27" t="str">
        <f t="shared" si="3"/>
        <v/>
      </c>
      <c r="L507" s="1" t="str">
        <f t="array" ref="L507">IFERROR(INDEX('Исходник'!$1:$626,MATCH($A507,'Исходник'!$T:$T,0),MATCH(L$1,'Исходник'!$1:$1,0)))</f>
        <v/>
      </c>
      <c r="M507" s="28">
        <f t="shared" si="4"/>
        <v>0</v>
      </c>
      <c r="N507" s="1" t="str">
        <f t="array" ref="N507">IFERROR(INDEX('Исходник'!$1:$626,MATCH($A507,'Исходник'!$T:$T,0),MATCH(N$1,'Исходник'!$1:$1,0)))</f>
        <v/>
      </c>
      <c r="O507" s="27">
        <f t="shared" si="5"/>
        <v>0</v>
      </c>
      <c r="P507" s="27" t="str">
        <f t="shared" si="6"/>
        <v/>
      </c>
      <c r="Q507" s="1" t="str">
        <f t="array" ref="Q507">IFERROR(INDEX('Исходник'!$1:$626,MATCH($A507,'Исходник'!$T:$T,0),MATCH(Q$1,'Исходник'!$1:$1,0)))</f>
        <v/>
      </c>
      <c r="R507" s="1" t="str">
        <f t="array" ref="R507">IFERROR(INDEX('Исходник'!$1:$626,MATCH($A507,'Исходник'!$T:$T,0),MATCH(R$1,'Исходник'!$1:$1,0)))</f>
        <v/>
      </c>
      <c r="S507" s="27">
        <f t="shared" si="7"/>
        <v>0</v>
      </c>
      <c r="T507" s="27" t="str">
        <f t="shared" si="8"/>
        <v/>
      </c>
      <c r="U507" s="1" t="str">
        <f t="array" ref="U507">IFERROR(INDEX('Исходник'!$1:$626,MATCH($A507,'Исходник'!$T:$T,0),MATCH(U$1,'Исходник'!$1:$1,0)))</f>
        <v/>
      </c>
      <c r="V507" s="27" t="str">
        <f t="shared" si="9"/>
        <v/>
      </c>
      <c r="W507" s="1" t="str">
        <f t="array" ref="W507">IFERROR(INDEX('Исходник'!$1:$626,MATCH($A507,'Исходник'!$T:$T,0),MATCH(W$1,'Исходник'!$1:$1,0)))</f>
        <v/>
      </c>
      <c r="X507" s="28">
        <f t="shared" si="10"/>
        <v>0</v>
      </c>
      <c r="Y507" s="1" t="str">
        <f t="array" ref="Y507">IFERROR(INDEX('Исходник'!$1:$626,MATCH($A507,'Исходник'!$T:$T,0),MATCH(Y$1,'Исходник'!$1:$1,0)))</f>
        <v/>
      </c>
      <c r="Z507" s="27">
        <f t="shared" si="11"/>
        <v>0</v>
      </c>
      <c r="AA507" s="27" t="str">
        <f t="shared" si="12"/>
        <v/>
      </c>
      <c r="AB507" s="1" t="str">
        <f t="array" ref="AB507">IFERROR(INDEX('Исходник'!$1:$626,MATCH($A507,'Исходник'!$T:$T,0),MATCH(AB$1,'Исходник'!$1:$1,0)))</f>
        <v/>
      </c>
      <c r="AC507" s="1" t="str">
        <f t="array" ref="AC507">IFERROR(INDEX('Исходник'!$1:$626,MATCH($A507,'Исходник'!$T:$T,0),MATCH(AC$1,'Исходник'!$1:$1,0)))</f>
        <v/>
      </c>
      <c r="AD507" s="27" t="str">
        <f t="shared" si="13"/>
        <v/>
      </c>
      <c r="AE507" s="1" t="str">
        <f t="array" ref="AE507">IFERROR(INDEX('Исходник'!$1:$626,MATCH($A507,'Исходник'!$T:$T,0),MATCH(AE$1,'Исходник'!$1:$1,0)))</f>
        <v/>
      </c>
      <c r="AF507" s="1" t="str">
        <f t="array" ref="AF507">IFERROR(INDEX('Исходник'!$1:$626,MATCH($A507,'Исходник'!$T:$T,0),MATCH(AF$1,'Исходник'!$1:$1,0)))</f>
        <v/>
      </c>
      <c r="AG507" s="27" t="str">
        <f t="shared" si="14"/>
        <v/>
      </c>
      <c r="AH507" s="1" t="str">
        <f t="array" ref="AH507">IFERROR(INDEX('Исходник'!$1:$626,MATCH($A507,'Исходник'!$T:$T,0),MATCH(AH$1,'Исходник'!$1:$1,0)))</f>
        <v/>
      </c>
      <c r="AI507" s="1" t="str">
        <f t="array" ref="AI507">IFERROR(INDEX('Исходник'!$1:$626,MATCH($A507,'Исходник'!$T:$T,0),MATCH(AI$1,'Исходник'!$1:$1,0)))</f>
        <v/>
      </c>
      <c r="AJ507" s="18">
        <f t="shared" si="15"/>
        <v>0</v>
      </c>
    </row>
    <row r="508" ht="15.75" customHeight="1">
      <c r="A508" s="27"/>
      <c r="B508" s="1" t="str">
        <f t="array" ref="B508">IFERROR(INDEX('Исходник'!$1:$626,MATCH($A508,'Исходник'!$T:$T,0),MATCH(B$1,'Исходник'!$1:$1,0)))</f>
        <v/>
      </c>
      <c r="C508" s="1" t="str">
        <f t="array" ref="C508">IFERROR(INDEX('Исходник'!$1:$626,MATCH($A508,'Исходник'!$T:$T,0),MATCH(C$1,'Исходник'!$1:$1,0)))</f>
        <v/>
      </c>
      <c r="D508" s="1" t="str">
        <f t="array" ref="D508">IFERROR(INDEX('Исходник'!$1:$626,MATCH($A508,'Исходник'!$T:$T,0),MATCH(D$1,'Исходник'!$1:$1,0)))</f>
        <v/>
      </c>
      <c r="E508" s="1" t="str">
        <f t="array" ref="E508">IFERROR(INDEX('Исходник'!$1:$626,MATCH($A508,'Исходник'!$T:$T,0),MATCH(E$1,'Исходник'!$1:$1,0)))</f>
        <v/>
      </c>
      <c r="F508" s="1" t="str">
        <f t="array" ref="F508">IFERROR(INDEX('Исходник'!$1:$626,MATCH($A508,'Исходник'!$T:$T,0),MATCH(F$1,'Исходник'!$1:$1,0)))</f>
        <v/>
      </c>
      <c r="G508" s="1" t="str">
        <f t="array" ref="G508">IFERROR(INDEX('Исходник'!$1:$626,MATCH($A508,'Исходник'!$T:$T,0),MATCH(G$1,'Исходник'!$1:$1,0)))</f>
        <v/>
      </c>
      <c r="H508" s="27">
        <f t="shared" si="1"/>
        <v>0</v>
      </c>
      <c r="I508" s="27" t="str">
        <f t="shared" si="2"/>
        <v/>
      </c>
      <c r="J508" s="1" t="str">
        <f t="array" ref="J508">IFERROR(INDEX('Исходник'!$1:$626,MATCH($A508,'Исходник'!$T:$T,0),MATCH(J$1,'Исходник'!$1:$1,0)))</f>
        <v/>
      </c>
      <c r="K508" s="27" t="str">
        <f t="shared" si="3"/>
        <v/>
      </c>
      <c r="L508" s="1" t="str">
        <f t="array" ref="L508">IFERROR(INDEX('Исходник'!$1:$626,MATCH($A508,'Исходник'!$T:$T,0),MATCH(L$1,'Исходник'!$1:$1,0)))</f>
        <v/>
      </c>
      <c r="M508" s="28">
        <f t="shared" si="4"/>
        <v>0</v>
      </c>
      <c r="N508" s="1" t="str">
        <f t="array" ref="N508">IFERROR(INDEX('Исходник'!$1:$626,MATCH($A508,'Исходник'!$T:$T,0),MATCH(N$1,'Исходник'!$1:$1,0)))</f>
        <v/>
      </c>
      <c r="O508" s="27">
        <f t="shared" si="5"/>
        <v>0</v>
      </c>
      <c r="P508" s="27" t="str">
        <f t="shared" si="6"/>
        <v/>
      </c>
      <c r="Q508" s="1" t="str">
        <f t="array" ref="Q508">IFERROR(INDEX('Исходник'!$1:$626,MATCH($A508,'Исходник'!$T:$T,0),MATCH(Q$1,'Исходник'!$1:$1,0)))</f>
        <v/>
      </c>
      <c r="R508" s="1" t="str">
        <f t="array" ref="R508">IFERROR(INDEX('Исходник'!$1:$626,MATCH($A508,'Исходник'!$T:$T,0),MATCH(R$1,'Исходник'!$1:$1,0)))</f>
        <v/>
      </c>
      <c r="S508" s="27">
        <f t="shared" si="7"/>
        <v>0</v>
      </c>
      <c r="T508" s="27" t="str">
        <f t="shared" si="8"/>
        <v/>
      </c>
      <c r="U508" s="1" t="str">
        <f t="array" ref="U508">IFERROR(INDEX('Исходник'!$1:$626,MATCH($A508,'Исходник'!$T:$T,0),MATCH(U$1,'Исходник'!$1:$1,0)))</f>
        <v/>
      </c>
      <c r="V508" s="27" t="str">
        <f t="shared" si="9"/>
        <v/>
      </c>
      <c r="W508" s="1" t="str">
        <f t="array" ref="W508">IFERROR(INDEX('Исходник'!$1:$626,MATCH($A508,'Исходник'!$T:$T,0),MATCH(W$1,'Исходник'!$1:$1,0)))</f>
        <v/>
      </c>
      <c r="X508" s="28">
        <f t="shared" si="10"/>
        <v>0</v>
      </c>
      <c r="Y508" s="1" t="str">
        <f t="array" ref="Y508">IFERROR(INDEX('Исходник'!$1:$626,MATCH($A508,'Исходник'!$T:$T,0),MATCH(Y$1,'Исходник'!$1:$1,0)))</f>
        <v/>
      </c>
      <c r="Z508" s="27">
        <f t="shared" si="11"/>
        <v>0</v>
      </c>
      <c r="AA508" s="27" t="str">
        <f t="shared" si="12"/>
        <v/>
      </c>
      <c r="AB508" s="1" t="str">
        <f t="array" ref="AB508">IFERROR(INDEX('Исходник'!$1:$626,MATCH($A508,'Исходник'!$T:$T,0),MATCH(AB$1,'Исходник'!$1:$1,0)))</f>
        <v/>
      </c>
      <c r="AC508" s="1" t="str">
        <f t="array" ref="AC508">IFERROR(INDEX('Исходник'!$1:$626,MATCH($A508,'Исходник'!$T:$T,0),MATCH(AC$1,'Исходник'!$1:$1,0)))</f>
        <v/>
      </c>
      <c r="AD508" s="27" t="str">
        <f t="shared" si="13"/>
        <v/>
      </c>
      <c r="AE508" s="1" t="str">
        <f t="array" ref="AE508">IFERROR(INDEX('Исходник'!$1:$626,MATCH($A508,'Исходник'!$T:$T,0),MATCH(AE$1,'Исходник'!$1:$1,0)))</f>
        <v/>
      </c>
      <c r="AF508" s="1" t="str">
        <f t="array" ref="AF508">IFERROR(INDEX('Исходник'!$1:$626,MATCH($A508,'Исходник'!$T:$T,0),MATCH(AF$1,'Исходник'!$1:$1,0)))</f>
        <v/>
      </c>
      <c r="AG508" s="27" t="str">
        <f t="shared" si="14"/>
        <v/>
      </c>
      <c r="AH508" s="1" t="str">
        <f t="array" ref="AH508">IFERROR(INDEX('Исходник'!$1:$626,MATCH($A508,'Исходник'!$T:$T,0),MATCH(AH$1,'Исходник'!$1:$1,0)))</f>
        <v/>
      </c>
      <c r="AI508" s="1" t="str">
        <f t="array" ref="AI508">IFERROR(INDEX('Исходник'!$1:$626,MATCH($A508,'Исходник'!$T:$T,0),MATCH(AI$1,'Исходник'!$1:$1,0)))</f>
        <v/>
      </c>
      <c r="AJ508" s="18">
        <f t="shared" si="15"/>
        <v>0</v>
      </c>
    </row>
    <row r="509" ht="15.75" customHeight="1">
      <c r="A509" s="27"/>
      <c r="B509" s="1" t="str">
        <f t="array" ref="B509">IFERROR(INDEX('Исходник'!$1:$626,MATCH($A509,'Исходник'!$T:$T,0),MATCH(B$1,'Исходник'!$1:$1,0)))</f>
        <v/>
      </c>
      <c r="C509" s="1" t="str">
        <f t="array" ref="C509">IFERROR(INDEX('Исходник'!$1:$626,MATCH($A509,'Исходник'!$T:$T,0),MATCH(C$1,'Исходник'!$1:$1,0)))</f>
        <v/>
      </c>
      <c r="D509" s="1" t="str">
        <f t="array" ref="D509">IFERROR(INDEX('Исходник'!$1:$626,MATCH($A509,'Исходник'!$T:$T,0),MATCH(D$1,'Исходник'!$1:$1,0)))</f>
        <v/>
      </c>
      <c r="E509" s="1" t="str">
        <f t="array" ref="E509">IFERROR(INDEX('Исходник'!$1:$626,MATCH($A509,'Исходник'!$T:$T,0),MATCH(E$1,'Исходник'!$1:$1,0)))</f>
        <v/>
      </c>
      <c r="F509" s="1" t="str">
        <f t="array" ref="F509">IFERROR(INDEX('Исходник'!$1:$626,MATCH($A509,'Исходник'!$T:$T,0),MATCH(F$1,'Исходник'!$1:$1,0)))</f>
        <v/>
      </c>
      <c r="G509" s="1" t="str">
        <f t="array" ref="G509">IFERROR(INDEX('Исходник'!$1:$626,MATCH($A509,'Исходник'!$T:$T,0),MATCH(G$1,'Исходник'!$1:$1,0)))</f>
        <v/>
      </c>
      <c r="H509" s="27">
        <f t="shared" si="1"/>
        <v>0</v>
      </c>
      <c r="I509" s="27" t="str">
        <f t="shared" si="2"/>
        <v/>
      </c>
      <c r="J509" s="1" t="str">
        <f t="array" ref="J509">IFERROR(INDEX('Исходник'!$1:$626,MATCH($A509,'Исходник'!$T:$T,0),MATCH(J$1,'Исходник'!$1:$1,0)))</f>
        <v/>
      </c>
      <c r="K509" s="27" t="str">
        <f t="shared" si="3"/>
        <v/>
      </c>
      <c r="L509" s="1" t="str">
        <f t="array" ref="L509">IFERROR(INDEX('Исходник'!$1:$626,MATCH($A509,'Исходник'!$T:$T,0),MATCH(L$1,'Исходник'!$1:$1,0)))</f>
        <v/>
      </c>
      <c r="M509" s="28">
        <f t="shared" si="4"/>
        <v>0</v>
      </c>
      <c r="N509" s="1" t="str">
        <f t="array" ref="N509">IFERROR(INDEX('Исходник'!$1:$626,MATCH($A509,'Исходник'!$T:$T,0),MATCH(N$1,'Исходник'!$1:$1,0)))</f>
        <v/>
      </c>
      <c r="O509" s="27">
        <f t="shared" si="5"/>
        <v>0</v>
      </c>
      <c r="P509" s="27" t="str">
        <f t="shared" si="6"/>
        <v/>
      </c>
      <c r="Q509" s="1" t="str">
        <f t="array" ref="Q509">IFERROR(INDEX('Исходник'!$1:$626,MATCH($A509,'Исходник'!$T:$T,0),MATCH(Q$1,'Исходник'!$1:$1,0)))</f>
        <v/>
      </c>
      <c r="R509" s="1" t="str">
        <f t="array" ref="R509">IFERROR(INDEX('Исходник'!$1:$626,MATCH($A509,'Исходник'!$T:$T,0),MATCH(R$1,'Исходник'!$1:$1,0)))</f>
        <v/>
      </c>
      <c r="S509" s="27">
        <f t="shared" si="7"/>
        <v>0</v>
      </c>
      <c r="T509" s="27" t="str">
        <f t="shared" si="8"/>
        <v/>
      </c>
      <c r="U509" s="1" t="str">
        <f t="array" ref="U509">IFERROR(INDEX('Исходник'!$1:$626,MATCH($A509,'Исходник'!$T:$T,0),MATCH(U$1,'Исходник'!$1:$1,0)))</f>
        <v/>
      </c>
      <c r="V509" s="27" t="str">
        <f t="shared" si="9"/>
        <v/>
      </c>
      <c r="W509" s="1" t="str">
        <f t="array" ref="W509">IFERROR(INDEX('Исходник'!$1:$626,MATCH($A509,'Исходник'!$T:$T,0),MATCH(W$1,'Исходник'!$1:$1,0)))</f>
        <v/>
      </c>
      <c r="X509" s="28">
        <f t="shared" si="10"/>
        <v>0</v>
      </c>
      <c r="Y509" s="1" t="str">
        <f t="array" ref="Y509">IFERROR(INDEX('Исходник'!$1:$626,MATCH($A509,'Исходник'!$T:$T,0),MATCH(Y$1,'Исходник'!$1:$1,0)))</f>
        <v/>
      </c>
      <c r="Z509" s="27">
        <f t="shared" si="11"/>
        <v>0</v>
      </c>
      <c r="AA509" s="27" t="str">
        <f t="shared" si="12"/>
        <v/>
      </c>
      <c r="AB509" s="1" t="str">
        <f t="array" ref="AB509">IFERROR(INDEX('Исходник'!$1:$626,MATCH($A509,'Исходник'!$T:$T,0),MATCH(AB$1,'Исходник'!$1:$1,0)))</f>
        <v/>
      </c>
      <c r="AC509" s="1" t="str">
        <f t="array" ref="AC509">IFERROR(INDEX('Исходник'!$1:$626,MATCH($A509,'Исходник'!$T:$T,0),MATCH(AC$1,'Исходник'!$1:$1,0)))</f>
        <v/>
      </c>
      <c r="AD509" s="27" t="str">
        <f t="shared" si="13"/>
        <v/>
      </c>
      <c r="AE509" s="1" t="str">
        <f t="array" ref="AE509">IFERROR(INDEX('Исходник'!$1:$626,MATCH($A509,'Исходник'!$T:$T,0),MATCH(AE$1,'Исходник'!$1:$1,0)))</f>
        <v/>
      </c>
      <c r="AF509" s="1" t="str">
        <f t="array" ref="AF509">IFERROR(INDEX('Исходник'!$1:$626,MATCH($A509,'Исходник'!$T:$T,0),MATCH(AF$1,'Исходник'!$1:$1,0)))</f>
        <v/>
      </c>
      <c r="AG509" s="27" t="str">
        <f t="shared" si="14"/>
        <v/>
      </c>
      <c r="AH509" s="1" t="str">
        <f t="array" ref="AH509">IFERROR(INDEX('Исходник'!$1:$626,MATCH($A509,'Исходник'!$T:$T,0),MATCH(AH$1,'Исходник'!$1:$1,0)))</f>
        <v/>
      </c>
      <c r="AI509" s="1" t="str">
        <f t="array" ref="AI509">IFERROR(INDEX('Исходник'!$1:$626,MATCH($A509,'Исходник'!$T:$T,0),MATCH(AI$1,'Исходник'!$1:$1,0)))</f>
        <v/>
      </c>
      <c r="AJ509" s="18">
        <f t="shared" si="15"/>
        <v>0</v>
      </c>
    </row>
    <row r="510" ht="15.75" customHeight="1">
      <c r="A510" s="27"/>
      <c r="B510" s="1" t="str">
        <f t="array" ref="B510">IFERROR(INDEX('Исходник'!$1:$626,MATCH($A510,'Исходник'!$T:$T,0),MATCH(B$1,'Исходник'!$1:$1,0)))</f>
        <v/>
      </c>
      <c r="C510" s="1" t="str">
        <f t="array" ref="C510">IFERROR(INDEX('Исходник'!$1:$626,MATCH($A510,'Исходник'!$T:$T,0),MATCH(C$1,'Исходник'!$1:$1,0)))</f>
        <v/>
      </c>
      <c r="D510" s="1" t="str">
        <f t="array" ref="D510">IFERROR(INDEX('Исходник'!$1:$626,MATCH($A510,'Исходник'!$T:$T,0),MATCH(D$1,'Исходник'!$1:$1,0)))</f>
        <v/>
      </c>
      <c r="E510" s="1" t="str">
        <f t="array" ref="E510">IFERROR(INDEX('Исходник'!$1:$626,MATCH($A510,'Исходник'!$T:$T,0),MATCH(E$1,'Исходник'!$1:$1,0)))</f>
        <v/>
      </c>
      <c r="F510" s="1" t="str">
        <f t="array" ref="F510">IFERROR(INDEX('Исходник'!$1:$626,MATCH($A510,'Исходник'!$T:$T,0),MATCH(F$1,'Исходник'!$1:$1,0)))</f>
        <v/>
      </c>
      <c r="G510" s="1" t="str">
        <f t="array" ref="G510">IFERROR(INDEX('Исходник'!$1:$626,MATCH($A510,'Исходник'!$T:$T,0),MATCH(G$1,'Исходник'!$1:$1,0)))</f>
        <v/>
      </c>
      <c r="H510" s="27">
        <f t="shared" si="1"/>
        <v>0</v>
      </c>
      <c r="I510" s="27" t="str">
        <f t="shared" si="2"/>
        <v/>
      </c>
      <c r="J510" s="1" t="str">
        <f t="array" ref="J510">IFERROR(INDEX('Исходник'!$1:$626,MATCH($A510,'Исходник'!$T:$T,0),MATCH(J$1,'Исходник'!$1:$1,0)))</f>
        <v/>
      </c>
      <c r="K510" s="27" t="str">
        <f t="shared" si="3"/>
        <v/>
      </c>
      <c r="L510" s="1" t="str">
        <f t="array" ref="L510">IFERROR(INDEX('Исходник'!$1:$626,MATCH($A510,'Исходник'!$T:$T,0),MATCH(L$1,'Исходник'!$1:$1,0)))</f>
        <v/>
      </c>
      <c r="M510" s="28">
        <f t="shared" si="4"/>
        <v>0</v>
      </c>
      <c r="N510" s="1" t="str">
        <f t="array" ref="N510">IFERROR(INDEX('Исходник'!$1:$626,MATCH($A510,'Исходник'!$T:$T,0),MATCH(N$1,'Исходник'!$1:$1,0)))</f>
        <v/>
      </c>
      <c r="O510" s="27">
        <f t="shared" si="5"/>
        <v>0</v>
      </c>
      <c r="P510" s="27" t="str">
        <f t="shared" si="6"/>
        <v/>
      </c>
      <c r="Q510" s="1" t="str">
        <f t="array" ref="Q510">IFERROR(INDEX('Исходник'!$1:$626,MATCH($A510,'Исходник'!$T:$T,0),MATCH(Q$1,'Исходник'!$1:$1,0)))</f>
        <v/>
      </c>
      <c r="R510" s="1" t="str">
        <f t="array" ref="R510">IFERROR(INDEX('Исходник'!$1:$626,MATCH($A510,'Исходник'!$T:$T,0),MATCH(R$1,'Исходник'!$1:$1,0)))</f>
        <v/>
      </c>
      <c r="S510" s="27">
        <f t="shared" si="7"/>
        <v>0</v>
      </c>
      <c r="T510" s="27" t="str">
        <f t="shared" si="8"/>
        <v/>
      </c>
      <c r="U510" s="1" t="str">
        <f t="array" ref="U510">IFERROR(INDEX('Исходник'!$1:$626,MATCH($A510,'Исходник'!$T:$T,0),MATCH(U$1,'Исходник'!$1:$1,0)))</f>
        <v/>
      </c>
      <c r="V510" s="27" t="str">
        <f t="shared" si="9"/>
        <v/>
      </c>
      <c r="W510" s="1" t="str">
        <f t="array" ref="W510">IFERROR(INDEX('Исходник'!$1:$626,MATCH($A510,'Исходник'!$T:$T,0),MATCH(W$1,'Исходник'!$1:$1,0)))</f>
        <v/>
      </c>
      <c r="X510" s="28">
        <f t="shared" si="10"/>
        <v>0</v>
      </c>
      <c r="Y510" s="1" t="str">
        <f t="array" ref="Y510">IFERROR(INDEX('Исходник'!$1:$626,MATCH($A510,'Исходник'!$T:$T,0),MATCH(Y$1,'Исходник'!$1:$1,0)))</f>
        <v/>
      </c>
      <c r="Z510" s="27">
        <f t="shared" si="11"/>
        <v>0</v>
      </c>
      <c r="AA510" s="27" t="str">
        <f t="shared" si="12"/>
        <v/>
      </c>
      <c r="AB510" s="1" t="str">
        <f t="array" ref="AB510">IFERROR(INDEX('Исходник'!$1:$626,MATCH($A510,'Исходник'!$T:$T,0),MATCH(AB$1,'Исходник'!$1:$1,0)))</f>
        <v/>
      </c>
      <c r="AC510" s="1" t="str">
        <f t="array" ref="AC510">IFERROR(INDEX('Исходник'!$1:$626,MATCH($A510,'Исходник'!$T:$T,0),MATCH(AC$1,'Исходник'!$1:$1,0)))</f>
        <v/>
      </c>
      <c r="AD510" s="27" t="str">
        <f t="shared" si="13"/>
        <v/>
      </c>
      <c r="AE510" s="1" t="str">
        <f t="array" ref="AE510">IFERROR(INDEX('Исходник'!$1:$626,MATCH($A510,'Исходник'!$T:$T,0),MATCH(AE$1,'Исходник'!$1:$1,0)))</f>
        <v/>
      </c>
      <c r="AF510" s="1" t="str">
        <f t="array" ref="AF510">IFERROR(INDEX('Исходник'!$1:$626,MATCH($A510,'Исходник'!$T:$T,0),MATCH(AF$1,'Исходник'!$1:$1,0)))</f>
        <v/>
      </c>
      <c r="AG510" s="27" t="str">
        <f t="shared" si="14"/>
        <v/>
      </c>
      <c r="AH510" s="1" t="str">
        <f t="array" ref="AH510">IFERROR(INDEX('Исходник'!$1:$626,MATCH($A510,'Исходник'!$T:$T,0),MATCH(AH$1,'Исходник'!$1:$1,0)))</f>
        <v/>
      </c>
      <c r="AI510" s="1" t="str">
        <f t="array" ref="AI510">IFERROR(INDEX('Исходник'!$1:$626,MATCH($A510,'Исходник'!$T:$T,0),MATCH(AI$1,'Исходник'!$1:$1,0)))</f>
        <v/>
      </c>
      <c r="AJ510" s="18">
        <f t="shared" si="15"/>
        <v>0</v>
      </c>
    </row>
    <row r="511" ht="15.75" customHeight="1">
      <c r="A511" s="27"/>
      <c r="B511" s="1" t="str">
        <f t="array" ref="B511">IFERROR(INDEX('Исходник'!$1:$626,MATCH($A511,'Исходник'!$T:$T,0),MATCH(B$1,'Исходник'!$1:$1,0)))</f>
        <v/>
      </c>
      <c r="C511" s="1" t="str">
        <f t="array" ref="C511">IFERROR(INDEX('Исходник'!$1:$626,MATCH($A511,'Исходник'!$T:$T,0),MATCH(C$1,'Исходник'!$1:$1,0)))</f>
        <v/>
      </c>
      <c r="D511" s="1" t="str">
        <f t="array" ref="D511">IFERROR(INDEX('Исходник'!$1:$626,MATCH($A511,'Исходник'!$T:$T,0),MATCH(D$1,'Исходник'!$1:$1,0)))</f>
        <v/>
      </c>
      <c r="E511" s="1" t="str">
        <f t="array" ref="E511">IFERROR(INDEX('Исходник'!$1:$626,MATCH($A511,'Исходник'!$T:$T,0),MATCH(E$1,'Исходник'!$1:$1,0)))</f>
        <v/>
      </c>
      <c r="F511" s="1" t="str">
        <f t="array" ref="F511">IFERROR(INDEX('Исходник'!$1:$626,MATCH($A511,'Исходник'!$T:$T,0),MATCH(F$1,'Исходник'!$1:$1,0)))</f>
        <v/>
      </c>
      <c r="G511" s="1" t="str">
        <f t="array" ref="G511">IFERROR(INDEX('Исходник'!$1:$626,MATCH($A511,'Исходник'!$T:$T,0),MATCH(G$1,'Исходник'!$1:$1,0)))</f>
        <v/>
      </c>
      <c r="H511" s="27">
        <f t="shared" si="1"/>
        <v>0</v>
      </c>
      <c r="I511" s="27" t="str">
        <f t="shared" si="2"/>
        <v/>
      </c>
      <c r="J511" s="1" t="str">
        <f t="array" ref="J511">IFERROR(INDEX('Исходник'!$1:$626,MATCH($A511,'Исходник'!$T:$T,0),MATCH(J$1,'Исходник'!$1:$1,0)))</f>
        <v/>
      </c>
      <c r="K511" s="27" t="str">
        <f t="shared" si="3"/>
        <v/>
      </c>
      <c r="L511" s="1" t="str">
        <f t="array" ref="L511">IFERROR(INDEX('Исходник'!$1:$626,MATCH($A511,'Исходник'!$T:$T,0),MATCH(L$1,'Исходник'!$1:$1,0)))</f>
        <v/>
      </c>
      <c r="M511" s="28">
        <f t="shared" si="4"/>
        <v>0</v>
      </c>
      <c r="N511" s="1" t="str">
        <f t="array" ref="N511">IFERROR(INDEX('Исходник'!$1:$626,MATCH($A511,'Исходник'!$T:$T,0),MATCH(N$1,'Исходник'!$1:$1,0)))</f>
        <v/>
      </c>
      <c r="O511" s="27">
        <f t="shared" si="5"/>
        <v>0</v>
      </c>
      <c r="P511" s="27" t="str">
        <f t="shared" si="6"/>
        <v/>
      </c>
      <c r="Q511" s="1" t="str">
        <f t="array" ref="Q511">IFERROR(INDEX('Исходник'!$1:$626,MATCH($A511,'Исходник'!$T:$T,0),MATCH(Q$1,'Исходник'!$1:$1,0)))</f>
        <v/>
      </c>
      <c r="R511" s="1" t="str">
        <f t="array" ref="R511">IFERROR(INDEX('Исходник'!$1:$626,MATCH($A511,'Исходник'!$T:$T,0),MATCH(R$1,'Исходник'!$1:$1,0)))</f>
        <v/>
      </c>
      <c r="S511" s="27">
        <f t="shared" si="7"/>
        <v>0</v>
      </c>
      <c r="T511" s="27" t="str">
        <f t="shared" si="8"/>
        <v/>
      </c>
      <c r="U511" s="1" t="str">
        <f t="array" ref="U511">IFERROR(INDEX('Исходник'!$1:$626,MATCH($A511,'Исходник'!$T:$T,0),MATCH(U$1,'Исходник'!$1:$1,0)))</f>
        <v/>
      </c>
      <c r="V511" s="27" t="str">
        <f t="shared" si="9"/>
        <v/>
      </c>
      <c r="W511" s="1" t="str">
        <f t="array" ref="W511">IFERROR(INDEX('Исходник'!$1:$626,MATCH($A511,'Исходник'!$T:$T,0),MATCH(W$1,'Исходник'!$1:$1,0)))</f>
        <v/>
      </c>
      <c r="X511" s="28">
        <f t="shared" si="10"/>
        <v>0</v>
      </c>
      <c r="Y511" s="1" t="str">
        <f t="array" ref="Y511">IFERROR(INDEX('Исходник'!$1:$626,MATCH($A511,'Исходник'!$T:$T,0),MATCH(Y$1,'Исходник'!$1:$1,0)))</f>
        <v/>
      </c>
      <c r="Z511" s="27">
        <f t="shared" si="11"/>
        <v>0</v>
      </c>
      <c r="AA511" s="27" t="str">
        <f t="shared" si="12"/>
        <v/>
      </c>
      <c r="AB511" s="1" t="str">
        <f t="array" ref="AB511">IFERROR(INDEX('Исходник'!$1:$626,MATCH($A511,'Исходник'!$T:$T,0),MATCH(AB$1,'Исходник'!$1:$1,0)))</f>
        <v/>
      </c>
      <c r="AC511" s="1" t="str">
        <f t="array" ref="AC511">IFERROR(INDEX('Исходник'!$1:$626,MATCH($A511,'Исходник'!$T:$T,0),MATCH(AC$1,'Исходник'!$1:$1,0)))</f>
        <v/>
      </c>
      <c r="AD511" s="27" t="str">
        <f t="shared" si="13"/>
        <v/>
      </c>
      <c r="AE511" s="1" t="str">
        <f t="array" ref="AE511">IFERROR(INDEX('Исходник'!$1:$626,MATCH($A511,'Исходник'!$T:$T,0),MATCH(AE$1,'Исходник'!$1:$1,0)))</f>
        <v/>
      </c>
      <c r="AF511" s="1" t="str">
        <f t="array" ref="AF511">IFERROR(INDEX('Исходник'!$1:$626,MATCH($A511,'Исходник'!$T:$T,0),MATCH(AF$1,'Исходник'!$1:$1,0)))</f>
        <v/>
      </c>
      <c r="AG511" s="27" t="str">
        <f t="shared" si="14"/>
        <v/>
      </c>
      <c r="AH511" s="1" t="str">
        <f t="array" ref="AH511">IFERROR(INDEX('Исходник'!$1:$626,MATCH($A511,'Исходник'!$T:$T,0),MATCH(AH$1,'Исходник'!$1:$1,0)))</f>
        <v/>
      </c>
      <c r="AI511" s="1" t="str">
        <f t="array" ref="AI511">IFERROR(INDEX('Исходник'!$1:$626,MATCH($A511,'Исходник'!$T:$T,0),MATCH(AI$1,'Исходник'!$1:$1,0)))</f>
        <v/>
      </c>
      <c r="AJ511" s="18">
        <f t="shared" si="15"/>
        <v>0</v>
      </c>
    </row>
    <row r="512" ht="15.75" customHeight="1">
      <c r="A512" s="27"/>
      <c r="B512" s="1" t="str">
        <f t="array" ref="B512">IFERROR(INDEX('Исходник'!$1:$626,MATCH($A512,'Исходник'!$T:$T,0),MATCH(B$1,'Исходник'!$1:$1,0)))</f>
        <v/>
      </c>
      <c r="C512" s="1" t="str">
        <f t="array" ref="C512">IFERROR(INDEX('Исходник'!$1:$626,MATCH($A512,'Исходник'!$T:$T,0),MATCH(C$1,'Исходник'!$1:$1,0)))</f>
        <v/>
      </c>
      <c r="D512" s="1" t="str">
        <f t="array" ref="D512">IFERROR(INDEX('Исходник'!$1:$626,MATCH($A512,'Исходник'!$T:$T,0),MATCH(D$1,'Исходник'!$1:$1,0)))</f>
        <v/>
      </c>
      <c r="E512" s="1" t="str">
        <f t="array" ref="E512">IFERROR(INDEX('Исходник'!$1:$626,MATCH($A512,'Исходник'!$T:$T,0),MATCH(E$1,'Исходник'!$1:$1,0)))</f>
        <v/>
      </c>
      <c r="F512" s="1" t="str">
        <f t="array" ref="F512">IFERROR(INDEX('Исходник'!$1:$626,MATCH($A512,'Исходник'!$T:$T,0),MATCH(F$1,'Исходник'!$1:$1,0)))</f>
        <v/>
      </c>
      <c r="G512" s="1" t="str">
        <f t="array" ref="G512">IFERROR(INDEX('Исходник'!$1:$626,MATCH($A512,'Исходник'!$T:$T,0),MATCH(G$1,'Исходник'!$1:$1,0)))</f>
        <v/>
      </c>
      <c r="H512" s="27">
        <f t="shared" si="1"/>
        <v>0</v>
      </c>
      <c r="I512" s="27" t="str">
        <f t="shared" si="2"/>
        <v/>
      </c>
      <c r="J512" s="1" t="str">
        <f t="array" ref="J512">IFERROR(INDEX('Исходник'!$1:$626,MATCH($A512,'Исходник'!$T:$T,0),MATCH(J$1,'Исходник'!$1:$1,0)))</f>
        <v/>
      </c>
      <c r="K512" s="27" t="str">
        <f t="shared" si="3"/>
        <v/>
      </c>
      <c r="L512" s="1" t="str">
        <f t="array" ref="L512">IFERROR(INDEX('Исходник'!$1:$626,MATCH($A512,'Исходник'!$T:$T,0),MATCH(L$1,'Исходник'!$1:$1,0)))</f>
        <v/>
      </c>
      <c r="M512" s="28">
        <f t="shared" si="4"/>
        <v>0</v>
      </c>
      <c r="N512" s="1" t="str">
        <f t="array" ref="N512">IFERROR(INDEX('Исходник'!$1:$626,MATCH($A512,'Исходник'!$T:$T,0),MATCH(N$1,'Исходник'!$1:$1,0)))</f>
        <v/>
      </c>
      <c r="O512" s="27">
        <f t="shared" si="5"/>
        <v>0</v>
      </c>
      <c r="P512" s="27" t="str">
        <f t="shared" si="6"/>
        <v/>
      </c>
      <c r="Q512" s="1" t="str">
        <f t="array" ref="Q512">IFERROR(INDEX('Исходник'!$1:$626,MATCH($A512,'Исходник'!$T:$T,0),MATCH(Q$1,'Исходник'!$1:$1,0)))</f>
        <v/>
      </c>
      <c r="R512" s="1" t="str">
        <f t="array" ref="R512">IFERROR(INDEX('Исходник'!$1:$626,MATCH($A512,'Исходник'!$T:$T,0),MATCH(R$1,'Исходник'!$1:$1,0)))</f>
        <v/>
      </c>
      <c r="S512" s="27">
        <f t="shared" si="7"/>
        <v>0</v>
      </c>
      <c r="T512" s="27" t="str">
        <f t="shared" si="8"/>
        <v/>
      </c>
      <c r="U512" s="1" t="str">
        <f t="array" ref="U512">IFERROR(INDEX('Исходник'!$1:$626,MATCH($A512,'Исходник'!$T:$T,0),MATCH(U$1,'Исходник'!$1:$1,0)))</f>
        <v/>
      </c>
      <c r="V512" s="27" t="str">
        <f t="shared" si="9"/>
        <v/>
      </c>
      <c r="W512" s="1" t="str">
        <f t="array" ref="W512">IFERROR(INDEX('Исходник'!$1:$626,MATCH($A512,'Исходник'!$T:$T,0),MATCH(W$1,'Исходник'!$1:$1,0)))</f>
        <v/>
      </c>
      <c r="X512" s="28">
        <f t="shared" si="10"/>
        <v>0</v>
      </c>
      <c r="Y512" s="1" t="str">
        <f t="array" ref="Y512">IFERROR(INDEX('Исходник'!$1:$626,MATCH($A512,'Исходник'!$T:$T,0),MATCH(Y$1,'Исходник'!$1:$1,0)))</f>
        <v/>
      </c>
      <c r="Z512" s="27">
        <f t="shared" si="11"/>
        <v>0</v>
      </c>
      <c r="AA512" s="27" t="str">
        <f t="shared" si="12"/>
        <v/>
      </c>
      <c r="AB512" s="1" t="str">
        <f t="array" ref="AB512">IFERROR(INDEX('Исходник'!$1:$626,MATCH($A512,'Исходник'!$T:$T,0),MATCH(AB$1,'Исходник'!$1:$1,0)))</f>
        <v/>
      </c>
      <c r="AC512" s="1" t="str">
        <f t="array" ref="AC512">IFERROR(INDEX('Исходник'!$1:$626,MATCH($A512,'Исходник'!$T:$T,0),MATCH(AC$1,'Исходник'!$1:$1,0)))</f>
        <v/>
      </c>
      <c r="AD512" s="27" t="str">
        <f t="shared" si="13"/>
        <v/>
      </c>
      <c r="AE512" s="1" t="str">
        <f t="array" ref="AE512">IFERROR(INDEX('Исходник'!$1:$626,MATCH($A512,'Исходник'!$T:$T,0),MATCH(AE$1,'Исходник'!$1:$1,0)))</f>
        <v/>
      </c>
      <c r="AF512" s="1" t="str">
        <f t="array" ref="AF512">IFERROR(INDEX('Исходник'!$1:$626,MATCH($A512,'Исходник'!$T:$T,0),MATCH(AF$1,'Исходник'!$1:$1,0)))</f>
        <v/>
      </c>
      <c r="AG512" s="27" t="str">
        <f t="shared" si="14"/>
        <v/>
      </c>
      <c r="AH512" s="1" t="str">
        <f t="array" ref="AH512">IFERROR(INDEX('Исходник'!$1:$626,MATCH($A512,'Исходник'!$T:$T,0),MATCH(AH$1,'Исходник'!$1:$1,0)))</f>
        <v/>
      </c>
      <c r="AI512" s="1" t="str">
        <f t="array" ref="AI512">IFERROR(INDEX('Исходник'!$1:$626,MATCH($A512,'Исходник'!$T:$T,0),MATCH(AI$1,'Исходник'!$1:$1,0)))</f>
        <v/>
      </c>
      <c r="AJ512" s="18">
        <f t="shared" si="15"/>
        <v>0</v>
      </c>
    </row>
    <row r="513" ht="15.75" customHeight="1">
      <c r="A513" s="27"/>
      <c r="B513" s="1" t="str">
        <f t="array" ref="B513">IFERROR(INDEX('Исходник'!$1:$626,MATCH($A513,'Исходник'!$T:$T,0),MATCH(B$1,'Исходник'!$1:$1,0)))</f>
        <v/>
      </c>
      <c r="C513" s="1" t="str">
        <f t="array" ref="C513">IFERROR(INDEX('Исходник'!$1:$626,MATCH($A513,'Исходник'!$T:$T,0),MATCH(C$1,'Исходник'!$1:$1,0)))</f>
        <v/>
      </c>
      <c r="D513" s="1" t="str">
        <f t="array" ref="D513">IFERROR(INDEX('Исходник'!$1:$626,MATCH($A513,'Исходник'!$T:$T,0),MATCH(D$1,'Исходник'!$1:$1,0)))</f>
        <v/>
      </c>
      <c r="E513" s="1" t="str">
        <f t="array" ref="E513">IFERROR(INDEX('Исходник'!$1:$626,MATCH($A513,'Исходник'!$T:$T,0),MATCH(E$1,'Исходник'!$1:$1,0)))</f>
        <v/>
      </c>
      <c r="F513" s="1" t="str">
        <f t="array" ref="F513">IFERROR(INDEX('Исходник'!$1:$626,MATCH($A513,'Исходник'!$T:$T,0),MATCH(F$1,'Исходник'!$1:$1,0)))</f>
        <v/>
      </c>
      <c r="G513" s="1" t="str">
        <f t="array" ref="G513">IFERROR(INDEX('Исходник'!$1:$626,MATCH($A513,'Исходник'!$T:$T,0),MATCH(G$1,'Исходник'!$1:$1,0)))</f>
        <v/>
      </c>
      <c r="H513" s="27">
        <f t="shared" si="1"/>
        <v>0</v>
      </c>
      <c r="I513" s="27" t="str">
        <f t="shared" si="2"/>
        <v/>
      </c>
      <c r="J513" s="1" t="str">
        <f t="array" ref="J513">IFERROR(INDEX('Исходник'!$1:$626,MATCH($A513,'Исходник'!$T:$T,0),MATCH(J$1,'Исходник'!$1:$1,0)))</f>
        <v/>
      </c>
      <c r="K513" s="27" t="str">
        <f t="shared" si="3"/>
        <v/>
      </c>
      <c r="L513" s="1" t="str">
        <f t="array" ref="L513">IFERROR(INDEX('Исходник'!$1:$626,MATCH($A513,'Исходник'!$T:$T,0),MATCH(L$1,'Исходник'!$1:$1,0)))</f>
        <v/>
      </c>
      <c r="M513" s="28">
        <f t="shared" si="4"/>
        <v>0</v>
      </c>
      <c r="N513" s="1" t="str">
        <f t="array" ref="N513">IFERROR(INDEX('Исходник'!$1:$626,MATCH($A513,'Исходник'!$T:$T,0),MATCH(N$1,'Исходник'!$1:$1,0)))</f>
        <v/>
      </c>
      <c r="O513" s="27">
        <f t="shared" si="5"/>
        <v>0</v>
      </c>
      <c r="P513" s="27" t="str">
        <f t="shared" si="6"/>
        <v/>
      </c>
      <c r="Q513" s="1" t="str">
        <f t="array" ref="Q513">IFERROR(INDEX('Исходник'!$1:$626,MATCH($A513,'Исходник'!$T:$T,0),MATCH(Q$1,'Исходник'!$1:$1,0)))</f>
        <v/>
      </c>
      <c r="R513" s="1" t="str">
        <f t="array" ref="R513">IFERROR(INDEX('Исходник'!$1:$626,MATCH($A513,'Исходник'!$T:$T,0),MATCH(R$1,'Исходник'!$1:$1,0)))</f>
        <v/>
      </c>
      <c r="S513" s="27">
        <f t="shared" si="7"/>
        <v>0</v>
      </c>
      <c r="T513" s="27" t="str">
        <f t="shared" si="8"/>
        <v/>
      </c>
      <c r="U513" s="1" t="str">
        <f t="array" ref="U513">IFERROR(INDEX('Исходник'!$1:$626,MATCH($A513,'Исходник'!$T:$T,0),MATCH(U$1,'Исходник'!$1:$1,0)))</f>
        <v/>
      </c>
      <c r="V513" s="27" t="str">
        <f t="shared" si="9"/>
        <v/>
      </c>
      <c r="W513" s="1" t="str">
        <f t="array" ref="W513">IFERROR(INDEX('Исходник'!$1:$626,MATCH($A513,'Исходник'!$T:$T,0),MATCH(W$1,'Исходник'!$1:$1,0)))</f>
        <v/>
      </c>
      <c r="X513" s="28">
        <f t="shared" si="10"/>
        <v>0</v>
      </c>
      <c r="Y513" s="1" t="str">
        <f t="array" ref="Y513">IFERROR(INDEX('Исходник'!$1:$626,MATCH($A513,'Исходник'!$T:$T,0),MATCH(Y$1,'Исходник'!$1:$1,0)))</f>
        <v/>
      </c>
      <c r="Z513" s="27">
        <f t="shared" si="11"/>
        <v>0</v>
      </c>
      <c r="AA513" s="27" t="str">
        <f t="shared" si="12"/>
        <v/>
      </c>
      <c r="AB513" s="1" t="str">
        <f t="array" ref="AB513">IFERROR(INDEX('Исходник'!$1:$626,MATCH($A513,'Исходник'!$T:$T,0),MATCH(AB$1,'Исходник'!$1:$1,0)))</f>
        <v/>
      </c>
      <c r="AC513" s="1" t="str">
        <f t="array" ref="AC513">IFERROR(INDEX('Исходник'!$1:$626,MATCH($A513,'Исходник'!$T:$T,0),MATCH(AC$1,'Исходник'!$1:$1,0)))</f>
        <v/>
      </c>
      <c r="AD513" s="27" t="str">
        <f t="shared" si="13"/>
        <v/>
      </c>
      <c r="AE513" s="1" t="str">
        <f t="array" ref="AE513">IFERROR(INDEX('Исходник'!$1:$626,MATCH($A513,'Исходник'!$T:$T,0),MATCH(AE$1,'Исходник'!$1:$1,0)))</f>
        <v/>
      </c>
      <c r="AF513" s="1" t="str">
        <f t="array" ref="AF513">IFERROR(INDEX('Исходник'!$1:$626,MATCH($A513,'Исходник'!$T:$T,0),MATCH(AF$1,'Исходник'!$1:$1,0)))</f>
        <v/>
      </c>
      <c r="AG513" s="27" t="str">
        <f t="shared" si="14"/>
        <v/>
      </c>
      <c r="AH513" s="1" t="str">
        <f t="array" ref="AH513">IFERROR(INDEX('Исходник'!$1:$626,MATCH($A513,'Исходник'!$T:$T,0),MATCH(AH$1,'Исходник'!$1:$1,0)))</f>
        <v/>
      </c>
      <c r="AI513" s="1" t="str">
        <f t="array" ref="AI513">IFERROR(INDEX('Исходник'!$1:$626,MATCH($A513,'Исходник'!$T:$T,0),MATCH(AI$1,'Исходник'!$1:$1,0)))</f>
        <v/>
      </c>
      <c r="AJ513" s="18">
        <f t="shared" si="15"/>
        <v>0</v>
      </c>
    </row>
    <row r="514" ht="15.75" customHeight="1">
      <c r="A514" s="27"/>
      <c r="B514" s="1" t="str">
        <f t="array" ref="B514">IFERROR(INDEX('Исходник'!$1:$626,MATCH($A514,'Исходник'!$T:$T,0),MATCH(B$1,'Исходник'!$1:$1,0)))</f>
        <v/>
      </c>
      <c r="C514" s="1" t="str">
        <f t="array" ref="C514">IFERROR(INDEX('Исходник'!$1:$626,MATCH($A514,'Исходник'!$T:$T,0),MATCH(C$1,'Исходник'!$1:$1,0)))</f>
        <v/>
      </c>
      <c r="D514" s="1" t="str">
        <f t="array" ref="D514">IFERROR(INDEX('Исходник'!$1:$626,MATCH($A514,'Исходник'!$T:$T,0),MATCH(D$1,'Исходник'!$1:$1,0)))</f>
        <v/>
      </c>
      <c r="E514" s="1" t="str">
        <f t="array" ref="E514">IFERROR(INDEX('Исходник'!$1:$626,MATCH($A514,'Исходник'!$T:$T,0),MATCH(E$1,'Исходник'!$1:$1,0)))</f>
        <v/>
      </c>
      <c r="F514" s="1" t="str">
        <f t="array" ref="F514">IFERROR(INDEX('Исходник'!$1:$626,MATCH($A514,'Исходник'!$T:$T,0),MATCH(F$1,'Исходник'!$1:$1,0)))</f>
        <v/>
      </c>
      <c r="G514" s="1" t="str">
        <f t="array" ref="G514">IFERROR(INDEX('Исходник'!$1:$626,MATCH($A514,'Исходник'!$T:$T,0),MATCH(G$1,'Исходник'!$1:$1,0)))</f>
        <v/>
      </c>
      <c r="H514" s="27">
        <f t="shared" si="1"/>
        <v>0</v>
      </c>
      <c r="I514" s="27" t="str">
        <f t="shared" si="2"/>
        <v/>
      </c>
      <c r="J514" s="1" t="str">
        <f t="array" ref="J514">IFERROR(INDEX('Исходник'!$1:$626,MATCH($A514,'Исходник'!$T:$T,0),MATCH(J$1,'Исходник'!$1:$1,0)))</f>
        <v/>
      </c>
      <c r="K514" s="27" t="str">
        <f t="shared" si="3"/>
        <v/>
      </c>
      <c r="L514" s="1" t="str">
        <f t="array" ref="L514">IFERROR(INDEX('Исходник'!$1:$626,MATCH($A514,'Исходник'!$T:$T,0),MATCH(L$1,'Исходник'!$1:$1,0)))</f>
        <v/>
      </c>
      <c r="M514" s="28">
        <f t="shared" si="4"/>
        <v>0</v>
      </c>
      <c r="N514" s="1" t="str">
        <f t="array" ref="N514">IFERROR(INDEX('Исходник'!$1:$626,MATCH($A514,'Исходник'!$T:$T,0),MATCH(N$1,'Исходник'!$1:$1,0)))</f>
        <v/>
      </c>
      <c r="O514" s="27">
        <f t="shared" si="5"/>
        <v>0</v>
      </c>
      <c r="P514" s="27" t="str">
        <f t="shared" si="6"/>
        <v/>
      </c>
      <c r="Q514" s="1" t="str">
        <f t="array" ref="Q514">IFERROR(INDEX('Исходник'!$1:$626,MATCH($A514,'Исходник'!$T:$T,0),MATCH(Q$1,'Исходник'!$1:$1,0)))</f>
        <v/>
      </c>
      <c r="R514" s="1" t="str">
        <f t="array" ref="R514">IFERROR(INDEX('Исходник'!$1:$626,MATCH($A514,'Исходник'!$T:$T,0),MATCH(R$1,'Исходник'!$1:$1,0)))</f>
        <v/>
      </c>
      <c r="S514" s="27">
        <f t="shared" si="7"/>
        <v>0</v>
      </c>
      <c r="T514" s="27" t="str">
        <f t="shared" si="8"/>
        <v/>
      </c>
      <c r="U514" s="1" t="str">
        <f t="array" ref="U514">IFERROR(INDEX('Исходник'!$1:$626,MATCH($A514,'Исходник'!$T:$T,0),MATCH(U$1,'Исходник'!$1:$1,0)))</f>
        <v/>
      </c>
      <c r="V514" s="27" t="str">
        <f t="shared" si="9"/>
        <v/>
      </c>
      <c r="W514" s="1" t="str">
        <f t="array" ref="W514">IFERROR(INDEX('Исходник'!$1:$626,MATCH($A514,'Исходник'!$T:$T,0),MATCH(W$1,'Исходник'!$1:$1,0)))</f>
        <v/>
      </c>
      <c r="X514" s="28">
        <f t="shared" si="10"/>
        <v>0</v>
      </c>
      <c r="Y514" s="1" t="str">
        <f t="array" ref="Y514">IFERROR(INDEX('Исходник'!$1:$626,MATCH($A514,'Исходник'!$T:$T,0),MATCH(Y$1,'Исходник'!$1:$1,0)))</f>
        <v/>
      </c>
      <c r="Z514" s="27">
        <f t="shared" si="11"/>
        <v>0</v>
      </c>
      <c r="AA514" s="27" t="str">
        <f t="shared" si="12"/>
        <v/>
      </c>
      <c r="AB514" s="1" t="str">
        <f t="array" ref="AB514">IFERROR(INDEX('Исходник'!$1:$626,MATCH($A514,'Исходник'!$T:$T,0),MATCH(AB$1,'Исходник'!$1:$1,0)))</f>
        <v/>
      </c>
      <c r="AC514" s="1" t="str">
        <f t="array" ref="AC514">IFERROR(INDEX('Исходник'!$1:$626,MATCH($A514,'Исходник'!$T:$T,0),MATCH(AC$1,'Исходник'!$1:$1,0)))</f>
        <v/>
      </c>
      <c r="AD514" s="27" t="str">
        <f t="shared" si="13"/>
        <v/>
      </c>
      <c r="AE514" s="1" t="str">
        <f t="array" ref="AE514">IFERROR(INDEX('Исходник'!$1:$626,MATCH($A514,'Исходник'!$T:$T,0),MATCH(AE$1,'Исходник'!$1:$1,0)))</f>
        <v/>
      </c>
      <c r="AF514" s="1" t="str">
        <f t="array" ref="AF514">IFERROR(INDEX('Исходник'!$1:$626,MATCH($A514,'Исходник'!$T:$T,0),MATCH(AF$1,'Исходник'!$1:$1,0)))</f>
        <v/>
      </c>
      <c r="AG514" s="27" t="str">
        <f t="shared" si="14"/>
        <v/>
      </c>
      <c r="AH514" s="1" t="str">
        <f t="array" ref="AH514">IFERROR(INDEX('Исходник'!$1:$626,MATCH($A514,'Исходник'!$T:$T,0),MATCH(AH$1,'Исходник'!$1:$1,0)))</f>
        <v/>
      </c>
      <c r="AI514" s="1" t="str">
        <f t="array" ref="AI514">IFERROR(INDEX('Исходник'!$1:$626,MATCH($A514,'Исходник'!$T:$T,0),MATCH(AI$1,'Исходник'!$1:$1,0)))</f>
        <v/>
      </c>
      <c r="AJ514" s="18">
        <f t="shared" si="15"/>
        <v>0</v>
      </c>
    </row>
    <row r="515" ht="15.75" customHeight="1">
      <c r="A515" s="27"/>
      <c r="B515" s="1" t="str">
        <f t="array" ref="B515">IFERROR(INDEX('Исходник'!$1:$626,MATCH($A515,'Исходник'!$T:$T,0),MATCH(B$1,'Исходник'!$1:$1,0)))</f>
        <v/>
      </c>
      <c r="C515" s="1" t="str">
        <f t="array" ref="C515">IFERROR(INDEX('Исходник'!$1:$626,MATCH($A515,'Исходник'!$T:$T,0),MATCH(C$1,'Исходник'!$1:$1,0)))</f>
        <v/>
      </c>
      <c r="D515" s="1" t="str">
        <f t="array" ref="D515">IFERROR(INDEX('Исходник'!$1:$626,MATCH($A515,'Исходник'!$T:$T,0),MATCH(D$1,'Исходник'!$1:$1,0)))</f>
        <v/>
      </c>
      <c r="E515" s="1" t="str">
        <f t="array" ref="E515">IFERROR(INDEX('Исходник'!$1:$626,MATCH($A515,'Исходник'!$T:$T,0),MATCH(E$1,'Исходник'!$1:$1,0)))</f>
        <v/>
      </c>
      <c r="F515" s="1" t="str">
        <f t="array" ref="F515">IFERROR(INDEX('Исходник'!$1:$626,MATCH($A515,'Исходник'!$T:$T,0),MATCH(F$1,'Исходник'!$1:$1,0)))</f>
        <v/>
      </c>
      <c r="G515" s="1" t="str">
        <f t="array" ref="G515">IFERROR(INDEX('Исходник'!$1:$626,MATCH($A515,'Исходник'!$T:$T,0),MATCH(G$1,'Исходник'!$1:$1,0)))</f>
        <v/>
      </c>
      <c r="H515" s="27">
        <f t="shared" si="1"/>
        <v>0</v>
      </c>
      <c r="I515" s="27" t="str">
        <f t="shared" si="2"/>
        <v/>
      </c>
      <c r="J515" s="1" t="str">
        <f t="array" ref="J515">IFERROR(INDEX('Исходник'!$1:$626,MATCH($A515,'Исходник'!$T:$T,0),MATCH(J$1,'Исходник'!$1:$1,0)))</f>
        <v/>
      </c>
      <c r="K515" s="27" t="str">
        <f t="shared" si="3"/>
        <v/>
      </c>
      <c r="L515" s="1" t="str">
        <f t="array" ref="L515">IFERROR(INDEX('Исходник'!$1:$626,MATCH($A515,'Исходник'!$T:$T,0),MATCH(L$1,'Исходник'!$1:$1,0)))</f>
        <v/>
      </c>
      <c r="M515" s="28">
        <f t="shared" si="4"/>
        <v>0</v>
      </c>
      <c r="N515" s="1" t="str">
        <f t="array" ref="N515">IFERROR(INDEX('Исходник'!$1:$626,MATCH($A515,'Исходник'!$T:$T,0),MATCH(N$1,'Исходник'!$1:$1,0)))</f>
        <v/>
      </c>
      <c r="O515" s="27">
        <f t="shared" si="5"/>
        <v>0</v>
      </c>
      <c r="P515" s="27" t="str">
        <f t="shared" si="6"/>
        <v/>
      </c>
      <c r="Q515" s="1" t="str">
        <f t="array" ref="Q515">IFERROR(INDEX('Исходник'!$1:$626,MATCH($A515,'Исходник'!$T:$T,0),MATCH(Q$1,'Исходник'!$1:$1,0)))</f>
        <v/>
      </c>
      <c r="R515" s="1" t="str">
        <f t="array" ref="R515">IFERROR(INDEX('Исходник'!$1:$626,MATCH($A515,'Исходник'!$T:$T,0),MATCH(R$1,'Исходник'!$1:$1,0)))</f>
        <v/>
      </c>
      <c r="S515" s="27">
        <f t="shared" si="7"/>
        <v>0</v>
      </c>
      <c r="T515" s="27" t="str">
        <f t="shared" si="8"/>
        <v/>
      </c>
      <c r="U515" s="1" t="str">
        <f t="array" ref="U515">IFERROR(INDEX('Исходник'!$1:$626,MATCH($A515,'Исходник'!$T:$T,0),MATCH(U$1,'Исходник'!$1:$1,0)))</f>
        <v/>
      </c>
      <c r="V515" s="27" t="str">
        <f t="shared" si="9"/>
        <v/>
      </c>
      <c r="W515" s="1" t="str">
        <f t="array" ref="W515">IFERROR(INDEX('Исходник'!$1:$626,MATCH($A515,'Исходник'!$T:$T,0),MATCH(W$1,'Исходник'!$1:$1,0)))</f>
        <v/>
      </c>
      <c r="X515" s="28">
        <f t="shared" si="10"/>
        <v>0</v>
      </c>
      <c r="Y515" s="1" t="str">
        <f t="array" ref="Y515">IFERROR(INDEX('Исходник'!$1:$626,MATCH($A515,'Исходник'!$T:$T,0),MATCH(Y$1,'Исходник'!$1:$1,0)))</f>
        <v/>
      </c>
      <c r="Z515" s="27">
        <f t="shared" si="11"/>
        <v>0</v>
      </c>
      <c r="AA515" s="27" t="str">
        <f t="shared" si="12"/>
        <v/>
      </c>
      <c r="AB515" s="1" t="str">
        <f t="array" ref="AB515">IFERROR(INDEX('Исходник'!$1:$626,MATCH($A515,'Исходник'!$T:$T,0),MATCH(AB$1,'Исходник'!$1:$1,0)))</f>
        <v/>
      </c>
      <c r="AC515" s="1" t="str">
        <f t="array" ref="AC515">IFERROR(INDEX('Исходник'!$1:$626,MATCH($A515,'Исходник'!$T:$T,0),MATCH(AC$1,'Исходник'!$1:$1,0)))</f>
        <v/>
      </c>
      <c r="AD515" s="27" t="str">
        <f t="shared" si="13"/>
        <v/>
      </c>
      <c r="AE515" s="1" t="str">
        <f t="array" ref="AE515">IFERROR(INDEX('Исходник'!$1:$626,MATCH($A515,'Исходник'!$T:$T,0),MATCH(AE$1,'Исходник'!$1:$1,0)))</f>
        <v/>
      </c>
      <c r="AF515" s="1" t="str">
        <f t="array" ref="AF515">IFERROR(INDEX('Исходник'!$1:$626,MATCH($A515,'Исходник'!$T:$T,0),MATCH(AF$1,'Исходник'!$1:$1,0)))</f>
        <v/>
      </c>
      <c r="AG515" s="27" t="str">
        <f t="shared" si="14"/>
        <v/>
      </c>
      <c r="AH515" s="1" t="str">
        <f t="array" ref="AH515">IFERROR(INDEX('Исходник'!$1:$626,MATCH($A515,'Исходник'!$T:$T,0),MATCH(AH$1,'Исходник'!$1:$1,0)))</f>
        <v/>
      </c>
      <c r="AI515" s="1" t="str">
        <f t="array" ref="AI515">IFERROR(INDEX('Исходник'!$1:$626,MATCH($A515,'Исходник'!$T:$T,0),MATCH(AI$1,'Исходник'!$1:$1,0)))</f>
        <v/>
      </c>
      <c r="AJ515" s="18">
        <f t="shared" si="15"/>
        <v>0</v>
      </c>
    </row>
    <row r="516" ht="15.75" customHeight="1">
      <c r="A516" s="27"/>
      <c r="B516" s="1" t="str">
        <f t="array" ref="B516">IFERROR(INDEX('Исходник'!$1:$626,MATCH($A516,'Исходник'!$T:$T,0),MATCH(B$1,'Исходник'!$1:$1,0)))</f>
        <v/>
      </c>
      <c r="C516" s="1" t="str">
        <f t="array" ref="C516">IFERROR(INDEX('Исходник'!$1:$626,MATCH($A516,'Исходник'!$T:$T,0),MATCH(C$1,'Исходник'!$1:$1,0)))</f>
        <v/>
      </c>
      <c r="D516" s="1" t="str">
        <f t="array" ref="D516">IFERROR(INDEX('Исходник'!$1:$626,MATCH($A516,'Исходник'!$T:$T,0),MATCH(D$1,'Исходник'!$1:$1,0)))</f>
        <v/>
      </c>
      <c r="E516" s="1" t="str">
        <f t="array" ref="E516">IFERROR(INDEX('Исходник'!$1:$626,MATCH($A516,'Исходник'!$T:$T,0),MATCH(E$1,'Исходник'!$1:$1,0)))</f>
        <v/>
      </c>
      <c r="F516" s="1" t="str">
        <f t="array" ref="F516">IFERROR(INDEX('Исходник'!$1:$626,MATCH($A516,'Исходник'!$T:$T,0),MATCH(F$1,'Исходник'!$1:$1,0)))</f>
        <v/>
      </c>
      <c r="G516" s="1" t="str">
        <f t="array" ref="G516">IFERROR(INDEX('Исходник'!$1:$626,MATCH($A516,'Исходник'!$T:$T,0),MATCH(G$1,'Исходник'!$1:$1,0)))</f>
        <v/>
      </c>
      <c r="H516" s="27">
        <f t="shared" si="1"/>
        <v>0</v>
      </c>
      <c r="I516" s="27" t="str">
        <f t="shared" si="2"/>
        <v/>
      </c>
      <c r="J516" s="1" t="str">
        <f t="array" ref="J516">IFERROR(INDEX('Исходник'!$1:$626,MATCH($A516,'Исходник'!$T:$T,0),MATCH(J$1,'Исходник'!$1:$1,0)))</f>
        <v/>
      </c>
      <c r="K516" s="27" t="str">
        <f t="shared" si="3"/>
        <v/>
      </c>
      <c r="L516" s="1" t="str">
        <f t="array" ref="L516">IFERROR(INDEX('Исходник'!$1:$626,MATCH($A516,'Исходник'!$T:$T,0),MATCH(L$1,'Исходник'!$1:$1,0)))</f>
        <v/>
      </c>
      <c r="M516" s="28">
        <f t="shared" si="4"/>
        <v>0</v>
      </c>
      <c r="N516" s="1" t="str">
        <f t="array" ref="N516">IFERROR(INDEX('Исходник'!$1:$626,MATCH($A516,'Исходник'!$T:$T,0),MATCH(N$1,'Исходник'!$1:$1,0)))</f>
        <v/>
      </c>
      <c r="O516" s="27">
        <f t="shared" si="5"/>
        <v>0</v>
      </c>
      <c r="P516" s="27" t="str">
        <f t="shared" si="6"/>
        <v/>
      </c>
      <c r="Q516" s="1" t="str">
        <f t="array" ref="Q516">IFERROR(INDEX('Исходник'!$1:$626,MATCH($A516,'Исходник'!$T:$T,0),MATCH(Q$1,'Исходник'!$1:$1,0)))</f>
        <v/>
      </c>
      <c r="R516" s="1" t="str">
        <f t="array" ref="R516">IFERROR(INDEX('Исходник'!$1:$626,MATCH($A516,'Исходник'!$T:$T,0),MATCH(R$1,'Исходник'!$1:$1,0)))</f>
        <v/>
      </c>
      <c r="S516" s="27">
        <f t="shared" si="7"/>
        <v>0</v>
      </c>
      <c r="T516" s="27" t="str">
        <f t="shared" si="8"/>
        <v/>
      </c>
      <c r="U516" s="1" t="str">
        <f t="array" ref="U516">IFERROR(INDEX('Исходник'!$1:$626,MATCH($A516,'Исходник'!$T:$T,0),MATCH(U$1,'Исходник'!$1:$1,0)))</f>
        <v/>
      </c>
      <c r="V516" s="27" t="str">
        <f t="shared" si="9"/>
        <v/>
      </c>
      <c r="W516" s="1" t="str">
        <f t="array" ref="W516">IFERROR(INDEX('Исходник'!$1:$626,MATCH($A516,'Исходник'!$T:$T,0),MATCH(W$1,'Исходник'!$1:$1,0)))</f>
        <v/>
      </c>
      <c r="X516" s="28">
        <f t="shared" si="10"/>
        <v>0</v>
      </c>
      <c r="Y516" s="1" t="str">
        <f t="array" ref="Y516">IFERROR(INDEX('Исходник'!$1:$626,MATCH($A516,'Исходник'!$T:$T,0),MATCH(Y$1,'Исходник'!$1:$1,0)))</f>
        <v/>
      </c>
      <c r="Z516" s="27">
        <f t="shared" si="11"/>
        <v>0</v>
      </c>
      <c r="AA516" s="27" t="str">
        <f t="shared" si="12"/>
        <v/>
      </c>
      <c r="AB516" s="1" t="str">
        <f t="array" ref="AB516">IFERROR(INDEX('Исходник'!$1:$626,MATCH($A516,'Исходник'!$T:$T,0),MATCH(AB$1,'Исходник'!$1:$1,0)))</f>
        <v/>
      </c>
      <c r="AC516" s="1" t="str">
        <f t="array" ref="AC516">IFERROR(INDEX('Исходник'!$1:$626,MATCH($A516,'Исходник'!$T:$T,0),MATCH(AC$1,'Исходник'!$1:$1,0)))</f>
        <v/>
      </c>
      <c r="AD516" s="27" t="str">
        <f t="shared" si="13"/>
        <v/>
      </c>
      <c r="AE516" s="1" t="str">
        <f t="array" ref="AE516">IFERROR(INDEX('Исходник'!$1:$626,MATCH($A516,'Исходник'!$T:$T,0),MATCH(AE$1,'Исходник'!$1:$1,0)))</f>
        <v/>
      </c>
      <c r="AF516" s="1" t="str">
        <f t="array" ref="AF516">IFERROR(INDEX('Исходник'!$1:$626,MATCH($A516,'Исходник'!$T:$T,0),MATCH(AF$1,'Исходник'!$1:$1,0)))</f>
        <v/>
      </c>
      <c r="AG516" s="27" t="str">
        <f t="shared" si="14"/>
        <v/>
      </c>
      <c r="AH516" s="1" t="str">
        <f t="array" ref="AH516">IFERROR(INDEX('Исходник'!$1:$626,MATCH($A516,'Исходник'!$T:$T,0),MATCH(AH$1,'Исходник'!$1:$1,0)))</f>
        <v/>
      </c>
      <c r="AI516" s="1" t="str">
        <f t="array" ref="AI516">IFERROR(INDEX('Исходник'!$1:$626,MATCH($A516,'Исходник'!$T:$T,0),MATCH(AI$1,'Исходник'!$1:$1,0)))</f>
        <v/>
      </c>
      <c r="AJ516" s="18">
        <f t="shared" si="15"/>
        <v>0</v>
      </c>
    </row>
    <row r="517" ht="15.75" customHeight="1">
      <c r="A517" s="27"/>
      <c r="B517" s="1" t="str">
        <f t="array" ref="B517">IFERROR(INDEX('Исходник'!$1:$626,MATCH($A517,'Исходник'!$T:$T,0),MATCH(B$1,'Исходник'!$1:$1,0)))</f>
        <v/>
      </c>
      <c r="C517" s="1" t="str">
        <f t="array" ref="C517">IFERROR(INDEX('Исходник'!$1:$626,MATCH($A517,'Исходник'!$T:$T,0),MATCH(C$1,'Исходник'!$1:$1,0)))</f>
        <v/>
      </c>
      <c r="D517" s="1" t="str">
        <f t="array" ref="D517">IFERROR(INDEX('Исходник'!$1:$626,MATCH($A517,'Исходник'!$T:$T,0),MATCH(D$1,'Исходник'!$1:$1,0)))</f>
        <v/>
      </c>
      <c r="E517" s="1" t="str">
        <f t="array" ref="E517">IFERROR(INDEX('Исходник'!$1:$626,MATCH($A517,'Исходник'!$T:$T,0),MATCH(E$1,'Исходник'!$1:$1,0)))</f>
        <v/>
      </c>
      <c r="F517" s="1" t="str">
        <f t="array" ref="F517">IFERROR(INDEX('Исходник'!$1:$626,MATCH($A517,'Исходник'!$T:$T,0),MATCH(F$1,'Исходник'!$1:$1,0)))</f>
        <v/>
      </c>
      <c r="G517" s="1" t="str">
        <f t="array" ref="G517">IFERROR(INDEX('Исходник'!$1:$626,MATCH($A517,'Исходник'!$T:$T,0),MATCH(G$1,'Исходник'!$1:$1,0)))</f>
        <v/>
      </c>
      <c r="H517" s="27">
        <f t="shared" si="1"/>
        <v>0</v>
      </c>
      <c r="I517" s="27" t="str">
        <f t="shared" si="2"/>
        <v/>
      </c>
      <c r="J517" s="1" t="str">
        <f t="array" ref="J517">IFERROR(INDEX('Исходник'!$1:$626,MATCH($A517,'Исходник'!$T:$T,0),MATCH(J$1,'Исходник'!$1:$1,0)))</f>
        <v/>
      </c>
      <c r="K517" s="27" t="str">
        <f t="shared" si="3"/>
        <v/>
      </c>
      <c r="L517" s="1" t="str">
        <f t="array" ref="L517">IFERROR(INDEX('Исходник'!$1:$626,MATCH($A517,'Исходник'!$T:$T,0),MATCH(L$1,'Исходник'!$1:$1,0)))</f>
        <v/>
      </c>
      <c r="M517" s="28">
        <f t="shared" si="4"/>
        <v>0</v>
      </c>
      <c r="N517" s="1" t="str">
        <f t="array" ref="N517">IFERROR(INDEX('Исходник'!$1:$626,MATCH($A517,'Исходник'!$T:$T,0),MATCH(N$1,'Исходник'!$1:$1,0)))</f>
        <v/>
      </c>
      <c r="O517" s="27">
        <f t="shared" si="5"/>
        <v>0</v>
      </c>
      <c r="P517" s="27" t="str">
        <f t="shared" si="6"/>
        <v/>
      </c>
      <c r="Q517" s="1" t="str">
        <f t="array" ref="Q517">IFERROR(INDEX('Исходник'!$1:$626,MATCH($A517,'Исходник'!$T:$T,0),MATCH(Q$1,'Исходник'!$1:$1,0)))</f>
        <v/>
      </c>
      <c r="R517" s="1" t="str">
        <f t="array" ref="R517">IFERROR(INDEX('Исходник'!$1:$626,MATCH($A517,'Исходник'!$T:$T,0),MATCH(R$1,'Исходник'!$1:$1,0)))</f>
        <v/>
      </c>
      <c r="S517" s="27">
        <f t="shared" si="7"/>
        <v>0</v>
      </c>
      <c r="T517" s="27" t="str">
        <f t="shared" si="8"/>
        <v/>
      </c>
      <c r="U517" s="1" t="str">
        <f t="array" ref="U517">IFERROR(INDEX('Исходник'!$1:$626,MATCH($A517,'Исходник'!$T:$T,0),MATCH(U$1,'Исходник'!$1:$1,0)))</f>
        <v/>
      </c>
      <c r="V517" s="27" t="str">
        <f t="shared" si="9"/>
        <v/>
      </c>
      <c r="W517" s="1" t="str">
        <f t="array" ref="W517">IFERROR(INDEX('Исходник'!$1:$626,MATCH($A517,'Исходник'!$T:$T,0),MATCH(W$1,'Исходник'!$1:$1,0)))</f>
        <v/>
      </c>
      <c r="X517" s="28">
        <f t="shared" si="10"/>
        <v>0</v>
      </c>
      <c r="Y517" s="1" t="str">
        <f t="array" ref="Y517">IFERROR(INDEX('Исходник'!$1:$626,MATCH($A517,'Исходник'!$T:$T,0),MATCH(Y$1,'Исходник'!$1:$1,0)))</f>
        <v/>
      </c>
      <c r="Z517" s="27">
        <f t="shared" si="11"/>
        <v>0</v>
      </c>
      <c r="AA517" s="27" t="str">
        <f t="shared" si="12"/>
        <v/>
      </c>
      <c r="AB517" s="1" t="str">
        <f t="array" ref="AB517">IFERROR(INDEX('Исходник'!$1:$626,MATCH($A517,'Исходник'!$T:$T,0),MATCH(AB$1,'Исходник'!$1:$1,0)))</f>
        <v/>
      </c>
      <c r="AC517" s="1" t="str">
        <f t="array" ref="AC517">IFERROR(INDEX('Исходник'!$1:$626,MATCH($A517,'Исходник'!$T:$T,0),MATCH(AC$1,'Исходник'!$1:$1,0)))</f>
        <v/>
      </c>
      <c r="AD517" s="27" t="str">
        <f t="shared" si="13"/>
        <v/>
      </c>
      <c r="AE517" s="1" t="str">
        <f t="array" ref="AE517">IFERROR(INDEX('Исходник'!$1:$626,MATCH($A517,'Исходник'!$T:$T,0),MATCH(AE$1,'Исходник'!$1:$1,0)))</f>
        <v/>
      </c>
      <c r="AF517" s="1" t="str">
        <f t="array" ref="AF517">IFERROR(INDEX('Исходник'!$1:$626,MATCH($A517,'Исходник'!$T:$T,0),MATCH(AF$1,'Исходник'!$1:$1,0)))</f>
        <v/>
      </c>
      <c r="AG517" s="27" t="str">
        <f t="shared" si="14"/>
        <v/>
      </c>
      <c r="AH517" s="1" t="str">
        <f t="array" ref="AH517">IFERROR(INDEX('Исходник'!$1:$626,MATCH($A517,'Исходник'!$T:$T,0),MATCH(AH$1,'Исходник'!$1:$1,0)))</f>
        <v/>
      </c>
      <c r="AI517" s="1" t="str">
        <f t="array" ref="AI517">IFERROR(INDEX('Исходник'!$1:$626,MATCH($A517,'Исходник'!$T:$T,0),MATCH(AI$1,'Исходник'!$1:$1,0)))</f>
        <v/>
      </c>
      <c r="AJ517" s="18">
        <f t="shared" si="15"/>
        <v>0</v>
      </c>
    </row>
    <row r="518" ht="15.75" customHeight="1">
      <c r="A518" s="27"/>
      <c r="B518" s="1" t="str">
        <f t="array" ref="B518">IFERROR(INDEX('Исходник'!$1:$626,MATCH($A518,'Исходник'!$T:$T,0),MATCH(B$1,'Исходник'!$1:$1,0)))</f>
        <v/>
      </c>
      <c r="C518" s="1" t="str">
        <f t="array" ref="C518">IFERROR(INDEX('Исходник'!$1:$626,MATCH($A518,'Исходник'!$T:$T,0),MATCH(C$1,'Исходник'!$1:$1,0)))</f>
        <v/>
      </c>
      <c r="D518" s="1" t="str">
        <f t="array" ref="D518">IFERROR(INDEX('Исходник'!$1:$626,MATCH($A518,'Исходник'!$T:$T,0),MATCH(D$1,'Исходник'!$1:$1,0)))</f>
        <v/>
      </c>
      <c r="E518" s="1" t="str">
        <f t="array" ref="E518">IFERROR(INDEX('Исходник'!$1:$626,MATCH($A518,'Исходник'!$T:$T,0),MATCH(E$1,'Исходник'!$1:$1,0)))</f>
        <v/>
      </c>
      <c r="F518" s="1" t="str">
        <f t="array" ref="F518">IFERROR(INDEX('Исходник'!$1:$626,MATCH($A518,'Исходник'!$T:$T,0),MATCH(F$1,'Исходник'!$1:$1,0)))</f>
        <v/>
      </c>
      <c r="G518" s="1" t="str">
        <f t="array" ref="G518">IFERROR(INDEX('Исходник'!$1:$626,MATCH($A518,'Исходник'!$T:$T,0),MATCH(G$1,'Исходник'!$1:$1,0)))</f>
        <v/>
      </c>
      <c r="H518" s="27">
        <f t="shared" si="1"/>
        <v>0</v>
      </c>
      <c r="I518" s="27" t="str">
        <f t="shared" si="2"/>
        <v/>
      </c>
      <c r="J518" s="1" t="str">
        <f t="array" ref="J518">IFERROR(INDEX('Исходник'!$1:$626,MATCH($A518,'Исходник'!$T:$T,0),MATCH(J$1,'Исходник'!$1:$1,0)))</f>
        <v/>
      </c>
      <c r="K518" s="27" t="str">
        <f t="shared" si="3"/>
        <v/>
      </c>
      <c r="L518" s="1" t="str">
        <f t="array" ref="L518">IFERROR(INDEX('Исходник'!$1:$626,MATCH($A518,'Исходник'!$T:$T,0),MATCH(L$1,'Исходник'!$1:$1,0)))</f>
        <v/>
      </c>
      <c r="M518" s="28">
        <f t="shared" si="4"/>
        <v>0</v>
      </c>
      <c r="N518" s="1" t="str">
        <f t="array" ref="N518">IFERROR(INDEX('Исходник'!$1:$626,MATCH($A518,'Исходник'!$T:$T,0),MATCH(N$1,'Исходник'!$1:$1,0)))</f>
        <v/>
      </c>
      <c r="O518" s="27">
        <f t="shared" si="5"/>
        <v>0</v>
      </c>
      <c r="P518" s="27" t="str">
        <f t="shared" si="6"/>
        <v/>
      </c>
      <c r="Q518" s="1" t="str">
        <f t="array" ref="Q518">IFERROR(INDEX('Исходник'!$1:$626,MATCH($A518,'Исходник'!$T:$T,0),MATCH(Q$1,'Исходник'!$1:$1,0)))</f>
        <v/>
      </c>
      <c r="R518" s="1" t="str">
        <f t="array" ref="R518">IFERROR(INDEX('Исходник'!$1:$626,MATCH($A518,'Исходник'!$T:$T,0),MATCH(R$1,'Исходник'!$1:$1,0)))</f>
        <v/>
      </c>
      <c r="S518" s="27">
        <f t="shared" si="7"/>
        <v>0</v>
      </c>
      <c r="T518" s="27" t="str">
        <f t="shared" si="8"/>
        <v/>
      </c>
      <c r="U518" s="1" t="str">
        <f t="array" ref="U518">IFERROR(INDEX('Исходник'!$1:$626,MATCH($A518,'Исходник'!$T:$T,0),MATCH(U$1,'Исходник'!$1:$1,0)))</f>
        <v/>
      </c>
      <c r="V518" s="27" t="str">
        <f t="shared" si="9"/>
        <v/>
      </c>
      <c r="W518" s="1" t="str">
        <f t="array" ref="W518">IFERROR(INDEX('Исходник'!$1:$626,MATCH($A518,'Исходник'!$T:$T,0),MATCH(W$1,'Исходник'!$1:$1,0)))</f>
        <v/>
      </c>
      <c r="X518" s="28">
        <f t="shared" si="10"/>
        <v>0</v>
      </c>
      <c r="Y518" s="1" t="str">
        <f t="array" ref="Y518">IFERROR(INDEX('Исходник'!$1:$626,MATCH($A518,'Исходник'!$T:$T,0),MATCH(Y$1,'Исходник'!$1:$1,0)))</f>
        <v/>
      </c>
      <c r="Z518" s="27">
        <f t="shared" si="11"/>
        <v>0</v>
      </c>
      <c r="AA518" s="27" t="str">
        <f t="shared" si="12"/>
        <v/>
      </c>
      <c r="AB518" s="1" t="str">
        <f t="array" ref="AB518">IFERROR(INDEX('Исходник'!$1:$626,MATCH($A518,'Исходник'!$T:$T,0),MATCH(AB$1,'Исходник'!$1:$1,0)))</f>
        <v/>
      </c>
      <c r="AC518" s="1" t="str">
        <f t="array" ref="AC518">IFERROR(INDEX('Исходник'!$1:$626,MATCH($A518,'Исходник'!$T:$T,0),MATCH(AC$1,'Исходник'!$1:$1,0)))</f>
        <v/>
      </c>
      <c r="AD518" s="27" t="str">
        <f t="shared" si="13"/>
        <v/>
      </c>
      <c r="AE518" s="1" t="str">
        <f t="array" ref="AE518">IFERROR(INDEX('Исходник'!$1:$626,MATCH($A518,'Исходник'!$T:$T,0),MATCH(AE$1,'Исходник'!$1:$1,0)))</f>
        <v/>
      </c>
      <c r="AF518" s="1" t="str">
        <f t="array" ref="AF518">IFERROR(INDEX('Исходник'!$1:$626,MATCH($A518,'Исходник'!$T:$T,0),MATCH(AF$1,'Исходник'!$1:$1,0)))</f>
        <v/>
      </c>
      <c r="AG518" s="27" t="str">
        <f t="shared" si="14"/>
        <v/>
      </c>
      <c r="AH518" s="1" t="str">
        <f t="array" ref="AH518">IFERROR(INDEX('Исходник'!$1:$626,MATCH($A518,'Исходник'!$T:$T,0),MATCH(AH$1,'Исходник'!$1:$1,0)))</f>
        <v/>
      </c>
      <c r="AI518" s="1" t="str">
        <f t="array" ref="AI518">IFERROR(INDEX('Исходник'!$1:$626,MATCH($A518,'Исходник'!$T:$T,0),MATCH(AI$1,'Исходник'!$1:$1,0)))</f>
        <v/>
      </c>
      <c r="AJ518" s="18">
        <f t="shared" si="15"/>
        <v>0</v>
      </c>
    </row>
    <row r="519" ht="15.75" customHeight="1">
      <c r="A519" s="27"/>
      <c r="B519" s="1" t="str">
        <f t="array" ref="B519">IFERROR(INDEX('Исходник'!$1:$626,MATCH($A519,'Исходник'!$T:$T,0),MATCH(B$1,'Исходник'!$1:$1,0)))</f>
        <v/>
      </c>
      <c r="C519" s="1" t="str">
        <f t="array" ref="C519">IFERROR(INDEX('Исходник'!$1:$626,MATCH($A519,'Исходник'!$T:$T,0),MATCH(C$1,'Исходник'!$1:$1,0)))</f>
        <v/>
      </c>
      <c r="D519" s="1" t="str">
        <f t="array" ref="D519">IFERROR(INDEX('Исходник'!$1:$626,MATCH($A519,'Исходник'!$T:$T,0),MATCH(D$1,'Исходник'!$1:$1,0)))</f>
        <v/>
      </c>
      <c r="E519" s="1" t="str">
        <f t="array" ref="E519">IFERROR(INDEX('Исходник'!$1:$626,MATCH($A519,'Исходник'!$T:$T,0),MATCH(E$1,'Исходник'!$1:$1,0)))</f>
        <v/>
      </c>
      <c r="F519" s="1" t="str">
        <f t="array" ref="F519">IFERROR(INDEX('Исходник'!$1:$626,MATCH($A519,'Исходник'!$T:$T,0),MATCH(F$1,'Исходник'!$1:$1,0)))</f>
        <v/>
      </c>
      <c r="G519" s="1" t="str">
        <f t="array" ref="G519">IFERROR(INDEX('Исходник'!$1:$626,MATCH($A519,'Исходник'!$T:$T,0),MATCH(G$1,'Исходник'!$1:$1,0)))</f>
        <v/>
      </c>
      <c r="H519" s="27">
        <f t="shared" si="1"/>
        <v>0</v>
      </c>
      <c r="I519" s="27" t="str">
        <f t="shared" si="2"/>
        <v/>
      </c>
      <c r="J519" s="1" t="str">
        <f t="array" ref="J519">IFERROR(INDEX('Исходник'!$1:$626,MATCH($A519,'Исходник'!$T:$T,0),MATCH(J$1,'Исходник'!$1:$1,0)))</f>
        <v/>
      </c>
      <c r="K519" s="27" t="str">
        <f t="shared" si="3"/>
        <v/>
      </c>
      <c r="L519" s="1" t="str">
        <f t="array" ref="L519">IFERROR(INDEX('Исходник'!$1:$626,MATCH($A519,'Исходник'!$T:$T,0),MATCH(L$1,'Исходник'!$1:$1,0)))</f>
        <v/>
      </c>
      <c r="M519" s="28">
        <f t="shared" si="4"/>
        <v>0</v>
      </c>
      <c r="N519" s="1" t="str">
        <f t="array" ref="N519">IFERROR(INDEX('Исходник'!$1:$626,MATCH($A519,'Исходник'!$T:$T,0),MATCH(N$1,'Исходник'!$1:$1,0)))</f>
        <v/>
      </c>
      <c r="O519" s="27">
        <f t="shared" si="5"/>
        <v>0</v>
      </c>
      <c r="P519" s="27" t="str">
        <f t="shared" si="6"/>
        <v/>
      </c>
      <c r="Q519" s="1" t="str">
        <f t="array" ref="Q519">IFERROR(INDEX('Исходник'!$1:$626,MATCH($A519,'Исходник'!$T:$T,0),MATCH(Q$1,'Исходник'!$1:$1,0)))</f>
        <v/>
      </c>
      <c r="R519" s="1" t="str">
        <f t="array" ref="R519">IFERROR(INDEX('Исходник'!$1:$626,MATCH($A519,'Исходник'!$T:$T,0),MATCH(R$1,'Исходник'!$1:$1,0)))</f>
        <v/>
      </c>
      <c r="S519" s="27">
        <f t="shared" si="7"/>
        <v>0</v>
      </c>
      <c r="T519" s="27" t="str">
        <f t="shared" si="8"/>
        <v/>
      </c>
      <c r="U519" s="1" t="str">
        <f t="array" ref="U519">IFERROR(INDEX('Исходник'!$1:$626,MATCH($A519,'Исходник'!$T:$T,0),MATCH(U$1,'Исходник'!$1:$1,0)))</f>
        <v/>
      </c>
      <c r="V519" s="27" t="str">
        <f t="shared" si="9"/>
        <v/>
      </c>
      <c r="W519" s="1" t="str">
        <f t="array" ref="W519">IFERROR(INDEX('Исходник'!$1:$626,MATCH($A519,'Исходник'!$T:$T,0),MATCH(W$1,'Исходник'!$1:$1,0)))</f>
        <v/>
      </c>
      <c r="X519" s="28">
        <f t="shared" si="10"/>
        <v>0</v>
      </c>
      <c r="Y519" s="1" t="str">
        <f t="array" ref="Y519">IFERROR(INDEX('Исходник'!$1:$626,MATCH($A519,'Исходник'!$T:$T,0),MATCH(Y$1,'Исходник'!$1:$1,0)))</f>
        <v/>
      </c>
      <c r="Z519" s="27">
        <f t="shared" si="11"/>
        <v>0</v>
      </c>
      <c r="AA519" s="27" t="str">
        <f t="shared" si="12"/>
        <v/>
      </c>
      <c r="AB519" s="1" t="str">
        <f t="array" ref="AB519">IFERROR(INDEX('Исходник'!$1:$626,MATCH($A519,'Исходник'!$T:$T,0),MATCH(AB$1,'Исходник'!$1:$1,0)))</f>
        <v/>
      </c>
      <c r="AC519" s="1" t="str">
        <f t="array" ref="AC519">IFERROR(INDEX('Исходник'!$1:$626,MATCH($A519,'Исходник'!$T:$T,0),MATCH(AC$1,'Исходник'!$1:$1,0)))</f>
        <v/>
      </c>
      <c r="AD519" s="27" t="str">
        <f t="shared" si="13"/>
        <v/>
      </c>
      <c r="AE519" s="1" t="str">
        <f t="array" ref="AE519">IFERROR(INDEX('Исходник'!$1:$626,MATCH($A519,'Исходник'!$T:$T,0),MATCH(AE$1,'Исходник'!$1:$1,0)))</f>
        <v/>
      </c>
      <c r="AF519" s="1" t="str">
        <f t="array" ref="AF519">IFERROR(INDEX('Исходник'!$1:$626,MATCH($A519,'Исходник'!$T:$T,0),MATCH(AF$1,'Исходник'!$1:$1,0)))</f>
        <v/>
      </c>
      <c r="AG519" s="27" t="str">
        <f t="shared" si="14"/>
        <v/>
      </c>
      <c r="AH519" s="1" t="str">
        <f t="array" ref="AH519">IFERROR(INDEX('Исходник'!$1:$626,MATCH($A519,'Исходник'!$T:$T,0),MATCH(AH$1,'Исходник'!$1:$1,0)))</f>
        <v/>
      </c>
      <c r="AI519" s="1" t="str">
        <f t="array" ref="AI519">IFERROR(INDEX('Исходник'!$1:$626,MATCH($A519,'Исходник'!$T:$T,0),MATCH(AI$1,'Исходник'!$1:$1,0)))</f>
        <v/>
      </c>
      <c r="AJ519" s="18">
        <f t="shared" si="15"/>
        <v>0</v>
      </c>
    </row>
    <row r="520" ht="15.75" customHeight="1">
      <c r="A520" s="27"/>
      <c r="B520" s="1" t="str">
        <f t="array" ref="B520">IFERROR(INDEX('Исходник'!$1:$626,MATCH($A520,'Исходник'!$T:$T,0),MATCH(B$1,'Исходник'!$1:$1,0)))</f>
        <v/>
      </c>
      <c r="C520" s="1" t="str">
        <f t="array" ref="C520">IFERROR(INDEX('Исходник'!$1:$626,MATCH($A520,'Исходник'!$T:$T,0),MATCH(C$1,'Исходник'!$1:$1,0)))</f>
        <v/>
      </c>
      <c r="D520" s="1" t="str">
        <f t="array" ref="D520">IFERROR(INDEX('Исходник'!$1:$626,MATCH($A520,'Исходник'!$T:$T,0),MATCH(D$1,'Исходник'!$1:$1,0)))</f>
        <v/>
      </c>
      <c r="E520" s="1" t="str">
        <f t="array" ref="E520">IFERROR(INDEX('Исходник'!$1:$626,MATCH($A520,'Исходник'!$T:$T,0),MATCH(E$1,'Исходник'!$1:$1,0)))</f>
        <v/>
      </c>
      <c r="F520" s="1" t="str">
        <f t="array" ref="F520">IFERROR(INDEX('Исходник'!$1:$626,MATCH($A520,'Исходник'!$T:$T,0),MATCH(F$1,'Исходник'!$1:$1,0)))</f>
        <v/>
      </c>
      <c r="G520" s="1" t="str">
        <f t="array" ref="G520">IFERROR(INDEX('Исходник'!$1:$626,MATCH($A520,'Исходник'!$T:$T,0),MATCH(G$1,'Исходник'!$1:$1,0)))</f>
        <v/>
      </c>
      <c r="H520" s="27">
        <f t="shared" si="1"/>
        <v>0</v>
      </c>
      <c r="I520" s="27" t="str">
        <f t="shared" si="2"/>
        <v/>
      </c>
      <c r="J520" s="1" t="str">
        <f t="array" ref="J520">IFERROR(INDEX('Исходник'!$1:$626,MATCH($A520,'Исходник'!$T:$T,0),MATCH(J$1,'Исходник'!$1:$1,0)))</f>
        <v/>
      </c>
      <c r="K520" s="27" t="str">
        <f t="shared" si="3"/>
        <v/>
      </c>
      <c r="L520" s="1" t="str">
        <f t="array" ref="L520">IFERROR(INDEX('Исходник'!$1:$626,MATCH($A520,'Исходник'!$T:$T,0),MATCH(L$1,'Исходник'!$1:$1,0)))</f>
        <v/>
      </c>
      <c r="M520" s="28">
        <f t="shared" si="4"/>
        <v>0</v>
      </c>
      <c r="N520" s="1" t="str">
        <f t="array" ref="N520">IFERROR(INDEX('Исходник'!$1:$626,MATCH($A520,'Исходник'!$T:$T,0),MATCH(N$1,'Исходник'!$1:$1,0)))</f>
        <v/>
      </c>
      <c r="O520" s="27">
        <f t="shared" si="5"/>
        <v>0</v>
      </c>
      <c r="P520" s="27" t="str">
        <f t="shared" si="6"/>
        <v/>
      </c>
      <c r="Q520" s="1" t="str">
        <f t="array" ref="Q520">IFERROR(INDEX('Исходник'!$1:$626,MATCH($A520,'Исходник'!$T:$T,0),MATCH(Q$1,'Исходник'!$1:$1,0)))</f>
        <v/>
      </c>
      <c r="R520" s="1" t="str">
        <f t="array" ref="R520">IFERROR(INDEX('Исходник'!$1:$626,MATCH($A520,'Исходник'!$T:$T,0),MATCH(R$1,'Исходник'!$1:$1,0)))</f>
        <v/>
      </c>
      <c r="S520" s="27">
        <f t="shared" si="7"/>
        <v>0</v>
      </c>
      <c r="T520" s="27" t="str">
        <f t="shared" si="8"/>
        <v/>
      </c>
      <c r="U520" s="1" t="str">
        <f t="array" ref="U520">IFERROR(INDEX('Исходник'!$1:$626,MATCH($A520,'Исходник'!$T:$T,0),MATCH(U$1,'Исходник'!$1:$1,0)))</f>
        <v/>
      </c>
      <c r="V520" s="27" t="str">
        <f t="shared" si="9"/>
        <v/>
      </c>
      <c r="W520" s="1" t="str">
        <f t="array" ref="W520">IFERROR(INDEX('Исходник'!$1:$626,MATCH($A520,'Исходник'!$T:$T,0),MATCH(W$1,'Исходник'!$1:$1,0)))</f>
        <v/>
      </c>
      <c r="X520" s="28">
        <f t="shared" si="10"/>
        <v>0</v>
      </c>
      <c r="Y520" s="1" t="str">
        <f t="array" ref="Y520">IFERROR(INDEX('Исходник'!$1:$626,MATCH($A520,'Исходник'!$T:$T,0),MATCH(Y$1,'Исходник'!$1:$1,0)))</f>
        <v/>
      </c>
      <c r="Z520" s="27">
        <f t="shared" si="11"/>
        <v>0</v>
      </c>
      <c r="AA520" s="27" t="str">
        <f t="shared" si="12"/>
        <v/>
      </c>
      <c r="AB520" s="1" t="str">
        <f t="array" ref="AB520">IFERROR(INDEX('Исходник'!$1:$626,MATCH($A520,'Исходник'!$T:$T,0),MATCH(AB$1,'Исходник'!$1:$1,0)))</f>
        <v/>
      </c>
      <c r="AC520" s="1" t="str">
        <f t="array" ref="AC520">IFERROR(INDEX('Исходник'!$1:$626,MATCH($A520,'Исходник'!$T:$T,0),MATCH(AC$1,'Исходник'!$1:$1,0)))</f>
        <v/>
      </c>
      <c r="AD520" s="27" t="str">
        <f t="shared" si="13"/>
        <v/>
      </c>
      <c r="AE520" s="1" t="str">
        <f t="array" ref="AE520">IFERROR(INDEX('Исходник'!$1:$626,MATCH($A520,'Исходник'!$T:$T,0),MATCH(AE$1,'Исходник'!$1:$1,0)))</f>
        <v/>
      </c>
      <c r="AF520" s="1" t="str">
        <f t="array" ref="AF520">IFERROR(INDEX('Исходник'!$1:$626,MATCH($A520,'Исходник'!$T:$T,0),MATCH(AF$1,'Исходник'!$1:$1,0)))</f>
        <v/>
      </c>
      <c r="AG520" s="27" t="str">
        <f t="shared" si="14"/>
        <v/>
      </c>
      <c r="AH520" s="1" t="str">
        <f t="array" ref="AH520">IFERROR(INDEX('Исходник'!$1:$626,MATCH($A520,'Исходник'!$T:$T,0),MATCH(AH$1,'Исходник'!$1:$1,0)))</f>
        <v/>
      </c>
      <c r="AI520" s="1" t="str">
        <f t="array" ref="AI520">IFERROR(INDEX('Исходник'!$1:$626,MATCH($A520,'Исходник'!$T:$T,0),MATCH(AI$1,'Исходник'!$1:$1,0)))</f>
        <v/>
      </c>
      <c r="AJ520" s="18">
        <f t="shared" si="15"/>
        <v>0</v>
      </c>
    </row>
    <row r="521" ht="15.75" customHeight="1">
      <c r="A521" s="27"/>
      <c r="B521" s="1" t="str">
        <f t="array" ref="B521">IFERROR(INDEX('Исходник'!$1:$626,MATCH($A521,'Исходник'!$T:$T,0),MATCH(B$1,'Исходник'!$1:$1,0)))</f>
        <v/>
      </c>
      <c r="C521" s="1" t="str">
        <f t="array" ref="C521">IFERROR(INDEX('Исходник'!$1:$626,MATCH($A521,'Исходник'!$T:$T,0),MATCH(C$1,'Исходник'!$1:$1,0)))</f>
        <v/>
      </c>
      <c r="D521" s="1" t="str">
        <f t="array" ref="D521">IFERROR(INDEX('Исходник'!$1:$626,MATCH($A521,'Исходник'!$T:$T,0),MATCH(D$1,'Исходник'!$1:$1,0)))</f>
        <v/>
      </c>
      <c r="E521" s="1" t="str">
        <f t="array" ref="E521">IFERROR(INDEX('Исходник'!$1:$626,MATCH($A521,'Исходник'!$T:$T,0),MATCH(E$1,'Исходник'!$1:$1,0)))</f>
        <v/>
      </c>
      <c r="F521" s="1" t="str">
        <f t="array" ref="F521">IFERROR(INDEX('Исходник'!$1:$626,MATCH($A521,'Исходник'!$T:$T,0),MATCH(F$1,'Исходник'!$1:$1,0)))</f>
        <v/>
      </c>
      <c r="G521" s="1" t="str">
        <f t="array" ref="G521">IFERROR(INDEX('Исходник'!$1:$626,MATCH($A521,'Исходник'!$T:$T,0),MATCH(G$1,'Исходник'!$1:$1,0)))</f>
        <v/>
      </c>
      <c r="H521" s="27">
        <f t="shared" si="1"/>
        <v>0</v>
      </c>
      <c r="I521" s="27" t="str">
        <f t="shared" si="2"/>
        <v/>
      </c>
      <c r="J521" s="1" t="str">
        <f t="array" ref="J521">IFERROR(INDEX('Исходник'!$1:$626,MATCH($A521,'Исходник'!$T:$T,0),MATCH(J$1,'Исходник'!$1:$1,0)))</f>
        <v/>
      </c>
      <c r="K521" s="27" t="str">
        <f t="shared" si="3"/>
        <v/>
      </c>
      <c r="L521" s="1" t="str">
        <f t="array" ref="L521">IFERROR(INDEX('Исходник'!$1:$626,MATCH($A521,'Исходник'!$T:$T,0),MATCH(L$1,'Исходник'!$1:$1,0)))</f>
        <v/>
      </c>
      <c r="M521" s="28">
        <f t="shared" si="4"/>
        <v>0</v>
      </c>
      <c r="N521" s="1" t="str">
        <f t="array" ref="N521">IFERROR(INDEX('Исходник'!$1:$626,MATCH($A521,'Исходник'!$T:$T,0),MATCH(N$1,'Исходник'!$1:$1,0)))</f>
        <v/>
      </c>
      <c r="O521" s="27">
        <f t="shared" si="5"/>
        <v>0</v>
      </c>
      <c r="P521" s="27" t="str">
        <f t="shared" si="6"/>
        <v/>
      </c>
      <c r="Q521" s="1" t="str">
        <f t="array" ref="Q521">IFERROR(INDEX('Исходник'!$1:$626,MATCH($A521,'Исходник'!$T:$T,0),MATCH(Q$1,'Исходник'!$1:$1,0)))</f>
        <v/>
      </c>
      <c r="R521" s="1" t="str">
        <f t="array" ref="R521">IFERROR(INDEX('Исходник'!$1:$626,MATCH($A521,'Исходник'!$T:$T,0),MATCH(R$1,'Исходник'!$1:$1,0)))</f>
        <v/>
      </c>
      <c r="S521" s="27">
        <f t="shared" si="7"/>
        <v>0</v>
      </c>
      <c r="T521" s="27" t="str">
        <f t="shared" si="8"/>
        <v/>
      </c>
      <c r="U521" s="1" t="str">
        <f t="array" ref="U521">IFERROR(INDEX('Исходник'!$1:$626,MATCH($A521,'Исходник'!$T:$T,0),MATCH(U$1,'Исходник'!$1:$1,0)))</f>
        <v/>
      </c>
      <c r="V521" s="27" t="str">
        <f t="shared" si="9"/>
        <v/>
      </c>
      <c r="W521" s="1" t="str">
        <f t="array" ref="W521">IFERROR(INDEX('Исходник'!$1:$626,MATCH($A521,'Исходник'!$T:$T,0),MATCH(W$1,'Исходник'!$1:$1,0)))</f>
        <v/>
      </c>
      <c r="X521" s="28">
        <f t="shared" si="10"/>
        <v>0</v>
      </c>
      <c r="Y521" s="1" t="str">
        <f t="array" ref="Y521">IFERROR(INDEX('Исходник'!$1:$626,MATCH($A521,'Исходник'!$T:$T,0),MATCH(Y$1,'Исходник'!$1:$1,0)))</f>
        <v/>
      </c>
      <c r="Z521" s="27">
        <f t="shared" si="11"/>
        <v>0</v>
      </c>
      <c r="AA521" s="27" t="str">
        <f t="shared" si="12"/>
        <v/>
      </c>
      <c r="AB521" s="1" t="str">
        <f t="array" ref="AB521">IFERROR(INDEX('Исходник'!$1:$626,MATCH($A521,'Исходник'!$T:$T,0),MATCH(AB$1,'Исходник'!$1:$1,0)))</f>
        <v/>
      </c>
      <c r="AC521" s="1" t="str">
        <f t="array" ref="AC521">IFERROR(INDEX('Исходник'!$1:$626,MATCH($A521,'Исходник'!$T:$T,0),MATCH(AC$1,'Исходник'!$1:$1,0)))</f>
        <v/>
      </c>
      <c r="AD521" s="27" t="str">
        <f t="shared" si="13"/>
        <v/>
      </c>
      <c r="AE521" s="1" t="str">
        <f t="array" ref="AE521">IFERROR(INDEX('Исходник'!$1:$626,MATCH($A521,'Исходник'!$T:$T,0),MATCH(AE$1,'Исходник'!$1:$1,0)))</f>
        <v/>
      </c>
      <c r="AF521" s="1" t="str">
        <f t="array" ref="AF521">IFERROR(INDEX('Исходник'!$1:$626,MATCH($A521,'Исходник'!$T:$T,0),MATCH(AF$1,'Исходник'!$1:$1,0)))</f>
        <v/>
      </c>
      <c r="AG521" s="27" t="str">
        <f t="shared" si="14"/>
        <v/>
      </c>
      <c r="AH521" s="1" t="str">
        <f t="array" ref="AH521">IFERROR(INDEX('Исходник'!$1:$626,MATCH($A521,'Исходник'!$T:$T,0),MATCH(AH$1,'Исходник'!$1:$1,0)))</f>
        <v/>
      </c>
      <c r="AI521" s="1" t="str">
        <f t="array" ref="AI521">IFERROR(INDEX('Исходник'!$1:$626,MATCH($A521,'Исходник'!$T:$T,0),MATCH(AI$1,'Исходник'!$1:$1,0)))</f>
        <v/>
      </c>
      <c r="AJ521" s="18">
        <f t="shared" si="15"/>
        <v>0</v>
      </c>
    </row>
    <row r="522" ht="15.75" customHeight="1">
      <c r="A522" s="27"/>
      <c r="B522" s="1" t="str">
        <f t="array" ref="B522">IFERROR(INDEX('Исходник'!$1:$626,MATCH($A522,'Исходник'!$T:$T,0),MATCH(B$1,'Исходник'!$1:$1,0)))</f>
        <v/>
      </c>
      <c r="C522" s="1" t="str">
        <f t="array" ref="C522">IFERROR(INDEX('Исходник'!$1:$626,MATCH($A522,'Исходник'!$T:$T,0),MATCH(C$1,'Исходник'!$1:$1,0)))</f>
        <v/>
      </c>
      <c r="D522" s="1" t="str">
        <f t="array" ref="D522">IFERROR(INDEX('Исходник'!$1:$626,MATCH($A522,'Исходник'!$T:$T,0),MATCH(D$1,'Исходник'!$1:$1,0)))</f>
        <v/>
      </c>
      <c r="E522" s="1" t="str">
        <f t="array" ref="E522">IFERROR(INDEX('Исходник'!$1:$626,MATCH($A522,'Исходник'!$T:$T,0),MATCH(E$1,'Исходник'!$1:$1,0)))</f>
        <v/>
      </c>
      <c r="F522" s="1" t="str">
        <f t="array" ref="F522">IFERROR(INDEX('Исходник'!$1:$626,MATCH($A522,'Исходник'!$T:$T,0),MATCH(F$1,'Исходник'!$1:$1,0)))</f>
        <v/>
      </c>
      <c r="G522" s="1" t="str">
        <f t="array" ref="G522">IFERROR(INDEX('Исходник'!$1:$626,MATCH($A522,'Исходник'!$T:$T,0),MATCH(G$1,'Исходник'!$1:$1,0)))</f>
        <v/>
      </c>
      <c r="H522" s="27">
        <f t="shared" si="1"/>
        <v>0</v>
      </c>
      <c r="I522" s="27" t="str">
        <f t="shared" si="2"/>
        <v/>
      </c>
      <c r="J522" s="1" t="str">
        <f t="array" ref="J522">IFERROR(INDEX('Исходник'!$1:$626,MATCH($A522,'Исходник'!$T:$T,0),MATCH(J$1,'Исходник'!$1:$1,0)))</f>
        <v/>
      </c>
      <c r="K522" s="27" t="str">
        <f t="shared" si="3"/>
        <v/>
      </c>
      <c r="L522" s="1" t="str">
        <f t="array" ref="L522">IFERROR(INDEX('Исходник'!$1:$626,MATCH($A522,'Исходник'!$T:$T,0),MATCH(L$1,'Исходник'!$1:$1,0)))</f>
        <v/>
      </c>
      <c r="M522" s="28">
        <f t="shared" si="4"/>
        <v>0</v>
      </c>
      <c r="N522" s="1" t="str">
        <f t="array" ref="N522">IFERROR(INDEX('Исходник'!$1:$626,MATCH($A522,'Исходник'!$T:$T,0),MATCH(N$1,'Исходник'!$1:$1,0)))</f>
        <v/>
      </c>
      <c r="O522" s="27">
        <f t="shared" si="5"/>
        <v>0</v>
      </c>
      <c r="P522" s="27" t="str">
        <f t="shared" si="6"/>
        <v/>
      </c>
      <c r="Q522" s="1" t="str">
        <f t="array" ref="Q522">IFERROR(INDEX('Исходник'!$1:$626,MATCH($A522,'Исходник'!$T:$T,0),MATCH(Q$1,'Исходник'!$1:$1,0)))</f>
        <v/>
      </c>
      <c r="R522" s="1" t="str">
        <f t="array" ref="R522">IFERROR(INDEX('Исходник'!$1:$626,MATCH($A522,'Исходник'!$T:$T,0),MATCH(R$1,'Исходник'!$1:$1,0)))</f>
        <v/>
      </c>
      <c r="S522" s="27">
        <f t="shared" si="7"/>
        <v>0</v>
      </c>
      <c r="T522" s="27" t="str">
        <f t="shared" si="8"/>
        <v/>
      </c>
      <c r="U522" s="1" t="str">
        <f t="array" ref="U522">IFERROR(INDEX('Исходник'!$1:$626,MATCH($A522,'Исходник'!$T:$T,0),MATCH(U$1,'Исходник'!$1:$1,0)))</f>
        <v/>
      </c>
      <c r="V522" s="27" t="str">
        <f t="shared" si="9"/>
        <v/>
      </c>
      <c r="W522" s="1" t="str">
        <f t="array" ref="W522">IFERROR(INDEX('Исходник'!$1:$626,MATCH($A522,'Исходник'!$T:$T,0),MATCH(W$1,'Исходник'!$1:$1,0)))</f>
        <v/>
      </c>
      <c r="X522" s="28">
        <f t="shared" si="10"/>
        <v>0</v>
      </c>
      <c r="Y522" s="1" t="str">
        <f t="array" ref="Y522">IFERROR(INDEX('Исходник'!$1:$626,MATCH($A522,'Исходник'!$T:$T,0),MATCH(Y$1,'Исходник'!$1:$1,0)))</f>
        <v/>
      </c>
      <c r="Z522" s="27">
        <f t="shared" si="11"/>
        <v>0</v>
      </c>
      <c r="AA522" s="27" t="str">
        <f t="shared" si="12"/>
        <v/>
      </c>
      <c r="AB522" s="1" t="str">
        <f t="array" ref="AB522">IFERROR(INDEX('Исходник'!$1:$626,MATCH($A522,'Исходник'!$T:$T,0),MATCH(AB$1,'Исходник'!$1:$1,0)))</f>
        <v/>
      </c>
      <c r="AC522" s="1" t="str">
        <f t="array" ref="AC522">IFERROR(INDEX('Исходник'!$1:$626,MATCH($A522,'Исходник'!$T:$T,0),MATCH(AC$1,'Исходник'!$1:$1,0)))</f>
        <v/>
      </c>
      <c r="AD522" s="27" t="str">
        <f t="shared" si="13"/>
        <v/>
      </c>
      <c r="AE522" s="1" t="str">
        <f t="array" ref="AE522">IFERROR(INDEX('Исходник'!$1:$626,MATCH($A522,'Исходник'!$T:$T,0),MATCH(AE$1,'Исходник'!$1:$1,0)))</f>
        <v/>
      </c>
      <c r="AF522" s="1" t="str">
        <f t="array" ref="AF522">IFERROR(INDEX('Исходник'!$1:$626,MATCH($A522,'Исходник'!$T:$T,0),MATCH(AF$1,'Исходник'!$1:$1,0)))</f>
        <v/>
      </c>
      <c r="AG522" s="27" t="str">
        <f t="shared" si="14"/>
        <v/>
      </c>
      <c r="AH522" s="1" t="str">
        <f t="array" ref="AH522">IFERROR(INDEX('Исходник'!$1:$626,MATCH($A522,'Исходник'!$T:$T,0),MATCH(AH$1,'Исходник'!$1:$1,0)))</f>
        <v/>
      </c>
      <c r="AI522" s="1" t="str">
        <f t="array" ref="AI522">IFERROR(INDEX('Исходник'!$1:$626,MATCH($A522,'Исходник'!$T:$T,0),MATCH(AI$1,'Исходник'!$1:$1,0)))</f>
        <v/>
      </c>
      <c r="AJ522" s="18">
        <f t="shared" si="15"/>
        <v>0</v>
      </c>
    </row>
    <row r="523" ht="15.75" customHeight="1">
      <c r="A523" s="27"/>
      <c r="B523" s="1" t="str">
        <f t="array" ref="B523">IFERROR(INDEX('Исходник'!$1:$626,MATCH($A523,'Исходник'!$T:$T,0),MATCH(B$1,'Исходник'!$1:$1,0)))</f>
        <v/>
      </c>
      <c r="C523" s="1" t="str">
        <f t="array" ref="C523">IFERROR(INDEX('Исходник'!$1:$626,MATCH($A523,'Исходник'!$T:$T,0),MATCH(C$1,'Исходник'!$1:$1,0)))</f>
        <v/>
      </c>
      <c r="D523" s="1" t="str">
        <f t="array" ref="D523">IFERROR(INDEX('Исходник'!$1:$626,MATCH($A523,'Исходник'!$T:$T,0),MATCH(D$1,'Исходник'!$1:$1,0)))</f>
        <v/>
      </c>
      <c r="E523" s="1" t="str">
        <f t="array" ref="E523">IFERROR(INDEX('Исходник'!$1:$626,MATCH($A523,'Исходник'!$T:$T,0),MATCH(E$1,'Исходник'!$1:$1,0)))</f>
        <v/>
      </c>
      <c r="F523" s="1" t="str">
        <f t="array" ref="F523">IFERROR(INDEX('Исходник'!$1:$626,MATCH($A523,'Исходник'!$T:$T,0),MATCH(F$1,'Исходник'!$1:$1,0)))</f>
        <v/>
      </c>
      <c r="G523" s="1" t="str">
        <f t="array" ref="G523">IFERROR(INDEX('Исходник'!$1:$626,MATCH($A523,'Исходник'!$T:$T,0),MATCH(G$1,'Исходник'!$1:$1,0)))</f>
        <v/>
      </c>
      <c r="H523" s="27">
        <f t="shared" si="1"/>
        <v>0</v>
      </c>
      <c r="I523" s="27" t="str">
        <f t="shared" si="2"/>
        <v/>
      </c>
      <c r="J523" s="1" t="str">
        <f t="array" ref="J523">IFERROR(INDEX('Исходник'!$1:$626,MATCH($A523,'Исходник'!$T:$T,0),MATCH(J$1,'Исходник'!$1:$1,0)))</f>
        <v/>
      </c>
      <c r="K523" s="27" t="str">
        <f t="shared" si="3"/>
        <v/>
      </c>
      <c r="L523" s="1" t="str">
        <f t="array" ref="L523">IFERROR(INDEX('Исходник'!$1:$626,MATCH($A523,'Исходник'!$T:$T,0),MATCH(L$1,'Исходник'!$1:$1,0)))</f>
        <v/>
      </c>
      <c r="M523" s="28">
        <f t="shared" si="4"/>
        <v>0</v>
      </c>
      <c r="N523" s="1" t="str">
        <f t="array" ref="N523">IFERROR(INDEX('Исходник'!$1:$626,MATCH($A523,'Исходник'!$T:$T,0),MATCH(N$1,'Исходник'!$1:$1,0)))</f>
        <v/>
      </c>
      <c r="O523" s="27">
        <f t="shared" si="5"/>
        <v>0</v>
      </c>
      <c r="P523" s="27" t="str">
        <f t="shared" si="6"/>
        <v/>
      </c>
      <c r="Q523" s="1" t="str">
        <f t="array" ref="Q523">IFERROR(INDEX('Исходник'!$1:$626,MATCH($A523,'Исходник'!$T:$T,0),MATCH(Q$1,'Исходник'!$1:$1,0)))</f>
        <v/>
      </c>
      <c r="R523" s="1" t="str">
        <f t="array" ref="R523">IFERROR(INDEX('Исходник'!$1:$626,MATCH($A523,'Исходник'!$T:$T,0),MATCH(R$1,'Исходник'!$1:$1,0)))</f>
        <v/>
      </c>
      <c r="S523" s="27">
        <f t="shared" si="7"/>
        <v>0</v>
      </c>
      <c r="T523" s="27" t="str">
        <f t="shared" si="8"/>
        <v/>
      </c>
      <c r="U523" s="1" t="str">
        <f t="array" ref="U523">IFERROR(INDEX('Исходник'!$1:$626,MATCH($A523,'Исходник'!$T:$T,0),MATCH(U$1,'Исходник'!$1:$1,0)))</f>
        <v/>
      </c>
      <c r="V523" s="27" t="str">
        <f t="shared" si="9"/>
        <v/>
      </c>
      <c r="W523" s="1" t="str">
        <f t="array" ref="W523">IFERROR(INDEX('Исходник'!$1:$626,MATCH($A523,'Исходник'!$T:$T,0),MATCH(W$1,'Исходник'!$1:$1,0)))</f>
        <v/>
      </c>
      <c r="X523" s="28">
        <f t="shared" si="10"/>
        <v>0</v>
      </c>
      <c r="Y523" s="1" t="str">
        <f t="array" ref="Y523">IFERROR(INDEX('Исходник'!$1:$626,MATCH($A523,'Исходник'!$T:$T,0),MATCH(Y$1,'Исходник'!$1:$1,0)))</f>
        <v/>
      </c>
      <c r="Z523" s="27">
        <f t="shared" si="11"/>
        <v>0</v>
      </c>
      <c r="AA523" s="27" t="str">
        <f t="shared" si="12"/>
        <v/>
      </c>
      <c r="AB523" s="1" t="str">
        <f t="array" ref="AB523">IFERROR(INDEX('Исходник'!$1:$626,MATCH($A523,'Исходник'!$T:$T,0),MATCH(AB$1,'Исходник'!$1:$1,0)))</f>
        <v/>
      </c>
      <c r="AC523" s="1" t="str">
        <f t="array" ref="AC523">IFERROR(INDEX('Исходник'!$1:$626,MATCH($A523,'Исходник'!$T:$T,0),MATCH(AC$1,'Исходник'!$1:$1,0)))</f>
        <v/>
      </c>
      <c r="AD523" s="27" t="str">
        <f t="shared" si="13"/>
        <v/>
      </c>
      <c r="AE523" s="1" t="str">
        <f t="array" ref="AE523">IFERROR(INDEX('Исходник'!$1:$626,MATCH($A523,'Исходник'!$T:$T,0),MATCH(AE$1,'Исходник'!$1:$1,0)))</f>
        <v/>
      </c>
      <c r="AF523" s="1" t="str">
        <f t="array" ref="AF523">IFERROR(INDEX('Исходник'!$1:$626,MATCH($A523,'Исходник'!$T:$T,0),MATCH(AF$1,'Исходник'!$1:$1,0)))</f>
        <v/>
      </c>
      <c r="AG523" s="27" t="str">
        <f t="shared" si="14"/>
        <v/>
      </c>
      <c r="AH523" s="1" t="str">
        <f t="array" ref="AH523">IFERROR(INDEX('Исходник'!$1:$626,MATCH($A523,'Исходник'!$T:$T,0),MATCH(AH$1,'Исходник'!$1:$1,0)))</f>
        <v/>
      </c>
      <c r="AI523" s="1" t="str">
        <f t="array" ref="AI523">IFERROR(INDEX('Исходник'!$1:$626,MATCH($A523,'Исходник'!$T:$T,0),MATCH(AI$1,'Исходник'!$1:$1,0)))</f>
        <v/>
      </c>
      <c r="AJ523" s="18">
        <f t="shared" si="15"/>
        <v>0</v>
      </c>
    </row>
    <row r="524" ht="15.75" customHeight="1">
      <c r="A524" s="27"/>
      <c r="B524" s="1" t="str">
        <f t="array" ref="B524">IFERROR(INDEX('Исходник'!$1:$626,MATCH($A524,'Исходник'!$T:$T,0),MATCH(B$1,'Исходник'!$1:$1,0)))</f>
        <v/>
      </c>
      <c r="C524" s="1" t="str">
        <f t="array" ref="C524">IFERROR(INDEX('Исходник'!$1:$626,MATCH($A524,'Исходник'!$T:$T,0),MATCH(C$1,'Исходник'!$1:$1,0)))</f>
        <v/>
      </c>
      <c r="D524" s="1" t="str">
        <f t="array" ref="D524">IFERROR(INDEX('Исходник'!$1:$626,MATCH($A524,'Исходник'!$T:$T,0),MATCH(D$1,'Исходник'!$1:$1,0)))</f>
        <v/>
      </c>
      <c r="E524" s="1" t="str">
        <f t="array" ref="E524">IFERROR(INDEX('Исходник'!$1:$626,MATCH($A524,'Исходник'!$T:$T,0),MATCH(E$1,'Исходник'!$1:$1,0)))</f>
        <v/>
      </c>
      <c r="F524" s="1" t="str">
        <f t="array" ref="F524">IFERROR(INDEX('Исходник'!$1:$626,MATCH($A524,'Исходник'!$T:$T,0),MATCH(F$1,'Исходник'!$1:$1,0)))</f>
        <v/>
      </c>
      <c r="G524" s="1" t="str">
        <f t="array" ref="G524">IFERROR(INDEX('Исходник'!$1:$626,MATCH($A524,'Исходник'!$T:$T,0),MATCH(G$1,'Исходник'!$1:$1,0)))</f>
        <v/>
      </c>
      <c r="H524" s="27">
        <f t="shared" si="1"/>
        <v>0</v>
      </c>
      <c r="I524" s="27" t="str">
        <f t="shared" si="2"/>
        <v/>
      </c>
      <c r="J524" s="1" t="str">
        <f t="array" ref="J524">IFERROR(INDEX('Исходник'!$1:$626,MATCH($A524,'Исходник'!$T:$T,0),MATCH(J$1,'Исходник'!$1:$1,0)))</f>
        <v/>
      </c>
      <c r="K524" s="27" t="str">
        <f t="shared" si="3"/>
        <v/>
      </c>
      <c r="L524" s="1" t="str">
        <f t="array" ref="L524">IFERROR(INDEX('Исходник'!$1:$626,MATCH($A524,'Исходник'!$T:$T,0),MATCH(L$1,'Исходник'!$1:$1,0)))</f>
        <v/>
      </c>
      <c r="M524" s="28">
        <f t="shared" si="4"/>
        <v>0</v>
      </c>
      <c r="N524" s="1" t="str">
        <f t="array" ref="N524">IFERROR(INDEX('Исходник'!$1:$626,MATCH($A524,'Исходник'!$T:$T,0),MATCH(N$1,'Исходник'!$1:$1,0)))</f>
        <v/>
      </c>
      <c r="O524" s="27">
        <f t="shared" si="5"/>
        <v>0</v>
      </c>
      <c r="P524" s="27" t="str">
        <f t="shared" si="6"/>
        <v/>
      </c>
      <c r="Q524" s="1" t="str">
        <f t="array" ref="Q524">IFERROR(INDEX('Исходник'!$1:$626,MATCH($A524,'Исходник'!$T:$T,0),MATCH(Q$1,'Исходник'!$1:$1,0)))</f>
        <v/>
      </c>
      <c r="R524" s="1" t="str">
        <f t="array" ref="R524">IFERROR(INDEX('Исходник'!$1:$626,MATCH($A524,'Исходник'!$T:$T,0),MATCH(R$1,'Исходник'!$1:$1,0)))</f>
        <v/>
      </c>
      <c r="S524" s="27">
        <f t="shared" si="7"/>
        <v>0</v>
      </c>
      <c r="T524" s="27" t="str">
        <f t="shared" si="8"/>
        <v/>
      </c>
      <c r="U524" s="1" t="str">
        <f t="array" ref="U524">IFERROR(INDEX('Исходник'!$1:$626,MATCH($A524,'Исходник'!$T:$T,0),MATCH(U$1,'Исходник'!$1:$1,0)))</f>
        <v/>
      </c>
      <c r="V524" s="27" t="str">
        <f t="shared" si="9"/>
        <v/>
      </c>
      <c r="W524" s="1" t="str">
        <f t="array" ref="W524">IFERROR(INDEX('Исходник'!$1:$626,MATCH($A524,'Исходник'!$T:$T,0),MATCH(W$1,'Исходник'!$1:$1,0)))</f>
        <v/>
      </c>
      <c r="X524" s="28">
        <f t="shared" si="10"/>
        <v>0</v>
      </c>
      <c r="Y524" s="1" t="str">
        <f t="array" ref="Y524">IFERROR(INDEX('Исходник'!$1:$626,MATCH($A524,'Исходник'!$T:$T,0),MATCH(Y$1,'Исходник'!$1:$1,0)))</f>
        <v/>
      </c>
      <c r="Z524" s="27">
        <f t="shared" si="11"/>
        <v>0</v>
      </c>
      <c r="AA524" s="27" t="str">
        <f t="shared" si="12"/>
        <v/>
      </c>
      <c r="AB524" s="1" t="str">
        <f t="array" ref="AB524">IFERROR(INDEX('Исходник'!$1:$626,MATCH($A524,'Исходник'!$T:$T,0),MATCH(AB$1,'Исходник'!$1:$1,0)))</f>
        <v/>
      </c>
      <c r="AC524" s="1" t="str">
        <f t="array" ref="AC524">IFERROR(INDEX('Исходник'!$1:$626,MATCH($A524,'Исходник'!$T:$T,0),MATCH(AC$1,'Исходник'!$1:$1,0)))</f>
        <v/>
      </c>
      <c r="AD524" s="27" t="str">
        <f t="shared" si="13"/>
        <v/>
      </c>
      <c r="AE524" s="1" t="str">
        <f t="array" ref="AE524">IFERROR(INDEX('Исходник'!$1:$626,MATCH($A524,'Исходник'!$T:$T,0),MATCH(AE$1,'Исходник'!$1:$1,0)))</f>
        <v/>
      </c>
      <c r="AF524" s="1" t="str">
        <f t="array" ref="AF524">IFERROR(INDEX('Исходник'!$1:$626,MATCH($A524,'Исходник'!$T:$T,0),MATCH(AF$1,'Исходник'!$1:$1,0)))</f>
        <v/>
      </c>
      <c r="AG524" s="27" t="str">
        <f t="shared" si="14"/>
        <v/>
      </c>
      <c r="AH524" s="1" t="str">
        <f t="array" ref="AH524">IFERROR(INDEX('Исходник'!$1:$626,MATCH($A524,'Исходник'!$T:$T,0),MATCH(AH$1,'Исходник'!$1:$1,0)))</f>
        <v/>
      </c>
      <c r="AI524" s="1" t="str">
        <f t="array" ref="AI524">IFERROR(INDEX('Исходник'!$1:$626,MATCH($A524,'Исходник'!$T:$T,0),MATCH(AI$1,'Исходник'!$1:$1,0)))</f>
        <v/>
      </c>
      <c r="AJ524" s="18">
        <f t="shared" si="15"/>
        <v>0</v>
      </c>
    </row>
    <row r="525" ht="15.75" customHeight="1">
      <c r="A525" s="27"/>
      <c r="B525" s="1" t="str">
        <f t="array" ref="B525">IFERROR(INDEX('Исходник'!$1:$626,MATCH($A525,'Исходник'!$T:$T,0),MATCH(B$1,'Исходник'!$1:$1,0)))</f>
        <v/>
      </c>
      <c r="C525" s="1" t="str">
        <f t="array" ref="C525">IFERROR(INDEX('Исходник'!$1:$626,MATCH($A525,'Исходник'!$T:$T,0),MATCH(C$1,'Исходник'!$1:$1,0)))</f>
        <v/>
      </c>
      <c r="D525" s="1" t="str">
        <f t="array" ref="D525">IFERROR(INDEX('Исходник'!$1:$626,MATCH($A525,'Исходник'!$T:$T,0),MATCH(D$1,'Исходник'!$1:$1,0)))</f>
        <v/>
      </c>
      <c r="E525" s="1" t="str">
        <f t="array" ref="E525">IFERROR(INDEX('Исходник'!$1:$626,MATCH($A525,'Исходник'!$T:$T,0),MATCH(E$1,'Исходник'!$1:$1,0)))</f>
        <v/>
      </c>
      <c r="F525" s="1" t="str">
        <f t="array" ref="F525">IFERROR(INDEX('Исходник'!$1:$626,MATCH($A525,'Исходник'!$T:$T,0),MATCH(F$1,'Исходник'!$1:$1,0)))</f>
        <v/>
      </c>
      <c r="G525" s="1" t="str">
        <f t="array" ref="G525">IFERROR(INDEX('Исходник'!$1:$626,MATCH($A525,'Исходник'!$T:$T,0),MATCH(G$1,'Исходник'!$1:$1,0)))</f>
        <v/>
      </c>
      <c r="H525" s="27">
        <f t="shared" si="1"/>
        <v>0</v>
      </c>
      <c r="I525" s="27" t="str">
        <f t="shared" si="2"/>
        <v/>
      </c>
      <c r="J525" s="1" t="str">
        <f t="array" ref="J525">IFERROR(INDEX('Исходник'!$1:$626,MATCH($A525,'Исходник'!$T:$T,0),MATCH(J$1,'Исходник'!$1:$1,0)))</f>
        <v/>
      </c>
      <c r="K525" s="27" t="str">
        <f t="shared" si="3"/>
        <v/>
      </c>
      <c r="L525" s="1" t="str">
        <f t="array" ref="L525">IFERROR(INDEX('Исходник'!$1:$626,MATCH($A525,'Исходник'!$T:$T,0),MATCH(L$1,'Исходник'!$1:$1,0)))</f>
        <v/>
      </c>
      <c r="M525" s="28">
        <f t="shared" si="4"/>
        <v>0</v>
      </c>
      <c r="N525" s="1" t="str">
        <f t="array" ref="N525">IFERROR(INDEX('Исходник'!$1:$626,MATCH($A525,'Исходник'!$T:$T,0),MATCH(N$1,'Исходник'!$1:$1,0)))</f>
        <v/>
      </c>
      <c r="O525" s="27">
        <f t="shared" si="5"/>
        <v>0</v>
      </c>
      <c r="P525" s="27" t="str">
        <f t="shared" si="6"/>
        <v/>
      </c>
      <c r="Q525" s="1" t="str">
        <f t="array" ref="Q525">IFERROR(INDEX('Исходник'!$1:$626,MATCH($A525,'Исходник'!$T:$T,0),MATCH(Q$1,'Исходник'!$1:$1,0)))</f>
        <v/>
      </c>
      <c r="R525" s="1" t="str">
        <f t="array" ref="R525">IFERROR(INDEX('Исходник'!$1:$626,MATCH($A525,'Исходник'!$T:$T,0),MATCH(R$1,'Исходник'!$1:$1,0)))</f>
        <v/>
      </c>
      <c r="S525" s="27">
        <f t="shared" si="7"/>
        <v>0</v>
      </c>
      <c r="T525" s="27" t="str">
        <f t="shared" si="8"/>
        <v/>
      </c>
      <c r="U525" s="1" t="str">
        <f t="array" ref="U525">IFERROR(INDEX('Исходник'!$1:$626,MATCH($A525,'Исходник'!$T:$T,0),MATCH(U$1,'Исходник'!$1:$1,0)))</f>
        <v/>
      </c>
      <c r="V525" s="27" t="str">
        <f t="shared" si="9"/>
        <v/>
      </c>
      <c r="W525" s="1" t="str">
        <f t="array" ref="W525">IFERROR(INDEX('Исходник'!$1:$626,MATCH($A525,'Исходник'!$T:$T,0),MATCH(W$1,'Исходник'!$1:$1,0)))</f>
        <v/>
      </c>
      <c r="X525" s="28">
        <f t="shared" si="10"/>
        <v>0</v>
      </c>
      <c r="Y525" s="1" t="str">
        <f t="array" ref="Y525">IFERROR(INDEX('Исходник'!$1:$626,MATCH($A525,'Исходник'!$T:$T,0),MATCH(Y$1,'Исходник'!$1:$1,0)))</f>
        <v/>
      </c>
      <c r="Z525" s="27">
        <f t="shared" si="11"/>
        <v>0</v>
      </c>
      <c r="AA525" s="27" t="str">
        <f t="shared" si="12"/>
        <v/>
      </c>
      <c r="AB525" s="1" t="str">
        <f t="array" ref="AB525">IFERROR(INDEX('Исходник'!$1:$626,MATCH($A525,'Исходник'!$T:$T,0),MATCH(AB$1,'Исходник'!$1:$1,0)))</f>
        <v/>
      </c>
      <c r="AC525" s="1" t="str">
        <f t="array" ref="AC525">IFERROR(INDEX('Исходник'!$1:$626,MATCH($A525,'Исходник'!$T:$T,0),MATCH(AC$1,'Исходник'!$1:$1,0)))</f>
        <v/>
      </c>
      <c r="AD525" s="27" t="str">
        <f t="shared" si="13"/>
        <v/>
      </c>
      <c r="AE525" s="1" t="str">
        <f t="array" ref="AE525">IFERROR(INDEX('Исходник'!$1:$626,MATCH($A525,'Исходник'!$T:$T,0),MATCH(AE$1,'Исходник'!$1:$1,0)))</f>
        <v/>
      </c>
      <c r="AF525" s="1" t="str">
        <f t="array" ref="AF525">IFERROR(INDEX('Исходник'!$1:$626,MATCH($A525,'Исходник'!$T:$T,0),MATCH(AF$1,'Исходник'!$1:$1,0)))</f>
        <v/>
      </c>
      <c r="AG525" s="27" t="str">
        <f t="shared" si="14"/>
        <v/>
      </c>
      <c r="AH525" s="1" t="str">
        <f t="array" ref="AH525">IFERROR(INDEX('Исходник'!$1:$626,MATCH($A525,'Исходник'!$T:$T,0),MATCH(AH$1,'Исходник'!$1:$1,0)))</f>
        <v/>
      </c>
      <c r="AI525" s="1" t="str">
        <f t="array" ref="AI525">IFERROR(INDEX('Исходник'!$1:$626,MATCH($A525,'Исходник'!$T:$T,0),MATCH(AI$1,'Исходник'!$1:$1,0)))</f>
        <v/>
      </c>
      <c r="AJ525" s="18">
        <f t="shared" si="15"/>
        <v>0</v>
      </c>
    </row>
    <row r="526" ht="15.75" customHeight="1">
      <c r="A526" s="27"/>
      <c r="B526" s="1" t="str">
        <f t="array" ref="B526">IFERROR(INDEX('Исходник'!$1:$626,MATCH($A526,'Исходник'!$T:$T,0),MATCH(B$1,'Исходник'!$1:$1,0)))</f>
        <v/>
      </c>
      <c r="C526" s="1" t="str">
        <f t="array" ref="C526">IFERROR(INDEX('Исходник'!$1:$626,MATCH($A526,'Исходник'!$T:$T,0),MATCH(C$1,'Исходник'!$1:$1,0)))</f>
        <v/>
      </c>
      <c r="D526" s="1" t="str">
        <f t="array" ref="D526">IFERROR(INDEX('Исходник'!$1:$626,MATCH($A526,'Исходник'!$T:$T,0),MATCH(D$1,'Исходник'!$1:$1,0)))</f>
        <v/>
      </c>
      <c r="E526" s="1" t="str">
        <f t="array" ref="E526">IFERROR(INDEX('Исходник'!$1:$626,MATCH($A526,'Исходник'!$T:$T,0),MATCH(E$1,'Исходник'!$1:$1,0)))</f>
        <v/>
      </c>
      <c r="F526" s="1" t="str">
        <f t="array" ref="F526">IFERROR(INDEX('Исходник'!$1:$626,MATCH($A526,'Исходник'!$T:$T,0),MATCH(F$1,'Исходник'!$1:$1,0)))</f>
        <v/>
      </c>
      <c r="G526" s="1" t="str">
        <f t="array" ref="G526">IFERROR(INDEX('Исходник'!$1:$626,MATCH($A526,'Исходник'!$T:$T,0),MATCH(G$1,'Исходник'!$1:$1,0)))</f>
        <v/>
      </c>
      <c r="H526" s="27">
        <f t="shared" si="1"/>
        <v>0</v>
      </c>
      <c r="I526" s="27" t="str">
        <f t="shared" si="2"/>
        <v/>
      </c>
      <c r="J526" s="1" t="str">
        <f t="array" ref="J526">IFERROR(INDEX('Исходник'!$1:$626,MATCH($A526,'Исходник'!$T:$T,0),MATCH(J$1,'Исходник'!$1:$1,0)))</f>
        <v/>
      </c>
      <c r="K526" s="27" t="str">
        <f t="shared" si="3"/>
        <v/>
      </c>
      <c r="L526" s="1" t="str">
        <f t="array" ref="L526">IFERROR(INDEX('Исходник'!$1:$626,MATCH($A526,'Исходник'!$T:$T,0),MATCH(L$1,'Исходник'!$1:$1,0)))</f>
        <v/>
      </c>
      <c r="M526" s="28">
        <f t="shared" si="4"/>
        <v>0</v>
      </c>
      <c r="N526" s="1" t="str">
        <f t="array" ref="N526">IFERROR(INDEX('Исходник'!$1:$626,MATCH($A526,'Исходник'!$T:$T,0),MATCH(N$1,'Исходник'!$1:$1,0)))</f>
        <v/>
      </c>
      <c r="O526" s="27">
        <f t="shared" si="5"/>
        <v>0</v>
      </c>
      <c r="P526" s="27" t="str">
        <f t="shared" si="6"/>
        <v/>
      </c>
      <c r="Q526" s="1" t="str">
        <f t="array" ref="Q526">IFERROR(INDEX('Исходник'!$1:$626,MATCH($A526,'Исходник'!$T:$T,0),MATCH(Q$1,'Исходник'!$1:$1,0)))</f>
        <v/>
      </c>
      <c r="R526" s="1" t="str">
        <f t="array" ref="R526">IFERROR(INDEX('Исходник'!$1:$626,MATCH($A526,'Исходник'!$T:$T,0),MATCH(R$1,'Исходник'!$1:$1,0)))</f>
        <v/>
      </c>
      <c r="S526" s="27">
        <f t="shared" si="7"/>
        <v>0</v>
      </c>
      <c r="T526" s="27" t="str">
        <f t="shared" si="8"/>
        <v/>
      </c>
      <c r="U526" s="1" t="str">
        <f t="array" ref="U526">IFERROR(INDEX('Исходник'!$1:$626,MATCH($A526,'Исходник'!$T:$T,0),MATCH(U$1,'Исходник'!$1:$1,0)))</f>
        <v/>
      </c>
      <c r="V526" s="27" t="str">
        <f t="shared" si="9"/>
        <v/>
      </c>
      <c r="W526" s="1" t="str">
        <f t="array" ref="W526">IFERROR(INDEX('Исходник'!$1:$626,MATCH($A526,'Исходник'!$T:$T,0),MATCH(W$1,'Исходник'!$1:$1,0)))</f>
        <v/>
      </c>
      <c r="X526" s="28">
        <f t="shared" si="10"/>
        <v>0</v>
      </c>
      <c r="Y526" s="1" t="str">
        <f t="array" ref="Y526">IFERROR(INDEX('Исходник'!$1:$626,MATCH($A526,'Исходник'!$T:$T,0),MATCH(Y$1,'Исходник'!$1:$1,0)))</f>
        <v/>
      </c>
      <c r="Z526" s="27">
        <f t="shared" si="11"/>
        <v>0</v>
      </c>
      <c r="AA526" s="27" t="str">
        <f t="shared" si="12"/>
        <v/>
      </c>
      <c r="AB526" s="1" t="str">
        <f t="array" ref="AB526">IFERROR(INDEX('Исходник'!$1:$626,MATCH($A526,'Исходник'!$T:$T,0),MATCH(AB$1,'Исходник'!$1:$1,0)))</f>
        <v/>
      </c>
      <c r="AC526" s="1" t="str">
        <f t="array" ref="AC526">IFERROR(INDEX('Исходник'!$1:$626,MATCH($A526,'Исходник'!$T:$T,0),MATCH(AC$1,'Исходник'!$1:$1,0)))</f>
        <v/>
      </c>
      <c r="AD526" s="27" t="str">
        <f t="shared" si="13"/>
        <v/>
      </c>
      <c r="AE526" s="1" t="str">
        <f t="array" ref="AE526">IFERROR(INDEX('Исходник'!$1:$626,MATCH($A526,'Исходник'!$T:$T,0),MATCH(AE$1,'Исходник'!$1:$1,0)))</f>
        <v/>
      </c>
      <c r="AF526" s="1" t="str">
        <f t="array" ref="AF526">IFERROR(INDEX('Исходник'!$1:$626,MATCH($A526,'Исходник'!$T:$T,0),MATCH(AF$1,'Исходник'!$1:$1,0)))</f>
        <v/>
      </c>
      <c r="AG526" s="27" t="str">
        <f t="shared" si="14"/>
        <v/>
      </c>
      <c r="AH526" s="1" t="str">
        <f t="array" ref="AH526">IFERROR(INDEX('Исходник'!$1:$626,MATCH($A526,'Исходник'!$T:$T,0),MATCH(AH$1,'Исходник'!$1:$1,0)))</f>
        <v/>
      </c>
      <c r="AI526" s="1" t="str">
        <f t="array" ref="AI526">IFERROR(INDEX('Исходник'!$1:$626,MATCH($A526,'Исходник'!$T:$T,0),MATCH(AI$1,'Исходник'!$1:$1,0)))</f>
        <v/>
      </c>
      <c r="AJ526" s="18">
        <f t="shared" si="15"/>
        <v>0</v>
      </c>
    </row>
    <row r="527" ht="15.75" customHeight="1">
      <c r="A527" s="27"/>
      <c r="B527" s="1" t="str">
        <f t="array" ref="B527">IFERROR(INDEX('Исходник'!$1:$626,MATCH($A527,'Исходник'!$T:$T,0),MATCH(B$1,'Исходник'!$1:$1,0)))</f>
        <v/>
      </c>
      <c r="C527" s="1" t="str">
        <f t="array" ref="C527">IFERROR(INDEX('Исходник'!$1:$626,MATCH($A527,'Исходник'!$T:$T,0),MATCH(C$1,'Исходник'!$1:$1,0)))</f>
        <v/>
      </c>
      <c r="D527" s="1" t="str">
        <f t="array" ref="D527">IFERROR(INDEX('Исходник'!$1:$626,MATCH($A527,'Исходник'!$T:$T,0),MATCH(D$1,'Исходник'!$1:$1,0)))</f>
        <v/>
      </c>
      <c r="E527" s="1" t="str">
        <f t="array" ref="E527">IFERROR(INDEX('Исходник'!$1:$626,MATCH($A527,'Исходник'!$T:$T,0),MATCH(E$1,'Исходник'!$1:$1,0)))</f>
        <v/>
      </c>
      <c r="F527" s="1" t="str">
        <f t="array" ref="F527">IFERROR(INDEX('Исходник'!$1:$626,MATCH($A527,'Исходник'!$T:$T,0),MATCH(F$1,'Исходник'!$1:$1,0)))</f>
        <v/>
      </c>
      <c r="G527" s="1" t="str">
        <f t="array" ref="G527">IFERROR(INDEX('Исходник'!$1:$626,MATCH($A527,'Исходник'!$T:$T,0),MATCH(G$1,'Исходник'!$1:$1,0)))</f>
        <v/>
      </c>
      <c r="H527" s="27">
        <f t="shared" si="1"/>
        <v>0</v>
      </c>
      <c r="I527" s="27" t="str">
        <f t="shared" si="2"/>
        <v/>
      </c>
      <c r="J527" s="1" t="str">
        <f t="array" ref="J527">IFERROR(INDEX('Исходник'!$1:$626,MATCH($A527,'Исходник'!$T:$T,0),MATCH(J$1,'Исходник'!$1:$1,0)))</f>
        <v/>
      </c>
      <c r="K527" s="27" t="str">
        <f t="shared" si="3"/>
        <v/>
      </c>
      <c r="L527" s="1" t="str">
        <f t="array" ref="L527">IFERROR(INDEX('Исходник'!$1:$626,MATCH($A527,'Исходник'!$T:$T,0),MATCH(L$1,'Исходник'!$1:$1,0)))</f>
        <v/>
      </c>
      <c r="M527" s="28">
        <f t="shared" si="4"/>
        <v>0</v>
      </c>
      <c r="N527" s="1" t="str">
        <f t="array" ref="N527">IFERROR(INDEX('Исходник'!$1:$626,MATCH($A527,'Исходник'!$T:$T,0),MATCH(N$1,'Исходник'!$1:$1,0)))</f>
        <v/>
      </c>
      <c r="O527" s="27">
        <f t="shared" si="5"/>
        <v>0</v>
      </c>
      <c r="P527" s="27" t="str">
        <f t="shared" si="6"/>
        <v/>
      </c>
      <c r="Q527" s="1" t="str">
        <f t="array" ref="Q527">IFERROR(INDEX('Исходник'!$1:$626,MATCH($A527,'Исходник'!$T:$T,0),MATCH(Q$1,'Исходник'!$1:$1,0)))</f>
        <v/>
      </c>
      <c r="R527" s="1" t="str">
        <f t="array" ref="R527">IFERROR(INDEX('Исходник'!$1:$626,MATCH($A527,'Исходник'!$T:$T,0),MATCH(R$1,'Исходник'!$1:$1,0)))</f>
        <v/>
      </c>
      <c r="S527" s="27">
        <f t="shared" si="7"/>
        <v>0</v>
      </c>
      <c r="T527" s="27" t="str">
        <f t="shared" si="8"/>
        <v/>
      </c>
      <c r="U527" s="1" t="str">
        <f t="array" ref="U527">IFERROR(INDEX('Исходник'!$1:$626,MATCH($A527,'Исходник'!$T:$T,0),MATCH(U$1,'Исходник'!$1:$1,0)))</f>
        <v/>
      </c>
      <c r="V527" s="27" t="str">
        <f t="shared" si="9"/>
        <v/>
      </c>
      <c r="W527" s="1" t="str">
        <f t="array" ref="W527">IFERROR(INDEX('Исходник'!$1:$626,MATCH($A527,'Исходник'!$T:$T,0),MATCH(W$1,'Исходник'!$1:$1,0)))</f>
        <v/>
      </c>
      <c r="X527" s="28">
        <f t="shared" si="10"/>
        <v>0</v>
      </c>
      <c r="Y527" s="1" t="str">
        <f t="array" ref="Y527">IFERROR(INDEX('Исходник'!$1:$626,MATCH($A527,'Исходник'!$T:$T,0),MATCH(Y$1,'Исходник'!$1:$1,0)))</f>
        <v/>
      </c>
      <c r="Z527" s="27">
        <f t="shared" si="11"/>
        <v>0</v>
      </c>
      <c r="AA527" s="27" t="str">
        <f t="shared" si="12"/>
        <v/>
      </c>
      <c r="AB527" s="1" t="str">
        <f t="array" ref="AB527">IFERROR(INDEX('Исходник'!$1:$626,MATCH($A527,'Исходник'!$T:$T,0),MATCH(AB$1,'Исходник'!$1:$1,0)))</f>
        <v/>
      </c>
      <c r="AC527" s="1" t="str">
        <f t="array" ref="AC527">IFERROR(INDEX('Исходник'!$1:$626,MATCH($A527,'Исходник'!$T:$T,0),MATCH(AC$1,'Исходник'!$1:$1,0)))</f>
        <v/>
      </c>
      <c r="AD527" s="27" t="str">
        <f t="shared" si="13"/>
        <v/>
      </c>
      <c r="AE527" s="1" t="str">
        <f t="array" ref="AE527">IFERROR(INDEX('Исходник'!$1:$626,MATCH($A527,'Исходник'!$T:$T,0),MATCH(AE$1,'Исходник'!$1:$1,0)))</f>
        <v/>
      </c>
      <c r="AF527" s="1" t="str">
        <f t="array" ref="AF527">IFERROR(INDEX('Исходник'!$1:$626,MATCH($A527,'Исходник'!$T:$T,0),MATCH(AF$1,'Исходник'!$1:$1,0)))</f>
        <v/>
      </c>
      <c r="AG527" s="27" t="str">
        <f t="shared" si="14"/>
        <v/>
      </c>
      <c r="AH527" s="1" t="str">
        <f t="array" ref="AH527">IFERROR(INDEX('Исходник'!$1:$626,MATCH($A527,'Исходник'!$T:$T,0),MATCH(AH$1,'Исходник'!$1:$1,0)))</f>
        <v/>
      </c>
      <c r="AI527" s="1" t="str">
        <f t="array" ref="AI527">IFERROR(INDEX('Исходник'!$1:$626,MATCH($A527,'Исходник'!$T:$T,0),MATCH(AI$1,'Исходник'!$1:$1,0)))</f>
        <v/>
      </c>
      <c r="AJ527" s="18">
        <f t="shared" si="15"/>
        <v>0</v>
      </c>
    </row>
    <row r="528" ht="15.75" customHeight="1">
      <c r="A528" s="27"/>
      <c r="B528" s="1" t="str">
        <f t="array" ref="B528">IFERROR(INDEX('Исходник'!$1:$626,MATCH($A528,'Исходник'!$T:$T,0),MATCH(B$1,'Исходник'!$1:$1,0)))</f>
        <v/>
      </c>
      <c r="C528" s="1" t="str">
        <f t="array" ref="C528">IFERROR(INDEX('Исходник'!$1:$626,MATCH($A528,'Исходник'!$T:$T,0),MATCH(C$1,'Исходник'!$1:$1,0)))</f>
        <v/>
      </c>
      <c r="D528" s="1" t="str">
        <f t="array" ref="D528">IFERROR(INDEX('Исходник'!$1:$626,MATCH($A528,'Исходник'!$T:$T,0),MATCH(D$1,'Исходник'!$1:$1,0)))</f>
        <v/>
      </c>
      <c r="E528" s="1" t="str">
        <f t="array" ref="E528">IFERROR(INDEX('Исходник'!$1:$626,MATCH($A528,'Исходник'!$T:$T,0),MATCH(E$1,'Исходник'!$1:$1,0)))</f>
        <v/>
      </c>
      <c r="F528" s="1" t="str">
        <f t="array" ref="F528">IFERROR(INDEX('Исходник'!$1:$626,MATCH($A528,'Исходник'!$T:$T,0),MATCH(F$1,'Исходник'!$1:$1,0)))</f>
        <v/>
      </c>
      <c r="G528" s="1" t="str">
        <f t="array" ref="G528">IFERROR(INDEX('Исходник'!$1:$626,MATCH($A528,'Исходник'!$T:$T,0),MATCH(G$1,'Исходник'!$1:$1,0)))</f>
        <v/>
      </c>
      <c r="H528" s="27">
        <f t="shared" si="1"/>
        <v>0</v>
      </c>
      <c r="I528" s="27" t="str">
        <f t="shared" si="2"/>
        <v/>
      </c>
      <c r="J528" s="1" t="str">
        <f t="array" ref="J528">IFERROR(INDEX('Исходник'!$1:$626,MATCH($A528,'Исходник'!$T:$T,0),MATCH(J$1,'Исходник'!$1:$1,0)))</f>
        <v/>
      </c>
      <c r="K528" s="27" t="str">
        <f t="shared" si="3"/>
        <v/>
      </c>
      <c r="L528" s="1" t="str">
        <f t="array" ref="L528">IFERROR(INDEX('Исходник'!$1:$626,MATCH($A528,'Исходник'!$T:$T,0),MATCH(L$1,'Исходник'!$1:$1,0)))</f>
        <v/>
      </c>
      <c r="M528" s="28">
        <f t="shared" si="4"/>
        <v>0</v>
      </c>
      <c r="N528" s="1" t="str">
        <f t="array" ref="N528">IFERROR(INDEX('Исходник'!$1:$626,MATCH($A528,'Исходник'!$T:$T,0),MATCH(N$1,'Исходник'!$1:$1,0)))</f>
        <v/>
      </c>
      <c r="O528" s="27">
        <f t="shared" si="5"/>
        <v>0</v>
      </c>
      <c r="P528" s="27" t="str">
        <f t="shared" si="6"/>
        <v/>
      </c>
      <c r="Q528" s="1" t="str">
        <f t="array" ref="Q528">IFERROR(INDEX('Исходник'!$1:$626,MATCH($A528,'Исходник'!$T:$T,0),MATCH(Q$1,'Исходник'!$1:$1,0)))</f>
        <v/>
      </c>
      <c r="R528" s="1" t="str">
        <f t="array" ref="R528">IFERROR(INDEX('Исходник'!$1:$626,MATCH($A528,'Исходник'!$T:$T,0),MATCH(R$1,'Исходник'!$1:$1,0)))</f>
        <v/>
      </c>
      <c r="S528" s="27">
        <f t="shared" si="7"/>
        <v>0</v>
      </c>
      <c r="T528" s="27" t="str">
        <f t="shared" si="8"/>
        <v/>
      </c>
      <c r="U528" s="1" t="str">
        <f t="array" ref="U528">IFERROR(INDEX('Исходник'!$1:$626,MATCH($A528,'Исходник'!$T:$T,0),MATCH(U$1,'Исходник'!$1:$1,0)))</f>
        <v/>
      </c>
      <c r="V528" s="27" t="str">
        <f t="shared" si="9"/>
        <v/>
      </c>
      <c r="W528" s="1" t="str">
        <f t="array" ref="W528">IFERROR(INDEX('Исходник'!$1:$626,MATCH($A528,'Исходник'!$T:$T,0),MATCH(W$1,'Исходник'!$1:$1,0)))</f>
        <v/>
      </c>
      <c r="X528" s="28">
        <f t="shared" si="10"/>
        <v>0</v>
      </c>
      <c r="Y528" s="1" t="str">
        <f t="array" ref="Y528">IFERROR(INDEX('Исходник'!$1:$626,MATCH($A528,'Исходник'!$T:$T,0),MATCH(Y$1,'Исходник'!$1:$1,0)))</f>
        <v/>
      </c>
      <c r="Z528" s="27">
        <f t="shared" si="11"/>
        <v>0</v>
      </c>
      <c r="AA528" s="27" t="str">
        <f t="shared" si="12"/>
        <v/>
      </c>
      <c r="AB528" s="1" t="str">
        <f t="array" ref="AB528">IFERROR(INDEX('Исходник'!$1:$626,MATCH($A528,'Исходник'!$T:$T,0),MATCH(AB$1,'Исходник'!$1:$1,0)))</f>
        <v/>
      </c>
      <c r="AC528" s="1" t="str">
        <f t="array" ref="AC528">IFERROR(INDEX('Исходник'!$1:$626,MATCH($A528,'Исходник'!$T:$T,0),MATCH(AC$1,'Исходник'!$1:$1,0)))</f>
        <v/>
      </c>
      <c r="AD528" s="27" t="str">
        <f t="shared" si="13"/>
        <v/>
      </c>
      <c r="AE528" s="1" t="str">
        <f t="array" ref="AE528">IFERROR(INDEX('Исходник'!$1:$626,MATCH($A528,'Исходник'!$T:$T,0),MATCH(AE$1,'Исходник'!$1:$1,0)))</f>
        <v/>
      </c>
      <c r="AF528" s="1" t="str">
        <f t="array" ref="AF528">IFERROR(INDEX('Исходник'!$1:$626,MATCH($A528,'Исходник'!$T:$T,0),MATCH(AF$1,'Исходник'!$1:$1,0)))</f>
        <v/>
      </c>
      <c r="AG528" s="27" t="str">
        <f t="shared" si="14"/>
        <v/>
      </c>
      <c r="AH528" s="1" t="str">
        <f t="array" ref="AH528">IFERROR(INDEX('Исходник'!$1:$626,MATCH($A528,'Исходник'!$T:$T,0),MATCH(AH$1,'Исходник'!$1:$1,0)))</f>
        <v/>
      </c>
      <c r="AI528" s="1" t="str">
        <f t="array" ref="AI528">IFERROR(INDEX('Исходник'!$1:$626,MATCH($A528,'Исходник'!$T:$T,0),MATCH(AI$1,'Исходник'!$1:$1,0)))</f>
        <v/>
      </c>
      <c r="AJ528" s="18">
        <f t="shared" si="15"/>
        <v>0</v>
      </c>
    </row>
    <row r="529" ht="15.75" customHeight="1">
      <c r="A529" s="27"/>
      <c r="B529" s="1" t="str">
        <f t="array" ref="B529">IFERROR(INDEX('Исходник'!$1:$626,MATCH($A529,'Исходник'!$T:$T,0),MATCH(B$1,'Исходник'!$1:$1,0)))</f>
        <v/>
      </c>
      <c r="C529" s="1" t="str">
        <f t="array" ref="C529">IFERROR(INDEX('Исходник'!$1:$626,MATCH($A529,'Исходник'!$T:$T,0),MATCH(C$1,'Исходник'!$1:$1,0)))</f>
        <v/>
      </c>
      <c r="D529" s="1" t="str">
        <f t="array" ref="D529">IFERROR(INDEX('Исходник'!$1:$626,MATCH($A529,'Исходник'!$T:$T,0),MATCH(D$1,'Исходник'!$1:$1,0)))</f>
        <v/>
      </c>
      <c r="E529" s="1" t="str">
        <f t="array" ref="E529">IFERROR(INDEX('Исходник'!$1:$626,MATCH($A529,'Исходник'!$T:$T,0),MATCH(E$1,'Исходник'!$1:$1,0)))</f>
        <v/>
      </c>
      <c r="F529" s="1" t="str">
        <f t="array" ref="F529">IFERROR(INDEX('Исходник'!$1:$626,MATCH($A529,'Исходник'!$T:$T,0),MATCH(F$1,'Исходник'!$1:$1,0)))</f>
        <v/>
      </c>
      <c r="G529" s="1" t="str">
        <f t="array" ref="G529">IFERROR(INDEX('Исходник'!$1:$626,MATCH($A529,'Исходник'!$T:$T,0),MATCH(G$1,'Исходник'!$1:$1,0)))</f>
        <v/>
      </c>
      <c r="H529" s="27">
        <f t="shared" si="1"/>
        <v>0</v>
      </c>
      <c r="I529" s="27" t="str">
        <f t="shared" si="2"/>
        <v/>
      </c>
      <c r="J529" s="1" t="str">
        <f t="array" ref="J529">IFERROR(INDEX('Исходник'!$1:$626,MATCH($A529,'Исходник'!$T:$T,0),MATCH(J$1,'Исходник'!$1:$1,0)))</f>
        <v/>
      </c>
      <c r="K529" s="27" t="str">
        <f t="shared" si="3"/>
        <v/>
      </c>
      <c r="L529" s="1" t="str">
        <f t="array" ref="L529">IFERROR(INDEX('Исходник'!$1:$626,MATCH($A529,'Исходник'!$T:$T,0),MATCH(L$1,'Исходник'!$1:$1,0)))</f>
        <v/>
      </c>
      <c r="M529" s="28">
        <f t="shared" si="4"/>
        <v>0</v>
      </c>
      <c r="N529" s="1" t="str">
        <f t="array" ref="N529">IFERROR(INDEX('Исходник'!$1:$626,MATCH($A529,'Исходник'!$T:$T,0),MATCH(N$1,'Исходник'!$1:$1,0)))</f>
        <v/>
      </c>
      <c r="O529" s="27">
        <f t="shared" si="5"/>
        <v>0</v>
      </c>
      <c r="P529" s="27" t="str">
        <f t="shared" si="6"/>
        <v/>
      </c>
      <c r="Q529" s="1" t="str">
        <f t="array" ref="Q529">IFERROR(INDEX('Исходник'!$1:$626,MATCH($A529,'Исходник'!$T:$T,0),MATCH(Q$1,'Исходник'!$1:$1,0)))</f>
        <v/>
      </c>
      <c r="R529" s="1" t="str">
        <f t="array" ref="R529">IFERROR(INDEX('Исходник'!$1:$626,MATCH($A529,'Исходник'!$T:$T,0),MATCH(R$1,'Исходник'!$1:$1,0)))</f>
        <v/>
      </c>
      <c r="S529" s="27">
        <f t="shared" si="7"/>
        <v>0</v>
      </c>
      <c r="T529" s="27" t="str">
        <f t="shared" si="8"/>
        <v/>
      </c>
      <c r="U529" s="1" t="str">
        <f t="array" ref="U529">IFERROR(INDEX('Исходник'!$1:$626,MATCH($A529,'Исходник'!$T:$T,0),MATCH(U$1,'Исходник'!$1:$1,0)))</f>
        <v/>
      </c>
      <c r="V529" s="27" t="str">
        <f t="shared" si="9"/>
        <v/>
      </c>
      <c r="W529" s="1" t="str">
        <f t="array" ref="W529">IFERROR(INDEX('Исходник'!$1:$626,MATCH($A529,'Исходник'!$T:$T,0),MATCH(W$1,'Исходник'!$1:$1,0)))</f>
        <v/>
      </c>
      <c r="X529" s="28">
        <f t="shared" si="10"/>
        <v>0</v>
      </c>
      <c r="Y529" s="1" t="str">
        <f t="array" ref="Y529">IFERROR(INDEX('Исходник'!$1:$626,MATCH($A529,'Исходник'!$T:$T,0),MATCH(Y$1,'Исходник'!$1:$1,0)))</f>
        <v/>
      </c>
      <c r="Z529" s="27">
        <f t="shared" si="11"/>
        <v>0</v>
      </c>
      <c r="AA529" s="27" t="str">
        <f t="shared" si="12"/>
        <v/>
      </c>
      <c r="AB529" s="1" t="str">
        <f t="array" ref="AB529">IFERROR(INDEX('Исходник'!$1:$626,MATCH($A529,'Исходник'!$T:$T,0),MATCH(AB$1,'Исходник'!$1:$1,0)))</f>
        <v/>
      </c>
      <c r="AC529" s="1" t="str">
        <f t="array" ref="AC529">IFERROR(INDEX('Исходник'!$1:$626,MATCH($A529,'Исходник'!$T:$T,0),MATCH(AC$1,'Исходник'!$1:$1,0)))</f>
        <v/>
      </c>
      <c r="AD529" s="27" t="str">
        <f t="shared" si="13"/>
        <v/>
      </c>
      <c r="AE529" s="1" t="str">
        <f t="array" ref="AE529">IFERROR(INDEX('Исходник'!$1:$626,MATCH($A529,'Исходник'!$T:$T,0),MATCH(AE$1,'Исходник'!$1:$1,0)))</f>
        <v/>
      </c>
      <c r="AF529" s="1" t="str">
        <f t="array" ref="AF529">IFERROR(INDEX('Исходник'!$1:$626,MATCH($A529,'Исходник'!$T:$T,0),MATCH(AF$1,'Исходник'!$1:$1,0)))</f>
        <v/>
      </c>
      <c r="AG529" s="27" t="str">
        <f t="shared" si="14"/>
        <v/>
      </c>
      <c r="AH529" s="1" t="str">
        <f t="array" ref="AH529">IFERROR(INDEX('Исходник'!$1:$626,MATCH($A529,'Исходник'!$T:$T,0),MATCH(AH$1,'Исходник'!$1:$1,0)))</f>
        <v/>
      </c>
      <c r="AI529" s="1" t="str">
        <f t="array" ref="AI529">IFERROR(INDEX('Исходник'!$1:$626,MATCH($A529,'Исходник'!$T:$T,0),MATCH(AI$1,'Исходник'!$1:$1,0)))</f>
        <v/>
      </c>
      <c r="AJ529" s="18">
        <f t="shared" si="15"/>
        <v>0</v>
      </c>
    </row>
    <row r="530" ht="15.75" customHeight="1">
      <c r="A530" s="27"/>
      <c r="B530" s="1" t="str">
        <f t="array" ref="B530">IFERROR(INDEX('Исходник'!$1:$626,MATCH($A530,'Исходник'!$T:$T,0),MATCH(B$1,'Исходник'!$1:$1,0)))</f>
        <v/>
      </c>
      <c r="C530" s="1" t="str">
        <f t="array" ref="C530">IFERROR(INDEX('Исходник'!$1:$626,MATCH($A530,'Исходник'!$T:$T,0),MATCH(C$1,'Исходник'!$1:$1,0)))</f>
        <v/>
      </c>
      <c r="D530" s="1" t="str">
        <f t="array" ref="D530">IFERROR(INDEX('Исходник'!$1:$626,MATCH($A530,'Исходник'!$T:$T,0),MATCH(D$1,'Исходник'!$1:$1,0)))</f>
        <v/>
      </c>
      <c r="E530" s="1" t="str">
        <f t="array" ref="E530">IFERROR(INDEX('Исходник'!$1:$626,MATCH($A530,'Исходник'!$T:$T,0),MATCH(E$1,'Исходник'!$1:$1,0)))</f>
        <v/>
      </c>
      <c r="F530" s="1" t="str">
        <f t="array" ref="F530">IFERROR(INDEX('Исходник'!$1:$626,MATCH($A530,'Исходник'!$T:$T,0),MATCH(F$1,'Исходник'!$1:$1,0)))</f>
        <v/>
      </c>
      <c r="G530" s="1" t="str">
        <f t="array" ref="G530">IFERROR(INDEX('Исходник'!$1:$626,MATCH($A530,'Исходник'!$T:$T,0),MATCH(G$1,'Исходник'!$1:$1,0)))</f>
        <v/>
      </c>
      <c r="H530" s="27">
        <f t="shared" si="1"/>
        <v>0</v>
      </c>
      <c r="I530" s="27" t="str">
        <f t="shared" si="2"/>
        <v/>
      </c>
      <c r="J530" s="1" t="str">
        <f t="array" ref="J530">IFERROR(INDEX('Исходник'!$1:$626,MATCH($A530,'Исходник'!$T:$T,0),MATCH(J$1,'Исходник'!$1:$1,0)))</f>
        <v/>
      </c>
      <c r="K530" s="27" t="str">
        <f t="shared" si="3"/>
        <v/>
      </c>
      <c r="L530" s="1" t="str">
        <f t="array" ref="L530">IFERROR(INDEX('Исходник'!$1:$626,MATCH($A530,'Исходник'!$T:$T,0),MATCH(L$1,'Исходник'!$1:$1,0)))</f>
        <v/>
      </c>
      <c r="M530" s="28">
        <f t="shared" si="4"/>
        <v>0</v>
      </c>
      <c r="N530" s="1" t="str">
        <f t="array" ref="N530">IFERROR(INDEX('Исходник'!$1:$626,MATCH($A530,'Исходник'!$T:$T,0),MATCH(N$1,'Исходник'!$1:$1,0)))</f>
        <v/>
      </c>
      <c r="O530" s="27">
        <f t="shared" si="5"/>
        <v>0</v>
      </c>
      <c r="P530" s="27" t="str">
        <f t="shared" si="6"/>
        <v/>
      </c>
      <c r="Q530" s="1" t="str">
        <f t="array" ref="Q530">IFERROR(INDEX('Исходник'!$1:$626,MATCH($A530,'Исходник'!$T:$T,0),MATCH(Q$1,'Исходник'!$1:$1,0)))</f>
        <v/>
      </c>
      <c r="R530" s="1" t="str">
        <f t="array" ref="R530">IFERROR(INDEX('Исходник'!$1:$626,MATCH($A530,'Исходник'!$T:$T,0),MATCH(R$1,'Исходник'!$1:$1,0)))</f>
        <v/>
      </c>
      <c r="S530" s="27">
        <f t="shared" si="7"/>
        <v>0</v>
      </c>
      <c r="T530" s="27" t="str">
        <f t="shared" si="8"/>
        <v/>
      </c>
      <c r="U530" s="1" t="str">
        <f t="array" ref="U530">IFERROR(INDEX('Исходник'!$1:$626,MATCH($A530,'Исходник'!$T:$T,0),MATCH(U$1,'Исходник'!$1:$1,0)))</f>
        <v/>
      </c>
      <c r="V530" s="27" t="str">
        <f t="shared" si="9"/>
        <v/>
      </c>
      <c r="W530" s="1" t="str">
        <f t="array" ref="W530">IFERROR(INDEX('Исходник'!$1:$626,MATCH($A530,'Исходник'!$T:$T,0),MATCH(W$1,'Исходник'!$1:$1,0)))</f>
        <v/>
      </c>
      <c r="X530" s="28">
        <f t="shared" si="10"/>
        <v>0</v>
      </c>
      <c r="Y530" s="1" t="str">
        <f t="array" ref="Y530">IFERROR(INDEX('Исходник'!$1:$626,MATCH($A530,'Исходник'!$T:$T,0),MATCH(Y$1,'Исходник'!$1:$1,0)))</f>
        <v/>
      </c>
      <c r="Z530" s="27">
        <f t="shared" si="11"/>
        <v>0</v>
      </c>
      <c r="AA530" s="27" t="str">
        <f t="shared" si="12"/>
        <v/>
      </c>
      <c r="AB530" s="1" t="str">
        <f t="array" ref="AB530">IFERROR(INDEX('Исходник'!$1:$626,MATCH($A530,'Исходник'!$T:$T,0),MATCH(AB$1,'Исходник'!$1:$1,0)))</f>
        <v/>
      </c>
      <c r="AC530" s="1" t="str">
        <f t="array" ref="AC530">IFERROR(INDEX('Исходник'!$1:$626,MATCH($A530,'Исходник'!$T:$T,0),MATCH(AC$1,'Исходник'!$1:$1,0)))</f>
        <v/>
      </c>
      <c r="AD530" s="27" t="str">
        <f t="shared" si="13"/>
        <v/>
      </c>
      <c r="AE530" s="1" t="str">
        <f t="array" ref="AE530">IFERROR(INDEX('Исходник'!$1:$626,MATCH($A530,'Исходник'!$T:$T,0),MATCH(AE$1,'Исходник'!$1:$1,0)))</f>
        <v/>
      </c>
      <c r="AF530" s="1" t="str">
        <f t="array" ref="AF530">IFERROR(INDEX('Исходник'!$1:$626,MATCH($A530,'Исходник'!$T:$T,0),MATCH(AF$1,'Исходник'!$1:$1,0)))</f>
        <v/>
      </c>
      <c r="AG530" s="27" t="str">
        <f t="shared" si="14"/>
        <v/>
      </c>
      <c r="AH530" s="1" t="str">
        <f t="array" ref="AH530">IFERROR(INDEX('Исходник'!$1:$626,MATCH($A530,'Исходник'!$T:$T,0),MATCH(AH$1,'Исходник'!$1:$1,0)))</f>
        <v/>
      </c>
      <c r="AI530" s="1" t="str">
        <f t="array" ref="AI530">IFERROR(INDEX('Исходник'!$1:$626,MATCH($A530,'Исходник'!$T:$T,0),MATCH(AI$1,'Исходник'!$1:$1,0)))</f>
        <v/>
      </c>
      <c r="AJ530" s="18">
        <f t="shared" si="15"/>
        <v>0</v>
      </c>
    </row>
    <row r="531" ht="15.75" customHeight="1">
      <c r="A531" s="27"/>
      <c r="B531" s="1" t="str">
        <f t="array" ref="B531">IFERROR(INDEX('Исходник'!$1:$626,MATCH($A531,'Исходник'!$T:$T,0),MATCH(B$1,'Исходник'!$1:$1,0)))</f>
        <v/>
      </c>
      <c r="C531" s="1" t="str">
        <f t="array" ref="C531">IFERROR(INDEX('Исходник'!$1:$626,MATCH($A531,'Исходник'!$T:$T,0),MATCH(C$1,'Исходник'!$1:$1,0)))</f>
        <v/>
      </c>
      <c r="D531" s="1" t="str">
        <f t="array" ref="D531">IFERROR(INDEX('Исходник'!$1:$626,MATCH($A531,'Исходник'!$T:$T,0),MATCH(D$1,'Исходник'!$1:$1,0)))</f>
        <v/>
      </c>
      <c r="E531" s="1" t="str">
        <f t="array" ref="E531">IFERROR(INDEX('Исходник'!$1:$626,MATCH($A531,'Исходник'!$T:$T,0),MATCH(E$1,'Исходник'!$1:$1,0)))</f>
        <v/>
      </c>
      <c r="F531" s="1" t="str">
        <f t="array" ref="F531">IFERROR(INDEX('Исходник'!$1:$626,MATCH($A531,'Исходник'!$T:$T,0),MATCH(F$1,'Исходник'!$1:$1,0)))</f>
        <v/>
      </c>
      <c r="G531" s="1" t="str">
        <f t="array" ref="G531">IFERROR(INDEX('Исходник'!$1:$626,MATCH($A531,'Исходник'!$T:$T,0),MATCH(G$1,'Исходник'!$1:$1,0)))</f>
        <v/>
      </c>
      <c r="H531" s="27">
        <f t="shared" si="1"/>
        <v>0</v>
      </c>
      <c r="I531" s="27" t="str">
        <f t="shared" si="2"/>
        <v/>
      </c>
      <c r="J531" s="1" t="str">
        <f t="array" ref="J531">IFERROR(INDEX('Исходник'!$1:$626,MATCH($A531,'Исходник'!$T:$T,0),MATCH(J$1,'Исходник'!$1:$1,0)))</f>
        <v/>
      </c>
      <c r="K531" s="27" t="str">
        <f t="shared" si="3"/>
        <v/>
      </c>
      <c r="L531" s="1" t="str">
        <f t="array" ref="L531">IFERROR(INDEX('Исходник'!$1:$626,MATCH($A531,'Исходник'!$T:$T,0),MATCH(L$1,'Исходник'!$1:$1,0)))</f>
        <v/>
      </c>
      <c r="M531" s="28">
        <f t="shared" si="4"/>
        <v>0</v>
      </c>
      <c r="N531" s="1" t="str">
        <f t="array" ref="N531">IFERROR(INDEX('Исходник'!$1:$626,MATCH($A531,'Исходник'!$T:$T,0),MATCH(N$1,'Исходник'!$1:$1,0)))</f>
        <v/>
      </c>
      <c r="O531" s="27">
        <f t="shared" si="5"/>
        <v>0</v>
      </c>
      <c r="P531" s="27" t="str">
        <f t="shared" si="6"/>
        <v/>
      </c>
      <c r="Q531" s="1" t="str">
        <f t="array" ref="Q531">IFERROR(INDEX('Исходник'!$1:$626,MATCH($A531,'Исходник'!$T:$T,0),MATCH(Q$1,'Исходник'!$1:$1,0)))</f>
        <v/>
      </c>
      <c r="R531" s="1" t="str">
        <f t="array" ref="R531">IFERROR(INDEX('Исходник'!$1:$626,MATCH($A531,'Исходник'!$T:$T,0),MATCH(R$1,'Исходник'!$1:$1,0)))</f>
        <v/>
      </c>
      <c r="S531" s="27">
        <f t="shared" si="7"/>
        <v>0</v>
      </c>
      <c r="T531" s="27" t="str">
        <f t="shared" si="8"/>
        <v/>
      </c>
      <c r="U531" s="1" t="str">
        <f t="array" ref="U531">IFERROR(INDEX('Исходник'!$1:$626,MATCH($A531,'Исходник'!$T:$T,0),MATCH(U$1,'Исходник'!$1:$1,0)))</f>
        <v/>
      </c>
      <c r="V531" s="27" t="str">
        <f t="shared" si="9"/>
        <v/>
      </c>
      <c r="W531" s="1" t="str">
        <f t="array" ref="W531">IFERROR(INDEX('Исходник'!$1:$626,MATCH($A531,'Исходник'!$T:$T,0),MATCH(W$1,'Исходник'!$1:$1,0)))</f>
        <v/>
      </c>
      <c r="X531" s="28">
        <f t="shared" si="10"/>
        <v>0</v>
      </c>
      <c r="Y531" s="1" t="str">
        <f t="array" ref="Y531">IFERROR(INDEX('Исходник'!$1:$626,MATCH($A531,'Исходник'!$T:$T,0),MATCH(Y$1,'Исходник'!$1:$1,0)))</f>
        <v/>
      </c>
      <c r="Z531" s="27">
        <f t="shared" si="11"/>
        <v>0</v>
      </c>
      <c r="AA531" s="27" t="str">
        <f t="shared" si="12"/>
        <v/>
      </c>
      <c r="AB531" s="1" t="str">
        <f t="array" ref="AB531">IFERROR(INDEX('Исходник'!$1:$626,MATCH($A531,'Исходник'!$T:$T,0),MATCH(AB$1,'Исходник'!$1:$1,0)))</f>
        <v/>
      </c>
      <c r="AC531" s="1" t="str">
        <f t="array" ref="AC531">IFERROR(INDEX('Исходник'!$1:$626,MATCH($A531,'Исходник'!$T:$T,0),MATCH(AC$1,'Исходник'!$1:$1,0)))</f>
        <v/>
      </c>
      <c r="AD531" s="27" t="str">
        <f t="shared" si="13"/>
        <v/>
      </c>
      <c r="AE531" s="1" t="str">
        <f t="array" ref="AE531">IFERROR(INDEX('Исходник'!$1:$626,MATCH($A531,'Исходник'!$T:$T,0),MATCH(AE$1,'Исходник'!$1:$1,0)))</f>
        <v/>
      </c>
      <c r="AF531" s="1" t="str">
        <f t="array" ref="AF531">IFERROR(INDEX('Исходник'!$1:$626,MATCH($A531,'Исходник'!$T:$T,0),MATCH(AF$1,'Исходник'!$1:$1,0)))</f>
        <v/>
      </c>
      <c r="AG531" s="27" t="str">
        <f t="shared" si="14"/>
        <v/>
      </c>
      <c r="AH531" s="1" t="str">
        <f t="array" ref="AH531">IFERROR(INDEX('Исходник'!$1:$626,MATCH($A531,'Исходник'!$T:$T,0),MATCH(AH$1,'Исходник'!$1:$1,0)))</f>
        <v/>
      </c>
      <c r="AI531" s="1" t="str">
        <f t="array" ref="AI531">IFERROR(INDEX('Исходник'!$1:$626,MATCH($A531,'Исходник'!$T:$T,0),MATCH(AI$1,'Исходник'!$1:$1,0)))</f>
        <v/>
      </c>
      <c r="AJ531" s="18">
        <f t="shared" si="15"/>
        <v>0</v>
      </c>
    </row>
    <row r="532" ht="15.75" customHeight="1">
      <c r="A532" s="27"/>
      <c r="B532" s="1" t="str">
        <f t="array" ref="B532">IFERROR(INDEX('Исходник'!$1:$626,MATCH($A532,'Исходник'!$T:$T,0),MATCH(B$1,'Исходник'!$1:$1,0)))</f>
        <v/>
      </c>
      <c r="C532" s="1" t="str">
        <f t="array" ref="C532">IFERROR(INDEX('Исходник'!$1:$626,MATCH($A532,'Исходник'!$T:$T,0),MATCH(C$1,'Исходник'!$1:$1,0)))</f>
        <v/>
      </c>
      <c r="D532" s="1" t="str">
        <f t="array" ref="D532">IFERROR(INDEX('Исходник'!$1:$626,MATCH($A532,'Исходник'!$T:$T,0),MATCH(D$1,'Исходник'!$1:$1,0)))</f>
        <v/>
      </c>
      <c r="E532" s="1" t="str">
        <f t="array" ref="E532">IFERROR(INDEX('Исходник'!$1:$626,MATCH($A532,'Исходник'!$T:$T,0),MATCH(E$1,'Исходник'!$1:$1,0)))</f>
        <v/>
      </c>
      <c r="F532" s="1" t="str">
        <f t="array" ref="F532">IFERROR(INDEX('Исходник'!$1:$626,MATCH($A532,'Исходник'!$T:$T,0),MATCH(F$1,'Исходник'!$1:$1,0)))</f>
        <v/>
      </c>
      <c r="G532" s="1" t="str">
        <f t="array" ref="G532">IFERROR(INDEX('Исходник'!$1:$626,MATCH($A532,'Исходник'!$T:$T,0),MATCH(G$1,'Исходник'!$1:$1,0)))</f>
        <v/>
      </c>
      <c r="H532" s="27">
        <f t="shared" si="1"/>
        <v>0</v>
      </c>
      <c r="I532" s="27" t="str">
        <f t="shared" si="2"/>
        <v/>
      </c>
      <c r="J532" s="1" t="str">
        <f t="array" ref="J532">IFERROR(INDEX('Исходник'!$1:$626,MATCH($A532,'Исходник'!$T:$T,0),MATCH(J$1,'Исходник'!$1:$1,0)))</f>
        <v/>
      </c>
      <c r="K532" s="27" t="str">
        <f t="shared" si="3"/>
        <v/>
      </c>
      <c r="L532" s="1" t="str">
        <f t="array" ref="L532">IFERROR(INDEX('Исходник'!$1:$626,MATCH($A532,'Исходник'!$T:$T,0),MATCH(L$1,'Исходник'!$1:$1,0)))</f>
        <v/>
      </c>
      <c r="M532" s="28">
        <f t="shared" si="4"/>
        <v>0</v>
      </c>
      <c r="N532" s="1" t="str">
        <f t="array" ref="N532">IFERROR(INDEX('Исходник'!$1:$626,MATCH($A532,'Исходник'!$T:$T,0),MATCH(N$1,'Исходник'!$1:$1,0)))</f>
        <v/>
      </c>
      <c r="O532" s="27">
        <f t="shared" si="5"/>
        <v>0</v>
      </c>
      <c r="P532" s="27" t="str">
        <f t="shared" si="6"/>
        <v/>
      </c>
      <c r="Q532" s="1" t="str">
        <f t="array" ref="Q532">IFERROR(INDEX('Исходник'!$1:$626,MATCH($A532,'Исходник'!$T:$T,0),MATCH(Q$1,'Исходник'!$1:$1,0)))</f>
        <v/>
      </c>
      <c r="R532" s="1" t="str">
        <f t="array" ref="R532">IFERROR(INDEX('Исходник'!$1:$626,MATCH($A532,'Исходник'!$T:$T,0),MATCH(R$1,'Исходник'!$1:$1,0)))</f>
        <v/>
      </c>
      <c r="S532" s="27">
        <f t="shared" si="7"/>
        <v>0</v>
      </c>
      <c r="T532" s="27" t="str">
        <f t="shared" si="8"/>
        <v/>
      </c>
      <c r="U532" s="1" t="str">
        <f t="array" ref="U532">IFERROR(INDEX('Исходник'!$1:$626,MATCH($A532,'Исходник'!$T:$T,0),MATCH(U$1,'Исходник'!$1:$1,0)))</f>
        <v/>
      </c>
      <c r="V532" s="27" t="str">
        <f t="shared" si="9"/>
        <v/>
      </c>
      <c r="W532" s="1" t="str">
        <f t="array" ref="W532">IFERROR(INDEX('Исходник'!$1:$626,MATCH($A532,'Исходник'!$T:$T,0),MATCH(W$1,'Исходник'!$1:$1,0)))</f>
        <v/>
      </c>
      <c r="X532" s="28">
        <f t="shared" si="10"/>
        <v>0</v>
      </c>
      <c r="Y532" s="1" t="str">
        <f t="array" ref="Y532">IFERROR(INDEX('Исходник'!$1:$626,MATCH($A532,'Исходник'!$T:$T,0),MATCH(Y$1,'Исходник'!$1:$1,0)))</f>
        <v/>
      </c>
      <c r="Z532" s="27">
        <f t="shared" si="11"/>
        <v>0</v>
      </c>
      <c r="AA532" s="27" t="str">
        <f t="shared" si="12"/>
        <v/>
      </c>
      <c r="AB532" s="1" t="str">
        <f t="array" ref="AB532">IFERROR(INDEX('Исходник'!$1:$626,MATCH($A532,'Исходник'!$T:$T,0),MATCH(AB$1,'Исходник'!$1:$1,0)))</f>
        <v/>
      </c>
      <c r="AC532" s="1" t="str">
        <f t="array" ref="AC532">IFERROR(INDEX('Исходник'!$1:$626,MATCH($A532,'Исходник'!$T:$T,0),MATCH(AC$1,'Исходник'!$1:$1,0)))</f>
        <v/>
      </c>
      <c r="AD532" s="27" t="str">
        <f t="shared" si="13"/>
        <v/>
      </c>
      <c r="AE532" s="1" t="str">
        <f t="array" ref="AE532">IFERROR(INDEX('Исходник'!$1:$626,MATCH($A532,'Исходник'!$T:$T,0),MATCH(AE$1,'Исходник'!$1:$1,0)))</f>
        <v/>
      </c>
      <c r="AF532" s="1" t="str">
        <f t="array" ref="AF532">IFERROR(INDEX('Исходник'!$1:$626,MATCH($A532,'Исходник'!$T:$T,0),MATCH(AF$1,'Исходник'!$1:$1,0)))</f>
        <v/>
      </c>
      <c r="AG532" s="27" t="str">
        <f t="shared" si="14"/>
        <v/>
      </c>
      <c r="AH532" s="1" t="str">
        <f t="array" ref="AH532">IFERROR(INDEX('Исходник'!$1:$626,MATCH($A532,'Исходник'!$T:$T,0),MATCH(AH$1,'Исходник'!$1:$1,0)))</f>
        <v/>
      </c>
      <c r="AI532" s="1" t="str">
        <f t="array" ref="AI532">IFERROR(INDEX('Исходник'!$1:$626,MATCH($A532,'Исходник'!$T:$T,0),MATCH(AI$1,'Исходник'!$1:$1,0)))</f>
        <v/>
      </c>
      <c r="AJ532" s="18">
        <f t="shared" si="15"/>
        <v>0</v>
      </c>
    </row>
    <row r="533" ht="15.75" customHeight="1">
      <c r="A533" s="27"/>
      <c r="B533" s="1" t="str">
        <f t="array" ref="B533">IFERROR(INDEX('Исходник'!$1:$626,MATCH($A533,'Исходник'!$T:$T,0),MATCH(B$1,'Исходник'!$1:$1,0)))</f>
        <v/>
      </c>
      <c r="C533" s="1" t="str">
        <f t="array" ref="C533">IFERROR(INDEX('Исходник'!$1:$626,MATCH($A533,'Исходник'!$T:$T,0),MATCH(C$1,'Исходник'!$1:$1,0)))</f>
        <v/>
      </c>
      <c r="D533" s="1" t="str">
        <f t="array" ref="D533">IFERROR(INDEX('Исходник'!$1:$626,MATCH($A533,'Исходник'!$T:$T,0),MATCH(D$1,'Исходник'!$1:$1,0)))</f>
        <v/>
      </c>
      <c r="E533" s="1" t="str">
        <f t="array" ref="E533">IFERROR(INDEX('Исходник'!$1:$626,MATCH($A533,'Исходник'!$T:$T,0),MATCH(E$1,'Исходник'!$1:$1,0)))</f>
        <v/>
      </c>
      <c r="F533" s="1" t="str">
        <f t="array" ref="F533">IFERROR(INDEX('Исходник'!$1:$626,MATCH($A533,'Исходник'!$T:$T,0),MATCH(F$1,'Исходник'!$1:$1,0)))</f>
        <v/>
      </c>
      <c r="G533" s="1" t="str">
        <f t="array" ref="G533">IFERROR(INDEX('Исходник'!$1:$626,MATCH($A533,'Исходник'!$T:$T,0),MATCH(G$1,'Исходник'!$1:$1,0)))</f>
        <v/>
      </c>
      <c r="H533" s="27">
        <f t="shared" si="1"/>
        <v>0</v>
      </c>
      <c r="I533" s="27" t="str">
        <f t="shared" si="2"/>
        <v/>
      </c>
      <c r="J533" s="1" t="str">
        <f t="array" ref="J533">IFERROR(INDEX('Исходник'!$1:$626,MATCH($A533,'Исходник'!$T:$T,0),MATCH(J$1,'Исходник'!$1:$1,0)))</f>
        <v/>
      </c>
      <c r="K533" s="27" t="str">
        <f t="shared" si="3"/>
        <v/>
      </c>
      <c r="L533" s="1" t="str">
        <f t="array" ref="L533">IFERROR(INDEX('Исходник'!$1:$626,MATCH($A533,'Исходник'!$T:$T,0),MATCH(L$1,'Исходник'!$1:$1,0)))</f>
        <v/>
      </c>
      <c r="M533" s="28">
        <f t="shared" si="4"/>
        <v>0</v>
      </c>
      <c r="N533" s="1" t="str">
        <f t="array" ref="N533">IFERROR(INDEX('Исходник'!$1:$626,MATCH($A533,'Исходник'!$T:$T,0),MATCH(N$1,'Исходник'!$1:$1,0)))</f>
        <v/>
      </c>
      <c r="O533" s="27">
        <f t="shared" si="5"/>
        <v>0</v>
      </c>
      <c r="P533" s="27" t="str">
        <f t="shared" si="6"/>
        <v/>
      </c>
      <c r="Q533" s="1" t="str">
        <f t="array" ref="Q533">IFERROR(INDEX('Исходник'!$1:$626,MATCH($A533,'Исходник'!$T:$T,0),MATCH(Q$1,'Исходник'!$1:$1,0)))</f>
        <v/>
      </c>
      <c r="R533" s="1" t="str">
        <f t="array" ref="R533">IFERROR(INDEX('Исходник'!$1:$626,MATCH($A533,'Исходник'!$T:$T,0),MATCH(R$1,'Исходник'!$1:$1,0)))</f>
        <v/>
      </c>
      <c r="S533" s="27">
        <f t="shared" si="7"/>
        <v>0</v>
      </c>
      <c r="T533" s="27" t="str">
        <f t="shared" si="8"/>
        <v/>
      </c>
      <c r="U533" s="1" t="str">
        <f t="array" ref="U533">IFERROR(INDEX('Исходник'!$1:$626,MATCH($A533,'Исходник'!$T:$T,0),MATCH(U$1,'Исходник'!$1:$1,0)))</f>
        <v/>
      </c>
      <c r="V533" s="27" t="str">
        <f t="shared" si="9"/>
        <v/>
      </c>
      <c r="W533" s="1" t="str">
        <f t="array" ref="W533">IFERROR(INDEX('Исходник'!$1:$626,MATCH($A533,'Исходник'!$T:$T,0),MATCH(W$1,'Исходник'!$1:$1,0)))</f>
        <v/>
      </c>
      <c r="X533" s="28">
        <f t="shared" si="10"/>
        <v>0</v>
      </c>
      <c r="Y533" s="1" t="str">
        <f t="array" ref="Y533">IFERROR(INDEX('Исходник'!$1:$626,MATCH($A533,'Исходник'!$T:$T,0),MATCH(Y$1,'Исходник'!$1:$1,0)))</f>
        <v/>
      </c>
      <c r="Z533" s="27">
        <f t="shared" si="11"/>
        <v>0</v>
      </c>
      <c r="AA533" s="27" t="str">
        <f t="shared" si="12"/>
        <v/>
      </c>
      <c r="AB533" s="1" t="str">
        <f t="array" ref="AB533">IFERROR(INDEX('Исходник'!$1:$626,MATCH($A533,'Исходник'!$T:$T,0),MATCH(AB$1,'Исходник'!$1:$1,0)))</f>
        <v/>
      </c>
      <c r="AC533" s="1" t="str">
        <f t="array" ref="AC533">IFERROR(INDEX('Исходник'!$1:$626,MATCH($A533,'Исходник'!$T:$T,0),MATCH(AC$1,'Исходник'!$1:$1,0)))</f>
        <v/>
      </c>
      <c r="AD533" s="27" t="str">
        <f t="shared" si="13"/>
        <v/>
      </c>
      <c r="AE533" s="1" t="str">
        <f t="array" ref="AE533">IFERROR(INDEX('Исходник'!$1:$626,MATCH($A533,'Исходник'!$T:$T,0),MATCH(AE$1,'Исходник'!$1:$1,0)))</f>
        <v/>
      </c>
      <c r="AF533" s="1" t="str">
        <f t="array" ref="AF533">IFERROR(INDEX('Исходник'!$1:$626,MATCH($A533,'Исходник'!$T:$T,0),MATCH(AF$1,'Исходник'!$1:$1,0)))</f>
        <v/>
      </c>
      <c r="AG533" s="27" t="str">
        <f t="shared" si="14"/>
        <v/>
      </c>
      <c r="AH533" s="1" t="str">
        <f t="array" ref="AH533">IFERROR(INDEX('Исходник'!$1:$626,MATCH($A533,'Исходник'!$T:$T,0),MATCH(AH$1,'Исходник'!$1:$1,0)))</f>
        <v/>
      </c>
      <c r="AI533" s="1" t="str">
        <f t="array" ref="AI533">IFERROR(INDEX('Исходник'!$1:$626,MATCH($A533,'Исходник'!$T:$T,0),MATCH(AI$1,'Исходник'!$1:$1,0)))</f>
        <v/>
      </c>
      <c r="AJ533" s="18">
        <f t="shared" si="15"/>
        <v>0</v>
      </c>
    </row>
    <row r="534" ht="15.75" customHeight="1">
      <c r="A534" s="27"/>
      <c r="B534" s="1" t="str">
        <f t="array" ref="B534">IFERROR(INDEX('Исходник'!$1:$626,MATCH($A534,'Исходник'!$T:$T,0),MATCH(B$1,'Исходник'!$1:$1,0)))</f>
        <v/>
      </c>
      <c r="C534" s="1" t="str">
        <f t="array" ref="C534">IFERROR(INDEX('Исходник'!$1:$626,MATCH($A534,'Исходник'!$T:$T,0),MATCH(C$1,'Исходник'!$1:$1,0)))</f>
        <v/>
      </c>
      <c r="D534" s="1" t="str">
        <f t="array" ref="D534">IFERROR(INDEX('Исходник'!$1:$626,MATCH($A534,'Исходник'!$T:$T,0),MATCH(D$1,'Исходник'!$1:$1,0)))</f>
        <v/>
      </c>
      <c r="E534" s="1" t="str">
        <f t="array" ref="E534">IFERROR(INDEX('Исходник'!$1:$626,MATCH($A534,'Исходник'!$T:$T,0),MATCH(E$1,'Исходник'!$1:$1,0)))</f>
        <v/>
      </c>
      <c r="F534" s="1" t="str">
        <f t="array" ref="F534">IFERROR(INDEX('Исходник'!$1:$626,MATCH($A534,'Исходник'!$T:$T,0),MATCH(F$1,'Исходник'!$1:$1,0)))</f>
        <v/>
      </c>
      <c r="G534" s="1" t="str">
        <f t="array" ref="G534">IFERROR(INDEX('Исходник'!$1:$626,MATCH($A534,'Исходник'!$T:$T,0),MATCH(G$1,'Исходник'!$1:$1,0)))</f>
        <v/>
      </c>
      <c r="H534" s="27">
        <f t="shared" si="1"/>
        <v>0</v>
      </c>
      <c r="I534" s="27" t="str">
        <f t="shared" si="2"/>
        <v/>
      </c>
      <c r="J534" s="1" t="str">
        <f t="array" ref="J534">IFERROR(INDEX('Исходник'!$1:$626,MATCH($A534,'Исходник'!$T:$T,0),MATCH(J$1,'Исходник'!$1:$1,0)))</f>
        <v/>
      </c>
      <c r="K534" s="27" t="str">
        <f t="shared" si="3"/>
        <v/>
      </c>
      <c r="L534" s="1" t="str">
        <f t="array" ref="L534">IFERROR(INDEX('Исходник'!$1:$626,MATCH($A534,'Исходник'!$T:$T,0),MATCH(L$1,'Исходник'!$1:$1,0)))</f>
        <v/>
      </c>
      <c r="M534" s="28">
        <f t="shared" si="4"/>
        <v>0</v>
      </c>
      <c r="N534" s="1" t="str">
        <f t="array" ref="N534">IFERROR(INDEX('Исходник'!$1:$626,MATCH($A534,'Исходник'!$T:$T,0),MATCH(N$1,'Исходник'!$1:$1,0)))</f>
        <v/>
      </c>
      <c r="O534" s="27">
        <f t="shared" si="5"/>
        <v>0</v>
      </c>
      <c r="P534" s="27" t="str">
        <f t="shared" si="6"/>
        <v/>
      </c>
      <c r="Q534" s="1" t="str">
        <f t="array" ref="Q534">IFERROR(INDEX('Исходник'!$1:$626,MATCH($A534,'Исходник'!$T:$T,0),MATCH(Q$1,'Исходник'!$1:$1,0)))</f>
        <v/>
      </c>
      <c r="R534" s="1" t="str">
        <f t="array" ref="R534">IFERROR(INDEX('Исходник'!$1:$626,MATCH($A534,'Исходник'!$T:$T,0),MATCH(R$1,'Исходник'!$1:$1,0)))</f>
        <v/>
      </c>
      <c r="S534" s="27">
        <f t="shared" si="7"/>
        <v>0</v>
      </c>
      <c r="T534" s="27" t="str">
        <f t="shared" si="8"/>
        <v/>
      </c>
      <c r="U534" s="1" t="str">
        <f t="array" ref="U534">IFERROR(INDEX('Исходник'!$1:$626,MATCH($A534,'Исходник'!$T:$T,0),MATCH(U$1,'Исходник'!$1:$1,0)))</f>
        <v/>
      </c>
      <c r="V534" s="27" t="str">
        <f t="shared" si="9"/>
        <v/>
      </c>
      <c r="W534" s="1" t="str">
        <f t="array" ref="W534">IFERROR(INDEX('Исходник'!$1:$626,MATCH($A534,'Исходник'!$T:$T,0),MATCH(W$1,'Исходник'!$1:$1,0)))</f>
        <v/>
      </c>
      <c r="X534" s="28">
        <f t="shared" si="10"/>
        <v>0</v>
      </c>
      <c r="Y534" s="1" t="str">
        <f t="array" ref="Y534">IFERROR(INDEX('Исходник'!$1:$626,MATCH($A534,'Исходник'!$T:$T,0),MATCH(Y$1,'Исходник'!$1:$1,0)))</f>
        <v/>
      </c>
      <c r="Z534" s="27">
        <f t="shared" si="11"/>
        <v>0</v>
      </c>
      <c r="AA534" s="27" t="str">
        <f t="shared" si="12"/>
        <v/>
      </c>
      <c r="AB534" s="1" t="str">
        <f t="array" ref="AB534">IFERROR(INDEX('Исходник'!$1:$626,MATCH($A534,'Исходник'!$T:$T,0),MATCH(AB$1,'Исходник'!$1:$1,0)))</f>
        <v/>
      </c>
      <c r="AC534" s="1" t="str">
        <f t="array" ref="AC534">IFERROR(INDEX('Исходник'!$1:$626,MATCH($A534,'Исходник'!$T:$T,0),MATCH(AC$1,'Исходник'!$1:$1,0)))</f>
        <v/>
      </c>
      <c r="AD534" s="27" t="str">
        <f t="shared" si="13"/>
        <v/>
      </c>
      <c r="AE534" s="1" t="str">
        <f t="array" ref="AE534">IFERROR(INDEX('Исходник'!$1:$626,MATCH($A534,'Исходник'!$T:$T,0),MATCH(AE$1,'Исходник'!$1:$1,0)))</f>
        <v/>
      </c>
      <c r="AF534" s="1" t="str">
        <f t="array" ref="AF534">IFERROR(INDEX('Исходник'!$1:$626,MATCH($A534,'Исходник'!$T:$T,0),MATCH(AF$1,'Исходник'!$1:$1,0)))</f>
        <v/>
      </c>
      <c r="AG534" s="27" t="str">
        <f t="shared" si="14"/>
        <v/>
      </c>
      <c r="AH534" s="1" t="str">
        <f t="array" ref="AH534">IFERROR(INDEX('Исходник'!$1:$626,MATCH($A534,'Исходник'!$T:$T,0),MATCH(AH$1,'Исходник'!$1:$1,0)))</f>
        <v/>
      </c>
      <c r="AI534" s="1" t="str">
        <f t="array" ref="AI534">IFERROR(INDEX('Исходник'!$1:$626,MATCH($A534,'Исходник'!$T:$T,0),MATCH(AI$1,'Исходник'!$1:$1,0)))</f>
        <v/>
      </c>
      <c r="AJ534" s="18">
        <f t="shared" si="15"/>
        <v>0</v>
      </c>
    </row>
    <row r="535" ht="15.75" customHeight="1">
      <c r="A535" s="27"/>
      <c r="B535" s="1" t="str">
        <f t="array" ref="B535">IFERROR(INDEX('Исходник'!$1:$626,MATCH($A535,'Исходник'!$T:$T,0),MATCH(B$1,'Исходник'!$1:$1,0)))</f>
        <v/>
      </c>
      <c r="C535" s="1" t="str">
        <f t="array" ref="C535">IFERROR(INDEX('Исходник'!$1:$626,MATCH($A535,'Исходник'!$T:$T,0),MATCH(C$1,'Исходник'!$1:$1,0)))</f>
        <v/>
      </c>
      <c r="D535" s="1" t="str">
        <f t="array" ref="D535">IFERROR(INDEX('Исходник'!$1:$626,MATCH($A535,'Исходник'!$T:$T,0),MATCH(D$1,'Исходник'!$1:$1,0)))</f>
        <v/>
      </c>
      <c r="E535" s="1" t="str">
        <f t="array" ref="E535">IFERROR(INDEX('Исходник'!$1:$626,MATCH($A535,'Исходник'!$T:$T,0),MATCH(E$1,'Исходник'!$1:$1,0)))</f>
        <v/>
      </c>
      <c r="F535" s="1" t="str">
        <f t="array" ref="F535">IFERROR(INDEX('Исходник'!$1:$626,MATCH($A535,'Исходник'!$T:$T,0),MATCH(F$1,'Исходник'!$1:$1,0)))</f>
        <v/>
      </c>
      <c r="G535" s="1" t="str">
        <f t="array" ref="G535">IFERROR(INDEX('Исходник'!$1:$626,MATCH($A535,'Исходник'!$T:$T,0),MATCH(G$1,'Исходник'!$1:$1,0)))</f>
        <v/>
      </c>
      <c r="H535" s="27">
        <f t="shared" si="1"/>
        <v>0</v>
      </c>
      <c r="I535" s="27" t="str">
        <f t="shared" si="2"/>
        <v/>
      </c>
      <c r="J535" s="1" t="str">
        <f t="array" ref="J535">IFERROR(INDEX('Исходник'!$1:$626,MATCH($A535,'Исходник'!$T:$T,0),MATCH(J$1,'Исходник'!$1:$1,0)))</f>
        <v/>
      </c>
      <c r="K535" s="27" t="str">
        <f t="shared" si="3"/>
        <v/>
      </c>
      <c r="L535" s="1" t="str">
        <f t="array" ref="L535">IFERROR(INDEX('Исходник'!$1:$626,MATCH($A535,'Исходник'!$T:$T,0),MATCH(L$1,'Исходник'!$1:$1,0)))</f>
        <v/>
      </c>
      <c r="M535" s="28">
        <f t="shared" si="4"/>
        <v>0</v>
      </c>
      <c r="N535" s="1" t="str">
        <f t="array" ref="N535">IFERROR(INDEX('Исходник'!$1:$626,MATCH($A535,'Исходник'!$T:$T,0),MATCH(N$1,'Исходник'!$1:$1,0)))</f>
        <v/>
      </c>
      <c r="O535" s="27">
        <f t="shared" si="5"/>
        <v>0</v>
      </c>
      <c r="P535" s="27" t="str">
        <f t="shared" si="6"/>
        <v/>
      </c>
      <c r="Q535" s="1" t="str">
        <f t="array" ref="Q535">IFERROR(INDEX('Исходник'!$1:$626,MATCH($A535,'Исходник'!$T:$T,0),MATCH(Q$1,'Исходник'!$1:$1,0)))</f>
        <v/>
      </c>
      <c r="R535" s="1" t="str">
        <f t="array" ref="R535">IFERROR(INDEX('Исходник'!$1:$626,MATCH($A535,'Исходник'!$T:$T,0),MATCH(R$1,'Исходник'!$1:$1,0)))</f>
        <v/>
      </c>
      <c r="S535" s="27">
        <f t="shared" si="7"/>
        <v>0</v>
      </c>
      <c r="T535" s="27" t="str">
        <f t="shared" si="8"/>
        <v/>
      </c>
      <c r="U535" s="1" t="str">
        <f t="array" ref="U535">IFERROR(INDEX('Исходник'!$1:$626,MATCH($A535,'Исходник'!$T:$T,0),MATCH(U$1,'Исходник'!$1:$1,0)))</f>
        <v/>
      </c>
      <c r="V535" s="27" t="str">
        <f t="shared" si="9"/>
        <v/>
      </c>
      <c r="W535" s="1" t="str">
        <f t="array" ref="W535">IFERROR(INDEX('Исходник'!$1:$626,MATCH($A535,'Исходник'!$T:$T,0),MATCH(W$1,'Исходник'!$1:$1,0)))</f>
        <v/>
      </c>
      <c r="X535" s="28">
        <f t="shared" si="10"/>
        <v>0</v>
      </c>
      <c r="Y535" s="1" t="str">
        <f t="array" ref="Y535">IFERROR(INDEX('Исходник'!$1:$626,MATCH($A535,'Исходник'!$T:$T,0),MATCH(Y$1,'Исходник'!$1:$1,0)))</f>
        <v/>
      </c>
      <c r="Z535" s="27">
        <f t="shared" si="11"/>
        <v>0</v>
      </c>
      <c r="AA535" s="27" t="str">
        <f t="shared" si="12"/>
        <v/>
      </c>
      <c r="AB535" s="1" t="str">
        <f t="array" ref="AB535">IFERROR(INDEX('Исходник'!$1:$626,MATCH($A535,'Исходник'!$T:$T,0),MATCH(AB$1,'Исходник'!$1:$1,0)))</f>
        <v/>
      </c>
      <c r="AC535" s="1" t="str">
        <f t="array" ref="AC535">IFERROR(INDEX('Исходник'!$1:$626,MATCH($A535,'Исходник'!$T:$T,0),MATCH(AC$1,'Исходник'!$1:$1,0)))</f>
        <v/>
      </c>
      <c r="AD535" s="27" t="str">
        <f t="shared" si="13"/>
        <v/>
      </c>
      <c r="AE535" s="1" t="str">
        <f t="array" ref="AE535">IFERROR(INDEX('Исходник'!$1:$626,MATCH($A535,'Исходник'!$T:$T,0),MATCH(AE$1,'Исходник'!$1:$1,0)))</f>
        <v/>
      </c>
      <c r="AF535" s="1" t="str">
        <f t="array" ref="AF535">IFERROR(INDEX('Исходник'!$1:$626,MATCH($A535,'Исходник'!$T:$T,0),MATCH(AF$1,'Исходник'!$1:$1,0)))</f>
        <v/>
      </c>
      <c r="AG535" s="27" t="str">
        <f t="shared" si="14"/>
        <v/>
      </c>
      <c r="AH535" s="1" t="str">
        <f t="array" ref="AH535">IFERROR(INDEX('Исходник'!$1:$626,MATCH($A535,'Исходник'!$T:$T,0),MATCH(AH$1,'Исходник'!$1:$1,0)))</f>
        <v/>
      </c>
      <c r="AI535" s="1" t="str">
        <f t="array" ref="AI535">IFERROR(INDEX('Исходник'!$1:$626,MATCH($A535,'Исходник'!$T:$T,0),MATCH(AI$1,'Исходник'!$1:$1,0)))</f>
        <v/>
      </c>
      <c r="AJ535" s="18">
        <f t="shared" si="15"/>
        <v>0</v>
      </c>
    </row>
    <row r="536" ht="15.75" customHeight="1">
      <c r="A536" s="27"/>
      <c r="B536" s="1" t="str">
        <f t="array" ref="B536">IFERROR(INDEX('Исходник'!$1:$626,MATCH($A536,'Исходник'!$T:$T,0),MATCH(B$1,'Исходник'!$1:$1,0)))</f>
        <v/>
      </c>
      <c r="C536" s="1" t="str">
        <f t="array" ref="C536">IFERROR(INDEX('Исходник'!$1:$626,MATCH($A536,'Исходник'!$T:$T,0),MATCH(C$1,'Исходник'!$1:$1,0)))</f>
        <v/>
      </c>
      <c r="D536" s="1" t="str">
        <f t="array" ref="D536">IFERROR(INDEX('Исходник'!$1:$626,MATCH($A536,'Исходник'!$T:$T,0),MATCH(D$1,'Исходник'!$1:$1,0)))</f>
        <v/>
      </c>
      <c r="E536" s="1" t="str">
        <f t="array" ref="E536">IFERROR(INDEX('Исходник'!$1:$626,MATCH($A536,'Исходник'!$T:$T,0),MATCH(E$1,'Исходник'!$1:$1,0)))</f>
        <v/>
      </c>
      <c r="F536" s="1" t="str">
        <f t="array" ref="F536">IFERROR(INDEX('Исходник'!$1:$626,MATCH($A536,'Исходник'!$T:$T,0),MATCH(F$1,'Исходник'!$1:$1,0)))</f>
        <v/>
      </c>
      <c r="G536" s="1" t="str">
        <f t="array" ref="G536">IFERROR(INDEX('Исходник'!$1:$626,MATCH($A536,'Исходник'!$T:$T,0),MATCH(G$1,'Исходник'!$1:$1,0)))</f>
        <v/>
      </c>
      <c r="H536" s="27">
        <f t="shared" si="1"/>
        <v>0</v>
      </c>
      <c r="I536" s="27" t="str">
        <f t="shared" si="2"/>
        <v/>
      </c>
      <c r="J536" s="1" t="str">
        <f t="array" ref="J536">IFERROR(INDEX('Исходник'!$1:$626,MATCH($A536,'Исходник'!$T:$T,0),MATCH(J$1,'Исходник'!$1:$1,0)))</f>
        <v/>
      </c>
      <c r="K536" s="27" t="str">
        <f t="shared" si="3"/>
        <v/>
      </c>
      <c r="L536" s="1" t="str">
        <f t="array" ref="L536">IFERROR(INDEX('Исходник'!$1:$626,MATCH($A536,'Исходник'!$T:$T,0),MATCH(L$1,'Исходник'!$1:$1,0)))</f>
        <v/>
      </c>
      <c r="M536" s="28">
        <f t="shared" si="4"/>
        <v>0</v>
      </c>
      <c r="N536" s="1" t="str">
        <f t="array" ref="N536">IFERROR(INDEX('Исходник'!$1:$626,MATCH($A536,'Исходник'!$T:$T,0),MATCH(N$1,'Исходник'!$1:$1,0)))</f>
        <v/>
      </c>
      <c r="O536" s="27">
        <f t="shared" si="5"/>
        <v>0</v>
      </c>
      <c r="P536" s="27" t="str">
        <f t="shared" si="6"/>
        <v/>
      </c>
      <c r="Q536" s="1" t="str">
        <f t="array" ref="Q536">IFERROR(INDEX('Исходник'!$1:$626,MATCH($A536,'Исходник'!$T:$T,0),MATCH(Q$1,'Исходник'!$1:$1,0)))</f>
        <v/>
      </c>
      <c r="R536" s="1" t="str">
        <f t="array" ref="R536">IFERROR(INDEX('Исходник'!$1:$626,MATCH($A536,'Исходник'!$T:$T,0),MATCH(R$1,'Исходник'!$1:$1,0)))</f>
        <v/>
      </c>
      <c r="S536" s="27">
        <f t="shared" si="7"/>
        <v>0</v>
      </c>
      <c r="T536" s="27" t="str">
        <f t="shared" si="8"/>
        <v/>
      </c>
      <c r="U536" s="1" t="str">
        <f t="array" ref="U536">IFERROR(INDEX('Исходник'!$1:$626,MATCH($A536,'Исходник'!$T:$T,0),MATCH(U$1,'Исходник'!$1:$1,0)))</f>
        <v/>
      </c>
      <c r="V536" s="27" t="str">
        <f t="shared" si="9"/>
        <v/>
      </c>
      <c r="W536" s="1" t="str">
        <f t="array" ref="W536">IFERROR(INDEX('Исходник'!$1:$626,MATCH($A536,'Исходник'!$T:$T,0),MATCH(W$1,'Исходник'!$1:$1,0)))</f>
        <v/>
      </c>
      <c r="X536" s="28">
        <f t="shared" si="10"/>
        <v>0</v>
      </c>
      <c r="Y536" s="1" t="str">
        <f t="array" ref="Y536">IFERROR(INDEX('Исходник'!$1:$626,MATCH($A536,'Исходник'!$T:$T,0),MATCH(Y$1,'Исходник'!$1:$1,0)))</f>
        <v/>
      </c>
      <c r="Z536" s="27">
        <f t="shared" si="11"/>
        <v>0</v>
      </c>
      <c r="AA536" s="27" t="str">
        <f t="shared" si="12"/>
        <v/>
      </c>
      <c r="AB536" s="1" t="str">
        <f t="array" ref="AB536">IFERROR(INDEX('Исходник'!$1:$626,MATCH($A536,'Исходник'!$T:$T,0),MATCH(AB$1,'Исходник'!$1:$1,0)))</f>
        <v/>
      </c>
      <c r="AC536" s="1" t="str">
        <f t="array" ref="AC536">IFERROR(INDEX('Исходник'!$1:$626,MATCH($A536,'Исходник'!$T:$T,0),MATCH(AC$1,'Исходник'!$1:$1,0)))</f>
        <v/>
      </c>
      <c r="AD536" s="27" t="str">
        <f t="shared" si="13"/>
        <v/>
      </c>
      <c r="AE536" s="1" t="str">
        <f t="array" ref="AE536">IFERROR(INDEX('Исходник'!$1:$626,MATCH($A536,'Исходник'!$T:$T,0),MATCH(AE$1,'Исходник'!$1:$1,0)))</f>
        <v/>
      </c>
      <c r="AF536" s="1" t="str">
        <f t="array" ref="AF536">IFERROR(INDEX('Исходник'!$1:$626,MATCH($A536,'Исходник'!$T:$T,0),MATCH(AF$1,'Исходник'!$1:$1,0)))</f>
        <v/>
      </c>
      <c r="AG536" s="27" t="str">
        <f t="shared" si="14"/>
        <v/>
      </c>
      <c r="AH536" s="1" t="str">
        <f t="array" ref="AH536">IFERROR(INDEX('Исходник'!$1:$626,MATCH($A536,'Исходник'!$T:$T,0),MATCH(AH$1,'Исходник'!$1:$1,0)))</f>
        <v/>
      </c>
      <c r="AI536" s="1" t="str">
        <f t="array" ref="AI536">IFERROR(INDEX('Исходник'!$1:$626,MATCH($A536,'Исходник'!$T:$T,0),MATCH(AI$1,'Исходник'!$1:$1,0)))</f>
        <v/>
      </c>
      <c r="AJ536" s="18">
        <f t="shared" si="15"/>
        <v>0</v>
      </c>
    </row>
    <row r="537" ht="15.75" customHeight="1">
      <c r="A537" s="27"/>
      <c r="B537" s="1" t="str">
        <f t="array" ref="B537">IFERROR(INDEX('Исходник'!$1:$626,MATCH($A537,'Исходник'!$T:$T,0),MATCH(B$1,'Исходник'!$1:$1,0)))</f>
        <v/>
      </c>
      <c r="C537" s="1" t="str">
        <f t="array" ref="C537">IFERROR(INDEX('Исходник'!$1:$626,MATCH($A537,'Исходник'!$T:$T,0),MATCH(C$1,'Исходник'!$1:$1,0)))</f>
        <v/>
      </c>
      <c r="D537" s="1" t="str">
        <f t="array" ref="D537">IFERROR(INDEX('Исходник'!$1:$626,MATCH($A537,'Исходник'!$T:$T,0),MATCH(D$1,'Исходник'!$1:$1,0)))</f>
        <v/>
      </c>
      <c r="E537" s="1" t="str">
        <f t="array" ref="E537">IFERROR(INDEX('Исходник'!$1:$626,MATCH($A537,'Исходник'!$T:$T,0),MATCH(E$1,'Исходник'!$1:$1,0)))</f>
        <v/>
      </c>
      <c r="F537" s="1" t="str">
        <f t="array" ref="F537">IFERROR(INDEX('Исходник'!$1:$626,MATCH($A537,'Исходник'!$T:$T,0),MATCH(F$1,'Исходник'!$1:$1,0)))</f>
        <v/>
      </c>
      <c r="G537" s="1" t="str">
        <f t="array" ref="G537">IFERROR(INDEX('Исходник'!$1:$626,MATCH($A537,'Исходник'!$T:$T,0),MATCH(G$1,'Исходник'!$1:$1,0)))</f>
        <v/>
      </c>
      <c r="H537" s="27">
        <f t="shared" si="1"/>
        <v>0</v>
      </c>
      <c r="I537" s="27" t="str">
        <f t="shared" si="2"/>
        <v/>
      </c>
      <c r="J537" s="1" t="str">
        <f t="array" ref="J537">IFERROR(INDEX('Исходник'!$1:$626,MATCH($A537,'Исходник'!$T:$T,0),MATCH(J$1,'Исходник'!$1:$1,0)))</f>
        <v/>
      </c>
      <c r="K537" s="27" t="str">
        <f t="shared" si="3"/>
        <v/>
      </c>
      <c r="L537" s="1" t="str">
        <f t="array" ref="L537">IFERROR(INDEX('Исходник'!$1:$626,MATCH($A537,'Исходник'!$T:$T,0),MATCH(L$1,'Исходник'!$1:$1,0)))</f>
        <v/>
      </c>
      <c r="M537" s="28">
        <f t="shared" si="4"/>
        <v>0</v>
      </c>
      <c r="N537" s="1" t="str">
        <f t="array" ref="N537">IFERROR(INDEX('Исходник'!$1:$626,MATCH($A537,'Исходник'!$T:$T,0),MATCH(N$1,'Исходник'!$1:$1,0)))</f>
        <v/>
      </c>
      <c r="O537" s="27">
        <f t="shared" si="5"/>
        <v>0</v>
      </c>
      <c r="P537" s="27" t="str">
        <f t="shared" si="6"/>
        <v/>
      </c>
      <c r="Q537" s="1" t="str">
        <f t="array" ref="Q537">IFERROR(INDEX('Исходник'!$1:$626,MATCH($A537,'Исходник'!$T:$T,0),MATCH(Q$1,'Исходник'!$1:$1,0)))</f>
        <v/>
      </c>
      <c r="R537" s="1" t="str">
        <f t="array" ref="R537">IFERROR(INDEX('Исходник'!$1:$626,MATCH($A537,'Исходник'!$T:$T,0),MATCH(R$1,'Исходник'!$1:$1,0)))</f>
        <v/>
      </c>
      <c r="S537" s="27">
        <f t="shared" si="7"/>
        <v>0</v>
      </c>
      <c r="T537" s="27" t="str">
        <f t="shared" si="8"/>
        <v/>
      </c>
      <c r="U537" s="1" t="str">
        <f t="array" ref="U537">IFERROR(INDEX('Исходник'!$1:$626,MATCH($A537,'Исходник'!$T:$T,0),MATCH(U$1,'Исходник'!$1:$1,0)))</f>
        <v/>
      </c>
      <c r="V537" s="27" t="str">
        <f t="shared" si="9"/>
        <v/>
      </c>
      <c r="W537" s="1" t="str">
        <f t="array" ref="W537">IFERROR(INDEX('Исходник'!$1:$626,MATCH($A537,'Исходник'!$T:$T,0),MATCH(W$1,'Исходник'!$1:$1,0)))</f>
        <v/>
      </c>
      <c r="X537" s="28">
        <f t="shared" si="10"/>
        <v>0</v>
      </c>
      <c r="Y537" s="1" t="str">
        <f t="array" ref="Y537">IFERROR(INDEX('Исходник'!$1:$626,MATCH($A537,'Исходник'!$T:$T,0),MATCH(Y$1,'Исходник'!$1:$1,0)))</f>
        <v/>
      </c>
      <c r="Z537" s="27">
        <f t="shared" si="11"/>
        <v>0</v>
      </c>
      <c r="AA537" s="27" t="str">
        <f t="shared" si="12"/>
        <v/>
      </c>
      <c r="AB537" s="1" t="str">
        <f t="array" ref="AB537">IFERROR(INDEX('Исходник'!$1:$626,MATCH($A537,'Исходник'!$T:$T,0),MATCH(AB$1,'Исходник'!$1:$1,0)))</f>
        <v/>
      </c>
      <c r="AC537" s="1" t="str">
        <f t="array" ref="AC537">IFERROR(INDEX('Исходник'!$1:$626,MATCH($A537,'Исходник'!$T:$T,0),MATCH(AC$1,'Исходник'!$1:$1,0)))</f>
        <v/>
      </c>
      <c r="AD537" s="27" t="str">
        <f t="shared" si="13"/>
        <v/>
      </c>
      <c r="AE537" s="1" t="str">
        <f t="array" ref="AE537">IFERROR(INDEX('Исходник'!$1:$626,MATCH($A537,'Исходник'!$T:$T,0),MATCH(AE$1,'Исходник'!$1:$1,0)))</f>
        <v/>
      </c>
      <c r="AF537" s="1" t="str">
        <f t="array" ref="AF537">IFERROR(INDEX('Исходник'!$1:$626,MATCH($A537,'Исходник'!$T:$T,0),MATCH(AF$1,'Исходник'!$1:$1,0)))</f>
        <v/>
      </c>
      <c r="AG537" s="27" t="str">
        <f t="shared" si="14"/>
        <v/>
      </c>
      <c r="AH537" s="1" t="str">
        <f t="array" ref="AH537">IFERROR(INDEX('Исходник'!$1:$626,MATCH($A537,'Исходник'!$T:$T,0),MATCH(AH$1,'Исходник'!$1:$1,0)))</f>
        <v/>
      </c>
      <c r="AI537" s="1" t="str">
        <f t="array" ref="AI537">IFERROR(INDEX('Исходник'!$1:$626,MATCH($A537,'Исходник'!$T:$T,0),MATCH(AI$1,'Исходник'!$1:$1,0)))</f>
        <v/>
      </c>
      <c r="AJ537" s="18">
        <f t="shared" si="15"/>
        <v>0</v>
      </c>
    </row>
    <row r="538" ht="15.75" customHeight="1">
      <c r="A538" s="27"/>
      <c r="B538" s="1" t="str">
        <f t="array" ref="B538">IFERROR(INDEX('Исходник'!$1:$626,MATCH($A538,'Исходник'!$T:$T,0),MATCH(B$1,'Исходник'!$1:$1,0)))</f>
        <v/>
      </c>
      <c r="C538" s="1" t="str">
        <f t="array" ref="C538">IFERROR(INDEX('Исходник'!$1:$626,MATCH($A538,'Исходник'!$T:$T,0),MATCH(C$1,'Исходник'!$1:$1,0)))</f>
        <v/>
      </c>
      <c r="D538" s="1" t="str">
        <f t="array" ref="D538">IFERROR(INDEX('Исходник'!$1:$626,MATCH($A538,'Исходник'!$T:$T,0),MATCH(D$1,'Исходник'!$1:$1,0)))</f>
        <v/>
      </c>
      <c r="E538" s="1" t="str">
        <f t="array" ref="E538">IFERROR(INDEX('Исходник'!$1:$626,MATCH($A538,'Исходник'!$T:$T,0),MATCH(E$1,'Исходник'!$1:$1,0)))</f>
        <v/>
      </c>
      <c r="F538" s="1" t="str">
        <f t="array" ref="F538">IFERROR(INDEX('Исходник'!$1:$626,MATCH($A538,'Исходник'!$T:$T,0),MATCH(F$1,'Исходник'!$1:$1,0)))</f>
        <v/>
      </c>
      <c r="G538" s="1" t="str">
        <f t="array" ref="G538">IFERROR(INDEX('Исходник'!$1:$626,MATCH($A538,'Исходник'!$T:$T,0),MATCH(G$1,'Исходник'!$1:$1,0)))</f>
        <v/>
      </c>
      <c r="H538" s="27">
        <f t="shared" si="1"/>
        <v>0</v>
      </c>
      <c r="I538" s="27" t="str">
        <f t="shared" si="2"/>
        <v/>
      </c>
      <c r="J538" s="1" t="str">
        <f t="array" ref="J538">IFERROR(INDEX('Исходник'!$1:$626,MATCH($A538,'Исходник'!$T:$T,0),MATCH(J$1,'Исходник'!$1:$1,0)))</f>
        <v/>
      </c>
      <c r="K538" s="27" t="str">
        <f t="shared" si="3"/>
        <v/>
      </c>
      <c r="L538" s="1" t="str">
        <f t="array" ref="L538">IFERROR(INDEX('Исходник'!$1:$626,MATCH($A538,'Исходник'!$T:$T,0),MATCH(L$1,'Исходник'!$1:$1,0)))</f>
        <v/>
      </c>
      <c r="M538" s="28">
        <f t="shared" si="4"/>
        <v>0</v>
      </c>
      <c r="N538" s="1" t="str">
        <f t="array" ref="N538">IFERROR(INDEX('Исходник'!$1:$626,MATCH($A538,'Исходник'!$T:$T,0),MATCH(N$1,'Исходник'!$1:$1,0)))</f>
        <v/>
      </c>
      <c r="O538" s="27">
        <f t="shared" si="5"/>
        <v>0</v>
      </c>
      <c r="P538" s="27" t="str">
        <f t="shared" si="6"/>
        <v/>
      </c>
      <c r="Q538" s="1" t="str">
        <f t="array" ref="Q538">IFERROR(INDEX('Исходник'!$1:$626,MATCH($A538,'Исходник'!$T:$T,0),MATCH(Q$1,'Исходник'!$1:$1,0)))</f>
        <v/>
      </c>
      <c r="R538" s="1" t="str">
        <f t="array" ref="R538">IFERROR(INDEX('Исходник'!$1:$626,MATCH($A538,'Исходник'!$T:$T,0),MATCH(R$1,'Исходник'!$1:$1,0)))</f>
        <v/>
      </c>
      <c r="S538" s="27">
        <f t="shared" si="7"/>
        <v>0</v>
      </c>
      <c r="T538" s="27" t="str">
        <f t="shared" si="8"/>
        <v/>
      </c>
      <c r="U538" s="1" t="str">
        <f t="array" ref="U538">IFERROR(INDEX('Исходник'!$1:$626,MATCH($A538,'Исходник'!$T:$T,0),MATCH(U$1,'Исходник'!$1:$1,0)))</f>
        <v/>
      </c>
      <c r="V538" s="27" t="str">
        <f t="shared" si="9"/>
        <v/>
      </c>
      <c r="W538" s="1" t="str">
        <f t="array" ref="W538">IFERROR(INDEX('Исходник'!$1:$626,MATCH($A538,'Исходник'!$T:$T,0),MATCH(W$1,'Исходник'!$1:$1,0)))</f>
        <v/>
      </c>
      <c r="X538" s="28">
        <f t="shared" si="10"/>
        <v>0</v>
      </c>
      <c r="Y538" s="1" t="str">
        <f t="array" ref="Y538">IFERROR(INDEX('Исходник'!$1:$626,MATCH($A538,'Исходник'!$T:$T,0),MATCH(Y$1,'Исходник'!$1:$1,0)))</f>
        <v/>
      </c>
      <c r="Z538" s="27">
        <f t="shared" si="11"/>
        <v>0</v>
      </c>
      <c r="AA538" s="27" t="str">
        <f t="shared" si="12"/>
        <v/>
      </c>
      <c r="AB538" s="1" t="str">
        <f t="array" ref="AB538">IFERROR(INDEX('Исходник'!$1:$626,MATCH($A538,'Исходник'!$T:$T,0),MATCH(AB$1,'Исходник'!$1:$1,0)))</f>
        <v/>
      </c>
      <c r="AC538" s="1" t="str">
        <f t="array" ref="AC538">IFERROR(INDEX('Исходник'!$1:$626,MATCH($A538,'Исходник'!$T:$T,0),MATCH(AC$1,'Исходник'!$1:$1,0)))</f>
        <v/>
      </c>
      <c r="AD538" s="27" t="str">
        <f t="shared" si="13"/>
        <v/>
      </c>
      <c r="AE538" s="1" t="str">
        <f t="array" ref="AE538">IFERROR(INDEX('Исходник'!$1:$626,MATCH($A538,'Исходник'!$T:$T,0),MATCH(AE$1,'Исходник'!$1:$1,0)))</f>
        <v/>
      </c>
      <c r="AF538" s="1" t="str">
        <f t="array" ref="AF538">IFERROR(INDEX('Исходник'!$1:$626,MATCH($A538,'Исходник'!$T:$T,0),MATCH(AF$1,'Исходник'!$1:$1,0)))</f>
        <v/>
      </c>
      <c r="AG538" s="27" t="str">
        <f t="shared" si="14"/>
        <v/>
      </c>
      <c r="AH538" s="1" t="str">
        <f t="array" ref="AH538">IFERROR(INDEX('Исходник'!$1:$626,MATCH($A538,'Исходник'!$T:$T,0),MATCH(AH$1,'Исходник'!$1:$1,0)))</f>
        <v/>
      </c>
      <c r="AI538" s="1" t="str">
        <f t="array" ref="AI538">IFERROR(INDEX('Исходник'!$1:$626,MATCH($A538,'Исходник'!$T:$T,0),MATCH(AI$1,'Исходник'!$1:$1,0)))</f>
        <v/>
      </c>
      <c r="AJ538" s="18">
        <f t="shared" si="15"/>
        <v>0</v>
      </c>
    </row>
    <row r="539" ht="15.75" customHeight="1">
      <c r="A539" s="27"/>
      <c r="B539" s="1" t="str">
        <f t="array" ref="B539">IFERROR(INDEX('Исходник'!$1:$626,MATCH($A539,'Исходник'!$T:$T,0),MATCH(B$1,'Исходник'!$1:$1,0)))</f>
        <v/>
      </c>
      <c r="C539" s="1" t="str">
        <f t="array" ref="C539">IFERROR(INDEX('Исходник'!$1:$626,MATCH($A539,'Исходник'!$T:$T,0),MATCH(C$1,'Исходник'!$1:$1,0)))</f>
        <v/>
      </c>
      <c r="D539" s="1" t="str">
        <f t="array" ref="D539">IFERROR(INDEX('Исходник'!$1:$626,MATCH($A539,'Исходник'!$T:$T,0),MATCH(D$1,'Исходник'!$1:$1,0)))</f>
        <v/>
      </c>
      <c r="E539" s="1" t="str">
        <f t="array" ref="E539">IFERROR(INDEX('Исходник'!$1:$626,MATCH($A539,'Исходник'!$T:$T,0),MATCH(E$1,'Исходник'!$1:$1,0)))</f>
        <v/>
      </c>
      <c r="F539" s="1" t="str">
        <f t="array" ref="F539">IFERROR(INDEX('Исходник'!$1:$626,MATCH($A539,'Исходник'!$T:$T,0),MATCH(F$1,'Исходник'!$1:$1,0)))</f>
        <v/>
      </c>
      <c r="G539" s="1" t="str">
        <f t="array" ref="G539">IFERROR(INDEX('Исходник'!$1:$626,MATCH($A539,'Исходник'!$T:$T,0),MATCH(G$1,'Исходник'!$1:$1,0)))</f>
        <v/>
      </c>
      <c r="H539" s="27">
        <f t="shared" si="1"/>
        <v>0</v>
      </c>
      <c r="I539" s="27" t="str">
        <f t="shared" si="2"/>
        <v/>
      </c>
      <c r="J539" s="1" t="str">
        <f t="array" ref="J539">IFERROR(INDEX('Исходник'!$1:$626,MATCH($A539,'Исходник'!$T:$T,0),MATCH(J$1,'Исходник'!$1:$1,0)))</f>
        <v/>
      </c>
      <c r="K539" s="27" t="str">
        <f t="shared" si="3"/>
        <v/>
      </c>
      <c r="L539" s="1" t="str">
        <f t="array" ref="L539">IFERROR(INDEX('Исходник'!$1:$626,MATCH($A539,'Исходник'!$T:$T,0),MATCH(L$1,'Исходник'!$1:$1,0)))</f>
        <v/>
      </c>
      <c r="M539" s="28">
        <f t="shared" si="4"/>
        <v>0</v>
      </c>
      <c r="N539" s="1" t="str">
        <f t="array" ref="N539">IFERROR(INDEX('Исходник'!$1:$626,MATCH($A539,'Исходник'!$T:$T,0),MATCH(N$1,'Исходник'!$1:$1,0)))</f>
        <v/>
      </c>
      <c r="O539" s="27">
        <f t="shared" si="5"/>
        <v>0</v>
      </c>
      <c r="P539" s="27" t="str">
        <f t="shared" si="6"/>
        <v/>
      </c>
      <c r="Q539" s="1" t="str">
        <f t="array" ref="Q539">IFERROR(INDEX('Исходник'!$1:$626,MATCH($A539,'Исходник'!$T:$T,0),MATCH(Q$1,'Исходник'!$1:$1,0)))</f>
        <v/>
      </c>
      <c r="R539" s="1" t="str">
        <f t="array" ref="R539">IFERROR(INDEX('Исходник'!$1:$626,MATCH($A539,'Исходник'!$T:$T,0),MATCH(R$1,'Исходник'!$1:$1,0)))</f>
        <v/>
      </c>
      <c r="S539" s="27">
        <f t="shared" si="7"/>
        <v>0</v>
      </c>
      <c r="T539" s="27" t="str">
        <f t="shared" si="8"/>
        <v/>
      </c>
      <c r="U539" s="1" t="str">
        <f t="array" ref="U539">IFERROR(INDEX('Исходник'!$1:$626,MATCH($A539,'Исходник'!$T:$T,0),MATCH(U$1,'Исходник'!$1:$1,0)))</f>
        <v/>
      </c>
      <c r="V539" s="27" t="str">
        <f t="shared" si="9"/>
        <v/>
      </c>
      <c r="W539" s="1" t="str">
        <f t="array" ref="W539">IFERROR(INDEX('Исходник'!$1:$626,MATCH($A539,'Исходник'!$T:$T,0),MATCH(W$1,'Исходник'!$1:$1,0)))</f>
        <v/>
      </c>
      <c r="X539" s="28">
        <f t="shared" si="10"/>
        <v>0</v>
      </c>
      <c r="Y539" s="1" t="str">
        <f t="array" ref="Y539">IFERROR(INDEX('Исходник'!$1:$626,MATCH($A539,'Исходник'!$T:$T,0),MATCH(Y$1,'Исходник'!$1:$1,0)))</f>
        <v/>
      </c>
      <c r="Z539" s="27">
        <f t="shared" si="11"/>
        <v>0</v>
      </c>
      <c r="AA539" s="27" t="str">
        <f t="shared" si="12"/>
        <v/>
      </c>
      <c r="AB539" s="1" t="str">
        <f t="array" ref="AB539">IFERROR(INDEX('Исходник'!$1:$626,MATCH($A539,'Исходник'!$T:$T,0),MATCH(AB$1,'Исходник'!$1:$1,0)))</f>
        <v/>
      </c>
      <c r="AC539" s="1" t="str">
        <f t="array" ref="AC539">IFERROR(INDEX('Исходник'!$1:$626,MATCH($A539,'Исходник'!$T:$T,0),MATCH(AC$1,'Исходник'!$1:$1,0)))</f>
        <v/>
      </c>
      <c r="AD539" s="27" t="str">
        <f t="shared" si="13"/>
        <v/>
      </c>
      <c r="AE539" s="1" t="str">
        <f t="array" ref="AE539">IFERROR(INDEX('Исходник'!$1:$626,MATCH($A539,'Исходник'!$T:$T,0),MATCH(AE$1,'Исходник'!$1:$1,0)))</f>
        <v/>
      </c>
      <c r="AF539" s="1" t="str">
        <f t="array" ref="AF539">IFERROR(INDEX('Исходник'!$1:$626,MATCH($A539,'Исходник'!$T:$T,0),MATCH(AF$1,'Исходник'!$1:$1,0)))</f>
        <v/>
      </c>
      <c r="AG539" s="27" t="str">
        <f t="shared" si="14"/>
        <v/>
      </c>
      <c r="AH539" s="1" t="str">
        <f t="array" ref="AH539">IFERROR(INDEX('Исходник'!$1:$626,MATCH($A539,'Исходник'!$T:$T,0),MATCH(AH$1,'Исходник'!$1:$1,0)))</f>
        <v/>
      </c>
      <c r="AI539" s="1" t="str">
        <f t="array" ref="AI539">IFERROR(INDEX('Исходник'!$1:$626,MATCH($A539,'Исходник'!$T:$T,0),MATCH(AI$1,'Исходник'!$1:$1,0)))</f>
        <v/>
      </c>
      <c r="AJ539" s="18">
        <f t="shared" si="15"/>
        <v>0</v>
      </c>
    </row>
    <row r="540" ht="15.75" customHeight="1">
      <c r="A540" s="27"/>
      <c r="B540" s="1" t="str">
        <f t="array" ref="B540">IFERROR(INDEX('Исходник'!$1:$626,MATCH($A540,'Исходник'!$T:$T,0),MATCH(B$1,'Исходник'!$1:$1,0)))</f>
        <v/>
      </c>
      <c r="C540" s="1" t="str">
        <f t="array" ref="C540">IFERROR(INDEX('Исходник'!$1:$626,MATCH($A540,'Исходник'!$T:$T,0),MATCH(C$1,'Исходник'!$1:$1,0)))</f>
        <v/>
      </c>
      <c r="D540" s="1" t="str">
        <f t="array" ref="D540">IFERROR(INDEX('Исходник'!$1:$626,MATCH($A540,'Исходник'!$T:$T,0),MATCH(D$1,'Исходник'!$1:$1,0)))</f>
        <v/>
      </c>
      <c r="E540" s="1" t="str">
        <f t="array" ref="E540">IFERROR(INDEX('Исходник'!$1:$626,MATCH($A540,'Исходник'!$T:$T,0),MATCH(E$1,'Исходник'!$1:$1,0)))</f>
        <v/>
      </c>
      <c r="F540" s="1" t="str">
        <f t="array" ref="F540">IFERROR(INDEX('Исходник'!$1:$626,MATCH($A540,'Исходник'!$T:$T,0),MATCH(F$1,'Исходник'!$1:$1,0)))</f>
        <v/>
      </c>
      <c r="G540" s="1" t="str">
        <f t="array" ref="G540">IFERROR(INDEX('Исходник'!$1:$626,MATCH($A540,'Исходник'!$T:$T,0),MATCH(G$1,'Исходник'!$1:$1,0)))</f>
        <v/>
      </c>
      <c r="H540" s="27">
        <f t="shared" si="1"/>
        <v>0</v>
      </c>
      <c r="I540" s="27" t="str">
        <f t="shared" si="2"/>
        <v/>
      </c>
      <c r="J540" s="1" t="str">
        <f t="array" ref="J540">IFERROR(INDEX('Исходник'!$1:$626,MATCH($A540,'Исходник'!$T:$T,0),MATCH(J$1,'Исходник'!$1:$1,0)))</f>
        <v/>
      </c>
      <c r="K540" s="27" t="str">
        <f t="shared" si="3"/>
        <v/>
      </c>
      <c r="L540" s="1" t="str">
        <f t="array" ref="L540">IFERROR(INDEX('Исходник'!$1:$626,MATCH($A540,'Исходник'!$T:$T,0),MATCH(L$1,'Исходник'!$1:$1,0)))</f>
        <v/>
      </c>
      <c r="M540" s="28">
        <f t="shared" si="4"/>
        <v>0</v>
      </c>
      <c r="N540" s="1" t="str">
        <f t="array" ref="N540">IFERROR(INDEX('Исходник'!$1:$626,MATCH($A540,'Исходник'!$T:$T,0),MATCH(N$1,'Исходник'!$1:$1,0)))</f>
        <v/>
      </c>
      <c r="O540" s="27">
        <f t="shared" si="5"/>
        <v>0</v>
      </c>
      <c r="P540" s="27" t="str">
        <f t="shared" si="6"/>
        <v/>
      </c>
      <c r="Q540" s="1" t="str">
        <f t="array" ref="Q540">IFERROR(INDEX('Исходник'!$1:$626,MATCH($A540,'Исходник'!$T:$T,0),MATCH(Q$1,'Исходник'!$1:$1,0)))</f>
        <v/>
      </c>
      <c r="R540" s="1" t="str">
        <f t="array" ref="R540">IFERROR(INDEX('Исходник'!$1:$626,MATCH($A540,'Исходник'!$T:$T,0),MATCH(R$1,'Исходник'!$1:$1,0)))</f>
        <v/>
      </c>
      <c r="S540" s="27">
        <f t="shared" si="7"/>
        <v>0</v>
      </c>
      <c r="T540" s="27" t="str">
        <f t="shared" si="8"/>
        <v/>
      </c>
      <c r="U540" s="1" t="str">
        <f t="array" ref="U540">IFERROR(INDEX('Исходник'!$1:$626,MATCH($A540,'Исходник'!$T:$T,0),MATCH(U$1,'Исходник'!$1:$1,0)))</f>
        <v/>
      </c>
      <c r="V540" s="27" t="str">
        <f t="shared" si="9"/>
        <v/>
      </c>
      <c r="W540" s="1" t="str">
        <f t="array" ref="W540">IFERROR(INDEX('Исходник'!$1:$626,MATCH($A540,'Исходник'!$T:$T,0),MATCH(W$1,'Исходник'!$1:$1,0)))</f>
        <v/>
      </c>
      <c r="X540" s="28">
        <f t="shared" si="10"/>
        <v>0</v>
      </c>
      <c r="Y540" s="1" t="str">
        <f t="array" ref="Y540">IFERROR(INDEX('Исходник'!$1:$626,MATCH($A540,'Исходник'!$T:$T,0),MATCH(Y$1,'Исходник'!$1:$1,0)))</f>
        <v/>
      </c>
      <c r="Z540" s="27">
        <f t="shared" si="11"/>
        <v>0</v>
      </c>
      <c r="AA540" s="27" t="str">
        <f t="shared" si="12"/>
        <v/>
      </c>
      <c r="AB540" s="1" t="str">
        <f t="array" ref="AB540">IFERROR(INDEX('Исходник'!$1:$626,MATCH($A540,'Исходник'!$T:$T,0),MATCH(AB$1,'Исходник'!$1:$1,0)))</f>
        <v/>
      </c>
      <c r="AC540" s="1" t="str">
        <f t="array" ref="AC540">IFERROR(INDEX('Исходник'!$1:$626,MATCH($A540,'Исходник'!$T:$T,0),MATCH(AC$1,'Исходник'!$1:$1,0)))</f>
        <v/>
      </c>
      <c r="AD540" s="27" t="str">
        <f t="shared" si="13"/>
        <v/>
      </c>
      <c r="AE540" s="1" t="str">
        <f t="array" ref="AE540">IFERROR(INDEX('Исходник'!$1:$626,MATCH($A540,'Исходник'!$T:$T,0),MATCH(AE$1,'Исходник'!$1:$1,0)))</f>
        <v/>
      </c>
      <c r="AF540" s="1" t="str">
        <f t="array" ref="AF540">IFERROR(INDEX('Исходник'!$1:$626,MATCH($A540,'Исходник'!$T:$T,0),MATCH(AF$1,'Исходник'!$1:$1,0)))</f>
        <v/>
      </c>
      <c r="AG540" s="27" t="str">
        <f t="shared" si="14"/>
        <v/>
      </c>
      <c r="AH540" s="1" t="str">
        <f t="array" ref="AH540">IFERROR(INDEX('Исходник'!$1:$626,MATCH($A540,'Исходник'!$T:$T,0),MATCH(AH$1,'Исходник'!$1:$1,0)))</f>
        <v/>
      </c>
      <c r="AI540" s="1" t="str">
        <f t="array" ref="AI540">IFERROR(INDEX('Исходник'!$1:$626,MATCH($A540,'Исходник'!$T:$T,0),MATCH(AI$1,'Исходник'!$1:$1,0)))</f>
        <v/>
      </c>
      <c r="AJ540" s="18">
        <f t="shared" si="15"/>
        <v>0</v>
      </c>
    </row>
    <row r="541" ht="15.75" customHeight="1">
      <c r="A541" s="27"/>
      <c r="B541" s="1" t="str">
        <f t="array" ref="B541">IFERROR(INDEX('Исходник'!$1:$626,MATCH($A541,'Исходник'!$T:$T,0),MATCH(B$1,'Исходник'!$1:$1,0)))</f>
        <v/>
      </c>
      <c r="C541" s="1" t="str">
        <f t="array" ref="C541">IFERROR(INDEX('Исходник'!$1:$626,MATCH($A541,'Исходник'!$T:$T,0),MATCH(C$1,'Исходник'!$1:$1,0)))</f>
        <v/>
      </c>
      <c r="D541" s="1" t="str">
        <f t="array" ref="D541">IFERROR(INDEX('Исходник'!$1:$626,MATCH($A541,'Исходник'!$T:$T,0),MATCH(D$1,'Исходник'!$1:$1,0)))</f>
        <v/>
      </c>
      <c r="E541" s="1" t="str">
        <f t="array" ref="E541">IFERROR(INDEX('Исходник'!$1:$626,MATCH($A541,'Исходник'!$T:$T,0),MATCH(E$1,'Исходник'!$1:$1,0)))</f>
        <v/>
      </c>
      <c r="F541" s="1" t="str">
        <f t="array" ref="F541">IFERROR(INDEX('Исходник'!$1:$626,MATCH($A541,'Исходник'!$T:$T,0),MATCH(F$1,'Исходник'!$1:$1,0)))</f>
        <v/>
      </c>
      <c r="G541" s="1" t="str">
        <f t="array" ref="G541">IFERROR(INDEX('Исходник'!$1:$626,MATCH($A541,'Исходник'!$T:$T,0),MATCH(G$1,'Исходник'!$1:$1,0)))</f>
        <v/>
      </c>
      <c r="H541" s="27">
        <f t="shared" si="1"/>
        <v>0</v>
      </c>
      <c r="I541" s="27" t="str">
        <f t="shared" si="2"/>
        <v/>
      </c>
      <c r="J541" s="1" t="str">
        <f t="array" ref="J541">IFERROR(INDEX('Исходник'!$1:$626,MATCH($A541,'Исходник'!$T:$T,0),MATCH(J$1,'Исходник'!$1:$1,0)))</f>
        <v/>
      </c>
      <c r="K541" s="27" t="str">
        <f t="shared" si="3"/>
        <v/>
      </c>
      <c r="L541" s="1" t="str">
        <f t="array" ref="L541">IFERROR(INDEX('Исходник'!$1:$626,MATCH($A541,'Исходник'!$T:$T,0),MATCH(L$1,'Исходник'!$1:$1,0)))</f>
        <v/>
      </c>
      <c r="M541" s="28">
        <f t="shared" si="4"/>
        <v>0</v>
      </c>
      <c r="N541" s="1" t="str">
        <f t="array" ref="N541">IFERROR(INDEX('Исходник'!$1:$626,MATCH($A541,'Исходник'!$T:$T,0),MATCH(N$1,'Исходник'!$1:$1,0)))</f>
        <v/>
      </c>
      <c r="O541" s="27">
        <f t="shared" si="5"/>
        <v>0</v>
      </c>
      <c r="P541" s="27" t="str">
        <f t="shared" si="6"/>
        <v/>
      </c>
      <c r="Q541" s="1" t="str">
        <f t="array" ref="Q541">IFERROR(INDEX('Исходник'!$1:$626,MATCH($A541,'Исходник'!$T:$T,0),MATCH(Q$1,'Исходник'!$1:$1,0)))</f>
        <v/>
      </c>
      <c r="R541" s="1" t="str">
        <f t="array" ref="R541">IFERROR(INDEX('Исходник'!$1:$626,MATCH($A541,'Исходник'!$T:$T,0),MATCH(R$1,'Исходник'!$1:$1,0)))</f>
        <v/>
      </c>
      <c r="S541" s="27">
        <f t="shared" si="7"/>
        <v>0</v>
      </c>
      <c r="T541" s="27" t="str">
        <f t="shared" si="8"/>
        <v/>
      </c>
      <c r="U541" s="1" t="str">
        <f t="array" ref="U541">IFERROR(INDEX('Исходник'!$1:$626,MATCH($A541,'Исходник'!$T:$T,0),MATCH(U$1,'Исходник'!$1:$1,0)))</f>
        <v/>
      </c>
      <c r="V541" s="27" t="str">
        <f t="shared" si="9"/>
        <v/>
      </c>
      <c r="W541" s="1" t="str">
        <f t="array" ref="W541">IFERROR(INDEX('Исходник'!$1:$626,MATCH($A541,'Исходник'!$T:$T,0),MATCH(W$1,'Исходник'!$1:$1,0)))</f>
        <v/>
      </c>
      <c r="X541" s="28">
        <f t="shared" si="10"/>
        <v>0</v>
      </c>
      <c r="Y541" s="1" t="str">
        <f t="array" ref="Y541">IFERROR(INDEX('Исходник'!$1:$626,MATCH($A541,'Исходник'!$T:$T,0),MATCH(Y$1,'Исходник'!$1:$1,0)))</f>
        <v/>
      </c>
      <c r="Z541" s="27">
        <f t="shared" si="11"/>
        <v>0</v>
      </c>
      <c r="AA541" s="27" t="str">
        <f t="shared" si="12"/>
        <v/>
      </c>
      <c r="AB541" s="1" t="str">
        <f t="array" ref="AB541">IFERROR(INDEX('Исходник'!$1:$626,MATCH($A541,'Исходник'!$T:$T,0),MATCH(AB$1,'Исходник'!$1:$1,0)))</f>
        <v/>
      </c>
      <c r="AC541" s="1" t="str">
        <f t="array" ref="AC541">IFERROR(INDEX('Исходник'!$1:$626,MATCH($A541,'Исходник'!$T:$T,0),MATCH(AC$1,'Исходник'!$1:$1,0)))</f>
        <v/>
      </c>
      <c r="AD541" s="27" t="str">
        <f t="shared" si="13"/>
        <v/>
      </c>
      <c r="AE541" s="1" t="str">
        <f t="array" ref="AE541">IFERROR(INDEX('Исходник'!$1:$626,MATCH($A541,'Исходник'!$T:$T,0),MATCH(AE$1,'Исходник'!$1:$1,0)))</f>
        <v/>
      </c>
      <c r="AF541" s="1" t="str">
        <f t="array" ref="AF541">IFERROR(INDEX('Исходник'!$1:$626,MATCH($A541,'Исходник'!$T:$T,0),MATCH(AF$1,'Исходник'!$1:$1,0)))</f>
        <v/>
      </c>
      <c r="AG541" s="27" t="str">
        <f t="shared" si="14"/>
        <v/>
      </c>
      <c r="AH541" s="1" t="str">
        <f t="array" ref="AH541">IFERROR(INDEX('Исходник'!$1:$626,MATCH($A541,'Исходник'!$T:$T,0),MATCH(AH$1,'Исходник'!$1:$1,0)))</f>
        <v/>
      </c>
      <c r="AI541" s="1" t="str">
        <f t="array" ref="AI541">IFERROR(INDEX('Исходник'!$1:$626,MATCH($A541,'Исходник'!$T:$T,0),MATCH(AI$1,'Исходник'!$1:$1,0)))</f>
        <v/>
      </c>
      <c r="AJ541" s="18">
        <f t="shared" si="15"/>
        <v>0</v>
      </c>
    </row>
    <row r="542" ht="15.75" customHeight="1">
      <c r="A542" s="27"/>
      <c r="B542" s="1" t="str">
        <f t="array" ref="B542">IFERROR(INDEX('Исходник'!$1:$626,MATCH($A542,'Исходник'!$T:$T,0),MATCH(B$1,'Исходник'!$1:$1,0)))</f>
        <v/>
      </c>
      <c r="C542" s="1" t="str">
        <f t="array" ref="C542">IFERROR(INDEX('Исходник'!$1:$626,MATCH($A542,'Исходник'!$T:$T,0),MATCH(C$1,'Исходник'!$1:$1,0)))</f>
        <v/>
      </c>
      <c r="D542" s="1" t="str">
        <f t="array" ref="D542">IFERROR(INDEX('Исходник'!$1:$626,MATCH($A542,'Исходник'!$T:$T,0),MATCH(D$1,'Исходник'!$1:$1,0)))</f>
        <v/>
      </c>
      <c r="E542" s="1" t="str">
        <f t="array" ref="E542">IFERROR(INDEX('Исходник'!$1:$626,MATCH($A542,'Исходник'!$T:$T,0),MATCH(E$1,'Исходник'!$1:$1,0)))</f>
        <v/>
      </c>
      <c r="F542" s="1" t="str">
        <f t="array" ref="F542">IFERROR(INDEX('Исходник'!$1:$626,MATCH($A542,'Исходник'!$T:$T,0),MATCH(F$1,'Исходник'!$1:$1,0)))</f>
        <v/>
      </c>
      <c r="G542" s="1" t="str">
        <f t="array" ref="G542">IFERROR(INDEX('Исходник'!$1:$626,MATCH($A542,'Исходник'!$T:$T,0),MATCH(G$1,'Исходник'!$1:$1,0)))</f>
        <v/>
      </c>
      <c r="H542" s="27">
        <f t="shared" si="1"/>
        <v>0</v>
      </c>
      <c r="I542" s="27" t="str">
        <f t="shared" si="2"/>
        <v/>
      </c>
      <c r="J542" s="1" t="str">
        <f t="array" ref="J542">IFERROR(INDEX('Исходник'!$1:$626,MATCH($A542,'Исходник'!$T:$T,0),MATCH(J$1,'Исходник'!$1:$1,0)))</f>
        <v/>
      </c>
      <c r="K542" s="27" t="str">
        <f t="shared" si="3"/>
        <v/>
      </c>
      <c r="L542" s="1" t="str">
        <f t="array" ref="L542">IFERROR(INDEX('Исходник'!$1:$626,MATCH($A542,'Исходник'!$T:$T,0),MATCH(L$1,'Исходник'!$1:$1,0)))</f>
        <v/>
      </c>
      <c r="M542" s="28">
        <f t="shared" si="4"/>
        <v>0</v>
      </c>
      <c r="N542" s="1" t="str">
        <f t="array" ref="N542">IFERROR(INDEX('Исходник'!$1:$626,MATCH($A542,'Исходник'!$T:$T,0),MATCH(N$1,'Исходник'!$1:$1,0)))</f>
        <v/>
      </c>
      <c r="O542" s="27">
        <f t="shared" si="5"/>
        <v>0</v>
      </c>
      <c r="P542" s="27" t="str">
        <f t="shared" si="6"/>
        <v/>
      </c>
      <c r="Q542" s="1" t="str">
        <f t="array" ref="Q542">IFERROR(INDEX('Исходник'!$1:$626,MATCH($A542,'Исходник'!$T:$T,0),MATCH(Q$1,'Исходник'!$1:$1,0)))</f>
        <v/>
      </c>
      <c r="R542" s="1" t="str">
        <f t="array" ref="R542">IFERROR(INDEX('Исходник'!$1:$626,MATCH($A542,'Исходник'!$T:$T,0),MATCH(R$1,'Исходник'!$1:$1,0)))</f>
        <v/>
      </c>
      <c r="S542" s="27">
        <f t="shared" si="7"/>
        <v>0</v>
      </c>
      <c r="T542" s="27" t="str">
        <f t="shared" si="8"/>
        <v/>
      </c>
      <c r="U542" s="1" t="str">
        <f t="array" ref="U542">IFERROR(INDEX('Исходник'!$1:$626,MATCH($A542,'Исходник'!$T:$T,0),MATCH(U$1,'Исходник'!$1:$1,0)))</f>
        <v/>
      </c>
      <c r="V542" s="27" t="str">
        <f t="shared" si="9"/>
        <v/>
      </c>
      <c r="W542" s="1" t="str">
        <f t="array" ref="W542">IFERROR(INDEX('Исходник'!$1:$626,MATCH($A542,'Исходник'!$T:$T,0),MATCH(W$1,'Исходник'!$1:$1,0)))</f>
        <v/>
      </c>
      <c r="X542" s="28">
        <f t="shared" si="10"/>
        <v>0</v>
      </c>
      <c r="Y542" s="1" t="str">
        <f t="array" ref="Y542">IFERROR(INDEX('Исходник'!$1:$626,MATCH($A542,'Исходник'!$T:$T,0),MATCH(Y$1,'Исходник'!$1:$1,0)))</f>
        <v/>
      </c>
      <c r="Z542" s="27">
        <f t="shared" si="11"/>
        <v>0</v>
      </c>
      <c r="AA542" s="27" t="str">
        <f t="shared" si="12"/>
        <v/>
      </c>
      <c r="AB542" s="1" t="str">
        <f t="array" ref="AB542">IFERROR(INDEX('Исходник'!$1:$626,MATCH($A542,'Исходник'!$T:$T,0),MATCH(AB$1,'Исходник'!$1:$1,0)))</f>
        <v/>
      </c>
      <c r="AC542" s="1" t="str">
        <f t="array" ref="AC542">IFERROR(INDEX('Исходник'!$1:$626,MATCH($A542,'Исходник'!$T:$T,0),MATCH(AC$1,'Исходник'!$1:$1,0)))</f>
        <v/>
      </c>
      <c r="AD542" s="27" t="str">
        <f t="shared" si="13"/>
        <v/>
      </c>
      <c r="AE542" s="1" t="str">
        <f t="array" ref="AE542">IFERROR(INDEX('Исходник'!$1:$626,MATCH($A542,'Исходник'!$T:$T,0),MATCH(AE$1,'Исходник'!$1:$1,0)))</f>
        <v/>
      </c>
      <c r="AF542" s="1" t="str">
        <f t="array" ref="AF542">IFERROR(INDEX('Исходник'!$1:$626,MATCH($A542,'Исходник'!$T:$T,0),MATCH(AF$1,'Исходник'!$1:$1,0)))</f>
        <v/>
      </c>
      <c r="AG542" s="27" t="str">
        <f t="shared" si="14"/>
        <v/>
      </c>
      <c r="AH542" s="1" t="str">
        <f t="array" ref="AH542">IFERROR(INDEX('Исходник'!$1:$626,MATCH($A542,'Исходник'!$T:$T,0),MATCH(AH$1,'Исходник'!$1:$1,0)))</f>
        <v/>
      </c>
      <c r="AI542" s="1" t="str">
        <f t="array" ref="AI542">IFERROR(INDEX('Исходник'!$1:$626,MATCH($A542,'Исходник'!$T:$T,0),MATCH(AI$1,'Исходник'!$1:$1,0)))</f>
        <v/>
      </c>
      <c r="AJ542" s="18">
        <f t="shared" si="15"/>
        <v>0</v>
      </c>
    </row>
    <row r="543" ht="15.75" customHeight="1">
      <c r="A543" s="27"/>
      <c r="B543" s="1" t="str">
        <f t="array" ref="B543">IFERROR(INDEX('Исходник'!$1:$626,MATCH($A543,'Исходник'!$T:$T,0),MATCH(B$1,'Исходник'!$1:$1,0)))</f>
        <v/>
      </c>
      <c r="C543" s="1" t="str">
        <f t="array" ref="C543">IFERROR(INDEX('Исходник'!$1:$626,MATCH($A543,'Исходник'!$T:$T,0),MATCH(C$1,'Исходник'!$1:$1,0)))</f>
        <v/>
      </c>
      <c r="D543" s="1" t="str">
        <f t="array" ref="D543">IFERROR(INDEX('Исходник'!$1:$626,MATCH($A543,'Исходник'!$T:$T,0),MATCH(D$1,'Исходник'!$1:$1,0)))</f>
        <v/>
      </c>
      <c r="E543" s="1" t="str">
        <f t="array" ref="E543">IFERROR(INDEX('Исходник'!$1:$626,MATCH($A543,'Исходник'!$T:$T,0),MATCH(E$1,'Исходник'!$1:$1,0)))</f>
        <v/>
      </c>
      <c r="F543" s="1" t="str">
        <f t="array" ref="F543">IFERROR(INDEX('Исходник'!$1:$626,MATCH($A543,'Исходник'!$T:$T,0),MATCH(F$1,'Исходник'!$1:$1,0)))</f>
        <v/>
      </c>
      <c r="G543" s="1" t="str">
        <f t="array" ref="G543">IFERROR(INDEX('Исходник'!$1:$626,MATCH($A543,'Исходник'!$T:$T,0),MATCH(G$1,'Исходник'!$1:$1,0)))</f>
        <v/>
      </c>
      <c r="H543" s="27">
        <f t="shared" si="1"/>
        <v>0</v>
      </c>
      <c r="I543" s="27" t="str">
        <f t="shared" si="2"/>
        <v/>
      </c>
      <c r="J543" s="1" t="str">
        <f t="array" ref="J543">IFERROR(INDEX('Исходник'!$1:$626,MATCH($A543,'Исходник'!$T:$T,0),MATCH(J$1,'Исходник'!$1:$1,0)))</f>
        <v/>
      </c>
      <c r="K543" s="27" t="str">
        <f t="shared" si="3"/>
        <v/>
      </c>
      <c r="L543" s="1" t="str">
        <f t="array" ref="L543">IFERROR(INDEX('Исходник'!$1:$626,MATCH($A543,'Исходник'!$T:$T,0),MATCH(L$1,'Исходник'!$1:$1,0)))</f>
        <v/>
      </c>
      <c r="M543" s="28">
        <f t="shared" si="4"/>
        <v>0</v>
      </c>
      <c r="N543" s="1" t="str">
        <f t="array" ref="N543">IFERROR(INDEX('Исходник'!$1:$626,MATCH($A543,'Исходник'!$T:$T,0),MATCH(N$1,'Исходник'!$1:$1,0)))</f>
        <v/>
      </c>
      <c r="O543" s="27">
        <f t="shared" si="5"/>
        <v>0</v>
      </c>
      <c r="P543" s="27" t="str">
        <f t="shared" si="6"/>
        <v/>
      </c>
      <c r="Q543" s="1" t="str">
        <f t="array" ref="Q543">IFERROR(INDEX('Исходник'!$1:$626,MATCH($A543,'Исходник'!$T:$T,0),MATCH(Q$1,'Исходник'!$1:$1,0)))</f>
        <v/>
      </c>
      <c r="R543" s="1" t="str">
        <f t="array" ref="R543">IFERROR(INDEX('Исходник'!$1:$626,MATCH($A543,'Исходник'!$T:$T,0),MATCH(R$1,'Исходник'!$1:$1,0)))</f>
        <v/>
      </c>
      <c r="S543" s="27">
        <f t="shared" si="7"/>
        <v>0</v>
      </c>
      <c r="T543" s="27" t="str">
        <f t="shared" si="8"/>
        <v/>
      </c>
      <c r="U543" s="1" t="str">
        <f t="array" ref="U543">IFERROR(INDEX('Исходник'!$1:$626,MATCH($A543,'Исходник'!$T:$T,0),MATCH(U$1,'Исходник'!$1:$1,0)))</f>
        <v/>
      </c>
      <c r="V543" s="27" t="str">
        <f t="shared" si="9"/>
        <v/>
      </c>
      <c r="W543" s="1" t="str">
        <f t="array" ref="W543">IFERROR(INDEX('Исходник'!$1:$626,MATCH($A543,'Исходник'!$T:$T,0),MATCH(W$1,'Исходник'!$1:$1,0)))</f>
        <v/>
      </c>
      <c r="X543" s="28">
        <f t="shared" si="10"/>
        <v>0</v>
      </c>
      <c r="Y543" s="1" t="str">
        <f t="array" ref="Y543">IFERROR(INDEX('Исходник'!$1:$626,MATCH($A543,'Исходник'!$T:$T,0),MATCH(Y$1,'Исходник'!$1:$1,0)))</f>
        <v/>
      </c>
      <c r="Z543" s="27">
        <f t="shared" si="11"/>
        <v>0</v>
      </c>
      <c r="AA543" s="27" t="str">
        <f t="shared" si="12"/>
        <v/>
      </c>
      <c r="AB543" s="1" t="str">
        <f t="array" ref="AB543">IFERROR(INDEX('Исходник'!$1:$626,MATCH($A543,'Исходник'!$T:$T,0),MATCH(AB$1,'Исходник'!$1:$1,0)))</f>
        <v/>
      </c>
      <c r="AC543" s="1" t="str">
        <f t="array" ref="AC543">IFERROR(INDEX('Исходник'!$1:$626,MATCH($A543,'Исходник'!$T:$T,0),MATCH(AC$1,'Исходник'!$1:$1,0)))</f>
        <v/>
      </c>
      <c r="AD543" s="27" t="str">
        <f t="shared" si="13"/>
        <v/>
      </c>
      <c r="AE543" s="1" t="str">
        <f t="array" ref="AE543">IFERROR(INDEX('Исходник'!$1:$626,MATCH($A543,'Исходник'!$T:$T,0),MATCH(AE$1,'Исходник'!$1:$1,0)))</f>
        <v/>
      </c>
      <c r="AF543" s="1" t="str">
        <f t="array" ref="AF543">IFERROR(INDEX('Исходник'!$1:$626,MATCH($A543,'Исходник'!$T:$T,0),MATCH(AF$1,'Исходник'!$1:$1,0)))</f>
        <v/>
      </c>
      <c r="AG543" s="27" t="str">
        <f t="shared" si="14"/>
        <v/>
      </c>
      <c r="AH543" s="1" t="str">
        <f t="array" ref="AH543">IFERROR(INDEX('Исходник'!$1:$626,MATCH($A543,'Исходник'!$T:$T,0),MATCH(AH$1,'Исходник'!$1:$1,0)))</f>
        <v/>
      </c>
      <c r="AI543" s="1" t="str">
        <f t="array" ref="AI543">IFERROR(INDEX('Исходник'!$1:$626,MATCH($A543,'Исходник'!$T:$T,0),MATCH(AI$1,'Исходник'!$1:$1,0)))</f>
        <v/>
      </c>
      <c r="AJ543" s="18">
        <f t="shared" si="15"/>
        <v>0</v>
      </c>
    </row>
    <row r="544" ht="15.75" customHeight="1">
      <c r="A544" s="27"/>
      <c r="B544" s="1" t="str">
        <f t="array" ref="B544">IFERROR(INDEX('Исходник'!$1:$626,MATCH($A544,'Исходник'!$T:$T,0),MATCH(B$1,'Исходник'!$1:$1,0)))</f>
        <v/>
      </c>
      <c r="C544" s="1" t="str">
        <f t="array" ref="C544">IFERROR(INDEX('Исходник'!$1:$626,MATCH($A544,'Исходник'!$T:$T,0),MATCH(C$1,'Исходник'!$1:$1,0)))</f>
        <v/>
      </c>
      <c r="D544" s="1" t="str">
        <f t="array" ref="D544">IFERROR(INDEX('Исходник'!$1:$626,MATCH($A544,'Исходник'!$T:$T,0),MATCH(D$1,'Исходник'!$1:$1,0)))</f>
        <v/>
      </c>
      <c r="E544" s="1" t="str">
        <f t="array" ref="E544">IFERROR(INDEX('Исходник'!$1:$626,MATCH($A544,'Исходник'!$T:$T,0),MATCH(E$1,'Исходник'!$1:$1,0)))</f>
        <v/>
      </c>
      <c r="F544" s="1" t="str">
        <f t="array" ref="F544">IFERROR(INDEX('Исходник'!$1:$626,MATCH($A544,'Исходник'!$T:$T,0),MATCH(F$1,'Исходник'!$1:$1,0)))</f>
        <v/>
      </c>
      <c r="G544" s="1" t="str">
        <f t="array" ref="G544">IFERROR(INDEX('Исходник'!$1:$626,MATCH($A544,'Исходник'!$T:$T,0),MATCH(G$1,'Исходник'!$1:$1,0)))</f>
        <v/>
      </c>
      <c r="H544" s="27">
        <f t="shared" si="1"/>
        <v>0</v>
      </c>
      <c r="I544" s="27" t="str">
        <f t="shared" si="2"/>
        <v/>
      </c>
      <c r="J544" s="1" t="str">
        <f t="array" ref="J544">IFERROR(INDEX('Исходник'!$1:$626,MATCH($A544,'Исходник'!$T:$T,0),MATCH(J$1,'Исходник'!$1:$1,0)))</f>
        <v/>
      </c>
      <c r="K544" s="27" t="str">
        <f t="shared" si="3"/>
        <v/>
      </c>
      <c r="L544" s="1" t="str">
        <f t="array" ref="L544">IFERROR(INDEX('Исходник'!$1:$626,MATCH($A544,'Исходник'!$T:$T,0),MATCH(L$1,'Исходник'!$1:$1,0)))</f>
        <v/>
      </c>
      <c r="M544" s="28">
        <f t="shared" si="4"/>
        <v>0</v>
      </c>
      <c r="N544" s="1" t="str">
        <f t="array" ref="N544">IFERROR(INDEX('Исходник'!$1:$626,MATCH($A544,'Исходник'!$T:$T,0),MATCH(N$1,'Исходник'!$1:$1,0)))</f>
        <v/>
      </c>
      <c r="O544" s="27">
        <f t="shared" si="5"/>
        <v>0</v>
      </c>
      <c r="P544" s="27" t="str">
        <f t="shared" si="6"/>
        <v/>
      </c>
      <c r="Q544" s="1" t="str">
        <f t="array" ref="Q544">IFERROR(INDEX('Исходник'!$1:$626,MATCH($A544,'Исходник'!$T:$T,0),MATCH(Q$1,'Исходник'!$1:$1,0)))</f>
        <v/>
      </c>
      <c r="R544" s="1" t="str">
        <f t="array" ref="R544">IFERROR(INDEX('Исходник'!$1:$626,MATCH($A544,'Исходник'!$T:$T,0),MATCH(R$1,'Исходник'!$1:$1,0)))</f>
        <v/>
      </c>
      <c r="S544" s="27">
        <f t="shared" si="7"/>
        <v>0</v>
      </c>
      <c r="T544" s="27" t="str">
        <f t="shared" si="8"/>
        <v/>
      </c>
      <c r="U544" s="1" t="str">
        <f t="array" ref="U544">IFERROR(INDEX('Исходник'!$1:$626,MATCH($A544,'Исходник'!$T:$T,0),MATCH(U$1,'Исходник'!$1:$1,0)))</f>
        <v/>
      </c>
      <c r="V544" s="27" t="str">
        <f t="shared" si="9"/>
        <v/>
      </c>
      <c r="W544" s="1" t="str">
        <f t="array" ref="W544">IFERROR(INDEX('Исходник'!$1:$626,MATCH($A544,'Исходник'!$T:$T,0),MATCH(W$1,'Исходник'!$1:$1,0)))</f>
        <v/>
      </c>
      <c r="X544" s="28">
        <f t="shared" si="10"/>
        <v>0</v>
      </c>
      <c r="Y544" s="1" t="str">
        <f t="array" ref="Y544">IFERROR(INDEX('Исходник'!$1:$626,MATCH($A544,'Исходник'!$T:$T,0),MATCH(Y$1,'Исходник'!$1:$1,0)))</f>
        <v/>
      </c>
      <c r="Z544" s="27">
        <f t="shared" si="11"/>
        <v>0</v>
      </c>
      <c r="AA544" s="27" t="str">
        <f t="shared" si="12"/>
        <v/>
      </c>
      <c r="AB544" s="1" t="str">
        <f t="array" ref="AB544">IFERROR(INDEX('Исходник'!$1:$626,MATCH($A544,'Исходник'!$T:$T,0),MATCH(AB$1,'Исходник'!$1:$1,0)))</f>
        <v/>
      </c>
      <c r="AC544" s="1" t="str">
        <f t="array" ref="AC544">IFERROR(INDEX('Исходник'!$1:$626,MATCH($A544,'Исходник'!$T:$T,0),MATCH(AC$1,'Исходник'!$1:$1,0)))</f>
        <v/>
      </c>
      <c r="AD544" s="27" t="str">
        <f t="shared" si="13"/>
        <v/>
      </c>
      <c r="AE544" s="1" t="str">
        <f t="array" ref="AE544">IFERROR(INDEX('Исходник'!$1:$626,MATCH($A544,'Исходник'!$T:$T,0),MATCH(AE$1,'Исходник'!$1:$1,0)))</f>
        <v/>
      </c>
      <c r="AF544" s="1" t="str">
        <f t="array" ref="AF544">IFERROR(INDEX('Исходник'!$1:$626,MATCH($A544,'Исходник'!$T:$T,0),MATCH(AF$1,'Исходник'!$1:$1,0)))</f>
        <v/>
      </c>
      <c r="AG544" s="27" t="str">
        <f t="shared" si="14"/>
        <v/>
      </c>
      <c r="AH544" s="1" t="str">
        <f t="array" ref="AH544">IFERROR(INDEX('Исходник'!$1:$626,MATCH($A544,'Исходник'!$T:$T,0),MATCH(AH$1,'Исходник'!$1:$1,0)))</f>
        <v/>
      </c>
      <c r="AI544" s="1" t="str">
        <f t="array" ref="AI544">IFERROR(INDEX('Исходник'!$1:$626,MATCH($A544,'Исходник'!$T:$T,0),MATCH(AI$1,'Исходник'!$1:$1,0)))</f>
        <v/>
      </c>
      <c r="AJ544" s="18">
        <f t="shared" si="15"/>
        <v>0</v>
      </c>
    </row>
    <row r="545" ht="15.75" customHeight="1">
      <c r="A545" s="27"/>
      <c r="B545" s="1" t="str">
        <f t="array" ref="B545">IFERROR(INDEX('Исходник'!$1:$626,MATCH($A545,'Исходник'!$T:$T,0),MATCH(B$1,'Исходник'!$1:$1,0)))</f>
        <v/>
      </c>
      <c r="C545" s="1" t="str">
        <f t="array" ref="C545">IFERROR(INDEX('Исходник'!$1:$626,MATCH($A545,'Исходник'!$T:$T,0),MATCH(C$1,'Исходник'!$1:$1,0)))</f>
        <v/>
      </c>
      <c r="D545" s="1" t="str">
        <f t="array" ref="D545">IFERROR(INDEX('Исходник'!$1:$626,MATCH($A545,'Исходник'!$T:$T,0),MATCH(D$1,'Исходник'!$1:$1,0)))</f>
        <v/>
      </c>
      <c r="E545" s="1" t="str">
        <f t="array" ref="E545">IFERROR(INDEX('Исходник'!$1:$626,MATCH($A545,'Исходник'!$T:$T,0),MATCH(E$1,'Исходник'!$1:$1,0)))</f>
        <v/>
      </c>
      <c r="F545" s="1" t="str">
        <f t="array" ref="F545">IFERROR(INDEX('Исходник'!$1:$626,MATCH($A545,'Исходник'!$T:$T,0),MATCH(F$1,'Исходник'!$1:$1,0)))</f>
        <v/>
      </c>
      <c r="G545" s="1" t="str">
        <f t="array" ref="G545">IFERROR(INDEX('Исходник'!$1:$626,MATCH($A545,'Исходник'!$T:$T,0),MATCH(G$1,'Исходник'!$1:$1,0)))</f>
        <v/>
      </c>
      <c r="H545" s="27">
        <f t="shared" si="1"/>
        <v>0</v>
      </c>
      <c r="I545" s="27" t="str">
        <f t="shared" si="2"/>
        <v/>
      </c>
      <c r="J545" s="1" t="str">
        <f t="array" ref="J545">IFERROR(INDEX('Исходник'!$1:$626,MATCH($A545,'Исходник'!$T:$T,0),MATCH(J$1,'Исходник'!$1:$1,0)))</f>
        <v/>
      </c>
      <c r="K545" s="27" t="str">
        <f t="shared" si="3"/>
        <v/>
      </c>
      <c r="L545" s="1" t="str">
        <f t="array" ref="L545">IFERROR(INDEX('Исходник'!$1:$626,MATCH($A545,'Исходник'!$T:$T,0),MATCH(L$1,'Исходник'!$1:$1,0)))</f>
        <v/>
      </c>
      <c r="M545" s="28">
        <f t="shared" si="4"/>
        <v>0</v>
      </c>
      <c r="N545" s="1" t="str">
        <f t="array" ref="N545">IFERROR(INDEX('Исходник'!$1:$626,MATCH($A545,'Исходник'!$T:$T,0),MATCH(N$1,'Исходник'!$1:$1,0)))</f>
        <v/>
      </c>
      <c r="O545" s="27">
        <f t="shared" si="5"/>
        <v>0</v>
      </c>
      <c r="P545" s="27" t="str">
        <f t="shared" si="6"/>
        <v/>
      </c>
      <c r="Q545" s="1" t="str">
        <f t="array" ref="Q545">IFERROR(INDEX('Исходник'!$1:$626,MATCH($A545,'Исходник'!$T:$T,0),MATCH(Q$1,'Исходник'!$1:$1,0)))</f>
        <v/>
      </c>
      <c r="R545" s="1" t="str">
        <f t="array" ref="R545">IFERROR(INDEX('Исходник'!$1:$626,MATCH($A545,'Исходник'!$T:$T,0),MATCH(R$1,'Исходник'!$1:$1,0)))</f>
        <v/>
      </c>
      <c r="S545" s="27">
        <f t="shared" si="7"/>
        <v>0</v>
      </c>
      <c r="T545" s="27" t="str">
        <f t="shared" si="8"/>
        <v/>
      </c>
      <c r="U545" s="1" t="str">
        <f t="array" ref="U545">IFERROR(INDEX('Исходник'!$1:$626,MATCH($A545,'Исходник'!$T:$T,0),MATCH(U$1,'Исходник'!$1:$1,0)))</f>
        <v/>
      </c>
      <c r="V545" s="27" t="str">
        <f t="shared" si="9"/>
        <v/>
      </c>
      <c r="W545" s="1" t="str">
        <f t="array" ref="W545">IFERROR(INDEX('Исходник'!$1:$626,MATCH($A545,'Исходник'!$T:$T,0),MATCH(W$1,'Исходник'!$1:$1,0)))</f>
        <v/>
      </c>
      <c r="X545" s="28">
        <f t="shared" si="10"/>
        <v>0</v>
      </c>
      <c r="Y545" s="1" t="str">
        <f t="array" ref="Y545">IFERROR(INDEX('Исходник'!$1:$626,MATCH($A545,'Исходник'!$T:$T,0),MATCH(Y$1,'Исходник'!$1:$1,0)))</f>
        <v/>
      </c>
      <c r="Z545" s="27">
        <f t="shared" si="11"/>
        <v>0</v>
      </c>
      <c r="AA545" s="27" t="str">
        <f t="shared" si="12"/>
        <v/>
      </c>
      <c r="AB545" s="1" t="str">
        <f t="array" ref="AB545">IFERROR(INDEX('Исходник'!$1:$626,MATCH($A545,'Исходник'!$T:$T,0),MATCH(AB$1,'Исходник'!$1:$1,0)))</f>
        <v/>
      </c>
      <c r="AC545" s="1" t="str">
        <f t="array" ref="AC545">IFERROR(INDEX('Исходник'!$1:$626,MATCH($A545,'Исходник'!$T:$T,0),MATCH(AC$1,'Исходник'!$1:$1,0)))</f>
        <v/>
      </c>
      <c r="AD545" s="27" t="str">
        <f t="shared" si="13"/>
        <v/>
      </c>
      <c r="AE545" s="1" t="str">
        <f t="array" ref="AE545">IFERROR(INDEX('Исходник'!$1:$626,MATCH($A545,'Исходник'!$T:$T,0),MATCH(AE$1,'Исходник'!$1:$1,0)))</f>
        <v/>
      </c>
      <c r="AF545" s="1" t="str">
        <f t="array" ref="AF545">IFERROR(INDEX('Исходник'!$1:$626,MATCH($A545,'Исходник'!$T:$T,0),MATCH(AF$1,'Исходник'!$1:$1,0)))</f>
        <v/>
      </c>
      <c r="AG545" s="27" t="str">
        <f t="shared" si="14"/>
        <v/>
      </c>
      <c r="AH545" s="1" t="str">
        <f t="array" ref="AH545">IFERROR(INDEX('Исходник'!$1:$626,MATCH($A545,'Исходник'!$T:$T,0),MATCH(AH$1,'Исходник'!$1:$1,0)))</f>
        <v/>
      </c>
      <c r="AI545" s="1" t="str">
        <f t="array" ref="AI545">IFERROR(INDEX('Исходник'!$1:$626,MATCH($A545,'Исходник'!$T:$T,0),MATCH(AI$1,'Исходник'!$1:$1,0)))</f>
        <v/>
      </c>
      <c r="AJ545" s="18">
        <f t="shared" si="15"/>
        <v>0</v>
      </c>
    </row>
    <row r="546" ht="15.75" customHeight="1">
      <c r="A546" s="27"/>
      <c r="B546" s="1" t="str">
        <f t="array" ref="B546">IFERROR(INDEX('Исходник'!$1:$626,MATCH($A546,'Исходник'!$T:$T,0),MATCH(B$1,'Исходник'!$1:$1,0)))</f>
        <v/>
      </c>
      <c r="C546" s="1" t="str">
        <f t="array" ref="C546">IFERROR(INDEX('Исходник'!$1:$626,MATCH($A546,'Исходник'!$T:$T,0),MATCH(C$1,'Исходник'!$1:$1,0)))</f>
        <v/>
      </c>
      <c r="D546" s="1" t="str">
        <f t="array" ref="D546">IFERROR(INDEX('Исходник'!$1:$626,MATCH($A546,'Исходник'!$T:$T,0),MATCH(D$1,'Исходник'!$1:$1,0)))</f>
        <v/>
      </c>
      <c r="E546" s="1" t="str">
        <f t="array" ref="E546">IFERROR(INDEX('Исходник'!$1:$626,MATCH($A546,'Исходник'!$T:$T,0),MATCH(E$1,'Исходник'!$1:$1,0)))</f>
        <v/>
      </c>
      <c r="F546" s="1" t="str">
        <f t="array" ref="F546">IFERROR(INDEX('Исходник'!$1:$626,MATCH($A546,'Исходник'!$T:$T,0),MATCH(F$1,'Исходник'!$1:$1,0)))</f>
        <v/>
      </c>
      <c r="G546" s="1" t="str">
        <f t="array" ref="G546">IFERROR(INDEX('Исходник'!$1:$626,MATCH($A546,'Исходник'!$T:$T,0),MATCH(G$1,'Исходник'!$1:$1,0)))</f>
        <v/>
      </c>
      <c r="H546" s="27">
        <f t="shared" si="1"/>
        <v>0</v>
      </c>
      <c r="I546" s="27" t="str">
        <f t="shared" si="2"/>
        <v/>
      </c>
      <c r="J546" s="1" t="str">
        <f t="array" ref="J546">IFERROR(INDEX('Исходник'!$1:$626,MATCH($A546,'Исходник'!$T:$T,0),MATCH(J$1,'Исходник'!$1:$1,0)))</f>
        <v/>
      </c>
      <c r="K546" s="27" t="str">
        <f t="shared" si="3"/>
        <v/>
      </c>
      <c r="L546" s="1" t="str">
        <f t="array" ref="L546">IFERROR(INDEX('Исходник'!$1:$626,MATCH($A546,'Исходник'!$T:$T,0),MATCH(L$1,'Исходник'!$1:$1,0)))</f>
        <v/>
      </c>
      <c r="M546" s="28">
        <f t="shared" si="4"/>
        <v>0</v>
      </c>
      <c r="N546" s="1" t="str">
        <f t="array" ref="N546">IFERROR(INDEX('Исходник'!$1:$626,MATCH($A546,'Исходник'!$T:$T,0),MATCH(N$1,'Исходник'!$1:$1,0)))</f>
        <v/>
      </c>
      <c r="O546" s="27">
        <f t="shared" si="5"/>
        <v>0</v>
      </c>
      <c r="P546" s="27" t="str">
        <f t="shared" si="6"/>
        <v/>
      </c>
      <c r="Q546" s="1" t="str">
        <f t="array" ref="Q546">IFERROR(INDEX('Исходник'!$1:$626,MATCH($A546,'Исходник'!$T:$T,0),MATCH(Q$1,'Исходник'!$1:$1,0)))</f>
        <v/>
      </c>
      <c r="R546" s="1" t="str">
        <f t="array" ref="R546">IFERROR(INDEX('Исходник'!$1:$626,MATCH($A546,'Исходник'!$T:$T,0),MATCH(R$1,'Исходник'!$1:$1,0)))</f>
        <v/>
      </c>
      <c r="S546" s="27">
        <f t="shared" si="7"/>
        <v>0</v>
      </c>
      <c r="T546" s="27" t="str">
        <f t="shared" si="8"/>
        <v/>
      </c>
      <c r="U546" s="1" t="str">
        <f t="array" ref="U546">IFERROR(INDEX('Исходник'!$1:$626,MATCH($A546,'Исходник'!$T:$T,0),MATCH(U$1,'Исходник'!$1:$1,0)))</f>
        <v/>
      </c>
      <c r="V546" s="27" t="str">
        <f t="shared" si="9"/>
        <v/>
      </c>
      <c r="W546" s="1" t="str">
        <f t="array" ref="W546">IFERROR(INDEX('Исходник'!$1:$626,MATCH($A546,'Исходник'!$T:$T,0),MATCH(W$1,'Исходник'!$1:$1,0)))</f>
        <v/>
      </c>
      <c r="X546" s="28">
        <f t="shared" si="10"/>
        <v>0</v>
      </c>
      <c r="Y546" s="1" t="str">
        <f t="array" ref="Y546">IFERROR(INDEX('Исходник'!$1:$626,MATCH($A546,'Исходник'!$T:$T,0),MATCH(Y$1,'Исходник'!$1:$1,0)))</f>
        <v/>
      </c>
      <c r="Z546" s="27">
        <f t="shared" si="11"/>
        <v>0</v>
      </c>
      <c r="AA546" s="27" t="str">
        <f t="shared" si="12"/>
        <v/>
      </c>
      <c r="AB546" s="1" t="str">
        <f t="array" ref="AB546">IFERROR(INDEX('Исходник'!$1:$626,MATCH($A546,'Исходник'!$T:$T,0),MATCH(AB$1,'Исходник'!$1:$1,0)))</f>
        <v/>
      </c>
      <c r="AC546" s="1" t="str">
        <f t="array" ref="AC546">IFERROR(INDEX('Исходник'!$1:$626,MATCH($A546,'Исходник'!$T:$T,0),MATCH(AC$1,'Исходник'!$1:$1,0)))</f>
        <v/>
      </c>
      <c r="AD546" s="27" t="str">
        <f t="shared" si="13"/>
        <v/>
      </c>
      <c r="AE546" s="1" t="str">
        <f t="array" ref="AE546">IFERROR(INDEX('Исходник'!$1:$626,MATCH($A546,'Исходник'!$T:$T,0),MATCH(AE$1,'Исходник'!$1:$1,0)))</f>
        <v/>
      </c>
      <c r="AF546" s="1" t="str">
        <f t="array" ref="AF546">IFERROR(INDEX('Исходник'!$1:$626,MATCH($A546,'Исходник'!$T:$T,0),MATCH(AF$1,'Исходник'!$1:$1,0)))</f>
        <v/>
      </c>
      <c r="AG546" s="27" t="str">
        <f t="shared" si="14"/>
        <v/>
      </c>
      <c r="AH546" s="1" t="str">
        <f t="array" ref="AH546">IFERROR(INDEX('Исходник'!$1:$626,MATCH($A546,'Исходник'!$T:$T,0),MATCH(AH$1,'Исходник'!$1:$1,0)))</f>
        <v/>
      </c>
      <c r="AI546" s="1" t="str">
        <f t="array" ref="AI546">IFERROR(INDEX('Исходник'!$1:$626,MATCH($A546,'Исходник'!$T:$T,0),MATCH(AI$1,'Исходник'!$1:$1,0)))</f>
        <v/>
      </c>
      <c r="AJ546" s="18">
        <f t="shared" si="15"/>
        <v>0</v>
      </c>
    </row>
    <row r="547" ht="15.75" customHeight="1">
      <c r="A547" s="27"/>
      <c r="B547" s="1" t="str">
        <f t="array" ref="B547">IFERROR(INDEX('Исходник'!$1:$626,MATCH($A547,'Исходник'!$T:$T,0),MATCH(B$1,'Исходник'!$1:$1,0)))</f>
        <v/>
      </c>
      <c r="C547" s="1" t="str">
        <f t="array" ref="C547">IFERROR(INDEX('Исходник'!$1:$626,MATCH($A547,'Исходник'!$T:$T,0),MATCH(C$1,'Исходник'!$1:$1,0)))</f>
        <v/>
      </c>
      <c r="D547" s="1" t="str">
        <f t="array" ref="D547">IFERROR(INDEX('Исходник'!$1:$626,MATCH($A547,'Исходник'!$T:$T,0),MATCH(D$1,'Исходник'!$1:$1,0)))</f>
        <v/>
      </c>
      <c r="E547" s="1" t="str">
        <f t="array" ref="E547">IFERROR(INDEX('Исходник'!$1:$626,MATCH($A547,'Исходник'!$T:$T,0),MATCH(E$1,'Исходник'!$1:$1,0)))</f>
        <v/>
      </c>
      <c r="F547" s="1" t="str">
        <f t="array" ref="F547">IFERROR(INDEX('Исходник'!$1:$626,MATCH($A547,'Исходник'!$T:$T,0),MATCH(F$1,'Исходник'!$1:$1,0)))</f>
        <v/>
      </c>
      <c r="G547" s="1" t="str">
        <f t="array" ref="G547">IFERROR(INDEX('Исходник'!$1:$626,MATCH($A547,'Исходник'!$T:$T,0),MATCH(G$1,'Исходник'!$1:$1,0)))</f>
        <v/>
      </c>
      <c r="H547" s="27">
        <f t="shared" si="1"/>
        <v>0</v>
      </c>
      <c r="I547" s="27" t="str">
        <f t="shared" si="2"/>
        <v/>
      </c>
      <c r="J547" s="1" t="str">
        <f t="array" ref="J547">IFERROR(INDEX('Исходник'!$1:$626,MATCH($A547,'Исходник'!$T:$T,0),MATCH(J$1,'Исходник'!$1:$1,0)))</f>
        <v/>
      </c>
      <c r="K547" s="27" t="str">
        <f t="shared" si="3"/>
        <v/>
      </c>
      <c r="L547" s="1" t="str">
        <f t="array" ref="L547">IFERROR(INDEX('Исходник'!$1:$626,MATCH($A547,'Исходник'!$T:$T,0),MATCH(L$1,'Исходник'!$1:$1,0)))</f>
        <v/>
      </c>
      <c r="M547" s="28">
        <f t="shared" si="4"/>
        <v>0</v>
      </c>
      <c r="N547" s="1" t="str">
        <f t="array" ref="N547">IFERROR(INDEX('Исходник'!$1:$626,MATCH($A547,'Исходник'!$T:$T,0),MATCH(N$1,'Исходник'!$1:$1,0)))</f>
        <v/>
      </c>
      <c r="O547" s="27">
        <f t="shared" si="5"/>
        <v>0</v>
      </c>
      <c r="P547" s="27" t="str">
        <f t="shared" si="6"/>
        <v/>
      </c>
      <c r="Q547" s="1" t="str">
        <f t="array" ref="Q547">IFERROR(INDEX('Исходник'!$1:$626,MATCH($A547,'Исходник'!$T:$T,0),MATCH(Q$1,'Исходник'!$1:$1,0)))</f>
        <v/>
      </c>
      <c r="R547" s="1" t="str">
        <f t="array" ref="R547">IFERROR(INDEX('Исходник'!$1:$626,MATCH($A547,'Исходник'!$T:$T,0),MATCH(R$1,'Исходник'!$1:$1,0)))</f>
        <v/>
      </c>
      <c r="S547" s="27">
        <f t="shared" si="7"/>
        <v>0</v>
      </c>
      <c r="T547" s="27" t="str">
        <f t="shared" si="8"/>
        <v/>
      </c>
      <c r="U547" s="1" t="str">
        <f t="array" ref="U547">IFERROR(INDEX('Исходник'!$1:$626,MATCH($A547,'Исходник'!$T:$T,0),MATCH(U$1,'Исходник'!$1:$1,0)))</f>
        <v/>
      </c>
      <c r="V547" s="27" t="str">
        <f t="shared" si="9"/>
        <v/>
      </c>
      <c r="W547" s="1" t="str">
        <f t="array" ref="W547">IFERROR(INDEX('Исходник'!$1:$626,MATCH($A547,'Исходник'!$T:$T,0),MATCH(W$1,'Исходник'!$1:$1,0)))</f>
        <v/>
      </c>
      <c r="X547" s="28">
        <f t="shared" si="10"/>
        <v>0</v>
      </c>
      <c r="Y547" s="1" t="str">
        <f t="array" ref="Y547">IFERROR(INDEX('Исходник'!$1:$626,MATCH($A547,'Исходник'!$T:$T,0),MATCH(Y$1,'Исходник'!$1:$1,0)))</f>
        <v/>
      </c>
      <c r="Z547" s="27">
        <f t="shared" si="11"/>
        <v>0</v>
      </c>
      <c r="AA547" s="27" t="str">
        <f t="shared" si="12"/>
        <v/>
      </c>
      <c r="AB547" s="1" t="str">
        <f t="array" ref="AB547">IFERROR(INDEX('Исходник'!$1:$626,MATCH($A547,'Исходник'!$T:$T,0),MATCH(AB$1,'Исходник'!$1:$1,0)))</f>
        <v/>
      </c>
      <c r="AC547" s="1" t="str">
        <f t="array" ref="AC547">IFERROR(INDEX('Исходник'!$1:$626,MATCH($A547,'Исходник'!$T:$T,0),MATCH(AC$1,'Исходник'!$1:$1,0)))</f>
        <v/>
      </c>
      <c r="AD547" s="27" t="str">
        <f t="shared" si="13"/>
        <v/>
      </c>
      <c r="AE547" s="1" t="str">
        <f t="array" ref="AE547">IFERROR(INDEX('Исходник'!$1:$626,MATCH($A547,'Исходник'!$T:$T,0),MATCH(AE$1,'Исходник'!$1:$1,0)))</f>
        <v/>
      </c>
      <c r="AF547" s="1" t="str">
        <f t="array" ref="AF547">IFERROR(INDEX('Исходник'!$1:$626,MATCH($A547,'Исходник'!$T:$T,0),MATCH(AF$1,'Исходник'!$1:$1,0)))</f>
        <v/>
      </c>
      <c r="AG547" s="27" t="str">
        <f t="shared" si="14"/>
        <v/>
      </c>
      <c r="AH547" s="1" t="str">
        <f t="array" ref="AH547">IFERROR(INDEX('Исходник'!$1:$626,MATCH($A547,'Исходник'!$T:$T,0),MATCH(AH$1,'Исходник'!$1:$1,0)))</f>
        <v/>
      </c>
      <c r="AI547" s="1" t="str">
        <f t="array" ref="AI547">IFERROR(INDEX('Исходник'!$1:$626,MATCH($A547,'Исходник'!$T:$T,0),MATCH(AI$1,'Исходник'!$1:$1,0)))</f>
        <v/>
      </c>
      <c r="AJ547" s="18">
        <f t="shared" si="15"/>
        <v>0</v>
      </c>
    </row>
    <row r="548" ht="15.75" customHeight="1">
      <c r="A548" s="27"/>
      <c r="B548" s="1" t="str">
        <f t="array" ref="B548">IFERROR(INDEX('Исходник'!$1:$626,MATCH($A548,'Исходник'!$T:$T,0),MATCH(B$1,'Исходник'!$1:$1,0)))</f>
        <v/>
      </c>
      <c r="C548" s="1" t="str">
        <f t="array" ref="C548">IFERROR(INDEX('Исходник'!$1:$626,MATCH($A548,'Исходник'!$T:$T,0),MATCH(C$1,'Исходник'!$1:$1,0)))</f>
        <v/>
      </c>
      <c r="D548" s="1" t="str">
        <f t="array" ref="D548">IFERROR(INDEX('Исходник'!$1:$626,MATCH($A548,'Исходник'!$T:$T,0),MATCH(D$1,'Исходник'!$1:$1,0)))</f>
        <v/>
      </c>
      <c r="E548" s="1" t="str">
        <f t="array" ref="E548">IFERROR(INDEX('Исходник'!$1:$626,MATCH($A548,'Исходник'!$T:$T,0),MATCH(E$1,'Исходник'!$1:$1,0)))</f>
        <v/>
      </c>
      <c r="F548" s="1" t="str">
        <f t="array" ref="F548">IFERROR(INDEX('Исходник'!$1:$626,MATCH($A548,'Исходник'!$T:$T,0),MATCH(F$1,'Исходник'!$1:$1,0)))</f>
        <v/>
      </c>
      <c r="G548" s="1" t="str">
        <f t="array" ref="G548">IFERROR(INDEX('Исходник'!$1:$626,MATCH($A548,'Исходник'!$T:$T,0),MATCH(G$1,'Исходник'!$1:$1,0)))</f>
        <v/>
      </c>
      <c r="H548" s="27">
        <f t="shared" si="1"/>
        <v>0</v>
      </c>
      <c r="I548" s="27" t="str">
        <f t="shared" si="2"/>
        <v/>
      </c>
      <c r="J548" s="1" t="str">
        <f t="array" ref="J548">IFERROR(INDEX('Исходник'!$1:$626,MATCH($A548,'Исходник'!$T:$T,0),MATCH(J$1,'Исходник'!$1:$1,0)))</f>
        <v/>
      </c>
      <c r="K548" s="27" t="str">
        <f t="shared" si="3"/>
        <v/>
      </c>
      <c r="L548" s="1" t="str">
        <f t="array" ref="L548">IFERROR(INDEX('Исходник'!$1:$626,MATCH($A548,'Исходник'!$T:$T,0),MATCH(L$1,'Исходник'!$1:$1,0)))</f>
        <v/>
      </c>
      <c r="M548" s="28">
        <f t="shared" si="4"/>
        <v>0</v>
      </c>
      <c r="N548" s="1" t="str">
        <f t="array" ref="N548">IFERROR(INDEX('Исходник'!$1:$626,MATCH($A548,'Исходник'!$T:$T,0),MATCH(N$1,'Исходник'!$1:$1,0)))</f>
        <v/>
      </c>
      <c r="O548" s="27">
        <f t="shared" si="5"/>
        <v>0</v>
      </c>
      <c r="P548" s="27" t="str">
        <f t="shared" si="6"/>
        <v/>
      </c>
      <c r="Q548" s="1" t="str">
        <f t="array" ref="Q548">IFERROR(INDEX('Исходник'!$1:$626,MATCH($A548,'Исходник'!$T:$T,0),MATCH(Q$1,'Исходник'!$1:$1,0)))</f>
        <v/>
      </c>
      <c r="R548" s="1" t="str">
        <f t="array" ref="R548">IFERROR(INDEX('Исходник'!$1:$626,MATCH($A548,'Исходник'!$T:$T,0),MATCH(R$1,'Исходник'!$1:$1,0)))</f>
        <v/>
      </c>
      <c r="S548" s="27">
        <f t="shared" si="7"/>
        <v>0</v>
      </c>
      <c r="T548" s="27" t="str">
        <f t="shared" si="8"/>
        <v/>
      </c>
      <c r="U548" s="1" t="str">
        <f t="array" ref="U548">IFERROR(INDEX('Исходник'!$1:$626,MATCH($A548,'Исходник'!$T:$T,0),MATCH(U$1,'Исходник'!$1:$1,0)))</f>
        <v/>
      </c>
      <c r="V548" s="27" t="str">
        <f t="shared" si="9"/>
        <v/>
      </c>
      <c r="W548" s="1" t="str">
        <f t="array" ref="W548">IFERROR(INDEX('Исходник'!$1:$626,MATCH($A548,'Исходник'!$T:$T,0),MATCH(W$1,'Исходник'!$1:$1,0)))</f>
        <v/>
      </c>
      <c r="X548" s="28">
        <f t="shared" si="10"/>
        <v>0</v>
      </c>
      <c r="Y548" s="1" t="str">
        <f t="array" ref="Y548">IFERROR(INDEX('Исходник'!$1:$626,MATCH($A548,'Исходник'!$T:$T,0),MATCH(Y$1,'Исходник'!$1:$1,0)))</f>
        <v/>
      </c>
      <c r="Z548" s="27">
        <f t="shared" si="11"/>
        <v>0</v>
      </c>
      <c r="AA548" s="27" t="str">
        <f t="shared" si="12"/>
        <v/>
      </c>
      <c r="AB548" s="1" t="str">
        <f t="array" ref="AB548">IFERROR(INDEX('Исходник'!$1:$626,MATCH($A548,'Исходник'!$T:$T,0),MATCH(AB$1,'Исходник'!$1:$1,0)))</f>
        <v/>
      </c>
      <c r="AC548" s="1" t="str">
        <f t="array" ref="AC548">IFERROR(INDEX('Исходник'!$1:$626,MATCH($A548,'Исходник'!$T:$T,0),MATCH(AC$1,'Исходник'!$1:$1,0)))</f>
        <v/>
      </c>
      <c r="AD548" s="27" t="str">
        <f t="shared" si="13"/>
        <v/>
      </c>
      <c r="AE548" s="1" t="str">
        <f t="array" ref="AE548">IFERROR(INDEX('Исходник'!$1:$626,MATCH($A548,'Исходник'!$T:$T,0),MATCH(AE$1,'Исходник'!$1:$1,0)))</f>
        <v/>
      </c>
      <c r="AF548" s="1" t="str">
        <f t="array" ref="AF548">IFERROR(INDEX('Исходник'!$1:$626,MATCH($A548,'Исходник'!$T:$T,0),MATCH(AF$1,'Исходник'!$1:$1,0)))</f>
        <v/>
      </c>
      <c r="AG548" s="27" t="str">
        <f t="shared" si="14"/>
        <v/>
      </c>
      <c r="AH548" s="1" t="str">
        <f t="array" ref="AH548">IFERROR(INDEX('Исходник'!$1:$626,MATCH($A548,'Исходник'!$T:$T,0),MATCH(AH$1,'Исходник'!$1:$1,0)))</f>
        <v/>
      </c>
      <c r="AI548" s="1" t="str">
        <f t="array" ref="AI548">IFERROR(INDEX('Исходник'!$1:$626,MATCH($A548,'Исходник'!$T:$T,0),MATCH(AI$1,'Исходник'!$1:$1,0)))</f>
        <v/>
      </c>
      <c r="AJ548" s="18">
        <f t="shared" si="15"/>
        <v>0</v>
      </c>
    </row>
    <row r="549" ht="15.75" customHeight="1">
      <c r="A549" s="27"/>
      <c r="B549" s="1" t="str">
        <f t="array" ref="B549">IFERROR(INDEX('Исходник'!$1:$626,MATCH($A549,'Исходник'!$T:$T,0),MATCH(B$1,'Исходник'!$1:$1,0)))</f>
        <v/>
      </c>
      <c r="C549" s="1" t="str">
        <f t="array" ref="C549">IFERROR(INDEX('Исходник'!$1:$626,MATCH($A549,'Исходник'!$T:$T,0),MATCH(C$1,'Исходник'!$1:$1,0)))</f>
        <v/>
      </c>
      <c r="D549" s="1" t="str">
        <f t="array" ref="D549">IFERROR(INDEX('Исходник'!$1:$626,MATCH($A549,'Исходник'!$T:$T,0),MATCH(D$1,'Исходник'!$1:$1,0)))</f>
        <v/>
      </c>
      <c r="E549" s="1" t="str">
        <f t="array" ref="E549">IFERROR(INDEX('Исходник'!$1:$626,MATCH($A549,'Исходник'!$T:$T,0),MATCH(E$1,'Исходник'!$1:$1,0)))</f>
        <v/>
      </c>
      <c r="F549" s="1" t="str">
        <f t="array" ref="F549">IFERROR(INDEX('Исходник'!$1:$626,MATCH($A549,'Исходник'!$T:$T,0),MATCH(F$1,'Исходник'!$1:$1,0)))</f>
        <v/>
      </c>
      <c r="G549" s="1" t="str">
        <f t="array" ref="G549">IFERROR(INDEX('Исходник'!$1:$626,MATCH($A549,'Исходник'!$T:$T,0),MATCH(G$1,'Исходник'!$1:$1,0)))</f>
        <v/>
      </c>
      <c r="H549" s="27">
        <f t="shared" si="1"/>
        <v>0</v>
      </c>
      <c r="I549" s="27" t="str">
        <f t="shared" si="2"/>
        <v/>
      </c>
      <c r="J549" s="1" t="str">
        <f t="array" ref="J549">IFERROR(INDEX('Исходник'!$1:$626,MATCH($A549,'Исходник'!$T:$T,0),MATCH(J$1,'Исходник'!$1:$1,0)))</f>
        <v/>
      </c>
      <c r="K549" s="27" t="str">
        <f t="shared" si="3"/>
        <v/>
      </c>
      <c r="L549" s="1" t="str">
        <f t="array" ref="L549">IFERROR(INDEX('Исходник'!$1:$626,MATCH($A549,'Исходник'!$T:$T,0),MATCH(L$1,'Исходник'!$1:$1,0)))</f>
        <v/>
      </c>
      <c r="M549" s="28">
        <f t="shared" si="4"/>
        <v>0</v>
      </c>
      <c r="N549" s="1" t="str">
        <f t="array" ref="N549">IFERROR(INDEX('Исходник'!$1:$626,MATCH($A549,'Исходник'!$T:$T,0),MATCH(N$1,'Исходник'!$1:$1,0)))</f>
        <v/>
      </c>
      <c r="O549" s="27">
        <f t="shared" si="5"/>
        <v>0</v>
      </c>
      <c r="P549" s="27" t="str">
        <f t="shared" si="6"/>
        <v/>
      </c>
      <c r="Q549" s="1" t="str">
        <f t="array" ref="Q549">IFERROR(INDEX('Исходник'!$1:$626,MATCH($A549,'Исходник'!$T:$T,0),MATCH(Q$1,'Исходник'!$1:$1,0)))</f>
        <v/>
      </c>
      <c r="R549" s="1" t="str">
        <f t="array" ref="R549">IFERROR(INDEX('Исходник'!$1:$626,MATCH($A549,'Исходник'!$T:$T,0),MATCH(R$1,'Исходник'!$1:$1,0)))</f>
        <v/>
      </c>
      <c r="S549" s="27">
        <f t="shared" si="7"/>
        <v>0</v>
      </c>
      <c r="T549" s="27" t="str">
        <f t="shared" si="8"/>
        <v/>
      </c>
      <c r="U549" s="1" t="str">
        <f t="array" ref="U549">IFERROR(INDEX('Исходник'!$1:$626,MATCH($A549,'Исходник'!$T:$T,0),MATCH(U$1,'Исходник'!$1:$1,0)))</f>
        <v/>
      </c>
      <c r="V549" s="27" t="str">
        <f t="shared" si="9"/>
        <v/>
      </c>
      <c r="W549" s="1" t="str">
        <f t="array" ref="W549">IFERROR(INDEX('Исходник'!$1:$626,MATCH($A549,'Исходник'!$T:$T,0),MATCH(W$1,'Исходник'!$1:$1,0)))</f>
        <v/>
      </c>
      <c r="X549" s="28">
        <f t="shared" si="10"/>
        <v>0</v>
      </c>
      <c r="Y549" s="1" t="str">
        <f t="array" ref="Y549">IFERROR(INDEX('Исходник'!$1:$626,MATCH($A549,'Исходник'!$T:$T,0),MATCH(Y$1,'Исходник'!$1:$1,0)))</f>
        <v/>
      </c>
      <c r="Z549" s="27">
        <f t="shared" si="11"/>
        <v>0</v>
      </c>
      <c r="AA549" s="27" t="str">
        <f t="shared" si="12"/>
        <v/>
      </c>
      <c r="AB549" s="1" t="str">
        <f t="array" ref="AB549">IFERROR(INDEX('Исходник'!$1:$626,MATCH($A549,'Исходник'!$T:$T,0),MATCH(AB$1,'Исходник'!$1:$1,0)))</f>
        <v/>
      </c>
      <c r="AC549" s="1" t="str">
        <f t="array" ref="AC549">IFERROR(INDEX('Исходник'!$1:$626,MATCH($A549,'Исходник'!$T:$T,0),MATCH(AC$1,'Исходник'!$1:$1,0)))</f>
        <v/>
      </c>
      <c r="AD549" s="27" t="str">
        <f t="shared" si="13"/>
        <v/>
      </c>
      <c r="AE549" s="1" t="str">
        <f t="array" ref="AE549">IFERROR(INDEX('Исходник'!$1:$626,MATCH($A549,'Исходник'!$T:$T,0),MATCH(AE$1,'Исходник'!$1:$1,0)))</f>
        <v/>
      </c>
      <c r="AF549" s="1" t="str">
        <f t="array" ref="AF549">IFERROR(INDEX('Исходник'!$1:$626,MATCH($A549,'Исходник'!$T:$T,0),MATCH(AF$1,'Исходник'!$1:$1,0)))</f>
        <v/>
      </c>
      <c r="AG549" s="27" t="str">
        <f t="shared" si="14"/>
        <v/>
      </c>
      <c r="AH549" s="1" t="str">
        <f t="array" ref="AH549">IFERROR(INDEX('Исходник'!$1:$626,MATCH($A549,'Исходник'!$T:$T,0),MATCH(AH$1,'Исходник'!$1:$1,0)))</f>
        <v/>
      </c>
      <c r="AI549" s="1" t="str">
        <f t="array" ref="AI549">IFERROR(INDEX('Исходник'!$1:$626,MATCH($A549,'Исходник'!$T:$T,0),MATCH(AI$1,'Исходник'!$1:$1,0)))</f>
        <v/>
      </c>
      <c r="AJ549" s="18">
        <f t="shared" si="15"/>
        <v>0</v>
      </c>
    </row>
    <row r="550" ht="15.75" customHeight="1">
      <c r="A550" s="27"/>
      <c r="B550" s="1" t="str">
        <f t="array" ref="B550">IFERROR(INDEX('Исходник'!$1:$626,MATCH($A550,'Исходник'!$T:$T,0),MATCH(B$1,'Исходник'!$1:$1,0)))</f>
        <v/>
      </c>
      <c r="C550" s="1" t="str">
        <f t="array" ref="C550">IFERROR(INDEX('Исходник'!$1:$626,MATCH($A550,'Исходник'!$T:$T,0),MATCH(C$1,'Исходник'!$1:$1,0)))</f>
        <v/>
      </c>
      <c r="D550" s="1" t="str">
        <f t="array" ref="D550">IFERROR(INDEX('Исходник'!$1:$626,MATCH($A550,'Исходник'!$T:$T,0),MATCH(D$1,'Исходник'!$1:$1,0)))</f>
        <v/>
      </c>
      <c r="E550" s="1" t="str">
        <f t="array" ref="E550">IFERROR(INDEX('Исходник'!$1:$626,MATCH($A550,'Исходник'!$T:$T,0),MATCH(E$1,'Исходник'!$1:$1,0)))</f>
        <v/>
      </c>
      <c r="F550" s="1" t="str">
        <f t="array" ref="F550">IFERROR(INDEX('Исходник'!$1:$626,MATCH($A550,'Исходник'!$T:$T,0),MATCH(F$1,'Исходник'!$1:$1,0)))</f>
        <v/>
      </c>
      <c r="G550" s="1" t="str">
        <f t="array" ref="G550">IFERROR(INDEX('Исходник'!$1:$626,MATCH($A550,'Исходник'!$T:$T,0),MATCH(G$1,'Исходник'!$1:$1,0)))</f>
        <v/>
      </c>
      <c r="H550" s="27">
        <f t="shared" si="1"/>
        <v>0</v>
      </c>
      <c r="I550" s="27" t="str">
        <f t="shared" si="2"/>
        <v/>
      </c>
      <c r="J550" s="1" t="str">
        <f t="array" ref="J550">IFERROR(INDEX('Исходник'!$1:$626,MATCH($A550,'Исходник'!$T:$T,0),MATCH(J$1,'Исходник'!$1:$1,0)))</f>
        <v/>
      </c>
      <c r="K550" s="27" t="str">
        <f t="shared" si="3"/>
        <v/>
      </c>
      <c r="L550" s="1" t="str">
        <f t="array" ref="L550">IFERROR(INDEX('Исходник'!$1:$626,MATCH($A550,'Исходник'!$T:$T,0),MATCH(L$1,'Исходник'!$1:$1,0)))</f>
        <v/>
      </c>
      <c r="M550" s="28">
        <f t="shared" si="4"/>
        <v>0</v>
      </c>
      <c r="N550" s="1" t="str">
        <f t="array" ref="N550">IFERROR(INDEX('Исходник'!$1:$626,MATCH($A550,'Исходник'!$T:$T,0),MATCH(N$1,'Исходник'!$1:$1,0)))</f>
        <v/>
      </c>
      <c r="O550" s="27">
        <f t="shared" si="5"/>
        <v>0</v>
      </c>
      <c r="P550" s="27" t="str">
        <f t="shared" si="6"/>
        <v/>
      </c>
      <c r="Q550" s="1" t="str">
        <f t="array" ref="Q550">IFERROR(INDEX('Исходник'!$1:$626,MATCH($A550,'Исходник'!$T:$T,0),MATCH(Q$1,'Исходник'!$1:$1,0)))</f>
        <v/>
      </c>
      <c r="R550" s="1" t="str">
        <f t="array" ref="R550">IFERROR(INDEX('Исходник'!$1:$626,MATCH($A550,'Исходник'!$T:$T,0),MATCH(R$1,'Исходник'!$1:$1,0)))</f>
        <v/>
      </c>
      <c r="S550" s="27">
        <f t="shared" si="7"/>
        <v>0</v>
      </c>
      <c r="T550" s="27" t="str">
        <f t="shared" si="8"/>
        <v/>
      </c>
      <c r="U550" s="1" t="str">
        <f t="array" ref="U550">IFERROR(INDEX('Исходник'!$1:$626,MATCH($A550,'Исходник'!$T:$T,0),MATCH(U$1,'Исходник'!$1:$1,0)))</f>
        <v/>
      </c>
      <c r="V550" s="27" t="str">
        <f t="shared" si="9"/>
        <v/>
      </c>
      <c r="W550" s="1" t="str">
        <f t="array" ref="W550">IFERROR(INDEX('Исходник'!$1:$626,MATCH($A550,'Исходник'!$T:$T,0),MATCH(W$1,'Исходник'!$1:$1,0)))</f>
        <v/>
      </c>
      <c r="X550" s="28">
        <f t="shared" si="10"/>
        <v>0</v>
      </c>
      <c r="Y550" s="1" t="str">
        <f t="array" ref="Y550">IFERROR(INDEX('Исходник'!$1:$626,MATCH($A550,'Исходник'!$T:$T,0),MATCH(Y$1,'Исходник'!$1:$1,0)))</f>
        <v/>
      </c>
      <c r="Z550" s="27">
        <f t="shared" si="11"/>
        <v>0</v>
      </c>
      <c r="AA550" s="27" t="str">
        <f t="shared" si="12"/>
        <v/>
      </c>
      <c r="AB550" s="1" t="str">
        <f t="array" ref="AB550">IFERROR(INDEX('Исходник'!$1:$626,MATCH($A550,'Исходник'!$T:$T,0),MATCH(AB$1,'Исходник'!$1:$1,0)))</f>
        <v/>
      </c>
      <c r="AC550" s="1" t="str">
        <f t="array" ref="AC550">IFERROR(INDEX('Исходник'!$1:$626,MATCH($A550,'Исходник'!$T:$T,0),MATCH(AC$1,'Исходник'!$1:$1,0)))</f>
        <v/>
      </c>
      <c r="AD550" s="27" t="str">
        <f t="shared" si="13"/>
        <v/>
      </c>
      <c r="AE550" s="1" t="str">
        <f t="array" ref="AE550">IFERROR(INDEX('Исходник'!$1:$626,MATCH($A550,'Исходник'!$T:$T,0),MATCH(AE$1,'Исходник'!$1:$1,0)))</f>
        <v/>
      </c>
      <c r="AF550" s="1" t="str">
        <f t="array" ref="AF550">IFERROR(INDEX('Исходник'!$1:$626,MATCH($A550,'Исходник'!$T:$T,0),MATCH(AF$1,'Исходник'!$1:$1,0)))</f>
        <v/>
      </c>
      <c r="AG550" s="27" t="str">
        <f t="shared" si="14"/>
        <v/>
      </c>
      <c r="AH550" s="1" t="str">
        <f t="array" ref="AH550">IFERROR(INDEX('Исходник'!$1:$626,MATCH($A550,'Исходник'!$T:$T,0),MATCH(AH$1,'Исходник'!$1:$1,0)))</f>
        <v/>
      </c>
      <c r="AI550" s="1" t="str">
        <f t="array" ref="AI550">IFERROR(INDEX('Исходник'!$1:$626,MATCH($A550,'Исходник'!$T:$T,0),MATCH(AI$1,'Исходник'!$1:$1,0)))</f>
        <v/>
      </c>
      <c r="AJ550" s="18">
        <f t="shared" si="15"/>
        <v>0</v>
      </c>
    </row>
    <row r="551" ht="15.75" customHeight="1">
      <c r="A551" s="27"/>
      <c r="B551" s="1" t="str">
        <f t="array" ref="B551">IFERROR(INDEX('Исходник'!$1:$626,MATCH($A551,'Исходник'!$T:$T,0),MATCH(B$1,'Исходник'!$1:$1,0)))</f>
        <v/>
      </c>
      <c r="C551" s="1" t="str">
        <f t="array" ref="C551">IFERROR(INDEX('Исходник'!$1:$626,MATCH($A551,'Исходник'!$T:$T,0),MATCH(C$1,'Исходник'!$1:$1,0)))</f>
        <v/>
      </c>
      <c r="D551" s="1" t="str">
        <f t="array" ref="D551">IFERROR(INDEX('Исходник'!$1:$626,MATCH($A551,'Исходник'!$T:$T,0),MATCH(D$1,'Исходник'!$1:$1,0)))</f>
        <v/>
      </c>
      <c r="E551" s="1" t="str">
        <f t="array" ref="E551">IFERROR(INDEX('Исходник'!$1:$626,MATCH($A551,'Исходник'!$T:$T,0),MATCH(E$1,'Исходник'!$1:$1,0)))</f>
        <v/>
      </c>
      <c r="F551" s="1" t="str">
        <f t="array" ref="F551">IFERROR(INDEX('Исходник'!$1:$626,MATCH($A551,'Исходник'!$T:$T,0),MATCH(F$1,'Исходник'!$1:$1,0)))</f>
        <v/>
      </c>
      <c r="G551" s="1" t="str">
        <f t="array" ref="G551">IFERROR(INDEX('Исходник'!$1:$626,MATCH($A551,'Исходник'!$T:$T,0),MATCH(G$1,'Исходник'!$1:$1,0)))</f>
        <v/>
      </c>
      <c r="H551" s="27">
        <f t="shared" si="1"/>
        <v>0</v>
      </c>
      <c r="I551" s="27" t="str">
        <f t="shared" si="2"/>
        <v/>
      </c>
      <c r="J551" s="1" t="str">
        <f t="array" ref="J551">IFERROR(INDEX('Исходник'!$1:$626,MATCH($A551,'Исходник'!$T:$T,0),MATCH(J$1,'Исходник'!$1:$1,0)))</f>
        <v/>
      </c>
      <c r="K551" s="27" t="str">
        <f t="shared" si="3"/>
        <v/>
      </c>
      <c r="L551" s="1" t="str">
        <f t="array" ref="L551">IFERROR(INDEX('Исходник'!$1:$626,MATCH($A551,'Исходник'!$T:$T,0),MATCH(L$1,'Исходник'!$1:$1,0)))</f>
        <v/>
      </c>
      <c r="M551" s="28">
        <f t="shared" si="4"/>
        <v>0</v>
      </c>
      <c r="N551" s="1" t="str">
        <f t="array" ref="N551">IFERROR(INDEX('Исходник'!$1:$626,MATCH($A551,'Исходник'!$T:$T,0),MATCH(N$1,'Исходник'!$1:$1,0)))</f>
        <v/>
      </c>
      <c r="O551" s="27">
        <f t="shared" si="5"/>
        <v>0</v>
      </c>
      <c r="P551" s="27" t="str">
        <f t="shared" si="6"/>
        <v/>
      </c>
      <c r="Q551" s="1" t="str">
        <f t="array" ref="Q551">IFERROR(INDEX('Исходник'!$1:$626,MATCH($A551,'Исходник'!$T:$T,0),MATCH(Q$1,'Исходник'!$1:$1,0)))</f>
        <v/>
      </c>
      <c r="R551" s="1" t="str">
        <f t="array" ref="R551">IFERROR(INDEX('Исходник'!$1:$626,MATCH($A551,'Исходник'!$T:$T,0),MATCH(R$1,'Исходник'!$1:$1,0)))</f>
        <v/>
      </c>
      <c r="S551" s="27">
        <f t="shared" si="7"/>
        <v>0</v>
      </c>
      <c r="T551" s="27" t="str">
        <f t="shared" si="8"/>
        <v/>
      </c>
      <c r="U551" s="1" t="str">
        <f t="array" ref="U551">IFERROR(INDEX('Исходник'!$1:$626,MATCH($A551,'Исходник'!$T:$T,0),MATCH(U$1,'Исходник'!$1:$1,0)))</f>
        <v/>
      </c>
      <c r="V551" s="27" t="str">
        <f t="shared" si="9"/>
        <v/>
      </c>
      <c r="W551" s="1" t="str">
        <f t="array" ref="W551">IFERROR(INDEX('Исходник'!$1:$626,MATCH($A551,'Исходник'!$T:$T,0),MATCH(W$1,'Исходник'!$1:$1,0)))</f>
        <v/>
      </c>
      <c r="X551" s="28">
        <f t="shared" si="10"/>
        <v>0</v>
      </c>
      <c r="Y551" s="1" t="str">
        <f t="array" ref="Y551">IFERROR(INDEX('Исходник'!$1:$626,MATCH($A551,'Исходник'!$T:$T,0),MATCH(Y$1,'Исходник'!$1:$1,0)))</f>
        <v/>
      </c>
      <c r="Z551" s="27">
        <f t="shared" si="11"/>
        <v>0</v>
      </c>
      <c r="AA551" s="27" t="str">
        <f t="shared" si="12"/>
        <v/>
      </c>
      <c r="AB551" s="1" t="str">
        <f t="array" ref="AB551">IFERROR(INDEX('Исходник'!$1:$626,MATCH($A551,'Исходник'!$T:$T,0),MATCH(AB$1,'Исходник'!$1:$1,0)))</f>
        <v/>
      </c>
      <c r="AC551" s="1" t="str">
        <f t="array" ref="AC551">IFERROR(INDEX('Исходник'!$1:$626,MATCH($A551,'Исходник'!$T:$T,0),MATCH(AC$1,'Исходник'!$1:$1,0)))</f>
        <v/>
      </c>
      <c r="AD551" s="27" t="str">
        <f t="shared" si="13"/>
        <v/>
      </c>
      <c r="AE551" s="1" t="str">
        <f t="array" ref="AE551">IFERROR(INDEX('Исходник'!$1:$626,MATCH($A551,'Исходник'!$T:$T,0),MATCH(AE$1,'Исходник'!$1:$1,0)))</f>
        <v/>
      </c>
      <c r="AF551" s="1" t="str">
        <f t="array" ref="AF551">IFERROR(INDEX('Исходник'!$1:$626,MATCH($A551,'Исходник'!$T:$T,0),MATCH(AF$1,'Исходник'!$1:$1,0)))</f>
        <v/>
      </c>
      <c r="AG551" s="27" t="str">
        <f t="shared" si="14"/>
        <v/>
      </c>
      <c r="AH551" s="1" t="str">
        <f t="array" ref="AH551">IFERROR(INDEX('Исходник'!$1:$626,MATCH($A551,'Исходник'!$T:$T,0),MATCH(AH$1,'Исходник'!$1:$1,0)))</f>
        <v/>
      </c>
      <c r="AI551" s="1" t="str">
        <f t="array" ref="AI551">IFERROR(INDEX('Исходник'!$1:$626,MATCH($A551,'Исходник'!$T:$T,0),MATCH(AI$1,'Исходник'!$1:$1,0)))</f>
        <v/>
      </c>
      <c r="AJ551" s="18">
        <f t="shared" si="15"/>
        <v>0</v>
      </c>
    </row>
    <row r="552" ht="15.75" customHeight="1">
      <c r="A552" s="27"/>
      <c r="B552" s="1" t="str">
        <f t="array" ref="B552">IFERROR(INDEX('Исходник'!$1:$626,MATCH($A552,'Исходник'!$T:$T,0),MATCH(B$1,'Исходник'!$1:$1,0)))</f>
        <v/>
      </c>
      <c r="C552" s="1" t="str">
        <f t="array" ref="C552">IFERROR(INDEX('Исходник'!$1:$626,MATCH($A552,'Исходник'!$T:$T,0),MATCH(C$1,'Исходник'!$1:$1,0)))</f>
        <v/>
      </c>
      <c r="D552" s="1" t="str">
        <f t="array" ref="D552">IFERROR(INDEX('Исходник'!$1:$626,MATCH($A552,'Исходник'!$T:$T,0),MATCH(D$1,'Исходник'!$1:$1,0)))</f>
        <v/>
      </c>
      <c r="E552" s="1" t="str">
        <f t="array" ref="E552">IFERROR(INDEX('Исходник'!$1:$626,MATCH($A552,'Исходник'!$T:$T,0),MATCH(E$1,'Исходник'!$1:$1,0)))</f>
        <v/>
      </c>
      <c r="F552" s="1" t="str">
        <f t="array" ref="F552">IFERROR(INDEX('Исходник'!$1:$626,MATCH($A552,'Исходник'!$T:$T,0),MATCH(F$1,'Исходник'!$1:$1,0)))</f>
        <v/>
      </c>
      <c r="G552" s="1" t="str">
        <f t="array" ref="G552">IFERROR(INDEX('Исходник'!$1:$626,MATCH($A552,'Исходник'!$T:$T,0),MATCH(G$1,'Исходник'!$1:$1,0)))</f>
        <v/>
      </c>
      <c r="H552" s="27">
        <f t="shared" si="1"/>
        <v>0</v>
      </c>
      <c r="I552" s="27" t="str">
        <f t="shared" si="2"/>
        <v/>
      </c>
      <c r="J552" s="1" t="str">
        <f t="array" ref="J552">IFERROR(INDEX('Исходник'!$1:$626,MATCH($A552,'Исходник'!$T:$T,0),MATCH(J$1,'Исходник'!$1:$1,0)))</f>
        <v/>
      </c>
      <c r="K552" s="27" t="str">
        <f t="shared" si="3"/>
        <v/>
      </c>
      <c r="L552" s="1" t="str">
        <f t="array" ref="L552">IFERROR(INDEX('Исходник'!$1:$626,MATCH($A552,'Исходник'!$T:$T,0),MATCH(L$1,'Исходник'!$1:$1,0)))</f>
        <v/>
      </c>
      <c r="M552" s="28">
        <f t="shared" si="4"/>
        <v>0</v>
      </c>
      <c r="N552" s="1" t="str">
        <f t="array" ref="N552">IFERROR(INDEX('Исходник'!$1:$626,MATCH($A552,'Исходник'!$T:$T,0),MATCH(N$1,'Исходник'!$1:$1,0)))</f>
        <v/>
      </c>
      <c r="O552" s="27">
        <f t="shared" si="5"/>
        <v>0</v>
      </c>
      <c r="P552" s="27" t="str">
        <f t="shared" si="6"/>
        <v/>
      </c>
      <c r="Q552" s="1" t="str">
        <f t="array" ref="Q552">IFERROR(INDEX('Исходник'!$1:$626,MATCH($A552,'Исходник'!$T:$T,0),MATCH(Q$1,'Исходник'!$1:$1,0)))</f>
        <v/>
      </c>
      <c r="R552" s="1" t="str">
        <f t="array" ref="R552">IFERROR(INDEX('Исходник'!$1:$626,MATCH($A552,'Исходник'!$T:$T,0),MATCH(R$1,'Исходник'!$1:$1,0)))</f>
        <v/>
      </c>
      <c r="S552" s="27">
        <f t="shared" si="7"/>
        <v>0</v>
      </c>
      <c r="T552" s="27" t="str">
        <f t="shared" si="8"/>
        <v/>
      </c>
      <c r="U552" s="1" t="str">
        <f t="array" ref="U552">IFERROR(INDEX('Исходник'!$1:$626,MATCH($A552,'Исходник'!$T:$T,0),MATCH(U$1,'Исходник'!$1:$1,0)))</f>
        <v/>
      </c>
      <c r="V552" s="27" t="str">
        <f t="shared" si="9"/>
        <v/>
      </c>
      <c r="W552" s="1" t="str">
        <f t="array" ref="W552">IFERROR(INDEX('Исходник'!$1:$626,MATCH($A552,'Исходник'!$T:$T,0),MATCH(W$1,'Исходник'!$1:$1,0)))</f>
        <v/>
      </c>
      <c r="X552" s="28">
        <f t="shared" si="10"/>
        <v>0</v>
      </c>
      <c r="Y552" s="1" t="str">
        <f t="array" ref="Y552">IFERROR(INDEX('Исходник'!$1:$626,MATCH($A552,'Исходник'!$T:$T,0),MATCH(Y$1,'Исходник'!$1:$1,0)))</f>
        <v/>
      </c>
      <c r="Z552" s="27">
        <f t="shared" si="11"/>
        <v>0</v>
      </c>
      <c r="AA552" s="27" t="str">
        <f t="shared" si="12"/>
        <v/>
      </c>
      <c r="AB552" s="1" t="str">
        <f t="array" ref="AB552">IFERROR(INDEX('Исходник'!$1:$626,MATCH($A552,'Исходник'!$T:$T,0),MATCH(AB$1,'Исходник'!$1:$1,0)))</f>
        <v/>
      </c>
      <c r="AC552" s="1" t="str">
        <f t="array" ref="AC552">IFERROR(INDEX('Исходник'!$1:$626,MATCH($A552,'Исходник'!$T:$T,0),MATCH(AC$1,'Исходник'!$1:$1,0)))</f>
        <v/>
      </c>
      <c r="AD552" s="27" t="str">
        <f t="shared" si="13"/>
        <v/>
      </c>
      <c r="AE552" s="1" t="str">
        <f t="array" ref="AE552">IFERROR(INDEX('Исходник'!$1:$626,MATCH($A552,'Исходник'!$T:$T,0),MATCH(AE$1,'Исходник'!$1:$1,0)))</f>
        <v/>
      </c>
      <c r="AF552" s="1" t="str">
        <f t="array" ref="AF552">IFERROR(INDEX('Исходник'!$1:$626,MATCH($A552,'Исходник'!$T:$T,0),MATCH(AF$1,'Исходник'!$1:$1,0)))</f>
        <v/>
      </c>
      <c r="AG552" s="27" t="str">
        <f t="shared" si="14"/>
        <v/>
      </c>
      <c r="AH552" s="1" t="str">
        <f t="array" ref="AH552">IFERROR(INDEX('Исходник'!$1:$626,MATCH($A552,'Исходник'!$T:$T,0),MATCH(AH$1,'Исходник'!$1:$1,0)))</f>
        <v/>
      </c>
      <c r="AI552" s="1" t="str">
        <f t="array" ref="AI552">IFERROR(INDEX('Исходник'!$1:$626,MATCH($A552,'Исходник'!$T:$T,0),MATCH(AI$1,'Исходник'!$1:$1,0)))</f>
        <v/>
      </c>
      <c r="AJ552" s="18">
        <f t="shared" si="15"/>
        <v>0</v>
      </c>
    </row>
    <row r="553" ht="15.75" customHeight="1">
      <c r="A553" s="27"/>
      <c r="B553" s="1" t="str">
        <f t="array" ref="B553">IFERROR(INDEX('Исходник'!$1:$626,MATCH($A553,'Исходник'!$T:$T,0),MATCH(B$1,'Исходник'!$1:$1,0)))</f>
        <v/>
      </c>
      <c r="C553" s="1" t="str">
        <f t="array" ref="C553">IFERROR(INDEX('Исходник'!$1:$626,MATCH($A553,'Исходник'!$T:$T,0),MATCH(C$1,'Исходник'!$1:$1,0)))</f>
        <v/>
      </c>
      <c r="D553" s="1" t="str">
        <f t="array" ref="D553">IFERROR(INDEX('Исходник'!$1:$626,MATCH($A553,'Исходник'!$T:$T,0),MATCH(D$1,'Исходник'!$1:$1,0)))</f>
        <v/>
      </c>
      <c r="E553" s="1" t="str">
        <f t="array" ref="E553">IFERROR(INDEX('Исходник'!$1:$626,MATCH($A553,'Исходник'!$T:$T,0),MATCH(E$1,'Исходник'!$1:$1,0)))</f>
        <v/>
      </c>
      <c r="F553" s="1" t="str">
        <f t="array" ref="F553">IFERROR(INDEX('Исходник'!$1:$626,MATCH($A553,'Исходник'!$T:$T,0),MATCH(F$1,'Исходник'!$1:$1,0)))</f>
        <v/>
      </c>
      <c r="G553" s="1" t="str">
        <f t="array" ref="G553">IFERROR(INDEX('Исходник'!$1:$626,MATCH($A553,'Исходник'!$T:$T,0),MATCH(G$1,'Исходник'!$1:$1,0)))</f>
        <v/>
      </c>
      <c r="H553" s="27">
        <f t="shared" si="1"/>
        <v>0</v>
      </c>
      <c r="I553" s="27" t="str">
        <f t="shared" si="2"/>
        <v/>
      </c>
      <c r="J553" s="1" t="str">
        <f t="array" ref="J553">IFERROR(INDEX('Исходник'!$1:$626,MATCH($A553,'Исходник'!$T:$T,0),MATCH(J$1,'Исходник'!$1:$1,0)))</f>
        <v/>
      </c>
      <c r="K553" s="27" t="str">
        <f t="shared" si="3"/>
        <v/>
      </c>
      <c r="L553" s="1" t="str">
        <f t="array" ref="L553">IFERROR(INDEX('Исходник'!$1:$626,MATCH($A553,'Исходник'!$T:$T,0),MATCH(L$1,'Исходник'!$1:$1,0)))</f>
        <v/>
      </c>
      <c r="M553" s="28">
        <f t="shared" si="4"/>
        <v>0</v>
      </c>
      <c r="N553" s="1" t="str">
        <f t="array" ref="N553">IFERROR(INDEX('Исходник'!$1:$626,MATCH($A553,'Исходник'!$T:$T,0),MATCH(N$1,'Исходник'!$1:$1,0)))</f>
        <v/>
      </c>
      <c r="O553" s="27">
        <f t="shared" si="5"/>
        <v>0</v>
      </c>
      <c r="P553" s="27" t="str">
        <f t="shared" si="6"/>
        <v/>
      </c>
      <c r="Q553" s="1" t="str">
        <f t="array" ref="Q553">IFERROR(INDEX('Исходник'!$1:$626,MATCH($A553,'Исходник'!$T:$T,0),MATCH(Q$1,'Исходник'!$1:$1,0)))</f>
        <v/>
      </c>
      <c r="R553" s="1" t="str">
        <f t="array" ref="R553">IFERROR(INDEX('Исходник'!$1:$626,MATCH($A553,'Исходник'!$T:$T,0),MATCH(R$1,'Исходник'!$1:$1,0)))</f>
        <v/>
      </c>
      <c r="S553" s="27">
        <f t="shared" si="7"/>
        <v>0</v>
      </c>
      <c r="T553" s="27" t="str">
        <f t="shared" si="8"/>
        <v/>
      </c>
      <c r="U553" s="1" t="str">
        <f t="array" ref="U553">IFERROR(INDEX('Исходник'!$1:$626,MATCH($A553,'Исходник'!$T:$T,0),MATCH(U$1,'Исходник'!$1:$1,0)))</f>
        <v/>
      </c>
      <c r="V553" s="27" t="str">
        <f t="shared" si="9"/>
        <v/>
      </c>
      <c r="W553" s="1" t="str">
        <f t="array" ref="W553">IFERROR(INDEX('Исходник'!$1:$626,MATCH($A553,'Исходник'!$T:$T,0),MATCH(W$1,'Исходник'!$1:$1,0)))</f>
        <v/>
      </c>
      <c r="X553" s="28">
        <f t="shared" si="10"/>
        <v>0</v>
      </c>
      <c r="Y553" s="1" t="str">
        <f t="array" ref="Y553">IFERROR(INDEX('Исходник'!$1:$626,MATCH($A553,'Исходник'!$T:$T,0),MATCH(Y$1,'Исходник'!$1:$1,0)))</f>
        <v/>
      </c>
      <c r="Z553" s="27">
        <f t="shared" si="11"/>
        <v>0</v>
      </c>
      <c r="AA553" s="27" t="str">
        <f t="shared" si="12"/>
        <v/>
      </c>
      <c r="AB553" s="1" t="str">
        <f t="array" ref="AB553">IFERROR(INDEX('Исходник'!$1:$626,MATCH($A553,'Исходник'!$T:$T,0),MATCH(AB$1,'Исходник'!$1:$1,0)))</f>
        <v/>
      </c>
      <c r="AC553" s="1" t="str">
        <f t="array" ref="AC553">IFERROR(INDEX('Исходник'!$1:$626,MATCH($A553,'Исходник'!$T:$T,0),MATCH(AC$1,'Исходник'!$1:$1,0)))</f>
        <v/>
      </c>
      <c r="AD553" s="27" t="str">
        <f t="shared" si="13"/>
        <v/>
      </c>
      <c r="AE553" s="1" t="str">
        <f t="array" ref="AE553">IFERROR(INDEX('Исходник'!$1:$626,MATCH($A553,'Исходник'!$T:$T,0),MATCH(AE$1,'Исходник'!$1:$1,0)))</f>
        <v/>
      </c>
      <c r="AF553" s="1" t="str">
        <f t="array" ref="AF553">IFERROR(INDEX('Исходник'!$1:$626,MATCH($A553,'Исходник'!$T:$T,0),MATCH(AF$1,'Исходник'!$1:$1,0)))</f>
        <v/>
      </c>
      <c r="AG553" s="27" t="str">
        <f t="shared" si="14"/>
        <v/>
      </c>
      <c r="AH553" s="1" t="str">
        <f t="array" ref="AH553">IFERROR(INDEX('Исходник'!$1:$626,MATCH($A553,'Исходник'!$T:$T,0),MATCH(AH$1,'Исходник'!$1:$1,0)))</f>
        <v/>
      </c>
      <c r="AI553" s="1" t="str">
        <f t="array" ref="AI553">IFERROR(INDEX('Исходник'!$1:$626,MATCH($A553,'Исходник'!$T:$T,0),MATCH(AI$1,'Исходник'!$1:$1,0)))</f>
        <v/>
      </c>
      <c r="AJ553" s="18">
        <f t="shared" si="15"/>
        <v>0</v>
      </c>
    </row>
    <row r="554" ht="15.75" customHeight="1">
      <c r="A554" s="27"/>
      <c r="B554" s="1" t="str">
        <f t="array" ref="B554">IFERROR(INDEX('Исходник'!$1:$626,MATCH($A554,'Исходник'!$T:$T,0),MATCH(B$1,'Исходник'!$1:$1,0)))</f>
        <v/>
      </c>
      <c r="C554" s="1" t="str">
        <f t="array" ref="C554">IFERROR(INDEX('Исходник'!$1:$626,MATCH($A554,'Исходник'!$T:$T,0),MATCH(C$1,'Исходник'!$1:$1,0)))</f>
        <v/>
      </c>
      <c r="D554" s="1" t="str">
        <f t="array" ref="D554">IFERROR(INDEX('Исходник'!$1:$626,MATCH($A554,'Исходник'!$T:$T,0),MATCH(D$1,'Исходник'!$1:$1,0)))</f>
        <v/>
      </c>
      <c r="E554" s="1" t="str">
        <f t="array" ref="E554">IFERROR(INDEX('Исходник'!$1:$626,MATCH($A554,'Исходник'!$T:$T,0),MATCH(E$1,'Исходник'!$1:$1,0)))</f>
        <v/>
      </c>
      <c r="F554" s="1" t="str">
        <f t="array" ref="F554">IFERROR(INDEX('Исходник'!$1:$626,MATCH($A554,'Исходник'!$T:$T,0),MATCH(F$1,'Исходник'!$1:$1,0)))</f>
        <v/>
      </c>
      <c r="G554" s="1" t="str">
        <f t="array" ref="G554">IFERROR(INDEX('Исходник'!$1:$626,MATCH($A554,'Исходник'!$T:$T,0),MATCH(G$1,'Исходник'!$1:$1,0)))</f>
        <v/>
      </c>
      <c r="H554" s="27">
        <f t="shared" si="1"/>
        <v>0</v>
      </c>
      <c r="I554" s="27" t="str">
        <f t="shared" si="2"/>
        <v/>
      </c>
      <c r="J554" s="1" t="str">
        <f t="array" ref="J554">IFERROR(INDEX('Исходник'!$1:$626,MATCH($A554,'Исходник'!$T:$T,0),MATCH(J$1,'Исходник'!$1:$1,0)))</f>
        <v/>
      </c>
      <c r="K554" s="27" t="str">
        <f t="shared" si="3"/>
        <v/>
      </c>
      <c r="L554" s="1" t="str">
        <f t="array" ref="L554">IFERROR(INDEX('Исходник'!$1:$626,MATCH($A554,'Исходник'!$T:$T,0),MATCH(L$1,'Исходник'!$1:$1,0)))</f>
        <v/>
      </c>
      <c r="M554" s="28">
        <f t="shared" si="4"/>
        <v>0</v>
      </c>
      <c r="N554" s="1" t="str">
        <f t="array" ref="N554">IFERROR(INDEX('Исходник'!$1:$626,MATCH($A554,'Исходник'!$T:$T,0),MATCH(N$1,'Исходник'!$1:$1,0)))</f>
        <v/>
      </c>
      <c r="O554" s="27">
        <f t="shared" si="5"/>
        <v>0</v>
      </c>
      <c r="P554" s="27" t="str">
        <f t="shared" si="6"/>
        <v/>
      </c>
      <c r="Q554" s="1" t="str">
        <f t="array" ref="Q554">IFERROR(INDEX('Исходник'!$1:$626,MATCH($A554,'Исходник'!$T:$T,0),MATCH(Q$1,'Исходник'!$1:$1,0)))</f>
        <v/>
      </c>
      <c r="R554" s="1" t="str">
        <f t="array" ref="R554">IFERROR(INDEX('Исходник'!$1:$626,MATCH($A554,'Исходник'!$T:$T,0),MATCH(R$1,'Исходник'!$1:$1,0)))</f>
        <v/>
      </c>
      <c r="S554" s="27">
        <f t="shared" si="7"/>
        <v>0</v>
      </c>
      <c r="T554" s="27" t="str">
        <f t="shared" si="8"/>
        <v/>
      </c>
      <c r="U554" s="1" t="str">
        <f t="array" ref="U554">IFERROR(INDEX('Исходник'!$1:$626,MATCH($A554,'Исходник'!$T:$T,0),MATCH(U$1,'Исходник'!$1:$1,0)))</f>
        <v/>
      </c>
      <c r="V554" s="27" t="str">
        <f t="shared" si="9"/>
        <v/>
      </c>
      <c r="W554" s="1" t="str">
        <f t="array" ref="W554">IFERROR(INDEX('Исходник'!$1:$626,MATCH($A554,'Исходник'!$T:$T,0),MATCH(W$1,'Исходник'!$1:$1,0)))</f>
        <v/>
      </c>
      <c r="X554" s="28">
        <f t="shared" si="10"/>
        <v>0</v>
      </c>
      <c r="Y554" s="1" t="str">
        <f t="array" ref="Y554">IFERROR(INDEX('Исходник'!$1:$626,MATCH($A554,'Исходник'!$T:$T,0),MATCH(Y$1,'Исходник'!$1:$1,0)))</f>
        <v/>
      </c>
      <c r="Z554" s="27">
        <f t="shared" si="11"/>
        <v>0</v>
      </c>
      <c r="AA554" s="27" t="str">
        <f t="shared" si="12"/>
        <v/>
      </c>
      <c r="AB554" s="1" t="str">
        <f t="array" ref="AB554">IFERROR(INDEX('Исходник'!$1:$626,MATCH($A554,'Исходник'!$T:$T,0),MATCH(AB$1,'Исходник'!$1:$1,0)))</f>
        <v/>
      </c>
      <c r="AC554" s="1" t="str">
        <f t="array" ref="AC554">IFERROR(INDEX('Исходник'!$1:$626,MATCH($A554,'Исходник'!$T:$T,0),MATCH(AC$1,'Исходник'!$1:$1,0)))</f>
        <v/>
      </c>
      <c r="AD554" s="27" t="str">
        <f t="shared" si="13"/>
        <v/>
      </c>
      <c r="AE554" s="1" t="str">
        <f t="array" ref="AE554">IFERROR(INDEX('Исходник'!$1:$626,MATCH($A554,'Исходник'!$T:$T,0),MATCH(AE$1,'Исходник'!$1:$1,0)))</f>
        <v/>
      </c>
      <c r="AF554" s="1" t="str">
        <f t="array" ref="AF554">IFERROR(INDEX('Исходник'!$1:$626,MATCH($A554,'Исходник'!$T:$T,0),MATCH(AF$1,'Исходник'!$1:$1,0)))</f>
        <v/>
      </c>
      <c r="AG554" s="27" t="str">
        <f t="shared" si="14"/>
        <v/>
      </c>
      <c r="AH554" s="1" t="str">
        <f t="array" ref="AH554">IFERROR(INDEX('Исходник'!$1:$626,MATCH($A554,'Исходник'!$T:$T,0),MATCH(AH$1,'Исходник'!$1:$1,0)))</f>
        <v/>
      </c>
      <c r="AI554" s="1" t="str">
        <f t="array" ref="AI554">IFERROR(INDEX('Исходник'!$1:$626,MATCH($A554,'Исходник'!$T:$T,0),MATCH(AI$1,'Исходник'!$1:$1,0)))</f>
        <v/>
      </c>
      <c r="AJ554" s="18">
        <f t="shared" si="15"/>
        <v>0</v>
      </c>
    </row>
    <row r="555" ht="15.75" customHeight="1">
      <c r="A555" s="27"/>
      <c r="B555" s="1" t="str">
        <f t="array" ref="B555">IFERROR(INDEX('Исходник'!$1:$626,MATCH($A555,'Исходник'!$T:$T,0),MATCH(B$1,'Исходник'!$1:$1,0)))</f>
        <v/>
      </c>
      <c r="C555" s="1" t="str">
        <f t="array" ref="C555">IFERROR(INDEX('Исходник'!$1:$626,MATCH($A555,'Исходник'!$T:$T,0),MATCH(C$1,'Исходник'!$1:$1,0)))</f>
        <v/>
      </c>
      <c r="D555" s="1" t="str">
        <f t="array" ref="D555">IFERROR(INDEX('Исходник'!$1:$626,MATCH($A555,'Исходник'!$T:$T,0),MATCH(D$1,'Исходник'!$1:$1,0)))</f>
        <v/>
      </c>
      <c r="E555" s="1" t="str">
        <f t="array" ref="E555">IFERROR(INDEX('Исходник'!$1:$626,MATCH($A555,'Исходник'!$T:$T,0),MATCH(E$1,'Исходник'!$1:$1,0)))</f>
        <v/>
      </c>
      <c r="F555" s="1" t="str">
        <f t="array" ref="F555">IFERROR(INDEX('Исходник'!$1:$626,MATCH($A555,'Исходник'!$T:$T,0),MATCH(F$1,'Исходник'!$1:$1,0)))</f>
        <v/>
      </c>
      <c r="G555" s="1" t="str">
        <f t="array" ref="G555">IFERROR(INDEX('Исходник'!$1:$626,MATCH($A555,'Исходник'!$T:$T,0),MATCH(G$1,'Исходник'!$1:$1,0)))</f>
        <v/>
      </c>
      <c r="H555" s="27">
        <f t="shared" si="1"/>
        <v>0</v>
      </c>
      <c r="I555" s="27" t="str">
        <f t="shared" si="2"/>
        <v/>
      </c>
      <c r="J555" s="1" t="str">
        <f t="array" ref="J555">IFERROR(INDEX('Исходник'!$1:$626,MATCH($A555,'Исходник'!$T:$T,0),MATCH(J$1,'Исходник'!$1:$1,0)))</f>
        <v/>
      </c>
      <c r="K555" s="27" t="str">
        <f t="shared" si="3"/>
        <v/>
      </c>
      <c r="L555" s="1" t="str">
        <f t="array" ref="L555">IFERROR(INDEX('Исходник'!$1:$626,MATCH($A555,'Исходник'!$T:$T,0),MATCH(L$1,'Исходник'!$1:$1,0)))</f>
        <v/>
      </c>
      <c r="M555" s="28">
        <f t="shared" si="4"/>
        <v>0</v>
      </c>
      <c r="N555" s="1" t="str">
        <f t="array" ref="N555">IFERROR(INDEX('Исходник'!$1:$626,MATCH($A555,'Исходник'!$T:$T,0),MATCH(N$1,'Исходник'!$1:$1,0)))</f>
        <v/>
      </c>
      <c r="O555" s="27">
        <f t="shared" si="5"/>
        <v>0</v>
      </c>
      <c r="P555" s="27" t="str">
        <f t="shared" si="6"/>
        <v/>
      </c>
      <c r="Q555" s="1" t="str">
        <f t="array" ref="Q555">IFERROR(INDEX('Исходник'!$1:$626,MATCH($A555,'Исходник'!$T:$T,0),MATCH(Q$1,'Исходник'!$1:$1,0)))</f>
        <v/>
      </c>
      <c r="R555" s="1" t="str">
        <f t="array" ref="R555">IFERROR(INDEX('Исходник'!$1:$626,MATCH($A555,'Исходник'!$T:$T,0),MATCH(R$1,'Исходник'!$1:$1,0)))</f>
        <v/>
      </c>
      <c r="S555" s="27">
        <f t="shared" si="7"/>
        <v>0</v>
      </c>
      <c r="T555" s="27" t="str">
        <f t="shared" si="8"/>
        <v/>
      </c>
      <c r="U555" s="1" t="str">
        <f t="array" ref="U555">IFERROR(INDEX('Исходник'!$1:$626,MATCH($A555,'Исходник'!$T:$T,0),MATCH(U$1,'Исходник'!$1:$1,0)))</f>
        <v/>
      </c>
      <c r="V555" s="27" t="str">
        <f t="shared" si="9"/>
        <v/>
      </c>
      <c r="W555" s="1" t="str">
        <f t="array" ref="W555">IFERROR(INDEX('Исходник'!$1:$626,MATCH($A555,'Исходник'!$T:$T,0),MATCH(W$1,'Исходник'!$1:$1,0)))</f>
        <v/>
      </c>
      <c r="X555" s="28">
        <f t="shared" si="10"/>
        <v>0</v>
      </c>
      <c r="Y555" s="1" t="str">
        <f t="array" ref="Y555">IFERROR(INDEX('Исходник'!$1:$626,MATCH($A555,'Исходник'!$T:$T,0),MATCH(Y$1,'Исходник'!$1:$1,0)))</f>
        <v/>
      </c>
      <c r="Z555" s="27">
        <f t="shared" si="11"/>
        <v>0</v>
      </c>
      <c r="AA555" s="27" t="str">
        <f t="shared" si="12"/>
        <v/>
      </c>
      <c r="AB555" s="1" t="str">
        <f t="array" ref="AB555">IFERROR(INDEX('Исходник'!$1:$626,MATCH($A555,'Исходник'!$T:$T,0),MATCH(AB$1,'Исходник'!$1:$1,0)))</f>
        <v/>
      </c>
      <c r="AC555" s="1" t="str">
        <f t="array" ref="AC555">IFERROR(INDEX('Исходник'!$1:$626,MATCH($A555,'Исходник'!$T:$T,0),MATCH(AC$1,'Исходник'!$1:$1,0)))</f>
        <v/>
      </c>
      <c r="AD555" s="27" t="str">
        <f t="shared" si="13"/>
        <v/>
      </c>
      <c r="AE555" s="1" t="str">
        <f t="array" ref="AE555">IFERROR(INDEX('Исходник'!$1:$626,MATCH($A555,'Исходник'!$T:$T,0),MATCH(AE$1,'Исходник'!$1:$1,0)))</f>
        <v/>
      </c>
      <c r="AF555" s="1" t="str">
        <f t="array" ref="AF555">IFERROR(INDEX('Исходник'!$1:$626,MATCH($A555,'Исходник'!$T:$T,0),MATCH(AF$1,'Исходник'!$1:$1,0)))</f>
        <v/>
      </c>
      <c r="AG555" s="27" t="str">
        <f t="shared" si="14"/>
        <v/>
      </c>
      <c r="AH555" s="1" t="str">
        <f t="array" ref="AH555">IFERROR(INDEX('Исходник'!$1:$626,MATCH($A555,'Исходник'!$T:$T,0),MATCH(AH$1,'Исходник'!$1:$1,0)))</f>
        <v/>
      </c>
      <c r="AI555" s="1" t="str">
        <f t="array" ref="AI555">IFERROR(INDEX('Исходник'!$1:$626,MATCH($A555,'Исходник'!$T:$T,0),MATCH(AI$1,'Исходник'!$1:$1,0)))</f>
        <v/>
      </c>
      <c r="AJ555" s="18">
        <f t="shared" si="15"/>
        <v>0</v>
      </c>
    </row>
    <row r="556" ht="15.75" customHeight="1">
      <c r="A556" s="27"/>
      <c r="B556" s="1" t="str">
        <f t="array" ref="B556">IFERROR(INDEX('Исходник'!$1:$626,MATCH($A556,'Исходник'!$T:$T,0),MATCH(B$1,'Исходник'!$1:$1,0)))</f>
        <v/>
      </c>
      <c r="C556" s="1" t="str">
        <f t="array" ref="C556">IFERROR(INDEX('Исходник'!$1:$626,MATCH($A556,'Исходник'!$T:$T,0),MATCH(C$1,'Исходник'!$1:$1,0)))</f>
        <v/>
      </c>
      <c r="D556" s="1" t="str">
        <f t="array" ref="D556">IFERROR(INDEX('Исходник'!$1:$626,MATCH($A556,'Исходник'!$T:$T,0),MATCH(D$1,'Исходник'!$1:$1,0)))</f>
        <v/>
      </c>
      <c r="E556" s="1" t="str">
        <f t="array" ref="E556">IFERROR(INDEX('Исходник'!$1:$626,MATCH($A556,'Исходник'!$T:$T,0),MATCH(E$1,'Исходник'!$1:$1,0)))</f>
        <v/>
      </c>
      <c r="F556" s="1" t="str">
        <f t="array" ref="F556">IFERROR(INDEX('Исходник'!$1:$626,MATCH($A556,'Исходник'!$T:$T,0),MATCH(F$1,'Исходник'!$1:$1,0)))</f>
        <v/>
      </c>
      <c r="G556" s="1" t="str">
        <f t="array" ref="G556">IFERROR(INDEX('Исходник'!$1:$626,MATCH($A556,'Исходник'!$T:$T,0),MATCH(G$1,'Исходник'!$1:$1,0)))</f>
        <v/>
      </c>
      <c r="H556" s="27">
        <f t="shared" si="1"/>
        <v>0</v>
      </c>
      <c r="I556" s="27" t="str">
        <f t="shared" si="2"/>
        <v/>
      </c>
      <c r="J556" s="1" t="str">
        <f t="array" ref="J556">IFERROR(INDEX('Исходник'!$1:$626,MATCH($A556,'Исходник'!$T:$T,0),MATCH(J$1,'Исходник'!$1:$1,0)))</f>
        <v/>
      </c>
      <c r="K556" s="27" t="str">
        <f t="shared" si="3"/>
        <v/>
      </c>
      <c r="L556" s="1" t="str">
        <f t="array" ref="L556">IFERROR(INDEX('Исходник'!$1:$626,MATCH($A556,'Исходник'!$T:$T,0),MATCH(L$1,'Исходник'!$1:$1,0)))</f>
        <v/>
      </c>
      <c r="M556" s="28">
        <f t="shared" si="4"/>
        <v>0</v>
      </c>
      <c r="N556" s="1" t="str">
        <f t="array" ref="N556">IFERROR(INDEX('Исходник'!$1:$626,MATCH($A556,'Исходник'!$T:$T,0),MATCH(N$1,'Исходник'!$1:$1,0)))</f>
        <v/>
      </c>
      <c r="O556" s="27">
        <f t="shared" si="5"/>
        <v>0</v>
      </c>
      <c r="P556" s="27" t="str">
        <f t="shared" si="6"/>
        <v/>
      </c>
      <c r="Q556" s="1" t="str">
        <f t="array" ref="Q556">IFERROR(INDEX('Исходник'!$1:$626,MATCH($A556,'Исходник'!$T:$T,0),MATCH(Q$1,'Исходник'!$1:$1,0)))</f>
        <v/>
      </c>
      <c r="R556" s="1" t="str">
        <f t="array" ref="R556">IFERROR(INDEX('Исходник'!$1:$626,MATCH($A556,'Исходник'!$T:$T,0),MATCH(R$1,'Исходник'!$1:$1,0)))</f>
        <v/>
      </c>
      <c r="S556" s="27">
        <f t="shared" si="7"/>
        <v>0</v>
      </c>
      <c r="T556" s="27" t="str">
        <f t="shared" si="8"/>
        <v/>
      </c>
      <c r="U556" s="1" t="str">
        <f t="array" ref="U556">IFERROR(INDEX('Исходник'!$1:$626,MATCH($A556,'Исходник'!$T:$T,0),MATCH(U$1,'Исходник'!$1:$1,0)))</f>
        <v/>
      </c>
      <c r="V556" s="27" t="str">
        <f t="shared" si="9"/>
        <v/>
      </c>
      <c r="W556" s="1" t="str">
        <f t="array" ref="W556">IFERROR(INDEX('Исходник'!$1:$626,MATCH($A556,'Исходник'!$T:$T,0),MATCH(W$1,'Исходник'!$1:$1,0)))</f>
        <v/>
      </c>
      <c r="X556" s="28">
        <f t="shared" si="10"/>
        <v>0</v>
      </c>
      <c r="Y556" s="1" t="str">
        <f t="array" ref="Y556">IFERROR(INDEX('Исходник'!$1:$626,MATCH($A556,'Исходник'!$T:$T,0),MATCH(Y$1,'Исходник'!$1:$1,0)))</f>
        <v/>
      </c>
      <c r="Z556" s="27">
        <f t="shared" si="11"/>
        <v>0</v>
      </c>
      <c r="AA556" s="27" t="str">
        <f t="shared" si="12"/>
        <v/>
      </c>
      <c r="AB556" s="1" t="str">
        <f t="array" ref="AB556">IFERROR(INDEX('Исходник'!$1:$626,MATCH($A556,'Исходник'!$T:$T,0),MATCH(AB$1,'Исходник'!$1:$1,0)))</f>
        <v/>
      </c>
      <c r="AC556" s="1" t="str">
        <f t="array" ref="AC556">IFERROR(INDEX('Исходник'!$1:$626,MATCH($A556,'Исходник'!$T:$T,0),MATCH(AC$1,'Исходник'!$1:$1,0)))</f>
        <v/>
      </c>
      <c r="AD556" s="27" t="str">
        <f t="shared" si="13"/>
        <v/>
      </c>
      <c r="AE556" s="1" t="str">
        <f t="array" ref="AE556">IFERROR(INDEX('Исходник'!$1:$626,MATCH($A556,'Исходник'!$T:$T,0),MATCH(AE$1,'Исходник'!$1:$1,0)))</f>
        <v/>
      </c>
      <c r="AF556" s="1" t="str">
        <f t="array" ref="AF556">IFERROR(INDEX('Исходник'!$1:$626,MATCH($A556,'Исходник'!$T:$T,0),MATCH(AF$1,'Исходник'!$1:$1,0)))</f>
        <v/>
      </c>
      <c r="AG556" s="27" t="str">
        <f t="shared" si="14"/>
        <v/>
      </c>
      <c r="AH556" s="1" t="str">
        <f t="array" ref="AH556">IFERROR(INDEX('Исходник'!$1:$626,MATCH($A556,'Исходник'!$T:$T,0),MATCH(AH$1,'Исходник'!$1:$1,0)))</f>
        <v/>
      </c>
      <c r="AI556" s="1" t="str">
        <f t="array" ref="AI556">IFERROR(INDEX('Исходник'!$1:$626,MATCH($A556,'Исходник'!$T:$T,0),MATCH(AI$1,'Исходник'!$1:$1,0)))</f>
        <v/>
      </c>
      <c r="AJ556" s="18">
        <f t="shared" si="15"/>
        <v>0</v>
      </c>
    </row>
    <row r="557" ht="15.75" customHeight="1">
      <c r="A557" s="27"/>
      <c r="B557" s="1" t="str">
        <f t="array" ref="B557">IFERROR(INDEX('Исходник'!$1:$626,MATCH($A557,'Исходник'!$T:$T,0),MATCH(B$1,'Исходник'!$1:$1,0)))</f>
        <v/>
      </c>
      <c r="C557" s="1" t="str">
        <f t="array" ref="C557">IFERROR(INDEX('Исходник'!$1:$626,MATCH($A557,'Исходник'!$T:$T,0),MATCH(C$1,'Исходник'!$1:$1,0)))</f>
        <v/>
      </c>
      <c r="D557" s="1" t="str">
        <f t="array" ref="D557">IFERROR(INDEX('Исходник'!$1:$626,MATCH($A557,'Исходник'!$T:$T,0),MATCH(D$1,'Исходник'!$1:$1,0)))</f>
        <v/>
      </c>
      <c r="E557" s="1" t="str">
        <f t="array" ref="E557">IFERROR(INDEX('Исходник'!$1:$626,MATCH($A557,'Исходник'!$T:$T,0),MATCH(E$1,'Исходник'!$1:$1,0)))</f>
        <v/>
      </c>
      <c r="F557" s="1" t="str">
        <f t="array" ref="F557">IFERROR(INDEX('Исходник'!$1:$626,MATCH($A557,'Исходник'!$T:$T,0),MATCH(F$1,'Исходник'!$1:$1,0)))</f>
        <v/>
      </c>
      <c r="G557" s="1" t="str">
        <f t="array" ref="G557">IFERROR(INDEX('Исходник'!$1:$626,MATCH($A557,'Исходник'!$T:$T,0),MATCH(G$1,'Исходник'!$1:$1,0)))</f>
        <v/>
      </c>
      <c r="H557" s="27">
        <f t="shared" si="1"/>
        <v>0</v>
      </c>
      <c r="I557" s="27" t="str">
        <f t="shared" si="2"/>
        <v/>
      </c>
      <c r="J557" s="1" t="str">
        <f t="array" ref="J557">IFERROR(INDEX('Исходник'!$1:$626,MATCH($A557,'Исходник'!$T:$T,0),MATCH(J$1,'Исходник'!$1:$1,0)))</f>
        <v/>
      </c>
      <c r="K557" s="27" t="str">
        <f t="shared" si="3"/>
        <v/>
      </c>
      <c r="L557" s="1" t="str">
        <f t="array" ref="L557">IFERROR(INDEX('Исходник'!$1:$626,MATCH($A557,'Исходник'!$T:$T,0),MATCH(L$1,'Исходник'!$1:$1,0)))</f>
        <v/>
      </c>
      <c r="M557" s="28">
        <f t="shared" si="4"/>
        <v>0</v>
      </c>
      <c r="N557" s="1" t="str">
        <f t="array" ref="N557">IFERROR(INDEX('Исходник'!$1:$626,MATCH($A557,'Исходник'!$T:$T,0),MATCH(N$1,'Исходник'!$1:$1,0)))</f>
        <v/>
      </c>
      <c r="O557" s="27">
        <f t="shared" si="5"/>
        <v>0</v>
      </c>
      <c r="P557" s="27" t="str">
        <f t="shared" si="6"/>
        <v/>
      </c>
      <c r="Q557" s="1" t="str">
        <f t="array" ref="Q557">IFERROR(INDEX('Исходник'!$1:$626,MATCH($A557,'Исходник'!$T:$T,0),MATCH(Q$1,'Исходник'!$1:$1,0)))</f>
        <v/>
      </c>
      <c r="R557" s="1" t="str">
        <f t="array" ref="R557">IFERROR(INDEX('Исходник'!$1:$626,MATCH($A557,'Исходник'!$T:$T,0),MATCH(R$1,'Исходник'!$1:$1,0)))</f>
        <v/>
      </c>
      <c r="S557" s="27">
        <f t="shared" si="7"/>
        <v>0</v>
      </c>
      <c r="T557" s="27" t="str">
        <f t="shared" si="8"/>
        <v/>
      </c>
      <c r="U557" s="1" t="str">
        <f t="array" ref="U557">IFERROR(INDEX('Исходник'!$1:$626,MATCH($A557,'Исходник'!$T:$T,0),MATCH(U$1,'Исходник'!$1:$1,0)))</f>
        <v/>
      </c>
      <c r="V557" s="27" t="str">
        <f t="shared" si="9"/>
        <v/>
      </c>
      <c r="W557" s="1" t="str">
        <f t="array" ref="W557">IFERROR(INDEX('Исходник'!$1:$626,MATCH($A557,'Исходник'!$T:$T,0),MATCH(W$1,'Исходник'!$1:$1,0)))</f>
        <v/>
      </c>
      <c r="X557" s="28">
        <f t="shared" si="10"/>
        <v>0</v>
      </c>
      <c r="Y557" s="1" t="str">
        <f t="array" ref="Y557">IFERROR(INDEX('Исходник'!$1:$626,MATCH($A557,'Исходник'!$T:$T,0),MATCH(Y$1,'Исходник'!$1:$1,0)))</f>
        <v/>
      </c>
      <c r="Z557" s="27">
        <f t="shared" si="11"/>
        <v>0</v>
      </c>
      <c r="AA557" s="27" t="str">
        <f t="shared" si="12"/>
        <v/>
      </c>
      <c r="AB557" s="1" t="str">
        <f t="array" ref="AB557">IFERROR(INDEX('Исходник'!$1:$626,MATCH($A557,'Исходник'!$T:$T,0),MATCH(AB$1,'Исходник'!$1:$1,0)))</f>
        <v/>
      </c>
      <c r="AC557" s="1" t="str">
        <f t="array" ref="AC557">IFERROR(INDEX('Исходник'!$1:$626,MATCH($A557,'Исходник'!$T:$T,0),MATCH(AC$1,'Исходник'!$1:$1,0)))</f>
        <v/>
      </c>
      <c r="AD557" s="27" t="str">
        <f t="shared" si="13"/>
        <v/>
      </c>
      <c r="AE557" s="1" t="str">
        <f t="array" ref="AE557">IFERROR(INDEX('Исходник'!$1:$626,MATCH($A557,'Исходник'!$T:$T,0),MATCH(AE$1,'Исходник'!$1:$1,0)))</f>
        <v/>
      </c>
      <c r="AF557" s="1" t="str">
        <f t="array" ref="AF557">IFERROR(INDEX('Исходник'!$1:$626,MATCH($A557,'Исходник'!$T:$T,0),MATCH(AF$1,'Исходник'!$1:$1,0)))</f>
        <v/>
      </c>
      <c r="AG557" s="27" t="str">
        <f t="shared" si="14"/>
        <v/>
      </c>
      <c r="AH557" s="1" t="str">
        <f t="array" ref="AH557">IFERROR(INDEX('Исходник'!$1:$626,MATCH($A557,'Исходник'!$T:$T,0),MATCH(AH$1,'Исходник'!$1:$1,0)))</f>
        <v/>
      </c>
      <c r="AI557" s="1" t="str">
        <f t="array" ref="AI557">IFERROR(INDEX('Исходник'!$1:$626,MATCH($A557,'Исходник'!$T:$T,0),MATCH(AI$1,'Исходник'!$1:$1,0)))</f>
        <v/>
      </c>
      <c r="AJ557" s="18">
        <f t="shared" si="15"/>
        <v>0</v>
      </c>
    </row>
    <row r="558" ht="15.75" customHeight="1">
      <c r="A558" s="27"/>
      <c r="B558" s="1" t="str">
        <f t="array" ref="B558">IFERROR(INDEX('Исходник'!$1:$626,MATCH($A558,'Исходник'!$T:$T,0),MATCH(B$1,'Исходник'!$1:$1,0)))</f>
        <v/>
      </c>
      <c r="C558" s="1" t="str">
        <f t="array" ref="C558">IFERROR(INDEX('Исходник'!$1:$626,MATCH($A558,'Исходник'!$T:$T,0),MATCH(C$1,'Исходник'!$1:$1,0)))</f>
        <v/>
      </c>
      <c r="D558" s="1" t="str">
        <f t="array" ref="D558">IFERROR(INDEX('Исходник'!$1:$626,MATCH($A558,'Исходник'!$T:$T,0),MATCH(D$1,'Исходник'!$1:$1,0)))</f>
        <v/>
      </c>
      <c r="E558" s="1" t="str">
        <f t="array" ref="E558">IFERROR(INDEX('Исходник'!$1:$626,MATCH($A558,'Исходник'!$T:$T,0),MATCH(E$1,'Исходник'!$1:$1,0)))</f>
        <v/>
      </c>
      <c r="F558" s="1" t="str">
        <f t="array" ref="F558">IFERROR(INDEX('Исходник'!$1:$626,MATCH($A558,'Исходник'!$T:$T,0),MATCH(F$1,'Исходник'!$1:$1,0)))</f>
        <v/>
      </c>
      <c r="G558" s="1" t="str">
        <f t="array" ref="G558">IFERROR(INDEX('Исходник'!$1:$626,MATCH($A558,'Исходник'!$T:$T,0),MATCH(G$1,'Исходник'!$1:$1,0)))</f>
        <v/>
      </c>
      <c r="H558" s="27">
        <f t="shared" si="1"/>
        <v>0</v>
      </c>
      <c r="I558" s="27" t="str">
        <f t="shared" si="2"/>
        <v/>
      </c>
      <c r="J558" s="1" t="str">
        <f t="array" ref="J558">IFERROR(INDEX('Исходник'!$1:$626,MATCH($A558,'Исходник'!$T:$T,0),MATCH(J$1,'Исходник'!$1:$1,0)))</f>
        <v/>
      </c>
      <c r="K558" s="27" t="str">
        <f t="shared" si="3"/>
        <v/>
      </c>
      <c r="L558" s="1" t="str">
        <f t="array" ref="L558">IFERROR(INDEX('Исходник'!$1:$626,MATCH($A558,'Исходник'!$T:$T,0),MATCH(L$1,'Исходник'!$1:$1,0)))</f>
        <v/>
      </c>
      <c r="M558" s="28">
        <f t="shared" si="4"/>
        <v>0</v>
      </c>
      <c r="N558" s="1" t="str">
        <f t="array" ref="N558">IFERROR(INDEX('Исходник'!$1:$626,MATCH($A558,'Исходник'!$T:$T,0),MATCH(N$1,'Исходник'!$1:$1,0)))</f>
        <v/>
      </c>
      <c r="O558" s="27">
        <f t="shared" si="5"/>
        <v>0</v>
      </c>
      <c r="P558" s="27" t="str">
        <f t="shared" si="6"/>
        <v/>
      </c>
      <c r="Q558" s="1" t="str">
        <f t="array" ref="Q558">IFERROR(INDEX('Исходник'!$1:$626,MATCH($A558,'Исходник'!$T:$T,0),MATCH(Q$1,'Исходник'!$1:$1,0)))</f>
        <v/>
      </c>
      <c r="R558" s="1" t="str">
        <f t="array" ref="R558">IFERROR(INDEX('Исходник'!$1:$626,MATCH($A558,'Исходник'!$T:$T,0),MATCH(R$1,'Исходник'!$1:$1,0)))</f>
        <v/>
      </c>
      <c r="S558" s="27">
        <f t="shared" si="7"/>
        <v>0</v>
      </c>
      <c r="T558" s="27" t="str">
        <f t="shared" si="8"/>
        <v/>
      </c>
      <c r="U558" s="1" t="str">
        <f t="array" ref="U558">IFERROR(INDEX('Исходник'!$1:$626,MATCH($A558,'Исходник'!$T:$T,0),MATCH(U$1,'Исходник'!$1:$1,0)))</f>
        <v/>
      </c>
      <c r="V558" s="27" t="str">
        <f t="shared" si="9"/>
        <v/>
      </c>
      <c r="W558" s="1" t="str">
        <f t="array" ref="W558">IFERROR(INDEX('Исходник'!$1:$626,MATCH($A558,'Исходник'!$T:$T,0),MATCH(W$1,'Исходник'!$1:$1,0)))</f>
        <v/>
      </c>
      <c r="X558" s="28">
        <f t="shared" si="10"/>
        <v>0</v>
      </c>
      <c r="Y558" s="1" t="str">
        <f t="array" ref="Y558">IFERROR(INDEX('Исходник'!$1:$626,MATCH($A558,'Исходник'!$T:$T,0),MATCH(Y$1,'Исходник'!$1:$1,0)))</f>
        <v/>
      </c>
      <c r="Z558" s="27">
        <f t="shared" si="11"/>
        <v>0</v>
      </c>
      <c r="AA558" s="27" t="str">
        <f t="shared" si="12"/>
        <v/>
      </c>
      <c r="AB558" s="1" t="str">
        <f t="array" ref="AB558">IFERROR(INDEX('Исходник'!$1:$626,MATCH($A558,'Исходник'!$T:$T,0),MATCH(AB$1,'Исходник'!$1:$1,0)))</f>
        <v/>
      </c>
      <c r="AC558" s="1" t="str">
        <f t="array" ref="AC558">IFERROR(INDEX('Исходник'!$1:$626,MATCH($A558,'Исходник'!$T:$T,0),MATCH(AC$1,'Исходник'!$1:$1,0)))</f>
        <v/>
      </c>
      <c r="AD558" s="27" t="str">
        <f t="shared" si="13"/>
        <v/>
      </c>
      <c r="AE558" s="1" t="str">
        <f t="array" ref="AE558">IFERROR(INDEX('Исходник'!$1:$626,MATCH($A558,'Исходник'!$T:$T,0),MATCH(AE$1,'Исходник'!$1:$1,0)))</f>
        <v/>
      </c>
      <c r="AF558" s="1" t="str">
        <f t="array" ref="AF558">IFERROR(INDEX('Исходник'!$1:$626,MATCH($A558,'Исходник'!$T:$T,0),MATCH(AF$1,'Исходник'!$1:$1,0)))</f>
        <v/>
      </c>
      <c r="AG558" s="27" t="str">
        <f t="shared" si="14"/>
        <v/>
      </c>
      <c r="AH558" s="1" t="str">
        <f t="array" ref="AH558">IFERROR(INDEX('Исходник'!$1:$626,MATCH($A558,'Исходник'!$T:$T,0),MATCH(AH$1,'Исходник'!$1:$1,0)))</f>
        <v/>
      </c>
      <c r="AI558" s="1" t="str">
        <f t="array" ref="AI558">IFERROR(INDEX('Исходник'!$1:$626,MATCH($A558,'Исходник'!$T:$T,0),MATCH(AI$1,'Исходник'!$1:$1,0)))</f>
        <v/>
      </c>
      <c r="AJ558" s="18">
        <f t="shared" si="15"/>
        <v>0</v>
      </c>
    </row>
    <row r="559" ht="15.75" customHeight="1">
      <c r="A559" s="27"/>
      <c r="B559" s="1" t="str">
        <f t="array" ref="B559">IFERROR(INDEX('Исходник'!$1:$626,MATCH($A559,'Исходник'!$T:$T,0),MATCH(B$1,'Исходник'!$1:$1,0)))</f>
        <v/>
      </c>
      <c r="C559" s="1" t="str">
        <f t="array" ref="C559">IFERROR(INDEX('Исходник'!$1:$626,MATCH($A559,'Исходник'!$T:$T,0),MATCH(C$1,'Исходник'!$1:$1,0)))</f>
        <v/>
      </c>
      <c r="D559" s="1" t="str">
        <f t="array" ref="D559">IFERROR(INDEX('Исходник'!$1:$626,MATCH($A559,'Исходник'!$T:$T,0),MATCH(D$1,'Исходник'!$1:$1,0)))</f>
        <v/>
      </c>
      <c r="E559" s="1" t="str">
        <f t="array" ref="E559">IFERROR(INDEX('Исходник'!$1:$626,MATCH($A559,'Исходник'!$T:$T,0),MATCH(E$1,'Исходник'!$1:$1,0)))</f>
        <v/>
      </c>
      <c r="F559" s="1" t="str">
        <f t="array" ref="F559">IFERROR(INDEX('Исходник'!$1:$626,MATCH($A559,'Исходник'!$T:$T,0),MATCH(F$1,'Исходник'!$1:$1,0)))</f>
        <v/>
      </c>
      <c r="G559" s="1" t="str">
        <f t="array" ref="G559">IFERROR(INDEX('Исходник'!$1:$626,MATCH($A559,'Исходник'!$T:$T,0),MATCH(G$1,'Исходник'!$1:$1,0)))</f>
        <v/>
      </c>
      <c r="H559" s="27">
        <f t="shared" si="1"/>
        <v>0</v>
      </c>
      <c r="I559" s="27" t="str">
        <f t="shared" si="2"/>
        <v/>
      </c>
      <c r="J559" s="1" t="str">
        <f t="array" ref="J559">IFERROR(INDEX('Исходник'!$1:$626,MATCH($A559,'Исходник'!$T:$T,0),MATCH(J$1,'Исходник'!$1:$1,0)))</f>
        <v/>
      </c>
      <c r="K559" s="27" t="str">
        <f t="shared" si="3"/>
        <v/>
      </c>
      <c r="L559" s="1" t="str">
        <f t="array" ref="L559">IFERROR(INDEX('Исходник'!$1:$626,MATCH($A559,'Исходник'!$T:$T,0),MATCH(L$1,'Исходник'!$1:$1,0)))</f>
        <v/>
      </c>
      <c r="M559" s="28">
        <f t="shared" si="4"/>
        <v>0</v>
      </c>
      <c r="N559" s="1" t="str">
        <f t="array" ref="N559">IFERROR(INDEX('Исходник'!$1:$626,MATCH($A559,'Исходник'!$T:$T,0),MATCH(N$1,'Исходник'!$1:$1,0)))</f>
        <v/>
      </c>
      <c r="O559" s="27">
        <f t="shared" si="5"/>
        <v>0</v>
      </c>
      <c r="P559" s="27" t="str">
        <f t="shared" si="6"/>
        <v/>
      </c>
      <c r="Q559" s="1" t="str">
        <f t="array" ref="Q559">IFERROR(INDEX('Исходник'!$1:$626,MATCH($A559,'Исходник'!$T:$T,0),MATCH(Q$1,'Исходник'!$1:$1,0)))</f>
        <v/>
      </c>
      <c r="R559" s="1" t="str">
        <f t="array" ref="R559">IFERROR(INDEX('Исходник'!$1:$626,MATCH($A559,'Исходник'!$T:$T,0),MATCH(R$1,'Исходник'!$1:$1,0)))</f>
        <v/>
      </c>
      <c r="S559" s="27">
        <f t="shared" si="7"/>
        <v>0</v>
      </c>
      <c r="T559" s="27" t="str">
        <f t="shared" si="8"/>
        <v/>
      </c>
      <c r="U559" s="1" t="str">
        <f t="array" ref="U559">IFERROR(INDEX('Исходник'!$1:$626,MATCH($A559,'Исходник'!$T:$T,0),MATCH(U$1,'Исходник'!$1:$1,0)))</f>
        <v/>
      </c>
      <c r="V559" s="27" t="str">
        <f t="shared" si="9"/>
        <v/>
      </c>
      <c r="W559" s="1" t="str">
        <f t="array" ref="W559">IFERROR(INDEX('Исходник'!$1:$626,MATCH($A559,'Исходник'!$T:$T,0),MATCH(W$1,'Исходник'!$1:$1,0)))</f>
        <v/>
      </c>
      <c r="X559" s="28">
        <f t="shared" si="10"/>
        <v>0</v>
      </c>
      <c r="Y559" s="1" t="str">
        <f t="array" ref="Y559">IFERROR(INDEX('Исходник'!$1:$626,MATCH($A559,'Исходник'!$T:$T,0),MATCH(Y$1,'Исходник'!$1:$1,0)))</f>
        <v/>
      </c>
      <c r="Z559" s="27">
        <f t="shared" si="11"/>
        <v>0</v>
      </c>
      <c r="AA559" s="27" t="str">
        <f t="shared" si="12"/>
        <v/>
      </c>
      <c r="AB559" s="1" t="str">
        <f t="array" ref="AB559">IFERROR(INDEX('Исходник'!$1:$626,MATCH($A559,'Исходник'!$T:$T,0),MATCH(AB$1,'Исходник'!$1:$1,0)))</f>
        <v/>
      </c>
      <c r="AC559" s="1" t="str">
        <f t="array" ref="AC559">IFERROR(INDEX('Исходник'!$1:$626,MATCH($A559,'Исходник'!$T:$T,0),MATCH(AC$1,'Исходник'!$1:$1,0)))</f>
        <v/>
      </c>
      <c r="AD559" s="27" t="str">
        <f t="shared" si="13"/>
        <v/>
      </c>
      <c r="AE559" s="1" t="str">
        <f t="array" ref="AE559">IFERROR(INDEX('Исходник'!$1:$626,MATCH($A559,'Исходник'!$T:$T,0),MATCH(AE$1,'Исходник'!$1:$1,0)))</f>
        <v/>
      </c>
      <c r="AF559" s="1" t="str">
        <f t="array" ref="AF559">IFERROR(INDEX('Исходник'!$1:$626,MATCH($A559,'Исходник'!$T:$T,0),MATCH(AF$1,'Исходник'!$1:$1,0)))</f>
        <v/>
      </c>
      <c r="AG559" s="27" t="str">
        <f t="shared" si="14"/>
        <v/>
      </c>
      <c r="AH559" s="1" t="str">
        <f t="array" ref="AH559">IFERROR(INDEX('Исходник'!$1:$626,MATCH($A559,'Исходник'!$T:$T,0),MATCH(AH$1,'Исходник'!$1:$1,0)))</f>
        <v/>
      </c>
      <c r="AI559" s="1" t="str">
        <f t="array" ref="AI559">IFERROR(INDEX('Исходник'!$1:$626,MATCH($A559,'Исходник'!$T:$T,0),MATCH(AI$1,'Исходник'!$1:$1,0)))</f>
        <v/>
      </c>
      <c r="AJ559" s="18">
        <f t="shared" si="15"/>
        <v>0</v>
      </c>
    </row>
    <row r="560" ht="15.75" customHeight="1">
      <c r="A560" s="27"/>
      <c r="B560" s="1" t="str">
        <f t="array" ref="B560">IFERROR(INDEX('Исходник'!$1:$626,MATCH($A560,'Исходник'!$T:$T,0),MATCH(B$1,'Исходник'!$1:$1,0)))</f>
        <v/>
      </c>
      <c r="C560" s="1" t="str">
        <f t="array" ref="C560">IFERROR(INDEX('Исходник'!$1:$626,MATCH($A560,'Исходник'!$T:$T,0),MATCH(C$1,'Исходник'!$1:$1,0)))</f>
        <v/>
      </c>
      <c r="D560" s="1" t="str">
        <f t="array" ref="D560">IFERROR(INDEX('Исходник'!$1:$626,MATCH($A560,'Исходник'!$T:$T,0),MATCH(D$1,'Исходник'!$1:$1,0)))</f>
        <v/>
      </c>
      <c r="E560" s="1" t="str">
        <f t="array" ref="E560">IFERROR(INDEX('Исходник'!$1:$626,MATCH($A560,'Исходник'!$T:$T,0),MATCH(E$1,'Исходник'!$1:$1,0)))</f>
        <v/>
      </c>
      <c r="F560" s="1" t="str">
        <f t="array" ref="F560">IFERROR(INDEX('Исходник'!$1:$626,MATCH($A560,'Исходник'!$T:$T,0),MATCH(F$1,'Исходник'!$1:$1,0)))</f>
        <v/>
      </c>
      <c r="G560" s="1" t="str">
        <f t="array" ref="G560">IFERROR(INDEX('Исходник'!$1:$626,MATCH($A560,'Исходник'!$T:$T,0),MATCH(G$1,'Исходник'!$1:$1,0)))</f>
        <v/>
      </c>
      <c r="H560" s="27">
        <f t="shared" si="1"/>
        <v>0</v>
      </c>
      <c r="I560" s="27" t="str">
        <f t="shared" si="2"/>
        <v/>
      </c>
      <c r="J560" s="1" t="str">
        <f t="array" ref="J560">IFERROR(INDEX('Исходник'!$1:$626,MATCH($A560,'Исходник'!$T:$T,0),MATCH(J$1,'Исходник'!$1:$1,0)))</f>
        <v/>
      </c>
      <c r="K560" s="27" t="str">
        <f t="shared" si="3"/>
        <v/>
      </c>
      <c r="L560" s="1" t="str">
        <f t="array" ref="L560">IFERROR(INDEX('Исходник'!$1:$626,MATCH($A560,'Исходник'!$T:$T,0),MATCH(L$1,'Исходник'!$1:$1,0)))</f>
        <v/>
      </c>
      <c r="M560" s="28">
        <f t="shared" si="4"/>
        <v>0</v>
      </c>
      <c r="N560" s="1" t="str">
        <f t="array" ref="N560">IFERROR(INDEX('Исходник'!$1:$626,MATCH($A560,'Исходник'!$T:$T,0),MATCH(N$1,'Исходник'!$1:$1,0)))</f>
        <v/>
      </c>
      <c r="O560" s="27">
        <f t="shared" si="5"/>
        <v>0</v>
      </c>
      <c r="P560" s="27" t="str">
        <f t="shared" si="6"/>
        <v/>
      </c>
      <c r="Q560" s="1" t="str">
        <f t="array" ref="Q560">IFERROR(INDEX('Исходник'!$1:$626,MATCH($A560,'Исходник'!$T:$T,0),MATCH(Q$1,'Исходник'!$1:$1,0)))</f>
        <v/>
      </c>
      <c r="R560" s="1" t="str">
        <f t="array" ref="R560">IFERROR(INDEX('Исходник'!$1:$626,MATCH($A560,'Исходник'!$T:$T,0),MATCH(R$1,'Исходник'!$1:$1,0)))</f>
        <v/>
      </c>
      <c r="S560" s="27">
        <f t="shared" si="7"/>
        <v>0</v>
      </c>
      <c r="T560" s="27" t="str">
        <f t="shared" si="8"/>
        <v/>
      </c>
      <c r="U560" s="1" t="str">
        <f t="array" ref="U560">IFERROR(INDEX('Исходник'!$1:$626,MATCH($A560,'Исходник'!$T:$T,0),MATCH(U$1,'Исходник'!$1:$1,0)))</f>
        <v/>
      </c>
      <c r="V560" s="27" t="str">
        <f t="shared" si="9"/>
        <v/>
      </c>
      <c r="W560" s="1" t="str">
        <f t="array" ref="W560">IFERROR(INDEX('Исходник'!$1:$626,MATCH($A560,'Исходник'!$T:$T,0),MATCH(W$1,'Исходник'!$1:$1,0)))</f>
        <v/>
      </c>
      <c r="X560" s="28">
        <f t="shared" si="10"/>
        <v>0</v>
      </c>
      <c r="Y560" s="1" t="str">
        <f t="array" ref="Y560">IFERROR(INDEX('Исходник'!$1:$626,MATCH($A560,'Исходник'!$T:$T,0),MATCH(Y$1,'Исходник'!$1:$1,0)))</f>
        <v/>
      </c>
      <c r="Z560" s="27">
        <f t="shared" si="11"/>
        <v>0</v>
      </c>
      <c r="AA560" s="27" t="str">
        <f t="shared" si="12"/>
        <v/>
      </c>
      <c r="AB560" s="1" t="str">
        <f t="array" ref="AB560">IFERROR(INDEX('Исходник'!$1:$626,MATCH($A560,'Исходник'!$T:$T,0),MATCH(AB$1,'Исходник'!$1:$1,0)))</f>
        <v/>
      </c>
      <c r="AC560" s="1" t="str">
        <f t="array" ref="AC560">IFERROR(INDEX('Исходник'!$1:$626,MATCH($A560,'Исходник'!$T:$T,0),MATCH(AC$1,'Исходник'!$1:$1,0)))</f>
        <v/>
      </c>
      <c r="AD560" s="27" t="str">
        <f t="shared" si="13"/>
        <v/>
      </c>
      <c r="AE560" s="1" t="str">
        <f t="array" ref="AE560">IFERROR(INDEX('Исходник'!$1:$626,MATCH($A560,'Исходник'!$T:$T,0),MATCH(AE$1,'Исходник'!$1:$1,0)))</f>
        <v/>
      </c>
      <c r="AF560" s="1" t="str">
        <f t="array" ref="AF560">IFERROR(INDEX('Исходник'!$1:$626,MATCH($A560,'Исходник'!$T:$T,0),MATCH(AF$1,'Исходник'!$1:$1,0)))</f>
        <v/>
      </c>
      <c r="AG560" s="27" t="str">
        <f t="shared" si="14"/>
        <v/>
      </c>
      <c r="AH560" s="1" t="str">
        <f t="array" ref="AH560">IFERROR(INDEX('Исходник'!$1:$626,MATCH($A560,'Исходник'!$T:$T,0),MATCH(AH$1,'Исходник'!$1:$1,0)))</f>
        <v/>
      </c>
      <c r="AI560" s="1" t="str">
        <f t="array" ref="AI560">IFERROR(INDEX('Исходник'!$1:$626,MATCH($A560,'Исходник'!$T:$T,0),MATCH(AI$1,'Исходник'!$1:$1,0)))</f>
        <v/>
      </c>
      <c r="AJ560" s="18">
        <f t="shared" si="15"/>
        <v>0</v>
      </c>
    </row>
    <row r="561" ht="15.75" customHeight="1">
      <c r="A561" s="27"/>
      <c r="B561" s="1" t="str">
        <f t="array" ref="B561">IFERROR(INDEX('Исходник'!$1:$626,MATCH($A561,'Исходник'!$T:$T,0),MATCH(B$1,'Исходник'!$1:$1,0)))</f>
        <v/>
      </c>
      <c r="C561" s="1" t="str">
        <f t="array" ref="C561">IFERROR(INDEX('Исходник'!$1:$626,MATCH($A561,'Исходник'!$T:$T,0),MATCH(C$1,'Исходник'!$1:$1,0)))</f>
        <v/>
      </c>
      <c r="D561" s="1" t="str">
        <f t="array" ref="D561">IFERROR(INDEX('Исходник'!$1:$626,MATCH($A561,'Исходник'!$T:$T,0),MATCH(D$1,'Исходник'!$1:$1,0)))</f>
        <v/>
      </c>
      <c r="E561" s="1" t="str">
        <f t="array" ref="E561">IFERROR(INDEX('Исходник'!$1:$626,MATCH($A561,'Исходник'!$T:$T,0),MATCH(E$1,'Исходник'!$1:$1,0)))</f>
        <v/>
      </c>
      <c r="F561" s="1" t="str">
        <f t="array" ref="F561">IFERROR(INDEX('Исходник'!$1:$626,MATCH($A561,'Исходник'!$T:$T,0),MATCH(F$1,'Исходник'!$1:$1,0)))</f>
        <v/>
      </c>
      <c r="G561" s="1" t="str">
        <f t="array" ref="G561">IFERROR(INDEX('Исходник'!$1:$626,MATCH($A561,'Исходник'!$T:$T,0),MATCH(G$1,'Исходник'!$1:$1,0)))</f>
        <v/>
      </c>
      <c r="H561" s="27">
        <f t="shared" si="1"/>
        <v>0</v>
      </c>
      <c r="I561" s="27" t="str">
        <f t="shared" si="2"/>
        <v/>
      </c>
      <c r="J561" s="1" t="str">
        <f t="array" ref="J561">IFERROR(INDEX('Исходник'!$1:$626,MATCH($A561,'Исходник'!$T:$T,0),MATCH(J$1,'Исходник'!$1:$1,0)))</f>
        <v/>
      </c>
      <c r="K561" s="27" t="str">
        <f t="shared" si="3"/>
        <v/>
      </c>
      <c r="L561" s="1" t="str">
        <f t="array" ref="L561">IFERROR(INDEX('Исходник'!$1:$626,MATCH($A561,'Исходник'!$T:$T,0),MATCH(L$1,'Исходник'!$1:$1,0)))</f>
        <v/>
      </c>
      <c r="M561" s="28">
        <f t="shared" si="4"/>
        <v>0</v>
      </c>
      <c r="N561" s="1" t="str">
        <f t="array" ref="N561">IFERROR(INDEX('Исходник'!$1:$626,MATCH($A561,'Исходник'!$T:$T,0),MATCH(N$1,'Исходник'!$1:$1,0)))</f>
        <v/>
      </c>
      <c r="O561" s="27">
        <f t="shared" si="5"/>
        <v>0</v>
      </c>
      <c r="P561" s="27" t="str">
        <f t="shared" si="6"/>
        <v/>
      </c>
      <c r="Q561" s="1" t="str">
        <f t="array" ref="Q561">IFERROR(INDEX('Исходник'!$1:$626,MATCH($A561,'Исходник'!$T:$T,0),MATCH(Q$1,'Исходник'!$1:$1,0)))</f>
        <v/>
      </c>
      <c r="R561" s="1" t="str">
        <f t="array" ref="R561">IFERROR(INDEX('Исходник'!$1:$626,MATCH($A561,'Исходник'!$T:$T,0),MATCH(R$1,'Исходник'!$1:$1,0)))</f>
        <v/>
      </c>
      <c r="S561" s="27">
        <f t="shared" si="7"/>
        <v>0</v>
      </c>
      <c r="T561" s="27" t="str">
        <f t="shared" si="8"/>
        <v/>
      </c>
      <c r="U561" s="1" t="str">
        <f t="array" ref="U561">IFERROR(INDEX('Исходник'!$1:$626,MATCH($A561,'Исходник'!$T:$T,0),MATCH(U$1,'Исходник'!$1:$1,0)))</f>
        <v/>
      </c>
      <c r="V561" s="27" t="str">
        <f t="shared" si="9"/>
        <v/>
      </c>
      <c r="W561" s="1" t="str">
        <f t="array" ref="W561">IFERROR(INDEX('Исходник'!$1:$626,MATCH($A561,'Исходник'!$T:$T,0),MATCH(W$1,'Исходник'!$1:$1,0)))</f>
        <v/>
      </c>
      <c r="X561" s="28">
        <f t="shared" si="10"/>
        <v>0</v>
      </c>
      <c r="Y561" s="1" t="str">
        <f t="array" ref="Y561">IFERROR(INDEX('Исходник'!$1:$626,MATCH($A561,'Исходник'!$T:$T,0),MATCH(Y$1,'Исходник'!$1:$1,0)))</f>
        <v/>
      </c>
      <c r="Z561" s="27">
        <f t="shared" si="11"/>
        <v>0</v>
      </c>
      <c r="AA561" s="27" t="str">
        <f t="shared" si="12"/>
        <v/>
      </c>
      <c r="AB561" s="1" t="str">
        <f t="array" ref="AB561">IFERROR(INDEX('Исходник'!$1:$626,MATCH($A561,'Исходник'!$T:$T,0),MATCH(AB$1,'Исходник'!$1:$1,0)))</f>
        <v/>
      </c>
      <c r="AC561" s="1" t="str">
        <f t="array" ref="AC561">IFERROR(INDEX('Исходник'!$1:$626,MATCH($A561,'Исходник'!$T:$T,0),MATCH(AC$1,'Исходник'!$1:$1,0)))</f>
        <v/>
      </c>
      <c r="AD561" s="27" t="str">
        <f t="shared" si="13"/>
        <v/>
      </c>
      <c r="AE561" s="1" t="str">
        <f t="array" ref="AE561">IFERROR(INDEX('Исходник'!$1:$626,MATCH($A561,'Исходник'!$T:$T,0),MATCH(AE$1,'Исходник'!$1:$1,0)))</f>
        <v/>
      </c>
      <c r="AF561" s="1" t="str">
        <f t="array" ref="AF561">IFERROR(INDEX('Исходник'!$1:$626,MATCH($A561,'Исходник'!$T:$T,0),MATCH(AF$1,'Исходник'!$1:$1,0)))</f>
        <v/>
      </c>
      <c r="AG561" s="27" t="str">
        <f t="shared" si="14"/>
        <v/>
      </c>
      <c r="AH561" s="1" t="str">
        <f t="array" ref="AH561">IFERROR(INDEX('Исходник'!$1:$626,MATCH($A561,'Исходник'!$T:$T,0),MATCH(AH$1,'Исходник'!$1:$1,0)))</f>
        <v/>
      </c>
      <c r="AI561" s="1" t="str">
        <f t="array" ref="AI561">IFERROR(INDEX('Исходник'!$1:$626,MATCH($A561,'Исходник'!$T:$T,0),MATCH(AI$1,'Исходник'!$1:$1,0)))</f>
        <v/>
      </c>
      <c r="AJ561" s="18">
        <f t="shared" si="15"/>
        <v>0</v>
      </c>
    </row>
    <row r="562" ht="15.75" customHeight="1">
      <c r="A562" s="27"/>
      <c r="B562" s="1" t="str">
        <f t="array" ref="B562">IFERROR(INDEX('Исходник'!$1:$626,MATCH($A562,'Исходник'!$T:$T,0),MATCH(B$1,'Исходник'!$1:$1,0)))</f>
        <v/>
      </c>
      <c r="C562" s="1" t="str">
        <f t="array" ref="C562">IFERROR(INDEX('Исходник'!$1:$626,MATCH($A562,'Исходник'!$T:$T,0),MATCH(C$1,'Исходник'!$1:$1,0)))</f>
        <v/>
      </c>
      <c r="D562" s="1" t="str">
        <f t="array" ref="D562">IFERROR(INDEX('Исходник'!$1:$626,MATCH($A562,'Исходник'!$T:$T,0),MATCH(D$1,'Исходник'!$1:$1,0)))</f>
        <v/>
      </c>
      <c r="E562" s="1" t="str">
        <f t="array" ref="E562">IFERROR(INDEX('Исходник'!$1:$626,MATCH($A562,'Исходник'!$T:$T,0),MATCH(E$1,'Исходник'!$1:$1,0)))</f>
        <v/>
      </c>
      <c r="F562" s="1" t="str">
        <f t="array" ref="F562">IFERROR(INDEX('Исходник'!$1:$626,MATCH($A562,'Исходник'!$T:$T,0),MATCH(F$1,'Исходник'!$1:$1,0)))</f>
        <v/>
      </c>
      <c r="G562" s="1" t="str">
        <f t="array" ref="G562">IFERROR(INDEX('Исходник'!$1:$626,MATCH($A562,'Исходник'!$T:$T,0),MATCH(G$1,'Исходник'!$1:$1,0)))</f>
        <v/>
      </c>
      <c r="H562" s="27">
        <f t="shared" si="1"/>
        <v>0</v>
      </c>
      <c r="I562" s="27" t="str">
        <f t="shared" si="2"/>
        <v/>
      </c>
      <c r="J562" s="1" t="str">
        <f t="array" ref="J562">IFERROR(INDEX('Исходник'!$1:$626,MATCH($A562,'Исходник'!$T:$T,0),MATCH(J$1,'Исходник'!$1:$1,0)))</f>
        <v/>
      </c>
      <c r="K562" s="27" t="str">
        <f t="shared" si="3"/>
        <v/>
      </c>
      <c r="L562" s="1" t="str">
        <f t="array" ref="L562">IFERROR(INDEX('Исходник'!$1:$626,MATCH($A562,'Исходник'!$T:$T,0),MATCH(L$1,'Исходник'!$1:$1,0)))</f>
        <v/>
      </c>
      <c r="M562" s="28">
        <f t="shared" si="4"/>
        <v>0</v>
      </c>
      <c r="N562" s="1" t="str">
        <f t="array" ref="N562">IFERROR(INDEX('Исходник'!$1:$626,MATCH($A562,'Исходник'!$T:$T,0),MATCH(N$1,'Исходник'!$1:$1,0)))</f>
        <v/>
      </c>
      <c r="O562" s="27">
        <f t="shared" si="5"/>
        <v>0</v>
      </c>
      <c r="P562" s="27" t="str">
        <f t="shared" si="6"/>
        <v/>
      </c>
      <c r="Q562" s="1" t="str">
        <f t="array" ref="Q562">IFERROR(INDEX('Исходник'!$1:$626,MATCH($A562,'Исходник'!$T:$T,0),MATCH(Q$1,'Исходник'!$1:$1,0)))</f>
        <v/>
      </c>
      <c r="R562" s="1" t="str">
        <f t="array" ref="R562">IFERROR(INDEX('Исходник'!$1:$626,MATCH($A562,'Исходник'!$T:$T,0),MATCH(R$1,'Исходник'!$1:$1,0)))</f>
        <v/>
      </c>
      <c r="S562" s="27">
        <f t="shared" si="7"/>
        <v>0</v>
      </c>
      <c r="T562" s="27" t="str">
        <f t="shared" si="8"/>
        <v/>
      </c>
      <c r="U562" s="1" t="str">
        <f t="array" ref="U562">IFERROR(INDEX('Исходник'!$1:$626,MATCH($A562,'Исходник'!$T:$T,0),MATCH(U$1,'Исходник'!$1:$1,0)))</f>
        <v/>
      </c>
      <c r="V562" s="27" t="str">
        <f t="shared" si="9"/>
        <v/>
      </c>
      <c r="W562" s="1" t="str">
        <f t="array" ref="W562">IFERROR(INDEX('Исходник'!$1:$626,MATCH($A562,'Исходник'!$T:$T,0),MATCH(W$1,'Исходник'!$1:$1,0)))</f>
        <v/>
      </c>
      <c r="X562" s="28">
        <f t="shared" si="10"/>
        <v>0</v>
      </c>
      <c r="Y562" s="1" t="str">
        <f t="array" ref="Y562">IFERROR(INDEX('Исходник'!$1:$626,MATCH($A562,'Исходник'!$T:$T,0),MATCH(Y$1,'Исходник'!$1:$1,0)))</f>
        <v/>
      </c>
      <c r="Z562" s="27">
        <f t="shared" si="11"/>
        <v>0</v>
      </c>
      <c r="AA562" s="27" t="str">
        <f t="shared" si="12"/>
        <v/>
      </c>
      <c r="AB562" s="1" t="str">
        <f t="array" ref="AB562">IFERROR(INDEX('Исходник'!$1:$626,MATCH($A562,'Исходник'!$T:$T,0),MATCH(AB$1,'Исходник'!$1:$1,0)))</f>
        <v/>
      </c>
      <c r="AC562" s="1" t="str">
        <f t="array" ref="AC562">IFERROR(INDEX('Исходник'!$1:$626,MATCH($A562,'Исходник'!$T:$T,0),MATCH(AC$1,'Исходник'!$1:$1,0)))</f>
        <v/>
      </c>
      <c r="AD562" s="27" t="str">
        <f t="shared" si="13"/>
        <v/>
      </c>
      <c r="AE562" s="1" t="str">
        <f t="array" ref="AE562">IFERROR(INDEX('Исходник'!$1:$626,MATCH($A562,'Исходник'!$T:$T,0),MATCH(AE$1,'Исходник'!$1:$1,0)))</f>
        <v/>
      </c>
      <c r="AF562" s="1" t="str">
        <f t="array" ref="AF562">IFERROR(INDEX('Исходник'!$1:$626,MATCH($A562,'Исходник'!$T:$T,0),MATCH(AF$1,'Исходник'!$1:$1,0)))</f>
        <v/>
      </c>
      <c r="AG562" s="27" t="str">
        <f t="shared" si="14"/>
        <v/>
      </c>
      <c r="AH562" s="1" t="str">
        <f t="array" ref="AH562">IFERROR(INDEX('Исходник'!$1:$626,MATCH($A562,'Исходник'!$T:$T,0),MATCH(AH$1,'Исходник'!$1:$1,0)))</f>
        <v/>
      </c>
      <c r="AI562" s="1" t="str">
        <f t="array" ref="AI562">IFERROR(INDEX('Исходник'!$1:$626,MATCH($A562,'Исходник'!$T:$T,0),MATCH(AI$1,'Исходник'!$1:$1,0)))</f>
        <v/>
      </c>
      <c r="AJ562" s="18">
        <f t="shared" si="15"/>
        <v>0</v>
      </c>
    </row>
    <row r="563" ht="15.75" customHeight="1">
      <c r="A563" s="27"/>
      <c r="B563" s="1" t="str">
        <f t="array" ref="B563">IFERROR(INDEX('Исходник'!$1:$626,MATCH($A563,'Исходник'!$T:$T,0),MATCH(B$1,'Исходник'!$1:$1,0)))</f>
        <v/>
      </c>
      <c r="C563" s="1" t="str">
        <f t="array" ref="C563">IFERROR(INDEX('Исходник'!$1:$626,MATCH($A563,'Исходник'!$T:$T,0),MATCH(C$1,'Исходник'!$1:$1,0)))</f>
        <v/>
      </c>
      <c r="D563" s="1" t="str">
        <f t="array" ref="D563">IFERROR(INDEX('Исходник'!$1:$626,MATCH($A563,'Исходник'!$T:$T,0),MATCH(D$1,'Исходник'!$1:$1,0)))</f>
        <v/>
      </c>
      <c r="E563" s="1" t="str">
        <f t="array" ref="E563">IFERROR(INDEX('Исходник'!$1:$626,MATCH($A563,'Исходник'!$T:$T,0),MATCH(E$1,'Исходник'!$1:$1,0)))</f>
        <v/>
      </c>
      <c r="F563" s="1" t="str">
        <f t="array" ref="F563">IFERROR(INDEX('Исходник'!$1:$626,MATCH($A563,'Исходник'!$T:$T,0),MATCH(F$1,'Исходник'!$1:$1,0)))</f>
        <v/>
      </c>
      <c r="G563" s="1" t="str">
        <f t="array" ref="G563">IFERROR(INDEX('Исходник'!$1:$626,MATCH($A563,'Исходник'!$T:$T,0),MATCH(G$1,'Исходник'!$1:$1,0)))</f>
        <v/>
      </c>
      <c r="H563" s="27">
        <f t="shared" si="1"/>
        <v>0</v>
      </c>
      <c r="I563" s="27" t="str">
        <f t="shared" si="2"/>
        <v/>
      </c>
      <c r="J563" s="1" t="str">
        <f t="array" ref="J563">IFERROR(INDEX('Исходник'!$1:$626,MATCH($A563,'Исходник'!$T:$T,0),MATCH(J$1,'Исходник'!$1:$1,0)))</f>
        <v/>
      </c>
      <c r="K563" s="27" t="str">
        <f t="shared" si="3"/>
        <v/>
      </c>
      <c r="L563" s="1" t="str">
        <f t="array" ref="L563">IFERROR(INDEX('Исходник'!$1:$626,MATCH($A563,'Исходник'!$T:$T,0),MATCH(L$1,'Исходник'!$1:$1,0)))</f>
        <v/>
      </c>
      <c r="M563" s="28">
        <f t="shared" si="4"/>
        <v>0</v>
      </c>
      <c r="N563" s="1" t="str">
        <f t="array" ref="N563">IFERROR(INDEX('Исходник'!$1:$626,MATCH($A563,'Исходник'!$T:$T,0),MATCH(N$1,'Исходник'!$1:$1,0)))</f>
        <v/>
      </c>
      <c r="O563" s="27">
        <f t="shared" si="5"/>
        <v>0</v>
      </c>
      <c r="P563" s="27" t="str">
        <f t="shared" si="6"/>
        <v/>
      </c>
      <c r="Q563" s="1" t="str">
        <f t="array" ref="Q563">IFERROR(INDEX('Исходник'!$1:$626,MATCH($A563,'Исходник'!$T:$T,0),MATCH(Q$1,'Исходник'!$1:$1,0)))</f>
        <v/>
      </c>
      <c r="R563" s="1" t="str">
        <f t="array" ref="R563">IFERROR(INDEX('Исходник'!$1:$626,MATCH($A563,'Исходник'!$T:$T,0),MATCH(R$1,'Исходник'!$1:$1,0)))</f>
        <v/>
      </c>
      <c r="S563" s="27">
        <f t="shared" si="7"/>
        <v>0</v>
      </c>
      <c r="T563" s="27" t="str">
        <f t="shared" si="8"/>
        <v/>
      </c>
      <c r="U563" s="1" t="str">
        <f t="array" ref="U563">IFERROR(INDEX('Исходник'!$1:$626,MATCH($A563,'Исходник'!$T:$T,0),MATCH(U$1,'Исходник'!$1:$1,0)))</f>
        <v/>
      </c>
      <c r="V563" s="27" t="str">
        <f t="shared" si="9"/>
        <v/>
      </c>
      <c r="W563" s="1" t="str">
        <f t="array" ref="W563">IFERROR(INDEX('Исходник'!$1:$626,MATCH($A563,'Исходник'!$T:$T,0),MATCH(W$1,'Исходник'!$1:$1,0)))</f>
        <v/>
      </c>
      <c r="X563" s="28">
        <f t="shared" si="10"/>
        <v>0</v>
      </c>
      <c r="Y563" s="1" t="str">
        <f t="array" ref="Y563">IFERROR(INDEX('Исходник'!$1:$626,MATCH($A563,'Исходник'!$T:$T,0),MATCH(Y$1,'Исходник'!$1:$1,0)))</f>
        <v/>
      </c>
      <c r="Z563" s="27">
        <f t="shared" si="11"/>
        <v>0</v>
      </c>
      <c r="AA563" s="27" t="str">
        <f t="shared" si="12"/>
        <v/>
      </c>
      <c r="AB563" s="1" t="str">
        <f t="array" ref="AB563">IFERROR(INDEX('Исходник'!$1:$626,MATCH($A563,'Исходник'!$T:$T,0),MATCH(AB$1,'Исходник'!$1:$1,0)))</f>
        <v/>
      </c>
      <c r="AC563" s="1" t="str">
        <f t="array" ref="AC563">IFERROR(INDEX('Исходник'!$1:$626,MATCH($A563,'Исходник'!$T:$T,0),MATCH(AC$1,'Исходник'!$1:$1,0)))</f>
        <v/>
      </c>
      <c r="AD563" s="27" t="str">
        <f t="shared" si="13"/>
        <v/>
      </c>
      <c r="AE563" s="1" t="str">
        <f t="array" ref="AE563">IFERROR(INDEX('Исходник'!$1:$626,MATCH($A563,'Исходник'!$T:$T,0),MATCH(AE$1,'Исходник'!$1:$1,0)))</f>
        <v/>
      </c>
      <c r="AF563" s="1" t="str">
        <f t="array" ref="AF563">IFERROR(INDEX('Исходник'!$1:$626,MATCH($A563,'Исходник'!$T:$T,0),MATCH(AF$1,'Исходник'!$1:$1,0)))</f>
        <v/>
      </c>
      <c r="AG563" s="27" t="str">
        <f t="shared" si="14"/>
        <v/>
      </c>
      <c r="AH563" s="1" t="str">
        <f t="array" ref="AH563">IFERROR(INDEX('Исходник'!$1:$626,MATCH($A563,'Исходник'!$T:$T,0),MATCH(AH$1,'Исходник'!$1:$1,0)))</f>
        <v/>
      </c>
      <c r="AI563" s="1" t="str">
        <f t="array" ref="AI563">IFERROR(INDEX('Исходник'!$1:$626,MATCH($A563,'Исходник'!$T:$T,0),MATCH(AI$1,'Исходник'!$1:$1,0)))</f>
        <v/>
      </c>
      <c r="AJ563" s="18">
        <f t="shared" si="15"/>
        <v>0</v>
      </c>
    </row>
    <row r="564" ht="15.75" customHeight="1">
      <c r="A564" s="27"/>
      <c r="B564" s="1" t="str">
        <f t="array" ref="B564">IFERROR(INDEX('Исходник'!$1:$626,MATCH($A564,'Исходник'!$T:$T,0),MATCH(B$1,'Исходник'!$1:$1,0)))</f>
        <v/>
      </c>
      <c r="C564" s="1" t="str">
        <f t="array" ref="C564">IFERROR(INDEX('Исходник'!$1:$626,MATCH($A564,'Исходник'!$T:$T,0),MATCH(C$1,'Исходник'!$1:$1,0)))</f>
        <v/>
      </c>
      <c r="D564" s="1" t="str">
        <f t="array" ref="D564">IFERROR(INDEX('Исходник'!$1:$626,MATCH($A564,'Исходник'!$T:$T,0),MATCH(D$1,'Исходник'!$1:$1,0)))</f>
        <v/>
      </c>
      <c r="E564" s="1" t="str">
        <f t="array" ref="E564">IFERROR(INDEX('Исходник'!$1:$626,MATCH($A564,'Исходник'!$T:$T,0),MATCH(E$1,'Исходник'!$1:$1,0)))</f>
        <v/>
      </c>
      <c r="F564" s="1" t="str">
        <f t="array" ref="F564">IFERROR(INDEX('Исходник'!$1:$626,MATCH($A564,'Исходник'!$T:$T,0),MATCH(F$1,'Исходник'!$1:$1,0)))</f>
        <v/>
      </c>
      <c r="G564" s="1" t="str">
        <f t="array" ref="G564">IFERROR(INDEX('Исходник'!$1:$626,MATCH($A564,'Исходник'!$T:$T,0),MATCH(G$1,'Исходник'!$1:$1,0)))</f>
        <v/>
      </c>
      <c r="H564" s="27">
        <f t="shared" si="1"/>
        <v>0</v>
      </c>
      <c r="I564" s="27" t="str">
        <f t="shared" si="2"/>
        <v/>
      </c>
      <c r="J564" s="1" t="str">
        <f t="array" ref="J564">IFERROR(INDEX('Исходник'!$1:$626,MATCH($A564,'Исходник'!$T:$T,0),MATCH(J$1,'Исходник'!$1:$1,0)))</f>
        <v/>
      </c>
      <c r="K564" s="27" t="str">
        <f t="shared" si="3"/>
        <v/>
      </c>
      <c r="L564" s="1" t="str">
        <f t="array" ref="L564">IFERROR(INDEX('Исходник'!$1:$626,MATCH($A564,'Исходник'!$T:$T,0),MATCH(L$1,'Исходник'!$1:$1,0)))</f>
        <v/>
      </c>
      <c r="M564" s="28">
        <f t="shared" si="4"/>
        <v>0</v>
      </c>
      <c r="N564" s="1" t="str">
        <f t="array" ref="N564">IFERROR(INDEX('Исходник'!$1:$626,MATCH($A564,'Исходник'!$T:$T,0),MATCH(N$1,'Исходник'!$1:$1,0)))</f>
        <v/>
      </c>
      <c r="O564" s="27">
        <f t="shared" si="5"/>
        <v>0</v>
      </c>
      <c r="P564" s="27" t="str">
        <f t="shared" si="6"/>
        <v/>
      </c>
      <c r="Q564" s="1" t="str">
        <f t="array" ref="Q564">IFERROR(INDEX('Исходник'!$1:$626,MATCH($A564,'Исходник'!$T:$T,0),MATCH(Q$1,'Исходник'!$1:$1,0)))</f>
        <v/>
      </c>
      <c r="R564" s="1" t="str">
        <f t="array" ref="R564">IFERROR(INDEX('Исходник'!$1:$626,MATCH($A564,'Исходник'!$T:$T,0),MATCH(R$1,'Исходник'!$1:$1,0)))</f>
        <v/>
      </c>
      <c r="S564" s="27">
        <f t="shared" si="7"/>
        <v>0</v>
      </c>
      <c r="T564" s="27" t="str">
        <f t="shared" si="8"/>
        <v/>
      </c>
      <c r="U564" s="1" t="str">
        <f t="array" ref="U564">IFERROR(INDEX('Исходник'!$1:$626,MATCH($A564,'Исходник'!$T:$T,0),MATCH(U$1,'Исходник'!$1:$1,0)))</f>
        <v/>
      </c>
      <c r="V564" s="27" t="str">
        <f t="shared" si="9"/>
        <v/>
      </c>
      <c r="W564" s="1" t="str">
        <f t="array" ref="W564">IFERROR(INDEX('Исходник'!$1:$626,MATCH($A564,'Исходник'!$T:$T,0),MATCH(W$1,'Исходник'!$1:$1,0)))</f>
        <v/>
      </c>
      <c r="X564" s="28">
        <f t="shared" si="10"/>
        <v>0</v>
      </c>
      <c r="Y564" s="1" t="str">
        <f t="array" ref="Y564">IFERROR(INDEX('Исходник'!$1:$626,MATCH($A564,'Исходник'!$T:$T,0),MATCH(Y$1,'Исходник'!$1:$1,0)))</f>
        <v/>
      </c>
      <c r="Z564" s="27">
        <f t="shared" si="11"/>
        <v>0</v>
      </c>
      <c r="AA564" s="27" t="str">
        <f t="shared" si="12"/>
        <v/>
      </c>
      <c r="AB564" s="1" t="str">
        <f t="array" ref="AB564">IFERROR(INDEX('Исходник'!$1:$626,MATCH($A564,'Исходник'!$T:$T,0),MATCH(AB$1,'Исходник'!$1:$1,0)))</f>
        <v/>
      </c>
      <c r="AC564" s="1" t="str">
        <f t="array" ref="AC564">IFERROR(INDEX('Исходник'!$1:$626,MATCH($A564,'Исходник'!$T:$T,0),MATCH(AC$1,'Исходник'!$1:$1,0)))</f>
        <v/>
      </c>
      <c r="AD564" s="27" t="str">
        <f t="shared" si="13"/>
        <v/>
      </c>
      <c r="AE564" s="1" t="str">
        <f t="array" ref="AE564">IFERROR(INDEX('Исходник'!$1:$626,MATCH($A564,'Исходник'!$T:$T,0),MATCH(AE$1,'Исходник'!$1:$1,0)))</f>
        <v/>
      </c>
      <c r="AF564" s="1" t="str">
        <f t="array" ref="AF564">IFERROR(INDEX('Исходник'!$1:$626,MATCH($A564,'Исходник'!$T:$T,0),MATCH(AF$1,'Исходник'!$1:$1,0)))</f>
        <v/>
      </c>
      <c r="AG564" s="27" t="str">
        <f t="shared" si="14"/>
        <v/>
      </c>
      <c r="AH564" s="1" t="str">
        <f t="array" ref="AH564">IFERROR(INDEX('Исходник'!$1:$626,MATCH($A564,'Исходник'!$T:$T,0),MATCH(AH$1,'Исходник'!$1:$1,0)))</f>
        <v/>
      </c>
      <c r="AI564" s="1" t="str">
        <f t="array" ref="AI564">IFERROR(INDEX('Исходник'!$1:$626,MATCH($A564,'Исходник'!$T:$T,0),MATCH(AI$1,'Исходник'!$1:$1,0)))</f>
        <v/>
      </c>
      <c r="AJ564" s="18">
        <f t="shared" si="15"/>
        <v>0</v>
      </c>
    </row>
    <row r="565" ht="15.75" customHeight="1">
      <c r="A565" s="27"/>
      <c r="B565" s="1" t="str">
        <f t="array" ref="B565">IFERROR(INDEX('Исходник'!$1:$626,MATCH($A565,'Исходник'!$T:$T,0),MATCH(B$1,'Исходник'!$1:$1,0)))</f>
        <v/>
      </c>
      <c r="C565" s="1" t="str">
        <f t="array" ref="C565">IFERROR(INDEX('Исходник'!$1:$626,MATCH($A565,'Исходник'!$T:$T,0),MATCH(C$1,'Исходник'!$1:$1,0)))</f>
        <v/>
      </c>
      <c r="D565" s="1" t="str">
        <f t="array" ref="D565">IFERROR(INDEX('Исходник'!$1:$626,MATCH($A565,'Исходник'!$T:$T,0),MATCH(D$1,'Исходник'!$1:$1,0)))</f>
        <v/>
      </c>
      <c r="E565" s="1" t="str">
        <f t="array" ref="E565">IFERROR(INDEX('Исходник'!$1:$626,MATCH($A565,'Исходник'!$T:$T,0),MATCH(E$1,'Исходник'!$1:$1,0)))</f>
        <v/>
      </c>
      <c r="F565" s="1" t="str">
        <f t="array" ref="F565">IFERROR(INDEX('Исходник'!$1:$626,MATCH($A565,'Исходник'!$T:$T,0),MATCH(F$1,'Исходник'!$1:$1,0)))</f>
        <v/>
      </c>
      <c r="G565" s="1" t="str">
        <f t="array" ref="G565">IFERROR(INDEX('Исходник'!$1:$626,MATCH($A565,'Исходник'!$T:$T,0),MATCH(G$1,'Исходник'!$1:$1,0)))</f>
        <v/>
      </c>
      <c r="H565" s="27">
        <f t="shared" si="1"/>
        <v>0</v>
      </c>
      <c r="I565" s="27" t="str">
        <f t="shared" si="2"/>
        <v/>
      </c>
      <c r="J565" s="1" t="str">
        <f t="array" ref="J565">IFERROR(INDEX('Исходник'!$1:$626,MATCH($A565,'Исходник'!$T:$T,0),MATCH(J$1,'Исходник'!$1:$1,0)))</f>
        <v/>
      </c>
      <c r="K565" s="27" t="str">
        <f t="shared" si="3"/>
        <v/>
      </c>
      <c r="L565" s="1" t="str">
        <f t="array" ref="L565">IFERROR(INDEX('Исходник'!$1:$626,MATCH($A565,'Исходник'!$T:$T,0),MATCH(L$1,'Исходник'!$1:$1,0)))</f>
        <v/>
      </c>
      <c r="M565" s="28">
        <f t="shared" si="4"/>
        <v>0</v>
      </c>
      <c r="N565" s="1" t="str">
        <f t="array" ref="N565">IFERROR(INDEX('Исходник'!$1:$626,MATCH($A565,'Исходник'!$T:$T,0),MATCH(N$1,'Исходник'!$1:$1,0)))</f>
        <v/>
      </c>
      <c r="O565" s="27">
        <f t="shared" si="5"/>
        <v>0</v>
      </c>
      <c r="P565" s="27" t="str">
        <f t="shared" si="6"/>
        <v/>
      </c>
      <c r="Q565" s="1" t="str">
        <f t="array" ref="Q565">IFERROR(INDEX('Исходник'!$1:$626,MATCH($A565,'Исходник'!$T:$T,0),MATCH(Q$1,'Исходник'!$1:$1,0)))</f>
        <v/>
      </c>
      <c r="R565" s="1" t="str">
        <f t="array" ref="R565">IFERROR(INDEX('Исходник'!$1:$626,MATCH($A565,'Исходник'!$T:$T,0),MATCH(R$1,'Исходник'!$1:$1,0)))</f>
        <v/>
      </c>
      <c r="S565" s="27">
        <f t="shared" si="7"/>
        <v>0</v>
      </c>
      <c r="T565" s="27" t="str">
        <f t="shared" si="8"/>
        <v/>
      </c>
      <c r="U565" s="1" t="str">
        <f t="array" ref="U565">IFERROR(INDEX('Исходник'!$1:$626,MATCH($A565,'Исходник'!$T:$T,0),MATCH(U$1,'Исходник'!$1:$1,0)))</f>
        <v/>
      </c>
      <c r="V565" s="27" t="str">
        <f t="shared" si="9"/>
        <v/>
      </c>
      <c r="W565" s="1" t="str">
        <f t="array" ref="W565">IFERROR(INDEX('Исходник'!$1:$626,MATCH($A565,'Исходник'!$T:$T,0),MATCH(W$1,'Исходник'!$1:$1,0)))</f>
        <v/>
      </c>
      <c r="X565" s="28">
        <f t="shared" si="10"/>
        <v>0</v>
      </c>
      <c r="Y565" s="1" t="str">
        <f t="array" ref="Y565">IFERROR(INDEX('Исходник'!$1:$626,MATCH($A565,'Исходник'!$T:$T,0),MATCH(Y$1,'Исходник'!$1:$1,0)))</f>
        <v/>
      </c>
      <c r="Z565" s="27">
        <f t="shared" si="11"/>
        <v>0</v>
      </c>
      <c r="AA565" s="27" t="str">
        <f t="shared" si="12"/>
        <v/>
      </c>
      <c r="AB565" s="1" t="str">
        <f t="array" ref="AB565">IFERROR(INDEX('Исходник'!$1:$626,MATCH($A565,'Исходник'!$T:$T,0),MATCH(AB$1,'Исходник'!$1:$1,0)))</f>
        <v/>
      </c>
      <c r="AC565" s="1" t="str">
        <f t="array" ref="AC565">IFERROR(INDEX('Исходник'!$1:$626,MATCH($A565,'Исходник'!$T:$T,0),MATCH(AC$1,'Исходник'!$1:$1,0)))</f>
        <v/>
      </c>
      <c r="AD565" s="27" t="str">
        <f t="shared" si="13"/>
        <v/>
      </c>
      <c r="AE565" s="1" t="str">
        <f t="array" ref="AE565">IFERROR(INDEX('Исходник'!$1:$626,MATCH($A565,'Исходник'!$T:$T,0),MATCH(AE$1,'Исходник'!$1:$1,0)))</f>
        <v/>
      </c>
      <c r="AF565" s="1" t="str">
        <f t="array" ref="AF565">IFERROR(INDEX('Исходник'!$1:$626,MATCH($A565,'Исходник'!$T:$T,0),MATCH(AF$1,'Исходник'!$1:$1,0)))</f>
        <v/>
      </c>
      <c r="AG565" s="27" t="str">
        <f t="shared" si="14"/>
        <v/>
      </c>
      <c r="AH565" s="1" t="str">
        <f t="array" ref="AH565">IFERROR(INDEX('Исходник'!$1:$626,MATCH($A565,'Исходник'!$T:$T,0),MATCH(AH$1,'Исходник'!$1:$1,0)))</f>
        <v/>
      </c>
      <c r="AI565" s="1" t="str">
        <f t="array" ref="AI565">IFERROR(INDEX('Исходник'!$1:$626,MATCH($A565,'Исходник'!$T:$T,0),MATCH(AI$1,'Исходник'!$1:$1,0)))</f>
        <v/>
      </c>
      <c r="AJ565" s="18">
        <f t="shared" si="15"/>
        <v>0</v>
      </c>
    </row>
    <row r="566" ht="15.75" customHeight="1">
      <c r="A566" s="27"/>
      <c r="B566" s="1" t="str">
        <f t="array" ref="B566">IFERROR(INDEX('Исходник'!$1:$626,MATCH($A566,'Исходник'!$T:$T,0),MATCH(B$1,'Исходник'!$1:$1,0)))</f>
        <v/>
      </c>
      <c r="C566" s="1" t="str">
        <f t="array" ref="C566">IFERROR(INDEX('Исходник'!$1:$626,MATCH($A566,'Исходник'!$T:$T,0),MATCH(C$1,'Исходник'!$1:$1,0)))</f>
        <v/>
      </c>
      <c r="D566" s="1" t="str">
        <f t="array" ref="D566">IFERROR(INDEX('Исходник'!$1:$626,MATCH($A566,'Исходник'!$T:$T,0),MATCH(D$1,'Исходник'!$1:$1,0)))</f>
        <v/>
      </c>
      <c r="E566" s="1" t="str">
        <f t="array" ref="E566">IFERROR(INDEX('Исходник'!$1:$626,MATCH($A566,'Исходник'!$T:$T,0),MATCH(E$1,'Исходник'!$1:$1,0)))</f>
        <v/>
      </c>
      <c r="F566" s="1" t="str">
        <f t="array" ref="F566">IFERROR(INDEX('Исходник'!$1:$626,MATCH($A566,'Исходник'!$T:$T,0),MATCH(F$1,'Исходник'!$1:$1,0)))</f>
        <v/>
      </c>
      <c r="G566" s="1" t="str">
        <f t="array" ref="G566">IFERROR(INDEX('Исходник'!$1:$626,MATCH($A566,'Исходник'!$T:$T,0),MATCH(G$1,'Исходник'!$1:$1,0)))</f>
        <v/>
      </c>
      <c r="H566" s="27">
        <f t="shared" si="1"/>
        <v>0</v>
      </c>
      <c r="I566" s="27" t="str">
        <f t="shared" si="2"/>
        <v/>
      </c>
      <c r="J566" s="1" t="str">
        <f t="array" ref="J566">IFERROR(INDEX('Исходник'!$1:$626,MATCH($A566,'Исходник'!$T:$T,0),MATCH(J$1,'Исходник'!$1:$1,0)))</f>
        <v/>
      </c>
      <c r="K566" s="27" t="str">
        <f t="shared" si="3"/>
        <v/>
      </c>
      <c r="L566" s="1" t="str">
        <f t="array" ref="L566">IFERROR(INDEX('Исходник'!$1:$626,MATCH($A566,'Исходник'!$T:$T,0),MATCH(L$1,'Исходник'!$1:$1,0)))</f>
        <v/>
      </c>
      <c r="M566" s="28">
        <f t="shared" si="4"/>
        <v>0</v>
      </c>
      <c r="N566" s="1" t="str">
        <f t="array" ref="N566">IFERROR(INDEX('Исходник'!$1:$626,MATCH($A566,'Исходник'!$T:$T,0),MATCH(N$1,'Исходник'!$1:$1,0)))</f>
        <v/>
      </c>
      <c r="O566" s="27">
        <f t="shared" si="5"/>
        <v>0</v>
      </c>
      <c r="P566" s="27" t="str">
        <f t="shared" si="6"/>
        <v/>
      </c>
      <c r="Q566" s="1" t="str">
        <f t="array" ref="Q566">IFERROR(INDEX('Исходник'!$1:$626,MATCH($A566,'Исходник'!$T:$T,0),MATCH(Q$1,'Исходник'!$1:$1,0)))</f>
        <v/>
      </c>
      <c r="R566" s="1" t="str">
        <f t="array" ref="R566">IFERROR(INDEX('Исходник'!$1:$626,MATCH($A566,'Исходник'!$T:$T,0),MATCH(R$1,'Исходник'!$1:$1,0)))</f>
        <v/>
      </c>
      <c r="S566" s="27">
        <f t="shared" si="7"/>
        <v>0</v>
      </c>
      <c r="T566" s="27" t="str">
        <f t="shared" si="8"/>
        <v/>
      </c>
      <c r="U566" s="1" t="str">
        <f t="array" ref="U566">IFERROR(INDEX('Исходник'!$1:$626,MATCH($A566,'Исходник'!$T:$T,0),MATCH(U$1,'Исходник'!$1:$1,0)))</f>
        <v/>
      </c>
      <c r="V566" s="27" t="str">
        <f t="shared" si="9"/>
        <v/>
      </c>
      <c r="W566" s="1" t="str">
        <f t="array" ref="W566">IFERROR(INDEX('Исходник'!$1:$626,MATCH($A566,'Исходник'!$T:$T,0),MATCH(W$1,'Исходник'!$1:$1,0)))</f>
        <v/>
      </c>
      <c r="X566" s="28">
        <f t="shared" si="10"/>
        <v>0</v>
      </c>
      <c r="Y566" s="1" t="str">
        <f t="array" ref="Y566">IFERROR(INDEX('Исходник'!$1:$626,MATCH($A566,'Исходник'!$T:$T,0),MATCH(Y$1,'Исходник'!$1:$1,0)))</f>
        <v/>
      </c>
      <c r="Z566" s="27">
        <f t="shared" si="11"/>
        <v>0</v>
      </c>
      <c r="AA566" s="27" t="str">
        <f t="shared" si="12"/>
        <v/>
      </c>
      <c r="AB566" s="1" t="str">
        <f t="array" ref="AB566">IFERROR(INDEX('Исходник'!$1:$626,MATCH($A566,'Исходник'!$T:$T,0),MATCH(AB$1,'Исходник'!$1:$1,0)))</f>
        <v/>
      </c>
      <c r="AC566" s="1" t="str">
        <f t="array" ref="AC566">IFERROR(INDEX('Исходник'!$1:$626,MATCH($A566,'Исходник'!$T:$T,0),MATCH(AC$1,'Исходник'!$1:$1,0)))</f>
        <v/>
      </c>
      <c r="AD566" s="27" t="str">
        <f t="shared" si="13"/>
        <v/>
      </c>
      <c r="AE566" s="1" t="str">
        <f t="array" ref="AE566">IFERROR(INDEX('Исходник'!$1:$626,MATCH($A566,'Исходник'!$T:$T,0),MATCH(AE$1,'Исходник'!$1:$1,0)))</f>
        <v/>
      </c>
      <c r="AF566" s="1" t="str">
        <f t="array" ref="AF566">IFERROR(INDEX('Исходник'!$1:$626,MATCH($A566,'Исходник'!$T:$T,0),MATCH(AF$1,'Исходник'!$1:$1,0)))</f>
        <v/>
      </c>
      <c r="AG566" s="27" t="str">
        <f t="shared" si="14"/>
        <v/>
      </c>
      <c r="AH566" s="1" t="str">
        <f t="array" ref="AH566">IFERROR(INDEX('Исходник'!$1:$626,MATCH($A566,'Исходник'!$T:$T,0),MATCH(AH$1,'Исходник'!$1:$1,0)))</f>
        <v/>
      </c>
      <c r="AI566" s="1" t="str">
        <f t="array" ref="AI566">IFERROR(INDEX('Исходник'!$1:$626,MATCH($A566,'Исходник'!$T:$T,0),MATCH(AI$1,'Исходник'!$1:$1,0)))</f>
        <v/>
      </c>
      <c r="AJ566" s="18">
        <f t="shared" si="15"/>
        <v>0</v>
      </c>
    </row>
    <row r="567" ht="15.75" customHeight="1">
      <c r="A567" s="27"/>
      <c r="B567" s="1" t="str">
        <f t="array" ref="B567">IFERROR(INDEX('Исходник'!$1:$626,MATCH($A567,'Исходник'!$T:$T,0),MATCH(B$1,'Исходник'!$1:$1,0)))</f>
        <v/>
      </c>
      <c r="C567" s="1" t="str">
        <f t="array" ref="C567">IFERROR(INDEX('Исходник'!$1:$626,MATCH($A567,'Исходник'!$T:$T,0),MATCH(C$1,'Исходник'!$1:$1,0)))</f>
        <v/>
      </c>
      <c r="D567" s="1" t="str">
        <f t="array" ref="D567">IFERROR(INDEX('Исходник'!$1:$626,MATCH($A567,'Исходник'!$T:$T,0),MATCH(D$1,'Исходник'!$1:$1,0)))</f>
        <v/>
      </c>
      <c r="E567" s="1" t="str">
        <f t="array" ref="E567">IFERROR(INDEX('Исходник'!$1:$626,MATCH($A567,'Исходник'!$T:$T,0),MATCH(E$1,'Исходник'!$1:$1,0)))</f>
        <v/>
      </c>
      <c r="F567" s="1" t="str">
        <f t="array" ref="F567">IFERROR(INDEX('Исходник'!$1:$626,MATCH($A567,'Исходник'!$T:$T,0),MATCH(F$1,'Исходник'!$1:$1,0)))</f>
        <v/>
      </c>
      <c r="G567" s="1" t="str">
        <f t="array" ref="G567">IFERROR(INDEX('Исходник'!$1:$626,MATCH($A567,'Исходник'!$T:$T,0),MATCH(G$1,'Исходник'!$1:$1,0)))</f>
        <v/>
      </c>
      <c r="H567" s="27">
        <f t="shared" si="1"/>
        <v>0</v>
      </c>
      <c r="I567" s="27" t="str">
        <f t="shared" si="2"/>
        <v/>
      </c>
      <c r="J567" s="1" t="str">
        <f t="array" ref="J567">IFERROR(INDEX('Исходник'!$1:$626,MATCH($A567,'Исходник'!$T:$T,0),MATCH(J$1,'Исходник'!$1:$1,0)))</f>
        <v/>
      </c>
      <c r="K567" s="27" t="str">
        <f t="shared" si="3"/>
        <v/>
      </c>
      <c r="L567" s="1" t="str">
        <f t="array" ref="L567">IFERROR(INDEX('Исходник'!$1:$626,MATCH($A567,'Исходник'!$T:$T,0),MATCH(L$1,'Исходник'!$1:$1,0)))</f>
        <v/>
      </c>
      <c r="M567" s="28">
        <f t="shared" si="4"/>
        <v>0</v>
      </c>
      <c r="N567" s="1" t="str">
        <f t="array" ref="N567">IFERROR(INDEX('Исходник'!$1:$626,MATCH($A567,'Исходник'!$T:$T,0),MATCH(N$1,'Исходник'!$1:$1,0)))</f>
        <v/>
      </c>
      <c r="O567" s="27">
        <f t="shared" si="5"/>
        <v>0</v>
      </c>
      <c r="P567" s="27" t="str">
        <f t="shared" si="6"/>
        <v/>
      </c>
      <c r="Q567" s="1" t="str">
        <f t="array" ref="Q567">IFERROR(INDEX('Исходник'!$1:$626,MATCH($A567,'Исходник'!$T:$T,0),MATCH(Q$1,'Исходник'!$1:$1,0)))</f>
        <v/>
      </c>
      <c r="R567" s="1" t="str">
        <f t="array" ref="R567">IFERROR(INDEX('Исходник'!$1:$626,MATCH($A567,'Исходник'!$T:$T,0),MATCH(R$1,'Исходник'!$1:$1,0)))</f>
        <v/>
      </c>
      <c r="S567" s="27">
        <f t="shared" si="7"/>
        <v>0</v>
      </c>
      <c r="T567" s="27" t="str">
        <f t="shared" si="8"/>
        <v/>
      </c>
      <c r="U567" s="1" t="str">
        <f t="array" ref="U567">IFERROR(INDEX('Исходник'!$1:$626,MATCH($A567,'Исходник'!$T:$T,0),MATCH(U$1,'Исходник'!$1:$1,0)))</f>
        <v/>
      </c>
      <c r="V567" s="27" t="str">
        <f t="shared" si="9"/>
        <v/>
      </c>
      <c r="W567" s="1" t="str">
        <f t="array" ref="W567">IFERROR(INDEX('Исходник'!$1:$626,MATCH($A567,'Исходник'!$T:$T,0),MATCH(W$1,'Исходник'!$1:$1,0)))</f>
        <v/>
      </c>
      <c r="X567" s="28">
        <f t="shared" si="10"/>
        <v>0</v>
      </c>
      <c r="Y567" s="1" t="str">
        <f t="array" ref="Y567">IFERROR(INDEX('Исходник'!$1:$626,MATCH($A567,'Исходник'!$T:$T,0),MATCH(Y$1,'Исходник'!$1:$1,0)))</f>
        <v/>
      </c>
      <c r="Z567" s="27">
        <f t="shared" si="11"/>
        <v>0</v>
      </c>
      <c r="AA567" s="27" t="str">
        <f t="shared" si="12"/>
        <v/>
      </c>
      <c r="AB567" s="1" t="str">
        <f t="array" ref="AB567">IFERROR(INDEX('Исходник'!$1:$626,MATCH($A567,'Исходник'!$T:$T,0),MATCH(AB$1,'Исходник'!$1:$1,0)))</f>
        <v/>
      </c>
      <c r="AC567" s="1" t="str">
        <f t="array" ref="AC567">IFERROR(INDEX('Исходник'!$1:$626,MATCH($A567,'Исходник'!$T:$T,0),MATCH(AC$1,'Исходник'!$1:$1,0)))</f>
        <v/>
      </c>
      <c r="AD567" s="27" t="str">
        <f t="shared" si="13"/>
        <v/>
      </c>
      <c r="AE567" s="1" t="str">
        <f t="array" ref="AE567">IFERROR(INDEX('Исходник'!$1:$626,MATCH($A567,'Исходник'!$T:$T,0),MATCH(AE$1,'Исходник'!$1:$1,0)))</f>
        <v/>
      </c>
      <c r="AF567" s="1" t="str">
        <f t="array" ref="AF567">IFERROR(INDEX('Исходник'!$1:$626,MATCH($A567,'Исходник'!$T:$T,0),MATCH(AF$1,'Исходник'!$1:$1,0)))</f>
        <v/>
      </c>
      <c r="AG567" s="27" t="str">
        <f t="shared" si="14"/>
        <v/>
      </c>
      <c r="AH567" s="1" t="str">
        <f t="array" ref="AH567">IFERROR(INDEX('Исходник'!$1:$626,MATCH($A567,'Исходник'!$T:$T,0),MATCH(AH$1,'Исходник'!$1:$1,0)))</f>
        <v/>
      </c>
      <c r="AI567" s="1" t="str">
        <f t="array" ref="AI567">IFERROR(INDEX('Исходник'!$1:$626,MATCH($A567,'Исходник'!$T:$T,0),MATCH(AI$1,'Исходник'!$1:$1,0)))</f>
        <v/>
      </c>
      <c r="AJ567" s="18">
        <f t="shared" si="15"/>
        <v>0</v>
      </c>
    </row>
    <row r="568" ht="15.75" customHeight="1">
      <c r="A568" s="27"/>
      <c r="B568" s="1" t="str">
        <f t="array" ref="B568">IFERROR(INDEX('Исходник'!$1:$626,MATCH($A568,'Исходник'!$T:$T,0),MATCH(B$1,'Исходник'!$1:$1,0)))</f>
        <v/>
      </c>
      <c r="C568" s="1" t="str">
        <f t="array" ref="C568">IFERROR(INDEX('Исходник'!$1:$626,MATCH($A568,'Исходник'!$T:$T,0),MATCH(C$1,'Исходник'!$1:$1,0)))</f>
        <v/>
      </c>
      <c r="D568" s="1" t="str">
        <f t="array" ref="D568">IFERROR(INDEX('Исходник'!$1:$626,MATCH($A568,'Исходник'!$T:$T,0),MATCH(D$1,'Исходник'!$1:$1,0)))</f>
        <v/>
      </c>
      <c r="E568" s="1" t="str">
        <f t="array" ref="E568">IFERROR(INDEX('Исходник'!$1:$626,MATCH($A568,'Исходник'!$T:$T,0),MATCH(E$1,'Исходник'!$1:$1,0)))</f>
        <v/>
      </c>
      <c r="F568" s="1" t="str">
        <f t="array" ref="F568">IFERROR(INDEX('Исходник'!$1:$626,MATCH($A568,'Исходник'!$T:$T,0),MATCH(F$1,'Исходник'!$1:$1,0)))</f>
        <v/>
      </c>
      <c r="G568" s="1" t="str">
        <f t="array" ref="G568">IFERROR(INDEX('Исходник'!$1:$626,MATCH($A568,'Исходник'!$T:$T,0),MATCH(G$1,'Исходник'!$1:$1,0)))</f>
        <v/>
      </c>
      <c r="H568" s="27">
        <f t="shared" si="1"/>
        <v>0</v>
      </c>
      <c r="I568" s="27" t="str">
        <f t="shared" si="2"/>
        <v/>
      </c>
      <c r="J568" s="1" t="str">
        <f t="array" ref="J568">IFERROR(INDEX('Исходник'!$1:$626,MATCH($A568,'Исходник'!$T:$T,0),MATCH(J$1,'Исходник'!$1:$1,0)))</f>
        <v/>
      </c>
      <c r="K568" s="27" t="str">
        <f t="shared" si="3"/>
        <v/>
      </c>
      <c r="L568" s="1" t="str">
        <f t="array" ref="L568">IFERROR(INDEX('Исходник'!$1:$626,MATCH($A568,'Исходник'!$T:$T,0),MATCH(L$1,'Исходник'!$1:$1,0)))</f>
        <v/>
      </c>
      <c r="M568" s="28">
        <f t="shared" si="4"/>
        <v>0</v>
      </c>
      <c r="N568" s="1" t="str">
        <f t="array" ref="N568">IFERROR(INDEX('Исходник'!$1:$626,MATCH($A568,'Исходник'!$T:$T,0),MATCH(N$1,'Исходник'!$1:$1,0)))</f>
        <v/>
      </c>
      <c r="O568" s="27">
        <f t="shared" si="5"/>
        <v>0</v>
      </c>
      <c r="P568" s="27" t="str">
        <f t="shared" si="6"/>
        <v/>
      </c>
      <c r="Q568" s="1" t="str">
        <f t="array" ref="Q568">IFERROR(INDEX('Исходник'!$1:$626,MATCH($A568,'Исходник'!$T:$T,0),MATCH(Q$1,'Исходник'!$1:$1,0)))</f>
        <v/>
      </c>
      <c r="R568" s="1" t="str">
        <f t="array" ref="R568">IFERROR(INDEX('Исходник'!$1:$626,MATCH($A568,'Исходник'!$T:$T,0),MATCH(R$1,'Исходник'!$1:$1,0)))</f>
        <v/>
      </c>
      <c r="S568" s="27">
        <f t="shared" si="7"/>
        <v>0</v>
      </c>
      <c r="T568" s="27" t="str">
        <f t="shared" si="8"/>
        <v/>
      </c>
      <c r="U568" s="1" t="str">
        <f t="array" ref="U568">IFERROR(INDEX('Исходник'!$1:$626,MATCH($A568,'Исходник'!$T:$T,0),MATCH(U$1,'Исходник'!$1:$1,0)))</f>
        <v/>
      </c>
      <c r="V568" s="27" t="str">
        <f t="shared" si="9"/>
        <v/>
      </c>
      <c r="W568" s="1" t="str">
        <f t="array" ref="W568">IFERROR(INDEX('Исходник'!$1:$626,MATCH($A568,'Исходник'!$T:$T,0),MATCH(W$1,'Исходник'!$1:$1,0)))</f>
        <v/>
      </c>
      <c r="X568" s="28">
        <f t="shared" si="10"/>
        <v>0</v>
      </c>
      <c r="Y568" s="1" t="str">
        <f t="array" ref="Y568">IFERROR(INDEX('Исходник'!$1:$626,MATCH($A568,'Исходник'!$T:$T,0),MATCH(Y$1,'Исходник'!$1:$1,0)))</f>
        <v/>
      </c>
      <c r="Z568" s="27">
        <f t="shared" si="11"/>
        <v>0</v>
      </c>
      <c r="AA568" s="27" t="str">
        <f t="shared" si="12"/>
        <v/>
      </c>
      <c r="AB568" s="1" t="str">
        <f t="array" ref="AB568">IFERROR(INDEX('Исходник'!$1:$626,MATCH($A568,'Исходник'!$T:$T,0),MATCH(AB$1,'Исходник'!$1:$1,0)))</f>
        <v/>
      </c>
      <c r="AC568" s="1" t="str">
        <f t="array" ref="AC568">IFERROR(INDEX('Исходник'!$1:$626,MATCH($A568,'Исходник'!$T:$T,0),MATCH(AC$1,'Исходник'!$1:$1,0)))</f>
        <v/>
      </c>
      <c r="AD568" s="27" t="str">
        <f t="shared" si="13"/>
        <v/>
      </c>
      <c r="AE568" s="1" t="str">
        <f t="array" ref="AE568">IFERROR(INDEX('Исходник'!$1:$626,MATCH($A568,'Исходник'!$T:$T,0),MATCH(AE$1,'Исходник'!$1:$1,0)))</f>
        <v/>
      </c>
      <c r="AF568" s="1" t="str">
        <f t="array" ref="AF568">IFERROR(INDEX('Исходник'!$1:$626,MATCH($A568,'Исходник'!$T:$T,0),MATCH(AF$1,'Исходник'!$1:$1,0)))</f>
        <v/>
      </c>
      <c r="AG568" s="27" t="str">
        <f t="shared" si="14"/>
        <v/>
      </c>
      <c r="AH568" s="1" t="str">
        <f t="array" ref="AH568">IFERROR(INDEX('Исходник'!$1:$626,MATCH($A568,'Исходник'!$T:$T,0),MATCH(AH$1,'Исходник'!$1:$1,0)))</f>
        <v/>
      </c>
      <c r="AI568" s="1" t="str">
        <f t="array" ref="AI568">IFERROR(INDEX('Исходник'!$1:$626,MATCH($A568,'Исходник'!$T:$T,0),MATCH(AI$1,'Исходник'!$1:$1,0)))</f>
        <v/>
      </c>
      <c r="AJ568" s="18">
        <f t="shared" si="15"/>
        <v>0</v>
      </c>
    </row>
    <row r="569" ht="15.75" customHeight="1">
      <c r="A569" s="27"/>
      <c r="B569" s="1" t="str">
        <f t="array" ref="B569">IFERROR(INDEX('Исходник'!$1:$626,MATCH($A569,'Исходник'!$T:$T,0),MATCH(B$1,'Исходник'!$1:$1,0)))</f>
        <v/>
      </c>
      <c r="C569" s="1" t="str">
        <f t="array" ref="C569">IFERROR(INDEX('Исходник'!$1:$626,MATCH($A569,'Исходник'!$T:$T,0),MATCH(C$1,'Исходник'!$1:$1,0)))</f>
        <v/>
      </c>
      <c r="D569" s="1" t="str">
        <f t="array" ref="D569">IFERROR(INDEX('Исходник'!$1:$626,MATCH($A569,'Исходник'!$T:$T,0),MATCH(D$1,'Исходник'!$1:$1,0)))</f>
        <v/>
      </c>
      <c r="E569" s="1" t="str">
        <f t="array" ref="E569">IFERROR(INDEX('Исходник'!$1:$626,MATCH($A569,'Исходник'!$T:$T,0),MATCH(E$1,'Исходник'!$1:$1,0)))</f>
        <v/>
      </c>
      <c r="F569" s="1" t="str">
        <f t="array" ref="F569">IFERROR(INDEX('Исходник'!$1:$626,MATCH($A569,'Исходник'!$T:$T,0),MATCH(F$1,'Исходник'!$1:$1,0)))</f>
        <v/>
      </c>
      <c r="G569" s="1" t="str">
        <f t="array" ref="G569">IFERROR(INDEX('Исходник'!$1:$626,MATCH($A569,'Исходник'!$T:$T,0),MATCH(G$1,'Исходник'!$1:$1,0)))</f>
        <v/>
      </c>
      <c r="H569" s="27">
        <f t="shared" si="1"/>
        <v>0</v>
      </c>
      <c r="I569" s="27" t="str">
        <f t="shared" si="2"/>
        <v/>
      </c>
      <c r="J569" s="1" t="str">
        <f t="array" ref="J569">IFERROR(INDEX('Исходник'!$1:$626,MATCH($A569,'Исходник'!$T:$T,0),MATCH(J$1,'Исходник'!$1:$1,0)))</f>
        <v/>
      </c>
      <c r="K569" s="27" t="str">
        <f t="shared" si="3"/>
        <v/>
      </c>
      <c r="L569" s="1" t="str">
        <f t="array" ref="L569">IFERROR(INDEX('Исходник'!$1:$626,MATCH($A569,'Исходник'!$T:$T,0),MATCH(L$1,'Исходник'!$1:$1,0)))</f>
        <v/>
      </c>
      <c r="M569" s="28">
        <f t="shared" si="4"/>
        <v>0</v>
      </c>
      <c r="N569" s="1" t="str">
        <f t="array" ref="N569">IFERROR(INDEX('Исходник'!$1:$626,MATCH($A569,'Исходник'!$T:$T,0),MATCH(N$1,'Исходник'!$1:$1,0)))</f>
        <v/>
      </c>
      <c r="O569" s="27">
        <f t="shared" si="5"/>
        <v>0</v>
      </c>
      <c r="P569" s="27" t="str">
        <f t="shared" si="6"/>
        <v/>
      </c>
      <c r="Q569" s="1" t="str">
        <f t="array" ref="Q569">IFERROR(INDEX('Исходник'!$1:$626,MATCH($A569,'Исходник'!$T:$T,0),MATCH(Q$1,'Исходник'!$1:$1,0)))</f>
        <v/>
      </c>
      <c r="R569" s="1" t="str">
        <f t="array" ref="R569">IFERROR(INDEX('Исходник'!$1:$626,MATCH($A569,'Исходник'!$T:$T,0),MATCH(R$1,'Исходник'!$1:$1,0)))</f>
        <v/>
      </c>
      <c r="S569" s="27">
        <f t="shared" si="7"/>
        <v>0</v>
      </c>
      <c r="T569" s="27" t="str">
        <f t="shared" si="8"/>
        <v/>
      </c>
      <c r="U569" s="1" t="str">
        <f t="array" ref="U569">IFERROR(INDEX('Исходник'!$1:$626,MATCH($A569,'Исходник'!$T:$T,0),MATCH(U$1,'Исходник'!$1:$1,0)))</f>
        <v/>
      </c>
      <c r="V569" s="27" t="str">
        <f t="shared" si="9"/>
        <v/>
      </c>
      <c r="W569" s="1" t="str">
        <f t="array" ref="W569">IFERROR(INDEX('Исходник'!$1:$626,MATCH($A569,'Исходник'!$T:$T,0),MATCH(W$1,'Исходник'!$1:$1,0)))</f>
        <v/>
      </c>
      <c r="X569" s="28">
        <f t="shared" si="10"/>
        <v>0</v>
      </c>
      <c r="Y569" s="1" t="str">
        <f t="array" ref="Y569">IFERROR(INDEX('Исходник'!$1:$626,MATCH($A569,'Исходник'!$T:$T,0),MATCH(Y$1,'Исходник'!$1:$1,0)))</f>
        <v/>
      </c>
      <c r="Z569" s="27">
        <f t="shared" si="11"/>
        <v>0</v>
      </c>
      <c r="AA569" s="27" t="str">
        <f t="shared" si="12"/>
        <v/>
      </c>
      <c r="AB569" s="1" t="str">
        <f t="array" ref="AB569">IFERROR(INDEX('Исходник'!$1:$626,MATCH($A569,'Исходник'!$T:$T,0),MATCH(AB$1,'Исходник'!$1:$1,0)))</f>
        <v/>
      </c>
      <c r="AC569" s="1" t="str">
        <f t="array" ref="AC569">IFERROR(INDEX('Исходник'!$1:$626,MATCH($A569,'Исходник'!$T:$T,0),MATCH(AC$1,'Исходник'!$1:$1,0)))</f>
        <v/>
      </c>
      <c r="AD569" s="27" t="str">
        <f t="shared" si="13"/>
        <v/>
      </c>
      <c r="AE569" s="1" t="str">
        <f t="array" ref="AE569">IFERROR(INDEX('Исходник'!$1:$626,MATCH($A569,'Исходник'!$T:$T,0),MATCH(AE$1,'Исходник'!$1:$1,0)))</f>
        <v/>
      </c>
      <c r="AF569" s="1" t="str">
        <f t="array" ref="AF569">IFERROR(INDEX('Исходник'!$1:$626,MATCH($A569,'Исходник'!$T:$T,0),MATCH(AF$1,'Исходник'!$1:$1,0)))</f>
        <v/>
      </c>
      <c r="AG569" s="27" t="str">
        <f t="shared" si="14"/>
        <v/>
      </c>
      <c r="AH569" s="1" t="str">
        <f t="array" ref="AH569">IFERROR(INDEX('Исходник'!$1:$626,MATCH($A569,'Исходник'!$T:$T,0),MATCH(AH$1,'Исходник'!$1:$1,0)))</f>
        <v/>
      </c>
      <c r="AI569" s="1" t="str">
        <f t="array" ref="AI569">IFERROR(INDEX('Исходник'!$1:$626,MATCH($A569,'Исходник'!$T:$T,0),MATCH(AI$1,'Исходник'!$1:$1,0)))</f>
        <v/>
      </c>
      <c r="AJ569" s="18">
        <f t="shared" si="15"/>
        <v>0</v>
      </c>
    </row>
    <row r="570" ht="15.75" customHeight="1">
      <c r="A570" s="27"/>
      <c r="B570" s="1" t="str">
        <f t="array" ref="B570">IFERROR(INDEX('Исходник'!$1:$626,MATCH($A570,'Исходник'!$T:$T,0),MATCH(B$1,'Исходник'!$1:$1,0)))</f>
        <v/>
      </c>
      <c r="C570" s="1" t="str">
        <f t="array" ref="C570">IFERROR(INDEX('Исходник'!$1:$626,MATCH($A570,'Исходник'!$T:$T,0),MATCH(C$1,'Исходник'!$1:$1,0)))</f>
        <v/>
      </c>
      <c r="D570" s="1" t="str">
        <f t="array" ref="D570">IFERROR(INDEX('Исходник'!$1:$626,MATCH($A570,'Исходник'!$T:$T,0),MATCH(D$1,'Исходник'!$1:$1,0)))</f>
        <v/>
      </c>
      <c r="E570" s="1" t="str">
        <f t="array" ref="E570">IFERROR(INDEX('Исходник'!$1:$626,MATCH($A570,'Исходник'!$T:$T,0),MATCH(E$1,'Исходник'!$1:$1,0)))</f>
        <v/>
      </c>
      <c r="F570" s="1" t="str">
        <f t="array" ref="F570">IFERROR(INDEX('Исходник'!$1:$626,MATCH($A570,'Исходник'!$T:$T,0),MATCH(F$1,'Исходник'!$1:$1,0)))</f>
        <v/>
      </c>
      <c r="G570" s="1" t="str">
        <f t="array" ref="G570">IFERROR(INDEX('Исходник'!$1:$626,MATCH($A570,'Исходник'!$T:$T,0),MATCH(G$1,'Исходник'!$1:$1,0)))</f>
        <v/>
      </c>
      <c r="H570" s="27">
        <f t="shared" si="1"/>
        <v>0</v>
      </c>
      <c r="I570" s="27" t="str">
        <f t="shared" si="2"/>
        <v/>
      </c>
      <c r="J570" s="1" t="str">
        <f t="array" ref="J570">IFERROR(INDEX('Исходник'!$1:$626,MATCH($A570,'Исходник'!$T:$T,0),MATCH(J$1,'Исходник'!$1:$1,0)))</f>
        <v/>
      </c>
      <c r="K570" s="27" t="str">
        <f t="shared" si="3"/>
        <v/>
      </c>
      <c r="L570" s="1" t="str">
        <f t="array" ref="L570">IFERROR(INDEX('Исходник'!$1:$626,MATCH($A570,'Исходник'!$T:$T,0),MATCH(L$1,'Исходник'!$1:$1,0)))</f>
        <v/>
      </c>
      <c r="M570" s="28">
        <f t="shared" si="4"/>
        <v>0</v>
      </c>
      <c r="N570" s="1" t="str">
        <f t="array" ref="N570">IFERROR(INDEX('Исходник'!$1:$626,MATCH($A570,'Исходник'!$T:$T,0),MATCH(N$1,'Исходник'!$1:$1,0)))</f>
        <v/>
      </c>
      <c r="O570" s="27">
        <f t="shared" si="5"/>
        <v>0</v>
      </c>
      <c r="P570" s="27" t="str">
        <f t="shared" si="6"/>
        <v/>
      </c>
      <c r="Q570" s="1" t="str">
        <f t="array" ref="Q570">IFERROR(INDEX('Исходник'!$1:$626,MATCH($A570,'Исходник'!$T:$T,0),MATCH(Q$1,'Исходник'!$1:$1,0)))</f>
        <v/>
      </c>
      <c r="R570" s="1" t="str">
        <f t="array" ref="R570">IFERROR(INDEX('Исходник'!$1:$626,MATCH($A570,'Исходник'!$T:$T,0),MATCH(R$1,'Исходник'!$1:$1,0)))</f>
        <v/>
      </c>
      <c r="S570" s="27">
        <f t="shared" si="7"/>
        <v>0</v>
      </c>
      <c r="T570" s="27" t="str">
        <f t="shared" si="8"/>
        <v/>
      </c>
      <c r="U570" s="1" t="str">
        <f t="array" ref="U570">IFERROR(INDEX('Исходник'!$1:$626,MATCH($A570,'Исходник'!$T:$T,0),MATCH(U$1,'Исходник'!$1:$1,0)))</f>
        <v/>
      </c>
      <c r="V570" s="27" t="str">
        <f t="shared" si="9"/>
        <v/>
      </c>
      <c r="W570" s="1" t="str">
        <f t="array" ref="W570">IFERROR(INDEX('Исходник'!$1:$626,MATCH($A570,'Исходник'!$T:$T,0),MATCH(W$1,'Исходник'!$1:$1,0)))</f>
        <v/>
      </c>
      <c r="X570" s="28">
        <f t="shared" si="10"/>
        <v>0</v>
      </c>
      <c r="Y570" s="1" t="str">
        <f t="array" ref="Y570">IFERROR(INDEX('Исходник'!$1:$626,MATCH($A570,'Исходник'!$T:$T,0),MATCH(Y$1,'Исходник'!$1:$1,0)))</f>
        <v/>
      </c>
      <c r="Z570" s="27">
        <f t="shared" si="11"/>
        <v>0</v>
      </c>
      <c r="AA570" s="27" t="str">
        <f t="shared" si="12"/>
        <v/>
      </c>
      <c r="AB570" s="1" t="str">
        <f t="array" ref="AB570">IFERROR(INDEX('Исходник'!$1:$626,MATCH($A570,'Исходник'!$T:$T,0),MATCH(AB$1,'Исходник'!$1:$1,0)))</f>
        <v/>
      </c>
      <c r="AC570" s="1" t="str">
        <f t="array" ref="AC570">IFERROR(INDEX('Исходник'!$1:$626,MATCH($A570,'Исходник'!$T:$T,0),MATCH(AC$1,'Исходник'!$1:$1,0)))</f>
        <v/>
      </c>
      <c r="AD570" s="27" t="str">
        <f t="shared" si="13"/>
        <v/>
      </c>
      <c r="AE570" s="1" t="str">
        <f t="array" ref="AE570">IFERROR(INDEX('Исходник'!$1:$626,MATCH($A570,'Исходник'!$T:$T,0),MATCH(AE$1,'Исходник'!$1:$1,0)))</f>
        <v/>
      </c>
      <c r="AF570" s="1" t="str">
        <f t="array" ref="AF570">IFERROR(INDEX('Исходник'!$1:$626,MATCH($A570,'Исходник'!$T:$T,0),MATCH(AF$1,'Исходник'!$1:$1,0)))</f>
        <v/>
      </c>
      <c r="AG570" s="27" t="str">
        <f t="shared" si="14"/>
        <v/>
      </c>
      <c r="AH570" s="1" t="str">
        <f t="array" ref="AH570">IFERROR(INDEX('Исходник'!$1:$626,MATCH($A570,'Исходник'!$T:$T,0),MATCH(AH$1,'Исходник'!$1:$1,0)))</f>
        <v/>
      </c>
      <c r="AI570" s="1" t="str">
        <f t="array" ref="AI570">IFERROR(INDEX('Исходник'!$1:$626,MATCH($A570,'Исходник'!$T:$T,0),MATCH(AI$1,'Исходник'!$1:$1,0)))</f>
        <v/>
      </c>
      <c r="AJ570" s="18">
        <f t="shared" si="15"/>
        <v>0</v>
      </c>
    </row>
    <row r="571" ht="15.75" customHeight="1">
      <c r="A571" s="27"/>
      <c r="B571" s="1" t="str">
        <f t="array" ref="B571">IFERROR(INDEX('Исходник'!$1:$626,MATCH($A571,'Исходник'!$T:$T,0),MATCH(B$1,'Исходник'!$1:$1,0)))</f>
        <v/>
      </c>
      <c r="C571" s="1" t="str">
        <f t="array" ref="C571">IFERROR(INDEX('Исходник'!$1:$626,MATCH($A571,'Исходник'!$T:$T,0),MATCH(C$1,'Исходник'!$1:$1,0)))</f>
        <v/>
      </c>
      <c r="D571" s="1" t="str">
        <f t="array" ref="D571">IFERROR(INDEX('Исходник'!$1:$626,MATCH($A571,'Исходник'!$T:$T,0),MATCH(D$1,'Исходник'!$1:$1,0)))</f>
        <v/>
      </c>
      <c r="E571" s="1" t="str">
        <f t="array" ref="E571">IFERROR(INDEX('Исходник'!$1:$626,MATCH($A571,'Исходник'!$T:$T,0),MATCH(E$1,'Исходник'!$1:$1,0)))</f>
        <v/>
      </c>
      <c r="F571" s="1" t="str">
        <f t="array" ref="F571">IFERROR(INDEX('Исходник'!$1:$626,MATCH($A571,'Исходник'!$T:$T,0),MATCH(F$1,'Исходник'!$1:$1,0)))</f>
        <v/>
      </c>
      <c r="G571" s="1" t="str">
        <f t="array" ref="G571">IFERROR(INDEX('Исходник'!$1:$626,MATCH($A571,'Исходник'!$T:$T,0),MATCH(G$1,'Исходник'!$1:$1,0)))</f>
        <v/>
      </c>
      <c r="H571" s="27">
        <f t="shared" si="1"/>
        <v>0</v>
      </c>
      <c r="I571" s="27" t="str">
        <f t="shared" si="2"/>
        <v/>
      </c>
      <c r="J571" s="1" t="str">
        <f t="array" ref="J571">IFERROR(INDEX('Исходник'!$1:$626,MATCH($A571,'Исходник'!$T:$T,0),MATCH(J$1,'Исходник'!$1:$1,0)))</f>
        <v/>
      </c>
      <c r="K571" s="27" t="str">
        <f t="shared" si="3"/>
        <v/>
      </c>
      <c r="L571" s="1" t="str">
        <f t="array" ref="L571">IFERROR(INDEX('Исходник'!$1:$626,MATCH($A571,'Исходник'!$T:$T,0),MATCH(L$1,'Исходник'!$1:$1,0)))</f>
        <v/>
      </c>
      <c r="M571" s="28">
        <f t="shared" si="4"/>
        <v>0</v>
      </c>
      <c r="N571" s="1" t="str">
        <f t="array" ref="N571">IFERROR(INDEX('Исходник'!$1:$626,MATCH($A571,'Исходник'!$T:$T,0),MATCH(N$1,'Исходник'!$1:$1,0)))</f>
        <v/>
      </c>
      <c r="O571" s="27">
        <f t="shared" si="5"/>
        <v>0</v>
      </c>
      <c r="P571" s="27" t="str">
        <f t="shared" si="6"/>
        <v/>
      </c>
      <c r="Q571" s="1" t="str">
        <f t="array" ref="Q571">IFERROR(INDEX('Исходник'!$1:$626,MATCH($A571,'Исходник'!$T:$T,0),MATCH(Q$1,'Исходник'!$1:$1,0)))</f>
        <v/>
      </c>
      <c r="R571" s="1" t="str">
        <f t="array" ref="R571">IFERROR(INDEX('Исходник'!$1:$626,MATCH($A571,'Исходник'!$T:$T,0),MATCH(R$1,'Исходник'!$1:$1,0)))</f>
        <v/>
      </c>
      <c r="S571" s="27">
        <f t="shared" si="7"/>
        <v>0</v>
      </c>
      <c r="T571" s="27" t="str">
        <f t="shared" si="8"/>
        <v/>
      </c>
      <c r="U571" s="1" t="str">
        <f t="array" ref="U571">IFERROR(INDEX('Исходник'!$1:$626,MATCH($A571,'Исходник'!$T:$T,0),MATCH(U$1,'Исходник'!$1:$1,0)))</f>
        <v/>
      </c>
      <c r="V571" s="27" t="str">
        <f t="shared" si="9"/>
        <v/>
      </c>
      <c r="W571" s="1" t="str">
        <f t="array" ref="W571">IFERROR(INDEX('Исходник'!$1:$626,MATCH($A571,'Исходник'!$T:$T,0),MATCH(W$1,'Исходник'!$1:$1,0)))</f>
        <v/>
      </c>
      <c r="X571" s="28">
        <f t="shared" si="10"/>
        <v>0</v>
      </c>
      <c r="Y571" s="1" t="str">
        <f t="array" ref="Y571">IFERROR(INDEX('Исходник'!$1:$626,MATCH($A571,'Исходник'!$T:$T,0),MATCH(Y$1,'Исходник'!$1:$1,0)))</f>
        <v/>
      </c>
      <c r="Z571" s="27">
        <f t="shared" si="11"/>
        <v>0</v>
      </c>
      <c r="AA571" s="27" t="str">
        <f t="shared" si="12"/>
        <v/>
      </c>
      <c r="AB571" s="1" t="str">
        <f t="array" ref="AB571">IFERROR(INDEX('Исходник'!$1:$626,MATCH($A571,'Исходник'!$T:$T,0),MATCH(AB$1,'Исходник'!$1:$1,0)))</f>
        <v/>
      </c>
      <c r="AC571" s="1" t="str">
        <f t="array" ref="AC571">IFERROR(INDEX('Исходник'!$1:$626,MATCH($A571,'Исходник'!$T:$T,0),MATCH(AC$1,'Исходник'!$1:$1,0)))</f>
        <v/>
      </c>
      <c r="AD571" s="27" t="str">
        <f t="shared" si="13"/>
        <v/>
      </c>
      <c r="AE571" s="1" t="str">
        <f t="array" ref="AE571">IFERROR(INDEX('Исходник'!$1:$626,MATCH($A571,'Исходник'!$T:$T,0),MATCH(AE$1,'Исходник'!$1:$1,0)))</f>
        <v/>
      </c>
      <c r="AF571" s="1" t="str">
        <f t="array" ref="AF571">IFERROR(INDEX('Исходник'!$1:$626,MATCH($A571,'Исходник'!$T:$T,0),MATCH(AF$1,'Исходник'!$1:$1,0)))</f>
        <v/>
      </c>
      <c r="AG571" s="27" t="str">
        <f t="shared" si="14"/>
        <v/>
      </c>
      <c r="AH571" s="1" t="str">
        <f t="array" ref="AH571">IFERROR(INDEX('Исходник'!$1:$626,MATCH($A571,'Исходник'!$T:$T,0),MATCH(AH$1,'Исходник'!$1:$1,0)))</f>
        <v/>
      </c>
      <c r="AI571" s="1" t="str">
        <f t="array" ref="AI571">IFERROR(INDEX('Исходник'!$1:$626,MATCH($A571,'Исходник'!$T:$T,0),MATCH(AI$1,'Исходник'!$1:$1,0)))</f>
        <v/>
      </c>
      <c r="AJ571" s="18">
        <f t="shared" si="15"/>
        <v>0</v>
      </c>
    </row>
    <row r="572" ht="15.75" customHeight="1">
      <c r="A572" s="27"/>
      <c r="B572" s="1" t="str">
        <f t="array" ref="B572">IFERROR(INDEX('Исходник'!$1:$626,MATCH($A572,'Исходник'!$T:$T,0),MATCH(B$1,'Исходник'!$1:$1,0)))</f>
        <v/>
      </c>
      <c r="C572" s="1" t="str">
        <f t="array" ref="C572">IFERROR(INDEX('Исходник'!$1:$626,MATCH($A572,'Исходник'!$T:$T,0),MATCH(C$1,'Исходник'!$1:$1,0)))</f>
        <v/>
      </c>
      <c r="D572" s="1" t="str">
        <f t="array" ref="D572">IFERROR(INDEX('Исходник'!$1:$626,MATCH($A572,'Исходник'!$T:$T,0),MATCH(D$1,'Исходник'!$1:$1,0)))</f>
        <v/>
      </c>
      <c r="E572" s="1" t="str">
        <f t="array" ref="E572">IFERROR(INDEX('Исходник'!$1:$626,MATCH($A572,'Исходник'!$T:$T,0),MATCH(E$1,'Исходник'!$1:$1,0)))</f>
        <v/>
      </c>
      <c r="F572" s="1" t="str">
        <f t="array" ref="F572">IFERROR(INDEX('Исходник'!$1:$626,MATCH($A572,'Исходник'!$T:$T,0),MATCH(F$1,'Исходник'!$1:$1,0)))</f>
        <v/>
      </c>
      <c r="G572" s="1" t="str">
        <f t="array" ref="G572">IFERROR(INDEX('Исходник'!$1:$626,MATCH($A572,'Исходник'!$T:$T,0),MATCH(G$1,'Исходник'!$1:$1,0)))</f>
        <v/>
      </c>
      <c r="H572" s="27">
        <f t="shared" si="1"/>
        <v>0</v>
      </c>
      <c r="I572" s="27" t="str">
        <f t="shared" si="2"/>
        <v/>
      </c>
      <c r="J572" s="1" t="str">
        <f t="array" ref="J572">IFERROR(INDEX('Исходник'!$1:$626,MATCH($A572,'Исходник'!$T:$T,0),MATCH(J$1,'Исходник'!$1:$1,0)))</f>
        <v/>
      </c>
      <c r="K572" s="27" t="str">
        <f t="shared" si="3"/>
        <v/>
      </c>
      <c r="L572" s="1" t="str">
        <f t="array" ref="L572">IFERROR(INDEX('Исходник'!$1:$626,MATCH($A572,'Исходник'!$T:$T,0),MATCH(L$1,'Исходник'!$1:$1,0)))</f>
        <v/>
      </c>
      <c r="M572" s="28">
        <f t="shared" si="4"/>
        <v>0</v>
      </c>
      <c r="N572" s="1" t="str">
        <f t="array" ref="N572">IFERROR(INDEX('Исходник'!$1:$626,MATCH($A572,'Исходник'!$T:$T,0),MATCH(N$1,'Исходник'!$1:$1,0)))</f>
        <v/>
      </c>
      <c r="O572" s="27">
        <f t="shared" si="5"/>
        <v>0</v>
      </c>
      <c r="P572" s="27" t="str">
        <f t="shared" si="6"/>
        <v/>
      </c>
      <c r="Q572" s="1" t="str">
        <f t="array" ref="Q572">IFERROR(INDEX('Исходник'!$1:$626,MATCH($A572,'Исходник'!$T:$T,0),MATCH(Q$1,'Исходник'!$1:$1,0)))</f>
        <v/>
      </c>
      <c r="R572" s="1" t="str">
        <f t="array" ref="R572">IFERROR(INDEX('Исходник'!$1:$626,MATCH($A572,'Исходник'!$T:$T,0),MATCH(R$1,'Исходник'!$1:$1,0)))</f>
        <v/>
      </c>
      <c r="S572" s="27">
        <f t="shared" si="7"/>
        <v>0</v>
      </c>
      <c r="T572" s="27" t="str">
        <f t="shared" si="8"/>
        <v/>
      </c>
      <c r="U572" s="1" t="str">
        <f t="array" ref="U572">IFERROR(INDEX('Исходник'!$1:$626,MATCH($A572,'Исходник'!$T:$T,0),MATCH(U$1,'Исходник'!$1:$1,0)))</f>
        <v/>
      </c>
      <c r="V572" s="27" t="str">
        <f t="shared" si="9"/>
        <v/>
      </c>
      <c r="W572" s="1" t="str">
        <f t="array" ref="W572">IFERROR(INDEX('Исходник'!$1:$626,MATCH($A572,'Исходник'!$T:$T,0),MATCH(W$1,'Исходник'!$1:$1,0)))</f>
        <v/>
      </c>
      <c r="X572" s="28">
        <f t="shared" si="10"/>
        <v>0</v>
      </c>
      <c r="Y572" s="1" t="str">
        <f t="array" ref="Y572">IFERROR(INDEX('Исходник'!$1:$626,MATCH($A572,'Исходник'!$T:$T,0),MATCH(Y$1,'Исходник'!$1:$1,0)))</f>
        <v/>
      </c>
      <c r="Z572" s="27">
        <f t="shared" si="11"/>
        <v>0</v>
      </c>
      <c r="AA572" s="27" t="str">
        <f t="shared" si="12"/>
        <v/>
      </c>
      <c r="AB572" s="1" t="str">
        <f t="array" ref="AB572">IFERROR(INDEX('Исходник'!$1:$626,MATCH($A572,'Исходник'!$T:$T,0),MATCH(AB$1,'Исходник'!$1:$1,0)))</f>
        <v/>
      </c>
      <c r="AC572" s="1" t="str">
        <f t="array" ref="AC572">IFERROR(INDEX('Исходник'!$1:$626,MATCH($A572,'Исходник'!$T:$T,0),MATCH(AC$1,'Исходник'!$1:$1,0)))</f>
        <v/>
      </c>
      <c r="AD572" s="27" t="str">
        <f t="shared" si="13"/>
        <v/>
      </c>
      <c r="AE572" s="1" t="str">
        <f t="array" ref="AE572">IFERROR(INDEX('Исходник'!$1:$626,MATCH($A572,'Исходник'!$T:$T,0),MATCH(AE$1,'Исходник'!$1:$1,0)))</f>
        <v/>
      </c>
      <c r="AF572" s="1" t="str">
        <f t="array" ref="AF572">IFERROR(INDEX('Исходник'!$1:$626,MATCH($A572,'Исходник'!$T:$T,0),MATCH(AF$1,'Исходник'!$1:$1,0)))</f>
        <v/>
      </c>
      <c r="AG572" s="27" t="str">
        <f t="shared" si="14"/>
        <v/>
      </c>
      <c r="AH572" s="1" t="str">
        <f t="array" ref="AH572">IFERROR(INDEX('Исходник'!$1:$626,MATCH($A572,'Исходник'!$T:$T,0),MATCH(AH$1,'Исходник'!$1:$1,0)))</f>
        <v/>
      </c>
      <c r="AI572" s="1" t="str">
        <f t="array" ref="AI572">IFERROR(INDEX('Исходник'!$1:$626,MATCH($A572,'Исходник'!$T:$T,0),MATCH(AI$1,'Исходник'!$1:$1,0)))</f>
        <v/>
      </c>
      <c r="AJ572" s="18">
        <f t="shared" si="15"/>
        <v>0</v>
      </c>
    </row>
    <row r="573" ht="15.75" customHeight="1">
      <c r="A573" s="27"/>
      <c r="B573" s="1" t="str">
        <f t="array" ref="B573">IFERROR(INDEX('Исходник'!$1:$626,MATCH($A573,'Исходник'!$T:$T,0),MATCH(B$1,'Исходник'!$1:$1,0)))</f>
        <v/>
      </c>
      <c r="C573" s="1" t="str">
        <f t="array" ref="C573">IFERROR(INDEX('Исходник'!$1:$626,MATCH($A573,'Исходник'!$T:$T,0),MATCH(C$1,'Исходник'!$1:$1,0)))</f>
        <v/>
      </c>
      <c r="D573" s="1" t="str">
        <f t="array" ref="D573">IFERROR(INDEX('Исходник'!$1:$626,MATCH($A573,'Исходник'!$T:$T,0),MATCH(D$1,'Исходник'!$1:$1,0)))</f>
        <v/>
      </c>
      <c r="E573" s="1" t="str">
        <f t="array" ref="E573">IFERROR(INDEX('Исходник'!$1:$626,MATCH($A573,'Исходник'!$T:$T,0),MATCH(E$1,'Исходник'!$1:$1,0)))</f>
        <v/>
      </c>
      <c r="F573" s="1" t="str">
        <f t="array" ref="F573">IFERROR(INDEX('Исходник'!$1:$626,MATCH($A573,'Исходник'!$T:$T,0),MATCH(F$1,'Исходник'!$1:$1,0)))</f>
        <v/>
      </c>
      <c r="G573" s="1" t="str">
        <f t="array" ref="G573">IFERROR(INDEX('Исходник'!$1:$626,MATCH($A573,'Исходник'!$T:$T,0),MATCH(G$1,'Исходник'!$1:$1,0)))</f>
        <v/>
      </c>
      <c r="H573" s="27">
        <f t="shared" si="1"/>
        <v>0</v>
      </c>
      <c r="I573" s="27" t="str">
        <f t="shared" si="2"/>
        <v/>
      </c>
      <c r="J573" s="1" t="str">
        <f t="array" ref="J573">IFERROR(INDEX('Исходник'!$1:$626,MATCH($A573,'Исходник'!$T:$T,0),MATCH(J$1,'Исходник'!$1:$1,0)))</f>
        <v/>
      </c>
      <c r="K573" s="27" t="str">
        <f t="shared" si="3"/>
        <v/>
      </c>
      <c r="L573" s="1" t="str">
        <f t="array" ref="L573">IFERROR(INDEX('Исходник'!$1:$626,MATCH($A573,'Исходник'!$T:$T,0),MATCH(L$1,'Исходник'!$1:$1,0)))</f>
        <v/>
      </c>
      <c r="M573" s="28">
        <f t="shared" si="4"/>
        <v>0</v>
      </c>
      <c r="N573" s="1" t="str">
        <f t="array" ref="N573">IFERROR(INDEX('Исходник'!$1:$626,MATCH($A573,'Исходник'!$T:$T,0),MATCH(N$1,'Исходник'!$1:$1,0)))</f>
        <v/>
      </c>
      <c r="O573" s="27">
        <f t="shared" si="5"/>
        <v>0</v>
      </c>
      <c r="P573" s="27" t="str">
        <f t="shared" si="6"/>
        <v/>
      </c>
      <c r="Q573" s="1" t="str">
        <f t="array" ref="Q573">IFERROR(INDEX('Исходник'!$1:$626,MATCH($A573,'Исходник'!$T:$T,0),MATCH(Q$1,'Исходник'!$1:$1,0)))</f>
        <v/>
      </c>
      <c r="R573" s="1" t="str">
        <f t="array" ref="R573">IFERROR(INDEX('Исходник'!$1:$626,MATCH($A573,'Исходник'!$T:$T,0),MATCH(R$1,'Исходник'!$1:$1,0)))</f>
        <v/>
      </c>
      <c r="S573" s="27">
        <f t="shared" si="7"/>
        <v>0</v>
      </c>
      <c r="T573" s="27" t="str">
        <f t="shared" si="8"/>
        <v/>
      </c>
      <c r="U573" s="1" t="str">
        <f t="array" ref="U573">IFERROR(INDEX('Исходник'!$1:$626,MATCH($A573,'Исходник'!$T:$T,0),MATCH(U$1,'Исходник'!$1:$1,0)))</f>
        <v/>
      </c>
      <c r="V573" s="27" t="str">
        <f t="shared" si="9"/>
        <v/>
      </c>
      <c r="W573" s="1" t="str">
        <f t="array" ref="W573">IFERROR(INDEX('Исходник'!$1:$626,MATCH($A573,'Исходник'!$T:$T,0),MATCH(W$1,'Исходник'!$1:$1,0)))</f>
        <v/>
      </c>
      <c r="X573" s="28">
        <f t="shared" si="10"/>
        <v>0</v>
      </c>
      <c r="Y573" s="1" t="str">
        <f t="array" ref="Y573">IFERROR(INDEX('Исходник'!$1:$626,MATCH($A573,'Исходник'!$T:$T,0),MATCH(Y$1,'Исходник'!$1:$1,0)))</f>
        <v/>
      </c>
      <c r="Z573" s="27">
        <f t="shared" si="11"/>
        <v>0</v>
      </c>
      <c r="AA573" s="27" t="str">
        <f t="shared" si="12"/>
        <v/>
      </c>
      <c r="AB573" s="1" t="str">
        <f t="array" ref="AB573">IFERROR(INDEX('Исходник'!$1:$626,MATCH($A573,'Исходник'!$T:$T,0),MATCH(AB$1,'Исходник'!$1:$1,0)))</f>
        <v/>
      </c>
      <c r="AC573" s="1" t="str">
        <f t="array" ref="AC573">IFERROR(INDEX('Исходник'!$1:$626,MATCH($A573,'Исходник'!$T:$T,0),MATCH(AC$1,'Исходник'!$1:$1,0)))</f>
        <v/>
      </c>
      <c r="AD573" s="27" t="str">
        <f t="shared" si="13"/>
        <v/>
      </c>
      <c r="AE573" s="1" t="str">
        <f t="array" ref="AE573">IFERROR(INDEX('Исходник'!$1:$626,MATCH($A573,'Исходник'!$T:$T,0),MATCH(AE$1,'Исходник'!$1:$1,0)))</f>
        <v/>
      </c>
      <c r="AF573" s="1" t="str">
        <f t="array" ref="AF573">IFERROR(INDEX('Исходник'!$1:$626,MATCH($A573,'Исходник'!$T:$T,0),MATCH(AF$1,'Исходник'!$1:$1,0)))</f>
        <v/>
      </c>
      <c r="AG573" s="27" t="str">
        <f t="shared" si="14"/>
        <v/>
      </c>
      <c r="AH573" s="1" t="str">
        <f t="array" ref="AH573">IFERROR(INDEX('Исходник'!$1:$626,MATCH($A573,'Исходник'!$T:$T,0),MATCH(AH$1,'Исходник'!$1:$1,0)))</f>
        <v/>
      </c>
      <c r="AI573" s="1" t="str">
        <f t="array" ref="AI573">IFERROR(INDEX('Исходник'!$1:$626,MATCH($A573,'Исходник'!$T:$T,0),MATCH(AI$1,'Исходник'!$1:$1,0)))</f>
        <v/>
      </c>
      <c r="AJ573" s="18">
        <f t="shared" si="15"/>
        <v>0</v>
      </c>
    </row>
    <row r="574" ht="15.75" customHeight="1">
      <c r="A574" s="27"/>
      <c r="B574" s="1" t="str">
        <f t="array" ref="B574">IFERROR(INDEX('Исходник'!$1:$626,MATCH($A574,'Исходник'!$T:$T,0),MATCH(B$1,'Исходник'!$1:$1,0)))</f>
        <v/>
      </c>
      <c r="C574" s="1" t="str">
        <f t="array" ref="C574">IFERROR(INDEX('Исходник'!$1:$626,MATCH($A574,'Исходник'!$T:$T,0),MATCH(C$1,'Исходник'!$1:$1,0)))</f>
        <v/>
      </c>
      <c r="D574" s="1" t="str">
        <f t="array" ref="D574">IFERROR(INDEX('Исходник'!$1:$626,MATCH($A574,'Исходник'!$T:$T,0),MATCH(D$1,'Исходник'!$1:$1,0)))</f>
        <v/>
      </c>
      <c r="E574" s="1" t="str">
        <f t="array" ref="E574">IFERROR(INDEX('Исходник'!$1:$626,MATCH($A574,'Исходник'!$T:$T,0),MATCH(E$1,'Исходник'!$1:$1,0)))</f>
        <v/>
      </c>
      <c r="F574" s="1" t="str">
        <f t="array" ref="F574">IFERROR(INDEX('Исходник'!$1:$626,MATCH($A574,'Исходник'!$T:$T,0),MATCH(F$1,'Исходник'!$1:$1,0)))</f>
        <v/>
      </c>
      <c r="G574" s="1" t="str">
        <f t="array" ref="G574">IFERROR(INDEX('Исходник'!$1:$626,MATCH($A574,'Исходник'!$T:$T,0),MATCH(G$1,'Исходник'!$1:$1,0)))</f>
        <v/>
      </c>
      <c r="H574" s="27">
        <f t="shared" si="1"/>
        <v>0</v>
      </c>
      <c r="I574" s="27" t="str">
        <f t="shared" si="2"/>
        <v/>
      </c>
      <c r="J574" s="1" t="str">
        <f t="array" ref="J574">IFERROR(INDEX('Исходник'!$1:$626,MATCH($A574,'Исходник'!$T:$T,0),MATCH(J$1,'Исходник'!$1:$1,0)))</f>
        <v/>
      </c>
      <c r="K574" s="27" t="str">
        <f t="shared" si="3"/>
        <v/>
      </c>
      <c r="L574" s="1" t="str">
        <f t="array" ref="L574">IFERROR(INDEX('Исходник'!$1:$626,MATCH($A574,'Исходник'!$T:$T,0),MATCH(L$1,'Исходник'!$1:$1,0)))</f>
        <v/>
      </c>
      <c r="M574" s="28">
        <f t="shared" si="4"/>
        <v>0</v>
      </c>
      <c r="N574" s="1" t="str">
        <f t="array" ref="N574">IFERROR(INDEX('Исходник'!$1:$626,MATCH($A574,'Исходник'!$T:$T,0),MATCH(N$1,'Исходник'!$1:$1,0)))</f>
        <v/>
      </c>
      <c r="O574" s="27">
        <f t="shared" si="5"/>
        <v>0</v>
      </c>
      <c r="P574" s="27" t="str">
        <f t="shared" si="6"/>
        <v/>
      </c>
      <c r="Q574" s="1" t="str">
        <f t="array" ref="Q574">IFERROR(INDEX('Исходник'!$1:$626,MATCH($A574,'Исходник'!$T:$T,0),MATCH(Q$1,'Исходник'!$1:$1,0)))</f>
        <v/>
      </c>
      <c r="R574" s="1" t="str">
        <f t="array" ref="R574">IFERROR(INDEX('Исходник'!$1:$626,MATCH($A574,'Исходник'!$T:$T,0),MATCH(R$1,'Исходник'!$1:$1,0)))</f>
        <v/>
      </c>
      <c r="S574" s="27">
        <f t="shared" si="7"/>
        <v>0</v>
      </c>
      <c r="T574" s="27" t="str">
        <f t="shared" si="8"/>
        <v/>
      </c>
      <c r="U574" s="1" t="str">
        <f t="array" ref="U574">IFERROR(INDEX('Исходник'!$1:$626,MATCH($A574,'Исходник'!$T:$T,0),MATCH(U$1,'Исходник'!$1:$1,0)))</f>
        <v/>
      </c>
      <c r="V574" s="27" t="str">
        <f t="shared" si="9"/>
        <v/>
      </c>
      <c r="W574" s="1" t="str">
        <f t="array" ref="W574">IFERROR(INDEX('Исходник'!$1:$626,MATCH($A574,'Исходник'!$T:$T,0),MATCH(W$1,'Исходник'!$1:$1,0)))</f>
        <v/>
      </c>
      <c r="X574" s="28">
        <f t="shared" si="10"/>
        <v>0</v>
      </c>
      <c r="Y574" s="1" t="str">
        <f t="array" ref="Y574">IFERROR(INDEX('Исходник'!$1:$626,MATCH($A574,'Исходник'!$T:$T,0),MATCH(Y$1,'Исходник'!$1:$1,0)))</f>
        <v/>
      </c>
      <c r="Z574" s="27">
        <f t="shared" si="11"/>
        <v>0</v>
      </c>
      <c r="AA574" s="27" t="str">
        <f t="shared" si="12"/>
        <v/>
      </c>
      <c r="AB574" s="1" t="str">
        <f t="array" ref="AB574">IFERROR(INDEX('Исходник'!$1:$626,MATCH($A574,'Исходник'!$T:$T,0),MATCH(AB$1,'Исходник'!$1:$1,0)))</f>
        <v/>
      </c>
      <c r="AC574" s="1" t="str">
        <f t="array" ref="AC574">IFERROR(INDEX('Исходник'!$1:$626,MATCH($A574,'Исходник'!$T:$T,0),MATCH(AC$1,'Исходник'!$1:$1,0)))</f>
        <v/>
      </c>
      <c r="AD574" s="27" t="str">
        <f t="shared" si="13"/>
        <v/>
      </c>
      <c r="AE574" s="1" t="str">
        <f t="array" ref="AE574">IFERROR(INDEX('Исходник'!$1:$626,MATCH($A574,'Исходник'!$T:$T,0),MATCH(AE$1,'Исходник'!$1:$1,0)))</f>
        <v/>
      </c>
      <c r="AF574" s="1" t="str">
        <f t="array" ref="AF574">IFERROR(INDEX('Исходник'!$1:$626,MATCH($A574,'Исходник'!$T:$T,0),MATCH(AF$1,'Исходник'!$1:$1,0)))</f>
        <v/>
      </c>
      <c r="AG574" s="27" t="str">
        <f t="shared" si="14"/>
        <v/>
      </c>
      <c r="AH574" s="1" t="str">
        <f t="array" ref="AH574">IFERROR(INDEX('Исходник'!$1:$626,MATCH($A574,'Исходник'!$T:$T,0),MATCH(AH$1,'Исходник'!$1:$1,0)))</f>
        <v/>
      </c>
      <c r="AI574" s="1" t="str">
        <f t="array" ref="AI574">IFERROR(INDEX('Исходник'!$1:$626,MATCH($A574,'Исходник'!$T:$T,0),MATCH(AI$1,'Исходник'!$1:$1,0)))</f>
        <v/>
      </c>
      <c r="AJ574" s="18">
        <f t="shared" si="15"/>
        <v>0</v>
      </c>
    </row>
    <row r="575" ht="15.75" customHeight="1">
      <c r="A575" s="27"/>
      <c r="B575" s="1" t="str">
        <f t="array" ref="B575">IFERROR(INDEX('Исходник'!$1:$626,MATCH($A575,'Исходник'!$T:$T,0),MATCH(B$1,'Исходник'!$1:$1,0)))</f>
        <v/>
      </c>
      <c r="C575" s="1" t="str">
        <f t="array" ref="C575">IFERROR(INDEX('Исходник'!$1:$626,MATCH($A575,'Исходник'!$T:$T,0),MATCH(C$1,'Исходник'!$1:$1,0)))</f>
        <v/>
      </c>
      <c r="D575" s="1" t="str">
        <f t="array" ref="D575">IFERROR(INDEX('Исходник'!$1:$626,MATCH($A575,'Исходник'!$T:$T,0),MATCH(D$1,'Исходник'!$1:$1,0)))</f>
        <v/>
      </c>
      <c r="E575" s="1" t="str">
        <f t="array" ref="E575">IFERROR(INDEX('Исходник'!$1:$626,MATCH($A575,'Исходник'!$T:$T,0),MATCH(E$1,'Исходник'!$1:$1,0)))</f>
        <v/>
      </c>
      <c r="F575" s="1" t="str">
        <f t="array" ref="F575">IFERROR(INDEX('Исходник'!$1:$626,MATCH($A575,'Исходник'!$T:$T,0),MATCH(F$1,'Исходник'!$1:$1,0)))</f>
        <v/>
      </c>
      <c r="G575" s="1" t="str">
        <f t="array" ref="G575">IFERROR(INDEX('Исходник'!$1:$626,MATCH($A575,'Исходник'!$T:$T,0),MATCH(G$1,'Исходник'!$1:$1,0)))</f>
        <v/>
      </c>
      <c r="H575" s="27">
        <f t="shared" si="1"/>
        <v>0</v>
      </c>
      <c r="I575" s="27" t="str">
        <f t="shared" si="2"/>
        <v/>
      </c>
      <c r="J575" s="1" t="str">
        <f t="array" ref="J575">IFERROR(INDEX('Исходник'!$1:$626,MATCH($A575,'Исходник'!$T:$T,0),MATCH(J$1,'Исходник'!$1:$1,0)))</f>
        <v/>
      </c>
      <c r="K575" s="27" t="str">
        <f t="shared" si="3"/>
        <v/>
      </c>
      <c r="L575" s="1" t="str">
        <f t="array" ref="L575">IFERROR(INDEX('Исходник'!$1:$626,MATCH($A575,'Исходник'!$T:$T,0),MATCH(L$1,'Исходник'!$1:$1,0)))</f>
        <v/>
      </c>
      <c r="M575" s="28">
        <f t="shared" si="4"/>
        <v>0</v>
      </c>
      <c r="N575" s="1" t="str">
        <f t="array" ref="N575">IFERROR(INDEX('Исходник'!$1:$626,MATCH($A575,'Исходник'!$T:$T,0),MATCH(N$1,'Исходник'!$1:$1,0)))</f>
        <v/>
      </c>
      <c r="O575" s="27">
        <f t="shared" si="5"/>
        <v>0</v>
      </c>
      <c r="P575" s="27" t="str">
        <f t="shared" si="6"/>
        <v/>
      </c>
      <c r="Q575" s="1" t="str">
        <f t="array" ref="Q575">IFERROR(INDEX('Исходник'!$1:$626,MATCH($A575,'Исходник'!$T:$T,0),MATCH(Q$1,'Исходник'!$1:$1,0)))</f>
        <v/>
      </c>
      <c r="R575" s="1" t="str">
        <f t="array" ref="R575">IFERROR(INDEX('Исходник'!$1:$626,MATCH($A575,'Исходник'!$T:$T,0),MATCH(R$1,'Исходник'!$1:$1,0)))</f>
        <v/>
      </c>
      <c r="S575" s="27">
        <f t="shared" si="7"/>
        <v>0</v>
      </c>
      <c r="T575" s="27" t="str">
        <f t="shared" si="8"/>
        <v/>
      </c>
      <c r="U575" s="1" t="str">
        <f t="array" ref="U575">IFERROR(INDEX('Исходник'!$1:$626,MATCH($A575,'Исходник'!$T:$T,0),MATCH(U$1,'Исходник'!$1:$1,0)))</f>
        <v/>
      </c>
      <c r="V575" s="27" t="str">
        <f t="shared" si="9"/>
        <v/>
      </c>
      <c r="W575" s="1" t="str">
        <f t="array" ref="W575">IFERROR(INDEX('Исходник'!$1:$626,MATCH($A575,'Исходник'!$T:$T,0),MATCH(W$1,'Исходник'!$1:$1,0)))</f>
        <v/>
      </c>
      <c r="X575" s="28">
        <f t="shared" si="10"/>
        <v>0</v>
      </c>
      <c r="Y575" s="1" t="str">
        <f t="array" ref="Y575">IFERROR(INDEX('Исходник'!$1:$626,MATCH($A575,'Исходник'!$T:$T,0),MATCH(Y$1,'Исходник'!$1:$1,0)))</f>
        <v/>
      </c>
      <c r="Z575" s="27">
        <f t="shared" si="11"/>
        <v>0</v>
      </c>
      <c r="AA575" s="27" t="str">
        <f t="shared" si="12"/>
        <v/>
      </c>
      <c r="AB575" s="1" t="str">
        <f t="array" ref="AB575">IFERROR(INDEX('Исходник'!$1:$626,MATCH($A575,'Исходник'!$T:$T,0),MATCH(AB$1,'Исходник'!$1:$1,0)))</f>
        <v/>
      </c>
      <c r="AC575" s="1" t="str">
        <f t="array" ref="AC575">IFERROR(INDEX('Исходник'!$1:$626,MATCH($A575,'Исходник'!$T:$T,0),MATCH(AC$1,'Исходник'!$1:$1,0)))</f>
        <v/>
      </c>
      <c r="AD575" s="27" t="str">
        <f t="shared" si="13"/>
        <v/>
      </c>
      <c r="AE575" s="1" t="str">
        <f t="array" ref="AE575">IFERROR(INDEX('Исходник'!$1:$626,MATCH($A575,'Исходник'!$T:$T,0),MATCH(AE$1,'Исходник'!$1:$1,0)))</f>
        <v/>
      </c>
      <c r="AF575" s="1" t="str">
        <f t="array" ref="AF575">IFERROR(INDEX('Исходник'!$1:$626,MATCH($A575,'Исходник'!$T:$T,0),MATCH(AF$1,'Исходник'!$1:$1,0)))</f>
        <v/>
      </c>
      <c r="AG575" s="27" t="str">
        <f t="shared" si="14"/>
        <v/>
      </c>
      <c r="AH575" s="1" t="str">
        <f t="array" ref="AH575">IFERROR(INDEX('Исходник'!$1:$626,MATCH($A575,'Исходник'!$T:$T,0),MATCH(AH$1,'Исходник'!$1:$1,0)))</f>
        <v/>
      </c>
      <c r="AI575" s="1" t="str">
        <f t="array" ref="AI575">IFERROR(INDEX('Исходник'!$1:$626,MATCH($A575,'Исходник'!$T:$T,0),MATCH(AI$1,'Исходник'!$1:$1,0)))</f>
        <v/>
      </c>
      <c r="AJ575" s="18">
        <f t="shared" si="15"/>
        <v>0</v>
      </c>
    </row>
    <row r="576" ht="15.75" customHeight="1">
      <c r="A576" s="27"/>
      <c r="B576" s="1" t="str">
        <f t="array" ref="B576">IFERROR(INDEX('Исходник'!$1:$626,MATCH($A576,'Исходник'!$T:$T,0),MATCH(B$1,'Исходник'!$1:$1,0)))</f>
        <v/>
      </c>
      <c r="C576" s="1" t="str">
        <f t="array" ref="C576">IFERROR(INDEX('Исходник'!$1:$626,MATCH($A576,'Исходник'!$T:$T,0),MATCH(C$1,'Исходник'!$1:$1,0)))</f>
        <v/>
      </c>
      <c r="D576" s="1" t="str">
        <f t="array" ref="D576">IFERROR(INDEX('Исходник'!$1:$626,MATCH($A576,'Исходник'!$T:$T,0),MATCH(D$1,'Исходник'!$1:$1,0)))</f>
        <v/>
      </c>
      <c r="E576" s="1" t="str">
        <f t="array" ref="E576">IFERROR(INDEX('Исходник'!$1:$626,MATCH($A576,'Исходник'!$T:$T,0),MATCH(E$1,'Исходник'!$1:$1,0)))</f>
        <v/>
      </c>
      <c r="F576" s="1" t="str">
        <f t="array" ref="F576">IFERROR(INDEX('Исходник'!$1:$626,MATCH($A576,'Исходник'!$T:$T,0),MATCH(F$1,'Исходник'!$1:$1,0)))</f>
        <v/>
      </c>
      <c r="G576" s="1" t="str">
        <f t="array" ref="G576">IFERROR(INDEX('Исходник'!$1:$626,MATCH($A576,'Исходник'!$T:$T,0),MATCH(G$1,'Исходник'!$1:$1,0)))</f>
        <v/>
      </c>
      <c r="H576" s="27">
        <f t="shared" si="1"/>
        <v>0</v>
      </c>
      <c r="I576" s="27" t="str">
        <f t="shared" si="2"/>
        <v/>
      </c>
      <c r="J576" s="1" t="str">
        <f t="array" ref="J576">IFERROR(INDEX('Исходник'!$1:$626,MATCH($A576,'Исходник'!$T:$T,0),MATCH(J$1,'Исходник'!$1:$1,0)))</f>
        <v/>
      </c>
      <c r="K576" s="27" t="str">
        <f t="shared" si="3"/>
        <v/>
      </c>
      <c r="L576" s="1" t="str">
        <f t="array" ref="L576">IFERROR(INDEX('Исходник'!$1:$626,MATCH($A576,'Исходник'!$T:$T,0),MATCH(L$1,'Исходник'!$1:$1,0)))</f>
        <v/>
      </c>
      <c r="M576" s="28">
        <f t="shared" si="4"/>
        <v>0</v>
      </c>
      <c r="N576" s="1" t="str">
        <f t="array" ref="N576">IFERROR(INDEX('Исходник'!$1:$626,MATCH($A576,'Исходник'!$T:$T,0),MATCH(N$1,'Исходник'!$1:$1,0)))</f>
        <v/>
      </c>
      <c r="O576" s="27">
        <f t="shared" si="5"/>
        <v>0</v>
      </c>
      <c r="P576" s="27" t="str">
        <f t="shared" si="6"/>
        <v/>
      </c>
      <c r="Q576" s="1" t="str">
        <f t="array" ref="Q576">IFERROR(INDEX('Исходник'!$1:$626,MATCH($A576,'Исходник'!$T:$T,0),MATCH(Q$1,'Исходник'!$1:$1,0)))</f>
        <v/>
      </c>
      <c r="R576" s="1" t="str">
        <f t="array" ref="R576">IFERROR(INDEX('Исходник'!$1:$626,MATCH($A576,'Исходник'!$T:$T,0),MATCH(R$1,'Исходник'!$1:$1,0)))</f>
        <v/>
      </c>
      <c r="S576" s="27">
        <f t="shared" si="7"/>
        <v>0</v>
      </c>
      <c r="T576" s="27" t="str">
        <f t="shared" si="8"/>
        <v/>
      </c>
      <c r="U576" s="1" t="str">
        <f t="array" ref="U576">IFERROR(INDEX('Исходник'!$1:$626,MATCH($A576,'Исходник'!$T:$T,0),MATCH(U$1,'Исходник'!$1:$1,0)))</f>
        <v/>
      </c>
      <c r="V576" s="27" t="str">
        <f t="shared" si="9"/>
        <v/>
      </c>
      <c r="W576" s="1" t="str">
        <f t="array" ref="W576">IFERROR(INDEX('Исходник'!$1:$626,MATCH($A576,'Исходник'!$T:$T,0),MATCH(W$1,'Исходник'!$1:$1,0)))</f>
        <v/>
      </c>
      <c r="X576" s="28">
        <f t="shared" si="10"/>
        <v>0</v>
      </c>
      <c r="Y576" s="1" t="str">
        <f t="array" ref="Y576">IFERROR(INDEX('Исходник'!$1:$626,MATCH($A576,'Исходник'!$T:$T,0),MATCH(Y$1,'Исходник'!$1:$1,0)))</f>
        <v/>
      </c>
      <c r="Z576" s="27">
        <f t="shared" si="11"/>
        <v>0</v>
      </c>
      <c r="AA576" s="27" t="str">
        <f t="shared" si="12"/>
        <v/>
      </c>
      <c r="AB576" s="1" t="str">
        <f t="array" ref="AB576">IFERROR(INDEX('Исходник'!$1:$626,MATCH($A576,'Исходник'!$T:$T,0),MATCH(AB$1,'Исходник'!$1:$1,0)))</f>
        <v/>
      </c>
      <c r="AC576" s="1" t="str">
        <f t="array" ref="AC576">IFERROR(INDEX('Исходник'!$1:$626,MATCH($A576,'Исходник'!$T:$T,0),MATCH(AC$1,'Исходник'!$1:$1,0)))</f>
        <v/>
      </c>
      <c r="AD576" s="27" t="str">
        <f t="shared" si="13"/>
        <v/>
      </c>
      <c r="AE576" s="1" t="str">
        <f t="array" ref="AE576">IFERROR(INDEX('Исходник'!$1:$626,MATCH($A576,'Исходник'!$T:$T,0),MATCH(AE$1,'Исходник'!$1:$1,0)))</f>
        <v/>
      </c>
      <c r="AF576" s="1" t="str">
        <f t="array" ref="AF576">IFERROR(INDEX('Исходник'!$1:$626,MATCH($A576,'Исходник'!$T:$T,0),MATCH(AF$1,'Исходник'!$1:$1,0)))</f>
        <v/>
      </c>
      <c r="AG576" s="27" t="str">
        <f t="shared" si="14"/>
        <v/>
      </c>
      <c r="AH576" s="1" t="str">
        <f t="array" ref="AH576">IFERROR(INDEX('Исходник'!$1:$626,MATCH($A576,'Исходник'!$T:$T,0),MATCH(AH$1,'Исходник'!$1:$1,0)))</f>
        <v/>
      </c>
      <c r="AI576" s="1" t="str">
        <f t="array" ref="AI576">IFERROR(INDEX('Исходник'!$1:$626,MATCH($A576,'Исходник'!$T:$T,0),MATCH(AI$1,'Исходник'!$1:$1,0)))</f>
        <v/>
      </c>
      <c r="AJ576" s="18">
        <f t="shared" si="15"/>
        <v>0</v>
      </c>
    </row>
    <row r="577" ht="15.75" customHeight="1">
      <c r="A577" s="27"/>
      <c r="B577" s="1" t="str">
        <f t="array" ref="B577">IFERROR(INDEX('Исходник'!$1:$626,MATCH($A577,'Исходник'!$T:$T,0),MATCH(B$1,'Исходник'!$1:$1,0)))</f>
        <v/>
      </c>
      <c r="C577" s="1" t="str">
        <f t="array" ref="C577">IFERROR(INDEX('Исходник'!$1:$626,MATCH($A577,'Исходник'!$T:$T,0),MATCH(C$1,'Исходник'!$1:$1,0)))</f>
        <v/>
      </c>
      <c r="D577" s="1" t="str">
        <f t="array" ref="D577">IFERROR(INDEX('Исходник'!$1:$626,MATCH($A577,'Исходник'!$T:$T,0),MATCH(D$1,'Исходник'!$1:$1,0)))</f>
        <v/>
      </c>
      <c r="E577" s="1" t="str">
        <f t="array" ref="E577">IFERROR(INDEX('Исходник'!$1:$626,MATCH($A577,'Исходник'!$T:$T,0),MATCH(E$1,'Исходник'!$1:$1,0)))</f>
        <v/>
      </c>
      <c r="F577" s="1" t="str">
        <f t="array" ref="F577">IFERROR(INDEX('Исходник'!$1:$626,MATCH($A577,'Исходник'!$T:$T,0),MATCH(F$1,'Исходник'!$1:$1,0)))</f>
        <v/>
      </c>
      <c r="G577" s="1" t="str">
        <f t="array" ref="G577">IFERROR(INDEX('Исходник'!$1:$626,MATCH($A577,'Исходник'!$T:$T,0),MATCH(G$1,'Исходник'!$1:$1,0)))</f>
        <v/>
      </c>
      <c r="H577" s="27">
        <f t="shared" si="1"/>
        <v>0</v>
      </c>
      <c r="I577" s="27" t="str">
        <f t="shared" si="2"/>
        <v/>
      </c>
      <c r="J577" s="1" t="str">
        <f t="array" ref="J577">IFERROR(INDEX('Исходник'!$1:$626,MATCH($A577,'Исходник'!$T:$T,0),MATCH(J$1,'Исходник'!$1:$1,0)))</f>
        <v/>
      </c>
      <c r="K577" s="27" t="str">
        <f t="shared" si="3"/>
        <v/>
      </c>
      <c r="L577" s="1" t="str">
        <f t="array" ref="L577">IFERROR(INDEX('Исходник'!$1:$626,MATCH($A577,'Исходник'!$T:$T,0),MATCH(L$1,'Исходник'!$1:$1,0)))</f>
        <v/>
      </c>
      <c r="M577" s="28">
        <f t="shared" si="4"/>
        <v>0</v>
      </c>
      <c r="N577" s="1" t="str">
        <f t="array" ref="N577">IFERROR(INDEX('Исходник'!$1:$626,MATCH($A577,'Исходник'!$T:$T,0),MATCH(N$1,'Исходник'!$1:$1,0)))</f>
        <v/>
      </c>
      <c r="O577" s="27">
        <f t="shared" si="5"/>
        <v>0</v>
      </c>
      <c r="P577" s="27" t="str">
        <f t="shared" si="6"/>
        <v/>
      </c>
      <c r="Q577" s="1" t="str">
        <f t="array" ref="Q577">IFERROR(INDEX('Исходник'!$1:$626,MATCH($A577,'Исходник'!$T:$T,0),MATCH(Q$1,'Исходник'!$1:$1,0)))</f>
        <v/>
      </c>
      <c r="R577" s="1" t="str">
        <f t="array" ref="R577">IFERROR(INDEX('Исходник'!$1:$626,MATCH($A577,'Исходник'!$T:$T,0),MATCH(R$1,'Исходник'!$1:$1,0)))</f>
        <v/>
      </c>
      <c r="S577" s="27">
        <f t="shared" si="7"/>
        <v>0</v>
      </c>
      <c r="T577" s="27" t="str">
        <f t="shared" si="8"/>
        <v/>
      </c>
      <c r="U577" s="1" t="str">
        <f t="array" ref="U577">IFERROR(INDEX('Исходник'!$1:$626,MATCH($A577,'Исходник'!$T:$T,0),MATCH(U$1,'Исходник'!$1:$1,0)))</f>
        <v/>
      </c>
      <c r="V577" s="27" t="str">
        <f t="shared" si="9"/>
        <v/>
      </c>
      <c r="W577" s="1" t="str">
        <f t="array" ref="W577">IFERROR(INDEX('Исходник'!$1:$626,MATCH($A577,'Исходник'!$T:$T,0),MATCH(W$1,'Исходник'!$1:$1,0)))</f>
        <v/>
      </c>
      <c r="X577" s="28">
        <f t="shared" si="10"/>
        <v>0</v>
      </c>
      <c r="Y577" s="1" t="str">
        <f t="array" ref="Y577">IFERROR(INDEX('Исходник'!$1:$626,MATCH($A577,'Исходник'!$T:$T,0),MATCH(Y$1,'Исходник'!$1:$1,0)))</f>
        <v/>
      </c>
      <c r="Z577" s="27">
        <f t="shared" si="11"/>
        <v>0</v>
      </c>
      <c r="AA577" s="27" t="str">
        <f t="shared" si="12"/>
        <v/>
      </c>
      <c r="AB577" s="1" t="str">
        <f t="array" ref="AB577">IFERROR(INDEX('Исходник'!$1:$626,MATCH($A577,'Исходник'!$T:$T,0),MATCH(AB$1,'Исходник'!$1:$1,0)))</f>
        <v/>
      </c>
      <c r="AC577" s="1" t="str">
        <f t="array" ref="AC577">IFERROR(INDEX('Исходник'!$1:$626,MATCH($A577,'Исходник'!$T:$T,0),MATCH(AC$1,'Исходник'!$1:$1,0)))</f>
        <v/>
      </c>
      <c r="AD577" s="27" t="str">
        <f t="shared" si="13"/>
        <v/>
      </c>
      <c r="AE577" s="1" t="str">
        <f t="array" ref="AE577">IFERROR(INDEX('Исходник'!$1:$626,MATCH($A577,'Исходник'!$T:$T,0),MATCH(AE$1,'Исходник'!$1:$1,0)))</f>
        <v/>
      </c>
      <c r="AF577" s="1" t="str">
        <f t="array" ref="AF577">IFERROR(INDEX('Исходник'!$1:$626,MATCH($A577,'Исходник'!$T:$T,0),MATCH(AF$1,'Исходник'!$1:$1,0)))</f>
        <v/>
      </c>
      <c r="AG577" s="27" t="str">
        <f t="shared" si="14"/>
        <v/>
      </c>
      <c r="AH577" s="1" t="str">
        <f t="array" ref="AH577">IFERROR(INDEX('Исходник'!$1:$626,MATCH($A577,'Исходник'!$T:$T,0),MATCH(AH$1,'Исходник'!$1:$1,0)))</f>
        <v/>
      </c>
      <c r="AI577" s="1" t="str">
        <f t="array" ref="AI577">IFERROR(INDEX('Исходник'!$1:$626,MATCH($A577,'Исходник'!$T:$T,0),MATCH(AI$1,'Исходник'!$1:$1,0)))</f>
        <v/>
      </c>
      <c r="AJ577" s="18">
        <f t="shared" si="15"/>
        <v>0</v>
      </c>
    </row>
    <row r="578" ht="15.75" customHeight="1">
      <c r="A578" s="27"/>
      <c r="B578" s="1" t="str">
        <f t="array" ref="B578">IFERROR(INDEX('Исходник'!$1:$626,MATCH($A578,'Исходник'!$T:$T,0),MATCH(B$1,'Исходник'!$1:$1,0)))</f>
        <v/>
      </c>
      <c r="C578" s="1" t="str">
        <f t="array" ref="C578">IFERROR(INDEX('Исходник'!$1:$626,MATCH($A578,'Исходник'!$T:$T,0),MATCH(C$1,'Исходник'!$1:$1,0)))</f>
        <v/>
      </c>
      <c r="D578" s="1" t="str">
        <f t="array" ref="D578">IFERROR(INDEX('Исходник'!$1:$626,MATCH($A578,'Исходник'!$T:$T,0),MATCH(D$1,'Исходник'!$1:$1,0)))</f>
        <v/>
      </c>
      <c r="E578" s="1" t="str">
        <f t="array" ref="E578">IFERROR(INDEX('Исходник'!$1:$626,MATCH($A578,'Исходник'!$T:$T,0),MATCH(E$1,'Исходник'!$1:$1,0)))</f>
        <v/>
      </c>
      <c r="F578" s="1" t="str">
        <f t="array" ref="F578">IFERROR(INDEX('Исходник'!$1:$626,MATCH($A578,'Исходник'!$T:$T,0),MATCH(F$1,'Исходник'!$1:$1,0)))</f>
        <v/>
      </c>
      <c r="G578" s="1" t="str">
        <f t="array" ref="G578">IFERROR(INDEX('Исходник'!$1:$626,MATCH($A578,'Исходник'!$T:$T,0),MATCH(G$1,'Исходник'!$1:$1,0)))</f>
        <v/>
      </c>
      <c r="H578" s="27">
        <f t="shared" si="1"/>
        <v>0</v>
      </c>
      <c r="I578" s="27" t="str">
        <f t="shared" si="2"/>
        <v/>
      </c>
      <c r="J578" s="1" t="str">
        <f t="array" ref="J578">IFERROR(INDEX('Исходник'!$1:$626,MATCH($A578,'Исходник'!$T:$T,0),MATCH(J$1,'Исходник'!$1:$1,0)))</f>
        <v/>
      </c>
      <c r="K578" s="27" t="str">
        <f t="shared" si="3"/>
        <v/>
      </c>
      <c r="L578" s="1" t="str">
        <f t="array" ref="L578">IFERROR(INDEX('Исходник'!$1:$626,MATCH($A578,'Исходник'!$T:$T,0),MATCH(L$1,'Исходник'!$1:$1,0)))</f>
        <v/>
      </c>
      <c r="M578" s="28">
        <f t="shared" si="4"/>
        <v>0</v>
      </c>
      <c r="N578" s="1" t="str">
        <f t="array" ref="N578">IFERROR(INDEX('Исходник'!$1:$626,MATCH($A578,'Исходник'!$T:$T,0),MATCH(N$1,'Исходник'!$1:$1,0)))</f>
        <v/>
      </c>
      <c r="O578" s="27">
        <f t="shared" si="5"/>
        <v>0</v>
      </c>
      <c r="P578" s="27" t="str">
        <f t="shared" si="6"/>
        <v/>
      </c>
      <c r="Q578" s="1" t="str">
        <f t="array" ref="Q578">IFERROR(INDEX('Исходник'!$1:$626,MATCH($A578,'Исходник'!$T:$T,0),MATCH(Q$1,'Исходник'!$1:$1,0)))</f>
        <v/>
      </c>
      <c r="R578" s="1" t="str">
        <f t="array" ref="R578">IFERROR(INDEX('Исходник'!$1:$626,MATCH($A578,'Исходник'!$T:$T,0),MATCH(R$1,'Исходник'!$1:$1,0)))</f>
        <v/>
      </c>
      <c r="S578" s="27">
        <f t="shared" si="7"/>
        <v>0</v>
      </c>
      <c r="T578" s="27" t="str">
        <f t="shared" si="8"/>
        <v/>
      </c>
      <c r="U578" s="1" t="str">
        <f t="array" ref="U578">IFERROR(INDEX('Исходник'!$1:$626,MATCH($A578,'Исходник'!$T:$T,0),MATCH(U$1,'Исходник'!$1:$1,0)))</f>
        <v/>
      </c>
      <c r="V578" s="27" t="str">
        <f t="shared" si="9"/>
        <v/>
      </c>
      <c r="W578" s="1" t="str">
        <f t="array" ref="W578">IFERROR(INDEX('Исходник'!$1:$626,MATCH($A578,'Исходник'!$T:$T,0),MATCH(W$1,'Исходник'!$1:$1,0)))</f>
        <v/>
      </c>
      <c r="X578" s="28">
        <f t="shared" si="10"/>
        <v>0</v>
      </c>
      <c r="Y578" s="1" t="str">
        <f t="array" ref="Y578">IFERROR(INDEX('Исходник'!$1:$626,MATCH($A578,'Исходник'!$T:$T,0),MATCH(Y$1,'Исходник'!$1:$1,0)))</f>
        <v/>
      </c>
      <c r="Z578" s="27">
        <f t="shared" si="11"/>
        <v>0</v>
      </c>
      <c r="AA578" s="27" t="str">
        <f t="shared" si="12"/>
        <v/>
      </c>
      <c r="AB578" s="1" t="str">
        <f t="array" ref="AB578">IFERROR(INDEX('Исходник'!$1:$626,MATCH($A578,'Исходник'!$T:$T,0),MATCH(AB$1,'Исходник'!$1:$1,0)))</f>
        <v/>
      </c>
      <c r="AC578" s="1" t="str">
        <f t="array" ref="AC578">IFERROR(INDEX('Исходник'!$1:$626,MATCH($A578,'Исходник'!$T:$T,0),MATCH(AC$1,'Исходник'!$1:$1,0)))</f>
        <v/>
      </c>
      <c r="AD578" s="27" t="str">
        <f t="shared" si="13"/>
        <v/>
      </c>
      <c r="AE578" s="1" t="str">
        <f t="array" ref="AE578">IFERROR(INDEX('Исходник'!$1:$626,MATCH($A578,'Исходник'!$T:$T,0),MATCH(AE$1,'Исходник'!$1:$1,0)))</f>
        <v/>
      </c>
      <c r="AF578" s="1" t="str">
        <f t="array" ref="AF578">IFERROR(INDEX('Исходник'!$1:$626,MATCH($A578,'Исходник'!$T:$T,0),MATCH(AF$1,'Исходник'!$1:$1,0)))</f>
        <v/>
      </c>
      <c r="AG578" s="27" t="str">
        <f t="shared" si="14"/>
        <v/>
      </c>
      <c r="AH578" s="1" t="str">
        <f t="array" ref="AH578">IFERROR(INDEX('Исходник'!$1:$626,MATCH($A578,'Исходник'!$T:$T,0),MATCH(AH$1,'Исходник'!$1:$1,0)))</f>
        <v/>
      </c>
      <c r="AI578" s="1" t="str">
        <f t="array" ref="AI578">IFERROR(INDEX('Исходник'!$1:$626,MATCH($A578,'Исходник'!$T:$T,0),MATCH(AI$1,'Исходник'!$1:$1,0)))</f>
        <v/>
      </c>
      <c r="AJ578" s="18">
        <f t="shared" si="15"/>
        <v>0</v>
      </c>
    </row>
    <row r="579" ht="15.75" customHeight="1">
      <c r="A579" s="27"/>
      <c r="B579" s="1" t="str">
        <f t="array" ref="B579">IFERROR(INDEX('Исходник'!$1:$626,MATCH($A579,'Исходник'!$T:$T,0),MATCH(B$1,'Исходник'!$1:$1,0)))</f>
        <v/>
      </c>
      <c r="C579" s="1" t="str">
        <f t="array" ref="C579">IFERROR(INDEX('Исходник'!$1:$626,MATCH($A579,'Исходник'!$T:$T,0),MATCH(C$1,'Исходник'!$1:$1,0)))</f>
        <v/>
      </c>
      <c r="D579" s="1" t="str">
        <f t="array" ref="D579">IFERROR(INDEX('Исходник'!$1:$626,MATCH($A579,'Исходник'!$T:$T,0),MATCH(D$1,'Исходник'!$1:$1,0)))</f>
        <v/>
      </c>
      <c r="E579" s="1" t="str">
        <f t="array" ref="E579">IFERROR(INDEX('Исходник'!$1:$626,MATCH($A579,'Исходник'!$T:$T,0),MATCH(E$1,'Исходник'!$1:$1,0)))</f>
        <v/>
      </c>
      <c r="F579" s="1" t="str">
        <f t="array" ref="F579">IFERROR(INDEX('Исходник'!$1:$626,MATCH($A579,'Исходник'!$T:$T,0),MATCH(F$1,'Исходник'!$1:$1,0)))</f>
        <v/>
      </c>
      <c r="G579" s="1" t="str">
        <f t="array" ref="G579">IFERROR(INDEX('Исходник'!$1:$626,MATCH($A579,'Исходник'!$T:$T,0),MATCH(G$1,'Исходник'!$1:$1,0)))</f>
        <v/>
      </c>
      <c r="H579" s="27">
        <f t="shared" si="1"/>
        <v>0</v>
      </c>
      <c r="I579" s="27" t="str">
        <f t="shared" si="2"/>
        <v/>
      </c>
      <c r="J579" s="1" t="str">
        <f t="array" ref="J579">IFERROR(INDEX('Исходник'!$1:$626,MATCH($A579,'Исходник'!$T:$T,0),MATCH(J$1,'Исходник'!$1:$1,0)))</f>
        <v/>
      </c>
      <c r="K579" s="27" t="str">
        <f t="shared" si="3"/>
        <v/>
      </c>
      <c r="L579" s="1" t="str">
        <f t="array" ref="L579">IFERROR(INDEX('Исходник'!$1:$626,MATCH($A579,'Исходник'!$T:$T,0),MATCH(L$1,'Исходник'!$1:$1,0)))</f>
        <v/>
      </c>
      <c r="M579" s="28">
        <f t="shared" si="4"/>
        <v>0</v>
      </c>
      <c r="N579" s="1" t="str">
        <f t="array" ref="N579">IFERROR(INDEX('Исходник'!$1:$626,MATCH($A579,'Исходник'!$T:$T,0),MATCH(N$1,'Исходник'!$1:$1,0)))</f>
        <v/>
      </c>
      <c r="O579" s="27">
        <f t="shared" si="5"/>
        <v>0</v>
      </c>
      <c r="P579" s="27" t="str">
        <f t="shared" si="6"/>
        <v/>
      </c>
      <c r="Q579" s="1" t="str">
        <f t="array" ref="Q579">IFERROR(INDEX('Исходник'!$1:$626,MATCH($A579,'Исходник'!$T:$T,0),MATCH(Q$1,'Исходник'!$1:$1,0)))</f>
        <v/>
      </c>
      <c r="R579" s="1" t="str">
        <f t="array" ref="R579">IFERROR(INDEX('Исходник'!$1:$626,MATCH($A579,'Исходник'!$T:$T,0),MATCH(R$1,'Исходник'!$1:$1,0)))</f>
        <v/>
      </c>
      <c r="S579" s="27">
        <f t="shared" si="7"/>
        <v>0</v>
      </c>
      <c r="T579" s="27" t="str">
        <f t="shared" si="8"/>
        <v/>
      </c>
      <c r="U579" s="1" t="str">
        <f t="array" ref="U579">IFERROR(INDEX('Исходник'!$1:$626,MATCH($A579,'Исходник'!$T:$T,0),MATCH(U$1,'Исходник'!$1:$1,0)))</f>
        <v/>
      </c>
      <c r="V579" s="27" t="str">
        <f t="shared" si="9"/>
        <v/>
      </c>
      <c r="W579" s="1" t="str">
        <f t="array" ref="W579">IFERROR(INDEX('Исходник'!$1:$626,MATCH($A579,'Исходник'!$T:$T,0),MATCH(W$1,'Исходник'!$1:$1,0)))</f>
        <v/>
      </c>
      <c r="X579" s="28">
        <f t="shared" si="10"/>
        <v>0</v>
      </c>
      <c r="Y579" s="1" t="str">
        <f t="array" ref="Y579">IFERROR(INDEX('Исходник'!$1:$626,MATCH($A579,'Исходник'!$T:$T,0),MATCH(Y$1,'Исходник'!$1:$1,0)))</f>
        <v/>
      </c>
      <c r="Z579" s="27">
        <f t="shared" si="11"/>
        <v>0</v>
      </c>
      <c r="AA579" s="27" t="str">
        <f t="shared" si="12"/>
        <v/>
      </c>
      <c r="AB579" s="1" t="str">
        <f t="array" ref="AB579">IFERROR(INDEX('Исходник'!$1:$626,MATCH($A579,'Исходник'!$T:$T,0),MATCH(AB$1,'Исходник'!$1:$1,0)))</f>
        <v/>
      </c>
      <c r="AC579" s="1" t="str">
        <f t="array" ref="AC579">IFERROR(INDEX('Исходник'!$1:$626,MATCH($A579,'Исходник'!$T:$T,0),MATCH(AC$1,'Исходник'!$1:$1,0)))</f>
        <v/>
      </c>
      <c r="AD579" s="27" t="str">
        <f t="shared" si="13"/>
        <v/>
      </c>
      <c r="AE579" s="1" t="str">
        <f t="array" ref="AE579">IFERROR(INDEX('Исходник'!$1:$626,MATCH($A579,'Исходник'!$T:$T,0),MATCH(AE$1,'Исходник'!$1:$1,0)))</f>
        <v/>
      </c>
      <c r="AF579" s="1" t="str">
        <f t="array" ref="AF579">IFERROR(INDEX('Исходник'!$1:$626,MATCH($A579,'Исходник'!$T:$T,0),MATCH(AF$1,'Исходник'!$1:$1,0)))</f>
        <v/>
      </c>
      <c r="AG579" s="27" t="str">
        <f t="shared" si="14"/>
        <v/>
      </c>
      <c r="AH579" s="1" t="str">
        <f t="array" ref="AH579">IFERROR(INDEX('Исходник'!$1:$626,MATCH($A579,'Исходник'!$T:$T,0),MATCH(AH$1,'Исходник'!$1:$1,0)))</f>
        <v/>
      </c>
      <c r="AI579" s="1" t="str">
        <f t="array" ref="AI579">IFERROR(INDEX('Исходник'!$1:$626,MATCH($A579,'Исходник'!$T:$T,0),MATCH(AI$1,'Исходник'!$1:$1,0)))</f>
        <v/>
      </c>
      <c r="AJ579" s="18">
        <f t="shared" si="15"/>
        <v>0</v>
      </c>
    </row>
    <row r="580" ht="15.75" customHeight="1">
      <c r="A580" s="27"/>
      <c r="B580" s="1" t="str">
        <f t="array" ref="B580">IFERROR(INDEX('Исходник'!$1:$626,MATCH($A580,'Исходник'!$T:$T,0),MATCH(B$1,'Исходник'!$1:$1,0)))</f>
        <v/>
      </c>
      <c r="C580" s="1" t="str">
        <f t="array" ref="C580">IFERROR(INDEX('Исходник'!$1:$626,MATCH($A580,'Исходник'!$T:$T,0),MATCH(C$1,'Исходник'!$1:$1,0)))</f>
        <v/>
      </c>
      <c r="D580" s="1" t="str">
        <f t="array" ref="D580">IFERROR(INDEX('Исходник'!$1:$626,MATCH($A580,'Исходник'!$T:$T,0),MATCH(D$1,'Исходник'!$1:$1,0)))</f>
        <v/>
      </c>
      <c r="E580" s="1" t="str">
        <f t="array" ref="E580">IFERROR(INDEX('Исходник'!$1:$626,MATCH($A580,'Исходник'!$T:$T,0),MATCH(E$1,'Исходник'!$1:$1,0)))</f>
        <v/>
      </c>
      <c r="F580" s="1" t="str">
        <f t="array" ref="F580">IFERROR(INDEX('Исходник'!$1:$626,MATCH($A580,'Исходник'!$T:$T,0),MATCH(F$1,'Исходник'!$1:$1,0)))</f>
        <v/>
      </c>
      <c r="G580" s="1" t="str">
        <f t="array" ref="G580">IFERROR(INDEX('Исходник'!$1:$626,MATCH($A580,'Исходник'!$T:$T,0),MATCH(G$1,'Исходник'!$1:$1,0)))</f>
        <v/>
      </c>
      <c r="H580" s="27">
        <f t="shared" si="1"/>
        <v>0</v>
      </c>
      <c r="I580" s="27" t="str">
        <f t="shared" si="2"/>
        <v/>
      </c>
      <c r="J580" s="1" t="str">
        <f t="array" ref="J580">IFERROR(INDEX('Исходник'!$1:$626,MATCH($A580,'Исходник'!$T:$T,0),MATCH(J$1,'Исходник'!$1:$1,0)))</f>
        <v/>
      </c>
      <c r="K580" s="27" t="str">
        <f t="shared" si="3"/>
        <v/>
      </c>
      <c r="L580" s="1" t="str">
        <f t="array" ref="L580">IFERROR(INDEX('Исходник'!$1:$626,MATCH($A580,'Исходник'!$T:$T,0),MATCH(L$1,'Исходник'!$1:$1,0)))</f>
        <v/>
      </c>
      <c r="M580" s="28">
        <f t="shared" si="4"/>
        <v>0</v>
      </c>
      <c r="N580" s="1" t="str">
        <f t="array" ref="N580">IFERROR(INDEX('Исходник'!$1:$626,MATCH($A580,'Исходник'!$T:$T,0),MATCH(N$1,'Исходник'!$1:$1,0)))</f>
        <v/>
      </c>
      <c r="O580" s="27">
        <f t="shared" si="5"/>
        <v>0</v>
      </c>
      <c r="P580" s="27" t="str">
        <f t="shared" si="6"/>
        <v/>
      </c>
      <c r="Q580" s="1" t="str">
        <f t="array" ref="Q580">IFERROR(INDEX('Исходник'!$1:$626,MATCH($A580,'Исходник'!$T:$T,0),MATCH(Q$1,'Исходник'!$1:$1,0)))</f>
        <v/>
      </c>
      <c r="R580" s="1" t="str">
        <f t="array" ref="R580">IFERROR(INDEX('Исходник'!$1:$626,MATCH($A580,'Исходник'!$T:$T,0),MATCH(R$1,'Исходник'!$1:$1,0)))</f>
        <v/>
      </c>
      <c r="S580" s="27">
        <f t="shared" si="7"/>
        <v>0</v>
      </c>
      <c r="T580" s="27" t="str">
        <f t="shared" si="8"/>
        <v/>
      </c>
      <c r="U580" s="1" t="str">
        <f t="array" ref="U580">IFERROR(INDEX('Исходник'!$1:$626,MATCH($A580,'Исходник'!$T:$T,0),MATCH(U$1,'Исходник'!$1:$1,0)))</f>
        <v/>
      </c>
      <c r="V580" s="27" t="str">
        <f t="shared" si="9"/>
        <v/>
      </c>
      <c r="W580" s="1" t="str">
        <f t="array" ref="W580">IFERROR(INDEX('Исходник'!$1:$626,MATCH($A580,'Исходник'!$T:$T,0),MATCH(W$1,'Исходник'!$1:$1,0)))</f>
        <v/>
      </c>
      <c r="X580" s="28">
        <f t="shared" si="10"/>
        <v>0</v>
      </c>
      <c r="Y580" s="1" t="str">
        <f t="array" ref="Y580">IFERROR(INDEX('Исходник'!$1:$626,MATCH($A580,'Исходник'!$T:$T,0),MATCH(Y$1,'Исходник'!$1:$1,0)))</f>
        <v/>
      </c>
      <c r="Z580" s="27">
        <f t="shared" si="11"/>
        <v>0</v>
      </c>
      <c r="AA580" s="27" t="str">
        <f t="shared" si="12"/>
        <v/>
      </c>
      <c r="AB580" s="1" t="str">
        <f t="array" ref="AB580">IFERROR(INDEX('Исходник'!$1:$626,MATCH($A580,'Исходник'!$T:$T,0),MATCH(AB$1,'Исходник'!$1:$1,0)))</f>
        <v/>
      </c>
      <c r="AC580" s="1" t="str">
        <f t="array" ref="AC580">IFERROR(INDEX('Исходник'!$1:$626,MATCH($A580,'Исходник'!$T:$T,0),MATCH(AC$1,'Исходник'!$1:$1,0)))</f>
        <v/>
      </c>
      <c r="AD580" s="27" t="str">
        <f t="shared" si="13"/>
        <v/>
      </c>
      <c r="AE580" s="1" t="str">
        <f t="array" ref="AE580">IFERROR(INDEX('Исходник'!$1:$626,MATCH($A580,'Исходник'!$T:$T,0),MATCH(AE$1,'Исходник'!$1:$1,0)))</f>
        <v/>
      </c>
      <c r="AF580" s="1" t="str">
        <f t="array" ref="AF580">IFERROR(INDEX('Исходник'!$1:$626,MATCH($A580,'Исходник'!$T:$T,0),MATCH(AF$1,'Исходник'!$1:$1,0)))</f>
        <v/>
      </c>
      <c r="AG580" s="27" t="str">
        <f t="shared" si="14"/>
        <v/>
      </c>
      <c r="AH580" s="1" t="str">
        <f t="array" ref="AH580">IFERROR(INDEX('Исходник'!$1:$626,MATCH($A580,'Исходник'!$T:$T,0),MATCH(AH$1,'Исходник'!$1:$1,0)))</f>
        <v/>
      </c>
      <c r="AI580" s="1" t="str">
        <f t="array" ref="AI580">IFERROR(INDEX('Исходник'!$1:$626,MATCH($A580,'Исходник'!$T:$T,0),MATCH(AI$1,'Исходник'!$1:$1,0)))</f>
        <v/>
      </c>
      <c r="AJ580" s="18">
        <f t="shared" si="15"/>
        <v>0</v>
      </c>
    </row>
    <row r="581" ht="15.75" customHeight="1">
      <c r="A581" s="27"/>
      <c r="B581" s="1" t="str">
        <f t="array" ref="B581">IFERROR(INDEX('Исходник'!$1:$626,MATCH($A581,'Исходник'!$T:$T,0),MATCH(B$1,'Исходник'!$1:$1,0)))</f>
        <v/>
      </c>
      <c r="C581" s="1" t="str">
        <f t="array" ref="C581">IFERROR(INDEX('Исходник'!$1:$626,MATCH($A581,'Исходник'!$T:$T,0),MATCH(C$1,'Исходник'!$1:$1,0)))</f>
        <v/>
      </c>
      <c r="D581" s="1" t="str">
        <f t="array" ref="D581">IFERROR(INDEX('Исходник'!$1:$626,MATCH($A581,'Исходник'!$T:$T,0),MATCH(D$1,'Исходник'!$1:$1,0)))</f>
        <v/>
      </c>
      <c r="E581" s="1" t="str">
        <f t="array" ref="E581">IFERROR(INDEX('Исходник'!$1:$626,MATCH($A581,'Исходник'!$T:$T,0),MATCH(E$1,'Исходник'!$1:$1,0)))</f>
        <v/>
      </c>
      <c r="F581" s="1" t="str">
        <f t="array" ref="F581">IFERROR(INDEX('Исходник'!$1:$626,MATCH($A581,'Исходник'!$T:$T,0),MATCH(F$1,'Исходник'!$1:$1,0)))</f>
        <v/>
      </c>
      <c r="G581" s="1" t="str">
        <f t="array" ref="G581">IFERROR(INDEX('Исходник'!$1:$626,MATCH($A581,'Исходник'!$T:$T,0),MATCH(G$1,'Исходник'!$1:$1,0)))</f>
        <v/>
      </c>
      <c r="H581" s="27">
        <f t="shared" si="1"/>
        <v>0</v>
      </c>
      <c r="I581" s="27" t="str">
        <f t="shared" si="2"/>
        <v/>
      </c>
      <c r="J581" s="1" t="str">
        <f t="array" ref="J581">IFERROR(INDEX('Исходник'!$1:$626,MATCH($A581,'Исходник'!$T:$T,0),MATCH(J$1,'Исходник'!$1:$1,0)))</f>
        <v/>
      </c>
      <c r="K581" s="27" t="str">
        <f t="shared" si="3"/>
        <v/>
      </c>
      <c r="L581" s="1" t="str">
        <f t="array" ref="L581">IFERROR(INDEX('Исходник'!$1:$626,MATCH($A581,'Исходник'!$T:$T,0),MATCH(L$1,'Исходник'!$1:$1,0)))</f>
        <v/>
      </c>
      <c r="M581" s="28">
        <f t="shared" si="4"/>
        <v>0</v>
      </c>
      <c r="N581" s="1" t="str">
        <f t="array" ref="N581">IFERROR(INDEX('Исходник'!$1:$626,MATCH($A581,'Исходник'!$T:$T,0),MATCH(N$1,'Исходник'!$1:$1,0)))</f>
        <v/>
      </c>
      <c r="O581" s="27">
        <f t="shared" si="5"/>
        <v>0</v>
      </c>
      <c r="P581" s="27" t="str">
        <f t="shared" si="6"/>
        <v/>
      </c>
      <c r="Q581" s="1" t="str">
        <f t="array" ref="Q581">IFERROR(INDEX('Исходник'!$1:$626,MATCH($A581,'Исходник'!$T:$T,0),MATCH(Q$1,'Исходник'!$1:$1,0)))</f>
        <v/>
      </c>
      <c r="R581" s="1" t="str">
        <f t="array" ref="R581">IFERROR(INDEX('Исходник'!$1:$626,MATCH($A581,'Исходник'!$T:$T,0),MATCH(R$1,'Исходник'!$1:$1,0)))</f>
        <v/>
      </c>
      <c r="S581" s="27">
        <f t="shared" si="7"/>
        <v>0</v>
      </c>
      <c r="T581" s="27" t="str">
        <f t="shared" si="8"/>
        <v/>
      </c>
      <c r="U581" s="1" t="str">
        <f t="array" ref="U581">IFERROR(INDEX('Исходник'!$1:$626,MATCH($A581,'Исходник'!$T:$T,0),MATCH(U$1,'Исходник'!$1:$1,0)))</f>
        <v/>
      </c>
      <c r="V581" s="27" t="str">
        <f t="shared" si="9"/>
        <v/>
      </c>
      <c r="W581" s="1" t="str">
        <f t="array" ref="W581">IFERROR(INDEX('Исходник'!$1:$626,MATCH($A581,'Исходник'!$T:$T,0),MATCH(W$1,'Исходник'!$1:$1,0)))</f>
        <v/>
      </c>
      <c r="X581" s="28">
        <f t="shared" si="10"/>
        <v>0</v>
      </c>
      <c r="Y581" s="1" t="str">
        <f t="array" ref="Y581">IFERROR(INDEX('Исходник'!$1:$626,MATCH($A581,'Исходник'!$T:$T,0),MATCH(Y$1,'Исходник'!$1:$1,0)))</f>
        <v/>
      </c>
      <c r="Z581" s="27">
        <f t="shared" si="11"/>
        <v>0</v>
      </c>
      <c r="AA581" s="27" t="str">
        <f t="shared" si="12"/>
        <v/>
      </c>
      <c r="AB581" s="1" t="str">
        <f t="array" ref="AB581">IFERROR(INDEX('Исходник'!$1:$626,MATCH($A581,'Исходник'!$T:$T,0),MATCH(AB$1,'Исходник'!$1:$1,0)))</f>
        <v/>
      </c>
      <c r="AC581" s="1" t="str">
        <f t="array" ref="AC581">IFERROR(INDEX('Исходник'!$1:$626,MATCH($A581,'Исходник'!$T:$T,0),MATCH(AC$1,'Исходник'!$1:$1,0)))</f>
        <v/>
      </c>
      <c r="AD581" s="27" t="str">
        <f t="shared" si="13"/>
        <v/>
      </c>
      <c r="AE581" s="1" t="str">
        <f t="array" ref="AE581">IFERROR(INDEX('Исходник'!$1:$626,MATCH($A581,'Исходник'!$T:$T,0),MATCH(AE$1,'Исходник'!$1:$1,0)))</f>
        <v/>
      </c>
      <c r="AF581" s="1" t="str">
        <f t="array" ref="AF581">IFERROR(INDEX('Исходник'!$1:$626,MATCH($A581,'Исходник'!$T:$T,0),MATCH(AF$1,'Исходник'!$1:$1,0)))</f>
        <v/>
      </c>
      <c r="AG581" s="27" t="str">
        <f t="shared" si="14"/>
        <v/>
      </c>
      <c r="AH581" s="1" t="str">
        <f t="array" ref="AH581">IFERROR(INDEX('Исходник'!$1:$626,MATCH($A581,'Исходник'!$T:$T,0),MATCH(AH$1,'Исходник'!$1:$1,0)))</f>
        <v/>
      </c>
      <c r="AI581" s="1" t="str">
        <f t="array" ref="AI581">IFERROR(INDEX('Исходник'!$1:$626,MATCH($A581,'Исходник'!$T:$T,0),MATCH(AI$1,'Исходник'!$1:$1,0)))</f>
        <v/>
      </c>
      <c r="AJ581" s="18">
        <f t="shared" si="15"/>
        <v>0</v>
      </c>
    </row>
    <row r="582" ht="15.75" customHeight="1">
      <c r="A582" s="27"/>
      <c r="B582" s="1" t="str">
        <f t="array" ref="B582">IFERROR(INDEX('Исходник'!$1:$626,MATCH($A582,'Исходник'!$T:$T,0),MATCH(B$1,'Исходник'!$1:$1,0)))</f>
        <v/>
      </c>
      <c r="C582" s="1" t="str">
        <f t="array" ref="C582">IFERROR(INDEX('Исходник'!$1:$626,MATCH($A582,'Исходник'!$T:$T,0),MATCH(C$1,'Исходник'!$1:$1,0)))</f>
        <v/>
      </c>
      <c r="D582" s="1" t="str">
        <f t="array" ref="D582">IFERROR(INDEX('Исходник'!$1:$626,MATCH($A582,'Исходник'!$T:$T,0),MATCH(D$1,'Исходник'!$1:$1,0)))</f>
        <v/>
      </c>
      <c r="E582" s="1" t="str">
        <f t="array" ref="E582">IFERROR(INDEX('Исходник'!$1:$626,MATCH($A582,'Исходник'!$T:$T,0),MATCH(E$1,'Исходник'!$1:$1,0)))</f>
        <v/>
      </c>
      <c r="F582" s="1" t="str">
        <f t="array" ref="F582">IFERROR(INDEX('Исходник'!$1:$626,MATCH($A582,'Исходник'!$T:$T,0),MATCH(F$1,'Исходник'!$1:$1,0)))</f>
        <v/>
      </c>
      <c r="G582" s="1" t="str">
        <f t="array" ref="G582">IFERROR(INDEX('Исходник'!$1:$626,MATCH($A582,'Исходник'!$T:$T,0),MATCH(G$1,'Исходник'!$1:$1,0)))</f>
        <v/>
      </c>
      <c r="H582" s="27">
        <f t="shared" si="1"/>
        <v>0</v>
      </c>
      <c r="I582" s="27" t="str">
        <f t="shared" si="2"/>
        <v/>
      </c>
      <c r="J582" s="1" t="str">
        <f t="array" ref="J582">IFERROR(INDEX('Исходник'!$1:$626,MATCH($A582,'Исходник'!$T:$T,0),MATCH(J$1,'Исходник'!$1:$1,0)))</f>
        <v/>
      </c>
      <c r="K582" s="27" t="str">
        <f t="shared" si="3"/>
        <v/>
      </c>
      <c r="L582" s="1" t="str">
        <f t="array" ref="L582">IFERROR(INDEX('Исходник'!$1:$626,MATCH($A582,'Исходник'!$T:$T,0),MATCH(L$1,'Исходник'!$1:$1,0)))</f>
        <v/>
      </c>
      <c r="M582" s="28">
        <f t="shared" si="4"/>
        <v>0</v>
      </c>
      <c r="N582" s="1" t="str">
        <f t="array" ref="N582">IFERROR(INDEX('Исходник'!$1:$626,MATCH($A582,'Исходник'!$T:$T,0),MATCH(N$1,'Исходник'!$1:$1,0)))</f>
        <v/>
      </c>
      <c r="O582" s="27">
        <f t="shared" si="5"/>
        <v>0</v>
      </c>
      <c r="P582" s="27" t="str">
        <f t="shared" si="6"/>
        <v/>
      </c>
      <c r="Q582" s="1" t="str">
        <f t="array" ref="Q582">IFERROR(INDEX('Исходник'!$1:$626,MATCH($A582,'Исходник'!$T:$T,0),MATCH(Q$1,'Исходник'!$1:$1,0)))</f>
        <v/>
      </c>
      <c r="R582" s="1" t="str">
        <f t="array" ref="R582">IFERROR(INDEX('Исходник'!$1:$626,MATCH($A582,'Исходник'!$T:$T,0),MATCH(R$1,'Исходник'!$1:$1,0)))</f>
        <v/>
      </c>
      <c r="S582" s="27">
        <f t="shared" si="7"/>
        <v>0</v>
      </c>
      <c r="T582" s="27" t="str">
        <f t="shared" si="8"/>
        <v/>
      </c>
      <c r="U582" s="1" t="str">
        <f t="array" ref="U582">IFERROR(INDEX('Исходник'!$1:$626,MATCH($A582,'Исходник'!$T:$T,0),MATCH(U$1,'Исходник'!$1:$1,0)))</f>
        <v/>
      </c>
      <c r="V582" s="27" t="str">
        <f t="shared" si="9"/>
        <v/>
      </c>
      <c r="W582" s="1" t="str">
        <f t="array" ref="W582">IFERROR(INDEX('Исходник'!$1:$626,MATCH($A582,'Исходник'!$T:$T,0),MATCH(W$1,'Исходник'!$1:$1,0)))</f>
        <v/>
      </c>
      <c r="X582" s="28">
        <f t="shared" si="10"/>
        <v>0</v>
      </c>
      <c r="Y582" s="1" t="str">
        <f t="array" ref="Y582">IFERROR(INDEX('Исходник'!$1:$626,MATCH($A582,'Исходник'!$T:$T,0),MATCH(Y$1,'Исходник'!$1:$1,0)))</f>
        <v/>
      </c>
      <c r="Z582" s="27">
        <f t="shared" si="11"/>
        <v>0</v>
      </c>
      <c r="AA582" s="27" t="str">
        <f t="shared" si="12"/>
        <v/>
      </c>
      <c r="AB582" s="1" t="str">
        <f t="array" ref="AB582">IFERROR(INDEX('Исходник'!$1:$626,MATCH($A582,'Исходник'!$T:$T,0),MATCH(AB$1,'Исходник'!$1:$1,0)))</f>
        <v/>
      </c>
      <c r="AC582" s="1" t="str">
        <f t="array" ref="AC582">IFERROR(INDEX('Исходник'!$1:$626,MATCH($A582,'Исходник'!$T:$T,0),MATCH(AC$1,'Исходник'!$1:$1,0)))</f>
        <v/>
      </c>
      <c r="AD582" s="27" t="str">
        <f t="shared" si="13"/>
        <v/>
      </c>
      <c r="AE582" s="1" t="str">
        <f t="array" ref="AE582">IFERROR(INDEX('Исходник'!$1:$626,MATCH($A582,'Исходник'!$T:$T,0),MATCH(AE$1,'Исходник'!$1:$1,0)))</f>
        <v/>
      </c>
      <c r="AF582" s="1" t="str">
        <f t="array" ref="AF582">IFERROR(INDEX('Исходник'!$1:$626,MATCH($A582,'Исходник'!$T:$T,0),MATCH(AF$1,'Исходник'!$1:$1,0)))</f>
        <v/>
      </c>
      <c r="AG582" s="27" t="str">
        <f t="shared" si="14"/>
        <v/>
      </c>
      <c r="AH582" s="1" t="str">
        <f t="array" ref="AH582">IFERROR(INDEX('Исходник'!$1:$626,MATCH($A582,'Исходник'!$T:$T,0),MATCH(AH$1,'Исходник'!$1:$1,0)))</f>
        <v/>
      </c>
      <c r="AI582" s="1" t="str">
        <f t="array" ref="AI582">IFERROR(INDEX('Исходник'!$1:$626,MATCH($A582,'Исходник'!$T:$T,0),MATCH(AI$1,'Исходник'!$1:$1,0)))</f>
        <v/>
      </c>
      <c r="AJ582" s="18">
        <f t="shared" si="15"/>
        <v>0</v>
      </c>
    </row>
    <row r="583" ht="15.75" customHeight="1">
      <c r="A583" s="27"/>
      <c r="B583" s="1" t="str">
        <f t="array" ref="B583">IFERROR(INDEX('Исходник'!$1:$626,MATCH($A583,'Исходник'!$T:$T,0),MATCH(B$1,'Исходник'!$1:$1,0)))</f>
        <v/>
      </c>
      <c r="C583" s="1" t="str">
        <f t="array" ref="C583">IFERROR(INDEX('Исходник'!$1:$626,MATCH($A583,'Исходник'!$T:$T,0),MATCH(C$1,'Исходник'!$1:$1,0)))</f>
        <v/>
      </c>
      <c r="D583" s="1" t="str">
        <f t="array" ref="D583">IFERROR(INDEX('Исходник'!$1:$626,MATCH($A583,'Исходник'!$T:$T,0),MATCH(D$1,'Исходник'!$1:$1,0)))</f>
        <v/>
      </c>
      <c r="E583" s="1" t="str">
        <f t="array" ref="E583">IFERROR(INDEX('Исходник'!$1:$626,MATCH($A583,'Исходник'!$T:$T,0),MATCH(E$1,'Исходник'!$1:$1,0)))</f>
        <v/>
      </c>
      <c r="F583" s="1" t="str">
        <f t="array" ref="F583">IFERROR(INDEX('Исходник'!$1:$626,MATCH($A583,'Исходник'!$T:$T,0),MATCH(F$1,'Исходник'!$1:$1,0)))</f>
        <v/>
      </c>
      <c r="G583" s="1" t="str">
        <f t="array" ref="G583">IFERROR(INDEX('Исходник'!$1:$626,MATCH($A583,'Исходник'!$T:$T,0),MATCH(G$1,'Исходник'!$1:$1,0)))</f>
        <v/>
      </c>
      <c r="H583" s="27">
        <f t="shared" si="1"/>
        <v>0</v>
      </c>
      <c r="I583" s="27" t="str">
        <f t="shared" si="2"/>
        <v/>
      </c>
      <c r="J583" s="1" t="str">
        <f t="array" ref="J583">IFERROR(INDEX('Исходник'!$1:$626,MATCH($A583,'Исходник'!$T:$T,0),MATCH(J$1,'Исходник'!$1:$1,0)))</f>
        <v/>
      </c>
      <c r="K583" s="27" t="str">
        <f t="shared" si="3"/>
        <v/>
      </c>
      <c r="L583" s="1" t="str">
        <f t="array" ref="L583">IFERROR(INDEX('Исходник'!$1:$626,MATCH($A583,'Исходник'!$T:$T,0),MATCH(L$1,'Исходник'!$1:$1,0)))</f>
        <v/>
      </c>
      <c r="M583" s="28">
        <f t="shared" si="4"/>
        <v>0</v>
      </c>
      <c r="N583" s="1" t="str">
        <f t="array" ref="N583">IFERROR(INDEX('Исходник'!$1:$626,MATCH($A583,'Исходник'!$T:$T,0),MATCH(N$1,'Исходник'!$1:$1,0)))</f>
        <v/>
      </c>
      <c r="O583" s="27">
        <f t="shared" si="5"/>
        <v>0</v>
      </c>
      <c r="P583" s="27" t="str">
        <f t="shared" si="6"/>
        <v/>
      </c>
      <c r="Q583" s="1" t="str">
        <f t="array" ref="Q583">IFERROR(INDEX('Исходник'!$1:$626,MATCH($A583,'Исходник'!$T:$T,0),MATCH(Q$1,'Исходник'!$1:$1,0)))</f>
        <v/>
      </c>
      <c r="R583" s="1" t="str">
        <f t="array" ref="R583">IFERROR(INDEX('Исходник'!$1:$626,MATCH($A583,'Исходник'!$T:$T,0),MATCH(R$1,'Исходник'!$1:$1,0)))</f>
        <v/>
      </c>
      <c r="S583" s="27">
        <f t="shared" si="7"/>
        <v>0</v>
      </c>
      <c r="T583" s="27" t="str">
        <f t="shared" si="8"/>
        <v/>
      </c>
      <c r="U583" s="1" t="str">
        <f t="array" ref="U583">IFERROR(INDEX('Исходник'!$1:$626,MATCH($A583,'Исходник'!$T:$T,0),MATCH(U$1,'Исходник'!$1:$1,0)))</f>
        <v/>
      </c>
      <c r="V583" s="27" t="str">
        <f t="shared" si="9"/>
        <v/>
      </c>
      <c r="W583" s="1" t="str">
        <f t="array" ref="W583">IFERROR(INDEX('Исходник'!$1:$626,MATCH($A583,'Исходник'!$T:$T,0),MATCH(W$1,'Исходник'!$1:$1,0)))</f>
        <v/>
      </c>
      <c r="X583" s="28">
        <f t="shared" si="10"/>
        <v>0</v>
      </c>
      <c r="Y583" s="1" t="str">
        <f t="array" ref="Y583">IFERROR(INDEX('Исходник'!$1:$626,MATCH($A583,'Исходник'!$T:$T,0),MATCH(Y$1,'Исходник'!$1:$1,0)))</f>
        <v/>
      </c>
      <c r="Z583" s="27">
        <f t="shared" si="11"/>
        <v>0</v>
      </c>
      <c r="AA583" s="27" t="str">
        <f t="shared" si="12"/>
        <v/>
      </c>
      <c r="AB583" s="1" t="str">
        <f t="array" ref="AB583">IFERROR(INDEX('Исходник'!$1:$626,MATCH($A583,'Исходник'!$T:$T,0),MATCH(AB$1,'Исходник'!$1:$1,0)))</f>
        <v/>
      </c>
      <c r="AC583" s="1" t="str">
        <f t="array" ref="AC583">IFERROR(INDEX('Исходник'!$1:$626,MATCH($A583,'Исходник'!$T:$T,0),MATCH(AC$1,'Исходник'!$1:$1,0)))</f>
        <v/>
      </c>
      <c r="AD583" s="27" t="str">
        <f t="shared" si="13"/>
        <v/>
      </c>
      <c r="AE583" s="1" t="str">
        <f t="array" ref="AE583">IFERROR(INDEX('Исходник'!$1:$626,MATCH($A583,'Исходник'!$T:$T,0),MATCH(AE$1,'Исходник'!$1:$1,0)))</f>
        <v/>
      </c>
      <c r="AF583" s="1" t="str">
        <f t="array" ref="AF583">IFERROR(INDEX('Исходник'!$1:$626,MATCH($A583,'Исходник'!$T:$T,0),MATCH(AF$1,'Исходник'!$1:$1,0)))</f>
        <v/>
      </c>
      <c r="AG583" s="27" t="str">
        <f t="shared" si="14"/>
        <v/>
      </c>
      <c r="AH583" s="1" t="str">
        <f t="array" ref="AH583">IFERROR(INDEX('Исходник'!$1:$626,MATCH($A583,'Исходник'!$T:$T,0),MATCH(AH$1,'Исходник'!$1:$1,0)))</f>
        <v/>
      </c>
      <c r="AI583" s="1" t="str">
        <f t="array" ref="AI583">IFERROR(INDEX('Исходник'!$1:$626,MATCH($A583,'Исходник'!$T:$T,0),MATCH(AI$1,'Исходник'!$1:$1,0)))</f>
        <v/>
      </c>
      <c r="AJ583" s="18">
        <f t="shared" si="15"/>
        <v>0</v>
      </c>
    </row>
    <row r="584" ht="15.75" customHeight="1">
      <c r="A584" s="27"/>
      <c r="B584" s="1" t="str">
        <f t="array" ref="B584">IFERROR(INDEX('Исходник'!$1:$626,MATCH($A584,'Исходник'!$T:$T,0),MATCH(B$1,'Исходник'!$1:$1,0)))</f>
        <v/>
      </c>
      <c r="C584" s="1" t="str">
        <f t="array" ref="C584">IFERROR(INDEX('Исходник'!$1:$626,MATCH($A584,'Исходник'!$T:$T,0),MATCH(C$1,'Исходник'!$1:$1,0)))</f>
        <v/>
      </c>
      <c r="D584" s="1" t="str">
        <f t="array" ref="D584">IFERROR(INDEX('Исходник'!$1:$626,MATCH($A584,'Исходник'!$T:$T,0),MATCH(D$1,'Исходник'!$1:$1,0)))</f>
        <v/>
      </c>
      <c r="E584" s="1" t="str">
        <f t="array" ref="E584">IFERROR(INDEX('Исходник'!$1:$626,MATCH($A584,'Исходник'!$T:$T,0),MATCH(E$1,'Исходник'!$1:$1,0)))</f>
        <v/>
      </c>
      <c r="F584" s="1" t="str">
        <f t="array" ref="F584">IFERROR(INDEX('Исходник'!$1:$626,MATCH($A584,'Исходник'!$T:$T,0),MATCH(F$1,'Исходник'!$1:$1,0)))</f>
        <v/>
      </c>
      <c r="G584" s="1" t="str">
        <f t="array" ref="G584">IFERROR(INDEX('Исходник'!$1:$626,MATCH($A584,'Исходник'!$T:$T,0),MATCH(G$1,'Исходник'!$1:$1,0)))</f>
        <v/>
      </c>
      <c r="H584" s="27">
        <f t="shared" si="1"/>
        <v>0</v>
      </c>
      <c r="I584" s="27" t="str">
        <f t="shared" si="2"/>
        <v/>
      </c>
      <c r="J584" s="1" t="str">
        <f t="array" ref="J584">IFERROR(INDEX('Исходник'!$1:$626,MATCH($A584,'Исходник'!$T:$T,0),MATCH(J$1,'Исходник'!$1:$1,0)))</f>
        <v/>
      </c>
      <c r="K584" s="27" t="str">
        <f t="shared" si="3"/>
        <v/>
      </c>
      <c r="L584" s="1" t="str">
        <f t="array" ref="L584">IFERROR(INDEX('Исходник'!$1:$626,MATCH($A584,'Исходник'!$T:$T,0),MATCH(L$1,'Исходник'!$1:$1,0)))</f>
        <v/>
      </c>
      <c r="M584" s="28">
        <f t="shared" si="4"/>
        <v>0</v>
      </c>
      <c r="N584" s="1" t="str">
        <f t="array" ref="N584">IFERROR(INDEX('Исходник'!$1:$626,MATCH($A584,'Исходник'!$T:$T,0),MATCH(N$1,'Исходник'!$1:$1,0)))</f>
        <v/>
      </c>
      <c r="O584" s="27">
        <f t="shared" si="5"/>
        <v>0</v>
      </c>
      <c r="P584" s="27" t="str">
        <f t="shared" si="6"/>
        <v/>
      </c>
      <c r="Q584" s="1" t="str">
        <f t="array" ref="Q584">IFERROR(INDEX('Исходник'!$1:$626,MATCH($A584,'Исходник'!$T:$T,0),MATCH(Q$1,'Исходник'!$1:$1,0)))</f>
        <v/>
      </c>
      <c r="R584" s="1" t="str">
        <f t="array" ref="R584">IFERROR(INDEX('Исходник'!$1:$626,MATCH($A584,'Исходник'!$T:$T,0),MATCH(R$1,'Исходник'!$1:$1,0)))</f>
        <v/>
      </c>
      <c r="S584" s="27">
        <f t="shared" si="7"/>
        <v>0</v>
      </c>
      <c r="T584" s="27" t="str">
        <f t="shared" si="8"/>
        <v/>
      </c>
      <c r="U584" s="1" t="str">
        <f t="array" ref="U584">IFERROR(INDEX('Исходник'!$1:$626,MATCH($A584,'Исходник'!$T:$T,0),MATCH(U$1,'Исходник'!$1:$1,0)))</f>
        <v/>
      </c>
      <c r="V584" s="27" t="str">
        <f t="shared" si="9"/>
        <v/>
      </c>
      <c r="W584" s="1" t="str">
        <f t="array" ref="W584">IFERROR(INDEX('Исходник'!$1:$626,MATCH($A584,'Исходник'!$T:$T,0),MATCH(W$1,'Исходник'!$1:$1,0)))</f>
        <v/>
      </c>
      <c r="X584" s="28">
        <f t="shared" si="10"/>
        <v>0</v>
      </c>
      <c r="Y584" s="1" t="str">
        <f t="array" ref="Y584">IFERROR(INDEX('Исходник'!$1:$626,MATCH($A584,'Исходник'!$T:$T,0),MATCH(Y$1,'Исходник'!$1:$1,0)))</f>
        <v/>
      </c>
      <c r="Z584" s="27">
        <f t="shared" si="11"/>
        <v>0</v>
      </c>
      <c r="AA584" s="27" t="str">
        <f t="shared" si="12"/>
        <v/>
      </c>
      <c r="AB584" s="1" t="str">
        <f t="array" ref="AB584">IFERROR(INDEX('Исходник'!$1:$626,MATCH($A584,'Исходник'!$T:$T,0),MATCH(AB$1,'Исходник'!$1:$1,0)))</f>
        <v/>
      </c>
      <c r="AC584" s="1" t="str">
        <f t="array" ref="AC584">IFERROR(INDEX('Исходник'!$1:$626,MATCH($A584,'Исходник'!$T:$T,0),MATCH(AC$1,'Исходник'!$1:$1,0)))</f>
        <v/>
      </c>
      <c r="AD584" s="27" t="str">
        <f t="shared" si="13"/>
        <v/>
      </c>
      <c r="AE584" s="1" t="str">
        <f t="array" ref="AE584">IFERROR(INDEX('Исходник'!$1:$626,MATCH($A584,'Исходник'!$T:$T,0),MATCH(AE$1,'Исходник'!$1:$1,0)))</f>
        <v/>
      </c>
      <c r="AF584" s="1" t="str">
        <f t="array" ref="AF584">IFERROR(INDEX('Исходник'!$1:$626,MATCH($A584,'Исходник'!$T:$T,0),MATCH(AF$1,'Исходник'!$1:$1,0)))</f>
        <v/>
      </c>
      <c r="AG584" s="27" t="str">
        <f t="shared" si="14"/>
        <v/>
      </c>
      <c r="AH584" s="1" t="str">
        <f t="array" ref="AH584">IFERROR(INDEX('Исходник'!$1:$626,MATCH($A584,'Исходник'!$T:$T,0),MATCH(AH$1,'Исходник'!$1:$1,0)))</f>
        <v/>
      </c>
      <c r="AI584" s="1" t="str">
        <f t="array" ref="AI584">IFERROR(INDEX('Исходник'!$1:$626,MATCH($A584,'Исходник'!$T:$T,0),MATCH(AI$1,'Исходник'!$1:$1,0)))</f>
        <v/>
      </c>
      <c r="AJ584" s="18">
        <f t="shared" si="15"/>
        <v>0</v>
      </c>
    </row>
    <row r="585" ht="15.75" customHeight="1">
      <c r="A585" s="27"/>
      <c r="B585" s="1" t="str">
        <f t="array" ref="B585">IFERROR(INDEX('Исходник'!$1:$626,MATCH($A585,'Исходник'!$T:$T,0),MATCH(B$1,'Исходник'!$1:$1,0)))</f>
        <v/>
      </c>
      <c r="C585" s="1" t="str">
        <f t="array" ref="C585">IFERROR(INDEX('Исходник'!$1:$626,MATCH($A585,'Исходник'!$T:$T,0),MATCH(C$1,'Исходник'!$1:$1,0)))</f>
        <v/>
      </c>
      <c r="D585" s="1" t="str">
        <f t="array" ref="D585">IFERROR(INDEX('Исходник'!$1:$626,MATCH($A585,'Исходник'!$T:$T,0),MATCH(D$1,'Исходник'!$1:$1,0)))</f>
        <v/>
      </c>
      <c r="E585" s="1" t="str">
        <f t="array" ref="E585">IFERROR(INDEX('Исходник'!$1:$626,MATCH($A585,'Исходник'!$T:$T,0),MATCH(E$1,'Исходник'!$1:$1,0)))</f>
        <v/>
      </c>
      <c r="F585" s="1" t="str">
        <f t="array" ref="F585">IFERROR(INDEX('Исходник'!$1:$626,MATCH($A585,'Исходник'!$T:$T,0),MATCH(F$1,'Исходник'!$1:$1,0)))</f>
        <v/>
      </c>
      <c r="G585" s="1" t="str">
        <f t="array" ref="G585">IFERROR(INDEX('Исходник'!$1:$626,MATCH($A585,'Исходник'!$T:$T,0),MATCH(G$1,'Исходник'!$1:$1,0)))</f>
        <v/>
      </c>
      <c r="H585" s="27">
        <f t="shared" si="1"/>
        <v>0</v>
      </c>
      <c r="I585" s="27" t="str">
        <f t="shared" si="2"/>
        <v/>
      </c>
      <c r="J585" s="1" t="str">
        <f t="array" ref="J585">IFERROR(INDEX('Исходник'!$1:$626,MATCH($A585,'Исходник'!$T:$T,0),MATCH(J$1,'Исходник'!$1:$1,0)))</f>
        <v/>
      </c>
      <c r="K585" s="27" t="str">
        <f t="shared" si="3"/>
        <v/>
      </c>
      <c r="L585" s="1" t="str">
        <f t="array" ref="L585">IFERROR(INDEX('Исходник'!$1:$626,MATCH($A585,'Исходник'!$T:$T,0),MATCH(L$1,'Исходник'!$1:$1,0)))</f>
        <v/>
      </c>
      <c r="M585" s="28">
        <f t="shared" si="4"/>
        <v>0</v>
      </c>
      <c r="N585" s="1" t="str">
        <f t="array" ref="N585">IFERROR(INDEX('Исходник'!$1:$626,MATCH($A585,'Исходник'!$T:$T,0),MATCH(N$1,'Исходник'!$1:$1,0)))</f>
        <v/>
      </c>
      <c r="O585" s="27">
        <f t="shared" si="5"/>
        <v>0</v>
      </c>
      <c r="P585" s="27" t="str">
        <f t="shared" si="6"/>
        <v/>
      </c>
      <c r="Q585" s="1" t="str">
        <f t="array" ref="Q585">IFERROR(INDEX('Исходник'!$1:$626,MATCH($A585,'Исходник'!$T:$T,0),MATCH(Q$1,'Исходник'!$1:$1,0)))</f>
        <v/>
      </c>
      <c r="R585" s="1" t="str">
        <f t="array" ref="R585">IFERROR(INDEX('Исходник'!$1:$626,MATCH($A585,'Исходник'!$T:$T,0),MATCH(R$1,'Исходник'!$1:$1,0)))</f>
        <v/>
      </c>
      <c r="S585" s="27">
        <f t="shared" si="7"/>
        <v>0</v>
      </c>
      <c r="T585" s="27" t="str">
        <f t="shared" si="8"/>
        <v/>
      </c>
      <c r="U585" s="1" t="str">
        <f t="array" ref="U585">IFERROR(INDEX('Исходник'!$1:$626,MATCH($A585,'Исходник'!$T:$T,0),MATCH(U$1,'Исходник'!$1:$1,0)))</f>
        <v/>
      </c>
      <c r="V585" s="27" t="str">
        <f t="shared" si="9"/>
        <v/>
      </c>
      <c r="W585" s="1" t="str">
        <f t="array" ref="W585">IFERROR(INDEX('Исходник'!$1:$626,MATCH($A585,'Исходник'!$T:$T,0),MATCH(W$1,'Исходник'!$1:$1,0)))</f>
        <v/>
      </c>
      <c r="X585" s="28">
        <f t="shared" si="10"/>
        <v>0</v>
      </c>
      <c r="Y585" s="1" t="str">
        <f t="array" ref="Y585">IFERROR(INDEX('Исходник'!$1:$626,MATCH($A585,'Исходник'!$T:$T,0),MATCH(Y$1,'Исходник'!$1:$1,0)))</f>
        <v/>
      </c>
      <c r="Z585" s="27">
        <f t="shared" si="11"/>
        <v>0</v>
      </c>
      <c r="AA585" s="27" t="str">
        <f t="shared" si="12"/>
        <v/>
      </c>
      <c r="AB585" s="1" t="str">
        <f t="array" ref="AB585">IFERROR(INDEX('Исходник'!$1:$626,MATCH($A585,'Исходник'!$T:$T,0),MATCH(AB$1,'Исходник'!$1:$1,0)))</f>
        <v/>
      </c>
      <c r="AC585" s="1" t="str">
        <f t="array" ref="AC585">IFERROR(INDEX('Исходник'!$1:$626,MATCH($A585,'Исходник'!$T:$T,0),MATCH(AC$1,'Исходник'!$1:$1,0)))</f>
        <v/>
      </c>
      <c r="AD585" s="27" t="str">
        <f t="shared" si="13"/>
        <v/>
      </c>
      <c r="AE585" s="1" t="str">
        <f t="array" ref="AE585">IFERROR(INDEX('Исходник'!$1:$626,MATCH($A585,'Исходник'!$T:$T,0),MATCH(AE$1,'Исходник'!$1:$1,0)))</f>
        <v/>
      </c>
      <c r="AF585" s="1" t="str">
        <f t="array" ref="AF585">IFERROR(INDEX('Исходник'!$1:$626,MATCH($A585,'Исходник'!$T:$T,0),MATCH(AF$1,'Исходник'!$1:$1,0)))</f>
        <v/>
      </c>
      <c r="AG585" s="27" t="str">
        <f t="shared" si="14"/>
        <v/>
      </c>
      <c r="AH585" s="1" t="str">
        <f t="array" ref="AH585">IFERROR(INDEX('Исходник'!$1:$626,MATCH($A585,'Исходник'!$T:$T,0),MATCH(AH$1,'Исходник'!$1:$1,0)))</f>
        <v/>
      </c>
      <c r="AI585" s="1" t="str">
        <f t="array" ref="AI585">IFERROR(INDEX('Исходник'!$1:$626,MATCH($A585,'Исходник'!$T:$T,0),MATCH(AI$1,'Исходник'!$1:$1,0)))</f>
        <v/>
      </c>
      <c r="AJ585" s="18">
        <f t="shared" si="15"/>
        <v>0</v>
      </c>
    </row>
    <row r="586" ht="15.75" customHeight="1">
      <c r="A586" s="27"/>
      <c r="B586" s="1" t="str">
        <f t="array" ref="B586">IFERROR(INDEX('Исходник'!$1:$626,MATCH($A586,'Исходник'!$T:$T,0),MATCH(B$1,'Исходник'!$1:$1,0)))</f>
        <v/>
      </c>
      <c r="C586" s="1" t="str">
        <f t="array" ref="C586">IFERROR(INDEX('Исходник'!$1:$626,MATCH($A586,'Исходник'!$T:$T,0),MATCH(C$1,'Исходник'!$1:$1,0)))</f>
        <v/>
      </c>
      <c r="D586" s="1" t="str">
        <f t="array" ref="D586">IFERROR(INDEX('Исходник'!$1:$626,MATCH($A586,'Исходник'!$T:$T,0),MATCH(D$1,'Исходник'!$1:$1,0)))</f>
        <v/>
      </c>
      <c r="E586" s="1" t="str">
        <f t="array" ref="E586">IFERROR(INDEX('Исходник'!$1:$626,MATCH($A586,'Исходник'!$T:$T,0),MATCH(E$1,'Исходник'!$1:$1,0)))</f>
        <v/>
      </c>
      <c r="F586" s="1" t="str">
        <f t="array" ref="F586">IFERROR(INDEX('Исходник'!$1:$626,MATCH($A586,'Исходник'!$T:$T,0),MATCH(F$1,'Исходник'!$1:$1,0)))</f>
        <v/>
      </c>
      <c r="G586" s="1" t="str">
        <f t="array" ref="G586">IFERROR(INDEX('Исходник'!$1:$626,MATCH($A586,'Исходник'!$T:$T,0),MATCH(G$1,'Исходник'!$1:$1,0)))</f>
        <v/>
      </c>
      <c r="H586" s="27">
        <f t="shared" si="1"/>
        <v>0</v>
      </c>
      <c r="I586" s="27" t="str">
        <f t="shared" si="2"/>
        <v/>
      </c>
      <c r="J586" s="1" t="str">
        <f t="array" ref="J586">IFERROR(INDEX('Исходник'!$1:$626,MATCH($A586,'Исходник'!$T:$T,0),MATCH(J$1,'Исходник'!$1:$1,0)))</f>
        <v/>
      </c>
      <c r="K586" s="27" t="str">
        <f t="shared" si="3"/>
        <v/>
      </c>
      <c r="L586" s="1" t="str">
        <f t="array" ref="L586">IFERROR(INDEX('Исходник'!$1:$626,MATCH($A586,'Исходник'!$T:$T,0),MATCH(L$1,'Исходник'!$1:$1,0)))</f>
        <v/>
      </c>
      <c r="M586" s="28">
        <f t="shared" si="4"/>
        <v>0</v>
      </c>
      <c r="N586" s="1" t="str">
        <f t="array" ref="N586">IFERROR(INDEX('Исходник'!$1:$626,MATCH($A586,'Исходник'!$T:$T,0),MATCH(N$1,'Исходник'!$1:$1,0)))</f>
        <v/>
      </c>
      <c r="O586" s="27">
        <f t="shared" si="5"/>
        <v>0</v>
      </c>
      <c r="P586" s="27" t="str">
        <f t="shared" si="6"/>
        <v/>
      </c>
      <c r="Q586" s="1" t="str">
        <f t="array" ref="Q586">IFERROR(INDEX('Исходник'!$1:$626,MATCH($A586,'Исходник'!$T:$T,0),MATCH(Q$1,'Исходник'!$1:$1,0)))</f>
        <v/>
      </c>
      <c r="R586" s="1" t="str">
        <f t="array" ref="R586">IFERROR(INDEX('Исходник'!$1:$626,MATCH($A586,'Исходник'!$T:$T,0),MATCH(R$1,'Исходник'!$1:$1,0)))</f>
        <v/>
      </c>
      <c r="S586" s="27">
        <f t="shared" si="7"/>
        <v>0</v>
      </c>
      <c r="T586" s="27" t="str">
        <f t="shared" si="8"/>
        <v/>
      </c>
      <c r="U586" s="1" t="str">
        <f t="array" ref="U586">IFERROR(INDEX('Исходник'!$1:$626,MATCH($A586,'Исходник'!$T:$T,0),MATCH(U$1,'Исходник'!$1:$1,0)))</f>
        <v/>
      </c>
      <c r="V586" s="27" t="str">
        <f t="shared" si="9"/>
        <v/>
      </c>
      <c r="W586" s="1" t="str">
        <f t="array" ref="W586">IFERROR(INDEX('Исходник'!$1:$626,MATCH($A586,'Исходник'!$T:$T,0),MATCH(W$1,'Исходник'!$1:$1,0)))</f>
        <v/>
      </c>
      <c r="X586" s="28">
        <f t="shared" si="10"/>
        <v>0</v>
      </c>
      <c r="Y586" s="1" t="str">
        <f t="array" ref="Y586">IFERROR(INDEX('Исходник'!$1:$626,MATCH($A586,'Исходник'!$T:$T,0),MATCH(Y$1,'Исходник'!$1:$1,0)))</f>
        <v/>
      </c>
      <c r="Z586" s="27">
        <f t="shared" si="11"/>
        <v>0</v>
      </c>
      <c r="AA586" s="27" t="str">
        <f t="shared" si="12"/>
        <v/>
      </c>
      <c r="AB586" s="1" t="str">
        <f t="array" ref="AB586">IFERROR(INDEX('Исходник'!$1:$626,MATCH($A586,'Исходник'!$T:$T,0),MATCH(AB$1,'Исходник'!$1:$1,0)))</f>
        <v/>
      </c>
      <c r="AC586" s="1" t="str">
        <f t="array" ref="AC586">IFERROR(INDEX('Исходник'!$1:$626,MATCH($A586,'Исходник'!$T:$T,0),MATCH(AC$1,'Исходник'!$1:$1,0)))</f>
        <v/>
      </c>
      <c r="AD586" s="27" t="str">
        <f t="shared" si="13"/>
        <v/>
      </c>
      <c r="AE586" s="1" t="str">
        <f t="array" ref="AE586">IFERROR(INDEX('Исходник'!$1:$626,MATCH($A586,'Исходник'!$T:$T,0),MATCH(AE$1,'Исходник'!$1:$1,0)))</f>
        <v/>
      </c>
      <c r="AF586" s="1" t="str">
        <f t="array" ref="AF586">IFERROR(INDEX('Исходник'!$1:$626,MATCH($A586,'Исходник'!$T:$T,0),MATCH(AF$1,'Исходник'!$1:$1,0)))</f>
        <v/>
      </c>
      <c r="AG586" s="27" t="str">
        <f t="shared" si="14"/>
        <v/>
      </c>
      <c r="AH586" s="1" t="str">
        <f t="array" ref="AH586">IFERROR(INDEX('Исходник'!$1:$626,MATCH($A586,'Исходник'!$T:$T,0),MATCH(AH$1,'Исходник'!$1:$1,0)))</f>
        <v/>
      </c>
      <c r="AI586" s="1" t="str">
        <f t="array" ref="AI586">IFERROR(INDEX('Исходник'!$1:$626,MATCH($A586,'Исходник'!$T:$T,0),MATCH(AI$1,'Исходник'!$1:$1,0)))</f>
        <v/>
      </c>
      <c r="AJ586" s="18">
        <f t="shared" si="15"/>
        <v>0</v>
      </c>
    </row>
    <row r="587" ht="15.75" customHeight="1">
      <c r="A587" s="27"/>
      <c r="B587" s="1" t="str">
        <f t="array" ref="B587">IFERROR(INDEX('Исходник'!$1:$626,MATCH($A587,'Исходник'!$T:$T,0),MATCH(B$1,'Исходник'!$1:$1,0)))</f>
        <v/>
      </c>
      <c r="C587" s="1" t="str">
        <f t="array" ref="C587">IFERROR(INDEX('Исходник'!$1:$626,MATCH($A587,'Исходник'!$T:$T,0),MATCH(C$1,'Исходник'!$1:$1,0)))</f>
        <v/>
      </c>
      <c r="D587" s="1" t="str">
        <f t="array" ref="D587">IFERROR(INDEX('Исходник'!$1:$626,MATCH($A587,'Исходник'!$T:$T,0),MATCH(D$1,'Исходник'!$1:$1,0)))</f>
        <v/>
      </c>
      <c r="E587" s="1" t="str">
        <f t="array" ref="E587">IFERROR(INDEX('Исходник'!$1:$626,MATCH($A587,'Исходник'!$T:$T,0),MATCH(E$1,'Исходник'!$1:$1,0)))</f>
        <v/>
      </c>
      <c r="F587" s="1" t="str">
        <f t="array" ref="F587">IFERROR(INDEX('Исходник'!$1:$626,MATCH($A587,'Исходник'!$T:$T,0),MATCH(F$1,'Исходник'!$1:$1,0)))</f>
        <v/>
      </c>
      <c r="G587" s="1" t="str">
        <f t="array" ref="G587">IFERROR(INDEX('Исходник'!$1:$626,MATCH($A587,'Исходник'!$T:$T,0),MATCH(G$1,'Исходник'!$1:$1,0)))</f>
        <v/>
      </c>
      <c r="H587" s="27">
        <f t="shared" si="1"/>
        <v>0</v>
      </c>
      <c r="I587" s="27" t="str">
        <f t="shared" si="2"/>
        <v/>
      </c>
      <c r="J587" s="1" t="str">
        <f t="array" ref="J587">IFERROR(INDEX('Исходник'!$1:$626,MATCH($A587,'Исходник'!$T:$T,0),MATCH(J$1,'Исходник'!$1:$1,0)))</f>
        <v/>
      </c>
      <c r="K587" s="27" t="str">
        <f t="shared" si="3"/>
        <v/>
      </c>
      <c r="L587" s="1" t="str">
        <f t="array" ref="L587">IFERROR(INDEX('Исходник'!$1:$626,MATCH($A587,'Исходник'!$T:$T,0),MATCH(L$1,'Исходник'!$1:$1,0)))</f>
        <v/>
      </c>
      <c r="M587" s="28">
        <f t="shared" si="4"/>
        <v>0</v>
      </c>
      <c r="N587" s="1" t="str">
        <f t="array" ref="N587">IFERROR(INDEX('Исходник'!$1:$626,MATCH($A587,'Исходник'!$T:$T,0),MATCH(N$1,'Исходник'!$1:$1,0)))</f>
        <v/>
      </c>
      <c r="O587" s="27">
        <f t="shared" si="5"/>
        <v>0</v>
      </c>
      <c r="P587" s="27" t="str">
        <f t="shared" si="6"/>
        <v/>
      </c>
      <c r="Q587" s="1" t="str">
        <f t="array" ref="Q587">IFERROR(INDEX('Исходник'!$1:$626,MATCH($A587,'Исходник'!$T:$T,0),MATCH(Q$1,'Исходник'!$1:$1,0)))</f>
        <v/>
      </c>
      <c r="R587" s="1" t="str">
        <f t="array" ref="R587">IFERROR(INDEX('Исходник'!$1:$626,MATCH($A587,'Исходник'!$T:$T,0),MATCH(R$1,'Исходник'!$1:$1,0)))</f>
        <v/>
      </c>
      <c r="S587" s="27">
        <f t="shared" si="7"/>
        <v>0</v>
      </c>
      <c r="T587" s="27" t="str">
        <f t="shared" si="8"/>
        <v/>
      </c>
      <c r="U587" s="1" t="str">
        <f t="array" ref="U587">IFERROR(INDEX('Исходник'!$1:$626,MATCH($A587,'Исходник'!$T:$T,0),MATCH(U$1,'Исходник'!$1:$1,0)))</f>
        <v/>
      </c>
      <c r="V587" s="27" t="str">
        <f t="shared" si="9"/>
        <v/>
      </c>
      <c r="W587" s="1" t="str">
        <f t="array" ref="W587">IFERROR(INDEX('Исходник'!$1:$626,MATCH($A587,'Исходник'!$T:$T,0),MATCH(W$1,'Исходник'!$1:$1,0)))</f>
        <v/>
      </c>
      <c r="X587" s="28">
        <f t="shared" si="10"/>
        <v>0</v>
      </c>
      <c r="Y587" s="1" t="str">
        <f t="array" ref="Y587">IFERROR(INDEX('Исходник'!$1:$626,MATCH($A587,'Исходник'!$T:$T,0),MATCH(Y$1,'Исходник'!$1:$1,0)))</f>
        <v/>
      </c>
      <c r="Z587" s="27">
        <f t="shared" si="11"/>
        <v>0</v>
      </c>
      <c r="AA587" s="27" t="str">
        <f t="shared" si="12"/>
        <v/>
      </c>
      <c r="AB587" s="1" t="str">
        <f t="array" ref="AB587">IFERROR(INDEX('Исходник'!$1:$626,MATCH($A587,'Исходник'!$T:$T,0),MATCH(AB$1,'Исходник'!$1:$1,0)))</f>
        <v/>
      </c>
      <c r="AC587" s="1" t="str">
        <f t="array" ref="AC587">IFERROR(INDEX('Исходник'!$1:$626,MATCH($A587,'Исходник'!$T:$T,0),MATCH(AC$1,'Исходник'!$1:$1,0)))</f>
        <v/>
      </c>
      <c r="AD587" s="27" t="str">
        <f t="shared" si="13"/>
        <v/>
      </c>
      <c r="AE587" s="1" t="str">
        <f t="array" ref="AE587">IFERROR(INDEX('Исходник'!$1:$626,MATCH($A587,'Исходник'!$T:$T,0),MATCH(AE$1,'Исходник'!$1:$1,0)))</f>
        <v/>
      </c>
      <c r="AF587" s="1" t="str">
        <f t="array" ref="AF587">IFERROR(INDEX('Исходник'!$1:$626,MATCH($A587,'Исходник'!$T:$T,0),MATCH(AF$1,'Исходник'!$1:$1,0)))</f>
        <v/>
      </c>
      <c r="AG587" s="27" t="str">
        <f t="shared" si="14"/>
        <v/>
      </c>
      <c r="AH587" s="1" t="str">
        <f t="array" ref="AH587">IFERROR(INDEX('Исходник'!$1:$626,MATCH($A587,'Исходник'!$T:$T,0),MATCH(AH$1,'Исходник'!$1:$1,0)))</f>
        <v/>
      </c>
      <c r="AI587" s="1" t="str">
        <f t="array" ref="AI587">IFERROR(INDEX('Исходник'!$1:$626,MATCH($A587,'Исходник'!$T:$T,0),MATCH(AI$1,'Исходник'!$1:$1,0)))</f>
        <v/>
      </c>
      <c r="AJ587" s="18">
        <f t="shared" si="15"/>
        <v>0</v>
      </c>
    </row>
    <row r="588" ht="15.75" customHeight="1">
      <c r="A588" s="27"/>
      <c r="B588" s="1" t="str">
        <f t="array" ref="B588">IFERROR(INDEX('Исходник'!$1:$626,MATCH($A588,'Исходник'!$T:$T,0),MATCH(B$1,'Исходник'!$1:$1,0)))</f>
        <v/>
      </c>
      <c r="C588" s="1" t="str">
        <f t="array" ref="C588">IFERROR(INDEX('Исходник'!$1:$626,MATCH($A588,'Исходник'!$T:$T,0),MATCH(C$1,'Исходник'!$1:$1,0)))</f>
        <v/>
      </c>
      <c r="D588" s="1" t="str">
        <f t="array" ref="D588">IFERROR(INDEX('Исходник'!$1:$626,MATCH($A588,'Исходник'!$T:$T,0),MATCH(D$1,'Исходник'!$1:$1,0)))</f>
        <v/>
      </c>
      <c r="E588" s="1" t="str">
        <f t="array" ref="E588">IFERROR(INDEX('Исходник'!$1:$626,MATCH($A588,'Исходник'!$T:$T,0),MATCH(E$1,'Исходник'!$1:$1,0)))</f>
        <v/>
      </c>
      <c r="F588" s="1" t="str">
        <f t="array" ref="F588">IFERROR(INDEX('Исходник'!$1:$626,MATCH($A588,'Исходник'!$T:$T,0),MATCH(F$1,'Исходник'!$1:$1,0)))</f>
        <v/>
      </c>
      <c r="G588" s="1" t="str">
        <f t="array" ref="G588">IFERROR(INDEX('Исходник'!$1:$626,MATCH($A588,'Исходник'!$T:$T,0),MATCH(G$1,'Исходник'!$1:$1,0)))</f>
        <v/>
      </c>
      <c r="H588" s="27">
        <f t="shared" si="1"/>
        <v>0</v>
      </c>
      <c r="I588" s="27" t="str">
        <f t="shared" si="2"/>
        <v/>
      </c>
      <c r="J588" s="1" t="str">
        <f t="array" ref="J588">IFERROR(INDEX('Исходник'!$1:$626,MATCH($A588,'Исходник'!$T:$T,0),MATCH(J$1,'Исходник'!$1:$1,0)))</f>
        <v/>
      </c>
      <c r="K588" s="27" t="str">
        <f t="shared" si="3"/>
        <v/>
      </c>
      <c r="L588" s="1" t="str">
        <f t="array" ref="L588">IFERROR(INDEX('Исходник'!$1:$626,MATCH($A588,'Исходник'!$T:$T,0),MATCH(L$1,'Исходник'!$1:$1,0)))</f>
        <v/>
      </c>
      <c r="M588" s="28">
        <f t="shared" si="4"/>
        <v>0</v>
      </c>
      <c r="N588" s="1" t="str">
        <f t="array" ref="N588">IFERROR(INDEX('Исходник'!$1:$626,MATCH($A588,'Исходник'!$T:$T,0),MATCH(N$1,'Исходник'!$1:$1,0)))</f>
        <v/>
      </c>
      <c r="O588" s="27">
        <f t="shared" si="5"/>
        <v>0</v>
      </c>
      <c r="P588" s="27" t="str">
        <f t="shared" si="6"/>
        <v/>
      </c>
      <c r="Q588" s="1" t="str">
        <f t="array" ref="Q588">IFERROR(INDEX('Исходник'!$1:$626,MATCH($A588,'Исходник'!$T:$T,0),MATCH(Q$1,'Исходник'!$1:$1,0)))</f>
        <v/>
      </c>
      <c r="R588" s="1" t="str">
        <f t="array" ref="R588">IFERROR(INDEX('Исходник'!$1:$626,MATCH($A588,'Исходник'!$T:$T,0),MATCH(R$1,'Исходник'!$1:$1,0)))</f>
        <v/>
      </c>
      <c r="S588" s="27">
        <f t="shared" si="7"/>
        <v>0</v>
      </c>
      <c r="T588" s="27" t="str">
        <f t="shared" si="8"/>
        <v/>
      </c>
      <c r="U588" s="1" t="str">
        <f t="array" ref="U588">IFERROR(INDEX('Исходник'!$1:$626,MATCH($A588,'Исходник'!$T:$T,0),MATCH(U$1,'Исходник'!$1:$1,0)))</f>
        <v/>
      </c>
      <c r="V588" s="27" t="str">
        <f t="shared" si="9"/>
        <v/>
      </c>
      <c r="W588" s="1" t="str">
        <f t="array" ref="W588">IFERROR(INDEX('Исходник'!$1:$626,MATCH($A588,'Исходник'!$T:$T,0),MATCH(W$1,'Исходник'!$1:$1,0)))</f>
        <v/>
      </c>
      <c r="X588" s="28">
        <f t="shared" si="10"/>
        <v>0</v>
      </c>
      <c r="Y588" s="1" t="str">
        <f t="array" ref="Y588">IFERROR(INDEX('Исходник'!$1:$626,MATCH($A588,'Исходник'!$T:$T,0),MATCH(Y$1,'Исходник'!$1:$1,0)))</f>
        <v/>
      </c>
      <c r="Z588" s="27">
        <f t="shared" si="11"/>
        <v>0</v>
      </c>
      <c r="AA588" s="27" t="str">
        <f t="shared" si="12"/>
        <v/>
      </c>
      <c r="AB588" s="1" t="str">
        <f t="array" ref="AB588">IFERROR(INDEX('Исходник'!$1:$626,MATCH($A588,'Исходник'!$T:$T,0),MATCH(AB$1,'Исходник'!$1:$1,0)))</f>
        <v/>
      </c>
      <c r="AC588" s="1" t="str">
        <f t="array" ref="AC588">IFERROR(INDEX('Исходник'!$1:$626,MATCH($A588,'Исходник'!$T:$T,0),MATCH(AC$1,'Исходник'!$1:$1,0)))</f>
        <v/>
      </c>
      <c r="AD588" s="27" t="str">
        <f t="shared" si="13"/>
        <v/>
      </c>
      <c r="AE588" s="1" t="str">
        <f t="array" ref="AE588">IFERROR(INDEX('Исходник'!$1:$626,MATCH($A588,'Исходник'!$T:$T,0),MATCH(AE$1,'Исходник'!$1:$1,0)))</f>
        <v/>
      </c>
      <c r="AF588" s="1" t="str">
        <f t="array" ref="AF588">IFERROR(INDEX('Исходник'!$1:$626,MATCH($A588,'Исходник'!$T:$T,0),MATCH(AF$1,'Исходник'!$1:$1,0)))</f>
        <v/>
      </c>
      <c r="AG588" s="27" t="str">
        <f t="shared" si="14"/>
        <v/>
      </c>
      <c r="AH588" s="1" t="str">
        <f t="array" ref="AH588">IFERROR(INDEX('Исходник'!$1:$626,MATCH($A588,'Исходник'!$T:$T,0),MATCH(AH$1,'Исходник'!$1:$1,0)))</f>
        <v/>
      </c>
      <c r="AI588" s="1" t="str">
        <f t="array" ref="AI588">IFERROR(INDEX('Исходник'!$1:$626,MATCH($A588,'Исходник'!$T:$T,0),MATCH(AI$1,'Исходник'!$1:$1,0)))</f>
        <v/>
      </c>
      <c r="AJ588" s="18">
        <f t="shared" si="15"/>
        <v>0</v>
      </c>
    </row>
    <row r="589" ht="15.75" customHeight="1">
      <c r="A589" s="27"/>
      <c r="B589" s="1" t="str">
        <f t="array" ref="B589">IFERROR(INDEX('Исходник'!$1:$626,MATCH($A589,'Исходник'!$T:$T,0),MATCH(B$1,'Исходник'!$1:$1,0)))</f>
        <v/>
      </c>
      <c r="C589" s="1" t="str">
        <f t="array" ref="C589">IFERROR(INDEX('Исходник'!$1:$626,MATCH($A589,'Исходник'!$T:$T,0),MATCH(C$1,'Исходник'!$1:$1,0)))</f>
        <v/>
      </c>
      <c r="D589" s="1" t="str">
        <f t="array" ref="D589">IFERROR(INDEX('Исходник'!$1:$626,MATCH($A589,'Исходник'!$T:$T,0),MATCH(D$1,'Исходник'!$1:$1,0)))</f>
        <v/>
      </c>
      <c r="E589" s="1" t="str">
        <f t="array" ref="E589">IFERROR(INDEX('Исходник'!$1:$626,MATCH($A589,'Исходник'!$T:$T,0),MATCH(E$1,'Исходник'!$1:$1,0)))</f>
        <v/>
      </c>
      <c r="F589" s="1" t="str">
        <f t="array" ref="F589">IFERROR(INDEX('Исходник'!$1:$626,MATCH($A589,'Исходник'!$T:$T,0),MATCH(F$1,'Исходник'!$1:$1,0)))</f>
        <v/>
      </c>
      <c r="G589" s="1" t="str">
        <f t="array" ref="G589">IFERROR(INDEX('Исходник'!$1:$626,MATCH($A589,'Исходник'!$T:$T,0),MATCH(G$1,'Исходник'!$1:$1,0)))</f>
        <v/>
      </c>
      <c r="H589" s="27">
        <f t="shared" si="1"/>
        <v>0</v>
      </c>
      <c r="I589" s="27" t="str">
        <f t="shared" si="2"/>
        <v/>
      </c>
      <c r="J589" s="1" t="str">
        <f t="array" ref="J589">IFERROR(INDEX('Исходник'!$1:$626,MATCH($A589,'Исходник'!$T:$T,0),MATCH(J$1,'Исходник'!$1:$1,0)))</f>
        <v/>
      </c>
      <c r="K589" s="27" t="str">
        <f t="shared" si="3"/>
        <v/>
      </c>
      <c r="L589" s="1" t="str">
        <f t="array" ref="L589">IFERROR(INDEX('Исходник'!$1:$626,MATCH($A589,'Исходник'!$T:$T,0),MATCH(L$1,'Исходник'!$1:$1,0)))</f>
        <v/>
      </c>
      <c r="M589" s="28">
        <f t="shared" si="4"/>
        <v>0</v>
      </c>
      <c r="N589" s="1" t="str">
        <f t="array" ref="N589">IFERROR(INDEX('Исходник'!$1:$626,MATCH($A589,'Исходник'!$T:$T,0),MATCH(N$1,'Исходник'!$1:$1,0)))</f>
        <v/>
      </c>
      <c r="O589" s="27">
        <f t="shared" si="5"/>
        <v>0</v>
      </c>
      <c r="P589" s="27" t="str">
        <f t="shared" si="6"/>
        <v/>
      </c>
      <c r="Q589" s="1" t="str">
        <f t="array" ref="Q589">IFERROR(INDEX('Исходник'!$1:$626,MATCH($A589,'Исходник'!$T:$T,0),MATCH(Q$1,'Исходник'!$1:$1,0)))</f>
        <v/>
      </c>
      <c r="R589" s="1" t="str">
        <f t="array" ref="R589">IFERROR(INDEX('Исходник'!$1:$626,MATCH($A589,'Исходник'!$T:$T,0),MATCH(R$1,'Исходник'!$1:$1,0)))</f>
        <v/>
      </c>
      <c r="S589" s="27">
        <f t="shared" si="7"/>
        <v>0</v>
      </c>
      <c r="T589" s="27" t="str">
        <f t="shared" si="8"/>
        <v/>
      </c>
      <c r="U589" s="1" t="str">
        <f t="array" ref="U589">IFERROR(INDEX('Исходник'!$1:$626,MATCH($A589,'Исходник'!$T:$T,0),MATCH(U$1,'Исходник'!$1:$1,0)))</f>
        <v/>
      </c>
      <c r="V589" s="27" t="str">
        <f t="shared" si="9"/>
        <v/>
      </c>
      <c r="W589" s="1" t="str">
        <f t="array" ref="W589">IFERROR(INDEX('Исходник'!$1:$626,MATCH($A589,'Исходник'!$T:$T,0),MATCH(W$1,'Исходник'!$1:$1,0)))</f>
        <v/>
      </c>
      <c r="X589" s="28">
        <f t="shared" si="10"/>
        <v>0</v>
      </c>
      <c r="Y589" s="1" t="str">
        <f t="array" ref="Y589">IFERROR(INDEX('Исходник'!$1:$626,MATCH($A589,'Исходник'!$T:$T,0),MATCH(Y$1,'Исходник'!$1:$1,0)))</f>
        <v/>
      </c>
      <c r="Z589" s="27">
        <f t="shared" si="11"/>
        <v>0</v>
      </c>
      <c r="AA589" s="27" t="str">
        <f t="shared" si="12"/>
        <v/>
      </c>
      <c r="AB589" s="1" t="str">
        <f t="array" ref="AB589">IFERROR(INDEX('Исходник'!$1:$626,MATCH($A589,'Исходник'!$T:$T,0),MATCH(AB$1,'Исходник'!$1:$1,0)))</f>
        <v/>
      </c>
      <c r="AC589" s="1" t="str">
        <f t="array" ref="AC589">IFERROR(INDEX('Исходник'!$1:$626,MATCH($A589,'Исходник'!$T:$T,0),MATCH(AC$1,'Исходник'!$1:$1,0)))</f>
        <v/>
      </c>
      <c r="AD589" s="27" t="str">
        <f t="shared" si="13"/>
        <v/>
      </c>
      <c r="AE589" s="1" t="str">
        <f t="array" ref="AE589">IFERROR(INDEX('Исходник'!$1:$626,MATCH($A589,'Исходник'!$T:$T,0),MATCH(AE$1,'Исходник'!$1:$1,0)))</f>
        <v/>
      </c>
      <c r="AF589" s="1" t="str">
        <f t="array" ref="AF589">IFERROR(INDEX('Исходник'!$1:$626,MATCH($A589,'Исходник'!$T:$T,0),MATCH(AF$1,'Исходник'!$1:$1,0)))</f>
        <v/>
      </c>
      <c r="AG589" s="27" t="str">
        <f t="shared" si="14"/>
        <v/>
      </c>
      <c r="AH589" s="1" t="str">
        <f t="array" ref="AH589">IFERROR(INDEX('Исходник'!$1:$626,MATCH($A589,'Исходник'!$T:$T,0),MATCH(AH$1,'Исходник'!$1:$1,0)))</f>
        <v/>
      </c>
      <c r="AI589" s="1" t="str">
        <f t="array" ref="AI589">IFERROR(INDEX('Исходник'!$1:$626,MATCH($A589,'Исходник'!$T:$T,0),MATCH(AI$1,'Исходник'!$1:$1,0)))</f>
        <v/>
      </c>
      <c r="AJ589" s="18">
        <f t="shared" si="15"/>
        <v>0</v>
      </c>
    </row>
    <row r="590" ht="15.75" customHeight="1">
      <c r="A590" s="27"/>
      <c r="B590" s="1" t="str">
        <f t="array" ref="B590">IFERROR(INDEX('Исходник'!$1:$626,MATCH($A590,'Исходник'!$T:$T,0),MATCH(B$1,'Исходник'!$1:$1,0)))</f>
        <v/>
      </c>
      <c r="C590" s="1" t="str">
        <f t="array" ref="C590">IFERROR(INDEX('Исходник'!$1:$626,MATCH($A590,'Исходник'!$T:$T,0),MATCH(C$1,'Исходник'!$1:$1,0)))</f>
        <v/>
      </c>
      <c r="D590" s="1" t="str">
        <f t="array" ref="D590">IFERROR(INDEX('Исходник'!$1:$626,MATCH($A590,'Исходник'!$T:$T,0),MATCH(D$1,'Исходник'!$1:$1,0)))</f>
        <v/>
      </c>
      <c r="E590" s="1" t="str">
        <f t="array" ref="E590">IFERROR(INDEX('Исходник'!$1:$626,MATCH($A590,'Исходник'!$T:$T,0),MATCH(E$1,'Исходник'!$1:$1,0)))</f>
        <v/>
      </c>
      <c r="F590" s="1" t="str">
        <f t="array" ref="F590">IFERROR(INDEX('Исходник'!$1:$626,MATCH($A590,'Исходник'!$T:$T,0),MATCH(F$1,'Исходник'!$1:$1,0)))</f>
        <v/>
      </c>
      <c r="G590" s="1" t="str">
        <f t="array" ref="G590">IFERROR(INDEX('Исходник'!$1:$626,MATCH($A590,'Исходник'!$T:$T,0),MATCH(G$1,'Исходник'!$1:$1,0)))</f>
        <v/>
      </c>
      <c r="H590" s="27">
        <f t="shared" si="1"/>
        <v>0</v>
      </c>
      <c r="I590" s="27" t="str">
        <f t="shared" si="2"/>
        <v/>
      </c>
      <c r="J590" s="1" t="str">
        <f t="array" ref="J590">IFERROR(INDEX('Исходник'!$1:$626,MATCH($A590,'Исходник'!$T:$T,0),MATCH(J$1,'Исходник'!$1:$1,0)))</f>
        <v/>
      </c>
      <c r="K590" s="27" t="str">
        <f t="shared" si="3"/>
        <v/>
      </c>
      <c r="L590" s="1" t="str">
        <f t="array" ref="L590">IFERROR(INDEX('Исходник'!$1:$626,MATCH($A590,'Исходник'!$T:$T,0),MATCH(L$1,'Исходник'!$1:$1,0)))</f>
        <v/>
      </c>
      <c r="M590" s="28">
        <f t="shared" si="4"/>
        <v>0</v>
      </c>
      <c r="N590" s="1" t="str">
        <f t="array" ref="N590">IFERROR(INDEX('Исходник'!$1:$626,MATCH($A590,'Исходник'!$T:$T,0),MATCH(N$1,'Исходник'!$1:$1,0)))</f>
        <v/>
      </c>
      <c r="O590" s="27">
        <f t="shared" si="5"/>
        <v>0</v>
      </c>
      <c r="P590" s="27" t="str">
        <f t="shared" si="6"/>
        <v/>
      </c>
      <c r="Q590" s="1" t="str">
        <f t="array" ref="Q590">IFERROR(INDEX('Исходник'!$1:$626,MATCH($A590,'Исходник'!$T:$T,0),MATCH(Q$1,'Исходник'!$1:$1,0)))</f>
        <v/>
      </c>
      <c r="R590" s="1" t="str">
        <f t="array" ref="R590">IFERROR(INDEX('Исходник'!$1:$626,MATCH($A590,'Исходник'!$T:$T,0),MATCH(R$1,'Исходник'!$1:$1,0)))</f>
        <v/>
      </c>
      <c r="S590" s="27">
        <f t="shared" si="7"/>
        <v>0</v>
      </c>
      <c r="T590" s="27" t="str">
        <f t="shared" si="8"/>
        <v/>
      </c>
      <c r="U590" s="1" t="str">
        <f t="array" ref="U590">IFERROR(INDEX('Исходник'!$1:$626,MATCH($A590,'Исходник'!$T:$T,0),MATCH(U$1,'Исходник'!$1:$1,0)))</f>
        <v/>
      </c>
      <c r="V590" s="27" t="str">
        <f t="shared" si="9"/>
        <v/>
      </c>
      <c r="W590" s="1" t="str">
        <f t="array" ref="W590">IFERROR(INDEX('Исходник'!$1:$626,MATCH($A590,'Исходник'!$T:$T,0),MATCH(W$1,'Исходник'!$1:$1,0)))</f>
        <v/>
      </c>
      <c r="X590" s="28">
        <f t="shared" si="10"/>
        <v>0</v>
      </c>
      <c r="Y590" s="1" t="str">
        <f t="array" ref="Y590">IFERROR(INDEX('Исходник'!$1:$626,MATCH($A590,'Исходник'!$T:$T,0),MATCH(Y$1,'Исходник'!$1:$1,0)))</f>
        <v/>
      </c>
      <c r="Z590" s="27">
        <f t="shared" si="11"/>
        <v>0</v>
      </c>
      <c r="AA590" s="27" t="str">
        <f t="shared" si="12"/>
        <v/>
      </c>
      <c r="AB590" s="1" t="str">
        <f t="array" ref="AB590">IFERROR(INDEX('Исходник'!$1:$626,MATCH($A590,'Исходник'!$T:$T,0),MATCH(AB$1,'Исходник'!$1:$1,0)))</f>
        <v/>
      </c>
      <c r="AC590" s="1" t="str">
        <f t="array" ref="AC590">IFERROR(INDEX('Исходник'!$1:$626,MATCH($A590,'Исходник'!$T:$T,0),MATCH(AC$1,'Исходник'!$1:$1,0)))</f>
        <v/>
      </c>
      <c r="AD590" s="27" t="str">
        <f t="shared" si="13"/>
        <v/>
      </c>
      <c r="AE590" s="1" t="str">
        <f t="array" ref="AE590">IFERROR(INDEX('Исходник'!$1:$626,MATCH($A590,'Исходник'!$T:$T,0),MATCH(AE$1,'Исходник'!$1:$1,0)))</f>
        <v/>
      </c>
      <c r="AF590" s="1" t="str">
        <f t="array" ref="AF590">IFERROR(INDEX('Исходник'!$1:$626,MATCH($A590,'Исходник'!$T:$T,0),MATCH(AF$1,'Исходник'!$1:$1,0)))</f>
        <v/>
      </c>
      <c r="AG590" s="27" t="str">
        <f t="shared" si="14"/>
        <v/>
      </c>
      <c r="AH590" s="1" t="str">
        <f t="array" ref="AH590">IFERROR(INDEX('Исходник'!$1:$626,MATCH($A590,'Исходник'!$T:$T,0),MATCH(AH$1,'Исходник'!$1:$1,0)))</f>
        <v/>
      </c>
      <c r="AI590" s="1" t="str">
        <f t="array" ref="AI590">IFERROR(INDEX('Исходник'!$1:$626,MATCH($A590,'Исходник'!$T:$T,0),MATCH(AI$1,'Исходник'!$1:$1,0)))</f>
        <v/>
      </c>
      <c r="AJ590" s="18">
        <f t="shared" si="15"/>
        <v>0</v>
      </c>
    </row>
    <row r="591" ht="15.75" customHeight="1">
      <c r="A591" s="27"/>
      <c r="B591" s="1" t="str">
        <f t="array" ref="B591">IFERROR(INDEX('Исходник'!$1:$626,MATCH($A591,'Исходник'!$T:$T,0),MATCH(B$1,'Исходник'!$1:$1,0)))</f>
        <v/>
      </c>
      <c r="C591" s="1" t="str">
        <f t="array" ref="C591">IFERROR(INDEX('Исходник'!$1:$626,MATCH($A591,'Исходник'!$T:$T,0),MATCH(C$1,'Исходник'!$1:$1,0)))</f>
        <v/>
      </c>
      <c r="D591" s="1" t="str">
        <f t="array" ref="D591">IFERROR(INDEX('Исходник'!$1:$626,MATCH($A591,'Исходник'!$T:$T,0),MATCH(D$1,'Исходник'!$1:$1,0)))</f>
        <v/>
      </c>
      <c r="E591" s="1" t="str">
        <f t="array" ref="E591">IFERROR(INDEX('Исходник'!$1:$626,MATCH($A591,'Исходник'!$T:$T,0),MATCH(E$1,'Исходник'!$1:$1,0)))</f>
        <v/>
      </c>
      <c r="F591" s="1" t="str">
        <f t="array" ref="F591">IFERROR(INDEX('Исходник'!$1:$626,MATCH($A591,'Исходник'!$T:$T,0),MATCH(F$1,'Исходник'!$1:$1,0)))</f>
        <v/>
      </c>
      <c r="G591" s="1" t="str">
        <f t="array" ref="G591">IFERROR(INDEX('Исходник'!$1:$626,MATCH($A591,'Исходник'!$T:$T,0),MATCH(G$1,'Исходник'!$1:$1,0)))</f>
        <v/>
      </c>
      <c r="H591" s="27">
        <f t="shared" si="1"/>
        <v>0</v>
      </c>
      <c r="I591" s="27" t="str">
        <f t="shared" si="2"/>
        <v/>
      </c>
      <c r="J591" s="1" t="str">
        <f t="array" ref="J591">IFERROR(INDEX('Исходник'!$1:$626,MATCH($A591,'Исходник'!$T:$T,0),MATCH(J$1,'Исходник'!$1:$1,0)))</f>
        <v/>
      </c>
      <c r="K591" s="27" t="str">
        <f t="shared" si="3"/>
        <v/>
      </c>
      <c r="L591" s="1" t="str">
        <f t="array" ref="L591">IFERROR(INDEX('Исходник'!$1:$626,MATCH($A591,'Исходник'!$T:$T,0),MATCH(L$1,'Исходник'!$1:$1,0)))</f>
        <v/>
      </c>
      <c r="M591" s="28">
        <f t="shared" si="4"/>
        <v>0</v>
      </c>
      <c r="N591" s="1" t="str">
        <f t="array" ref="N591">IFERROR(INDEX('Исходник'!$1:$626,MATCH($A591,'Исходник'!$T:$T,0),MATCH(N$1,'Исходник'!$1:$1,0)))</f>
        <v/>
      </c>
      <c r="O591" s="27">
        <f t="shared" si="5"/>
        <v>0</v>
      </c>
      <c r="P591" s="27" t="str">
        <f t="shared" si="6"/>
        <v/>
      </c>
      <c r="Q591" s="1" t="str">
        <f t="array" ref="Q591">IFERROR(INDEX('Исходник'!$1:$626,MATCH($A591,'Исходник'!$T:$T,0),MATCH(Q$1,'Исходник'!$1:$1,0)))</f>
        <v/>
      </c>
      <c r="R591" s="1" t="str">
        <f t="array" ref="R591">IFERROR(INDEX('Исходник'!$1:$626,MATCH($A591,'Исходник'!$T:$T,0),MATCH(R$1,'Исходник'!$1:$1,0)))</f>
        <v/>
      </c>
      <c r="S591" s="27">
        <f t="shared" si="7"/>
        <v>0</v>
      </c>
      <c r="T591" s="27" t="str">
        <f t="shared" si="8"/>
        <v/>
      </c>
      <c r="U591" s="1" t="str">
        <f t="array" ref="U591">IFERROR(INDEX('Исходник'!$1:$626,MATCH($A591,'Исходник'!$T:$T,0),MATCH(U$1,'Исходник'!$1:$1,0)))</f>
        <v/>
      </c>
      <c r="V591" s="27" t="str">
        <f t="shared" si="9"/>
        <v/>
      </c>
      <c r="W591" s="1" t="str">
        <f t="array" ref="W591">IFERROR(INDEX('Исходник'!$1:$626,MATCH($A591,'Исходник'!$T:$T,0),MATCH(W$1,'Исходник'!$1:$1,0)))</f>
        <v/>
      </c>
      <c r="X591" s="28">
        <f t="shared" si="10"/>
        <v>0</v>
      </c>
      <c r="Y591" s="1" t="str">
        <f t="array" ref="Y591">IFERROR(INDEX('Исходник'!$1:$626,MATCH($A591,'Исходник'!$T:$T,0),MATCH(Y$1,'Исходник'!$1:$1,0)))</f>
        <v/>
      </c>
      <c r="Z591" s="27">
        <f t="shared" si="11"/>
        <v>0</v>
      </c>
      <c r="AA591" s="27" t="str">
        <f t="shared" si="12"/>
        <v/>
      </c>
      <c r="AB591" s="1" t="str">
        <f t="array" ref="AB591">IFERROR(INDEX('Исходник'!$1:$626,MATCH($A591,'Исходник'!$T:$T,0),MATCH(AB$1,'Исходник'!$1:$1,0)))</f>
        <v/>
      </c>
      <c r="AC591" s="1" t="str">
        <f t="array" ref="AC591">IFERROR(INDEX('Исходник'!$1:$626,MATCH($A591,'Исходник'!$T:$T,0),MATCH(AC$1,'Исходник'!$1:$1,0)))</f>
        <v/>
      </c>
      <c r="AD591" s="27" t="str">
        <f t="shared" si="13"/>
        <v/>
      </c>
      <c r="AE591" s="1" t="str">
        <f t="array" ref="AE591">IFERROR(INDEX('Исходник'!$1:$626,MATCH($A591,'Исходник'!$T:$T,0),MATCH(AE$1,'Исходник'!$1:$1,0)))</f>
        <v/>
      </c>
      <c r="AF591" s="1" t="str">
        <f t="array" ref="AF591">IFERROR(INDEX('Исходник'!$1:$626,MATCH($A591,'Исходник'!$T:$T,0),MATCH(AF$1,'Исходник'!$1:$1,0)))</f>
        <v/>
      </c>
      <c r="AG591" s="27" t="str">
        <f t="shared" si="14"/>
        <v/>
      </c>
      <c r="AH591" s="1" t="str">
        <f t="array" ref="AH591">IFERROR(INDEX('Исходник'!$1:$626,MATCH($A591,'Исходник'!$T:$T,0),MATCH(AH$1,'Исходник'!$1:$1,0)))</f>
        <v/>
      </c>
      <c r="AI591" s="1" t="str">
        <f t="array" ref="AI591">IFERROR(INDEX('Исходник'!$1:$626,MATCH($A591,'Исходник'!$T:$T,0),MATCH(AI$1,'Исходник'!$1:$1,0)))</f>
        <v/>
      </c>
      <c r="AJ591" s="18">
        <f t="shared" si="15"/>
        <v>0</v>
      </c>
    </row>
    <row r="592" ht="15.75" customHeight="1">
      <c r="A592" s="27"/>
      <c r="B592" s="1" t="str">
        <f t="array" ref="B592">IFERROR(INDEX('Исходник'!$1:$626,MATCH($A592,'Исходник'!$T:$T,0),MATCH(B$1,'Исходник'!$1:$1,0)))</f>
        <v/>
      </c>
      <c r="C592" s="1" t="str">
        <f t="array" ref="C592">IFERROR(INDEX('Исходник'!$1:$626,MATCH($A592,'Исходник'!$T:$T,0),MATCH(C$1,'Исходник'!$1:$1,0)))</f>
        <v/>
      </c>
      <c r="D592" s="1" t="str">
        <f t="array" ref="D592">IFERROR(INDEX('Исходник'!$1:$626,MATCH($A592,'Исходник'!$T:$T,0),MATCH(D$1,'Исходник'!$1:$1,0)))</f>
        <v/>
      </c>
      <c r="E592" s="1" t="str">
        <f t="array" ref="E592">IFERROR(INDEX('Исходник'!$1:$626,MATCH($A592,'Исходник'!$T:$T,0),MATCH(E$1,'Исходник'!$1:$1,0)))</f>
        <v/>
      </c>
      <c r="F592" s="1" t="str">
        <f t="array" ref="F592">IFERROR(INDEX('Исходник'!$1:$626,MATCH($A592,'Исходник'!$T:$T,0),MATCH(F$1,'Исходник'!$1:$1,0)))</f>
        <v/>
      </c>
      <c r="G592" s="1" t="str">
        <f t="array" ref="G592">IFERROR(INDEX('Исходник'!$1:$626,MATCH($A592,'Исходник'!$T:$T,0),MATCH(G$1,'Исходник'!$1:$1,0)))</f>
        <v/>
      </c>
      <c r="H592" s="27">
        <f t="shared" si="1"/>
        <v>0</v>
      </c>
      <c r="I592" s="27" t="str">
        <f t="shared" si="2"/>
        <v/>
      </c>
      <c r="J592" s="1" t="str">
        <f t="array" ref="J592">IFERROR(INDEX('Исходник'!$1:$626,MATCH($A592,'Исходник'!$T:$T,0),MATCH(J$1,'Исходник'!$1:$1,0)))</f>
        <v/>
      </c>
      <c r="K592" s="27" t="str">
        <f t="shared" si="3"/>
        <v/>
      </c>
      <c r="L592" s="1" t="str">
        <f t="array" ref="L592">IFERROR(INDEX('Исходник'!$1:$626,MATCH($A592,'Исходник'!$T:$T,0),MATCH(L$1,'Исходник'!$1:$1,0)))</f>
        <v/>
      </c>
      <c r="M592" s="28">
        <f t="shared" si="4"/>
        <v>0</v>
      </c>
      <c r="N592" s="1" t="str">
        <f t="array" ref="N592">IFERROR(INDEX('Исходник'!$1:$626,MATCH($A592,'Исходник'!$T:$T,0),MATCH(N$1,'Исходник'!$1:$1,0)))</f>
        <v/>
      </c>
      <c r="O592" s="27">
        <f t="shared" si="5"/>
        <v>0</v>
      </c>
      <c r="P592" s="27" t="str">
        <f t="shared" si="6"/>
        <v/>
      </c>
      <c r="Q592" s="1" t="str">
        <f t="array" ref="Q592">IFERROR(INDEX('Исходник'!$1:$626,MATCH($A592,'Исходник'!$T:$T,0),MATCH(Q$1,'Исходник'!$1:$1,0)))</f>
        <v/>
      </c>
      <c r="R592" s="1" t="str">
        <f t="array" ref="R592">IFERROR(INDEX('Исходник'!$1:$626,MATCH($A592,'Исходник'!$T:$T,0),MATCH(R$1,'Исходник'!$1:$1,0)))</f>
        <v/>
      </c>
      <c r="S592" s="27">
        <f t="shared" si="7"/>
        <v>0</v>
      </c>
      <c r="T592" s="27" t="str">
        <f t="shared" si="8"/>
        <v/>
      </c>
      <c r="U592" s="1" t="str">
        <f t="array" ref="U592">IFERROR(INDEX('Исходник'!$1:$626,MATCH($A592,'Исходник'!$T:$T,0),MATCH(U$1,'Исходник'!$1:$1,0)))</f>
        <v/>
      </c>
      <c r="V592" s="27" t="str">
        <f t="shared" si="9"/>
        <v/>
      </c>
      <c r="W592" s="1" t="str">
        <f t="array" ref="W592">IFERROR(INDEX('Исходник'!$1:$626,MATCH($A592,'Исходник'!$T:$T,0),MATCH(W$1,'Исходник'!$1:$1,0)))</f>
        <v/>
      </c>
      <c r="X592" s="28">
        <f t="shared" si="10"/>
        <v>0</v>
      </c>
      <c r="Y592" s="1" t="str">
        <f t="array" ref="Y592">IFERROR(INDEX('Исходник'!$1:$626,MATCH($A592,'Исходник'!$T:$T,0),MATCH(Y$1,'Исходник'!$1:$1,0)))</f>
        <v/>
      </c>
      <c r="Z592" s="27">
        <f t="shared" si="11"/>
        <v>0</v>
      </c>
      <c r="AA592" s="27" t="str">
        <f t="shared" si="12"/>
        <v/>
      </c>
      <c r="AB592" s="1" t="str">
        <f t="array" ref="AB592">IFERROR(INDEX('Исходник'!$1:$626,MATCH($A592,'Исходник'!$T:$T,0),MATCH(AB$1,'Исходник'!$1:$1,0)))</f>
        <v/>
      </c>
      <c r="AC592" s="1" t="str">
        <f t="array" ref="AC592">IFERROR(INDEX('Исходник'!$1:$626,MATCH($A592,'Исходник'!$T:$T,0),MATCH(AC$1,'Исходник'!$1:$1,0)))</f>
        <v/>
      </c>
      <c r="AD592" s="27" t="str">
        <f t="shared" si="13"/>
        <v/>
      </c>
      <c r="AE592" s="1" t="str">
        <f t="array" ref="AE592">IFERROR(INDEX('Исходник'!$1:$626,MATCH($A592,'Исходник'!$T:$T,0),MATCH(AE$1,'Исходник'!$1:$1,0)))</f>
        <v/>
      </c>
      <c r="AF592" s="1" t="str">
        <f t="array" ref="AF592">IFERROR(INDEX('Исходник'!$1:$626,MATCH($A592,'Исходник'!$T:$T,0),MATCH(AF$1,'Исходник'!$1:$1,0)))</f>
        <v/>
      </c>
      <c r="AG592" s="27" t="str">
        <f t="shared" si="14"/>
        <v/>
      </c>
      <c r="AH592" s="1" t="str">
        <f t="array" ref="AH592">IFERROR(INDEX('Исходник'!$1:$626,MATCH($A592,'Исходник'!$T:$T,0),MATCH(AH$1,'Исходник'!$1:$1,0)))</f>
        <v/>
      </c>
      <c r="AI592" s="1" t="str">
        <f t="array" ref="AI592">IFERROR(INDEX('Исходник'!$1:$626,MATCH($A592,'Исходник'!$T:$T,0),MATCH(AI$1,'Исходник'!$1:$1,0)))</f>
        <v/>
      </c>
      <c r="AJ592" s="18">
        <f t="shared" si="15"/>
        <v>0</v>
      </c>
    </row>
    <row r="593" ht="15.75" customHeight="1">
      <c r="A593" s="27"/>
      <c r="B593" s="1" t="str">
        <f t="array" ref="B593">IFERROR(INDEX('Исходник'!$1:$626,MATCH($A593,'Исходник'!$T:$T,0),MATCH(B$1,'Исходник'!$1:$1,0)))</f>
        <v/>
      </c>
      <c r="C593" s="1" t="str">
        <f t="array" ref="C593">IFERROR(INDEX('Исходник'!$1:$626,MATCH($A593,'Исходник'!$T:$T,0),MATCH(C$1,'Исходник'!$1:$1,0)))</f>
        <v/>
      </c>
      <c r="D593" s="1" t="str">
        <f t="array" ref="D593">IFERROR(INDEX('Исходник'!$1:$626,MATCH($A593,'Исходник'!$T:$T,0),MATCH(D$1,'Исходник'!$1:$1,0)))</f>
        <v/>
      </c>
      <c r="E593" s="1" t="str">
        <f t="array" ref="E593">IFERROR(INDEX('Исходник'!$1:$626,MATCH($A593,'Исходник'!$T:$T,0),MATCH(E$1,'Исходник'!$1:$1,0)))</f>
        <v/>
      </c>
      <c r="F593" s="1" t="str">
        <f t="array" ref="F593">IFERROR(INDEX('Исходник'!$1:$626,MATCH($A593,'Исходник'!$T:$T,0),MATCH(F$1,'Исходник'!$1:$1,0)))</f>
        <v/>
      </c>
      <c r="G593" s="1" t="str">
        <f t="array" ref="G593">IFERROR(INDEX('Исходник'!$1:$626,MATCH($A593,'Исходник'!$T:$T,0),MATCH(G$1,'Исходник'!$1:$1,0)))</f>
        <v/>
      </c>
      <c r="H593" s="27">
        <f t="shared" si="1"/>
        <v>0</v>
      </c>
      <c r="I593" s="27" t="str">
        <f t="shared" si="2"/>
        <v/>
      </c>
      <c r="J593" s="1" t="str">
        <f t="array" ref="J593">IFERROR(INDEX('Исходник'!$1:$626,MATCH($A593,'Исходник'!$T:$T,0),MATCH(J$1,'Исходник'!$1:$1,0)))</f>
        <v/>
      </c>
      <c r="K593" s="27" t="str">
        <f t="shared" si="3"/>
        <v/>
      </c>
      <c r="L593" s="1" t="str">
        <f t="array" ref="L593">IFERROR(INDEX('Исходник'!$1:$626,MATCH($A593,'Исходник'!$T:$T,0),MATCH(L$1,'Исходник'!$1:$1,0)))</f>
        <v/>
      </c>
      <c r="M593" s="28">
        <f t="shared" si="4"/>
        <v>0</v>
      </c>
      <c r="N593" s="1" t="str">
        <f t="array" ref="N593">IFERROR(INDEX('Исходник'!$1:$626,MATCH($A593,'Исходник'!$T:$T,0),MATCH(N$1,'Исходник'!$1:$1,0)))</f>
        <v/>
      </c>
      <c r="O593" s="27">
        <f t="shared" si="5"/>
        <v>0</v>
      </c>
      <c r="P593" s="27" t="str">
        <f t="shared" si="6"/>
        <v/>
      </c>
      <c r="Q593" s="1" t="str">
        <f t="array" ref="Q593">IFERROR(INDEX('Исходник'!$1:$626,MATCH($A593,'Исходник'!$T:$T,0),MATCH(Q$1,'Исходник'!$1:$1,0)))</f>
        <v/>
      </c>
      <c r="R593" s="1" t="str">
        <f t="array" ref="R593">IFERROR(INDEX('Исходник'!$1:$626,MATCH($A593,'Исходник'!$T:$T,0),MATCH(R$1,'Исходник'!$1:$1,0)))</f>
        <v/>
      </c>
      <c r="S593" s="27">
        <f t="shared" si="7"/>
        <v>0</v>
      </c>
      <c r="T593" s="27" t="str">
        <f t="shared" si="8"/>
        <v/>
      </c>
      <c r="U593" s="1" t="str">
        <f t="array" ref="U593">IFERROR(INDEX('Исходник'!$1:$626,MATCH($A593,'Исходник'!$T:$T,0),MATCH(U$1,'Исходник'!$1:$1,0)))</f>
        <v/>
      </c>
      <c r="V593" s="27" t="str">
        <f t="shared" si="9"/>
        <v/>
      </c>
      <c r="W593" s="1" t="str">
        <f t="array" ref="W593">IFERROR(INDEX('Исходник'!$1:$626,MATCH($A593,'Исходник'!$T:$T,0),MATCH(W$1,'Исходник'!$1:$1,0)))</f>
        <v/>
      </c>
      <c r="X593" s="28">
        <f t="shared" si="10"/>
        <v>0</v>
      </c>
      <c r="Y593" s="1" t="str">
        <f t="array" ref="Y593">IFERROR(INDEX('Исходник'!$1:$626,MATCH($A593,'Исходник'!$T:$T,0),MATCH(Y$1,'Исходник'!$1:$1,0)))</f>
        <v/>
      </c>
      <c r="Z593" s="27">
        <f t="shared" si="11"/>
        <v>0</v>
      </c>
      <c r="AA593" s="27" t="str">
        <f t="shared" si="12"/>
        <v/>
      </c>
      <c r="AB593" s="1" t="str">
        <f t="array" ref="AB593">IFERROR(INDEX('Исходник'!$1:$626,MATCH($A593,'Исходник'!$T:$T,0),MATCH(AB$1,'Исходник'!$1:$1,0)))</f>
        <v/>
      </c>
      <c r="AC593" s="1" t="str">
        <f t="array" ref="AC593">IFERROR(INDEX('Исходник'!$1:$626,MATCH($A593,'Исходник'!$T:$T,0),MATCH(AC$1,'Исходник'!$1:$1,0)))</f>
        <v/>
      </c>
      <c r="AD593" s="27" t="str">
        <f t="shared" si="13"/>
        <v/>
      </c>
      <c r="AE593" s="1" t="str">
        <f t="array" ref="AE593">IFERROR(INDEX('Исходник'!$1:$626,MATCH($A593,'Исходник'!$T:$T,0),MATCH(AE$1,'Исходник'!$1:$1,0)))</f>
        <v/>
      </c>
      <c r="AF593" s="1" t="str">
        <f t="array" ref="AF593">IFERROR(INDEX('Исходник'!$1:$626,MATCH($A593,'Исходник'!$T:$T,0),MATCH(AF$1,'Исходник'!$1:$1,0)))</f>
        <v/>
      </c>
      <c r="AG593" s="27" t="str">
        <f t="shared" si="14"/>
        <v/>
      </c>
      <c r="AH593" s="1" t="str">
        <f t="array" ref="AH593">IFERROR(INDEX('Исходник'!$1:$626,MATCH($A593,'Исходник'!$T:$T,0),MATCH(AH$1,'Исходник'!$1:$1,0)))</f>
        <v/>
      </c>
      <c r="AI593" s="1" t="str">
        <f t="array" ref="AI593">IFERROR(INDEX('Исходник'!$1:$626,MATCH($A593,'Исходник'!$T:$T,0),MATCH(AI$1,'Исходник'!$1:$1,0)))</f>
        <v/>
      </c>
      <c r="AJ593" s="18">
        <f t="shared" si="15"/>
        <v>0</v>
      </c>
    </row>
    <row r="594" ht="15.75" customHeight="1">
      <c r="A594" s="27"/>
      <c r="B594" s="1" t="str">
        <f t="array" ref="B594">IFERROR(INDEX('Исходник'!$1:$626,MATCH($A594,'Исходник'!$T:$T,0),MATCH(B$1,'Исходник'!$1:$1,0)))</f>
        <v/>
      </c>
      <c r="C594" s="1" t="str">
        <f t="array" ref="C594">IFERROR(INDEX('Исходник'!$1:$626,MATCH($A594,'Исходник'!$T:$T,0),MATCH(C$1,'Исходник'!$1:$1,0)))</f>
        <v/>
      </c>
      <c r="D594" s="1" t="str">
        <f t="array" ref="D594">IFERROR(INDEX('Исходник'!$1:$626,MATCH($A594,'Исходник'!$T:$T,0),MATCH(D$1,'Исходник'!$1:$1,0)))</f>
        <v/>
      </c>
      <c r="E594" s="1" t="str">
        <f t="array" ref="E594">IFERROR(INDEX('Исходник'!$1:$626,MATCH($A594,'Исходник'!$T:$T,0),MATCH(E$1,'Исходник'!$1:$1,0)))</f>
        <v/>
      </c>
      <c r="F594" s="1" t="str">
        <f t="array" ref="F594">IFERROR(INDEX('Исходник'!$1:$626,MATCH($A594,'Исходник'!$T:$T,0),MATCH(F$1,'Исходник'!$1:$1,0)))</f>
        <v/>
      </c>
      <c r="G594" s="1" t="str">
        <f t="array" ref="G594">IFERROR(INDEX('Исходник'!$1:$626,MATCH($A594,'Исходник'!$T:$T,0),MATCH(G$1,'Исходник'!$1:$1,0)))</f>
        <v/>
      </c>
      <c r="H594" s="27">
        <f t="shared" si="1"/>
        <v>0</v>
      </c>
      <c r="I594" s="27" t="str">
        <f t="shared" si="2"/>
        <v/>
      </c>
      <c r="J594" s="1" t="str">
        <f t="array" ref="J594">IFERROR(INDEX('Исходник'!$1:$626,MATCH($A594,'Исходник'!$T:$T,0),MATCH(J$1,'Исходник'!$1:$1,0)))</f>
        <v/>
      </c>
      <c r="K594" s="27" t="str">
        <f t="shared" si="3"/>
        <v/>
      </c>
      <c r="L594" s="1" t="str">
        <f t="array" ref="L594">IFERROR(INDEX('Исходник'!$1:$626,MATCH($A594,'Исходник'!$T:$T,0),MATCH(L$1,'Исходник'!$1:$1,0)))</f>
        <v/>
      </c>
      <c r="M594" s="28">
        <f t="shared" si="4"/>
        <v>0</v>
      </c>
      <c r="N594" s="1" t="str">
        <f t="array" ref="N594">IFERROR(INDEX('Исходник'!$1:$626,MATCH($A594,'Исходник'!$T:$T,0),MATCH(N$1,'Исходник'!$1:$1,0)))</f>
        <v/>
      </c>
      <c r="O594" s="27">
        <f t="shared" si="5"/>
        <v>0</v>
      </c>
      <c r="P594" s="27" t="str">
        <f t="shared" si="6"/>
        <v/>
      </c>
      <c r="Q594" s="1" t="str">
        <f t="array" ref="Q594">IFERROR(INDEX('Исходник'!$1:$626,MATCH($A594,'Исходник'!$T:$T,0),MATCH(Q$1,'Исходник'!$1:$1,0)))</f>
        <v/>
      </c>
      <c r="R594" s="1" t="str">
        <f t="array" ref="R594">IFERROR(INDEX('Исходник'!$1:$626,MATCH($A594,'Исходник'!$T:$T,0),MATCH(R$1,'Исходник'!$1:$1,0)))</f>
        <v/>
      </c>
      <c r="S594" s="27">
        <f t="shared" si="7"/>
        <v>0</v>
      </c>
      <c r="T594" s="27" t="str">
        <f t="shared" si="8"/>
        <v/>
      </c>
      <c r="U594" s="1" t="str">
        <f t="array" ref="U594">IFERROR(INDEX('Исходник'!$1:$626,MATCH($A594,'Исходник'!$T:$T,0),MATCH(U$1,'Исходник'!$1:$1,0)))</f>
        <v/>
      </c>
      <c r="V594" s="27" t="str">
        <f t="shared" si="9"/>
        <v/>
      </c>
      <c r="W594" s="1" t="str">
        <f t="array" ref="W594">IFERROR(INDEX('Исходник'!$1:$626,MATCH($A594,'Исходник'!$T:$T,0),MATCH(W$1,'Исходник'!$1:$1,0)))</f>
        <v/>
      </c>
      <c r="X594" s="28">
        <f t="shared" si="10"/>
        <v>0</v>
      </c>
      <c r="Y594" s="1" t="str">
        <f t="array" ref="Y594">IFERROR(INDEX('Исходник'!$1:$626,MATCH($A594,'Исходник'!$T:$T,0),MATCH(Y$1,'Исходник'!$1:$1,0)))</f>
        <v/>
      </c>
      <c r="Z594" s="27">
        <f t="shared" si="11"/>
        <v>0</v>
      </c>
      <c r="AA594" s="27" t="str">
        <f t="shared" si="12"/>
        <v/>
      </c>
      <c r="AB594" s="1" t="str">
        <f t="array" ref="AB594">IFERROR(INDEX('Исходник'!$1:$626,MATCH($A594,'Исходник'!$T:$T,0),MATCH(AB$1,'Исходник'!$1:$1,0)))</f>
        <v/>
      </c>
      <c r="AC594" s="1" t="str">
        <f t="array" ref="AC594">IFERROR(INDEX('Исходник'!$1:$626,MATCH($A594,'Исходник'!$T:$T,0),MATCH(AC$1,'Исходник'!$1:$1,0)))</f>
        <v/>
      </c>
      <c r="AD594" s="27" t="str">
        <f t="shared" si="13"/>
        <v/>
      </c>
      <c r="AE594" s="1" t="str">
        <f t="array" ref="AE594">IFERROR(INDEX('Исходник'!$1:$626,MATCH($A594,'Исходник'!$T:$T,0),MATCH(AE$1,'Исходник'!$1:$1,0)))</f>
        <v/>
      </c>
      <c r="AF594" s="1" t="str">
        <f t="array" ref="AF594">IFERROR(INDEX('Исходник'!$1:$626,MATCH($A594,'Исходник'!$T:$T,0),MATCH(AF$1,'Исходник'!$1:$1,0)))</f>
        <v/>
      </c>
      <c r="AG594" s="27" t="str">
        <f t="shared" si="14"/>
        <v/>
      </c>
      <c r="AH594" s="1" t="str">
        <f t="array" ref="AH594">IFERROR(INDEX('Исходник'!$1:$626,MATCH($A594,'Исходник'!$T:$T,0),MATCH(AH$1,'Исходник'!$1:$1,0)))</f>
        <v/>
      </c>
      <c r="AI594" s="1" t="str">
        <f t="array" ref="AI594">IFERROR(INDEX('Исходник'!$1:$626,MATCH($A594,'Исходник'!$T:$T,0),MATCH(AI$1,'Исходник'!$1:$1,0)))</f>
        <v/>
      </c>
      <c r="AJ594" s="18">
        <f t="shared" si="15"/>
        <v>0</v>
      </c>
    </row>
    <row r="595" ht="15.75" customHeight="1">
      <c r="A595" s="27"/>
      <c r="B595" s="1" t="str">
        <f t="array" ref="B595">IFERROR(INDEX('Исходник'!$1:$626,MATCH($A595,'Исходник'!$T:$T,0),MATCH(B$1,'Исходник'!$1:$1,0)))</f>
        <v/>
      </c>
      <c r="C595" s="1" t="str">
        <f t="array" ref="C595">IFERROR(INDEX('Исходник'!$1:$626,MATCH($A595,'Исходник'!$T:$T,0),MATCH(C$1,'Исходник'!$1:$1,0)))</f>
        <v/>
      </c>
      <c r="D595" s="1" t="str">
        <f t="array" ref="D595">IFERROR(INDEX('Исходник'!$1:$626,MATCH($A595,'Исходник'!$T:$T,0),MATCH(D$1,'Исходник'!$1:$1,0)))</f>
        <v/>
      </c>
      <c r="E595" s="1" t="str">
        <f t="array" ref="E595">IFERROR(INDEX('Исходник'!$1:$626,MATCH($A595,'Исходник'!$T:$T,0),MATCH(E$1,'Исходник'!$1:$1,0)))</f>
        <v/>
      </c>
      <c r="F595" s="1" t="str">
        <f t="array" ref="F595">IFERROR(INDEX('Исходник'!$1:$626,MATCH($A595,'Исходник'!$T:$T,0),MATCH(F$1,'Исходник'!$1:$1,0)))</f>
        <v/>
      </c>
      <c r="G595" s="1" t="str">
        <f t="array" ref="G595">IFERROR(INDEX('Исходник'!$1:$626,MATCH($A595,'Исходник'!$T:$T,0),MATCH(G$1,'Исходник'!$1:$1,0)))</f>
        <v/>
      </c>
      <c r="H595" s="27">
        <f t="shared" si="1"/>
        <v>0</v>
      </c>
      <c r="I595" s="27" t="str">
        <f t="shared" si="2"/>
        <v/>
      </c>
      <c r="J595" s="1" t="str">
        <f t="array" ref="J595">IFERROR(INDEX('Исходник'!$1:$626,MATCH($A595,'Исходник'!$T:$T,0),MATCH(J$1,'Исходник'!$1:$1,0)))</f>
        <v/>
      </c>
      <c r="K595" s="27" t="str">
        <f t="shared" si="3"/>
        <v/>
      </c>
      <c r="L595" s="1" t="str">
        <f t="array" ref="L595">IFERROR(INDEX('Исходник'!$1:$626,MATCH($A595,'Исходник'!$T:$T,0),MATCH(L$1,'Исходник'!$1:$1,0)))</f>
        <v/>
      </c>
      <c r="M595" s="28">
        <f t="shared" si="4"/>
        <v>0</v>
      </c>
      <c r="N595" s="1" t="str">
        <f t="array" ref="N595">IFERROR(INDEX('Исходник'!$1:$626,MATCH($A595,'Исходник'!$T:$T,0),MATCH(N$1,'Исходник'!$1:$1,0)))</f>
        <v/>
      </c>
      <c r="O595" s="27">
        <f t="shared" si="5"/>
        <v>0</v>
      </c>
      <c r="P595" s="27" t="str">
        <f t="shared" si="6"/>
        <v/>
      </c>
      <c r="Q595" s="1" t="str">
        <f t="array" ref="Q595">IFERROR(INDEX('Исходник'!$1:$626,MATCH($A595,'Исходник'!$T:$T,0),MATCH(Q$1,'Исходник'!$1:$1,0)))</f>
        <v/>
      </c>
      <c r="R595" s="1" t="str">
        <f t="array" ref="R595">IFERROR(INDEX('Исходник'!$1:$626,MATCH($A595,'Исходник'!$T:$T,0),MATCH(R$1,'Исходник'!$1:$1,0)))</f>
        <v/>
      </c>
      <c r="S595" s="27">
        <f t="shared" si="7"/>
        <v>0</v>
      </c>
      <c r="T595" s="27" t="str">
        <f t="shared" si="8"/>
        <v/>
      </c>
      <c r="U595" s="1" t="str">
        <f t="array" ref="U595">IFERROR(INDEX('Исходник'!$1:$626,MATCH($A595,'Исходник'!$T:$T,0),MATCH(U$1,'Исходник'!$1:$1,0)))</f>
        <v/>
      </c>
      <c r="V595" s="27" t="str">
        <f t="shared" si="9"/>
        <v/>
      </c>
      <c r="W595" s="1" t="str">
        <f t="array" ref="W595">IFERROR(INDEX('Исходник'!$1:$626,MATCH($A595,'Исходник'!$T:$T,0),MATCH(W$1,'Исходник'!$1:$1,0)))</f>
        <v/>
      </c>
      <c r="X595" s="28">
        <f t="shared" si="10"/>
        <v>0</v>
      </c>
      <c r="Y595" s="1" t="str">
        <f t="array" ref="Y595">IFERROR(INDEX('Исходник'!$1:$626,MATCH($A595,'Исходник'!$T:$T,0),MATCH(Y$1,'Исходник'!$1:$1,0)))</f>
        <v/>
      </c>
      <c r="Z595" s="27">
        <f t="shared" si="11"/>
        <v>0</v>
      </c>
      <c r="AA595" s="27" t="str">
        <f t="shared" si="12"/>
        <v/>
      </c>
      <c r="AB595" s="1" t="str">
        <f t="array" ref="AB595">IFERROR(INDEX('Исходник'!$1:$626,MATCH($A595,'Исходник'!$T:$T,0),MATCH(AB$1,'Исходник'!$1:$1,0)))</f>
        <v/>
      </c>
      <c r="AC595" s="1" t="str">
        <f t="array" ref="AC595">IFERROR(INDEX('Исходник'!$1:$626,MATCH($A595,'Исходник'!$T:$T,0),MATCH(AC$1,'Исходник'!$1:$1,0)))</f>
        <v/>
      </c>
      <c r="AD595" s="27" t="str">
        <f t="shared" si="13"/>
        <v/>
      </c>
      <c r="AE595" s="1" t="str">
        <f t="array" ref="AE595">IFERROR(INDEX('Исходник'!$1:$626,MATCH($A595,'Исходник'!$T:$T,0),MATCH(AE$1,'Исходник'!$1:$1,0)))</f>
        <v/>
      </c>
      <c r="AF595" s="1" t="str">
        <f t="array" ref="AF595">IFERROR(INDEX('Исходник'!$1:$626,MATCH($A595,'Исходник'!$T:$T,0),MATCH(AF$1,'Исходник'!$1:$1,0)))</f>
        <v/>
      </c>
      <c r="AG595" s="27" t="str">
        <f t="shared" si="14"/>
        <v/>
      </c>
      <c r="AH595" s="1" t="str">
        <f t="array" ref="AH595">IFERROR(INDEX('Исходник'!$1:$626,MATCH($A595,'Исходник'!$T:$T,0),MATCH(AH$1,'Исходник'!$1:$1,0)))</f>
        <v/>
      </c>
      <c r="AI595" s="1" t="str">
        <f t="array" ref="AI595">IFERROR(INDEX('Исходник'!$1:$626,MATCH($A595,'Исходник'!$T:$T,0),MATCH(AI$1,'Исходник'!$1:$1,0)))</f>
        <v/>
      </c>
      <c r="AJ595" s="18">
        <f t="shared" si="15"/>
        <v>0</v>
      </c>
    </row>
    <row r="596" ht="15.75" customHeight="1">
      <c r="A596" s="27"/>
      <c r="B596" s="1" t="str">
        <f t="array" ref="B596">IFERROR(INDEX('Исходник'!$1:$626,MATCH($A596,'Исходник'!$T:$T,0),MATCH(B$1,'Исходник'!$1:$1,0)))</f>
        <v/>
      </c>
      <c r="C596" s="1" t="str">
        <f t="array" ref="C596">IFERROR(INDEX('Исходник'!$1:$626,MATCH($A596,'Исходник'!$T:$T,0),MATCH(C$1,'Исходник'!$1:$1,0)))</f>
        <v/>
      </c>
      <c r="D596" s="1" t="str">
        <f t="array" ref="D596">IFERROR(INDEX('Исходник'!$1:$626,MATCH($A596,'Исходник'!$T:$T,0),MATCH(D$1,'Исходник'!$1:$1,0)))</f>
        <v/>
      </c>
      <c r="E596" s="1" t="str">
        <f t="array" ref="E596">IFERROR(INDEX('Исходник'!$1:$626,MATCH($A596,'Исходник'!$T:$T,0),MATCH(E$1,'Исходник'!$1:$1,0)))</f>
        <v/>
      </c>
      <c r="F596" s="1" t="str">
        <f t="array" ref="F596">IFERROR(INDEX('Исходник'!$1:$626,MATCH($A596,'Исходник'!$T:$T,0),MATCH(F$1,'Исходник'!$1:$1,0)))</f>
        <v/>
      </c>
      <c r="G596" s="1" t="str">
        <f t="array" ref="G596">IFERROR(INDEX('Исходник'!$1:$626,MATCH($A596,'Исходник'!$T:$T,0),MATCH(G$1,'Исходник'!$1:$1,0)))</f>
        <v/>
      </c>
      <c r="H596" s="27">
        <f t="shared" si="1"/>
        <v>0</v>
      </c>
      <c r="I596" s="27" t="str">
        <f t="shared" si="2"/>
        <v/>
      </c>
      <c r="J596" s="1" t="str">
        <f t="array" ref="J596">IFERROR(INDEX('Исходник'!$1:$626,MATCH($A596,'Исходник'!$T:$T,0),MATCH(J$1,'Исходник'!$1:$1,0)))</f>
        <v/>
      </c>
      <c r="K596" s="27" t="str">
        <f t="shared" si="3"/>
        <v/>
      </c>
      <c r="L596" s="1" t="str">
        <f t="array" ref="L596">IFERROR(INDEX('Исходник'!$1:$626,MATCH($A596,'Исходник'!$T:$T,0),MATCH(L$1,'Исходник'!$1:$1,0)))</f>
        <v/>
      </c>
      <c r="M596" s="28">
        <f t="shared" si="4"/>
        <v>0</v>
      </c>
      <c r="N596" s="1" t="str">
        <f t="array" ref="N596">IFERROR(INDEX('Исходник'!$1:$626,MATCH($A596,'Исходник'!$T:$T,0),MATCH(N$1,'Исходник'!$1:$1,0)))</f>
        <v/>
      </c>
      <c r="O596" s="27">
        <f t="shared" si="5"/>
        <v>0</v>
      </c>
      <c r="P596" s="27" t="str">
        <f t="shared" si="6"/>
        <v/>
      </c>
      <c r="Q596" s="1" t="str">
        <f t="array" ref="Q596">IFERROR(INDEX('Исходник'!$1:$626,MATCH($A596,'Исходник'!$T:$T,0),MATCH(Q$1,'Исходник'!$1:$1,0)))</f>
        <v/>
      </c>
      <c r="R596" s="1" t="str">
        <f t="array" ref="R596">IFERROR(INDEX('Исходник'!$1:$626,MATCH($A596,'Исходник'!$T:$T,0),MATCH(R$1,'Исходник'!$1:$1,0)))</f>
        <v/>
      </c>
      <c r="S596" s="27">
        <f t="shared" si="7"/>
        <v>0</v>
      </c>
      <c r="T596" s="27" t="str">
        <f t="shared" si="8"/>
        <v/>
      </c>
      <c r="U596" s="1" t="str">
        <f t="array" ref="U596">IFERROR(INDEX('Исходник'!$1:$626,MATCH($A596,'Исходник'!$T:$T,0),MATCH(U$1,'Исходник'!$1:$1,0)))</f>
        <v/>
      </c>
      <c r="V596" s="27" t="str">
        <f t="shared" si="9"/>
        <v/>
      </c>
      <c r="W596" s="1" t="str">
        <f t="array" ref="W596">IFERROR(INDEX('Исходник'!$1:$626,MATCH($A596,'Исходник'!$T:$T,0),MATCH(W$1,'Исходник'!$1:$1,0)))</f>
        <v/>
      </c>
      <c r="X596" s="28">
        <f t="shared" si="10"/>
        <v>0</v>
      </c>
      <c r="Y596" s="1" t="str">
        <f t="array" ref="Y596">IFERROR(INDEX('Исходник'!$1:$626,MATCH($A596,'Исходник'!$T:$T,0),MATCH(Y$1,'Исходник'!$1:$1,0)))</f>
        <v/>
      </c>
      <c r="Z596" s="27">
        <f t="shared" si="11"/>
        <v>0</v>
      </c>
      <c r="AA596" s="27" t="str">
        <f t="shared" si="12"/>
        <v/>
      </c>
      <c r="AB596" s="1" t="str">
        <f t="array" ref="AB596">IFERROR(INDEX('Исходник'!$1:$626,MATCH($A596,'Исходник'!$T:$T,0),MATCH(AB$1,'Исходник'!$1:$1,0)))</f>
        <v/>
      </c>
      <c r="AC596" s="1" t="str">
        <f t="array" ref="AC596">IFERROR(INDEX('Исходник'!$1:$626,MATCH($A596,'Исходник'!$T:$T,0),MATCH(AC$1,'Исходник'!$1:$1,0)))</f>
        <v/>
      </c>
      <c r="AD596" s="27" t="str">
        <f t="shared" si="13"/>
        <v/>
      </c>
      <c r="AE596" s="1" t="str">
        <f t="array" ref="AE596">IFERROR(INDEX('Исходник'!$1:$626,MATCH($A596,'Исходник'!$T:$T,0),MATCH(AE$1,'Исходник'!$1:$1,0)))</f>
        <v/>
      </c>
      <c r="AF596" s="1" t="str">
        <f t="array" ref="AF596">IFERROR(INDEX('Исходник'!$1:$626,MATCH($A596,'Исходник'!$T:$T,0),MATCH(AF$1,'Исходник'!$1:$1,0)))</f>
        <v/>
      </c>
      <c r="AG596" s="27" t="str">
        <f t="shared" si="14"/>
        <v/>
      </c>
      <c r="AH596" s="1" t="str">
        <f t="array" ref="AH596">IFERROR(INDEX('Исходник'!$1:$626,MATCH($A596,'Исходник'!$T:$T,0),MATCH(AH$1,'Исходник'!$1:$1,0)))</f>
        <v/>
      </c>
      <c r="AI596" s="1" t="str">
        <f t="array" ref="AI596">IFERROR(INDEX('Исходник'!$1:$626,MATCH($A596,'Исходник'!$T:$T,0),MATCH(AI$1,'Исходник'!$1:$1,0)))</f>
        <v/>
      </c>
      <c r="AJ596" s="18">
        <f t="shared" si="15"/>
        <v>0</v>
      </c>
    </row>
    <row r="597" ht="15.75" customHeight="1">
      <c r="A597" s="27"/>
      <c r="B597" s="1" t="str">
        <f t="array" ref="B597">IFERROR(INDEX('Исходник'!$1:$626,MATCH($A597,'Исходник'!$T:$T,0),MATCH(B$1,'Исходник'!$1:$1,0)))</f>
        <v/>
      </c>
      <c r="C597" s="1" t="str">
        <f t="array" ref="C597">IFERROR(INDEX('Исходник'!$1:$626,MATCH($A597,'Исходник'!$T:$T,0),MATCH(C$1,'Исходник'!$1:$1,0)))</f>
        <v/>
      </c>
      <c r="D597" s="1" t="str">
        <f t="array" ref="D597">IFERROR(INDEX('Исходник'!$1:$626,MATCH($A597,'Исходник'!$T:$T,0),MATCH(D$1,'Исходник'!$1:$1,0)))</f>
        <v/>
      </c>
      <c r="E597" s="1" t="str">
        <f t="array" ref="E597">IFERROR(INDEX('Исходник'!$1:$626,MATCH($A597,'Исходник'!$T:$T,0),MATCH(E$1,'Исходник'!$1:$1,0)))</f>
        <v/>
      </c>
      <c r="F597" s="1" t="str">
        <f t="array" ref="F597">IFERROR(INDEX('Исходник'!$1:$626,MATCH($A597,'Исходник'!$T:$T,0),MATCH(F$1,'Исходник'!$1:$1,0)))</f>
        <v/>
      </c>
      <c r="G597" s="1" t="str">
        <f t="array" ref="G597">IFERROR(INDEX('Исходник'!$1:$626,MATCH($A597,'Исходник'!$T:$T,0),MATCH(G$1,'Исходник'!$1:$1,0)))</f>
        <v/>
      </c>
      <c r="H597" s="27">
        <f t="shared" si="1"/>
        <v>0</v>
      </c>
      <c r="I597" s="27" t="str">
        <f t="shared" si="2"/>
        <v/>
      </c>
      <c r="J597" s="1" t="str">
        <f t="array" ref="J597">IFERROR(INDEX('Исходник'!$1:$626,MATCH($A597,'Исходник'!$T:$T,0),MATCH(J$1,'Исходник'!$1:$1,0)))</f>
        <v/>
      </c>
      <c r="K597" s="27" t="str">
        <f t="shared" si="3"/>
        <v/>
      </c>
      <c r="L597" s="1" t="str">
        <f t="array" ref="L597">IFERROR(INDEX('Исходник'!$1:$626,MATCH($A597,'Исходник'!$T:$T,0),MATCH(L$1,'Исходник'!$1:$1,0)))</f>
        <v/>
      </c>
      <c r="M597" s="28">
        <f t="shared" si="4"/>
        <v>0</v>
      </c>
      <c r="N597" s="1" t="str">
        <f t="array" ref="N597">IFERROR(INDEX('Исходник'!$1:$626,MATCH($A597,'Исходник'!$T:$T,0),MATCH(N$1,'Исходник'!$1:$1,0)))</f>
        <v/>
      </c>
      <c r="O597" s="27">
        <f t="shared" si="5"/>
        <v>0</v>
      </c>
      <c r="P597" s="27" t="str">
        <f t="shared" si="6"/>
        <v/>
      </c>
      <c r="Q597" s="1" t="str">
        <f t="array" ref="Q597">IFERROR(INDEX('Исходник'!$1:$626,MATCH($A597,'Исходник'!$T:$T,0),MATCH(Q$1,'Исходник'!$1:$1,0)))</f>
        <v/>
      </c>
      <c r="R597" s="1" t="str">
        <f t="array" ref="R597">IFERROR(INDEX('Исходник'!$1:$626,MATCH($A597,'Исходник'!$T:$T,0),MATCH(R$1,'Исходник'!$1:$1,0)))</f>
        <v/>
      </c>
      <c r="S597" s="27">
        <f t="shared" si="7"/>
        <v>0</v>
      </c>
      <c r="T597" s="27" t="str">
        <f t="shared" si="8"/>
        <v/>
      </c>
      <c r="U597" s="1" t="str">
        <f t="array" ref="U597">IFERROR(INDEX('Исходник'!$1:$626,MATCH($A597,'Исходник'!$T:$T,0),MATCH(U$1,'Исходник'!$1:$1,0)))</f>
        <v/>
      </c>
      <c r="V597" s="27" t="str">
        <f t="shared" si="9"/>
        <v/>
      </c>
      <c r="W597" s="1" t="str">
        <f t="array" ref="W597">IFERROR(INDEX('Исходник'!$1:$626,MATCH($A597,'Исходник'!$T:$T,0),MATCH(W$1,'Исходник'!$1:$1,0)))</f>
        <v/>
      </c>
      <c r="X597" s="28">
        <f t="shared" si="10"/>
        <v>0</v>
      </c>
      <c r="Y597" s="1" t="str">
        <f t="array" ref="Y597">IFERROR(INDEX('Исходник'!$1:$626,MATCH($A597,'Исходник'!$T:$T,0),MATCH(Y$1,'Исходник'!$1:$1,0)))</f>
        <v/>
      </c>
      <c r="Z597" s="27">
        <f t="shared" si="11"/>
        <v>0</v>
      </c>
      <c r="AA597" s="27" t="str">
        <f t="shared" si="12"/>
        <v/>
      </c>
      <c r="AB597" s="1" t="str">
        <f t="array" ref="AB597">IFERROR(INDEX('Исходник'!$1:$626,MATCH($A597,'Исходник'!$T:$T,0),MATCH(AB$1,'Исходник'!$1:$1,0)))</f>
        <v/>
      </c>
      <c r="AC597" s="1" t="str">
        <f t="array" ref="AC597">IFERROR(INDEX('Исходник'!$1:$626,MATCH($A597,'Исходник'!$T:$T,0),MATCH(AC$1,'Исходник'!$1:$1,0)))</f>
        <v/>
      </c>
      <c r="AD597" s="27" t="str">
        <f t="shared" si="13"/>
        <v/>
      </c>
      <c r="AE597" s="1" t="str">
        <f t="array" ref="AE597">IFERROR(INDEX('Исходник'!$1:$626,MATCH($A597,'Исходник'!$T:$T,0),MATCH(AE$1,'Исходник'!$1:$1,0)))</f>
        <v/>
      </c>
      <c r="AF597" s="1" t="str">
        <f t="array" ref="AF597">IFERROR(INDEX('Исходник'!$1:$626,MATCH($A597,'Исходник'!$T:$T,0),MATCH(AF$1,'Исходник'!$1:$1,0)))</f>
        <v/>
      </c>
      <c r="AG597" s="27" t="str">
        <f t="shared" si="14"/>
        <v/>
      </c>
      <c r="AH597" s="1" t="str">
        <f t="array" ref="AH597">IFERROR(INDEX('Исходник'!$1:$626,MATCH($A597,'Исходник'!$T:$T,0),MATCH(AH$1,'Исходник'!$1:$1,0)))</f>
        <v/>
      </c>
      <c r="AI597" s="1" t="str">
        <f t="array" ref="AI597">IFERROR(INDEX('Исходник'!$1:$626,MATCH($A597,'Исходник'!$T:$T,0),MATCH(AI$1,'Исходник'!$1:$1,0)))</f>
        <v/>
      </c>
      <c r="AJ597" s="18">
        <f t="shared" si="15"/>
        <v>0</v>
      </c>
    </row>
    <row r="598" ht="15.75" customHeight="1">
      <c r="A598" s="27"/>
      <c r="B598" s="1" t="str">
        <f t="array" ref="B598">IFERROR(INDEX('Исходник'!$1:$626,MATCH($A598,'Исходник'!$T:$T,0),MATCH(B$1,'Исходник'!$1:$1,0)))</f>
        <v/>
      </c>
      <c r="C598" s="1" t="str">
        <f t="array" ref="C598">IFERROR(INDEX('Исходник'!$1:$626,MATCH($A598,'Исходник'!$T:$T,0),MATCH(C$1,'Исходник'!$1:$1,0)))</f>
        <v/>
      </c>
      <c r="D598" s="1" t="str">
        <f t="array" ref="D598">IFERROR(INDEX('Исходник'!$1:$626,MATCH($A598,'Исходник'!$T:$T,0),MATCH(D$1,'Исходник'!$1:$1,0)))</f>
        <v/>
      </c>
      <c r="E598" s="1" t="str">
        <f t="array" ref="E598">IFERROR(INDEX('Исходник'!$1:$626,MATCH($A598,'Исходник'!$T:$T,0),MATCH(E$1,'Исходник'!$1:$1,0)))</f>
        <v/>
      </c>
      <c r="F598" s="1" t="str">
        <f t="array" ref="F598">IFERROR(INDEX('Исходник'!$1:$626,MATCH($A598,'Исходник'!$T:$T,0),MATCH(F$1,'Исходник'!$1:$1,0)))</f>
        <v/>
      </c>
      <c r="G598" s="1" t="str">
        <f t="array" ref="G598">IFERROR(INDEX('Исходник'!$1:$626,MATCH($A598,'Исходник'!$T:$T,0),MATCH(G$1,'Исходник'!$1:$1,0)))</f>
        <v/>
      </c>
      <c r="H598" s="27">
        <f t="shared" si="1"/>
        <v>0</v>
      </c>
      <c r="I598" s="27" t="str">
        <f t="shared" si="2"/>
        <v/>
      </c>
      <c r="J598" s="1" t="str">
        <f t="array" ref="J598">IFERROR(INDEX('Исходник'!$1:$626,MATCH($A598,'Исходник'!$T:$T,0),MATCH(J$1,'Исходник'!$1:$1,0)))</f>
        <v/>
      </c>
      <c r="K598" s="27" t="str">
        <f t="shared" si="3"/>
        <v/>
      </c>
      <c r="L598" s="1" t="str">
        <f t="array" ref="L598">IFERROR(INDEX('Исходник'!$1:$626,MATCH($A598,'Исходник'!$T:$T,0),MATCH(L$1,'Исходник'!$1:$1,0)))</f>
        <v/>
      </c>
      <c r="M598" s="28">
        <f t="shared" si="4"/>
        <v>0</v>
      </c>
      <c r="N598" s="1" t="str">
        <f t="array" ref="N598">IFERROR(INDEX('Исходник'!$1:$626,MATCH($A598,'Исходник'!$T:$T,0),MATCH(N$1,'Исходник'!$1:$1,0)))</f>
        <v/>
      </c>
      <c r="O598" s="27">
        <f t="shared" si="5"/>
        <v>0</v>
      </c>
      <c r="P598" s="27" t="str">
        <f t="shared" si="6"/>
        <v/>
      </c>
      <c r="Q598" s="1" t="str">
        <f t="array" ref="Q598">IFERROR(INDEX('Исходник'!$1:$626,MATCH($A598,'Исходник'!$T:$T,0),MATCH(Q$1,'Исходник'!$1:$1,0)))</f>
        <v/>
      </c>
      <c r="R598" s="1" t="str">
        <f t="array" ref="R598">IFERROR(INDEX('Исходник'!$1:$626,MATCH($A598,'Исходник'!$T:$T,0),MATCH(R$1,'Исходник'!$1:$1,0)))</f>
        <v/>
      </c>
      <c r="S598" s="27">
        <f t="shared" si="7"/>
        <v>0</v>
      </c>
      <c r="T598" s="27" t="str">
        <f t="shared" si="8"/>
        <v/>
      </c>
      <c r="U598" s="1" t="str">
        <f t="array" ref="U598">IFERROR(INDEX('Исходник'!$1:$626,MATCH($A598,'Исходник'!$T:$T,0),MATCH(U$1,'Исходник'!$1:$1,0)))</f>
        <v/>
      </c>
      <c r="V598" s="27" t="str">
        <f t="shared" si="9"/>
        <v/>
      </c>
      <c r="W598" s="1" t="str">
        <f t="array" ref="W598">IFERROR(INDEX('Исходник'!$1:$626,MATCH($A598,'Исходник'!$T:$T,0),MATCH(W$1,'Исходник'!$1:$1,0)))</f>
        <v/>
      </c>
      <c r="X598" s="28">
        <f t="shared" si="10"/>
        <v>0</v>
      </c>
      <c r="Y598" s="1" t="str">
        <f t="array" ref="Y598">IFERROR(INDEX('Исходник'!$1:$626,MATCH($A598,'Исходник'!$T:$T,0),MATCH(Y$1,'Исходник'!$1:$1,0)))</f>
        <v/>
      </c>
      <c r="Z598" s="27">
        <f t="shared" si="11"/>
        <v>0</v>
      </c>
      <c r="AA598" s="27" t="str">
        <f t="shared" si="12"/>
        <v/>
      </c>
      <c r="AB598" s="1" t="str">
        <f t="array" ref="AB598">IFERROR(INDEX('Исходник'!$1:$626,MATCH($A598,'Исходник'!$T:$T,0),MATCH(AB$1,'Исходник'!$1:$1,0)))</f>
        <v/>
      </c>
      <c r="AC598" s="1" t="str">
        <f t="array" ref="AC598">IFERROR(INDEX('Исходник'!$1:$626,MATCH($A598,'Исходник'!$T:$T,0),MATCH(AC$1,'Исходник'!$1:$1,0)))</f>
        <v/>
      </c>
      <c r="AD598" s="27" t="str">
        <f t="shared" si="13"/>
        <v/>
      </c>
      <c r="AE598" s="1" t="str">
        <f t="array" ref="AE598">IFERROR(INDEX('Исходник'!$1:$626,MATCH($A598,'Исходник'!$T:$T,0),MATCH(AE$1,'Исходник'!$1:$1,0)))</f>
        <v/>
      </c>
      <c r="AF598" s="1" t="str">
        <f t="array" ref="AF598">IFERROR(INDEX('Исходник'!$1:$626,MATCH($A598,'Исходник'!$T:$T,0),MATCH(AF$1,'Исходник'!$1:$1,0)))</f>
        <v/>
      </c>
      <c r="AG598" s="27" t="str">
        <f t="shared" si="14"/>
        <v/>
      </c>
      <c r="AH598" s="1" t="str">
        <f t="array" ref="AH598">IFERROR(INDEX('Исходник'!$1:$626,MATCH($A598,'Исходник'!$T:$T,0),MATCH(AH$1,'Исходник'!$1:$1,0)))</f>
        <v/>
      </c>
      <c r="AI598" s="1" t="str">
        <f t="array" ref="AI598">IFERROR(INDEX('Исходник'!$1:$626,MATCH($A598,'Исходник'!$T:$T,0),MATCH(AI$1,'Исходник'!$1:$1,0)))</f>
        <v/>
      </c>
      <c r="AJ598" s="18">
        <f t="shared" si="15"/>
        <v>0</v>
      </c>
    </row>
    <row r="599" ht="15.75" customHeight="1">
      <c r="A599" s="27"/>
      <c r="B599" s="1" t="str">
        <f t="array" ref="B599">IFERROR(INDEX('Исходник'!$1:$626,MATCH($A599,'Исходник'!$T:$T,0),MATCH(B$1,'Исходник'!$1:$1,0)))</f>
        <v/>
      </c>
      <c r="C599" s="1" t="str">
        <f t="array" ref="C599">IFERROR(INDEX('Исходник'!$1:$626,MATCH($A599,'Исходник'!$T:$T,0),MATCH(C$1,'Исходник'!$1:$1,0)))</f>
        <v/>
      </c>
      <c r="D599" s="1" t="str">
        <f t="array" ref="D599">IFERROR(INDEX('Исходник'!$1:$626,MATCH($A599,'Исходник'!$T:$T,0),MATCH(D$1,'Исходник'!$1:$1,0)))</f>
        <v/>
      </c>
      <c r="E599" s="1" t="str">
        <f t="array" ref="E599">IFERROR(INDEX('Исходник'!$1:$626,MATCH($A599,'Исходник'!$T:$T,0),MATCH(E$1,'Исходник'!$1:$1,0)))</f>
        <v/>
      </c>
      <c r="F599" s="1" t="str">
        <f t="array" ref="F599">IFERROR(INDEX('Исходник'!$1:$626,MATCH($A599,'Исходник'!$T:$T,0),MATCH(F$1,'Исходник'!$1:$1,0)))</f>
        <v/>
      </c>
      <c r="G599" s="1" t="str">
        <f t="array" ref="G599">IFERROR(INDEX('Исходник'!$1:$626,MATCH($A599,'Исходник'!$T:$T,0),MATCH(G$1,'Исходник'!$1:$1,0)))</f>
        <v/>
      </c>
      <c r="H599" s="27">
        <f t="shared" si="1"/>
        <v>0</v>
      </c>
      <c r="I599" s="27" t="str">
        <f t="shared" si="2"/>
        <v/>
      </c>
      <c r="J599" s="1" t="str">
        <f t="array" ref="J599">IFERROR(INDEX('Исходник'!$1:$626,MATCH($A599,'Исходник'!$T:$T,0),MATCH(J$1,'Исходник'!$1:$1,0)))</f>
        <v/>
      </c>
      <c r="K599" s="27" t="str">
        <f t="shared" si="3"/>
        <v/>
      </c>
      <c r="L599" s="1" t="str">
        <f t="array" ref="L599">IFERROR(INDEX('Исходник'!$1:$626,MATCH($A599,'Исходник'!$T:$T,0),MATCH(L$1,'Исходник'!$1:$1,0)))</f>
        <v/>
      </c>
      <c r="M599" s="28">
        <f t="shared" si="4"/>
        <v>0</v>
      </c>
      <c r="N599" s="1" t="str">
        <f t="array" ref="N599">IFERROR(INDEX('Исходник'!$1:$626,MATCH($A599,'Исходник'!$T:$T,0),MATCH(N$1,'Исходник'!$1:$1,0)))</f>
        <v/>
      </c>
      <c r="O599" s="27">
        <f t="shared" si="5"/>
        <v>0</v>
      </c>
      <c r="P599" s="27" t="str">
        <f t="shared" si="6"/>
        <v/>
      </c>
      <c r="Q599" s="1" t="str">
        <f t="array" ref="Q599">IFERROR(INDEX('Исходник'!$1:$626,MATCH($A599,'Исходник'!$T:$T,0),MATCH(Q$1,'Исходник'!$1:$1,0)))</f>
        <v/>
      </c>
      <c r="R599" s="1" t="str">
        <f t="array" ref="R599">IFERROR(INDEX('Исходник'!$1:$626,MATCH($A599,'Исходник'!$T:$T,0),MATCH(R$1,'Исходник'!$1:$1,0)))</f>
        <v/>
      </c>
      <c r="S599" s="27">
        <f t="shared" si="7"/>
        <v>0</v>
      </c>
      <c r="T599" s="27" t="str">
        <f t="shared" si="8"/>
        <v/>
      </c>
      <c r="U599" s="1" t="str">
        <f t="array" ref="U599">IFERROR(INDEX('Исходник'!$1:$626,MATCH($A599,'Исходник'!$T:$T,0),MATCH(U$1,'Исходник'!$1:$1,0)))</f>
        <v/>
      </c>
      <c r="V599" s="27" t="str">
        <f t="shared" si="9"/>
        <v/>
      </c>
      <c r="W599" s="1" t="str">
        <f t="array" ref="W599">IFERROR(INDEX('Исходник'!$1:$626,MATCH($A599,'Исходник'!$T:$T,0),MATCH(W$1,'Исходник'!$1:$1,0)))</f>
        <v/>
      </c>
      <c r="X599" s="28">
        <f t="shared" si="10"/>
        <v>0</v>
      </c>
      <c r="Y599" s="1" t="str">
        <f t="array" ref="Y599">IFERROR(INDEX('Исходник'!$1:$626,MATCH($A599,'Исходник'!$T:$T,0),MATCH(Y$1,'Исходник'!$1:$1,0)))</f>
        <v/>
      </c>
      <c r="Z599" s="27">
        <f t="shared" si="11"/>
        <v>0</v>
      </c>
      <c r="AA599" s="27" t="str">
        <f t="shared" si="12"/>
        <v/>
      </c>
      <c r="AB599" s="1" t="str">
        <f t="array" ref="AB599">IFERROR(INDEX('Исходник'!$1:$626,MATCH($A599,'Исходник'!$T:$T,0),MATCH(AB$1,'Исходник'!$1:$1,0)))</f>
        <v/>
      </c>
      <c r="AC599" s="1" t="str">
        <f t="array" ref="AC599">IFERROR(INDEX('Исходник'!$1:$626,MATCH($A599,'Исходник'!$T:$T,0),MATCH(AC$1,'Исходник'!$1:$1,0)))</f>
        <v/>
      </c>
      <c r="AD599" s="27" t="str">
        <f t="shared" si="13"/>
        <v/>
      </c>
      <c r="AE599" s="1" t="str">
        <f t="array" ref="AE599">IFERROR(INDEX('Исходник'!$1:$626,MATCH($A599,'Исходник'!$T:$T,0),MATCH(AE$1,'Исходник'!$1:$1,0)))</f>
        <v/>
      </c>
      <c r="AF599" s="1" t="str">
        <f t="array" ref="AF599">IFERROR(INDEX('Исходник'!$1:$626,MATCH($A599,'Исходник'!$T:$T,0),MATCH(AF$1,'Исходник'!$1:$1,0)))</f>
        <v/>
      </c>
      <c r="AG599" s="27" t="str">
        <f t="shared" si="14"/>
        <v/>
      </c>
      <c r="AH599" s="1" t="str">
        <f t="array" ref="AH599">IFERROR(INDEX('Исходник'!$1:$626,MATCH($A599,'Исходник'!$T:$T,0),MATCH(AH$1,'Исходник'!$1:$1,0)))</f>
        <v/>
      </c>
      <c r="AI599" s="1" t="str">
        <f t="array" ref="AI599">IFERROR(INDEX('Исходник'!$1:$626,MATCH($A599,'Исходник'!$T:$T,0),MATCH(AI$1,'Исходник'!$1:$1,0)))</f>
        <v/>
      </c>
      <c r="AJ599" s="18">
        <f t="shared" si="15"/>
        <v>0</v>
      </c>
    </row>
    <row r="600" ht="15.75" customHeight="1">
      <c r="A600" s="27"/>
      <c r="B600" s="1" t="str">
        <f t="array" ref="B600">IFERROR(INDEX('Исходник'!$1:$626,MATCH($A600,'Исходник'!$T:$T,0),MATCH(B$1,'Исходник'!$1:$1,0)))</f>
        <v/>
      </c>
      <c r="C600" s="1" t="str">
        <f t="array" ref="C600">IFERROR(INDEX('Исходник'!$1:$626,MATCH($A600,'Исходник'!$T:$T,0),MATCH(C$1,'Исходник'!$1:$1,0)))</f>
        <v/>
      </c>
      <c r="D600" s="1" t="str">
        <f t="array" ref="D600">IFERROR(INDEX('Исходник'!$1:$626,MATCH($A600,'Исходник'!$T:$T,0),MATCH(D$1,'Исходник'!$1:$1,0)))</f>
        <v/>
      </c>
      <c r="E600" s="1" t="str">
        <f t="array" ref="E600">IFERROR(INDEX('Исходник'!$1:$626,MATCH($A600,'Исходник'!$T:$T,0),MATCH(E$1,'Исходник'!$1:$1,0)))</f>
        <v/>
      </c>
      <c r="F600" s="1" t="str">
        <f t="array" ref="F600">IFERROR(INDEX('Исходник'!$1:$626,MATCH($A600,'Исходник'!$T:$T,0),MATCH(F$1,'Исходник'!$1:$1,0)))</f>
        <v/>
      </c>
      <c r="G600" s="1" t="str">
        <f t="array" ref="G600">IFERROR(INDEX('Исходник'!$1:$626,MATCH($A600,'Исходник'!$T:$T,0),MATCH(G$1,'Исходник'!$1:$1,0)))</f>
        <v/>
      </c>
      <c r="H600" s="27">
        <f t="shared" si="1"/>
        <v>0</v>
      </c>
      <c r="I600" s="27" t="str">
        <f t="shared" si="2"/>
        <v/>
      </c>
      <c r="J600" s="1" t="str">
        <f t="array" ref="J600">IFERROR(INDEX('Исходник'!$1:$626,MATCH($A600,'Исходник'!$T:$T,0),MATCH(J$1,'Исходник'!$1:$1,0)))</f>
        <v/>
      </c>
      <c r="K600" s="27" t="str">
        <f t="shared" si="3"/>
        <v/>
      </c>
      <c r="L600" s="1" t="str">
        <f t="array" ref="L600">IFERROR(INDEX('Исходник'!$1:$626,MATCH($A600,'Исходник'!$T:$T,0),MATCH(L$1,'Исходник'!$1:$1,0)))</f>
        <v/>
      </c>
      <c r="M600" s="28">
        <f t="shared" si="4"/>
        <v>0</v>
      </c>
      <c r="N600" s="1" t="str">
        <f t="array" ref="N600">IFERROR(INDEX('Исходник'!$1:$626,MATCH($A600,'Исходник'!$T:$T,0),MATCH(N$1,'Исходник'!$1:$1,0)))</f>
        <v/>
      </c>
      <c r="O600" s="27">
        <f t="shared" si="5"/>
        <v>0</v>
      </c>
      <c r="P600" s="27" t="str">
        <f t="shared" si="6"/>
        <v/>
      </c>
      <c r="Q600" s="1" t="str">
        <f t="array" ref="Q600">IFERROR(INDEX('Исходник'!$1:$626,MATCH($A600,'Исходник'!$T:$T,0),MATCH(Q$1,'Исходник'!$1:$1,0)))</f>
        <v/>
      </c>
      <c r="R600" s="1" t="str">
        <f t="array" ref="R600">IFERROR(INDEX('Исходник'!$1:$626,MATCH($A600,'Исходник'!$T:$T,0),MATCH(R$1,'Исходник'!$1:$1,0)))</f>
        <v/>
      </c>
      <c r="S600" s="27">
        <f t="shared" si="7"/>
        <v>0</v>
      </c>
      <c r="T600" s="27" t="str">
        <f t="shared" si="8"/>
        <v/>
      </c>
      <c r="U600" s="1" t="str">
        <f t="array" ref="U600">IFERROR(INDEX('Исходник'!$1:$626,MATCH($A600,'Исходник'!$T:$T,0),MATCH(U$1,'Исходник'!$1:$1,0)))</f>
        <v/>
      </c>
      <c r="V600" s="27" t="str">
        <f t="shared" si="9"/>
        <v/>
      </c>
      <c r="W600" s="1" t="str">
        <f t="array" ref="W600">IFERROR(INDEX('Исходник'!$1:$626,MATCH($A600,'Исходник'!$T:$T,0),MATCH(W$1,'Исходник'!$1:$1,0)))</f>
        <v/>
      </c>
      <c r="X600" s="28">
        <f t="shared" si="10"/>
        <v>0</v>
      </c>
      <c r="Y600" s="1" t="str">
        <f t="array" ref="Y600">IFERROR(INDEX('Исходник'!$1:$626,MATCH($A600,'Исходник'!$T:$T,0),MATCH(Y$1,'Исходник'!$1:$1,0)))</f>
        <v/>
      </c>
      <c r="Z600" s="27">
        <f t="shared" si="11"/>
        <v>0</v>
      </c>
      <c r="AA600" s="27" t="str">
        <f t="shared" si="12"/>
        <v/>
      </c>
      <c r="AB600" s="1" t="str">
        <f t="array" ref="AB600">IFERROR(INDEX('Исходник'!$1:$626,MATCH($A600,'Исходник'!$T:$T,0),MATCH(AB$1,'Исходник'!$1:$1,0)))</f>
        <v/>
      </c>
      <c r="AC600" s="1" t="str">
        <f t="array" ref="AC600">IFERROR(INDEX('Исходник'!$1:$626,MATCH($A600,'Исходник'!$T:$T,0),MATCH(AC$1,'Исходник'!$1:$1,0)))</f>
        <v/>
      </c>
      <c r="AD600" s="27" t="str">
        <f t="shared" si="13"/>
        <v/>
      </c>
      <c r="AE600" s="1" t="str">
        <f t="array" ref="AE600">IFERROR(INDEX('Исходник'!$1:$626,MATCH($A600,'Исходник'!$T:$T,0),MATCH(AE$1,'Исходник'!$1:$1,0)))</f>
        <v/>
      </c>
      <c r="AF600" s="1" t="str">
        <f t="array" ref="AF600">IFERROR(INDEX('Исходник'!$1:$626,MATCH($A600,'Исходник'!$T:$T,0),MATCH(AF$1,'Исходник'!$1:$1,0)))</f>
        <v/>
      </c>
      <c r="AG600" s="27" t="str">
        <f t="shared" si="14"/>
        <v/>
      </c>
      <c r="AH600" s="1" t="str">
        <f t="array" ref="AH600">IFERROR(INDEX('Исходник'!$1:$626,MATCH($A600,'Исходник'!$T:$T,0),MATCH(AH$1,'Исходник'!$1:$1,0)))</f>
        <v/>
      </c>
      <c r="AI600" s="1" t="str">
        <f t="array" ref="AI600">IFERROR(INDEX('Исходник'!$1:$626,MATCH($A600,'Исходник'!$T:$T,0),MATCH(AI$1,'Исходник'!$1:$1,0)))</f>
        <v/>
      </c>
      <c r="AJ600" s="18">
        <f t="shared" si="15"/>
        <v>0</v>
      </c>
    </row>
    <row r="601" ht="15.75" customHeight="1">
      <c r="A601" s="27"/>
      <c r="B601" s="1" t="str">
        <f t="array" ref="B601">IFERROR(INDEX('Исходник'!$1:$626,MATCH($A601,'Исходник'!$T:$T,0),MATCH(B$1,'Исходник'!$1:$1,0)))</f>
        <v/>
      </c>
      <c r="C601" s="1" t="str">
        <f t="array" ref="C601">IFERROR(INDEX('Исходник'!$1:$626,MATCH($A601,'Исходник'!$T:$T,0),MATCH(C$1,'Исходник'!$1:$1,0)))</f>
        <v/>
      </c>
      <c r="D601" s="1" t="str">
        <f t="array" ref="D601">IFERROR(INDEX('Исходник'!$1:$626,MATCH($A601,'Исходник'!$T:$T,0),MATCH(D$1,'Исходник'!$1:$1,0)))</f>
        <v/>
      </c>
      <c r="E601" s="1" t="str">
        <f t="array" ref="E601">IFERROR(INDEX('Исходник'!$1:$626,MATCH($A601,'Исходник'!$T:$T,0),MATCH(E$1,'Исходник'!$1:$1,0)))</f>
        <v/>
      </c>
      <c r="F601" s="1" t="str">
        <f t="array" ref="F601">IFERROR(INDEX('Исходник'!$1:$626,MATCH($A601,'Исходник'!$T:$T,0),MATCH(F$1,'Исходник'!$1:$1,0)))</f>
        <v/>
      </c>
      <c r="G601" s="1" t="str">
        <f t="array" ref="G601">IFERROR(INDEX('Исходник'!$1:$626,MATCH($A601,'Исходник'!$T:$T,0),MATCH(G$1,'Исходник'!$1:$1,0)))</f>
        <v/>
      </c>
      <c r="H601" s="27">
        <f t="shared" si="1"/>
        <v>0</v>
      </c>
      <c r="I601" s="27" t="str">
        <f t="shared" si="2"/>
        <v/>
      </c>
      <c r="J601" s="1" t="str">
        <f t="array" ref="J601">IFERROR(INDEX('Исходник'!$1:$626,MATCH($A601,'Исходник'!$T:$T,0),MATCH(J$1,'Исходник'!$1:$1,0)))</f>
        <v/>
      </c>
      <c r="K601" s="27" t="str">
        <f t="shared" si="3"/>
        <v/>
      </c>
      <c r="L601" s="1" t="str">
        <f t="array" ref="L601">IFERROR(INDEX('Исходник'!$1:$626,MATCH($A601,'Исходник'!$T:$T,0),MATCH(L$1,'Исходник'!$1:$1,0)))</f>
        <v/>
      </c>
      <c r="M601" s="28">
        <f t="shared" si="4"/>
        <v>0</v>
      </c>
      <c r="N601" s="1" t="str">
        <f t="array" ref="N601">IFERROR(INDEX('Исходник'!$1:$626,MATCH($A601,'Исходник'!$T:$T,0),MATCH(N$1,'Исходник'!$1:$1,0)))</f>
        <v/>
      </c>
      <c r="O601" s="27">
        <f t="shared" si="5"/>
        <v>0</v>
      </c>
      <c r="P601" s="27" t="str">
        <f t="shared" si="6"/>
        <v/>
      </c>
      <c r="Q601" s="1" t="str">
        <f t="array" ref="Q601">IFERROR(INDEX('Исходник'!$1:$626,MATCH($A601,'Исходник'!$T:$T,0),MATCH(Q$1,'Исходник'!$1:$1,0)))</f>
        <v/>
      </c>
      <c r="R601" s="1" t="str">
        <f t="array" ref="R601">IFERROR(INDEX('Исходник'!$1:$626,MATCH($A601,'Исходник'!$T:$T,0),MATCH(R$1,'Исходник'!$1:$1,0)))</f>
        <v/>
      </c>
      <c r="S601" s="27">
        <f t="shared" si="7"/>
        <v>0</v>
      </c>
      <c r="T601" s="27" t="str">
        <f t="shared" si="8"/>
        <v/>
      </c>
      <c r="U601" s="1" t="str">
        <f t="array" ref="U601">IFERROR(INDEX('Исходник'!$1:$626,MATCH($A601,'Исходник'!$T:$T,0),MATCH(U$1,'Исходник'!$1:$1,0)))</f>
        <v/>
      </c>
      <c r="V601" s="27" t="str">
        <f t="shared" si="9"/>
        <v/>
      </c>
      <c r="W601" s="1" t="str">
        <f t="array" ref="W601">IFERROR(INDEX('Исходник'!$1:$626,MATCH($A601,'Исходник'!$T:$T,0),MATCH(W$1,'Исходник'!$1:$1,0)))</f>
        <v/>
      </c>
      <c r="X601" s="28">
        <f t="shared" si="10"/>
        <v>0</v>
      </c>
      <c r="Y601" s="1" t="str">
        <f t="array" ref="Y601">IFERROR(INDEX('Исходник'!$1:$626,MATCH($A601,'Исходник'!$T:$T,0),MATCH(Y$1,'Исходник'!$1:$1,0)))</f>
        <v/>
      </c>
      <c r="Z601" s="27">
        <f t="shared" si="11"/>
        <v>0</v>
      </c>
      <c r="AA601" s="27" t="str">
        <f t="shared" si="12"/>
        <v/>
      </c>
      <c r="AB601" s="1" t="str">
        <f t="array" ref="AB601">IFERROR(INDEX('Исходник'!$1:$626,MATCH($A601,'Исходник'!$T:$T,0),MATCH(AB$1,'Исходник'!$1:$1,0)))</f>
        <v/>
      </c>
      <c r="AC601" s="1" t="str">
        <f t="array" ref="AC601">IFERROR(INDEX('Исходник'!$1:$626,MATCH($A601,'Исходник'!$T:$T,0),MATCH(AC$1,'Исходник'!$1:$1,0)))</f>
        <v/>
      </c>
      <c r="AD601" s="27" t="str">
        <f t="shared" si="13"/>
        <v/>
      </c>
      <c r="AE601" s="1" t="str">
        <f t="array" ref="AE601">IFERROR(INDEX('Исходник'!$1:$626,MATCH($A601,'Исходник'!$T:$T,0),MATCH(AE$1,'Исходник'!$1:$1,0)))</f>
        <v/>
      </c>
      <c r="AF601" s="1" t="str">
        <f t="array" ref="AF601">IFERROR(INDEX('Исходник'!$1:$626,MATCH($A601,'Исходник'!$T:$T,0),MATCH(AF$1,'Исходник'!$1:$1,0)))</f>
        <v/>
      </c>
      <c r="AG601" s="27" t="str">
        <f t="shared" si="14"/>
        <v/>
      </c>
      <c r="AH601" s="1" t="str">
        <f t="array" ref="AH601">IFERROR(INDEX('Исходник'!$1:$626,MATCH($A601,'Исходник'!$T:$T,0),MATCH(AH$1,'Исходник'!$1:$1,0)))</f>
        <v/>
      </c>
      <c r="AI601" s="1" t="str">
        <f t="array" ref="AI601">IFERROR(INDEX('Исходник'!$1:$626,MATCH($A601,'Исходник'!$T:$T,0),MATCH(AI$1,'Исходник'!$1:$1,0)))</f>
        <v/>
      </c>
      <c r="AJ601" s="18">
        <f t="shared" si="15"/>
        <v>0</v>
      </c>
    </row>
    <row r="602" ht="15.75" customHeight="1">
      <c r="A602" s="27"/>
      <c r="B602" s="1" t="str">
        <f t="array" ref="B602">IFERROR(INDEX('Исходник'!$1:$626,MATCH($A602,'Исходник'!$T:$T,0),MATCH(B$1,'Исходник'!$1:$1,0)))</f>
        <v/>
      </c>
      <c r="C602" s="1" t="str">
        <f t="array" ref="C602">IFERROR(INDEX('Исходник'!$1:$626,MATCH($A602,'Исходник'!$T:$T,0),MATCH(C$1,'Исходник'!$1:$1,0)))</f>
        <v/>
      </c>
      <c r="D602" s="1" t="str">
        <f t="array" ref="D602">IFERROR(INDEX('Исходник'!$1:$626,MATCH($A602,'Исходник'!$T:$T,0),MATCH(D$1,'Исходник'!$1:$1,0)))</f>
        <v/>
      </c>
      <c r="E602" s="1" t="str">
        <f t="array" ref="E602">IFERROR(INDEX('Исходник'!$1:$626,MATCH($A602,'Исходник'!$T:$T,0),MATCH(E$1,'Исходник'!$1:$1,0)))</f>
        <v/>
      </c>
      <c r="F602" s="1" t="str">
        <f t="array" ref="F602">IFERROR(INDEX('Исходник'!$1:$626,MATCH($A602,'Исходник'!$T:$T,0),MATCH(F$1,'Исходник'!$1:$1,0)))</f>
        <v/>
      </c>
      <c r="G602" s="1" t="str">
        <f t="array" ref="G602">IFERROR(INDEX('Исходник'!$1:$626,MATCH($A602,'Исходник'!$T:$T,0),MATCH(G$1,'Исходник'!$1:$1,0)))</f>
        <v/>
      </c>
      <c r="H602" s="27">
        <f t="shared" si="1"/>
        <v>0</v>
      </c>
      <c r="I602" s="27" t="str">
        <f t="shared" si="2"/>
        <v/>
      </c>
      <c r="J602" s="1" t="str">
        <f t="array" ref="J602">IFERROR(INDEX('Исходник'!$1:$626,MATCH($A602,'Исходник'!$T:$T,0),MATCH(J$1,'Исходник'!$1:$1,0)))</f>
        <v/>
      </c>
      <c r="K602" s="27" t="str">
        <f t="shared" si="3"/>
        <v/>
      </c>
      <c r="L602" s="1" t="str">
        <f t="array" ref="L602">IFERROR(INDEX('Исходник'!$1:$626,MATCH($A602,'Исходник'!$T:$T,0),MATCH(L$1,'Исходник'!$1:$1,0)))</f>
        <v/>
      </c>
      <c r="M602" s="28">
        <f t="shared" si="4"/>
        <v>0</v>
      </c>
      <c r="N602" s="1" t="str">
        <f t="array" ref="N602">IFERROR(INDEX('Исходник'!$1:$626,MATCH($A602,'Исходник'!$T:$T,0),MATCH(N$1,'Исходник'!$1:$1,0)))</f>
        <v/>
      </c>
      <c r="O602" s="27">
        <f t="shared" si="5"/>
        <v>0</v>
      </c>
      <c r="P602" s="27" t="str">
        <f t="shared" si="6"/>
        <v/>
      </c>
      <c r="Q602" s="1" t="str">
        <f t="array" ref="Q602">IFERROR(INDEX('Исходник'!$1:$626,MATCH($A602,'Исходник'!$T:$T,0),MATCH(Q$1,'Исходник'!$1:$1,0)))</f>
        <v/>
      </c>
      <c r="R602" s="1" t="str">
        <f t="array" ref="R602">IFERROR(INDEX('Исходник'!$1:$626,MATCH($A602,'Исходник'!$T:$T,0),MATCH(R$1,'Исходник'!$1:$1,0)))</f>
        <v/>
      </c>
      <c r="S602" s="27">
        <f t="shared" si="7"/>
        <v>0</v>
      </c>
      <c r="T602" s="27" t="str">
        <f t="shared" si="8"/>
        <v/>
      </c>
      <c r="U602" s="1" t="str">
        <f t="array" ref="U602">IFERROR(INDEX('Исходник'!$1:$626,MATCH($A602,'Исходник'!$T:$T,0),MATCH(U$1,'Исходник'!$1:$1,0)))</f>
        <v/>
      </c>
      <c r="V602" s="27" t="str">
        <f t="shared" si="9"/>
        <v/>
      </c>
      <c r="W602" s="1" t="str">
        <f t="array" ref="W602">IFERROR(INDEX('Исходник'!$1:$626,MATCH($A602,'Исходник'!$T:$T,0),MATCH(W$1,'Исходник'!$1:$1,0)))</f>
        <v/>
      </c>
      <c r="X602" s="28">
        <f t="shared" si="10"/>
        <v>0</v>
      </c>
      <c r="Y602" s="1" t="str">
        <f t="array" ref="Y602">IFERROR(INDEX('Исходник'!$1:$626,MATCH($A602,'Исходник'!$T:$T,0),MATCH(Y$1,'Исходник'!$1:$1,0)))</f>
        <v/>
      </c>
      <c r="Z602" s="27">
        <f t="shared" si="11"/>
        <v>0</v>
      </c>
      <c r="AA602" s="27" t="str">
        <f t="shared" si="12"/>
        <v/>
      </c>
      <c r="AB602" s="1" t="str">
        <f t="array" ref="AB602">IFERROR(INDEX('Исходник'!$1:$626,MATCH($A602,'Исходник'!$T:$T,0),MATCH(AB$1,'Исходник'!$1:$1,0)))</f>
        <v/>
      </c>
      <c r="AC602" s="1" t="str">
        <f t="array" ref="AC602">IFERROR(INDEX('Исходник'!$1:$626,MATCH($A602,'Исходник'!$T:$T,0),MATCH(AC$1,'Исходник'!$1:$1,0)))</f>
        <v/>
      </c>
      <c r="AD602" s="27" t="str">
        <f t="shared" si="13"/>
        <v/>
      </c>
      <c r="AE602" s="1" t="str">
        <f t="array" ref="AE602">IFERROR(INDEX('Исходник'!$1:$626,MATCH($A602,'Исходник'!$T:$T,0),MATCH(AE$1,'Исходник'!$1:$1,0)))</f>
        <v/>
      </c>
      <c r="AF602" s="1" t="str">
        <f t="array" ref="AF602">IFERROR(INDEX('Исходник'!$1:$626,MATCH($A602,'Исходник'!$T:$T,0),MATCH(AF$1,'Исходник'!$1:$1,0)))</f>
        <v/>
      </c>
      <c r="AG602" s="27" t="str">
        <f t="shared" si="14"/>
        <v/>
      </c>
      <c r="AH602" s="1" t="str">
        <f t="array" ref="AH602">IFERROR(INDEX('Исходник'!$1:$626,MATCH($A602,'Исходник'!$T:$T,0),MATCH(AH$1,'Исходник'!$1:$1,0)))</f>
        <v/>
      </c>
      <c r="AI602" s="1" t="str">
        <f t="array" ref="AI602">IFERROR(INDEX('Исходник'!$1:$626,MATCH($A602,'Исходник'!$T:$T,0),MATCH(AI$1,'Исходник'!$1:$1,0)))</f>
        <v/>
      </c>
      <c r="AJ602" s="18">
        <f t="shared" si="15"/>
        <v>0</v>
      </c>
    </row>
    <row r="603" ht="15.75" customHeight="1">
      <c r="A603" s="27"/>
      <c r="B603" s="1" t="str">
        <f t="array" ref="B603">IFERROR(INDEX('Исходник'!$1:$626,MATCH($A603,'Исходник'!$T:$T,0),MATCH(B$1,'Исходник'!$1:$1,0)))</f>
        <v/>
      </c>
      <c r="C603" s="1" t="str">
        <f t="array" ref="C603">IFERROR(INDEX('Исходник'!$1:$626,MATCH($A603,'Исходник'!$T:$T,0),MATCH(C$1,'Исходник'!$1:$1,0)))</f>
        <v/>
      </c>
      <c r="D603" s="1" t="str">
        <f t="array" ref="D603">IFERROR(INDEX('Исходник'!$1:$626,MATCH($A603,'Исходник'!$T:$T,0),MATCH(D$1,'Исходник'!$1:$1,0)))</f>
        <v/>
      </c>
      <c r="E603" s="1" t="str">
        <f t="array" ref="E603">IFERROR(INDEX('Исходник'!$1:$626,MATCH($A603,'Исходник'!$T:$T,0),MATCH(E$1,'Исходник'!$1:$1,0)))</f>
        <v/>
      </c>
      <c r="F603" s="1" t="str">
        <f t="array" ref="F603">IFERROR(INDEX('Исходник'!$1:$626,MATCH($A603,'Исходник'!$T:$T,0),MATCH(F$1,'Исходник'!$1:$1,0)))</f>
        <v/>
      </c>
      <c r="G603" s="1" t="str">
        <f t="array" ref="G603">IFERROR(INDEX('Исходник'!$1:$626,MATCH($A603,'Исходник'!$T:$T,0),MATCH(G$1,'Исходник'!$1:$1,0)))</f>
        <v/>
      </c>
      <c r="H603" s="27">
        <f t="shared" si="1"/>
        <v>0</v>
      </c>
      <c r="I603" s="27" t="str">
        <f t="shared" si="2"/>
        <v/>
      </c>
      <c r="J603" s="1" t="str">
        <f t="array" ref="J603">IFERROR(INDEX('Исходник'!$1:$626,MATCH($A603,'Исходник'!$T:$T,0),MATCH(J$1,'Исходник'!$1:$1,0)))</f>
        <v/>
      </c>
      <c r="K603" s="27" t="str">
        <f t="shared" si="3"/>
        <v/>
      </c>
      <c r="L603" s="1" t="str">
        <f t="array" ref="L603">IFERROR(INDEX('Исходник'!$1:$626,MATCH($A603,'Исходник'!$T:$T,0),MATCH(L$1,'Исходник'!$1:$1,0)))</f>
        <v/>
      </c>
      <c r="M603" s="28">
        <f t="shared" si="4"/>
        <v>0</v>
      </c>
      <c r="N603" s="1" t="str">
        <f t="array" ref="N603">IFERROR(INDEX('Исходник'!$1:$626,MATCH($A603,'Исходник'!$T:$T,0),MATCH(N$1,'Исходник'!$1:$1,0)))</f>
        <v/>
      </c>
      <c r="O603" s="27">
        <f t="shared" si="5"/>
        <v>0</v>
      </c>
      <c r="P603" s="27" t="str">
        <f t="shared" si="6"/>
        <v/>
      </c>
      <c r="Q603" s="1" t="str">
        <f t="array" ref="Q603">IFERROR(INDEX('Исходник'!$1:$626,MATCH($A603,'Исходник'!$T:$T,0),MATCH(Q$1,'Исходник'!$1:$1,0)))</f>
        <v/>
      </c>
      <c r="R603" s="1" t="str">
        <f t="array" ref="R603">IFERROR(INDEX('Исходник'!$1:$626,MATCH($A603,'Исходник'!$T:$T,0),MATCH(R$1,'Исходник'!$1:$1,0)))</f>
        <v/>
      </c>
      <c r="S603" s="27">
        <f t="shared" si="7"/>
        <v>0</v>
      </c>
      <c r="T603" s="27" t="str">
        <f t="shared" si="8"/>
        <v/>
      </c>
      <c r="U603" s="1" t="str">
        <f t="array" ref="U603">IFERROR(INDEX('Исходник'!$1:$626,MATCH($A603,'Исходник'!$T:$T,0),MATCH(U$1,'Исходник'!$1:$1,0)))</f>
        <v/>
      </c>
      <c r="V603" s="27" t="str">
        <f t="shared" si="9"/>
        <v/>
      </c>
      <c r="W603" s="1" t="str">
        <f t="array" ref="W603">IFERROR(INDEX('Исходник'!$1:$626,MATCH($A603,'Исходник'!$T:$T,0),MATCH(W$1,'Исходник'!$1:$1,0)))</f>
        <v/>
      </c>
      <c r="X603" s="28">
        <f t="shared" si="10"/>
        <v>0</v>
      </c>
      <c r="Y603" s="1" t="str">
        <f t="array" ref="Y603">IFERROR(INDEX('Исходник'!$1:$626,MATCH($A603,'Исходник'!$T:$T,0),MATCH(Y$1,'Исходник'!$1:$1,0)))</f>
        <v/>
      </c>
      <c r="Z603" s="27">
        <f t="shared" si="11"/>
        <v>0</v>
      </c>
      <c r="AA603" s="27" t="str">
        <f t="shared" si="12"/>
        <v/>
      </c>
      <c r="AB603" s="1" t="str">
        <f t="array" ref="AB603">IFERROR(INDEX('Исходник'!$1:$626,MATCH($A603,'Исходник'!$T:$T,0),MATCH(AB$1,'Исходник'!$1:$1,0)))</f>
        <v/>
      </c>
      <c r="AC603" s="1" t="str">
        <f t="array" ref="AC603">IFERROR(INDEX('Исходник'!$1:$626,MATCH($A603,'Исходник'!$T:$T,0),MATCH(AC$1,'Исходник'!$1:$1,0)))</f>
        <v/>
      </c>
      <c r="AD603" s="27" t="str">
        <f t="shared" si="13"/>
        <v/>
      </c>
      <c r="AE603" s="1" t="str">
        <f t="array" ref="AE603">IFERROR(INDEX('Исходник'!$1:$626,MATCH($A603,'Исходник'!$T:$T,0),MATCH(AE$1,'Исходник'!$1:$1,0)))</f>
        <v/>
      </c>
      <c r="AF603" s="1" t="str">
        <f t="array" ref="AF603">IFERROR(INDEX('Исходник'!$1:$626,MATCH($A603,'Исходник'!$T:$T,0),MATCH(AF$1,'Исходник'!$1:$1,0)))</f>
        <v/>
      </c>
      <c r="AG603" s="27" t="str">
        <f t="shared" si="14"/>
        <v/>
      </c>
      <c r="AH603" s="1" t="str">
        <f t="array" ref="AH603">IFERROR(INDEX('Исходник'!$1:$626,MATCH($A603,'Исходник'!$T:$T,0),MATCH(AH$1,'Исходник'!$1:$1,0)))</f>
        <v/>
      </c>
      <c r="AI603" s="1" t="str">
        <f t="array" ref="AI603">IFERROR(INDEX('Исходник'!$1:$626,MATCH($A603,'Исходник'!$T:$T,0),MATCH(AI$1,'Исходник'!$1:$1,0)))</f>
        <v/>
      </c>
      <c r="AJ603" s="18">
        <f t="shared" si="15"/>
        <v>0</v>
      </c>
    </row>
    <row r="604" ht="15.75" customHeight="1">
      <c r="A604" s="27"/>
      <c r="B604" s="1" t="str">
        <f t="array" ref="B604">IFERROR(INDEX('Исходник'!$1:$626,MATCH($A604,'Исходник'!$T:$T,0),MATCH(B$1,'Исходник'!$1:$1,0)))</f>
        <v/>
      </c>
      <c r="C604" s="1" t="str">
        <f t="array" ref="C604">IFERROR(INDEX('Исходник'!$1:$626,MATCH($A604,'Исходник'!$T:$T,0),MATCH(C$1,'Исходник'!$1:$1,0)))</f>
        <v/>
      </c>
      <c r="D604" s="1" t="str">
        <f t="array" ref="D604">IFERROR(INDEX('Исходник'!$1:$626,MATCH($A604,'Исходник'!$T:$T,0),MATCH(D$1,'Исходник'!$1:$1,0)))</f>
        <v/>
      </c>
      <c r="E604" s="1" t="str">
        <f t="array" ref="E604">IFERROR(INDEX('Исходник'!$1:$626,MATCH($A604,'Исходник'!$T:$T,0),MATCH(E$1,'Исходник'!$1:$1,0)))</f>
        <v/>
      </c>
      <c r="F604" s="1" t="str">
        <f t="array" ref="F604">IFERROR(INDEX('Исходник'!$1:$626,MATCH($A604,'Исходник'!$T:$T,0),MATCH(F$1,'Исходник'!$1:$1,0)))</f>
        <v/>
      </c>
      <c r="G604" s="1" t="str">
        <f t="array" ref="G604">IFERROR(INDEX('Исходник'!$1:$626,MATCH($A604,'Исходник'!$T:$T,0),MATCH(G$1,'Исходник'!$1:$1,0)))</f>
        <v/>
      </c>
      <c r="H604" s="27">
        <f t="shared" si="1"/>
        <v>0</v>
      </c>
      <c r="I604" s="27" t="str">
        <f t="shared" si="2"/>
        <v/>
      </c>
      <c r="J604" s="1" t="str">
        <f t="array" ref="J604">IFERROR(INDEX('Исходник'!$1:$626,MATCH($A604,'Исходник'!$T:$T,0),MATCH(J$1,'Исходник'!$1:$1,0)))</f>
        <v/>
      </c>
      <c r="K604" s="27" t="str">
        <f t="shared" si="3"/>
        <v/>
      </c>
      <c r="L604" s="1" t="str">
        <f t="array" ref="L604">IFERROR(INDEX('Исходник'!$1:$626,MATCH($A604,'Исходник'!$T:$T,0),MATCH(L$1,'Исходник'!$1:$1,0)))</f>
        <v/>
      </c>
      <c r="M604" s="28">
        <f t="shared" si="4"/>
        <v>0</v>
      </c>
      <c r="N604" s="1" t="str">
        <f t="array" ref="N604">IFERROR(INDEX('Исходник'!$1:$626,MATCH($A604,'Исходник'!$T:$T,0),MATCH(N$1,'Исходник'!$1:$1,0)))</f>
        <v/>
      </c>
      <c r="O604" s="27">
        <f t="shared" si="5"/>
        <v>0</v>
      </c>
      <c r="P604" s="27" t="str">
        <f t="shared" si="6"/>
        <v/>
      </c>
      <c r="Q604" s="1" t="str">
        <f t="array" ref="Q604">IFERROR(INDEX('Исходник'!$1:$626,MATCH($A604,'Исходник'!$T:$T,0),MATCH(Q$1,'Исходник'!$1:$1,0)))</f>
        <v/>
      </c>
      <c r="R604" s="1" t="str">
        <f t="array" ref="R604">IFERROR(INDEX('Исходник'!$1:$626,MATCH($A604,'Исходник'!$T:$T,0),MATCH(R$1,'Исходник'!$1:$1,0)))</f>
        <v/>
      </c>
      <c r="S604" s="27">
        <f t="shared" si="7"/>
        <v>0</v>
      </c>
      <c r="T604" s="27" t="str">
        <f t="shared" si="8"/>
        <v/>
      </c>
      <c r="U604" s="1" t="str">
        <f t="array" ref="U604">IFERROR(INDEX('Исходник'!$1:$626,MATCH($A604,'Исходник'!$T:$T,0),MATCH(U$1,'Исходник'!$1:$1,0)))</f>
        <v/>
      </c>
      <c r="V604" s="27" t="str">
        <f t="shared" si="9"/>
        <v/>
      </c>
      <c r="W604" s="1" t="str">
        <f t="array" ref="W604">IFERROR(INDEX('Исходник'!$1:$626,MATCH($A604,'Исходник'!$T:$T,0),MATCH(W$1,'Исходник'!$1:$1,0)))</f>
        <v/>
      </c>
      <c r="X604" s="28">
        <f t="shared" si="10"/>
        <v>0</v>
      </c>
      <c r="Y604" s="1" t="str">
        <f t="array" ref="Y604">IFERROR(INDEX('Исходник'!$1:$626,MATCH($A604,'Исходник'!$T:$T,0),MATCH(Y$1,'Исходник'!$1:$1,0)))</f>
        <v/>
      </c>
      <c r="Z604" s="27">
        <f t="shared" si="11"/>
        <v>0</v>
      </c>
      <c r="AA604" s="27" t="str">
        <f t="shared" si="12"/>
        <v/>
      </c>
      <c r="AB604" s="1" t="str">
        <f t="array" ref="AB604">IFERROR(INDEX('Исходник'!$1:$626,MATCH($A604,'Исходник'!$T:$T,0),MATCH(AB$1,'Исходник'!$1:$1,0)))</f>
        <v/>
      </c>
      <c r="AC604" s="1" t="str">
        <f t="array" ref="AC604">IFERROR(INDEX('Исходник'!$1:$626,MATCH($A604,'Исходник'!$T:$T,0),MATCH(AC$1,'Исходник'!$1:$1,0)))</f>
        <v/>
      </c>
      <c r="AD604" s="27" t="str">
        <f t="shared" si="13"/>
        <v/>
      </c>
      <c r="AE604" s="1" t="str">
        <f t="array" ref="AE604">IFERROR(INDEX('Исходник'!$1:$626,MATCH($A604,'Исходник'!$T:$T,0),MATCH(AE$1,'Исходник'!$1:$1,0)))</f>
        <v/>
      </c>
      <c r="AF604" s="1" t="str">
        <f t="array" ref="AF604">IFERROR(INDEX('Исходник'!$1:$626,MATCH($A604,'Исходник'!$T:$T,0),MATCH(AF$1,'Исходник'!$1:$1,0)))</f>
        <v/>
      </c>
      <c r="AG604" s="27" t="str">
        <f t="shared" si="14"/>
        <v/>
      </c>
      <c r="AH604" s="1" t="str">
        <f t="array" ref="AH604">IFERROR(INDEX('Исходник'!$1:$626,MATCH($A604,'Исходник'!$T:$T,0),MATCH(AH$1,'Исходник'!$1:$1,0)))</f>
        <v/>
      </c>
      <c r="AI604" s="1" t="str">
        <f t="array" ref="AI604">IFERROR(INDEX('Исходник'!$1:$626,MATCH($A604,'Исходник'!$T:$T,0),MATCH(AI$1,'Исходник'!$1:$1,0)))</f>
        <v/>
      </c>
      <c r="AJ604" s="18">
        <f t="shared" si="15"/>
        <v>0</v>
      </c>
    </row>
    <row r="605" ht="15.75" customHeight="1">
      <c r="A605" s="27"/>
      <c r="B605" s="1" t="str">
        <f t="array" ref="B605">IFERROR(INDEX('Исходник'!$1:$626,MATCH($A605,'Исходник'!$T:$T,0),MATCH(B$1,'Исходник'!$1:$1,0)))</f>
        <v/>
      </c>
      <c r="C605" s="1" t="str">
        <f t="array" ref="C605">IFERROR(INDEX('Исходник'!$1:$626,MATCH($A605,'Исходник'!$T:$T,0),MATCH(C$1,'Исходник'!$1:$1,0)))</f>
        <v/>
      </c>
      <c r="D605" s="1" t="str">
        <f t="array" ref="D605">IFERROR(INDEX('Исходник'!$1:$626,MATCH($A605,'Исходник'!$T:$T,0),MATCH(D$1,'Исходник'!$1:$1,0)))</f>
        <v/>
      </c>
      <c r="E605" s="1" t="str">
        <f t="array" ref="E605">IFERROR(INDEX('Исходник'!$1:$626,MATCH($A605,'Исходник'!$T:$T,0),MATCH(E$1,'Исходник'!$1:$1,0)))</f>
        <v/>
      </c>
      <c r="F605" s="1" t="str">
        <f t="array" ref="F605">IFERROR(INDEX('Исходник'!$1:$626,MATCH($A605,'Исходник'!$T:$T,0),MATCH(F$1,'Исходник'!$1:$1,0)))</f>
        <v/>
      </c>
      <c r="G605" s="1" t="str">
        <f t="array" ref="G605">IFERROR(INDEX('Исходник'!$1:$626,MATCH($A605,'Исходник'!$T:$T,0),MATCH(G$1,'Исходник'!$1:$1,0)))</f>
        <v/>
      </c>
      <c r="H605" s="27">
        <f t="shared" si="1"/>
        <v>0</v>
      </c>
      <c r="I605" s="27" t="str">
        <f t="shared" si="2"/>
        <v/>
      </c>
      <c r="J605" s="1" t="str">
        <f t="array" ref="J605">IFERROR(INDEX('Исходник'!$1:$626,MATCH($A605,'Исходник'!$T:$T,0),MATCH(J$1,'Исходник'!$1:$1,0)))</f>
        <v/>
      </c>
      <c r="K605" s="27" t="str">
        <f t="shared" si="3"/>
        <v/>
      </c>
      <c r="L605" s="1" t="str">
        <f t="array" ref="L605">IFERROR(INDEX('Исходник'!$1:$626,MATCH($A605,'Исходник'!$T:$T,0),MATCH(L$1,'Исходник'!$1:$1,0)))</f>
        <v/>
      </c>
      <c r="M605" s="28">
        <f t="shared" si="4"/>
        <v>0</v>
      </c>
      <c r="N605" s="1" t="str">
        <f t="array" ref="N605">IFERROR(INDEX('Исходник'!$1:$626,MATCH($A605,'Исходник'!$T:$T,0),MATCH(N$1,'Исходник'!$1:$1,0)))</f>
        <v/>
      </c>
      <c r="O605" s="27">
        <f t="shared" si="5"/>
        <v>0</v>
      </c>
      <c r="P605" s="27" t="str">
        <f t="shared" si="6"/>
        <v/>
      </c>
      <c r="Q605" s="1" t="str">
        <f t="array" ref="Q605">IFERROR(INDEX('Исходник'!$1:$626,MATCH($A605,'Исходник'!$T:$T,0),MATCH(Q$1,'Исходник'!$1:$1,0)))</f>
        <v/>
      </c>
      <c r="R605" s="1" t="str">
        <f t="array" ref="R605">IFERROR(INDEX('Исходник'!$1:$626,MATCH($A605,'Исходник'!$T:$T,0),MATCH(R$1,'Исходник'!$1:$1,0)))</f>
        <v/>
      </c>
      <c r="S605" s="27">
        <f t="shared" si="7"/>
        <v>0</v>
      </c>
      <c r="T605" s="27" t="str">
        <f t="shared" si="8"/>
        <v/>
      </c>
      <c r="U605" s="1" t="str">
        <f t="array" ref="U605">IFERROR(INDEX('Исходник'!$1:$626,MATCH($A605,'Исходник'!$T:$T,0),MATCH(U$1,'Исходник'!$1:$1,0)))</f>
        <v/>
      </c>
      <c r="V605" s="27" t="str">
        <f t="shared" si="9"/>
        <v/>
      </c>
      <c r="W605" s="1" t="str">
        <f t="array" ref="W605">IFERROR(INDEX('Исходник'!$1:$626,MATCH($A605,'Исходник'!$T:$T,0),MATCH(W$1,'Исходник'!$1:$1,0)))</f>
        <v/>
      </c>
      <c r="X605" s="28">
        <f t="shared" si="10"/>
        <v>0</v>
      </c>
      <c r="Y605" s="1" t="str">
        <f t="array" ref="Y605">IFERROR(INDEX('Исходник'!$1:$626,MATCH($A605,'Исходник'!$T:$T,0),MATCH(Y$1,'Исходник'!$1:$1,0)))</f>
        <v/>
      </c>
      <c r="Z605" s="27">
        <f t="shared" si="11"/>
        <v>0</v>
      </c>
      <c r="AA605" s="27" t="str">
        <f t="shared" si="12"/>
        <v/>
      </c>
      <c r="AB605" s="1" t="str">
        <f t="array" ref="AB605">IFERROR(INDEX('Исходник'!$1:$626,MATCH($A605,'Исходник'!$T:$T,0),MATCH(AB$1,'Исходник'!$1:$1,0)))</f>
        <v/>
      </c>
      <c r="AC605" s="1" t="str">
        <f t="array" ref="AC605">IFERROR(INDEX('Исходник'!$1:$626,MATCH($A605,'Исходник'!$T:$T,0),MATCH(AC$1,'Исходник'!$1:$1,0)))</f>
        <v/>
      </c>
      <c r="AD605" s="27" t="str">
        <f t="shared" si="13"/>
        <v/>
      </c>
      <c r="AE605" s="1" t="str">
        <f t="array" ref="AE605">IFERROR(INDEX('Исходник'!$1:$626,MATCH($A605,'Исходник'!$T:$T,0),MATCH(AE$1,'Исходник'!$1:$1,0)))</f>
        <v/>
      </c>
      <c r="AF605" s="1" t="str">
        <f t="array" ref="AF605">IFERROR(INDEX('Исходник'!$1:$626,MATCH($A605,'Исходник'!$T:$T,0),MATCH(AF$1,'Исходник'!$1:$1,0)))</f>
        <v/>
      </c>
      <c r="AG605" s="27" t="str">
        <f t="shared" si="14"/>
        <v/>
      </c>
      <c r="AH605" s="1" t="str">
        <f t="array" ref="AH605">IFERROR(INDEX('Исходник'!$1:$626,MATCH($A605,'Исходник'!$T:$T,0),MATCH(AH$1,'Исходник'!$1:$1,0)))</f>
        <v/>
      </c>
      <c r="AI605" s="1" t="str">
        <f t="array" ref="AI605">IFERROR(INDEX('Исходник'!$1:$626,MATCH($A605,'Исходник'!$T:$T,0),MATCH(AI$1,'Исходник'!$1:$1,0)))</f>
        <v/>
      </c>
      <c r="AJ605" s="18">
        <f t="shared" si="15"/>
        <v>0</v>
      </c>
    </row>
    <row r="606" ht="15.75" customHeight="1">
      <c r="A606" s="27"/>
      <c r="B606" s="1" t="str">
        <f t="array" ref="B606">IFERROR(INDEX('Исходник'!$1:$626,MATCH($A606,'Исходник'!$T:$T,0),MATCH(B$1,'Исходник'!$1:$1,0)))</f>
        <v/>
      </c>
      <c r="C606" s="1" t="str">
        <f t="array" ref="C606">IFERROR(INDEX('Исходник'!$1:$626,MATCH($A606,'Исходник'!$T:$T,0),MATCH(C$1,'Исходник'!$1:$1,0)))</f>
        <v/>
      </c>
      <c r="D606" s="1" t="str">
        <f t="array" ref="D606">IFERROR(INDEX('Исходник'!$1:$626,MATCH($A606,'Исходник'!$T:$T,0),MATCH(D$1,'Исходник'!$1:$1,0)))</f>
        <v/>
      </c>
      <c r="E606" s="1" t="str">
        <f t="array" ref="E606">IFERROR(INDEX('Исходник'!$1:$626,MATCH($A606,'Исходник'!$T:$T,0),MATCH(E$1,'Исходник'!$1:$1,0)))</f>
        <v/>
      </c>
      <c r="F606" s="1" t="str">
        <f t="array" ref="F606">IFERROR(INDEX('Исходник'!$1:$626,MATCH($A606,'Исходник'!$T:$T,0),MATCH(F$1,'Исходник'!$1:$1,0)))</f>
        <v/>
      </c>
      <c r="G606" s="1" t="str">
        <f t="array" ref="G606">IFERROR(INDEX('Исходник'!$1:$626,MATCH($A606,'Исходник'!$T:$T,0),MATCH(G$1,'Исходник'!$1:$1,0)))</f>
        <v/>
      </c>
      <c r="H606" s="27">
        <f t="shared" si="1"/>
        <v>0</v>
      </c>
      <c r="I606" s="27" t="str">
        <f t="shared" si="2"/>
        <v/>
      </c>
      <c r="J606" s="1" t="str">
        <f t="array" ref="J606">IFERROR(INDEX('Исходник'!$1:$626,MATCH($A606,'Исходник'!$T:$T,0),MATCH(J$1,'Исходник'!$1:$1,0)))</f>
        <v/>
      </c>
      <c r="K606" s="27" t="str">
        <f t="shared" si="3"/>
        <v/>
      </c>
      <c r="L606" s="1" t="str">
        <f t="array" ref="L606">IFERROR(INDEX('Исходник'!$1:$626,MATCH($A606,'Исходник'!$T:$T,0),MATCH(L$1,'Исходник'!$1:$1,0)))</f>
        <v/>
      </c>
      <c r="M606" s="28">
        <f t="shared" si="4"/>
        <v>0</v>
      </c>
      <c r="N606" s="1" t="str">
        <f t="array" ref="N606">IFERROR(INDEX('Исходник'!$1:$626,MATCH($A606,'Исходник'!$T:$T,0),MATCH(N$1,'Исходник'!$1:$1,0)))</f>
        <v/>
      </c>
      <c r="O606" s="27">
        <f t="shared" si="5"/>
        <v>0</v>
      </c>
      <c r="P606" s="27" t="str">
        <f t="shared" si="6"/>
        <v/>
      </c>
      <c r="Q606" s="1" t="str">
        <f t="array" ref="Q606">IFERROR(INDEX('Исходник'!$1:$626,MATCH($A606,'Исходник'!$T:$T,0),MATCH(Q$1,'Исходник'!$1:$1,0)))</f>
        <v/>
      </c>
      <c r="R606" s="1" t="str">
        <f t="array" ref="R606">IFERROR(INDEX('Исходник'!$1:$626,MATCH($A606,'Исходник'!$T:$T,0),MATCH(R$1,'Исходник'!$1:$1,0)))</f>
        <v/>
      </c>
      <c r="S606" s="27">
        <f t="shared" si="7"/>
        <v>0</v>
      </c>
      <c r="T606" s="27" t="str">
        <f t="shared" si="8"/>
        <v/>
      </c>
      <c r="U606" s="1" t="str">
        <f t="array" ref="U606">IFERROR(INDEX('Исходник'!$1:$626,MATCH($A606,'Исходник'!$T:$T,0),MATCH(U$1,'Исходник'!$1:$1,0)))</f>
        <v/>
      </c>
      <c r="V606" s="27" t="str">
        <f t="shared" si="9"/>
        <v/>
      </c>
      <c r="W606" s="1" t="str">
        <f t="array" ref="W606">IFERROR(INDEX('Исходник'!$1:$626,MATCH($A606,'Исходник'!$T:$T,0),MATCH(W$1,'Исходник'!$1:$1,0)))</f>
        <v/>
      </c>
      <c r="X606" s="28">
        <f t="shared" si="10"/>
        <v>0</v>
      </c>
      <c r="Y606" s="1" t="str">
        <f t="array" ref="Y606">IFERROR(INDEX('Исходник'!$1:$626,MATCH($A606,'Исходник'!$T:$T,0),MATCH(Y$1,'Исходник'!$1:$1,0)))</f>
        <v/>
      </c>
      <c r="Z606" s="27">
        <f t="shared" si="11"/>
        <v>0</v>
      </c>
      <c r="AA606" s="27" t="str">
        <f t="shared" si="12"/>
        <v/>
      </c>
      <c r="AB606" s="1" t="str">
        <f t="array" ref="AB606">IFERROR(INDEX('Исходник'!$1:$626,MATCH($A606,'Исходник'!$T:$T,0),MATCH(AB$1,'Исходник'!$1:$1,0)))</f>
        <v/>
      </c>
      <c r="AC606" s="1" t="str">
        <f t="array" ref="AC606">IFERROR(INDEX('Исходник'!$1:$626,MATCH($A606,'Исходник'!$T:$T,0),MATCH(AC$1,'Исходник'!$1:$1,0)))</f>
        <v/>
      </c>
      <c r="AD606" s="27" t="str">
        <f t="shared" si="13"/>
        <v/>
      </c>
      <c r="AE606" s="1" t="str">
        <f t="array" ref="AE606">IFERROR(INDEX('Исходник'!$1:$626,MATCH($A606,'Исходник'!$T:$T,0),MATCH(AE$1,'Исходник'!$1:$1,0)))</f>
        <v/>
      </c>
      <c r="AF606" s="1" t="str">
        <f t="array" ref="AF606">IFERROR(INDEX('Исходник'!$1:$626,MATCH($A606,'Исходник'!$T:$T,0),MATCH(AF$1,'Исходник'!$1:$1,0)))</f>
        <v/>
      </c>
      <c r="AG606" s="27" t="str">
        <f t="shared" si="14"/>
        <v/>
      </c>
      <c r="AH606" s="1" t="str">
        <f t="array" ref="AH606">IFERROR(INDEX('Исходник'!$1:$626,MATCH($A606,'Исходник'!$T:$T,0),MATCH(AH$1,'Исходник'!$1:$1,0)))</f>
        <v/>
      </c>
      <c r="AI606" s="1" t="str">
        <f t="array" ref="AI606">IFERROR(INDEX('Исходник'!$1:$626,MATCH($A606,'Исходник'!$T:$T,0),MATCH(AI$1,'Исходник'!$1:$1,0)))</f>
        <v/>
      </c>
      <c r="AJ606" s="18">
        <f t="shared" si="15"/>
        <v>0</v>
      </c>
    </row>
    <row r="607" ht="15.75" customHeight="1">
      <c r="A607" s="27"/>
      <c r="B607" s="1" t="str">
        <f t="array" ref="B607">IFERROR(INDEX('Исходник'!$1:$626,MATCH($A607,'Исходник'!$T:$T,0),MATCH(B$1,'Исходник'!$1:$1,0)))</f>
        <v/>
      </c>
      <c r="C607" s="1" t="str">
        <f t="array" ref="C607">IFERROR(INDEX('Исходник'!$1:$626,MATCH($A607,'Исходник'!$T:$T,0),MATCH(C$1,'Исходник'!$1:$1,0)))</f>
        <v/>
      </c>
      <c r="D607" s="1" t="str">
        <f t="array" ref="D607">IFERROR(INDEX('Исходник'!$1:$626,MATCH($A607,'Исходник'!$T:$T,0),MATCH(D$1,'Исходник'!$1:$1,0)))</f>
        <v/>
      </c>
      <c r="E607" s="1" t="str">
        <f t="array" ref="E607">IFERROR(INDEX('Исходник'!$1:$626,MATCH($A607,'Исходник'!$T:$T,0),MATCH(E$1,'Исходник'!$1:$1,0)))</f>
        <v/>
      </c>
      <c r="F607" s="1" t="str">
        <f t="array" ref="F607">IFERROR(INDEX('Исходник'!$1:$626,MATCH($A607,'Исходник'!$T:$T,0),MATCH(F$1,'Исходник'!$1:$1,0)))</f>
        <v/>
      </c>
      <c r="G607" s="1" t="str">
        <f t="array" ref="G607">IFERROR(INDEX('Исходник'!$1:$626,MATCH($A607,'Исходник'!$T:$T,0),MATCH(G$1,'Исходник'!$1:$1,0)))</f>
        <v/>
      </c>
      <c r="H607" s="27">
        <f t="shared" si="1"/>
        <v>0</v>
      </c>
      <c r="I607" s="27" t="str">
        <f t="shared" si="2"/>
        <v/>
      </c>
      <c r="J607" s="1" t="str">
        <f t="array" ref="J607">IFERROR(INDEX('Исходник'!$1:$626,MATCH($A607,'Исходник'!$T:$T,0),MATCH(J$1,'Исходник'!$1:$1,0)))</f>
        <v/>
      </c>
      <c r="K607" s="27" t="str">
        <f t="shared" si="3"/>
        <v/>
      </c>
      <c r="L607" s="1" t="str">
        <f t="array" ref="L607">IFERROR(INDEX('Исходник'!$1:$626,MATCH($A607,'Исходник'!$T:$T,0),MATCH(L$1,'Исходник'!$1:$1,0)))</f>
        <v/>
      </c>
      <c r="M607" s="28">
        <f t="shared" si="4"/>
        <v>0</v>
      </c>
      <c r="N607" s="1" t="str">
        <f t="array" ref="N607">IFERROR(INDEX('Исходник'!$1:$626,MATCH($A607,'Исходник'!$T:$T,0),MATCH(N$1,'Исходник'!$1:$1,0)))</f>
        <v/>
      </c>
      <c r="O607" s="27">
        <f t="shared" si="5"/>
        <v>0</v>
      </c>
      <c r="P607" s="27" t="str">
        <f t="shared" si="6"/>
        <v/>
      </c>
      <c r="Q607" s="1" t="str">
        <f t="array" ref="Q607">IFERROR(INDEX('Исходник'!$1:$626,MATCH($A607,'Исходник'!$T:$T,0),MATCH(Q$1,'Исходник'!$1:$1,0)))</f>
        <v/>
      </c>
      <c r="R607" s="1" t="str">
        <f t="array" ref="R607">IFERROR(INDEX('Исходник'!$1:$626,MATCH($A607,'Исходник'!$T:$T,0),MATCH(R$1,'Исходник'!$1:$1,0)))</f>
        <v/>
      </c>
      <c r="S607" s="27">
        <f t="shared" si="7"/>
        <v>0</v>
      </c>
      <c r="T607" s="27" t="str">
        <f t="shared" si="8"/>
        <v/>
      </c>
      <c r="U607" s="1" t="str">
        <f t="array" ref="U607">IFERROR(INDEX('Исходник'!$1:$626,MATCH($A607,'Исходник'!$T:$T,0),MATCH(U$1,'Исходник'!$1:$1,0)))</f>
        <v/>
      </c>
      <c r="V607" s="27" t="str">
        <f t="shared" si="9"/>
        <v/>
      </c>
      <c r="W607" s="1" t="str">
        <f t="array" ref="W607">IFERROR(INDEX('Исходник'!$1:$626,MATCH($A607,'Исходник'!$T:$T,0),MATCH(W$1,'Исходник'!$1:$1,0)))</f>
        <v/>
      </c>
      <c r="X607" s="28">
        <f t="shared" si="10"/>
        <v>0</v>
      </c>
      <c r="Y607" s="1" t="str">
        <f t="array" ref="Y607">IFERROR(INDEX('Исходник'!$1:$626,MATCH($A607,'Исходник'!$T:$T,0),MATCH(Y$1,'Исходник'!$1:$1,0)))</f>
        <v/>
      </c>
      <c r="Z607" s="27">
        <f t="shared" si="11"/>
        <v>0</v>
      </c>
      <c r="AA607" s="27" t="str">
        <f t="shared" si="12"/>
        <v/>
      </c>
      <c r="AB607" s="1" t="str">
        <f t="array" ref="AB607">IFERROR(INDEX('Исходник'!$1:$626,MATCH($A607,'Исходник'!$T:$T,0),MATCH(AB$1,'Исходник'!$1:$1,0)))</f>
        <v/>
      </c>
      <c r="AC607" s="1" t="str">
        <f t="array" ref="AC607">IFERROR(INDEX('Исходник'!$1:$626,MATCH($A607,'Исходник'!$T:$T,0),MATCH(AC$1,'Исходник'!$1:$1,0)))</f>
        <v/>
      </c>
      <c r="AD607" s="27" t="str">
        <f t="shared" si="13"/>
        <v/>
      </c>
      <c r="AE607" s="1" t="str">
        <f t="array" ref="AE607">IFERROR(INDEX('Исходник'!$1:$626,MATCH($A607,'Исходник'!$T:$T,0),MATCH(AE$1,'Исходник'!$1:$1,0)))</f>
        <v/>
      </c>
      <c r="AF607" s="1" t="str">
        <f t="array" ref="AF607">IFERROR(INDEX('Исходник'!$1:$626,MATCH($A607,'Исходник'!$T:$T,0),MATCH(AF$1,'Исходник'!$1:$1,0)))</f>
        <v/>
      </c>
      <c r="AG607" s="27" t="str">
        <f t="shared" si="14"/>
        <v/>
      </c>
      <c r="AH607" s="1" t="str">
        <f t="array" ref="AH607">IFERROR(INDEX('Исходник'!$1:$626,MATCH($A607,'Исходник'!$T:$T,0),MATCH(AH$1,'Исходник'!$1:$1,0)))</f>
        <v/>
      </c>
      <c r="AI607" s="1" t="str">
        <f t="array" ref="AI607">IFERROR(INDEX('Исходник'!$1:$626,MATCH($A607,'Исходник'!$T:$T,0),MATCH(AI$1,'Исходник'!$1:$1,0)))</f>
        <v/>
      </c>
      <c r="AJ607" s="18">
        <f t="shared" si="15"/>
        <v>0</v>
      </c>
    </row>
    <row r="608" ht="15.75" customHeight="1">
      <c r="A608" s="27"/>
      <c r="B608" s="1" t="str">
        <f t="array" ref="B608">IFERROR(INDEX('Исходник'!$1:$626,MATCH($A608,'Исходник'!$T:$T,0),MATCH(B$1,'Исходник'!$1:$1,0)))</f>
        <v/>
      </c>
      <c r="C608" s="1" t="str">
        <f t="array" ref="C608">IFERROR(INDEX('Исходник'!$1:$626,MATCH($A608,'Исходник'!$T:$T,0),MATCH(C$1,'Исходник'!$1:$1,0)))</f>
        <v/>
      </c>
      <c r="D608" s="1" t="str">
        <f t="array" ref="D608">IFERROR(INDEX('Исходник'!$1:$626,MATCH($A608,'Исходник'!$T:$T,0),MATCH(D$1,'Исходник'!$1:$1,0)))</f>
        <v/>
      </c>
      <c r="E608" s="1" t="str">
        <f t="array" ref="E608">IFERROR(INDEX('Исходник'!$1:$626,MATCH($A608,'Исходник'!$T:$T,0),MATCH(E$1,'Исходник'!$1:$1,0)))</f>
        <v/>
      </c>
      <c r="F608" s="1" t="str">
        <f t="array" ref="F608">IFERROR(INDEX('Исходник'!$1:$626,MATCH($A608,'Исходник'!$T:$T,0),MATCH(F$1,'Исходник'!$1:$1,0)))</f>
        <v/>
      </c>
      <c r="G608" s="1" t="str">
        <f t="array" ref="G608">IFERROR(INDEX('Исходник'!$1:$626,MATCH($A608,'Исходник'!$T:$T,0),MATCH(G$1,'Исходник'!$1:$1,0)))</f>
        <v/>
      </c>
      <c r="H608" s="27">
        <f t="shared" si="1"/>
        <v>0</v>
      </c>
      <c r="I608" s="27" t="str">
        <f t="shared" si="2"/>
        <v/>
      </c>
      <c r="J608" s="1" t="str">
        <f t="array" ref="J608">IFERROR(INDEX('Исходник'!$1:$626,MATCH($A608,'Исходник'!$T:$T,0),MATCH(J$1,'Исходник'!$1:$1,0)))</f>
        <v/>
      </c>
      <c r="K608" s="27" t="str">
        <f t="shared" si="3"/>
        <v/>
      </c>
      <c r="L608" s="1" t="str">
        <f t="array" ref="L608">IFERROR(INDEX('Исходник'!$1:$626,MATCH($A608,'Исходник'!$T:$T,0),MATCH(L$1,'Исходник'!$1:$1,0)))</f>
        <v/>
      </c>
      <c r="M608" s="28">
        <f t="shared" si="4"/>
        <v>0</v>
      </c>
      <c r="N608" s="1" t="str">
        <f t="array" ref="N608">IFERROR(INDEX('Исходник'!$1:$626,MATCH($A608,'Исходник'!$T:$T,0),MATCH(N$1,'Исходник'!$1:$1,0)))</f>
        <v/>
      </c>
      <c r="O608" s="27">
        <f t="shared" si="5"/>
        <v>0</v>
      </c>
      <c r="P608" s="27" t="str">
        <f t="shared" si="6"/>
        <v/>
      </c>
      <c r="Q608" s="1" t="str">
        <f t="array" ref="Q608">IFERROR(INDEX('Исходник'!$1:$626,MATCH($A608,'Исходник'!$T:$T,0),MATCH(Q$1,'Исходник'!$1:$1,0)))</f>
        <v/>
      </c>
      <c r="R608" s="1" t="str">
        <f t="array" ref="R608">IFERROR(INDEX('Исходник'!$1:$626,MATCH($A608,'Исходник'!$T:$T,0),MATCH(R$1,'Исходник'!$1:$1,0)))</f>
        <v/>
      </c>
      <c r="S608" s="27">
        <f t="shared" si="7"/>
        <v>0</v>
      </c>
      <c r="T608" s="27" t="str">
        <f t="shared" si="8"/>
        <v/>
      </c>
      <c r="U608" s="1" t="str">
        <f t="array" ref="U608">IFERROR(INDEX('Исходник'!$1:$626,MATCH($A608,'Исходник'!$T:$T,0),MATCH(U$1,'Исходник'!$1:$1,0)))</f>
        <v/>
      </c>
      <c r="V608" s="27" t="str">
        <f t="shared" si="9"/>
        <v/>
      </c>
      <c r="W608" s="1" t="str">
        <f t="array" ref="W608">IFERROR(INDEX('Исходник'!$1:$626,MATCH($A608,'Исходник'!$T:$T,0),MATCH(W$1,'Исходник'!$1:$1,0)))</f>
        <v/>
      </c>
      <c r="X608" s="28">
        <f t="shared" si="10"/>
        <v>0</v>
      </c>
      <c r="Y608" s="1" t="str">
        <f t="array" ref="Y608">IFERROR(INDEX('Исходник'!$1:$626,MATCH($A608,'Исходник'!$T:$T,0),MATCH(Y$1,'Исходник'!$1:$1,0)))</f>
        <v/>
      </c>
      <c r="Z608" s="27">
        <f t="shared" si="11"/>
        <v>0</v>
      </c>
      <c r="AA608" s="27" t="str">
        <f t="shared" si="12"/>
        <v/>
      </c>
      <c r="AB608" s="1" t="str">
        <f t="array" ref="AB608">IFERROR(INDEX('Исходник'!$1:$626,MATCH($A608,'Исходник'!$T:$T,0),MATCH(AB$1,'Исходник'!$1:$1,0)))</f>
        <v/>
      </c>
      <c r="AC608" s="1" t="str">
        <f t="array" ref="AC608">IFERROR(INDEX('Исходник'!$1:$626,MATCH($A608,'Исходник'!$T:$T,0),MATCH(AC$1,'Исходник'!$1:$1,0)))</f>
        <v/>
      </c>
      <c r="AD608" s="27" t="str">
        <f t="shared" si="13"/>
        <v/>
      </c>
      <c r="AE608" s="1" t="str">
        <f t="array" ref="AE608">IFERROR(INDEX('Исходник'!$1:$626,MATCH($A608,'Исходник'!$T:$T,0),MATCH(AE$1,'Исходник'!$1:$1,0)))</f>
        <v/>
      </c>
      <c r="AF608" s="1" t="str">
        <f t="array" ref="AF608">IFERROR(INDEX('Исходник'!$1:$626,MATCH($A608,'Исходник'!$T:$T,0),MATCH(AF$1,'Исходник'!$1:$1,0)))</f>
        <v/>
      </c>
      <c r="AG608" s="27" t="str">
        <f t="shared" si="14"/>
        <v/>
      </c>
      <c r="AH608" s="1" t="str">
        <f t="array" ref="AH608">IFERROR(INDEX('Исходник'!$1:$626,MATCH($A608,'Исходник'!$T:$T,0),MATCH(AH$1,'Исходник'!$1:$1,0)))</f>
        <v/>
      </c>
      <c r="AI608" s="1" t="str">
        <f t="array" ref="AI608">IFERROR(INDEX('Исходник'!$1:$626,MATCH($A608,'Исходник'!$T:$T,0),MATCH(AI$1,'Исходник'!$1:$1,0)))</f>
        <v/>
      </c>
      <c r="AJ608" s="18">
        <f t="shared" si="15"/>
        <v>0</v>
      </c>
    </row>
    <row r="609" ht="15.75" customHeight="1">
      <c r="A609" s="27"/>
      <c r="B609" s="1" t="str">
        <f t="array" ref="B609">IFERROR(INDEX('Исходник'!$1:$626,MATCH($A609,'Исходник'!$T:$T,0),MATCH(B$1,'Исходник'!$1:$1,0)))</f>
        <v/>
      </c>
      <c r="C609" s="1" t="str">
        <f t="array" ref="C609">IFERROR(INDEX('Исходник'!$1:$626,MATCH($A609,'Исходник'!$T:$T,0),MATCH(C$1,'Исходник'!$1:$1,0)))</f>
        <v/>
      </c>
      <c r="D609" s="1" t="str">
        <f t="array" ref="D609">IFERROR(INDEX('Исходник'!$1:$626,MATCH($A609,'Исходник'!$T:$T,0),MATCH(D$1,'Исходник'!$1:$1,0)))</f>
        <v/>
      </c>
      <c r="E609" s="1" t="str">
        <f t="array" ref="E609">IFERROR(INDEX('Исходник'!$1:$626,MATCH($A609,'Исходник'!$T:$T,0),MATCH(E$1,'Исходник'!$1:$1,0)))</f>
        <v/>
      </c>
      <c r="F609" s="1" t="str">
        <f t="array" ref="F609">IFERROR(INDEX('Исходник'!$1:$626,MATCH($A609,'Исходник'!$T:$T,0),MATCH(F$1,'Исходник'!$1:$1,0)))</f>
        <v/>
      </c>
      <c r="G609" s="1" t="str">
        <f t="array" ref="G609">IFERROR(INDEX('Исходник'!$1:$626,MATCH($A609,'Исходник'!$T:$T,0),MATCH(G$1,'Исходник'!$1:$1,0)))</f>
        <v/>
      </c>
      <c r="H609" s="27">
        <f t="shared" si="1"/>
        <v>0</v>
      </c>
      <c r="I609" s="27" t="str">
        <f t="shared" si="2"/>
        <v/>
      </c>
      <c r="J609" s="1" t="str">
        <f t="array" ref="J609">IFERROR(INDEX('Исходник'!$1:$626,MATCH($A609,'Исходник'!$T:$T,0),MATCH(J$1,'Исходник'!$1:$1,0)))</f>
        <v/>
      </c>
      <c r="K609" s="27" t="str">
        <f t="shared" si="3"/>
        <v/>
      </c>
      <c r="L609" s="1" t="str">
        <f t="array" ref="L609">IFERROR(INDEX('Исходник'!$1:$626,MATCH($A609,'Исходник'!$T:$T,0),MATCH(L$1,'Исходник'!$1:$1,0)))</f>
        <v/>
      </c>
      <c r="M609" s="28">
        <f t="shared" si="4"/>
        <v>0</v>
      </c>
      <c r="N609" s="1" t="str">
        <f t="array" ref="N609">IFERROR(INDEX('Исходник'!$1:$626,MATCH($A609,'Исходник'!$T:$T,0),MATCH(N$1,'Исходник'!$1:$1,0)))</f>
        <v/>
      </c>
      <c r="O609" s="27">
        <f t="shared" si="5"/>
        <v>0</v>
      </c>
      <c r="P609" s="27" t="str">
        <f t="shared" si="6"/>
        <v/>
      </c>
      <c r="Q609" s="1" t="str">
        <f t="array" ref="Q609">IFERROR(INDEX('Исходник'!$1:$626,MATCH($A609,'Исходник'!$T:$T,0),MATCH(Q$1,'Исходник'!$1:$1,0)))</f>
        <v/>
      </c>
      <c r="R609" s="1" t="str">
        <f t="array" ref="R609">IFERROR(INDEX('Исходник'!$1:$626,MATCH($A609,'Исходник'!$T:$T,0),MATCH(R$1,'Исходник'!$1:$1,0)))</f>
        <v/>
      </c>
      <c r="S609" s="27">
        <f t="shared" si="7"/>
        <v>0</v>
      </c>
      <c r="T609" s="27" t="str">
        <f t="shared" si="8"/>
        <v/>
      </c>
      <c r="U609" s="1" t="str">
        <f t="array" ref="U609">IFERROR(INDEX('Исходник'!$1:$626,MATCH($A609,'Исходник'!$T:$T,0),MATCH(U$1,'Исходник'!$1:$1,0)))</f>
        <v/>
      </c>
      <c r="V609" s="27" t="str">
        <f t="shared" si="9"/>
        <v/>
      </c>
      <c r="W609" s="1" t="str">
        <f t="array" ref="W609">IFERROR(INDEX('Исходник'!$1:$626,MATCH($A609,'Исходник'!$T:$T,0),MATCH(W$1,'Исходник'!$1:$1,0)))</f>
        <v/>
      </c>
      <c r="X609" s="28">
        <f t="shared" si="10"/>
        <v>0</v>
      </c>
      <c r="Y609" s="1" t="str">
        <f t="array" ref="Y609">IFERROR(INDEX('Исходник'!$1:$626,MATCH($A609,'Исходник'!$T:$T,0),MATCH(Y$1,'Исходник'!$1:$1,0)))</f>
        <v/>
      </c>
      <c r="Z609" s="27">
        <f t="shared" si="11"/>
        <v>0</v>
      </c>
      <c r="AA609" s="27" t="str">
        <f t="shared" si="12"/>
        <v/>
      </c>
      <c r="AB609" s="1" t="str">
        <f t="array" ref="AB609">IFERROR(INDEX('Исходник'!$1:$626,MATCH($A609,'Исходник'!$T:$T,0),MATCH(AB$1,'Исходник'!$1:$1,0)))</f>
        <v/>
      </c>
      <c r="AC609" s="1" t="str">
        <f t="array" ref="AC609">IFERROR(INDEX('Исходник'!$1:$626,MATCH($A609,'Исходник'!$T:$T,0),MATCH(AC$1,'Исходник'!$1:$1,0)))</f>
        <v/>
      </c>
      <c r="AD609" s="27" t="str">
        <f t="shared" si="13"/>
        <v/>
      </c>
      <c r="AE609" s="1" t="str">
        <f t="array" ref="AE609">IFERROR(INDEX('Исходник'!$1:$626,MATCH($A609,'Исходник'!$T:$T,0),MATCH(AE$1,'Исходник'!$1:$1,0)))</f>
        <v/>
      </c>
      <c r="AF609" s="1" t="str">
        <f t="array" ref="AF609">IFERROR(INDEX('Исходник'!$1:$626,MATCH($A609,'Исходник'!$T:$T,0),MATCH(AF$1,'Исходник'!$1:$1,0)))</f>
        <v/>
      </c>
      <c r="AG609" s="27" t="str">
        <f t="shared" si="14"/>
        <v/>
      </c>
      <c r="AH609" s="1" t="str">
        <f t="array" ref="AH609">IFERROR(INDEX('Исходник'!$1:$626,MATCH($A609,'Исходник'!$T:$T,0),MATCH(AH$1,'Исходник'!$1:$1,0)))</f>
        <v/>
      </c>
      <c r="AI609" s="1" t="str">
        <f t="array" ref="AI609">IFERROR(INDEX('Исходник'!$1:$626,MATCH($A609,'Исходник'!$T:$T,0),MATCH(AI$1,'Исходник'!$1:$1,0)))</f>
        <v/>
      </c>
      <c r="AJ609" s="18">
        <f t="shared" si="15"/>
        <v>0</v>
      </c>
    </row>
    <row r="610" ht="15.75" customHeight="1">
      <c r="A610" s="27"/>
      <c r="B610" s="1" t="str">
        <f t="array" ref="B610">IFERROR(INDEX('Исходник'!$1:$626,MATCH($A610,'Исходник'!$T:$T,0),MATCH(B$1,'Исходник'!$1:$1,0)))</f>
        <v/>
      </c>
      <c r="C610" s="1" t="str">
        <f t="array" ref="C610">IFERROR(INDEX('Исходник'!$1:$626,MATCH($A610,'Исходник'!$T:$T,0),MATCH(C$1,'Исходник'!$1:$1,0)))</f>
        <v/>
      </c>
      <c r="D610" s="1" t="str">
        <f t="array" ref="D610">IFERROR(INDEX('Исходник'!$1:$626,MATCH($A610,'Исходник'!$T:$T,0),MATCH(D$1,'Исходник'!$1:$1,0)))</f>
        <v/>
      </c>
      <c r="E610" s="1" t="str">
        <f t="array" ref="E610">IFERROR(INDEX('Исходник'!$1:$626,MATCH($A610,'Исходник'!$T:$T,0),MATCH(E$1,'Исходник'!$1:$1,0)))</f>
        <v/>
      </c>
      <c r="F610" s="1" t="str">
        <f t="array" ref="F610">IFERROR(INDEX('Исходник'!$1:$626,MATCH($A610,'Исходник'!$T:$T,0),MATCH(F$1,'Исходник'!$1:$1,0)))</f>
        <v/>
      </c>
      <c r="G610" s="1" t="str">
        <f t="array" ref="G610">IFERROR(INDEX('Исходник'!$1:$626,MATCH($A610,'Исходник'!$T:$T,0),MATCH(G$1,'Исходник'!$1:$1,0)))</f>
        <v/>
      </c>
      <c r="H610" s="27">
        <f t="shared" si="1"/>
        <v>0</v>
      </c>
      <c r="I610" s="27" t="str">
        <f t="shared" si="2"/>
        <v/>
      </c>
      <c r="J610" s="1" t="str">
        <f t="array" ref="J610">IFERROR(INDEX('Исходник'!$1:$626,MATCH($A610,'Исходник'!$T:$T,0),MATCH(J$1,'Исходник'!$1:$1,0)))</f>
        <v/>
      </c>
      <c r="K610" s="27" t="str">
        <f t="shared" si="3"/>
        <v/>
      </c>
      <c r="L610" s="1" t="str">
        <f t="array" ref="L610">IFERROR(INDEX('Исходник'!$1:$626,MATCH($A610,'Исходник'!$T:$T,0),MATCH(L$1,'Исходник'!$1:$1,0)))</f>
        <v/>
      </c>
      <c r="M610" s="28">
        <f t="shared" si="4"/>
        <v>0</v>
      </c>
      <c r="N610" s="1" t="str">
        <f t="array" ref="N610">IFERROR(INDEX('Исходник'!$1:$626,MATCH($A610,'Исходник'!$T:$T,0),MATCH(N$1,'Исходник'!$1:$1,0)))</f>
        <v/>
      </c>
      <c r="O610" s="27">
        <f t="shared" si="5"/>
        <v>0</v>
      </c>
      <c r="P610" s="27" t="str">
        <f t="shared" si="6"/>
        <v/>
      </c>
      <c r="Q610" s="1" t="str">
        <f t="array" ref="Q610">IFERROR(INDEX('Исходник'!$1:$626,MATCH($A610,'Исходник'!$T:$T,0),MATCH(Q$1,'Исходник'!$1:$1,0)))</f>
        <v/>
      </c>
      <c r="R610" s="1" t="str">
        <f t="array" ref="R610">IFERROR(INDEX('Исходник'!$1:$626,MATCH($A610,'Исходник'!$T:$T,0),MATCH(R$1,'Исходник'!$1:$1,0)))</f>
        <v/>
      </c>
      <c r="S610" s="27">
        <f t="shared" si="7"/>
        <v>0</v>
      </c>
      <c r="T610" s="27" t="str">
        <f t="shared" si="8"/>
        <v/>
      </c>
      <c r="U610" s="1" t="str">
        <f t="array" ref="U610">IFERROR(INDEX('Исходник'!$1:$626,MATCH($A610,'Исходник'!$T:$T,0),MATCH(U$1,'Исходник'!$1:$1,0)))</f>
        <v/>
      </c>
      <c r="V610" s="27" t="str">
        <f t="shared" si="9"/>
        <v/>
      </c>
      <c r="W610" s="1" t="str">
        <f t="array" ref="W610">IFERROR(INDEX('Исходник'!$1:$626,MATCH($A610,'Исходник'!$T:$T,0),MATCH(W$1,'Исходник'!$1:$1,0)))</f>
        <v/>
      </c>
      <c r="X610" s="28">
        <f t="shared" si="10"/>
        <v>0</v>
      </c>
      <c r="Y610" s="1" t="str">
        <f t="array" ref="Y610">IFERROR(INDEX('Исходник'!$1:$626,MATCH($A610,'Исходник'!$T:$T,0),MATCH(Y$1,'Исходник'!$1:$1,0)))</f>
        <v/>
      </c>
      <c r="Z610" s="27">
        <f t="shared" si="11"/>
        <v>0</v>
      </c>
      <c r="AA610" s="27" t="str">
        <f t="shared" si="12"/>
        <v/>
      </c>
      <c r="AB610" s="1" t="str">
        <f t="array" ref="AB610">IFERROR(INDEX('Исходник'!$1:$626,MATCH($A610,'Исходник'!$T:$T,0),MATCH(AB$1,'Исходник'!$1:$1,0)))</f>
        <v/>
      </c>
      <c r="AC610" s="1" t="str">
        <f t="array" ref="AC610">IFERROR(INDEX('Исходник'!$1:$626,MATCH($A610,'Исходник'!$T:$T,0),MATCH(AC$1,'Исходник'!$1:$1,0)))</f>
        <v/>
      </c>
      <c r="AD610" s="27" t="str">
        <f t="shared" si="13"/>
        <v/>
      </c>
      <c r="AE610" s="1" t="str">
        <f t="array" ref="AE610">IFERROR(INDEX('Исходник'!$1:$626,MATCH($A610,'Исходник'!$T:$T,0),MATCH(AE$1,'Исходник'!$1:$1,0)))</f>
        <v/>
      </c>
      <c r="AF610" s="1" t="str">
        <f t="array" ref="AF610">IFERROR(INDEX('Исходник'!$1:$626,MATCH($A610,'Исходник'!$T:$T,0),MATCH(AF$1,'Исходник'!$1:$1,0)))</f>
        <v/>
      </c>
      <c r="AG610" s="27" t="str">
        <f t="shared" si="14"/>
        <v/>
      </c>
      <c r="AH610" s="1" t="str">
        <f t="array" ref="AH610">IFERROR(INDEX('Исходник'!$1:$626,MATCH($A610,'Исходник'!$T:$T,0),MATCH(AH$1,'Исходник'!$1:$1,0)))</f>
        <v/>
      </c>
      <c r="AI610" s="1" t="str">
        <f t="array" ref="AI610">IFERROR(INDEX('Исходник'!$1:$626,MATCH($A610,'Исходник'!$T:$T,0),MATCH(AI$1,'Исходник'!$1:$1,0)))</f>
        <v/>
      </c>
      <c r="AJ610" s="18">
        <f t="shared" si="15"/>
        <v>0</v>
      </c>
    </row>
    <row r="611" ht="15.75" customHeight="1">
      <c r="A611" s="27"/>
      <c r="B611" s="1" t="str">
        <f t="array" ref="B611">IFERROR(INDEX('Исходник'!$1:$626,MATCH($A611,'Исходник'!$T:$T,0),MATCH(B$1,'Исходник'!$1:$1,0)))</f>
        <v/>
      </c>
      <c r="C611" s="1" t="str">
        <f t="array" ref="C611">IFERROR(INDEX('Исходник'!$1:$626,MATCH($A611,'Исходник'!$T:$T,0),MATCH(C$1,'Исходник'!$1:$1,0)))</f>
        <v/>
      </c>
      <c r="D611" s="1" t="str">
        <f t="array" ref="D611">IFERROR(INDEX('Исходник'!$1:$626,MATCH($A611,'Исходник'!$T:$T,0),MATCH(D$1,'Исходник'!$1:$1,0)))</f>
        <v/>
      </c>
      <c r="E611" s="1" t="str">
        <f t="array" ref="E611">IFERROR(INDEX('Исходник'!$1:$626,MATCH($A611,'Исходник'!$T:$T,0),MATCH(E$1,'Исходник'!$1:$1,0)))</f>
        <v/>
      </c>
      <c r="F611" s="1" t="str">
        <f t="array" ref="F611">IFERROR(INDEX('Исходник'!$1:$626,MATCH($A611,'Исходник'!$T:$T,0),MATCH(F$1,'Исходник'!$1:$1,0)))</f>
        <v/>
      </c>
      <c r="G611" s="1" t="str">
        <f t="array" ref="G611">IFERROR(INDEX('Исходник'!$1:$626,MATCH($A611,'Исходник'!$T:$T,0),MATCH(G$1,'Исходник'!$1:$1,0)))</f>
        <v/>
      </c>
      <c r="H611" s="27">
        <f t="shared" si="1"/>
        <v>0</v>
      </c>
      <c r="I611" s="27" t="str">
        <f t="shared" si="2"/>
        <v/>
      </c>
      <c r="J611" s="1" t="str">
        <f t="array" ref="J611">IFERROR(INDEX('Исходник'!$1:$626,MATCH($A611,'Исходник'!$T:$T,0),MATCH(J$1,'Исходник'!$1:$1,0)))</f>
        <v/>
      </c>
      <c r="K611" s="27" t="str">
        <f t="shared" si="3"/>
        <v/>
      </c>
      <c r="L611" s="1" t="str">
        <f t="array" ref="L611">IFERROR(INDEX('Исходник'!$1:$626,MATCH($A611,'Исходник'!$T:$T,0),MATCH(L$1,'Исходник'!$1:$1,0)))</f>
        <v/>
      </c>
      <c r="M611" s="28">
        <f t="shared" si="4"/>
        <v>0</v>
      </c>
      <c r="N611" s="1" t="str">
        <f t="array" ref="N611">IFERROR(INDEX('Исходник'!$1:$626,MATCH($A611,'Исходник'!$T:$T,0),MATCH(N$1,'Исходник'!$1:$1,0)))</f>
        <v/>
      </c>
      <c r="O611" s="27">
        <f t="shared" si="5"/>
        <v>0</v>
      </c>
      <c r="P611" s="27" t="str">
        <f t="shared" si="6"/>
        <v/>
      </c>
      <c r="Q611" s="1" t="str">
        <f t="array" ref="Q611">IFERROR(INDEX('Исходник'!$1:$626,MATCH($A611,'Исходник'!$T:$T,0),MATCH(Q$1,'Исходник'!$1:$1,0)))</f>
        <v/>
      </c>
      <c r="R611" s="1" t="str">
        <f t="array" ref="R611">IFERROR(INDEX('Исходник'!$1:$626,MATCH($A611,'Исходник'!$T:$T,0),MATCH(R$1,'Исходник'!$1:$1,0)))</f>
        <v/>
      </c>
      <c r="S611" s="27">
        <f t="shared" si="7"/>
        <v>0</v>
      </c>
      <c r="T611" s="27" t="str">
        <f t="shared" si="8"/>
        <v/>
      </c>
      <c r="U611" s="1" t="str">
        <f t="array" ref="U611">IFERROR(INDEX('Исходник'!$1:$626,MATCH($A611,'Исходник'!$T:$T,0),MATCH(U$1,'Исходник'!$1:$1,0)))</f>
        <v/>
      </c>
      <c r="V611" s="27" t="str">
        <f t="shared" si="9"/>
        <v/>
      </c>
      <c r="W611" s="1" t="str">
        <f t="array" ref="W611">IFERROR(INDEX('Исходник'!$1:$626,MATCH($A611,'Исходник'!$T:$T,0),MATCH(W$1,'Исходник'!$1:$1,0)))</f>
        <v/>
      </c>
      <c r="X611" s="28">
        <f t="shared" si="10"/>
        <v>0</v>
      </c>
      <c r="Y611" s="1" t="str">
        <f t="array" ref="Y611">IFERROR(INDEX('Исходник'!$1:$626,MATCH($A611,'Исходник'!$T:$T,0),MATCH(Y$1,'Исходник'!$1:$1,0)))</f>
        <v/>
      </c>
      <c r="Z611" s="27">
        <f t="shared" si="11"/>
        <v>0</v>
      </c>
      <c r="AA611" s="27" t="str">
        <f t="shared" si="12"/>
        <v/>
      </c>
      <c r="AB611" s="1" t="str">
        <f t="array" ref="AB611">IFERROR(INDEX('Исходник'!$1:$626,MATCH($A611,'Исходник'!$T:$T,0),MATCH(AB$1,'Исходник'!$1:$1,0)))</f>
        <v/>
      </c>
      <c r="AC611" s="1" t="str">
        <f t="array" ref="AC611">IFERROR(INDEX('Исходник'!$1:$626,MATCH($A611,'Исходник'!$T:$T,0),MATCH(AC$1,'Исходник'!$1:$1,0)))</f>
        <v/>
      </c>
      <c r="AD611" s="27" t="str">
        <f t="shared" si="13"/>
        <v/>
      </c>
      <c r="AE611" s="1" t="str">
        <f t="array" ref="AE611">IFERROR(INDEX('Исходник'!$1:$626,MATCH($A611,'Исходник'!$T:$T,0),MATCH(AE$1,'Исходник'!$1:$1,0)))</f>
        <v/>
      </c>
      <c r="AF611" s="1" t="str">
        <f t="array" ref="AF611">IFERROR(INDEX('Исходник'!$1:$626,MATCH($A611,'Исходник'!$T:$T,0),MATCH(AF$1,'Исходник'!$1:$1,0)))</f>
        <v/>
      </c>
      <c r="AG611" s="27" t="str">
        <f t="shared" si="14"/>
        <v/>
      </c>
      <c r="AH611" s="1" t="str">
        <f t="array" ref="AH611">IFERROR(INDEX('Исходник'!$1:$626,MATCH($A611,'Исходник'!$T:$T,0),MATCH(AH$1,'Исходник'!$1:$1,0)))</f>
        <v/>
      </c>
      <c r="AI611" s="1" t="str">
        <f t="array" ref="AI611">IFERROR(INDEX('Исходник'!$1:$626,MATCH($A611,'Исходник'!$T:$T,0),MATCH(AI$1,'Исходник'!$1:$1,0)))</f>
        <v/>
      </c>
      <c r="AJ611" s="18">
        <f t="shared" si="15"/>
        <v>0</v>
      </c>
    </row>
    <row r="612" ht="15.75" customHeight="1">
      <c r="A612" s="27"/>
      <c r="B612" s="1" t="str">
        <f t="array" ref="B612">IFERROR(INDEX('Исходник'!$1:$626,MATCH($A612,'Исходник'!$T:$T,0),MATCH(B$1,'Исходник'!$1:$1,0)))</f>
        <v/>
      </c>
      <c r="C612" s="1" t="str">
        <f t="array" ref="C612">IFERROR(INDEX('Исходник'!$1:$626,MATCH($A612,'Исходник'!$T:$T,0),MATCH(C$1,'Исходник'!$1:$1,0)))</f>
        <v/>
      </c>
      <c r="D612" s="1" t="str">
        <f t="array" ref="D612">IFERROR(INDEX('Исходник'!$1:$626,MATCH($A612,'Исходник'!$T:$T,0),MATCH(D$1,'Исходник'!$1:$1,0)))</f>
        <v/>
      </c>
      <c r="E612" s="1" t="str">
        <f t="array" ref="E612">IFERROR(INDEX('Исходник'!$1:$626,MATCH($A612,'Исходник'!$T:$T,0),MATCH(E$1,'Исходник'!$1:$1,0)))</f>
        <v/>
      </c>
      <c r="F612" s="1" t="str">
        <f t="array" ref="F612">IFERROR(INDEX('Исходник'!$1:$626,MATCH($A612,'Исходник'!$T:$T,0),MATCH(F$1,'Исходник'!$1:$1,0)))</f>
        <v/>
      </c>
      <c r="G612" s="1" t="str">
        <f t="array" ref="G612">IFERROR(INDEX('Исходник'!$1:$626,MATCH($A612,'Исходник'!$T:$T,0),MATCH(G$1,'Исходник'!$1:$1,0)))</f>
        <v/>
      </c>
      <c r="H612" s="27">
        <f t="shared" si="1"/>
        <v>0</v>
      </c>
      <c r="I612" s="27" t="str">
        <f t="shared" si="2"/>
        <v/>
      </c>
      <c r="J612" s="1" t="str">
        <f t="array" ref="J612">IFERROR(INDEX('Исходник'!$1:$626,MATCH($A612,'Исходник'!$T:$T,0),MATCH(J$1,'Исходник'!$1:$1,0)))</f>
        <v/>
      </c>
      <c r="K612" s="27" t="str">
        <f t="shared" si="3"/>
        <v/>
      </c>
      <c r="L612" s="1" t="str">
        <f t="array" ref="L612">IFERROR(INDEX('Исходник'!$1:$626,MATCH($A612,'Исходник'!$T:$T,0),MATCH(L$1,'Исходник'!$1:$1,0)))</f>
        <v/>
      </c>
      <c r="M612" s="28">
        <f t="shared" si="4"/>
        <v>0</v>
      </c>
      <c r="N612" s="1" t="str">
        <f t="array" ref="N612">IFERROR(INDEX('Исходник'!$1:$626,MATCH($A612,'Исходник'!$T:$T,0),MATCH(N$1,'Исходник'!$1:$1,0)))</f>
        <v/>
      </c>
      <c r="O612" s="27">
        <f t="shared" si="5"/>
        <v>0</v>
      </c>
      <c r="P612" s="27" t="str">
        <f t="shared" si="6"/>
        <v/>
      </c>
      <c r="Q612" s="1" t="str">
        <f t="array" ref="Q612">IFERROR(INDEX('Исходник'!$1:$626,MATCH($A612,'Исходник'!$T:$T,0),MATCH(Q$1,'Исходник'!$1:$1,0)))</f>
        <v/>
      </c>
      <c r="R612" s="1" t="str">
        <f t="array" ref="R612">IFERROR(INDEX('Исходник'!$1:$626,MATCH($A612,'Исходник'!$T:$T,0),MATCH(R$1,'Исходник'!$1:$1,0)))</f>
        <v/>
      </c>
      <c r="S612" s="27">
        <f t="shared" si="7"/>
        <v>0</v>
      </c>
      <c r="T612" s="27" t="str">
        <f t="shared" si="8"/>
        <v/>
      </c>
      <c r="U612" s="1" t="str">
        <f t="array" ref="U612">IFERROR(INDEX('Исходник'!$1:$626,MATCH($A612,'Исходник'!$T:$T,0),MATCH(U$1,'Исходник'!$1:$1,0)))</f>
        <v/>
      </c>
      <c r="V612" s="27" t="str">
        <f t="shared" si="9"/>
        <v/>
      </c>
      <c r="W612" s="1" t="str">
        <f t="array" ref="W612">IFERROR(INDEX('Исходник'!$1:$626,MATCH($A612,'Исходник'!$T:$T,0),MATCH(W$1,'Исходник'!$1:$1,0)))</f>
        <v/>
      </c>
      <c r="X612" s="28">
        <f t="shared" si="10"/>
        <v>0</v>
      </c>
      <c r="Y612" s="1" t="str">
        <f t="array" ref="Y612">IFERROR(INDEX('Исходник'!$1:$626,MATCH($A612,'Исходник'!$T:$T,0),MATCH(Y$1,'Исходник'!$1:$1,0)))</f>
        <v/>
      </c>
      <c r="Z612" s="27">
        <f t="shared" si="11"/>
        <v>0</v>
      </c>
      <c r="AA612" s="27" t="str">
        <f t="shared" si="12"/>
        <v/>
      </c>
      <c r="AB612" s="1" t="str">
        <f t="array" ref="AB612">IFERROR(INDEX('Исходник'!$1:$626,MATCH($A612,'Исходник'!$T:$T,0),MATCH(AB$1,'Исходник'!$1:$1,0)))</f>
        <v/>
      </c>
      <c r="AC612" s="1" t="str">
        <f t="array" ref="AC612">IFERROR(INDEX('Исходник'!$1:$626,MATCH($A612,'Исходник'!$T:$T,0),MATCH(AC$1,'Исходник'!$1:$1,0)))</f>
        <v/>
      </c>
      <c r="AD612" s="27" t="str">
        <f t="shared" si="13"/>
        <v/>
      </c>
      <c r="AE612" s="1" t="str">
        <f t="array" ref="AE612">IFERROR(INDEX('Исходник'!$1:$626,MATCH($A612,'Исходник'!$T:$T,0),MATCH(AE$1,'Исходник'!$1:$1,0)))</f>
        <v/>
      </c>
      <c r="AF612" s="1" t="str">
        <f t="array" ref="AF612">IFERROR(INDEX('Исходник'!$1:$626,MATCH($A612,'Исходник'!$T:$T,0),MATCH(AF$1,'Исходник'!$1:$1,0)))</f>
        <v/>
      </c>
      <c r="AG612" s="27" t="str">
        <f t="shared" si="14"/>
        <v/>
      </c>
      <c r="AH612" s="1" t="str">
        <f t="array" ref="AH612">IFERROR(INDEX('Исходник'!$1:$626,MATCH($A612,'Исходник'!$T:$T,0),MATCH(AH$1,'Исходник'!$1:$1,0)))</f>
        <v/>
      </c>
      <c r="AI612" s="1" t="str">
        <f t="array" ref="AI612">IFERROR(INDEX('Исходник'!$1:$626,MATCH($A612,'Исходник'!$T:$T,0),MATCH(AI$1,'Исходник'!$1:$1,0)))</f>
        <v/>
      </c>
      <c r="AJ612" s="18">
        <f t="shared" si="15"/>
        <v>0</v>
      </c>
    </row>
    <row r="613" ht="15.75" customHeight="1">
      <c r="A613" s="27"/>
      <c r="B613" s="1" t="str">
        <f t="array" ref="B613">IFERROR(INDEX('Исходник'!$1:$626,MATCH($A613,'Исходник'!$T:$T,0),MATCH(B$1,'Исходник'!$1:$1,0)))</f>
        <v/>
      </c>
      <c r="C613" s="1" t="str">
        <f t="array" ref="C613">IFERROR(INDEX('Исходник'!$1:$626,MATCH($A613,'Исходник'!$T:$T,0),MATCH(C$1,'Исходник'!$1:$1,0)))</f>
        <v/>
      </c>
      <c r="D613" s="1" t="str">
        <f t="array" ref="D613">IFERROR(INDEX('Исходник'!$1:$626,MATCH($A613,'Исходник'!$T:$T,0),MATCH(D$1,'Исходник'!$1:$1,0)))</f>
        <v/>
      </c>
      <c r="E613" s="1" t="str">
        <f t="array" ref="E613">IFERROR(INDEX('Исходник'!$1:$626,MATCH($A613,'Исходник'!$T:$T,0),MATCH(E$1,'Исходник'!$1:$1,0)))</f>
        <v/>
      </c>
      <c r="F613" s="1" t="str">
        <f t="array" ref="F613">IFERROR(INDEX('Исходник'!$1:$626,MATCH($A613,'Исходник'!$T:$T,0),MATCH(F$1,'Исходник'!$1:$1,0)))</f>
        <v/>
      </c>
      <c r="G613" s="1" t="str">
        <f t="array" ref="G613">IFERROR(INDEX('Исходник'!$1:$626,MATCH($A613,'Исходник'!$T:$T,0),MATCH(G$1,'Исходник'!$1:$1,0)))</f>
        <v/>
      </c>
      <c r="H613" s="27">
        <f t="shared" si="1"/>
        <v>0</v>
      </c>
      <c r="I613" s="27" t="str">
        <f t="shared" si="2"/>
        <v/>
      </c>
      <c r="J613" s="1" t="str">
        <f t="array" ref="J613">IFERROR(INDEX('Исходник'!$1:$626,MATCH($A613,'Исходник'!$T:$T,0),MATCH(J$1,'Исходник'!$1:$1,0)))</f>
        <v/>
      </c>
      <c r="K613" s="27" t="str">
        <f t="shared" si="3"/>
        <v/>
      </c>
      <c r="L613" s="1" t="str">
        <f t="array" ref="L613">IFERROR(INDEX('Исходник'!$1:$626,MATCH($A613,'Исходник'!$T:$T,0),MATCH(L$1,'Исходник'!$1:$1,0)))</f>
        <v/>
      </c>
      <c r="M613" s="28">
        <f t="shared" si="4"/>
        <v>0</v>
      </c>
      <c r="N613" s="1" t="str">
        <f t="array" ref="N613">IFERROR(INDEX('Исходник'!$1:$626,MATCH($A613,'Исходник'!$T:$T,0),MATCH(N$1,'Исходник'!$1:$1,0)))</f>
        <v/>
      </c>
      <c r="O613" s="27">
        <f t="shared" si="5"/>
        <v>0</v>
      </c>
      <c r="P613" s="27" t="str">
        <f t="shared" si="6"/>
        <v/>
      </c>
      <c r="Q613" s="1" t="str">
        <f t="array" ref="Q613">IFERROR(INDEX('Исходник'!$1:$626,MATCH($A613,'Исходник'!$T:$T,0),MATCH(Q$1,'Исходник'!$1:$1,0)))</f>
        <v/>
      </c>
      <c r="R613" s="1" t="str">
        <f t="array" ref="R613">IFERROR(INDEX('Исходник'!$1:$626,MATCH($A613,'Исходник'!$T:$T,0),MATCH(R$1,'Исходник'!$1:$1,0)))</f>
        <v/>
      </c>
      <c r="S613" s="27">
        <f t="shared" si="7"/>
        <v>0</v>
      </c>
      <c r="T613" s="27" t="str">
        <f t="shared" si="8"/>
        <v/>
      </c>
      <c r="U613" s="1" t="str">
        <f t="array" ref="U613">IFERROR(INDEX('Исходник'!$1:$626,MATCH($A613,'Исходник'!$T:$T,0),MATCH(U$1,'Исходник'!$1:$1,0)))</f>
        <v/>
      </c>
      <c r="V613" s="27" t="str">
        <f t="shared" si="9"/>
        <v/>
      </c>
      <c r="W613" s="1" t="str">
        <f t="array" ref="W613">IFERROR(INDEX('Исходник'!$1:$626,MATCH($A613,'Исходник'!$T:$T,0),MATCH(W$1,'Исходник'!$1:$1,0)))</f>
        <v/>
      </c>
      <c r="X613" s="28">
        <f t="shared" si="10"/>
        <v>0</v>
      </c>
      <c r="Y613" s="1" t="str">
        <f t="array" ref="Y613">IFERROR(INDEX('Исходник'!$1:$626,MATCH($A613,'Исходник'!$T:$T,0),MATCH(Y$1,'Исходник'!$1:$1,0)))</f>
        <v/>
      </c>
      <c r="Z613" s="27">
        <f t="shared" si="11"/>
        <v>0</v>
      </c>
      <c r="AA613" s="27" t="str">
        <f t="shared" si="12"/>
        <v/>
      </c>
      <c r="AB613" s="1" t="str">
        <f t="array" ref="AB613">IFERROR(INDEX('Исходник'!$1:$626,MATCH($A613,'Исходник'!$T:$T,0),MATCH(AB$1,'Исходник'!$1:$1,0)))</f>
        <v/>
      </c>
      <c r="AC613" s="1" t="str">
        <f t="array" ref="AC613">IFERROR(INDEX('Исходник'!$1:$626,MATCH($A613,'Исходник'!$T:$T,0),MATCH(AC$1,'Исходник'!$1:$1,0)))</f>
        <v/>
      </c>
      <c r="AD613" s="27" t="str">
        <f t="shared" si="13"/>
        <v/>
      </c>
      <c r="AE613" s="1" t="str">
        <f t="array" ref="AE613">IFERROR(INDEX('Исходник'!$1:$626,MATCH($A613,'Исходник'!$T:$T,0),MATCH(AE$1,'Исходник'!$1:$1,0)))</f>
        <v/>
      </c>
      <c r="AF613" s="1" t="str">
        <f t="array" ref="AF613">IFERROR(INDEX('Исходник'!$1:$626,MATCH($A613,'Исходник'!$T:$T,0),MATCH(AF$1,'Исходник'!$1:$1,0)))</f>
        <v/>
      </c>
      <c r="AG613" s="27" t="str">
        <f t="shared" si="14"/>
        <v/>
      </c>
      <c r="AH613" s="1" t="str">
        <f t="array" ref="AH613">IFERROR(INDEX('Исходник'!$1:$626,MATCH($A613,'Исходник'!$T:$T,0),MATCH(AH$1,'Исходник'!$1:$1,0)))</f>
        <v/>
      </c>
      <c r="AI613" s="1" t="str">
        <f t="array" ref="AI613">IFERROR(INDEX('Исходник'!$1:$626,MATCH($A613,'Исходник'!$T:$T,0),MATCH(AI$1,'Исходник'!$1:$1,0)))</f>
        <v/>
      </c>
      <c r="AJ613" s="18">
        <f t="shared" si="15"/>
        <v>0</v>
      </c>
    </row>
    <row r="614" ht="15.75" customHeight="1">
      <c r="A614" s="27"/>
      <c r="B614" s="1" t="str">
        <f t="array" ref="B614">IFERROR(INDEX('Исходник'!$1:$626,MATCH($A614,'Исходник'!$T:$T,0),MATCH(B$1,'Исходник'!$1:$1,0)))</f>
        <v/>
      </c>
      <c r="C614" s="1" t="str">
        <f t="array" ref="C614">IFERROR(INDEX('Исходник'!$1:$626,MATCH($A614,'Исходник'!$T:$T,0),MATCH(C$1,'Исходник'!$1:$1,0)))</f>
        <v/>
      </c>
      <c r="D614" s="1" t="str">
        <f t="array" ref="D614">IFERROR(INDEX('Исходник'!$1:$626,MATCH($A614,'Исходник'!$T:$T,0),MATCH(D$1,'Исходник'!$1:$1,0)))</f>
        <v/>
      </c>
      <c r="E614" s="1" t="str">
        <f t="array" ref="E614">IFERROR(INDEX('Исходник'!$1:$626,MATCH($A614,'Исходник'!$T:$T,0),MATCH(E$1,'Исходник'!$1:$1,0)))</f>
        <v/>
      </c>
      <c r="F614" s="1" t="str">
        <f t="array" ref="F614">IFERROR(INDEX('Исходник'!$1:$626,MATCH($A614,'Исходник'!$T:$T,0),MATCH(F$1,'Исходник'!$1:$1,0)))</f>
        <v/>
      </c>
      <c r="G614" s="1" t="str">
        <f t="array" ref="G614">IFERROR(INDEX('Исходник'!$1:$626,MATCH($A614,'Исходник'!$T:$T,0),MATCH(G$1,'Исходник'!$1:$1,0)))</f>
        <v/>
      </c>
      <c r="H614" s="27">
        <f t="shared" si="1"/>
        <v>0</v>
      </c>
      <c r="I614" s="27" t="str">
        <f t="shared" si="2"/>
        <v/>
      </c>
      <c r="J614" s="1" t="str">
        <f t="array" ref="J614">IFERROR(INDEX('Исходник'!$1:$626,MATCH($A614,'Исходник'!$T:$T,0),MATCH(J$1,'Исходник'!$1:$1,0)))</f>
        <v/>
      </c>
      <c r="K614" s="27" t="str">
        <f t="shared" si="3"/>
        <v/>
      </c>
      <c r="L614" s="1" t="str">
        <f t="array" ref="L614">IFERROR(INDEX('Исходник'!$1:$626,MATCH($A614,'Исходник'!$T:$T,0),MATCH(L$1,'Исходник'!$1:$1,0)))</f>
        <v/>
      </c>
      <c r="M614" s="28">
        <f t="shared" si="4"/>
        <v>0</v>
      </c>
      <c r="N614" s="1" t="str">
        <f t="array" ref="N614">IFERROR(INDEX('Исходник'!$1:$626,MATCH($A614,'Исходник'!$T:$T,0),MATCH(N$1,'Исходник'!$1:$1,0)))</f>
        <v/>
      </c>
      <c r="O614" s="27">
        <f t="shared" si="5"/>
        <v>0</v>
      </c>
      <c r="P614" s="27" t="str">
        <f t="shared" si="6"/>
        <v/>
      </c>
      <c r="Q614" s="1" t="str">
        <f t="array" ref="Q614">IFERROR(INDEX('Исходник'!$1:$626,MATCH($A614,'Исходник'!$T:$T,0),MATCH(Q$1,'Исходник'!$1:$1,0)))</f>
        <v/>
      </c>
      <c r="R614" s="1" t="str">
        <f t="array" ref="R614">IFERROR(INDEX('Исходник'!$1:$626,MATCH($A614,'Исходник'!$T:$T,0),MATCH(R$1,'Исходник'!$1:$1,0)))</f>
        <v/>
      </c>
      <c r="S614" s="27">
        <f t="shared" si="7"/>
        <v>0</v>
      </c>
      <c r="T614" s="27" t="str">
        <f t="shared" si="8"/>
        <v/>
      </c>
      <c r="U614" s="1" t="str">
        <f t="array" ref="U614">IFERROR(INDEX('Исходник'!$1:$626,MATCH($A614,'Исходник'!$T:$T,0),MATCH(U$1,'Исходник'!$1:$1,0)))</f>
        <v/>
      </c>
      <c r="V614" s="27" t="str">
        <f t="shared" si="9"/>
        <v/>
      </c>
      <c r="W614" s="1" t="str">
        <f t="array" ref="W614">IFERROR(INDEX('Исходник'!$1:$626,MATCH($A614,'Исходник'!$T:$T,0),MATCH(W$1,'Исходник'!$1:$1,0)))</f>
        <v/>
      </c>
      <c r="X614" s="28">
        <f t="shared" si="10"/>
        <v>0</v>
      </c>
      <c r="Y614" s="1" t="str">
        <f t="array" ref="Y614">IFERROR(INDEX('Исходник'!$1:$626,MATCH($A614,'Исходник'!$T:$T,0),MATCH(Y$1,'Исходник'!$1:$1,0)))</f>
        <v/>
      </c>
      <c r="Z614" s="27">
        <f t="shared" si="11"/>
        <v>0</v>
      </c>
      <c r="AA614" s="27" t="str">
        <f t="shared" si="12"/>
        <v/>
      </c>
      <c r="AB614" s="1" t="str">
        <f t="array" ref="AB614">IFERROR(INDEX('Исходник'!$1:$626,MATCH($A614,'Исходник'!$T:$T,0),MATCH(AB$1,'Исходник'!$1:$1,0)))</f>
        <v/>
      </c>
      <c r="AC614" s="1" t="str">
        <f t="array" ref="AC614">IFERROR(INDEX('Исходник'!$1:$626,MATCH($A614,'Исходник'!$T:$T,0),MATCH(AC$1,'Исходник'!$1:$1,0)))</f>
        <v/>
      </c>
      <c r="AD614" s="27" t="str">
        <f t="shared" si="13"/>
        <v/>
      </c>
      <c r="AE614" s="1" t="str">
        <f t="array" ref="AE614">IFERROR(INDEX('Исходник'!$1:$626,MATCH($A614,'Исходник'!$T:$T,0),MATCH(AE$1,'Исходник'!$1:$1,0)))</f>
        <v/>
      </c>
      <c r="AF614" s="1" t="str">
        <f t="array" ref="AF614">IFERROR(INDEX('Исходник'!$1:$626,MATCH($A614,'Исходник'!$T:$T,0),MATCH(AF$1,'Исходник'!$1:$1,0)))</f>
        <v/>
      </c>
      <c r="AG614" s="27" t="str">
        <f t="shared" si="14"/>
        <v/>
      </c>
      <c r="AH614" s="1" t="str">
        <f t="array" ref="AH614">IFERROR(INDEX('Исходник'!$1:$626,MATCH($A614,'Исходник'!$T:$T,0),MATCH(AH$1,'Исходник'!$1:$1,0)))</f>
        <v/>
      </c>
      <c r="AI614" s="1" t="str">
        <f t="array" ref="AI614">IFERROR(INDEX('Исходник'!$1:$626,MATCH($A614,'Исходник'!$T:$T,0),MATCH(AI$1,'Исходник'!$1:$1,0)))</f>
        <v/>
      </c>
      <c r="AJ614" s="18">
        <f t="shared" si="15"/>
        <v>0</v>
      </c>
    </row>
    <row r="615" ht="15.75" customHeight="1">
      <c r="A615" s="27"/>
      <c r="B615" s="1" t="str">
        <f t="array" ref="B615">IFERROR(INDEX('Исходник'!$1:$626,MATCH($A615,'Исходник'!$T:$T,0),MATCH(B$1,'Исходник'!$1:$1,0)))</f>
        <v/>
      </c>
      <c r="C615" s="1" t="str">
        <f t="array" ref="C615">IFERROR(INDEX('Исходник'!$1:$626,MATCH($A615,'Исходник'!$T:$T,0),MATCH(C$1,'Исходник'!$1:$1,0)))</f>
        <v/>
      </c>
      <c r="D615" s="1" t="str">
        <f t="array" ref="D615">IFERROR(INDEX('Исходник'!$1:$626,MATCH($A615,'Исходник'!$T:$T,0),MATCH(D$1,'Исходник'!$1:$1,0)))</f>
        <v/>
      </c>
      <c r="E615" s="1" t="str">
        <f t="array" ref="E615">IFERROR(INDEX('Исходник'!$1:$626,MATCH($A615,'Исходник'!$T:$T,0),MATCH(E$1,'Исходник'!$1:$1,0)))</f>
        <v/>
      </c>
      <c r="F615" s="1" t="str">
        <f t="array" ref="F615">IFERROR(INDEX('Исходник'!$1:$626,MATCH($A615,'Исходник'!$T:$T,0),MATCH(F$1,'Исходник'!$1:$1,0)))</f>
        <v/>
      </c>
      <c r="G615" s="1" t="str">
        <f t="array" ref="G615">IFERROR(INDEX('Исходник'!$1:$626,MATCH($A615,'Исходник'!$T:$T,0),MATCH(G$1,'Исходник'!$1:$1,0)))</f>
        <v/>
      </c>
      <c r="H615" s="27">
        <f t="shared" si="1"/>
        <v>0</v>
      </c>
      <c r="I615" s="27" t="str">
        <f t="shared" si="2"/>
        <v/>
      </c>
      <c r="J615" s="1" t="str">
        <f t="array" ref="J615">IFERROR(INDEX('Исходник'!$1:$626,MATCH($A615,'Исходник'!$T:$T,0),MATCH(J$1,'Исходник'!$1:$1,0)))</f>
        <v/>
      </c>
      <c r="K615" s="27" t="str">
        <f t="shared" si="3"/>
        <v/>
      </c>
      <c r="L615" s="1" t="str">
        <f t="array" ref="L615">IFERROR(INDEX('Исходник'!$1:$626,MATCH($A615,'Исходник'!$T:$T,0),MATCH(L$1,'Исходник'!$1:$1,0)))</f>
        <v/>
      </c>
      <c r="M615" s="28">
        <f t="shared" si="4"/>
        <v>0</v>
      </c>
      <c r="N615" s="1" t="str">
        <f t="array" ref="N615">IFERROR(INDEX('Исходник'!$1:$626,MATCH($A615,'Исходник'!$T:$T,0),MATCH(N$1,'Исходник'!$1:$1,0)))</f>
        <v/>
      </c>
      <c r="O615" s="27">
        <f t="shared" si="5"/>
        <v>0</v>
      </c>
      <c r="P615" s="27" t="str">
        <f t="shared" si="6"/>
        <v/>
      </c>
      <c r="Q615" s="1" t="str">
        <f t="array" ref="Q615">IFERROR(INDEX('Исходник'!$1:$626,MATCH($A615,'Исходник'!$T:$T,0),MATCH(Q$1,'Исходник'!$1:$1,0)))</f>
        <v/>
      </c>
      <c r="R615" s="1" t="str">
        <f t="array" ref="R615">IFERROR(INDEX('Исходник'!$1:$626,MATCH($A615,'Исходник'!$T:$T,0),MATCH(R$1,'Исходник'!$1:$1,0)))</f>
        <v/>
      </c>
      <c r="S615" s="27">
        <f t="shared" si="7"/>
        <v>0</v>
      </c>
      <c r="T615" s="27" t="str">
        <f t="shared" si="8"/>
        <v/>
      </c>
      <c r="U615" s="1" t="str">
        <f t="array" ref="U615">IFERROR(INDEX('Исходник'!$1:$626,MATCH($A615,'Исходник'!$T:$T,0),MATCH(U$1,'Исходник'!$1:$1,0)))</f>
        <v/>
      </c>
      <c r="V615" s="27" t="str">
        <f t="shared" si="9"/>
        <v/>
      </c>
      <c r="W615" s="1" t="str">
        <f t="array" ref="W615">IFERROR(INDEX('Исходник'!$1:$626,MATCH($A615,'Исходник'!$T:$T,0),MATCH(W$1,'Исходник'!$1:$1,0)))</f>
        <v/>
      </c>
      <c r="X615" s="28">
        <f t="shared" si="10"/>
        <v>0</v>
      </c>
      <c r="Y615" s="1" t="str">
        <f t="array" ref="Y615">IFERROR(INDEX('Исходник'!$1:$626,MATCH($A615,'Исходник'!$T:$T,0),MATCH(Y$1,'Исходник'!$1:$1,0)))</f>
        <v/>
      </c>
      <c r="Z615" s="27">
        <f t="shared" si="11"/>
        <v>0</v>
      </c>
      <c r="AA615" s="27" t="str">
        <f t="shared" si="12"/>
        <v/>
      </c>
      <c r="AB615" s="1" t="str">
        <f t="array" ref="AB615">IFERROR(INDEX('Исходник'!$1:$626,MATCH($A615,'Исходник'!$T:$T,0),MATCH(AB$1,'Исходник'!$1:$1,0)))</f>
        <v/>
      </c>
      <c r="AC615" s="1" t="str">
        <f t="array" ref="AC615">IFERROR(INDEX('Исходник'!$1:$626,MATCH($A615,'Исходник'!$T:$T,0),MATCH(AC$1,'Исходник'!$1:$1,0)))</f>
        <v/>
      </c>
      <c r="AD615" s="27" t="str">
        <f t="shared" si="13"/>
        <v/>
      </c>
      <c r="AE615" s="1" t="str">
        <f t="array" ref="AE615">IFERROR(INDEX('Исходник'!$1:$626,MATCH($A615,'Исходник'!$T:$T,0),MATCH(AE$1,'Исходник'!$1:$1,0)))</f>
        <v/>
      </c>
      <c r="AF615" s="1" t="str">
        <f t="array" ref="AF615">IFERROR(INDEX('Исходник'!$1:$626,MATCH($A615,'Исходник'!$T:$T,0),MATCH(AF$1,'Исходник'!$1:$1,0)))</f>
        <v/>
      </c>
      <c r="AG615" s="27" t="str">
        <f t="shared" si="14"/>
        <v/>
      </c>
      <c r="AH615" s="1" t="str">
        <f t="array" ref="AH615">IFERROR(INDEX('Исходник'!$1:$626,MATCH($A615,'Исходник'!$T:$T,0),MATCH(AH$1,'Исходник'!$1:$1,0)))</f>
        <v/>
      </c>
      <c r="AI615" s="1" t="str">
        <f t="array" ref="AI615">IFERROR(INDEX('Исходник'!$1:$626,MATCH($A615,'Исходник'!$T:$T,0),MATCH(AI$1,'Исходник'!$1:$1,0)))</f>
        <v/>
      </c>
      <c r="AJ615" s="18">
        <f t="shared" si="15"/>
        <v>0</v>
      </c>
    </row>
    <row r="616" ht="15.75" customHeight="1">
      <c r="A616" s="27"/>
      <c r="B616" s="1" t="str">
        <f t="array" ref="B616">IFERROR(INDEX('Исходник'!$1:$626,MATCH($A616,'Исходник'!$T:$T,0),MATCH(B$1,'Исходник'!$1:$1,0)))</f>
        <v/>
      </c>
      <c r="C616" s="1" t="str">
        <f t="array" ref="C616">IFERROR(INDEX('Исходник'!$1:$626,MATCH($A616,'Исходник'!$T:$T,0),MATCH(C$1,'Исходник'!$1:$1,0)))</f>
        <v/>
      </c>
      <c r="D616" s="1" t="str">
        <f t="array" ref="D616">IFERROR(INDEX('Исходник'!$1:$626,MATCH($A616,'Исходник'!$T:$T,0),MATCH(D$1,'Исходник'!$1:$1,0)))</f>
        <v/>
      </c>
      <c r="E616" s="1" t="str">
        <f t="array" ref="E616">IFERROR(INDEX('Исходник'!$1:$626,MATCH($A616,'Исходник'!$T:$T,0),MATCH(E$1,'Исходник'!$1:$1,0)))</f>
        <v/>
      </c>
      <c r="F616" s="1" t="str">
        <f t="array" ref="F616">IFERROR(INDEX('Исходник'!$1:$626,MATCH($A616,'Исходник'!$T:$T,0),MATCH(F$1,'Исходник'!$1:$1,0)))</f>
        <v/>
      </c>
      <c r="G616" s="1" t="str">
        <f t="array" ref="G616">IFERROR(INDEX('Исходник'!$1:$626,MATCH($A616,'Исходник'!$T:$T,0),MATCH(G$1,'Исходник'!$1:$1,0)))</f>
        <v/>
      </c>
      <c r="H616" s="27">
        <f t="shared" si="1"/>
        <v>0</v>
      </c>
      <c r="I616" s="27" t="str">
        <f t="shared" si="2"/>
        <v/>
      </c>
      <c r="J616" s="1" t="str">
        <f t="array" ref="J616">IFERROR(INDEX('Исходник'!$1:$626,MATCH($A616,'Исходник'!$T:$T,0),MATCH(J$1,'Исходник'!$1:$1,0)))</f>
        <v/>
      </c>
      <c r="K616" s="27" t="str">
        <f t="shared" si="3"/>
        <v/>
      </c>
      <c r="L616" s="1" t="str">
        <f t="array" ref="L616">IFERROR(INDEX('Исходник'!$1:$626,MATCH($A616,'Исходник'!$T:$T,0),MATCH(L$1,'Исходник'!$1:$1,0)))</f>
        <v/>
      </c>
      <c r="M616" s="28">
        <f t="shared" si="4"/>
        <v>0</v>
      </c>
      <c r="N616" s="1" t="str">
        <f t="array" ref="N616">IFERROR(INDEX('Исходник'!$1:$626,MATCH($A616,'Исходник'!$T:$T,0),MATCH(N$1,'Исходник'!$1:$1,0)))</f>
        <v/>
      </c>
      <c r="O616" s="27">
        <f t="shared" si="5"/>
        <v>0</v>
      </c>
      <c r="P616" s="27" t="str">
        <f t="shared" si="6"/>
        <v/>
      </c>
      <c r="Q616" s="1" t="str">
        <f t="array" ref="Q616">IFERROR(INDEX('Исходник'!$1:$626,MATCH($A616,'Исходник'!$T:$T,0),MATCH(Q$1,'Исходник'!$1:$1,0)))</f>
        <v/>
      </c>
      <c r="R616" s="1" t="str">
        <f t="array" ref="R616">IFERROR(INDEX('Исходник'!$1:$626,MATCH($A616,'Исходник'!$T:$T,0),MATCH(R$1,'Исходник'!$1:$1,0)))</f>
        <v/>
      </c>
      <c r="S616" s="27">
        <f t="shared" si="7"/>
        <v>0</v>
      </c>
      <c r="T616" s="27" t="str">
        <f t="shared" si="8"/>
        <v/>
      </c>
      <c r="U616" s="1" t="str">
        <f t="array" ref="U616">IFERROR(INDEX('Исходник'!$1:$626,MATCH($A616,'Исходник'!$T:$T,0),MATCH(U$1,'Исходник'!$1:$1,0)))</f>
        <v/>
      </c>
      <c r="V616" s="27" t="str">
        <f t="shared" si="9"/>
        <v/>
      </c>
      <c r="W616" s="1" t="str">
        <f t="array" ref="W616">IFERROR(INDEX('Исходник'!$1:$626,MATCH($A616,'Исходник'!$T:$T,0),MATCH(W$1,'Исходник'!$1:$1,0)))</f>
        <v/>
      </c>
      <c r="X616" s="28">
        <f t="shared" si="10"/>
        <v>0</v>
      </c>
      <c r="Y616" s="1" t="str">
        <f t="array" ref="Y616">IFERROR(INDEX('Исходник'!$1:$626,MATCH($A616,'Исходник'!$T:$T,0),MATCH(Y$1,'Исходник'!$1:$1,0)))</f>
        <v/>
      </c>
      <c r="Z616" s="27">
        <f t="shared" si="11"/>
        <v>0</v>
      </c>
      <c r="AA616" s="27" t="str">
        <f t="shared" si="12"/>
        <v/>
      </c>
      <c r="AB616" s="1" t="str">
        <f t="array" ref="AB616">IFERROR(INDEX('Исходник'!$1:$626,MATCH($A616,'Исходник'!$T:$T,0),MATCH(AB$1,'Исходник'!$1:$1,0)))</f>
        <v/>
      </c>
      <c r="AC616" s="1" t="str">
        <f t="array" ref="AC616">IFERROR(INDEX('Исходник'!$1:$626,MATCH($A616,'Исходник'!$T:$T,0),MATCH(AC$1,'Исходник'!$1:$1,0)))</f>
        <v/>
      </c>
      <c r="AD616" s="27" t="str">
        <f t="shared" si="13"/>
        <v/>
      </c>
      <c r="AE616" s="1" t="str">
        <f t="array" ref="AE616">IFERROR(INDEX('Исходник'!$1:$626,MATCH($A616,'Исходник'!$T:$T,0),MATCH(AE$1,'Исходник'!$1:$1,0)))</f>
        <v/>
      </c>
      <c r="AF616" s="1" t="str">
        <f t="array" ref="AF616">IFERROR(INDEX('Исходник'!$1:$626,MATCH($A616,'Исходник'!$T:$T,0),MATCH(AF$1,'Исходник'!$1:$1,0)))</f>
        <v/>
      </c>
      <c r="AG616" s="27" t="str">
        <f t="shared" si="14"/>
        <v/>
      </c>
      <c r="AH616" s="1" t="str">
        <f t="array" ref="AH616">IFERROR(INDEX('Исходник'!$1:$626,MATCH($A616,'Исходник'!$T:$T,0),MATCH(AH$1,'Исходник'!$1:$1,0)))</f>
        <v/>
      </c>
      <c r="AI616" s="1" t="str">
        <f t="array" ref="AI616">IFERROR(INDEX('Исходник'!$1:$626,MATCH($A616,'Исходник'!$T:$T,0),MATCH(AI$1,'Исходник'!$1:$1,0)))</f>
        <v/>
      </c>
      <c r="AJ616" s="18">
        <f t="shared" si="15"/>
        <v>0</v>
      </c>
    </row>
    <row r="617" ht="15.75" customHeight="1">
      <c r="A617" s="27"/>
      <c r="B617" s="1" t="str">
        <f t="array" ref="B617">IFERROR(INDEX('Исходник'!$1:$626,MATCH($A617,'Исходник'!$T:$T,0),MATCH(B$1,'Исходник'!$1:$1,0)))</f>
        <v/>
      </c>
      <c r="C617" s="1" t="str">
        <f t="array" ref="C617">IFERROR(INDEX('Исходник'!$1:$626,MATCH($A617,'Исходник'!$T:$T,0),MATCH(C$1,'Исходник'!$1:$1,0)))</f>
        <v/>
      </c>
      <c r="D617" s="1" t="str">
        <f t="array" ref="D617">IFERROR(INDEX('Исходник'!$1:$626,MATCH($A617,'Исходник'!$T:$T,0),MATCH(D$1,'Исходник'!$1:$1,0)))</f>
        <v/>
      </c>
      <c r="E617" s="1" t="str">
        <f t="array" ref="E617">IFERROR(INDEX('Исходник'!$1:$626,MATCH($A617,'Исходник'!$T:$T,0),MATCH(E$1,'Исходник'!$1:$1,0)))</f>
        <v/>
      </c>
      <c r="F617" s="1" t="str">
        <f t="array" ref="F617">IFERROR(INDEX('Исходник'!$1:$626,MATCH($A617,'Исходник'!$T:$T,0),MATCH(F$1,'Исходник'!$1:$1,0)))</f>
        <v/>
      </c>
      <c r="G617" s="1" t="str">
        <f t="array" ref="G617">IFERROR(INDEX('Исходник'!$1:$626,MATCH($A617,'Исходник'!$T:$T,0),MATCH(G$1,'Исходник'!$1:$1,0)))</f>
        <v/>
      </c>
      <c r="H617" s="27">
        <f t="shared" si="1"/>
        <v>0</v>
      </c>
      <c r="I617" s="27" t="str">
        <f t="shared" si="2"/>
        <v/>
      </c>
      <c r="J617" s="1" t="str">
        <f t="array" ref="J617">IFERROR(INDEX('Исходник'!$1:$626,MATCH($A617,'Исходник'!$T:$T,0),MATCH(J$1,'Исходник'!$1:$1,0)))</f>
        <v/>
      </c>
      <c r="K617" s="27" t="str">
        <f t="shared" si="3"/>
        <v/>
      </c>
      <c r="L617" s="1" t="str">
        <f t="array" ref="L617">IFERROR(INDEX('Исходник'!$1:$626,MATCH($A617,'Исходник'!$T:$T,0),MATCH(L$1,'Исходник'!$1:$1,0)))</f>
        <v/>
      </c>
      <c r="M617" s="28">
        <f t="shared" si="4"/>
        <v>0</v>
      </c>
      <c r="N617" s="1" t="str">
        <f t="array" ref="N617">IFERROR(INDEX('Исходник'!$1:$626,MATCH($A617,'Исходник'!$T:$T,0),MATCH(N$1,'Исходник'!$1:$1,0)))</f>
        <v/>
      </c>
      <c r="O617" s="27">
        <f t="shared" si="5"/>
        <v>0</v>
      </c>
      <c r="P617" s="27" t="str">
        <f t="shared" si="6"/>
        <v/>
      </c>
      <c r="Q617" s="1" t="str">
        <f t="array" ref="Q617">IFERROR(INDEX('Исходник'!$1:$626,MATCH($A617,'Исходник'!$T:$T,0),MATCH(Q$1,'Исходник'!$1:$1,0)))</f>
        <v/>
      </c>
      <c r="R617" s="1" t="str">
        <f t="array" ref="R617">IFERROR(INDEX('Исходник'!$1:$626,MATCH($A617,'Исходник'!$T:$T,0),MATCH(R$1,'Исходник'!$1:$1,0)))</f>
        <v/>
      </c>
      <c r="S617" s="27">
        <f t="shared" si="7"/>
        <v>0</v>
      </c>
      <c r="T617" s="27" t="str">
        <f t="shared" si="8"/>
        <v/>
      </c>
      <c r="U617" s="1" t="str">
        <f t="array" ref="U617">IFERROR(INDEX('Исходник'!$1:$626,MATCH($A617,'Исходник'!$T:$T,0),MATCH(U$1,'Исходник'!$1:$1,0)))</f>
        <v/>
      </c>
      <c r="V617" s="27" t="str">
        <f t="shared" si="9"/>
        <v/>
      </c>
      <c r="W617" s="1" t="str">
        <f t="array" ref="W617">IFERROR(INDEX('Исходник'!$1:$626,MATCH($A617,'Исходник'!$T:$T,0),MATCH(W$1,'Исходник'!$1:$1,0)))</f>
        <v/>
      </c>
      <c r="X617" s="28">
        <f t="shared" si="10"/>
        <v>0</v>
      </c>
      <c r="Y617" s="1" t="str">
        <f t="array" ref="Y617">IFERROR(INDEX('Исходник'!$1:$626,MATCH($A617,'Исходник'!$T:$T,0),MATCH(Y$1,'Исходник'!$1:$1,0)))</f>
        <v/>
      </c>
      <c r="Z617" s="27">
        <f t="shared" si="11"/>
        <v>0</v>
      </c>
      <c r="AA617" s="27" t="str">
        <f t="shared" si="12"/>
        <v/>
      </c>
      <c r="AB617" s="1" t="str">
        <f t="array" ref="AB617">IFERROR(INDEX('Исходник'!$1:$626,MATCH($A617,'Исходник'!$T:$T,0),MATCH(AB$1,'Исходник'!$1:$1,0)))</f>
        <v/>
      </c>
      <c r="AC617" s="1" t="str">
        <f t="array" ref="AC617">IFERROR(INDEX('Исходник'!$1:$626,MATCH($A617,'Исходник'!$T:$T,0),MATCH(AC$1,'Исходник'!$1:$1,0)))</f>
        <v/>
      </c>
      <c r="AD617" s="27" t="str">
        <f t="shared" si="13"/>
        <v/>
      </c>
      <c r="AE617" s="1" t="str">
        <f t="array" ref="AE617">IFERROR(INDEX('Исходник'!$1:$626,MATCH($A617,'Исходник'!$T:$T,0),MATCH(AE$1,'Исходник'!$1:$1,0)))</f>
        <v/>
      </c>
      <c r="AF617" s="1" t="str">
        <f t="array" ref="AF617">IFERROR(INDEX('Исходник'!$1:$626,MATCH($A617,'Исходник'!$T:$T,0),MATCH(AF$1,'Исходник'!$1:$1,0)))</f>
        <v/>
      </c>
      <c r="AG617" s="27" t="str">
        <f t="shared" si="14"/>
        <v/>
      </c>
      <c r="AH617" s="1" t="str">
        <f t="array" ref="AH617">IFERROR(INDEX('Исходник'!$1:$626,MATCH($A617,'Исходник'!$T:$T,0),MATCH(AH$1,'Исходник'!$1:$1,0)))</f>
        <v/>
      </c>
      <c r="AI617" s="1" t="str">
        <f t="array" ref="AI617">IFERROR(INDEX('Исходник'!$1:$626,MATCH($A617,'Исходник'!$T:$T,0),MATCH(AI$1,'Исходник'!$1:$1,0)))</f>
        <v/>
      </c>
      <c r="AJ617" s="18">
        <f t="shared" si="15"/>
        <v>0</v>
      </c>
    </row>
    <row r="618" ht="15.75" customHeight="1">
      <c r="A618" s="27"/>
      <c r="B618" s="1" t="str">
        <f t="array" ref="B618">IFERROR(INDEX('Исходник'!$1:$626,MATCH($A618,'Исходник'!$T:$T,0),MATCH(B$1,'Исходник'!$1:$1,0)))</f>
        <v/>
      </c>
      <c r="C618" s="1" t="str">
        <f t="array" ref="C618">IFERROR(INDEX('Исходник'!$1:$626,MATCH($A618,'Исходник'!$T:$T,0),MATCH(C$1,'Исходник'!$1:$1,0)))</f>
        <v/>
      </c>
      <c r="D618" s="1" t="str">
        <f t="array" ref="D618">IFERROR(INDEX('Исходник'!$1:$626,MATCH($A618,'Исходник'!$T:$T,0),MATCH(D$1,'Исходник'!$1:$1,0)))</f>
        <v/>
      </c>
      <c r="E618" s="1" t="str">
        <f t="array" ref="E618">IFERROR(INDEX('Исходник'!$1:$626,MATCH($A618,'Исходник'!$T:$T,0),MATCH(E$1,'Исходник'!$1:$1,0)))</f>
        <v/>
      </c>
      <c r="F618" s="1" t="str">
        <f t="array" ref="F618">IFERROR(INDEX('Исходник'!$1:$626,MATCH($A618,'Исходник'!$T:$T,0),MATCH(F$1,'Исходник'!$1:$1,0)))</f>
        <v/>
      </c>
      <c r="G618" s="1" t="str">
        <f t="array" ref="G618">IFERROR(INDEX('Исходник'!$1:$626,MATCH($A618,'Исходник'!$T:$T,0),MATCH(G$1,'Исходник'!$1:$1,0)))</f>
        <v/>
      </c>
      <c r="H618" s="27">
        <f t="shared" si="1"/>
        <v>0</v>
      </c>
      <c r="I618" s="27" t="str">
        <f t="shared" si="2"/>
        <v/>
      </c>
      <c r="J618" s="1" t="str">
        <f t="array" ref="J618">IFERROR(INDEX('Исходник'!$1:$626,MATCH($A618,'Исходник'!$T:$T,0),MATCH(J$1,'Исходник'!$1:$1,0)))</f>
        <v/>
      </c>
      <c r="K618" s="27" t="str">
        <f t="shared" si="3"/>
        <v/>
      </c>
      <c r="L618" s="1" t="str">
        <f t="array" ref="L618">IFERROR(INDEX('Исходник'!$1:$626,MATCH($A618,'Исходник'!$T:$T,0),MATCH(L$1,'Исходник'!$1:$1,0)))</f>
        <v/>
      </c>
      <c r="M618" s="28">
        <f t="shared" si="4"/>
        <v>0</v>
      </c>
      <c r="N618" s="1" t="str">
        <f t="array" ref="N618">IFERROR(INDEX('Исходник'!$1:$626,MATCH($A618,'Исходник'!$T:$T,0),MATCH(N$1,'Исходник'!$1:$1,0)))</f>
        <v/>
      </c>
      <c r="O618" s="27">
        <f t="shared" si="5"/>
        <v>0</v>
      </c>
      <c r="P618" s="27" t="str">
        <f t="shared" si="6"/>
        <v/>
      </c>
      <c r="Q618" s="1" t="str">
        <f t="array" ref="Q618">IFERROR(INDEX('Исходник'!$1:$626,MATCH($A618,'Исходник'!$T:$T,0),MATCH(Q$1,'Исходник'!$1:$1,0)))</f>
        <v/>
      </c>
      <c r="R618" s="1" t="str">
        <f t="array" ref="R618">IFERROR(INDEX('Исходник'!$1:$626,MATCH($A618,'Исходник'!$T:$T,0),MATCH(R$1,'Исходник'!$1:$1,0)))</f>
        <v/>
      </c>
      <c r="S618" s="27">
        <f t="shared" si="7"/>
        <v>0</v>
      </c>
      <c r="T618" s="27" t="str">
        <f t="shared" si="8"/>
        <v/>
      </c>
      <c r="U618" s="1" t="str">
        <f t="array" ref="U618">IFERROR(INDEX('Исходник'!$1:$626,MATCH($A618,'Исходник'!$T:$T,0),MATCH(U$1,'Исходник'!$1:$1,0)))</f>
        <v/>
      </c>
      <c r="V618" s="27" t="str">
        <f t="shared" si="9"/>
        <v/>
      </c>
      <c r="W618" s="1" t="str">
        <f t="array" ref="W618">IFERROR(INDEX('Исходник'!$1:$626,MATCH($A618,'Исходник'!$T:$T,0),MATCH(W$1,'Исходник'!$1:$1,0)))</f>
        <v/>
      </c>
      <c r="X618" s="28">
        <f t="shared" si="10"/>
        <v>0</v>
      </c>
      <c r="Y618" s="1" t="str">
        <f t="array" ref="Y618">IFERROR(INDEX('Исходник'!$1:$626,MATCH($A618,'Исходник'!$T:$T,0),MATCH(Y$1,'Исходник'!$1:$1,0)))</f>
        <v/>
      </c>
      <c r="Z618" s="27">
        <f t="shared" si="11"/>
        <v>0</v>
      </c>
      <c r="AA618" s="27" t="str">
        <f t="shared" si="12"/>
        <v/>
      </c>
      <c r="AB618" s="1" t="str">
        <f t="array" ref="AB618">IFERROR(INDEX('Исходник'!$1:$626,MATCH($A618,'Исходник'!$T:$T,0),MATCH(AB$1,'Исходник'!$1:$1,0)))</f>
        <v/>
      </c>
      <c r="AC618" s="1" t="str">
        <f t="array" ref="AC618">IFERROR(INDEX('Исходник'!$1:$626,MATCH($A618,'Исходник'!$T:$T,0),MATCH(AC$1,'Исходник'!$1:$1,0)))</f>
        <v/>
      </c>
      <c r="AD618" s="27" t="str">
        <f t="shared" si="13"/>
        <v/>
      </c>
      <c r="AE618" s="1" t="str">
        <f t="array" ref="AE618">IFERROR(INDEX('Исходник'!$1:$626,MATCH($A618,'Исходник'!$T:$T,0),MATCH(AE$1,'Исходник'!$1:$1,0)))</f>
        <v/>
      </c>
      <c r="AF618" s="1" t="str">
        <f t="array" ref="AF618">IFERROR(INDEX('Исходник'!$1:$626,MATCH($A618,'Исходник'!$T:$T,0),MATCH(AF$1,'Исходник'!$1:$1,0)))</f>
        <v/>
      </c>
      <c r="AG618" s="27" t="str">
        <f t="shared" si="14"/>
        <v/>
      </c>
      <c r="AH618" s="1" t="str">
        <f t="array" ref="AH618">IFERROR(INDEX('Исходник'!$1:$626,MATCH($A618,'Исходник'!$T:$T,0),MATCH(AH$1,'Исходник'!$1:$1,0)))</f>
        <v/>
      </c>
      <c r="AI618" s="1" t="str">
        <f t="array" ref="AI618">IFERROR(INDEX('Исходник'!$1:$626,MATCH($A618,'Исходник'!$T:$T,0),MATCH(AI$1,'Исходник'!$1:$1,0)))</f>
        <v/>
      </c>
      <c r="AJ618" s="18">
        <f t="shared" si="15"/>
        <v>0</v>
      </c>
    </row>
    <row r="619" ht="15.75" customHeight="1">
      <c r="A619" s="27"/>
      <c r="B619" s="1" t="str">
        <f t="array" ref="B619">IFERROR(INDEX('Исходник'!$1:$626,MATCH($A619,'Исходник'!$T:$T,0),MATCH(B$1,'Исходник'!$1:$1,0)))</f>
        <v/>
      </c>
      <c r="C619" s="1" t="str">
        <f t="array" ref="C619">IFERROR(INDEX('Исходник'!$1:$626,MATCH($A619,'Исходник'!$T:$T,0),MATCH(C$1,'Исходник'!$1:$1,0)))</f>
        <v/>
      </c>
      <c r="D619" s="1" t="str">
        <f t="array" ref="D619">IFERROR(INDEX('Исходник'!$1:$626,MATCH($A619,'Исходник'!$T:$T,0),MATCH(D$1,'Исходник'!$1:$1,0)))</f>
        <v/>
      </c>
      <c r="E619" s="1" t="str">
        <f t="array" ref="E619">IFERROR(INDEX('Исходник'!$1:$626,MATCH($A619,'Исходник'!$T:$T,0),MATCH(E$1,'Исходник'!$1:$1,0)))</f>
        <v/>
      </c>
      <c r="F619" s="1" t="str">
        <f t="array" ref="F619">IFERROR(INDEX('Исходник'!$1:$626,MATCH($A619,'Исходник'!$T:$T,0),MATCH(F$1,'Исходник'!$1:$1,0)))</f>
        <v/>
      </c>
      <c r="G619" s="1" t="str">
        <f t="array" ref="G619">IFERROR(INDEX('Исходник'!$1:$626,MATCH($A619,'Исходник'!$T:$T,0),MATCH(G$1,'Исходник'!$1:$1,0)))</f>
        <v/>
      </c>
      <c r="H619" s="27">
        <f t="shared" si="1"/>
        <v>0</v>
      </c>
      <c r="I619" s="27" t="str">
        <f t="shared" si="2"/>
        <v/>
      </c>
      <c r="J619" s="1" t="str">
        <f t="array" ref="J619">IFERROR(INDEX('Исходник'!$1:$626,MATCH($A619,'Исходник'!$T:$T,0),MATCH(J$1,'Исходник'!$1:$1,0)))</f>
        <v/>
      </c>
      <c r="K619" s="27" t="str">
        <f t="shared" si="3"/>
        <v/>
      </c>
      <c r="L619" s="1" t="str">
        <f t="array" ref="L619">IFERROR(INDEX('Исходник'!$1:$626,MATCH($A619,'Исходник'!$T:$T,0),MATCH(L$1,'Исходник'!$1:$1,0)))</f>
        <v/>
      </c>
      <c r="M619" s="28">
        <f t="shared" si="4"/>
        <v>0</v>
      </c>
      <c r="N619" s="1" t="str">
        <f t="array" ref="N619">IFERROR(INDEX('Исходник'!$1:$626,MATCH($A619,'Исходник'!$T:$T,0),MATCH(N$1,'Исходник'!$1:$1,0)))</f>
        <v/>
      </c>
      <c r="O619" s="27">
        <f t="shared" si="5"/>
        <v>0</v>
      </c>
      <c r="P619" s="27" t="str">
        <f t="shared" si="6"/>
        <v/>
      </c>
      <c r="Q619" s="1" t="str">
        <f t="array" ref="Q619">IFERROR(INDEX('Исходник'!$1:$626,MATCH($A619,'Исходник'!$T:$T,0),MATCH(Q$1,'Исходник'!$1:$1,0)))</f>
        <v/>
      </c>
      <c r="R619" s="1" t="str">
        <f t="array" ref="R619">IFERROR(INDEX('Исходник'!$1:$626,MATCH($A619,'Исходник'!$T:$T,0),MATCH(R$1,'Исходник'!$1:$1,0)))</f>
        <v/>
      </c>
      <c r="S619" s="27">
        <f t="shared" si="7"/>
        <v>0</v>
      </c>
      <c r="T619" s="27" t="str">
        <f t="shared" si="8"/>
        <v/>
      </c>
      <c r="U619" s="1" t="str">
        <f t="array" ref="U619">IFERROR(INDEX('Исходник'!$1:$626,MATCH($A619,'Исходник'!$T:$T,0),MATCH(U$1,'Исходник'!$1:$1,0)))</f>
        <v/>
      </c>
      <c r="V619" s="27" t="str">
        <f t="shared" si="9"/>
        <v/>
      </c>
      <c r="W619" s="1" t="str">
        <f t="array" ref="W619">IFERROR(INDEX('Исходник'!$1:$626,MATCH($A619,'Исходник'!$T:$T,0),MATCH(W$1,'Исходник'!$1:$1,0)))</f>
        <v/>
      </c>
      <c r="X619" s="28">
        <f t="shared" si="10"/>
        <v>0</v>
      </c>
      <c r="Y619" s="1" t="str">
        <f t="array" ref="Y619">IFERROR(INDEX('Исходник'!$1:$626,MATCH($A619,'Исходник'!$T:$T,0),MATCH(Y$1,'Исходник'!$1:$1,0)))</f>
        <v/>
      </c>
      <c r="Z619" s="27">
        <f t="shared" si="11"/>
        <v>0</v>
      </c>
      <c r="AA619" s="27" t="str">
        <f t="shared" si="12"/>
        <v/>
      </c>
      <c r="AB619" s="1" t="str">
        <f t="array" ref="AB619">IFERROR(INDEX('Исходник'!$1:$626,MATCH($A619,'Исходник'!$T:$T,0),MATCH(AB$1,'Исходник'!$1:$1,0)))</f>
        <v/>
      </c>
      <c r="AC619" s="1" t="str">
        <f t="array" ref="AC619">IFERROR(INDEX('Исходник'!$1:$626,MATCH($A619,'Исходник'!$T:$T,0),MATCH(AC$1,'Исходник'!$1:$1,0)))</f>
        <v/>
      </c>
      <c r="AD619" s="27" t="str">
        <f t="shared" si="13"/>
        <v/>
      </c>
      <c r="AE619" s="1" t="str">
        <f t="array" ref="AE619">IFERROR(INDEX('Исходник'!$1:$626,MATCH($A619,'Исходник'!$T:$T,0),MATCH(AE$1,'Исходник'!$1:$1,0)))</f>
        <v/>
      </c>
      <c r="AF619" s="1" t="str">
        <f t="array" ref="AF619">IFERROR(INDEX('Исходник'!$1:$626,MATCH($A619,'Исходник'!$T:$T,0),MATCH(AF$1,'Исходник'!$1:$1,0)))</f>
        <v/>
      </c>
      <c r="AG619" s="27" t="str">
        <f t="shared" si="14"/>
        <v/>
      </c>
      <c r="AH619" s="1" t="str">
        <f t="array" ref="AH619">IFERROR(INDEX('Исходник'!$1:$626,MATCH($A619,'Исходник'!$T:$T,0),MATCH(AH$1,'Исходник'!$1:$1,0)))</f>
        <v/>
      </c>
      <c r="AI619" s="1" t="str">
        <f t="array" ref="AI619">IFERROR(INDEX('Исходник'!$1:$626,MATCH($A619,'Исходник'!$T:$T,0),MATCH(AI$1,'Исходник'!$1:$1,0)))</f>
        <v/>
      </c>
      <c r="AJ619" s="18">
        <f t="shared" si="15"/>
        <v>0</v>
      </c>
    </row>
    <row r="620" ht="15.75" customHeight="1">
      <c r="A620" s="27"/>
      <c r="B620" s="1" t="str">
        <f t="array" ref="B620">IFERROR(INDEX('Исходник'!$1:$626,MATCH($A620,'Исходник'!$T:$T,0),MATCH(B$1,'Исходник'!$1:$1,0)))</f>
        <v/>
      </c>
      <c r="C620" s="1" t="str">
        <f t="array" ref="C620">IFERROR(INDEX('Исходник'!$1:$626,MATCH($A620,'Исходник'!$T:$T,0),MATCH(C$1,'Исходник'!$1:$1,0)))</f>
        <v/>
      </c>
      <c r="D620" s="1" t="str">
        <f t="array" ref="D620">IFERROR(INDEX('Исходник'!$1:$626,MATCH($A620,'Исходник'!$T:$T,0),MATCH(D$1,'Исходник'!$1:$1,0)))</f>
        <v/>
      </c>
      <c r="E620" s="1" t="str">
        <f t="array" ref="E620">IFERROR(INDEX('Исходник'!$1:$626,MATCH($A620,'Исходник'!$T:$T,0),MATCH(E$1,'Исходник'!$1:$1,0)))</f>
        <v/>
      </c>
      <c r="F620" s="1" t="str">
        <f t="array" ref="F620">IFERROR(INDEX('Исходник'!$1:$626,MATCH($A620,'Исходник'!$T:$T,0),MATCH(F$1,'Исходник'!$1:$1,0)))</f>
        <v/>
      </c>
      <c r="G620" s="1" t="str">
        <f t="array" ref="G620">IFERROR(INDEX('Исходник'!$1:$626,MATCH($A620,'Исходник'!$T:$T,0),MATCH(G$1,'Исходник'!$1:$1,0)))</f>
        <v/>
      </c>
      <c r="H620" s="27">
        <f t="shared" si="1"/>
        <v>0</v>
      </c>
      <c r="I620" s="27" t="str">
        <f t="shared" si="2"/>
        <v/>
      </c>
      <c r="J620" s="1" t="str">
        <f t="array" ref="J620">IFERROR(INDEX('Исходник'!$1:$626,MATCH($A620,'Исходник'!$T:$T,0),MATCH(J$1,'Исходник'!$1:$1,0)))</f>
        <v/>
      </c>
      <c r="K620" s="27" t="str">
        <f t="shared" si="3"/>
        <v/>
      </c>
      <c r="L620" s="1" t="str">
        <f t="array" ref="L620">IFERROR(INDEX('Исходник'!$1:$626,MATCH($A620,'Исходник'!$T:$T,0),MATCH(L$1,'Исходник'!$1:$1,0)))</f>
        <v/>
      </c>
      <c r="M620" s="28">
        <f t="shared" si="4"/>
        <v>0</v>
      </c>
      <c r="N620" s="1" t="str">
        <f t="array" ref="N620">IFERROR(INDEX('Исходник'!$1:$626,MATCH($A620,'Исходник'!$T:$T,0),MATCH(N$1,'Исходник'!$1:$1,0)))</f>
        <v/>
      </c>
      <c r="O620" s="27">
        <f t="shared" si="5"/>
        <v>0</v>
      </c>
      <c r="P620" s="27" t="str">
        <f t="shared" si="6"/>
        <v/>
      </c>
      <c r="Q620" s="1" t="str">
        <f t="array" ref="Q620">IFERROR(INDEX('Исходник'!$1:$626,MATCH($A620,'Исходник'!$T:$T,0),MATCH(Q$1,'Исходник'!$1:$1,0)))</f>
        <v/>
      </c>
      <c r="R620" s="1" t="str">
        <f t="array" ref="R620">IFERROR(INDEX('Исходник'!$1:$626,MATCH($A620,'Исходник'!$T:$T,0),MATCH(R$1,'Исходник'!$1:$1,0)))</f>
        <v/>
      </c>
      <c r="S620" s="27">
        <f t="shared" si="7"/>
        <v>0</v>
      </c>
      <c r="T620" s="27" t="str">
        <f t="shared" si="8"/>
        <v/>
      </c>
      <c r="U620" s="1" t="str">
        <f t="array" ref="U620">IFERROR(INDEX('Исходник'!$1:$626,MATCH($A620,'Исходник'!$T:$T,0),MATCH(U$1,'Исходник'!$1:$1,0)))</f>
        <v/>
      </c>
      <c r="V620" s="27" t="str">
        <f t="shared" si="9"/>
        <v/>
      </c>
      <c r="W620" s="1" t="str">
        <f t="array" ref="W620">IFERROR(INDEX('Исходник'!$1:$626,MATCH($A620,'Исходник'!$T:$T,0),MATCH(W$1,'Исходник'!$1:$1,0)))</f>
        <v/>
      </c>
      <c r="X620" s="28">
        <f t="shared" si="10"/>
        <v>0</v>
      </c>
      <c r="Y620" s="1" t="str">
        <f t="array" ref="Y620">IFERROR(INDEX('Исходник'!$1:$626,MATCH($A620,'Исходник'!$T:$T,0),MATCH(Y$1,'Исходник'!$1:$1,0)))</f>
        <v/>
      </c>
      <c r="Z620" s="27">
        <f t="shared" si="11"/>
        <v>0</v>
      </c>
      <c r="AA620" s="27" t="str">
        <f t="shared" si="12"/>
        <v/>
      </c>
      <c r="AB620" s="1" t="str">
        <f t="array" ref="AB620">IFERROR(INDEX('Исходник'!$1:$626,MATCH($A620,'Исходник'!$T:$T,0),MATCH(AB$1,'Исходник'!$1:$1,0)))</f>
        <v/>
      </c>
      <c r="AC620" s="1" t="str">
        <f t="array" ref="AC620">IFERROR(INDEX('Исходник'!$1:$626,MATCH($A620,'Исходник'!$T:$T,0),MATCH(AC$1,'Исходник'!$1:$1,0)))</f>
        <v/>
      </c>
      <c r="AD620" s="27" t="str">
        <f t="shared" si="13"/>
        <v/>
      </c>
      <c r="AE620" s="1" t="str">
        <f t="array" ref="AE620">IFERROR(INDEX('Исходник'!$1:$626,MATCH($A620,'Исходник'!$T:$T,0),MATCH(AE$1,'Исходник'!$1:$1,0)))</f>
        <v/>
      </c>
      <c r="AF620" s="1" t="str">
        <f t="array" ref="AF620">IFERROR(INDEX('Исходник'!$1:$626,MATCH($A620,'Исходник'!$T:$T,0),MATCH(AF$1,'Исходник'!$1:$1,0)))</f>
        <v/>
      </c>
      <c r="AG620" s="27" t="str">
        <f t="shared" si="14"/>
        <v/>
      </c>
      <c r="AH620" s="1" t="str">
        <f t="array" ref="AH620">IFERROR(INDEX('Исходник'!$1:$626,MATCH($A620,'Исходник'!$T:$T,0),MATCH(AH$1,'Исходник'!$1:$1,0)))</f>
        <v/>
      </c>
      <c r="AI620" s="1" t="str">
        <f t="array" ref="AI620">IFERROR(INDEX('Исходник'!$1:$626,MATCH($A620,'Исходник'!$T:$T,0),MATCH(AI$1,'Исходник'!$1:$1,0)))</f>
        <v/>
      </c>
      <c r="AJ620" s="18">
        <f t="shared" si="15"/>
        <v>0</v>
      </c>
    </row>
    <row r="621" ht="15.75" customHeight="1">
      <c r="A621" s="27"/>
      <c r="B621" s="1" t="str">
        <f t="array" ref="B621">IFERROR(INDEX('Исходник'!$1:$626,MATCH($A621,'Исходник'!$T:$T,0),MATCH(B$1,'Исходник'!$1:$1,0)))</f>
        <v/>
      </c>
      <c r="C621" s="1" t="str">
        <f t="array" ref="C621">IFERROR(INDEX('Исходник'!$1:$626,MATCH($A621,'Исходник'!$T:$T,0),MATCH(C$1,'Исходник'!$1:$1,0)))</f>
        <v/>
      </c>
      <c r="D621" s="1" t="str">
        <f t="array" ref="D621">IFERROR(INDEX('Исходник'!$1:$626,MATCH($A621,'Исходник'!$T:$T,0),MATCH(D$1,'Исходник'!$1:$1,0)))</f>
        <v/>
      </c>
      <c r="E621" s="1" t="str">
        <f t="array" ref="E621">IFERROR(INDEX('Исходник'!$1:$626,MATCH($A621,'Исходник'!$T:$T,0),MATCH(E$1,'Исходник'!$1:$1,0)))</f>
        <v/>
      </c>
      <c r="F621" s="1" t="str">
        <f t="array" ref="F621">IFERROR(INDEX('Исходник'!$1:$626,MATCH($A621,'Исходник'!$T:$T,0),MATCH(F$1,'Исходник'!$1:$1,0)))</f>
        <v/>
      </c>
      <c r="G621" s="1" t="str">
        <f t="array" ref="G621">IFERROR(INDEX('Исходник'!$1:$626,MATCH($A621,'Исходник'!$T:$T,0),MATCH(G$1,'Исходник'!$1:$1,0)))</f>
        <v/>
      </c>
      <c r="H621" s="27">
        <f t="shared" si="1"/>
        <v>0</v>
      </c>
      <c r="I621" s="27" t="str">
        <f t="shared" si="2"/>
        <v/>
      </c>
      <c r="J621" s="1" t="str">
        <f t="array" ref="J621">IFERROR(INDEX('Исходник'!$1:$626,MATCH($A621,'Исходник'!$T:$T,0),MATCH(J$1,'Исходник'!$1:$1,0)))</f>
        <v/>
      </c>
      <c r="K621" s="27" t="str">
        <f t="shared" si="3"/>
        <v/>
      </c>
      <c r="L621" s="1" t="str">
        <f t="array" ref="L621">IFERROR(INDEX('Исходник'!$1:$626,MATCH($A621,'Исходник'!$T:$T,0),MATCH(L$1,'Исходник'!$1:$1,0)))</f>
        <v/>
      </c>
      <c r="M621" s="28">
        <f t="shared" si="4"/>
        <v>0</v>
      </c>
      <c r="N621" s="1" t="str">
        <f t="array" ref="N621">IFERROR(INDEX('Исходник'!$1:$626,MATCH($A621,'Исходник'!$T:$T,0),MATCH(N$1,'Исходник'!$1:$1,0)))</f>
        <v/>
      </c>
      <c r="O621" s="27">
        <f t="shared" si="5"/>
        <v>0</v>
      </c>
      <c r="P621" s="27" t="str">
        <f t="shared" si="6"/>
        <v/>
      </c>
      <c r="Q621" s="1" t="str">
        <f t="array" ref="Q621">IFERROR(INDEX('Исходник'!$1:$626,MATCH($A621,'Исходник'!$T:$T,0),MATCH(Q$1,'Исходник'!$1:$1,0)))</f>
        <v/>
      </c>
      <c r="R621" s="1" t="str">
        <f t="array" ref="R621">IFERROR(INDEX('Исходник'!$1:$626,MATCH($A621,'Исходник'!$T:$T,0),MATCH(R$1,'Исходник'!$1:$1,0)))</f>
        <v/>
      </c>
      <c r="S621" s="27">
        <f t="shared" si="7"/>
        <v>0</v>
      </c>
      <c r="T621" s="27" t="str">
        <f t="shared" si="8"/>
        <v/>
      </c>
      <c r="U621" s="1" t="str">
        <f t="array" ref="U621">IFERROR(INDEX('Исходник'!$1:$626,MATCH($A621,'Исходник'!$T:$T,0),MATCH(U$1,'Исходник'!$1:$1,0)))</f>
        <v/>
      </c>
      <c r="V621" s="27" t="str">
        <f t="shared" si="9"/>
        <v/>
      </c>
      <c r="W621" s="1" t="str">
        <f t="array" ref="W621">IFERROR(INDEX('Исходник'!$1:$626,MATCH($A621,'Исходник'!$T:$T,0),MATCH(W$1,'Исходник'!$1:$1,0)))</f>
        <v/>
      </c>
      <c r="X621" s="28">
        <f t="shared" si="10"/>
        <v>0</v>
      </c>
      <c r="Y621" s="1" t="str">
        <f t="array" ref="Y621">IFERROR(INDEX('Исходник'!$1:$626,MATCH($A621,'Исходник'!$T:$T,0),MATCH(Y$1,'Исходник'!$1:$1,0)))</f>
        <v/>
      </c>
      <c r="Z621" s="27">
        <f t="shared" si="11"/>
        <v>0</v>
      </c>
      <c r="AA621" s="27" t="str">
        <f t="shared" si="12"/>
        <v/>
      </c>
      <c r="AB621" s="1" t="str">
        <f t="array" ref="AB621">IFERROR(INDEX('Исходник'!$1:$626,MATCH($A621,'Исходник'!$T:$T,0),MATCH(AB$1,'Исходник'!$1:$1,0)))</f>
        <v/>
      </c>
      <c r="AC621" s="1" t="str">
        <f t="array" ref="AC621">IFERROR(INDEX('Исходник'!$1:$626,MATCH($A621,'Исходник'!$T:$T,0),MATCH(AC$1,'Исходник'!$1:$1,0)))</f>
        <v/>
      </c>
      <c r="AD621" s="27" t="str">
        <f t="shared" si="13"/>
        <v/>
      </c>
      <c r="AE621" s="1" t="str">
        <f t="array" ref="AE621">IFERROR(INDEX('Исходник'!$1:$626,MATCH($A621,'Исходник'!$T:$T,0),MATCH(AE$1,'Исходник'!$1:$1,0)))</f>
        <v/>
      </c>
      <c r="AF621" s="1" t="str">
        <f t="array" ref="AF621">IFERROR(INDEX('Исходник'!$1:$626,MATCH($A621,'Исходник'!$T:$T,0),MATCH(AF$1,'Исходник'!$1:$1,0)))</f>
        <v/>
      </c>
      <c r="AG621" s="27" t="str">
        <f t="shared" si="14"/>
        <v/>
      </c>
      <c r="AH621" s="1" t="str">
        <f t="array" ref="AH621">IFERROR(INDEX('Исходник'!$1:$626,MATCH($A621,'Исходник'!$T:$T,0),MATCH(AH$1,'Исходник'!$1:$1,0)))</f>
        <v/>
      </c>
      <c r="AI621" s="1" t="str">
        <f t="array" ref="AI621">IFERROR(INDEX('Исходник'!$1:$626,MATCH($A621,'Исходник'!$T:$T,0),MATCH(AI$1,'Исходник'!$1:$1,0)))</f>
        <v/>
      </c>
      <c r="AJ621" s="18">
        <f t="shared" si="15"/>
        <v>0</v>
      </c>
    </row>
    <row r="622" ht="15.75" customHeight="1">
      <c r="A622" s="27"/>
      <c r="B622" s="1" t="str">
        <f t="array" ref="B622">IFERROR(INDEX('Исходник'!$1:$626,MATCH($A622,'Исходник'!$T:$T,0),MATCH(B$1,'Исходник'!$1:$1,0)))</f>
        <v/>
      </c>
      <c r="C622" s="1" t="str">
        <f t="array" ref="C622">IFERROR(INDEX('Исходник'!$1:$626,MATCH($A622,'Исходник'!$T:$T,0),MATCH(C$1,'Исходник'!$1:$1,0)))</f>
        <v/>
      </c>
      <c r="D622" s="1" t="str">
        <f t="array" ref="D622">IFERROR(INDEX('Исходник'!$1:$626,MATCH($A622,'Исходник'!$T:$T,0),MATCH(D$1,'Исходник'!$1:$1,0)))</f>
        <v/>
      </c>
      <c r="E622" s="1" t="str">
        <f t="array" ref="E622">IFERROR(INDEX('Исходник'!$1:$626,MATCH($A622,'Исходник'!$T:$T,0),MATCH(E$1,'Исходник'!$1:$1,0)))</f>
        <v/>
      </c>
      <c r="F622" s="1" t="str">
        <f t="array" ref="F622">IFERROR(INDEX('Исходник'!$1:$626,MATCH($A622,'Исходник'!$T:$T,0),MATCH(F$1,'Исходник'!$1:$1,0)))</f>
        <v/>
      </c>
      <c r="G622" s="1" t="str">
        <f t="array" ref="G622">IFERROR(INDEX('Исходник'!$1:$626,MATCH($A622,'Исходник'!$T:$T,0),MATCH(G$1,'Исходник'!$1:$1,0)))</f>
        <v/>
      </c>
      <c r="H622" s="27">
        <f t="shared" si="1"/>
        <v>0</v>
      </c>
      <c r="I622" s="27" t="str">
        <f t="shared" si="2"/>
        <v/>
      </c>
      <c r="J622" s="1" t="str">
        <f t="array" ref="J622">IFERROR(INDEX('Исходник'!$1:$626,MATCH($A622,'Исходник'!$T:$T,0),MATCH(J$1,'Исходник'!$1:$1,0)))</f>
        <v/>
      </c>
      <c r="K622" s="27" t="str">
        <f t="shared" si="3"/>
        <v/>
      </c>
      <c r="L622" s="1" t="str">
        <f t="array" ref="L622">IFERROR(INDEX('Исходник'!$1:$626,MATCH($A622,'Исходник'!$T:$T,0),MATCH(L$1,'Исходник'!$1:$1,0)))</f>
        <v/>
      </c>
      <c r="M622" s="28">
        <f t="shared" si="4"/>
        <v>0</v>
      </c>
      <c r="N622" s="1" t="str">
        <f t="array" ref="N622">IFERROR(INDEX('Исходник'!$1:$626,MATCH($A622,'Исходник'!$T:$T,0),MATCH(N$1,'Исходник'!$1:$1,0)))</f>
        <v/>
      </c>
      <c r="O622" s="27">
        <f t="shared" si="5"/>
        <v>0</v>
      </c>
      <c r="P622" s="27" t="str">
        <f t="shared" si="6"/>
        <v/>
      </c>
      <c r="Q622" s="1" t="str">
        <f t="array" ref="Q622">IFERROR(INDEX('Исходник'!$1:$626,MATCH($A622,'Исходник'!$T:$T,0),MATCH(Q$1,'Исходник'!$1:$1,0)))</f>
        <v/>
      </c>
      <c r="R622" s="1" t="str">
        <f t="array" ref="R622">IFERROR(INDEX('Исходник'!$1:$626,MATCH($A622,'Исходник'!$T:$T,0),MATCH(R$1,'Исходник'!$1:$1,0)))</f>
        <v/>
      </c>
      <c r="S622" s="27">
        <f t="shared" si="7"/>
        <v>0</v>
      </c>
      <c r="T622" s="27" t="str">
        <f t="shared" si="8"/>
        <v/>
      </c>
      <c r="U622" s="1" t="str">
        <f t="array" ref="U622">IFERROR(INDEX('Исходник'!$1:$626,MATCH($A622,'Исходник'!$T:$T,0),MATCH(U$1,'Исходник'!$1:$1,0)))</f>
        <v/>
      </c>
      <c r="V622" s="27" t="str">
        <f t="shared" si="9"/>
        <v/>
      </c>
      <c r="W622" s="1" t="str">
        <f t="array" ref="W622">IFERROR(INDEX('Исходник'!$1:$626,MATCH($A622,'Исходник'!$T:$T,0),MATCH(W$1,'Исходник'!$1:$1,0)))</f>
        <v/>
      </c>
      <c r="X622" s="28">
        <f t="shared" si="10"/>
        <v>0</v>
      </c>
      <c r="Y622" s="1" t="str">
        <f t="array" ref="Y622">IFERROR(INDEX('Исходник'!$1:$626,MATCH($A622,'Исходник'!$T:$T,0),MATCH(Y$1,'Исходник'!$1:$1,0)))</f>
        <v/>
      </c>
      <c r="Z622" s="27">
        <f t="shared" si="11"/>
        <v>0</v>
      </c>
      <c r="AA622" s="27" t="str">
        <f t="shared" si="12"/>
        <v/>
      </c>
      <c r="AB622" s="1" t="str">
        <f t="array" ref="AB622">IFERROR(INDEX('Исходник'!$1:$626,MATCH($A622,'Исходник'!$T:$T,0),MATCH(AB$1,'Исходник'!$1:$1,0)))</f>
        <v/>
      </c>
      <c r="AC622" s="1" t="str">
        <f t="array" ref="AC622">IFERROR(INDEX('Исходник'!$1:$626,MATCH($A622,'Исходник'!$T:$T,0),MATCH(AC$1,'Исходник'!$1:$1,0)))</f>
        <v/>
      </c>
      <c r="AD622" s="27" t="str">
        <f t="shared" si="13"/>
        <v/>
      </c>
      <c r="AE622" s="1" t="str">
        <f t="array" ref="AE622">IFERROR(INDEX('Исходник'!$1:$626,MATCH($A622,'Исходник'!$T:$T,0),MATCH(AE$1,'Исходник'!$1:$1,0)))</f>
        <v/>
      </c>
      <c r="AF622" s="1" t="str">
        <f t="array" ref="AF622">IFERROR(INDEX('Исходник'!$1:$626,MATCH($A622,'Исходник'!$T:$T,0),MATCH(AF$1,'Исходник'!$1:$1,0)))</f>
        <v/>
      </c>
      <c r="AG622" s="27" t="str">
        <f t="shared" si="14"/>
        <v/>
      </c>
      <c r="AH622" s="1" t="str">
        <f t="array" ref="AH622">IFERROR(INDEX('Исходник'!$1:$626,MATCH($A622,'Исходник'!$T:$T,0),MATCH(AH$1,'Исходник'!$1:$1,0)))</f>
        <v/>
      </c>
      <c r="AI622" s="1" t="str">
        <f t="array" ref="AI622">IFERROR(INDEX('Исходник'!$1:$626,MATCH($A622,'Исходник'!$T:$T,0),MATCH(AI$1,'Исходник'!$1:$1,0)))</f>
        <v/>
      </c>
      <c r="AJ622" s="18">
        <f t="shared" si="15"/>
        <v>0</v>
      </c>
    </row>
    <row r="623" ht="15.75" customHeight="1">
      <c r="A623" s="27"/>
      <c r="B623" s="1" t="str">
        <f t="array" ref="B623">IFERROR(INDEX('Исходник'!$1:$626,MATCH($A623,'Исходник'!$T:$T,0),MATCH(B$1,'Исходник'!$1:$1,0)))</f>
        <v/>
      </c>
      <c r="C623" s="1" t="str">
        <f t="array" ref="C623">IFERROR(INDEX('Исходник'!$1:$626,MATCH($A623,'Исходник'!$T:$T,0),MATCH(C$1,'Исходник'!$1:$1,0)))</f>
        <v/>
      </c>
      <c r="D623" s="1" t="str">
        <f t="array" ref="D623">IFERROR(INDEX('Исходник'!$1:$626,MATCH($A623,'Исходник'!$T:$T,0),MATCH(D$1,'Исходник'!$1:$1,0)))</f>
        <v/>
      </c>
      <c r="E623" s="1" t="str">
        <f t="array" ref="E623">IFERROR(INDEX('Исходник'!$1:$626,MATCH($A623,'Исходник'!$T:$T,0),MATCH(E$1,'Исходник'!$1:$1,0)))</f>
        <v/>
      </c>
      <c r="F623" s="1" t="str">
        <f t="array" ref="F623">IFERROR(INDEX('Исходник'!$1:$626,MATCH($A623,'Исходник'!$T:$T,0),MATCH(F$1,'Исходник'!$1:$1,0)))</f>
        <v/>
      </c>
      <c r="G623" s="1" t="str">
        <f t="array" ref="G623">IFERROR(INDEX('Исходник'!$1:$626,MATCH($A623,'Исходник'!$T:$T,0),MATCH(G$1,'Исходник'!$1:$1,0)))</f>
        <v/>
      </c>
      <c r="H623" s="27">
        <f t="shared" si="1"/>
        <v>0</v>
      </c>
      <c r="I623" s="27" t="str">
        <f t="shared" si="2"/>
        <v/>
      </c>
      <c r="J623" s="1" t="str">
        <f t="array" ref="J623">IFERROR(INDEX('Исходник'!$1:$626,MATCH($A623,'Исходник'!$T:$T,0),MATCH(J$1,'Исходник'!$1:$1,0)))</f>
        <v/>
      </c>
      <c r="K623" s="27" t="str">
        <f t="shared" si="3"/>
        <v/>
      </c>
      <c r="L623" s="1" t="str">
        <f t="array" ref="L623">IFERROR(INDEX('Исходник'!$1:$626,MATCH($A623,'Исходник'!$T:$T,0),MATCH(L$1,'Исходник'!$1:$1,0)))</f>
        <v/>
      </c>
      <c r="M623" s="28">
        <f t="shared" si="4"/>
        <v>0</v>
      </c>
      <c r="N623" s="1" t="str">
        <f t="array" ref="N623">IFERROR(INDEX('Исходник'!$1:$626,MATCH($A623,'Исходник'!$T:$T,0),MATCH(N$1,'Исходник'!$1:$1,0)))</f>
        <v/>
      </c>
      <c r="O623" s="27">
        <f t="shared" si="5"/>
        <v>0</v>
      </c>
      <c r="P623" s="27" t="str">
        <f t="shared" si="6"/>
        <v/>
      </c>
      <c r="Q623" s="1" t="str">
        <f t="array" ref="Q623">IFERROR(INDEX('Исходник'!$1:$626,MATCH($A623,'Исходник'!$T:$T,0),MATCH(Q$1,'Исходник'!$1:$1,0)))</f>
        <v/>
      </c>
      <c r="R623" s="1" t="str">
        <f t="array" ref="R623">IFERROR(INDEX('Исходник'!$1:$626,MATCH($A623,'Исходник'!$T:$T,0),MATCH(R$1,'Исходник'!$1:$1,0)))</f>
        <v/>
      </c>
      <c r="S623" s="27">
        <f t="shared" si="7"/>
        <v>0</v>
      </c>
      <c r="T623" s="27" t="str">
        <f t="shared" si="8"/>
        <v/>
      </c>
      <c r="U623" s="1" t="str">
        <f t="array" ref="U623">IFERROR(INDEX('Исходник'!$1:$626,MATCH($A623,'Исходник'!$T:$T,0),MATCH(U$1,'Исходник'!$1:$1,0)))</f>
        <v/>
      </c>
      <c r="V623" s="27" t="str">
        <f t="shared" si="9"/>
        <v/>
      </c>
      <c r="W623" s="1" t="str">
        <f t="array" ref="W623">IFERROR(INDEX('Исходник'!$1:$626,MATCH($A623,'Исходник'!$T:$T,0),MATCH(W$1,'Исходник'!$1:$1,0)))</f>
        <v/>
      </c>
      <c r="X623" s="28">
        <f t="shared" si="10"/>
        <v>0</v>
      </c>
      <c r="Y623" s="1" t="str">
        <f t="array" ref="Y623">IFERROR(INDEX('Исходник'!$1:$626,MATCH($A623,'Исходник'!$T:$T,0),MATCH(Y$1,'Исходник'!$1:$1,0)))</f>
        <v/>
      </c>
      <c r="Z623" s="27">
        <f t="shared" si="11"/>
        <v>0</v>
      </c>
      <c r="AA623" s="27" t="str">
        <f t="shared" si="12"/>
        <v/>
      </c>
      <c r="AB623" s="1" t="str">
        <f t="array" ref="AB623">IFERROR(INDEX('Исходник'!$1:$626,MATCH($A623,'Исходник'!$T:$T,0),MATCH(AB$1,'Исходник'!$1:$1,0)))</f>
        <v/>
      </c>
      <c r="AC623" s="1" t="str">
        <f t="array" ref="AC623">IFERROR(INDEX('Исходник'!$1:$626,MATCH($A623,'Исходник'!$T:$T,0),MATCH(AC$1,'Исходник'!$1:$1,0)))</f>
        <v/>
      </c>
      <c r="AD623" s="27" t="str">
        <f t="shared" si="13"/>
        <v/>
      </c>
      <c r="AE623" s="1" t="str">
        <f t="array" ref="AE623">IFERROR(INDEX('Исходник'!$1:$626,MATCH($A623,'Исходник'!$T:$T,0),MATCH(AE$1,'Исходник'!$1:$1,0)))</f>
        <v/>
      </c>
      <c r="AF623" s="1" t="str">
        <f t="array" ref="AF623">IFERROR(INDEX('Исходник'!$1:$626,MATCH($A623,'Исходник'!$T:$T,0),MATCH(AF$1,'Исходник'!$1:$1,0)))</f>
        <v/>
      </c>
      <c r="AG623" s="27" t="str">
        <f t="shared" si="14"/>
        <v/>
      </c>
      <c r="AH623" s="1" t="str">
        <f t="array" ref="AH623">IFERROR(INDEX('Исходник'!$1:$626,MATCH($A623,'Исходник'!$T:$T,0),MATCH(AH$1,'Исходник'!$1:$1,0)))</f>
        <v/>
      </c>
      <c r="AI623" s="1" t="str">
        <f t="array" ref="AI623">IFERROR(INDEX('Исходник'!$1:$626,MATCH($A623,'Исходник'!$T:$T,0),MATCH(AI$1,'Исходник'!$1:$1,0)))</f>
        <v/>
      </c>
      <c r="AJ623" s="18">
        <f t="shared" si="15"/>
        <v>0</v>
      </c>
    </row>
    <row r="624" ht="15.75" customHeight="1">
      <c r="A624" s="27"/>
      <c r="B624" s="1" t="str">
        <f t="array" ref="B624">IFERROR(INDEX('Исходник'!$1:$626,MATCH($A624,'Исходник'!$T:$T,0),MATCH(B$1,'Исходник'!$1:$1,0)))</f>
        <v/>
      </c>
      <c r="C624" s="1" t="str">
        <f t="array" ref="C624">IFERROR(INDEX('Исходник'!$1:$626,MATCH($A624,'Исходник'!$T:$T,0),MATCH(C$1,'Исходник'!$1:$1,0)))</f>
        <v/>
      </c>
      <c r="D624" s="1" t="str">
        <f t="array" ref="D624">IFERROR(INDEX('Исходник'!$1:$626,MATCH($A624,'Исходник'!$T:$T,0),MATCH(D$1,'Исходник'!$1:$1,0)))</f>
        <v/>
      </c>
      <c r="E624" s="1" t="str">
        <f t="array" ref="E624">IFERROR(INDEX('Исходник'!$1:$626,MATCH($A624,'Исходник'!$T:$T,0),MATCH(E$1,'Исходник'!$1:$1,0)))</f>
        <v/>
      </c>
      <c r="F624" s="1" t="str">
        <f t="array" ref="F624">IFERROR(INDEX('Исходник'!$1:$626,MATCH($A624,'Исходник'!$T:$T,0),MATCH(F$1,'Исходник'!$1:$1,0)))</f>
        <v/>
      </c>
      <c r="G624" s="1" t="str">
        <f t="array" ref="G624">IFERROR(INDEX('Исходник'!$1:$626,MATCH($A624,'Исходник'!$T:$T,0),MATCH(G$1,'Исходник'!$1:$1,0)))</f>
        <v/>
      </c>
      <c r="H624" s="27">
        <f t="shared" si="1"/>
        <v>0</v>
      </c>
      <c r="I624" s="27" t="str">
        <f t="shared" si="2"/>
        <v/>
      </c>
      <c r="J624" s="1" t="str">
        <f t="array" ref="J624">IFERROR(INDEX('Исходник'!$1:$626,MATCH($A624,'Исходник'!$T:$T,0),MATCH(J$1,'Исходник'!$1:$1,0)))</f>
        <v/>
      </c>
      <c r="K624" s="27" t="str">
        <f t="shared" si="3"/>
        <v/>
      </c>
      <c r="L624" s="1" t="str">
        <f t="array" ref="L624">IFERROR(INDEX('Исходник'!$1:$626,MATCH($A624,'Исходник'!$T:$T,0),MATCH(L$1,'Исходник'!$1:$1,0)))</f>
        <v/>
      </c>
      <c r="M624" s="28">
        <f t="shared" si="4"/>
        <v>0</v>
      </c>
      <c r="N624" s="1" t="str">
        <f t="array" ref="N624">IFERROR(INDEX('Исходник'!$1:$626,MATCH($A624,'Исходник'!$T:$T,0),MATCH(N$1,'Исходник'!$1:$1,0)))</f>
        <v/>
      </c>
      <c r="O624" s="27">
        <f t="shared" si="5"/>
        <v>0</v>
      </c>
      <c r="P624" s="27" t="str">
        <f t="shared" si="6"/>
        <v/>
      </c>
      <c r="Q624" s="1" t="str">
        <f t="array" ref="Q624">IFERROR(INDEX('Исходник'!$1:$626,MATCH($A624,'Исходник'!$T:$T,0),MATCH(Q$1,'Исходник'!$1:$1,0)))</f>
        <v/>
      </c>
      <c r="R624" s="1" t="str">
        <f t="array" ref="R624">IFERROR(INDEX('Исходник'!$1:$626,MATCH($A624,'Исходник'!$T:$T,0),MATCH(R$1,'Исходник'!$1:$1,0)))</f>
        <v/>
      </c>
      <c r="S624" s="27">
        <f t="shared" si="7"/>
        <v>0</v>
      </c>
      <c r="T624" s="27" t="str">
        <f t="shared" si="8"/>
        <v/>
      </c>
      <c r="U624" s="1" t="str">
        <f t="array" ref="U624">IFERROR(INDEX('Исходник'!$1:$626,MATCH($A624,'Исходник'!$T:$T,0),MATCH(U$1,'Исходник'!$1:$1,0)))</f>
        <v/>
      </c>
      <c r="V624" s="27" t="str">
        <f t="shared" si="9"/>
        <v/>
      </c>
      <c r="W624" s="1" t="str">
        <f t="array" ref="W624">IFERROR(INDEX('Исходник'!$1:$626,MATCH($A624,'Исходник'!$T:$T,0),MATCH(W$1,'Исходник'!$1:$1,0)))</f>
        <v/>
      </c>
      <c r="X624" s="28">
        <f t="shared" si="10"/>
        <v>0</v>
      </c>
      <c r="Y624" s="1" t="str">
        <f t="array" ref="Y624">IFERROR(INDEX('Исходник'!$1:$626,MATCH($A624,'Исходник'!$T:$T,0),MATCH(Y$1,'Исходник'!$1:$1,0)))</f>
        <v/>
      </c>
      <c r="Z624" s="27">
        <f t="shared" si="11"/>
        <v>0</v>
      </c>
      <c r="AA624" s="27" t="str">
        <f t="shared" si="12"/>
        <v/>
      </c>
      <c r="AB624" s="1" t="str">
        <f t="array" ref="AB624">IFERROR(INDEX('Исходник'!$1:$626,MATCH($A624,'Исходник'!$T:$T,0),MATCH(AB$1,'Исходник'!$1:$1,0)))</f>
        <v/>
      </c>
      <c r="AC624" s="1" t="str">
        <f t="array" ref="AC624">IFERROR(INDEX('Исходник'!$1:$626,MATCH($A624,'Исходник'!$T:$T,0),MATCH(AC$1,'Исходник'!$1:$1,0)))</f>
        <v/>
      </c>
      <c r="AD624" s="27" t="str">
        <f t="shared" si="13"/>
        <v/>
      </c>
      <c r="AE624" s="1" t="str">
        <f t="array" ref="AE624">IFERROR(INDEX('Исходник'!$1:$626,MATCH($A624,'Исходник'!$T:$T,0),MATCH(AE$1,'Исходник'!$1:$1,0)))</f>
        <v/>
      </c>
      <c r="AF624" s="1" t="str">
        <f t="array" ref="AF624">IFERROR(INDEX('Исходник'!$1:$626,MATCH($A624,'Исходник'!$T:$T,0),MATCH(AF$1,'Исходник'!$1:$1,0)))</f>
        <v/>
      </c>
      <c r="AG624" s="27" t="str">
        <f t="shared" si="14"/>
        <v/>
      </c>
      <c r="AH624" s="1" t="str">
        <f t="array" ref="AH624">IFERROR(INDEX('Исходник'!$1:$626,MATCH($A624,'Исходник'!$T:$T,0),MATCH(AH$1,'Исходник'!$1:$1,0)))</f>
        <v/>
      </c>
      <c r="AI624" s="1" t="str">
        <f t="array" ref="AI624">IFERROR(INDEX('Исходник'!$1:$626,MATCH($A624,'Исходник'!$T:$T,0),MATCH(AI$1,'Исходник'!$1:$1,0)))</f>
        <v/>
      </c>
      <c r="AJ624" s="18">
        <f t="shared" si="15"/>
        <v>0</v>
      </c>
    </row>
    <row r="625" ht="15.75" customHeight="1">
      <c r="A625" s="27"/>
      <c r="B625" s="1" t="str">
        <f t="array" ref="B625">IFERROR(INDEX('Исходник'!$1:$626,MATCH($A625,'Исходник'!$T:$T,0),MATCH(B$1,'Исходник'!$1:$1,0)))</f>
        <v/>
      </c>
      <c r="C625" s="1" t="str">
        <f t="array" ref="C625">IFERROR(INDEX('Исходник'!$1:$626,MATCH($A625,'Исходник'!$T:$T,0),MATCH(C$1,'Исходник'!$1:$1,0)))</f>
        <v/>
      </c>
      <c r="D625" s="1" t="str">
        <f t="array" ref="D625">IFERROR(INDEX('Исходник'!$1:$626,MATCH($A625,'Исходник'!$T:$T,0),MATCH(D$1,'Исходник'!$1:$1,0)))</f>
        <v/>
      </c>
      <c r="E625" s="1" t="str">
        <f t="array" ref="E625">IFERROR(INDEX('Исходник'!$1:$626,MATCH($A625,'Исходник'!$T:$T,0),MATCH(E$1,'Исходник'!$1:$1,0)))</f>
        <v/>
      </c>
      <c r="F625" s="1" t="str">
        <f t="array" ref="F625">IFERROR(INDEX('Исходник'!$1:$626,MATCH($A625,'Исходник'!$T:$T,0),MATCH(F$1,'Исходник'!$1:$1,0)))</f>
        <v/>
      </c>
      <c r="G625" s="1" t="str">
        <f t="array" ref="G625">IFERROR(INDEX('Исходник'!$1:$626,MATCH($A625,'Исходник'!$T:$T,0),MATCH(G$1,'Исходник'!$1:$1,0)))</f>
        <v/>
      </c>
      <c r="H625" s="27">
        <f t="shared" si="1"/>
        <v>0</v>
      </c>
      <c r="I625" s="27" t="str">
        <f t="shared" si="2"/>
        <v/>
      </c>
      <c r="J625" s="1" t="str">
        <f t="array" ref="J625">IFERROR(INDEX('Исходник'!$1:$626,MATCH($A625,'Исходник'!$T:$T,0),MATCH(J$1,'Исходник'!$1:$1,0)))</f>
        <v/>
      </c>
      <c r="K625" s="27" t="str">
        <f t="shared" si="3"/>
        <v/>
      </c>
      <c r="L625" s="1" t="str">
        <f t="array" ref="L625">IFERROR(INDEX('Исходник'!$1:$626,MATCH($A625,'Исходник'!$T:$T,0),MATCH(L$1,'Исходник'!$1:$1,0)))</f>
        <v/>
      </c>
      <c r="M625" s="28">
        <f t="shared" si="4"/>
        <v>0</v>
      </c>
      <c r="N625" s="1" t="str">
        <f t="array" ref="N625">IFERROR(INDEX('Исходник'!$1:$626,MATCH($A625,'Исходник'!$T:$T,0),MATCH(N$1,'Исходник'!$1:$1,0)))</f>
        <v/>
      </c>
      <c r="O625" s="27">
        <f t="shared" si="5"/>
        <v>0</v>
      </c>
      <c r="P625" s="27" t="str">
        <f t="shared" si="6"/>
        <v/>
      </c>
      <c r="Q625" s="1" t="str">
        <f t="array" ref="Q625">IFERROR(INDEX('Исходник'!$1:$626,MATCH($A625,'Исходник'!$T:$T,0),MATCH(Q$1,'Исходник'!$1:$1,0)))</f>
        <v/>
      </c>
      <c r="R625" s="1" t="str">
        <f t="array" ref="R625">IFERROR(INDEX('Исходник'!$1:$626,MATCH($A625,'Исходник'!$T:$T,0),MATCH(R$1,'Исходник'!$1:$1,0)))</f>
        <v/>
      </c>
      <c r="S625" s="27">
        <f t="shared" si="7"/>
        <v>0</v>
      </c>
      <c r="T625" s="27" t="str">
        <f t="shared" si="8"/>
        <v/>
      </c>
      <c r="U625" s="1" t="str">
        <f t="array" ref="U625">IFERROR(INDEX('Исходник'!$1:$626,MATCH($A625,'Исходник'!$T:$T,0),MATCH(U$1,'Исходник'!$1:$1,0)))</f>
        <v/>
      </c>
      <c r="V625" s="27" t="str">
        <f t="shared" si="9"/>
        <v/>
      </c>
      <c r="W625" s="1" t="str">
        <f t="array" ref="W625">IFERROR(INDEX('Исходник'!$1:$626,MATCH($A625,'Исходник'!$T:$T,0),MATCH(W$1,'Исходник'!$1:$1,0)))</f>
        <v/>
      </c>
      <c r="X625" s="28">
        <f t="shared" si="10"/>
        <v>0</v>
      </c>
      <c r="Y625" s="1" t="str">
        <f t="array" ref="Y625">IFERROR(INDEX('Исходник'!$1:$626,MATCH($A625,'Исходник'!$T:$T,0),MATCH(Y$1,'Исходник'!$1:$1,0)))</f>
        <v/>
      </c>
      <c r="Z625" s="27">
        <f t="shared" si="11"/>
        <v>0</v>
      </c>
      <c r="AA625" s="27" t="str">
        <f t="shared" si="12"/>
        <v/>
      </c>
      <c r="AB625" s="1" t="str">
        <f t="array" ref="AB625">IFERROR(INDEX('Исходник'!$1:$626,MATCH($A625,'Исходник'!$T:$T,0),MATCH(AB$1,'Исходник'!$1:$1,0)))</f>
        <v/>
      </c>
      <c r="AC625" s="1" t="str">
        <f t="array" ref="AC625">IFERROR(INDEX('Исходник'!$1:$626,MATCH($A625,'Исходник'!$T:$T,0),MATCH(AC$1,'Исходник'!$1:$1,0)))</f>
        <v/>
      </c>
      <c r="AD625" s="27" t="str">
        <f t="shared" si="13"/>
        <v/>
      </c>
      <c r="AE625" s="1" t="str">
        <f t="array" ref="AE625">IFERROR(INDEX('Исходник'!$1:$626,MATCH($A625,'Исходник'!$T:$T,0),MATCH(AE$1,'Исходник'!$1:$1,0)))</f>
        <v/>
      </c>
      <c r="AF625" s="1" t="str">
        <f t="array" ref="AF625">IFERROR(INDEX('Исходник'!$1:$626,MATCH($A625,'Исходник'!$T:$T,0),MATCH(AF$1,'Исходник'!$1:$1,0)))</f>
        <v/>
      </c>
      <c r="AG625" s="27" t="str">
        <f t="shared" si="14"/>
        <v/>
      </c>
      <c r="AH625" s="1" t="str">
        <f t="array" ref="AH625">IFERROR(INDEX('Исходник'!$1:$626,MATCH($A625,'Исходник'!$T:$T,0),MATCH(AH$1,'Исходник'!$1:$1,0)))</f>
        <v/>
      </c>
      <c r="AI625" s="1" t="str">
        <f t="array" ref="AI625">IFERROR(INDEX('Исходник'!$1:$626,MATCH($A625,'Исходник'!$T:$T,0),MATCH(AI$1,'Исходник'!$1:$1,0)))</f>
        <v/>
      </c>
      <c r="AJ625" s="18">
        <f t="shared" si="15"/>
        <v>0</v>
      </c>
    </row>
    <row r="626" ht="15.75" customHeight="1">
      <c r="A626" s="27"/>
      <c r="B626" s="1" t="str">
        <f t="array" ref="B626">IFERROR(INDEX('Исходник'!$1:$626,MATCH($A626,'Исходник'!$T:$T,0),MATCH(B$1,'Исходник'!$1:$1,0)))</f>
        <v/>
      </c>
      <c r="C626" s="1" t="str">
        <f t="array" ref="C626">IFERROR(INDEX('Исходник'!$1:$626,MATCH($A626,'Исходник'!$T:$T,0),MATCH(C$1,'Исходник'!$1:$1,0)))</f>
        <v/>
      </c>
      <c r="D626" s="1" t="str">
        <f t="array" ref="D626">IFERROR(INDEX('Исходник'!$1:$626,MATCH($A626,'Исходник'!$T:$T,0),MATCH(D$1,'Исходник'!$1:$1,0)))</f>
        <v/>
      </c>
      <c r="E626" s="1" t="str">
        <f t="array" ref="E626">IFERROR(INDEX('Исходник'!$1:$626,MATCH($A626,'Исходник'!$T:$T,0),MATCH(E$1,'Исходник'!$1:$1,0)))</f>
        <v/>
      </c>
      <c r="F626" s="1" t="str">
        <f t="array" ref="F626">IFERROR(INDEX('Исходник'!$1:$626,MATCH($A626,'Исходник'!$T:$T,0),MATCH(F$1,'Исходник'!$1:$1,0)))</f>
        <v/>
      </c>
      <c r="G626" s="1" t="str">
        <f t="array" ref="G626">IFERROR(INDEX('Исходник'!$1:$626,MATCH($A626,'Исходник'!$T:$T,0),MATCH(G$1,'Исходник'!$1:$1,0)))</f>
        <v/>
      </c>
      <c r="H626" s="27">
        <f t="shared" si="1"/>
        <v>0</v>
      </c>
      <c r="I626" s="27" t="str">
        <f t="shared" si="2"/>
        <v/>
      </c>
      <c r="J626" s="1" t="str">
        <f t="array" ref="J626">IFERROR(INDEX('Исходник'!$1:$626,MATCH($A626,'Исходник'!$T:$T,0),MATCH(J$1,'Исходник'!$1:$1,0)))</f>
        <v/>
      </c>
      <c r="K626" s="27" t="str">
        <f t="shared" si="3"/>
        <v/>
      </c>
      <c r="L626" s="1" t="str">
        <f t="array" ref="L626">IFERROR(INDEX('Исходник'!$1:$626,MATCH($A626,'Исходник'!$T:$T,0),MATCH(L$1,'Исходник'!$1:$1,0)))</f>
        <v/>
      </c>
      <c r="M626" s="28">
        <f t="shared" si="4"/>
        <v>0</v>
      </c>
      <c r="N626" s="1" t="str">
        <f t="array" ref="N626">IFERROR(INDEX('Исходник'!$1:$626,MATCH($A626,'Исходник'!$T:$T,0),MATCH(N$1,'Исходник'!$1:$1,0)))</f>
        <v/>
      </c>
      <c r="O626" s="27">
        <f t="shared" si="5"/>
        <v>0</v>
      </c>
      <c r="P626" s="27" t="str">
        <f t="shared" si="6"/>
        <v/>
      </c>
      <c r="Q626" s="1" t="str">
        <f t="array" ref="Q626">IFERROR(INDEX('Исходник'!$1:$626,MATCH($A626,'Исходник'!$T:$T,0),MATCH(Q$1,'Исходник'!$1:$1,0)))</f>
        <v/>
      </c>
      <c r="R626" s="1" t="str">
        <f t="array" ref="R626">IFERROR(INDEX('Исходник'!$1:$626,MATCH($A626,'Исходник'!$T:$T,0),MATCH(R$1,'Исходник'!$1:$1,0)))</f>
        <v/>
      </c>
      <c r="S626" s="27">
        <f t="shared" si="7"/>
        <v>0</v>
      </c>
      <c r="T626" s="27" t="str">
        <f t="shared" si="8"/>
        <v/>
      </c>
      <c r="U626" s="1" t="str">
        <f t="array" ref="U626">IFERROR(INDEX('Исходник'!$1:$626,MATCH($A626,'Исходник'!$T:$T,0),MATCH(U$1,'Исходник'!$1:$1,0)))</f>
        <v/>
      </c>
      <c r="V626" s="27" t="str">
        <f t="shared" si="9"/>
        <v/>
      </c>
      <c r="W626" s="1" t="str">
        <f t="array" ref="W626">IFERROR(INDEX('Исходник'!$1:$626,MATCH($A626,'Исходник'!$T:$T,0),MATCH(W$1,'Исходник'!$1:$1,0)))</f>
        <v/>
      </c>
      <c r="X626" s="28">
        <f t="shared" si="10"/>
        <v>0</v>
      </c>
      <c r="Y626" s="1" t="str">
        <f t="array" ref="Y626">IFERROR(INDEX('Исходник'!$1:$626,MATCH($A626,'Исходник'!$T:$T,0),MATCH(Y$1,'Исходник'!$1:$1,0)))</f>
        <v/>
      </c>
      <c r="Z626" s="27">
        <f t="shared" si="11"/>
        <v>0</v>
      </c>
      <c r="AA626" s="27" t="str">
        <f t="shared" si="12"/>
        <v/>
      </c>
      <c r="AB626" s="1" t="str">
        <f t="array" ref="AB626">IFERROR(INDEX('Исходник'!$1:$626,MATCH($A626,'Исходник'!$T:$T,0),MATCH(AB$1,'Исходник'!$1:$1,0)))</f>
        <v/>
      </c>
      <c r="AC626" s="1" t="str">
        <f t="array" ref="AC626">IFERROR(INDEX('Исходник'!$1:$626,MATCH($A626,'Исходник'!$T:$T,0),MATCH(AC$1,'Исходник'!$1:$1,0)))</f>
        <v/>
      </c>
      <c r="AD626" s="27" t="str">
        <f t="shared" si="13"/>
        <v/>
      </c>
      <c r="AE626" s="1" t="str">
        <f t="array" ref="AE626">IFERROR(INDEX('Исходник'!$1:$626,MATCH($A626,'Исходник'!$T:$T,0),MATCH(AE$1,'Исходник'!$1:$1,0)))</f>
        <v/>
      </c>
      <c r="AF626" s="1" t="str">
        <f t="array" ref="AF626">IFERROR(INDEX('Исходник'!$1:$626,MATCH($A626,'Исходник'!$T:$T,0),MATCH(AF$1,'Исходник'!$1:$1,0)))</f>
        <v/>
      </c>
      <c r="AG626" s="27" t="str">
        <f t="shared" si="14"/>
        <v/>
      </c>
      <c r="AH626" s="1" t="str">
        <f t="array" ref="AH626">IFERROR(INDEX('Исходник'!$1:$626,MATCH($A626,'Исходник'!$T:$T,0),MATCH(AH$1,'Исходник'!$1:$1,0)))</f>
        <v/>
      </c>
      <c r="AI626" s="1" t="str">
        <f t="array" ref="AI626">IFERROR(INDEX('Исходник'!$1:$626,MATCH($A626,'Исходник'!$T:$T,0),MATCH(AI$1,'Исходник'!$1:$1,0)))</f>
        <v/>
      </c>
      <c r="AJ626" s="18">
        <f t="shared" si="15"/>
        <v>0</v>
      </c>
    </row>
    <row r="627" ht="15.75" customHeight="1">
      <c r="A627" s="27"/>
      <c r="B627" s="1" t="str">
        <f t="array" ref="B627">IFERROR(INDEX('Исходник'!$1:$626,MATCH($A627,'Исходник'!$T:$T,0),MATCH(B$1,'Исходник'!$1:$1,0)))</f>
        <v/>
      </c>
      <c r="C627" s="1" t="str">
        <f t="array" ref="C627">IFERROR(INDEX('Исходник'!$1:$626,MATCH($A627,'Исходник'!$T:$T,0),MATCH(C$1,'Исходник'!$1:$1,0)))</f>
        <v/>
      </c>
      <c r="D627" s="1" t="str">
        <f t="array" ref="D627">IFERROR(INDEX('Исходник'!$1:$626,MATCH($A627,'Исходник'!$T:$T,0),MATCH(D$1,'Исходник'!$1:$1,0)))</f>
        <v/>
      </c>
      <c r="E627" s="1" t="str">
        <f t="array" ref="E627">IFERROR(INDEX('Исходник'!$1:$626,MATCH($A627,'Исходник'!$T:$T,0),MATCH(E$1,'Исходник'!$1:$1,0)))</f>
        <v/>
      </c>
      <c r="F627" s="1" t="str">
        <f t="array" ref="F627">IFERROR(INDEX('Исходник'!$1:$626,MATCH($A627,'Исходник'!$T:$T,0),MATCH(F$1,'Исходник'!$1:$1,0)))</f>
        <v/>
      </c>
      <c r="G627" s="1" t="str">
        <f t="array" ref="G627">IFERROR(INDEX('Исходник'!$1:$626,MATCH($A627,'Исходник'!$T:$T,0),MATCH(G$1,'Исходник'!$1:$1,0)))</f>
        <v/>
      </c>
      <c r="H627" s="27">
        <f t="shared" si="1"/>
        <v>0</v>
      </c>
      <c r="I627" s="27" t="str">
        <f t="shared" si="2"/>
        <v/>
      </c>
      <c r="J627" s="1" t="str">
        <f t="array" ref="J627">IFERROR(INDEX('Исходник'!$1:$626,MATCH($A627,'Исходник'!$T:$T,0),MATCH(J$1,'Исходник'!$1:$1,0)))</f>
        <v/>
      </c>
      <c r="K627" s="27" t="str">
        <f t="shared" si="3"/>
        <v/>
      </c>
      <c r="L627" s="1" t="str">
        <f t="array" ref="L627">IFERROR(INDEX('Исходник'!$1:$626,MATCH($A627,'Исходник'!$T:$T,0),MATCH(L$1,'Исходник'!$1:$1,0)))</f>
        <v/>
      </c>
      <c r="M627" s="28">
        <f t="shared" si="4"/>
        <v>0</v>
      </c>
      <c r="N627" s="1" t="str">
        <f t="array" ref="N627">IFERROR(INDEX('Исходник'!$1:$626,MATCH($A627,'Исходник'!$T:$T,0),MATCH(N$1,'Исходник'!$1:$1,0)))</f>
        <v/>
      </c>
      <c r="O627" s="27">
        <f t="shared" si="5"/>
        <v>0</v>
      </c>
      <c r="P627" s="27" t="str">
        <f t="shared" si="6"/>
        <v/>
      </c>
      <c r="Q627" s="1" t="str">
        <f t="array" ref="Q627">IFERROR(INDEX('Исходник'!$1:$626,MATCH($A627,'Исходник'!$T:$T,0),MATCH(Q$1,'Исходник'!$1:$1,0)))</f>
        <v/>
      </c>
      <c r="R627" s="1" t="str">
        <f t="array" ref="R627">IFERROR(INDEX('Исходник'!$1:$626,MATCH($A627,'Исходник'!$T:$T,0),MATCH(R$1,'Исходник'!$1:$1,0)))</f>
        <v/>
      </c>
      <c r="S627" s="27">
        <f t="shared" si="7"/>
        <v>0</v>
      </c>
      <c r="T627" s="27" t="str">
        <f t="shared" si="8"/>
        <v/>
      </c>
      <c r="U627" s="1" t="str">
        <f t="array" ref="U627">IFERROR(INDEX('Исходник'!$1:$626,MATCH($A627,'Исходник'!$T:$T,0),MATCH(U$1,'Исходник'!$1:$1,0)))</f>
        <v/>
      </c>
      <c r="V627" s="27" t="str">
        <f t="shared" si="9"/>
        <v/>
      </c>
      <c r="W627" s="1" t="str">
        <f t="array" ref="W627">IFERROR(INDEX('Исходник'!$1:$626,MATCH($A627,'Исходник'!$T:$T,0),MATCH(W$1,'Исходник'!$1:$1,0)))</f>
        <v/>
      </c>
      <c r="X627" s="28">
        <f t="shared" si="10"/>
        <v>0</v>
      </c>
      <c r="Y627" s="1" t="str">
        <f t="array" ref="Y627">IFERROR(INDEX('Исходник'!$1:$626,MATCH($A627,'Исходник'!$T:$T,0),MATCH(Y$1,'Исходник'!$1:$1,0)))</f>
        <v/>
      </c>
      <c r="Z627" s="27">
        <f t="shared" si="11"/>
        <v>0</v>
      </c>
      <c r="AA627" s="27" t="str">
        <f t="shared" si="12"/>
        <v/>
      </c>
      <c r="AB627" s="1" t="str">
        <f t="array" ref="AB627">IFERROR(INDEX('Исходник'!$1:$626,MATCH($A627,'Исходник'!$T:$T,0),MATCH(AB$1,'Исходник'!$1:$1,0)))</f>
        <v/>
      </c>
      <c r="AC627" s="1" t="str">
        <f t="array" ref="AC627">IFERROR(INDEX('Исходник'!$1:$626,MATCH($A627,'Исходник'!$T:$T,0),MATCH(AC$1,'Исходник'!$1:$1,0)))</f>
        <v/>
      </c>
      <c r="AD627" s="27" t="str">
        <f t="shared" si="13"/>
        <v/>
      </c>
      <c r="AE627" s="1" t="str">
        <f t="array" ref="AE627">IFERROR(INDEX('Исходник'!$1:$626,MATCH($A627,'Исходник'!$T:$T,0),MATCH(AE$1,'Исходник'!$1:$1,0)))</f>
        <v/>
      </c>
      <c r="AF627" s="1" t="str">
        <f t="array" ref="AF627">IFERROR(INDEX('Исходник'!$1:$626,MATCH($A627,'Исходник'!$T:$T,0),MATCH(AF$1,'Исходник'!$1:$1,0)))</f>
        <v/>
      </c>
      <c r="AG627" s="27" t="str">
        <f t="shared" si="14"/>
        <v/>
      </c>
      <c r="AH627" s="1" t="str">
        <f t="array" ref="AH627">IFERROR(INDEX('Исходник'!$1:$626,MATCH($A627,'Исходник'!$T:$T,0),MATCH(AH$1,'Исходник'!$1:$1,0)))</f>
        <v/>
      </c>
      <c r="AI627" s="1" t="str">
        <f t="array" ref="AI627">IFERROR(INDEX('Исходник'!$1:$626,MATCH($A627,'Исходник'!$T:$T,0),MATCH(AI$1,'Исходник'!$1:$1,0)))</f>
        <v/>
      </c>
      <c r="AJ627" s="18">
        <f t="shared" si="15"/>
        <v>0</v>
      </c>
    </row>
    <row r="628" ht="15.75" customHeight="1">
      <c r="A628" s="27"/>
      <c r="B628" s="1" t="str">
        <f t="array" ref="B628">IFERROR(INDEX('Исходник'!$1:$626,MATCH($A628,'Исходник'!$T:$T,0),MATCH(B$1,'Исходник'!$1:$1,0)))</f>
        <v/>
      </c>
      <c r="C628" s="1" t="str">
        <f t="array" ref="C628">IFERROR(INDEX('Исходник'!$1:$626,MATCH($A628,'Исходник'!$T:$T,0),MATCH(C$1,'Исходник'!$1:$1,0)))</f>
        <v/>
      </c>
      <c r="D628" s="1" t="str">
        <f t="array" ref="D628">IFERROR(INDEX('Исходник'!$1:$626,MATCH($A628,'Исходник'!$T:$T,0),MATCH(D$1,'Исходник'!$1:$1,0)))</f>
        <v/>
      </c>
      <c r="E628" s="1" t="str">
        <f t="array" ref="E628">IFERROR(INDEX('Исходник'!$1:$626,MATCH($A628,'Исходник'!$T:$T,0),MATCH(E$1,'Исходник'!$1:$1,0)))</f>
        <v/>
      </c>
      <c r="F628" s="1" t="str">
        <f t="array" ref="F628">IFERROR(INDEX('Исходник'!$1:$626,MATCH($A628,'Исходник'!$T:$T,0),MATCH(F$1,'Исходник'!$1:$1,0)))</f>
        <v/>
      </c>
      <c r="G628" s="1" t="str">
        <f t="array" ref="G628">IFERROR(INDEX('Исходник'!$1:$626,MATCH($A628,'Исходник'!$T:$T,0),MATCH(G$1,'Исходник'!$1:$1,0)))</f>
        <v/>
      </c>
      <c r="H628" s="27">
        <f t="shared" si="1"/>
        <v>0</v>
      </c>
      <c r="I628" s="27" t="str">
        <f t="shared" si="2"/>
        <v/>
      </c>
      <c r="J628" s="1" t="str">
        <f t="array" ref="J628">IFERROR(INDEX('Исходник'!$1:$626,MATCH($A628,'Исходник'!$T:$T,0),MATCH(J$1,'Исходник'!$1:$1,0)))</f>
        <v/>
      </c>
      <c r="K628" s="27" t="str">
        <f t="shared" si="3"/>
        <v/>
      </c>
      <c r="L628" s="1" t="str">
        <f t="array" ref="L628">IFERROR(INDEX('Исходник'!$1:$626,MATCH($A628,'Исходник'!$T:$T,0),MATCH(L$1,'Исходник'!$1:$1,0)))</f>
        <v/>
      </c>
      <c r="M628" s="28">
        <f t="shared" si="4"/>
        <v>0</v>
      </c>
      <c r="N628" s="1" t="str">
        <f t="array" ref="N628">IFERROR(INDEX('Исходник'!$1:$626,MATCH($A628,'Исходник'!$T:$T,0),MATCH(N$1,'Исходник'!$1:$1,0)))</f>
        <v/>
      </c>
      <c r="O628" s="27">
        <f t="shared" si="5"/>
        <v>0</v>
      </c>
      <c r="P628" s="27" t="str">
        <f t="shared" si="6"/>
        <v/>
      </c>
      <c r="Q628" s="1" t="str">
        <f t="array" ref="Q628">IFERROR(INDEX('Исходник'!$1:$626,MATCH($A628,'Исходник'!$T:$T,0),MATCH(Q$1,'Исходник'!$1:$1,0)))</f>
        <v/>
      </c>
      <c r="R628" s="1" t="str">
        <f t="array" ref="R628">IFERROR(INDEX('Исходник'!$1:$626,MATCH($A628,'Исходник'!$T:$T,0),MATCH(R$1,'Исходник'!$1:$1,0)))</f>
        <v/>
      </c>
      <c r="S628" s="27">
        <f t="shared" si="7"/>
        <v>0</v>
      </c>
      <c r="T628" s="27" t="str">
        <f t="shared" si="8"/>
        <v/>
      </c>
      <c r="U628" s="1" t="str">
        <f t="array" ref="U628">IFERROR(INDEX('Исходник'!$1:$626,MATCH($A628,'Исходник'!$T:$T,0),MATCH(U$1,'Исходник'!$1:$1,0)))</f>
        <v/>
      </c>
      <c r="V628" s="27" t="str">
        <f t="shared" si="9"/>
        <v/>
      </c>
      <c r="W628" s="1" t="str">
        <f t="array" ref="W628">IFERROR(INDEX('Исходник'!$1:$626,MATCH($A628,'Исходник'!$T:$T,0),MATCH(W$1,'Исходник'!$1:$1,0)))</f>
        <v/>
      </c>
      <c r="X628" s="28">
        <f t="shared" si="10"/>
        <v>0</v>
      </c>
      <c r="Y628" s="1" t="str">
        <f t="array" ref="Y628">IFERROR(INDEX('Исходник'!$1:$626,MATCH($A628,'Исходник'!$T:$T,0),MATCH(Y$1,'Исходник'!$1:$1,0)))</f>
        <v/>
      </c>
      <c r="Z628" s="27">
        <f t="shared" si="11"/>
        <v>0</v>
      </c>
      <c r="AA628" s="27" t="str">
        <f t="shared" si="12"/>
        <v/>
      </c>
      <c r="AB628" s="1" t="str">
        <f t="array" ref="AB628">IFERROR(INDEX('Исходник'!$1:$626,MATCH($A628,'Исходник'!$T:$T,0),MATCH(AB$1,'Исходник'!$1:$1,0)))</f>
        <v/>
      </c>
      <c r="AC628" s="1" t="str">
        <f t="array" ref="AC628">IFERROR(INDEX('Исходник'!$1:$626,MATCH($A628,'Исходник'!$T:$T,0),MATCH(AC$1,'Исходник'!$1:$1,0)))</f>
        <v/>
      </c>
      <c r="AD628" s="27" t="str">
        <f t="shared" si="13"/>
        <v/>
      </c>
      <c r="AE628" s="1" t="str">
        <f t="array" ref="AE628">IFERROR(INDEX('Исходник'!$1:$626,MATCH($A628,'Исходник'!$T:$T,0),MATCH(AE$1,'Исходник'!$1:$1,0)))</f>
        <v/>
      </c>
      <c r="AF628" s="1" t="str">
        <f t="array" ref="AF628">IFERROR(INDEX('Исходник'!$1:$626,MATCH($A628,'Исходник'!$T:$T,0),MATCH(AF$1,'Исходник'!$1:$1,0)))</f>
        <v/>
      </c>
      <c r="AG628" s="27" t="str">
        <f t="shared" si="14"/>
        <v/>
      </c>
      <c r="AH628" s="1" t="str">
        <f t="array" ref="AH628">IFERROR(INDEX('Исходник'!$1:$626,MATCH($A628,'Исходник'!$T:$T,0),MATCH(AH$1,'Исходник'!$1:$1,0)))</f>
        <v/>
      </c>
      <c r="AI628" s="1" t="str">
        <f t="array" ref="AI628">IFERROR(INDEX('Исходник'!$1:$626,MATCH($A628,'Исходник'!$T:$T,0),MATCH(AI$1,'Исходник'!$1:$1,0)))</f>
        <v/>
      </c>
      <c r="AJ628" s="18">
        <f t="shared" si="15"/>
        <v>0</v>
      </c>
    </row>
    <row r="629" ht="15.75" customHeight="1">
      <c r="A629" s="27"/>
      <c r="B629" s="1" t="str">
        <f t="array" ref="B629">IFERROR(INDEX('Исходник'!$1:$626,MATCH($A629,'Исходник'!$T:$T,0),MATCH(B$1,'Исходник'!$1:$1,0)))</f>
        <v/>
      </c>
      <c r="C629" s="1" t="str">
        <f t="array" ref="C629">IFERROR(INDEX('Исходник'!$1:$626,MATCH($A629,'Исходник'!$T:$T,0),MATCH(C$1,'Исходник'!$1:$1,0)))</f>
        <v/>
      </c>
      <c r="D629" s="1" t="str">
        <f t="array" ref="D629">IFERROR(INDEX('Исходник'!$1:$626,MATCH($A629,'Исходник'!$T:$T,0),MATCH(D$1,'Исходник'!$1:$1,0)))</f>
        <v/>
      </c>
      <c r="E629" s="1" t="str">
        <f t="array" ref="E629">IFERROR(INDEX('Исходник'!$1:$626,MATCH($A629,'Исходник'!$T:$T,0),MATCH(E$1,'Исходник'!$1:$1,0)))</f>
        <v/>
      </c>
      <c r="F629" s="1" t="str">
        <f t="array" ref="F629">IFERROR(INDEX('Исходник'!$1:$626,MATCH($A629,'Исходник'!$T:$T,0),MATCH(F$1,'Исходник'!$1:$1,0)))</f>
        <v/>
      </c>
      <c r="G629" s="1" t="str">
        <f t="array" ref="G629">IFERROR(INDEX('Исходник'!$1:$626,MATCH($A629,'Исходник'!$T:$T,0),MATCH(G$1,'Исходник'!$1:$1,0)))</f>
        <v/>
      </c>
      <c r="H629" s="27">
        <f t="shared" si="1"/>
        <v>0</v>
      </c>
      <c r="I629" s="27" t="str">
        <f t="shared" si="2"/>
        <v/>
      </c>
      <c r="J629" s="1" t="str">
        <f t="array" ref="J629">IFERROR(INDEX('Исходник'!$1:$626,MATCH($A629,'Исходник'!$T:$T,0),MATCH(J$1,'Исходник'!$1:$1,0)))</f>
        <v/>
      </c>
      <c r="K629" s="27" t="str">
        <f t="shared" si="3"/>
        <v/>
      </c>
      <c r="L629" s="1" t="str">
        <f t="array" ref="L629">IFERROR(INDEX('Исходник'!$1:$626,MATCH($A629,'Исходник'!$T:$T,0),MATCH(L$1,'Исходник'!$1:$1,0)))</f>
        <v/>
      </c>
      <c r="M629" s="28">
        <f t="shared" si="4"/>
        <v>0</v>
      </c>
      <c r="N629" s="1" t="str">
        <f t="array" ref="N629">IFERROR(INDEX('Исходник'!$1:$626,MATCH($A629,'Исходник'!$T:$T,0),MATCH(N$1,'Исходник'!$1:$1,0)))</f>
        <v/>
      </c>
      <c r="O629" s="27">
        <f t="shared" si="5"/>
        <v>0</v>
      </c>
      <c r="P629" s="27" t="str">
        <f t="shared" si="6"/>
        <v/>
      </c>
      <c r="Q629" s="1" t="str">
        <f t="array" ref="Q629">IFERROR(INDEX('Исходник'!$1:$626,MATCH($A629,'Исходник'!$T:$T,0),MATCH(Q$1,'Исходник'!$1:$1,0)))</f>
        <v/>
      </c>
      <c r="R629" s="1" t="str">
        <f t="array" ref="R629">IFERROR(INDEX('Исходник'!$1:$626,MATCH($A629,'Исходник'!$T:$T,0),MATCH(R$1,'Исходник'!$1:$1,0)))</f>
        <v/>
      </c>
      <c r="S629" s="27">
        <f t="shared" si="7"/>
        <v>0</v>
      </c>
      <c r="T629" s="27" t="str">
        <f t="shared" si="8"/>
        <v/>
      </c>
      <c r="U629" s="1" t="str">
        <f t="array" ref="U629">IFERROR(INDEX('Исходник'!$1:$626,MATCH($A629,'Исходник'!$T:$T,0),MATCH(U$1,'Исходник'!$1:$1,0)))</f>
        <v/>
      </c>
      <c r="V629" s="27" t="str">
        <f t="shared" si="9"/>
        <v/>
      </c>
      <c r="W629" s="1" t="str">
        <f t="array" ref="W629">IFERROR(INDEX('Исходник'!$1:$626,MATCH($A629,'Исходник'!$T:$T,0),MATCH(W$1,'Исходник'!$1:$1,0)))</f>
        <v/>
      </c>
      <c r="X629" s="28">
        <f t="shared" si="10"/>
        <v>0</v>
      </c>
      <c r="Y629" s="1" t="str">
        <f t="array" ref="Y629">IFERROR(INDEX('Исходник'!$1:$626,MATCH($A629,'Исходник'!$T:$T,0),MATCH(Y$1,'Исходник'!$1:$1,0)))</f>
        <v/>
      </c>
      <c r="Z629" s="27">
        <f t="shared" si="11"/>
        <v>0</v>
      </c>
      <c r="AA629" s="27" t="str">
        <f t="shared" si="12"/>
        <v/>
      </c>
      <c r="AB629" s="1" t="str">
        <f t="array" ref="AB629">IFERROR(INDEX('Исходник'!$1:$626,MATCH($A629,'Исходник'!$T:$T,0),MATCH(AB$1,'Исходник'!$1:$1,0)))</f>
        <v/>
      </c>
      <c r="AC629" s="1" t="str">
        <f t="array" ref="AC629">IFERROR(INDEX('Исходник'!$1:$626,MATCH($A629,'Исходник'!$T:$T,0),MATCH(AC$1,'Исходник'!$1:$1,0)))</f>
        <v/>
      </c>
      <c r="AD629" s="27" t="str">
        <f t="shared" si="13"/>
        <v/>
      </c>
      <c r="AE629" s="1" t="str">
        <f t="array" ref="AE629">IFERROR(INDEX('Исходник'!$1:$626,MATCH($A629,'Исходник'!$T:$T,0),MATCH(AE$1,'Исходник'!$1:$1,0)))</f>
        <v/>
      </c>
      <c r="AF629" s="1" t="str">
        <f t="array" ref="AF629">IFERROR(INDEX('Исходник'!$1:$626,MATCH($A629,'Исходник'!$T:$T,0),MATCH(AF$1,'Исходник'!$1:$1,0)))</f>
        <v/>
      </c>
      <c r="AG629" s="27" t="str">
        <f t="shared" si="14"/>
        <v/>
      </c>
      <c r="AH629" s="1" t="str">
        <f t="array" ref="AH629">IFERROR(INDEX('Исходник'!$1:$626,MATCH($A629,'Исходник'!$T:$T,0),MATCH(AH$1,'Исходник'!$1:$1,0)))</f>
        <v/>
      </c>
      <c r="AI629" s="1" t="str">
        <f t="array" ref="AI629">IFERROR(INDEX('Исходник'!$1:$626,MATCH($A629,'Исходник'!$T:$T,0),MATCH(AI$1,'Исходник'!$1:$1,0)))</f>
        <v/>
      </c>
      <c r="AJ629" s="18">
        <f t="shared" si="15"/>
        <v>0</v>
      </c>
    </row>
    <row r="630" ht="15.75" customHeight="1">
      <c r="A630" s="27"/>
      <c r="B630" s="1" t="str">
        <f t="array" ref="B630">IFERROR(INDEX('Исходник'!$1:$626,MATCH($A630,'Исходник'!$T:$T,0),MATCH(B$1,'Исходник'!$1:$1,0)))</f>
        <v/>
      </c>
      <c r="C630" s="1" t="str">
        <f t="array" ref="C630">IFERROR(INDEX('Исходник'!$1:$626,MATCH($A630,'Исходник'!$T:$T,0),MATCH(C$1,'Исходник'!$1:$1,0)))</f>
        <v/>
      </c>
      <c r="D630" s="1" t="str">
        <f t="array" ref="D630">IFERROR(INDEX('Исходник'!$1:$626,MATCH($A630,'Исходник'!$T:$T,0),MATCH(D$1,'Исходник'!$1:$1,0)))</f>
        <v/>
      </c>
      <c r="E630" s="1" t="str">
        <f t="array" ref="E630">IFERROR(INDEX('Исходник'!$1:$626,MATCH($A630,'Исходник'!$T:$T,0),MATCH(E$1,'Исходник'!$1:$1,0)))</f>
        <v/>
      </c>
      <c r="F630" s="1" t="str">
        <f t="array" ref="F630">IFERROR(INDEX('Исходник'!$1:$626,MATCH($A630,'Исходник'!$T:$T,0),MATCH(F$1,'Исходник'!$1:$1,0)))</f>
        <v/>
      </c>
      <c r="G630" s="1" t="str">
        <f t="array" ref="G630">IFERROR(INDEX('Исходник'!$1:$626,MATCH($A630,'Исходник'!$T:$T,0),MATCH(G$1,'Исходник'!$1:$1,0)))</f>
        <v/>
      </c>
      <c r="H630" s="27">
        <f t="shared" si="1"/>
        <v>0</v>
      </c>
      <c r="I630" s="27" t="str">
        <f t="shared" si="2"/>
        <v/>
      </c>
      <c r="J630" s="1" t="str">
        <f t="array" ref="J630">IFERROR(INDEX('Исходник'!$1:$626,MATCH($A630,'Исходник'!$T:$T,0),MATCH(J$1,'Исходник'!$1:$1,0)))</f>
        <v/>
      </c>
      <c r="K630" s="27" t="str">
        <f t="shared" si="3"/>
        <v/>
      </c>
      <c r="L630" s="1" t="str">
        <f t="array" ref="L630">IFERROR(INDEX('Исходник'!$1:$626,MATCH($A630,'Исходник'!$T:$T,0),MATCH(L$1,'Исходник'!$1:$1,0)))</f>
        <v/>
      </c>
      <c r="M630" s="28">
        <f t="shared" si="4"/>
        <v>0</v>
      </c>
      <c r="N630" s="1" t="str">
        <f t="array" ref="N630">IFERROR(INDEX('Исходник'!$1:$626,MATCH($A630,'Исходник'!$T:$T,0),MATCH(N$1,'Исходник'!$1:$1,0)))</f>
        <v/>
      </c>
      <c r="O630" s="27">
        <f t="shared" si="5"/>
        <v>0</v>
      </c>
      <c r="P630" s="27" t="str">
        <f t="shared" si="6"/>
        <v/>
      </c>
      <c r="Q630" s="1" t="str">
        <f t="array" ref="Q630">IFERROR(INDEX('Исходник'!$1:$626,MATCH($A630,'Исходник'!$T:$T,0),MATCH(Q$1,'Исходник'!$1:$1,0)))</f>
        <v/>
      </c>
      <c r="R630" s="1" t="str">
        <f t="array" ref="R630">IFERROR(INDEX('Исходник'!$1:$626,MATCH($A630,'Исходник'!$T:$T,0),MATCH(R$1,'Исходник'!$1:$1,0)))</f>
        <v/>
      </c>
      <c r="S630" s="27">
        <f t="shared" si="7"/>
        <v>0</v>
      </c>
      <c r="T630" s="27" t="str">
        <f t="shared" si="8"/>
        <v/>
      </c>
      <c r="U630" s="1" t="str">
        <f t="array" ref="U630">IFERROR(INDEX('Исходник'!$1:$626,MATCH($A630,'Исходник'!$T:$T,0),MATCH(U$1,'Исходник'!$1:$1,0)))</f>
        <v/>
      </c>
      <c r="V630" s="27" t="str">
        <f t="shared" si="9"/>
        <v/>
      </c>
      <c r="W630" s="1" t="str">
        <f t="array" ref="W630">IFERROR(INDEX('Исходник'!$1:$626,MATCH($A630,'Исходник'!$T:$T,0),MATCH(W$1,'Исходник'!$1:$1,0)))</f>
        <v/>
      </c>
      <c r="X630" s="28">
        <f t="shared" si="10"/>
        <v>0</v>
      </c>
      <c r="Y630" s="1" t="str">
        <f t="array" ref="Y630">IFERROR(INDEX('Исходник'!$1:$626,MATCH($A630,'Исходник'!$T:$T,0),MATCH(Y$1,'Исходник'!$1:$1,0)))</f>
        <v/>
      </c>
      <c r="Z630" s="27">
        <f t="shared" si="11"/>
        <v>0</v>
      </c>
      <c r="AA630" s="27" t="str">
        <f t="shared" si="12"/>
        <v/>
      </c>
      <c r="AB630" s="1" t="str">
        <f t="array" ref="AB630">IFERROR(INDEX('Исходник'!$1:$626,MATCH($A630,'Исходник'!$T:$T,0),MATCH(AB$1,'Исходник'!$1:$1,0)))</f>
        <v/>
      </c>
      <c r="AC630" s="1" t="str">
        <f t="array" ref="AC630">IFERROR(INDEX('Исходник'!$1:$626,MATCH($A630,'Исходник'!$T:$T,0),MATCH(AC$1,'Исходник'!$1:$1,0)))</f>
        <v/>
      </c>
      <c r="AD630" s="27" t="str">
        <f t="shared" si="13"/>
        <v/>
      </c>
      <c r="AE630" s="1" t="str">
        <f t="array" ref="AE630">IFERROR(INDEX('Исходник'!$1:$626,MATCH($A630,'Исходник'!$T:$T,0),MATCH(AE$1,'Исходник'!$1:$1,0)))</f>
        <v/>
      </c>
      <c r="AF630" s="1" t="str">
        <f t="array" ref="AF630">IFERROR(INDEX('Исходник'!$1:$626,MATCH($A630,'Исходник'!$T:$T,0),MATCH(AF$1,'Исходник'!$1:$1,0)))</f>
        <v/>
      </c>
      <c r="AG630" s="27" t="str">
        <f t="shared" si="14"/>
        <v/>
      </c>
      <c r="AH630" s="1" t="str">
        <f t="array" ref="AH630">IFERROR(INDEX('Исходник'!$1:$626,MATCH($A630,'Исходник'!$T:$T,0),MATCH(AH$1,'Исходник'!$1:$1,0)))</f>
        <v/>
      </c>
      <c r="AI630" s="1" t="str">
        <f t="array" ref="AI630">IFERROR(INDEX('Исходник'!$1:$626,MATCH($A630,'Исходник'!$T:$T,0),MATCH(AI$1,'Исходник'!$1:$1,0)))</f>
        <v/>
      </c>
      <c r="AJ630" s="18">
        <f t="shared" si="15"/>
        <v>0</v>
      </c>
    </row>
    <row r="631" ht="15.75" customHeight="1">
      <c r="A631" s="27"/>
      <c r="B631" s="1" t="str">
        <f t="array" ref="B631">IFERROR(INDEX('Исходник'!$1:$626,MATCH($A631,'Исходник'!$T:$T,0),MATCH(B$1,'Исходник'!$1:$1,0)))</f>
        <v/>
      </c>
      <c r="C631" s="1" t="str">
        <f t="array" ref="C631">IFERROR(INDEX('Исходник'!$1:$626,MATCH($A631,'Исходник'!$T:$T,0),MATCH(C$1,'Исходник'!$1:$1,0)))</f>
        <v/>
      </c>
      <c r="D631" s="1" t="str">
        <f t="array" ref="D631">IFERROR(INDEX('Исходник'!$1:$626,MATCH($A631,'Исходник'!$T:$T,0),MATCH(D$1,'Исходник'!$1:$1,0)))</f>
        <v/>
      </c>
      <c r="E631" s="1" t="str">
        <f t="array" ref="E631">IFERROR(INDEX('Исходник'!$1:$626,MATCH($A631,'Исходник'!$T:$T,0),MATCH(E$1,'Исходник'!$1:$1,0)))</f>
        <v/>
      </c>
      <c r="F631" s="1" t="str">
        <f t="array" ref="F631">IFERROR(INDEX('Исходник'!$1:$626,MATCH($A631,'Исходник'!$T:$T,0),MATCH(F$1,'Исходник'!$1:$1,0)))</f>
        <v/>
      </c>
      <c r="G631" s="1" t="str">
        <f t="array" ref="G631">IFERROR(INDEX('Исходник'!$1:$626,MATCH($A631,'Исходник'!$T:$T,0),MATCH(G$1,'Исходник'!$1:$1,0)))</f>
        <v/>
      </c>
      <c r="H631" s="27">
        <f t="shared" si="1"/>
        <v>0</v>
      </c>
      <c r="I631" s="27" t="str">
        <f t="shared" si="2"/>
        <v/>
      </c>
      <c r="J631" s="1" t="str">
        <f t="array" ref="J631">IFERROR(INDEX('Исходник'!$1:$626,MATCH($A631,'Исходник'!$T:$T,0),MATCH(J$1,'Исходник'!$1:$1,0)))</f>
        <v/>
      </c>
      <c r="K631" s="27" t="str">
        <f t="shared" si="3"/>
        <v/>
      </c>
      <c r="L631" s="1" t="str">
        <f t="array" ref="L631">IFERROR(INDEX('Исходник'!$1:$626,MATCH($A631,'Исходник'!$T:$T,0),MATCH(L$1,'Исходник'!$1:$1,0)))</f>
        <v/>
      </c>
      <c r="M631" s="28">
        <f t="shared" si="4"/>
        <v>0</v>
      </c>
      <c r="N631" s="1" t="str">
        <f t="array" ref="N631">IFERROR(INDEX('Исходник'!$1:$626,MATCH($A631,'Исходник'!$T:$T,0),MATCH(N$1,'Исходник'!$1:$1,0)))</f>
        <v/>
      </c>
      <c r="O631" s="27">
        <f t="shared" si="5"/>
        <v>0</v>
      </c>
      <c r="P631" s="27" t="str">
        <f t="shared" si="6"/>
        <v/>
      </c>
      <c r="Q631" s="1" t="str">
        <f t="array" ref="Q631">IFERROR(INDEX('Исходник'!$1:$626,MATCH($A631,'Исходник'!$T:$T,0),MATCH(Q$1,'Исходник'!$1:$1,0)))</f>
        <v/>
      </c>
      <c r="R631" s="1" t="str">
        <f t="array" ref="R631">IFERROR(INDEX('Исходник'!$1:$626,MATCH($A631,'Исходник'!$T:$T,0),MATCH(R$1,'Исходник'!$1:$1,0)))</f>
        <v/>
      </c>
      <c r="S631" s="27">
        <f t="shared" si="7"/>
        <v>0</v>
      </c>
      <c r="T631" s="27" t="str">
        <f t="shared" si="8"/>
        <v/>
      </c>
      <c r="U631" s="1" t="str">
        <f t="array" ref="U631">IFERROR(INDEX('Исходник'!$1:$626,MATCH($A631,'Исходник'!$T:$T,0),MATCH(U$1,'Исходник'!$1:$1,0)))</f>
        <v/>
      </c>
      <c r="V631" s="27" t="str">
        <f t="shared" si="9"/>
        <v/>
      </c>
      <c r="W631" s="1" t="str">
        <f t="array" ref="W631">IFERROR(INDEX('Исходник'!$1:$626,MATCH($A631,'Исходник'!$T:$T,0),MATCH(W$1,'Исходник'!$1:$1,0)))</f>
        <v/>
      </c>
      <c r="X631" s="28">
        <f t="shared" si="10"/>
        <v>0</v>
      </c>
      <c r="Y631" s="1" t="str">
        <f t="array" ref="Y631">IFERROR(INDEX('Исходник'!$1:$626,MATCH($A631,'Исходник'!$T:$T,0),MATCH(Y$1,'Исходник'!$1:$1,0)))</f>
        <v/>
      </c>
      <c r="Z631" s="27">
        <f t="shared" si="11"/>
        <v>0</v>
      </c>
      <c r="AA631" s="27" t="str">
        <f t="shared" si="12"/>
        <v/>
      </c>
      <c r="AB631" s="1" t="str">
        <f t="array" ref="AB631">IFERROR(INDEX('Исходник'!$1:$626,MATCH($A631,'Исходник'!$T:$T,0),MATCH(AB$1,'Исходник'!$1:$1,0)))</f>
        <v/>
      </c>
      <c r="AC631" s="1" t="str">
        <f t="array" ref="AC631">IFERROR(INDEX('Исходник'!$1:$626,MATCH($A631,'Исходник'!$T:$T,0),MATCH(AC$1,'Исходник'!$1:$1,0)))</f>
        <v/>
      </c>
      <c r="AD631" s="27" t="str">
        <f t="shared" si="13"/>
        <v/>
      </c>
      <c r="AE631" s="1" t="str">
        <f t="array" ref="AE631">IFERROR(INDEX('Исходник'!$1:$626,MATCH($A631,'Исходник'!$T:$T,0),MATCH(AE$1,'Исходник'!$1:$1,0)))</f>
        <v/>
      </c>
      <c r="AF631" s="1" t="str">
        <f t="array" ref="AF631">IFERROR(INDEX('Исходник'!$1:$626,MATCH($A631,'Исходник'!$T:$T,0),MATCH(AF$1,'Исходник'!$1:$1,0)))</f>
        <v/>
      </c>
      <c r="AG631" s="27" t="str">
        <f t="shared" si="14"/>
        <v/>
      </c>
      <c r="AH631" s="1" t="str">
        <f t="array" ref="AH631">IFERROR(INDEX('Исходник'!$1:$626,MATCH($A631,'Исходник'!$T:$T,0),MATCH(AH$1,'Исходник'!$1:$1,0)))</f>
        <v/>
      </c>
      <c r="AI631" s="1" t="str">
        <f t="array" ref="AI631">IFERROR(INDEX('Исходник'!$1:$626,MATCH($A631,'Исходник'!$T:$T,0),MATCH(AI$1,'Исходник'!$1:$1,0)))</f>
        <v/>
      </c>
      <c r="AJ631" s="18">
        <f t="shared" si="15"/>
        <v>0</v>
      </c>
    </row>
    <row r="632" ht="15.75" customHeight="1">
      <c r="A632" s="27"/>
      <c r="B632" s="1" t="str">
        <f t="array" ref="B632">IFERROR(INDEX('Исходник'!$1:$626,MATCH($A632,'Исходник'!$T:$T,0),MATCH(B$1,'Исходник'!$1:$1,0)))</f>
        <v/>
      </c>
      <c r="C632" s="1" t="str">
        <f t="array" ref="C632">IFERROR(INDEX('Исходник'!$1:$626,MATCH($A632,'Исходник'!$T:$T,0),MATCH(C$1,'Исходник'!$1:$1,0)))</f>
        <v/>
      </c>
      <c r="D632" s="1" t="str">
        <f t="array" ref="D632">IFERROR(INDEX('Исходник'!$1:$626,MATCH($A632,'Исходник'!$T:$T,0),MATCH(D$1,'Исходник'!$1:$1,0)))</f>
        <v/>
      </c>
      <c r="E632" s="1" t="str">
        <f t="array" ref="E632">IFERROR(INDEX('Исходник'!$1:$626,MATCH($A632,'Исходник'!$T:$T,0),MATCH(E$1,'Исходник'!$1:$1,0)))</f>
        <v/>
      </c>
      <c r="F632" s="1" t="str">
        <f t="array" ref="F632">IFERROR(INDEX('Исходник'!$1:$626,MATCH($A632,'Исходник'!$T:$T,0),MATCH(F$1,'Исходник'!$1:$1,0)))</f>
        <v/>
      </c>
      <c r="G632" s="1" t="str">
        <f t="array" ref="G632">IFERROR(INDEX('Исходник'!$1:$626,MATCH($A632,'Исходник'!$T:$T,0),MATCH(G$1,'Исходник'!$1:$1,0)))</f>
        <v/>
      </c>
      <c r="H632" s="27">
        <f t="shared" si="1"/>
        <v>0</v>
      </c>
      <c r="I632" s="27" t="str">
        <f t="shared" si="2"/>
        <v/>
      </c>
      <c r="J632" s="1" t="str">
        <f t="array" ref="J632">IFERROR(INDEX('Исходник'!$1:$626,MATCH($A632,'Исходник'!$T:$T,0),MATCH(J$1,'Исходник'!$1:$1,0)))</f>
        <v/>
      </c>
      <c r="K632" s="27" t="str">
        <f t="shared" si="3"/>
        <v/>
      </c>
      <c r="L632" s="1" t="str">
        <f t="array" ref="L632">IFERROR(INDEX('Исходник'!$1:$626,MATCH($A632,'Исходник'!$T:$T,0),MATCH(L$1,'Исходник'!$1:$1,0)))</f>
        <v/>
      </c>
      <c r="M632" s="28">
        <f t="shared" si="4"/>
        <v>0</v>
      </c>
      <c r="N632" s="1" t="str">
        <f t="array" ref="N632">IFERROR(INDEX('Исходник'!$1:$626,MATCH($A632,'Исходник'!$T:$T,0),MATCH(N$1,'Исходник'!$1:$1,0)))</f>
        <v/>
      </c>
      <c r="O632" s="27">
        <f t="shared" si="5"/>
        <v>0</v>
      </c>
      <c r="P632" s="27" t="str">
        <f t="shared" si="6"/>
        <v/>
      </c>
      <c r="Q632" s="1" t="str">
        <f t="array" ref="Q632">IFERROR(INDEX('Исходник'!$1:$626,MATCH($A632,'Исходник'!$T:$T,0),MATCH(Q$1,'Исходник'!$1:$1,0)))</f>
        <v/>
      </c>
      <c r="R632" s="1" t="str">
        <f t="array" ref="R632">IFERROR(INDEX('Исходник'!$1:$626,MATCH($A632,'Исходник'!$T:$T,0),MATCH(R$1,'Исходник'!$1:$1,0)))</f>
        <v/>
      </c>
      <c r="S632" s="27">
        <f t="shared" si="7"/>
        <v>0</v>
      </c>
      <c r="T632" s="27" t="str">
        <f t="shared" si="8"/>
        <v/>
      </c>
      <c r="U632" s="1" t="str">
        <f t="array" ref="U632">IFERROR(INDEX('Исходник'!$1:$626,MATCH($A632,'Исходник'!$T:$T,0),MATCH(U$1,'Исходник'!$1:$1,0)))</f>
        <v/>
      </c>
      <c r="V632" s="27" t="str">
        <f t="shared" si="9"/>
        <v/>
      </c>
      <c r="W632" s="1" t="str">
        <f t="array" ref="W632">IFERROR(INDEX('Исходник'!$1:$626,MATCH($A632,'Исходник'!$T:$T,0),MATCH(W$1,'Исходник'!$1:$1,0)))</f>
        <v/>
      </c>
      <c r="X632" s="28">
        <f t="shared" si="10"/>
        <v>0</v>
      </c>
      <c r="Y632" s="1" t="str">
        <f t="array" ref="Y632">IFERROR(INDEX('Исходник'!$1:$626,MATCH($A632,'Исходник'!$T:$T,0),MATCH(Y$1,'Исходник'!$1:$1,0)))</f>
        <v/>
      </c>
      <c r="Z632" s="27">
        <f t="shared" si="11"/>
        <v>0</v>
      </c>
      <c r="AA632" s="27" t="str">
        <f t="shared" si="12"/>
        <v/>
      </c>
      <c r="AB632" s="1" t="str">
        <f t="array" ref="AB632">IFERROR(INDEX('Исходник'!$1:$626,MATCH($A632,'Исходник'!$T:$T,0),MATCH(AB$1,'Исходник'!$1:$1,0)))</f>
        <v/>
      </c>
      <c r="AC632" s="1" t="str">
        <f t="array" ref="AC632">IFERROR(INDEX('Исходник'!$1:$626,MATCH($A632,'Исходник'!$T:$T,0),MATCH(AC$1,'Исходник'!$1:$1,0)))</f>
        <v/>
      </c>
      <c r="AD632" s="27" t="str">
        <f t="shared" si="13"/>
        <v/>
      </c>
      <c r="AE632" s="1" t="str">
        <f t="array" ref="AE632">IFERROR(INDEX('Исходник'!$1:$626,MATCH($A632,'Исходник'!$T:$T,0),MATCH(AE$1,'Исходник'!$1:$1,0)))</f>
        <v/>
      </c>
      <c r="AF632" s="1" t="str">
        <f t="array" ref="AF632">IFERROR(INDEX('Исходник'!$1:$626,MATCH($A632,'Исходник'!$T:$T,0),MATCH(AF$1,'Исходник'!$1:$1,0)))</f>
        <v/>
      </c>
      <c r="AG632" s="27" t="str">
        <f t="shared" si="14"/>
        <v/>
      </c>
      <c r="AH632" s="1" t="str">
        <f t="array" ref="AH632">IFERROR(INDEX('Исходник'!$1:$626,MATCH($A632,'Исходник'!$T:$T,0),MATCH(AH$1,'Исходник'!$1:$1,0)))</f>
        <v/>
      </c>
      <c r="AI632" s="1" t="str">
        <f t="array" ref="AI632">IFERROR(INDEX('Исходник'!$1:$626,MATCH($A632,'Исходник'!$T:$T,0),MATCH(AI$1,'Исходник'!$1:$1,0)))</f>
        <v/>
      </c>
      <c r="AJ632" s="18">
        <f t="shared" si="15"/>
        <v>0</v>
      </c>
    </row>
    <row r="633" ht="15.75" customHeight="1">
      <c r="A633" s="27"/>
      <c r="B633" s="1" t="str">
        <f t="array" ref="B633">IFERROR(INDEX('Исходник'!$1:$626,MATCH($A633,'Исходник'!$T:$T,0),MATCH(B$1,'Исходник'!$1:$1,0)))</f>
        <v/>
      </c>
      <c r="C633" s="1" t="str">
        <f t="array" ref="C633">IFERROR(INDEX('Исходник'!$1:$626,MATCH($A633,'Исходник'!$T:$T,0),MATCH(C$1,'Исходник'!$1:$1,0)))</f>
        <v/>
      </c>
      <c r="D633" s="1" t="str">
        <f t="array" ref="D633">IFERROR(INDEX('Исходник'!$1:$626,MATCH($A633,'Исходник'!$T:$T,0),MATCH(D$1,'Исходник'!$1:$1,0)))</f>
        <v/>
      </c>
      <c r="E633" s="1" t="str">
        <f t="array" ref="E633">IFERROR(INDEX('Исходник'!$1:$626,MATCH($A633,'Исходник'!$T:$T,0),MATCH(E$1,'Исходник'!$1:$1,0)))</f>
        <v/>
      </c>
      <c r="F633" s="1" t="str">
        <f t="array" ref="F633">IFERROR(INDEX('Исходник'!$1:$626,MATCH($A633,'Исходник'!$T:$T,0),MATCH(F$1,'Исходник'!$1:$1,0)))</f>
        <v/>
      </c>
      <c r="G633" s="1" t="str">
        <f t="array" ref="G633">IFERROR(INDEX('Исходник'!$1:$626,MATCH($A633,'Исходник'!$T:$T,0),MATCH(G$1,'Исходник'!$1:$1,0)))</f>
        <v/>
      </c>
      <c r="H633" s="27">
        <f t="shared" si="1"/>
        <v>0</v>
      </c>
      <c r="I633" s="27" t="str">
        <f t="shared" si="2"/>
        <v/>
      </c>
      <c r="J633" s="1" t="str">
        <f t="array" ref="J633">IFERROR(INDEX('Исходник'!$1:$626,MATCH($A633,'Исходник'!$T:$T,0),MATCH(J$1,'Исходник'!$1:$1,0)))</f>
        <v/>
      </c>
      <c r="K633" s="27" t="str">
        <f t="shared" si="3"/>
        <v/>
      </c>
      <c r="L633" s="1" t="str">
        <f t="array" ref="L633">IFERROR(INDEX('Исходник'!$1:$626,MATCH($A633,'Исходник'!$T:$T,0),MATCH(L$1,'Исходник'!$1:$1,0)))</f>
        <v/>
      </c>
      <c r="M633" s="28">
        <f t="shared" si="4"/>
        <v>0</v>
      </c>
      <c r="N633" s="1" t="str">
        <f t="array" ref="N633">IFERROR(INDEX('Исходник'!$1:$626,MATCH($A633,'Исходник'!$T:$T,0),MATCH(N$1,'Исходник'!$1:$1,0)))</f>
        <v/>
      </c>
      <c r="O633" s="27">
        <f t="shared" si="5"/>
        <v>0</v>
      </c>
      <c r="P633" s="27" t="str">
        <f t="shared" si="6"/>
        <v/>
      </c>
      <c r="Q633" s="1" t="str">
        <f t="array" ref="Q633">IFERROR(INDEX('Исходник'!$1:$626,MATCH($A633,'Исходник'!$T:$T,0),MATCH(Q$1,'Исходник'!$1:$1,0)))</f>
        <v/>
      </c>
      <c r="R633" s="1" t="str">
        <f t="array" ref="R633">IFERROR(INDEX('Исходник'!$1:$626,MATCH($A633,'Исходник'!$T:$T,0),MATCH(R$1,'Исходник'!$1:$1,0)))</f>
        <v/>
      </c>
      <c r="S633" s="27">
        <f t="shared" si="7"/>
        <v>0</v>
      </c>
      <c r="T633" s="27" t="str">
        <f t="shared" si="8"/>
        <v/>
      </c>
      <c r="U633" s="1" t="str">
        <f t="array" ref="U633">IFERROR(INDEX('Исходник'!$1:$626,MATCH($A633,'Исходник'!$T:$T,0),MATCH(U$1,'Исходник'!$1:$1,0)))</f>
        <v/>
      </c>
      <c r="V633" s="27" t="str">
        <f t="shared" si="9"/>
        <v/>
      </c>
      <c r="W633" s="1" t="str">
        <f t="array" ref="W633">IFERROR(INDEX('Исходник'!$1:$626,MATCH($A633,'Исходник'!$T:$T,0),MATCH(W$1,'Исходник'!$1:$1,0)))</f>
        <v/>
      </c>
      <c r="X633" s="28">
        <f t="shared" si="10"/>
        <v>0</v>
      </c>
      <c r="Y633" s="1" t="str">
        <f t="array" ref="Y633">IFERROR(INDEX('Исходник'!$1:$626,MATCH($A633,'Исходник'!$T:$T,0),MATCH(Y$1,'Исходник'!$1:$1,0)))</f>
        <v/>
      </c>
      <c r="Z633" s="27">
        <f t="shared" si="11"/>
        <v>0</v>
      </c>
      <c r="AA633" s="27" t="str">
        <f t="shared" si="12"/>
        <v/>
      </c>
      <c r="AB633" s="1" t="str">
        <f t="array" ref="AB633">IFERROR(INDEX('Исходник'!$1:$626,MATCH($A633,'Исходник'!$T:$T,0),MATCH(AB$1,'Исходник'!$1:$1,0)))</f>
        <v/>
      </c>
      <c r="AC633" s="1" t="str">
        <f t="array" ref="AC633">IFERROR(INDEX('Исходник'!$1:$626,MATCH($A633,'Исходник'!$T:$T,0),MATCH(AC$1,'Исходник'!$1:$1,0)))</f>
        <v/>
      </c>
      <c r="AD633" s="27" t="str">
        <f t="shared" si="13"/>
        <v/>
      </c>
      <c r="AE633" s="1" t="str">
        <f t="array" ref="AE633">IFERROR(INDEX('Исходник'!$1:$626,MATCH($A633,'Исходник'!$T:$T,0),MATCH(AE$1,'Исходник'!$1:$1,0)))</f>
        <v/>
      </c>
      <c r="AF633" s="1" t="str">
        <f t="array" ref="AF633">IFERROR(INDEX('Исходник'!$1:$626,MATCH($A633,'Исходник'!$T:$T,0),MATCH(AF$1,'Исходник'!$1:$1,0)))</f>
        <v/>
      </c>
      <c r="AG633" s="27" t="str">
        <f t="shared" si="14"/>
        <v/>
      </c>
      <c r="AH633" s="1" t="str">
        <f t="array" ref="AH633">IFERROR(INDEX('Исходник'!$1:$626,MATCH($A633,'Исходник'!$T:$T,0),MATCH(AH$1,'Исходник'!$1:$1,0)))</f>
        <v/>
      </c>
      <c r="AI633" s="1" t="str">
        <f t="array" ref="AI633">IFERROR(INDEX('Исходник'!$1:$626,MATCH($A633,'Исходник'!$T:$T,0),MATCH(AI$1,'Исходник'!$1:$1,0)))</f>
        <v/>
      </c>
      <c r="AJ633" s="18">
        <f t="shared" si="15"/>
        <v>0</v>
      </c>
    </row>
    <row r="634" ht="15.75" customHeight="1">
      <c r="A634" s="27"/>
      <c r="B634" s="1" t="str">
        <f t="array" ref="B634">IFERROR(INDEX('Исходник'!$1:$626,MATCH($A634,'Исходник'!$T:$T,0),MATCH(B$1,'Исходник'!$1:$1,0)))</f>
        <v/>
      </c>
      <c r="C634" s="1" t="str">
        <f t="array" ref="C634">IFERROR(INDEX('Исходник'!$1:$626,MATCH($A634,'Исходник'!$T:$T,0),MATCH(C$1,'Исходник'!$1:$1,0)))</f>
        <v/>
      </c>
      <c r="D634" s="1" t="str">
        <f t="array" ref="D634">IFERROR(INDEX('Исходник'!$1:$626,MATCH($A634,'Исходник'!$T:$T,0),MATCH(D$1,'Исходник'!$1:$1,0)))</f>
        <v/>
      </c>
      <c r="E634" s="1" t="str">
        <f t="array" ref="E634">IFERROR(INDEX('Исходник'!$1:$626,MATCH($A634,'Исходник'!$T:$T,0),MATCH(E$1,'Исходник'!$1:$1,0)))</f>
        <v/>
      </c>
      <c r="F634" s="1" t="str">
        <f t="array" ref="F634">IFERROR(INDEX('Исходник'!$1:$626,MATCH($A634,'Исходник'!$T:$T,0),MATCH(F$1,'Исходник'!$1:$1,0)))</f>
        <v/>
      </c>
      <c r="G634" s="1" t="str">
        <f t="array" ref="G634">IFERROR(INDEX('Исходник'!$1:$626,MATCH($A634,'Исходник'!$T:$T,0),MATCH(G$1,'Исходник'!$1:$1,0)))</f>
        <v/>
      </c>
      <c r="H634" s="27">
        <f t="shared" si="1"/>
        <v>0</v>
      </c>
      <c r="I634" s="27" t="str">
        <f t="shared" si="2"/>
        <v/>
      </c>
      <c r="J634" s="1" t="str">
        <f t="array" ref="J634">IFERROR(INDEX('Исходник'!$1:$626,MATCH($A634,'Исходник'!$T:$T,0),MATCH(J$1,'Исходник'!$1:$1,0)))</f>
        <v/>
      </c>
      <c r="K634" s="27" t="str">
        <f t="shared" si="3"/>
        <v/>
      </c>
      <c r="L634" s="1" t="str">
        <f t="array" ref="L634">IFERROR(INDEX('Исходник'!$1:$626,MATCH($A634,'Исходник'!$T:$T,0),MATCH(L$1,'Исходник'!$1:$1,0)))</f>
        <v/>
      </c>
      <c r="M634" s="28">
        <f t="shared" si="4"/>
        <v>0</v>
      </c>
      <c r="N634" s="1" t="str">
        <f t="array" ref="N634">IFERROR(INDEX('Исходник'!$1:$626,MATCH($A634,'Исходник'!$T:$T,0),MATCH(N$1,'Исходник'!$1:$1,0)))</f>
        <v/>
      </c>
      <c r="O634" s="27">
        <f t="shared" si="5"/>
        <v>0</v>
      </c>
      <c r="P634" s="27" t="str">
        <f t="shared" si="6"/>
        <v/>
      </c>
      <c r="Q634" s="1" t="str">
        <f t="array" ref="Q634">IFERROR(INDEX('Исходник'!$1:$626,MATCH($A634,'Исходник'!$T:$T,0),MATCH(Q$1,'Исходник'!$1:$1,0)))</f>
        <v/>
      </c>
      <c r="R634" s="1" t="str">
        <f t="array" ref="R634">IFERROR(INDEX('Исходник'!$1:$626,MATCH($A634,'Исходник'!$T:$T,0),MATCH(R$1,'Исходник'!$1:$1,0)))</f>
        <v/>
      </c>
      <c r="S634" s="27">
        <f t="shared" si="7"/>
        <v>0</v>
      </c>
      <c r="T634" s="27" t="str">
        <f t="shared" si="8"/>
        <v/>
      </c>
      <c r="U634" s="1" t="str">
        <f t="array" ref="U634">IFERROR(INDEX('Исходник'!$1:$626,MATCH($A634,'Исходник'!$T:$T,0),MATCH(U$1,'Исходник'!$1:$1,0)))</f>
        <v/>
      </c>
      <c r="V634" s="27" t="str">
        <f t="shared" si="9"/>
        <v/>
      </c>
      <c r="W634" s="1" t="str">
        <f t="array" ref="W634">IFERROR(INDEX('Исходник'!$1:$626,MATCH($A634,'Исходник'!$T:$T,0),MATCH(W$1,'Исходник'!$1:$1,0)))</f>
        <v/>
      </c>
      <c r="X634" s="28">
        <f t="shared" si="10"/>
        <v>0</v>
      </c>
      <c r="Y634" s="1" t="str">
        <f t="array" ref="Y634">IFERROR(INDEX('Исходник'!$1:$626,MATCH($A634,'Исходник'!$T:$T,0),MATCH(Y$1,'Исходник'!$1:$1,0)))</f>
        <v/>
      </c>
      <c r="Z634" s="27">
        <f t="shared" si="11"/>
        <v>0</v>
      </c>
      <c r="AA634" s="27" t="str">
        <f t="shared" si="12"/>
        <v/>
      </c>
      <c r="AB634" s="1" t="str">
        <f t="array" ref="AB634">IFERROR(INDEX('Исходник'!$1:$626,MATCH($A634,'Исходник'!$T:$T,0),MATCH(AB$1,'Исходник'!$1:$1,0)))</f>
        <v/>
      </c>
      <c r="AC634" s="1" t="str">
        <f t="array" ref="AC634">IFERROR(INDEX('Исходник'!$1:$626,MATCH($A634,'Исходник'!$T:$T,0),MATCH(AC$1,'Исходник'!$1:$1,0)))</f>
        <v/>
      </c>
      <c r="AD634" s="27" t="str">
        <f t="shared" si="13"/>
        <v/>
      </c>
      <c r="AE634" s="1" t="str">
        <f t="array" ref="AE634">IFERROR(INDEX('Исходник'!$1:$626,MATCH($A634,'Исходник'!$T:$T,0),MATCH(AE$1,'Исходник'!$1:$1,0)))</f>
        <v/>
      </c>
      <c r="AF634" s="1" t="str">
        <f t="array" ref="AF634">IFERROR(INDEX('Исходник'!$1:$626,MATCH($A634,'Исходник'!$T:$T,0),MATCH(AF$1,'Исходник'!$1:$1,0)))</f>
        <v/>
      </c>
      <c r="AG634" s="27" t="str">
        <f t="shared" si="14"/>
        <v/>
      </c>
      <c r="AH634" s="1" t="str">
        <f t="array" ref="AH634">IFERROR(INDEX('Исходник'!$1:$626,MATCH($A634,'Исходник'!$T:$T,0),MATCH(AH$1,'Исходник'!$1:$1,0)))</f>
        <v/>
      </c>
      <c r="AI634" s="1" t="str">
        <f t="array" ref="AI634">IFERROR(INDEX('Исходник'!$1:$626,MATCH($A634,'Исходник'!$T:$T,0),MATCH(AI$1,'Исходник'!$1:$1,0)))</f>
        <v/>
      </c>
      <c r="AJ634" s="18">
        <f t="shared" si="15"/>
        <v>0</v>
      </c>
    </row>
    <row r="635" ht="15.75" customHeight="1">
      <c r="A635" s="27"/>
      <c r="B635" s="1" t="str">
        <f t="array" ref="B635">IFERROR(INDEX('Исходник'!$1:$626,MATCH($A635,'Исходник'!$T:$T,0),MATCH(B$1,'Исходник'!$1:$1,0)))</f>
        <v/>
      </c>
      <c r="C635" s="1" t="str">
        <f t="array" ref="C635">IFERROR(INDEX('Исходник'!$1:$626,MATCH($A635,'Исходник'!$T:$T,0),MATCH(C$1,'Исходник'!$1:$1,0)))</f>
        <v/>
      </c>
      <c r="D635" s="1" t="str">
        <f t="array" ref="D635">IFERROR(INDEX('Исходник'!$1:$626,MATCH($A635,'Исходник'!$T:$T,0),MATCH(D$1,'Исходник'!$1:$1,0)))</f>
        <v/>
      </c>
      <c r="E635" s="1" t="str">
        <f t="array" ref="E635">IFERROR(INDEX('Исходник'!$1:$626,MATCH($A635,'Исходник'!$T:$T,0),MATCH(E$1,'Исходник'!$1:$1,0)))</f>
        <v/>
      </c>
      <c r="F635" s="1" t="str">
        <f t="array" ref="F635">IFERROR(INDEX('Исходник'!$1:$626,MATCH($A635,'Исходник'!$T:$T,0),MATCH(F$1,'Исходник'!$1:$1,0)))</f>
        <v/>
      </c>
      <c r="G635" s="1" t="str">
        <f t="array" ref="G635">IFERROR(INDEX('Исходник'!$1:$626,MATCH($A635,'Исходник'!$T:$T,0),MATCH(G$1,'Исходник'!$1:$1,0)))</f>
        <v/>
      </c>
      <c r="H635" s="27">
        <f t="shared" si="1"/>
        <v>0</v>
      </c>
      <c r="I635" s="27" t="str">
        <f t="shared" si="2"/>
        <v/>
      </c>
      <c r="J635" s="1" t="str">
        <f t="array" ref="J635">IFERROR(INDEX('Исходник'!$1:$626,MATCH($A635,'Исходник'!$T:$T,0),MATCH(J$1,'Исходник'!$1:$1,0)))</f>
        <v/>
      </c>
      <c r="K635" s="27" t="str">
        <f t="shared" si="3"/>
        <v/>
      </c>
      <c r="L635" s="1" t="str">
        <f t="array" ref="L635">IFERROR(INDEX('Исходник'!$1:$626,MATCH($A635,'Исходник'!$T:$T,0),MATCH(L$1,'Исходник'!$1:$1,0)))</f>
        <v/>
      </c>
      <c r="M635" s="28">
        <f t="shared" si="4"/>
        <v>0</v>
      </c>
      <c r="N635" s="1" t="str">
        <f t="array" ref="N635">IFERROR(INDEX('Исходник'!$1:$626,MATCH($A635,'Исходник'!$T:$T,0),MATCH(N$1,'Исходник'!$1:$1,0)))</f>
        <v/>
      </c>
      <c r="O635" s="27">
        <f t="shared" si="5"/>
        <v>0</v>
      </c>
      <c r="P635" s="27" t="str">
        <f t="shared" si="6"/>
        <v/>
      </c>
      <c r="Q635" s="1" t="str">
        <f t="array" ref="Q635">IFERROR(INDEX('Исходник'!$1:$626,MATCH($A635,'Исходник'!$T:$T,0),MATCH(Q$1,'Исходник'!$1:$1,0)))</f>
        <v/>
      </c>
      <c r="R635" s="1" t="str">
        <f t="array" ref="R635">IFERROR(INDEX('Исходник'!$1:$626,MATCH($A635,'Исходник'!$T:$T,0),MATCH(R$1,'Исходник'!$1:$1,0)))</f>
        <v/>
      </c>
      <c r="S635" s="27">
        <f t="shared" si="7"/>
        <v>0</v>
      </c>
      <c r="T635" s="27" t="str">
        <f t="shared" si="8"/>
        <v/>
      </c>
      <c r="U635" s="1" t="str">
        <f t="array" ref="U635">IFERROR(INDEX('Исходник'!$1:$626,MATCH($A635,'Исходник'!$T:$T,0),MATCH(U$1,'Исходник'!$1:$1,0)))</f>
        <v/>
      </c>
      <c r="V635" s="27" t="str">
        <f t="shared" si="9"/>
        <v/>
      </c>
      <c r="W635" s="1" t="str">
        <f t="array" ref="W635">IFERROR(INDEX('Исходник'!$1:$626,MATCH($A635,'Исходник'!$T:$T,0),MATCH(W$1,'Исходник'!$1:$1,0)))</f>
        <v/>
      </c>
      <c r="X635" s="28">
        <f t="shared" si="10"/>
        <v>0</v>
      </c>
      <c r="Y635" s="1" t="str">
        <f t="array" ref="Y635">IFERROR(INDEX('Исходник'!$1:$626,MATCH($A635,'Исходник'!$T:$T,0),MATCH(Y$1,'Исходник'!$1:$1,0)))</f>
        <v/>
      </c>
      <c r="Z635" s="27">
        <f t="shared" si="11"/>
        <v>0</v>
      </c>
      <c r="AA635" s="27" t="str">
        <f t="shared" si="12"/>
        <v/>
      </c>
      <c r="AB635" s="1" t="str">
        <f t="array" ref="AB635">IFERROR(INDEX('Исходник'!$1:$626,MATCH($A635,'Исходник'!$T:$T,0),MATCH(AB$1,'Исходник'!$1:$1,0)))</f>
        <v/>
      </c>
      <c r="AC635" s="1" t="str">
        <f t="array" ref="AC635">IFERROR(INDEX('Исходник'!$1:$626,MATCH($A635,'Исходник'!$T:$T,0),MATCH(AC$1,'Исходник'!$1:$1,0)))</f>
        <v/>
      </c>
      <c r="AD635" s="27" t="str">
        <f t="shared" si="13"/>
        <v/>
      </c>
      <c r="AE635" s="1" t="str">
        <f t="array" ref="AE635">IFERROR(INDEX('Исходник'!$1:$626,MATCH($A635,'Исходник'!$T:$T,0),MATCH(AE$1,'Исходник'!$1:$1,0)))</f>
        <v/>
      </c>
      <c r="AF635" s="1" t="str">
        <f t="array" ref="AF635">IFERROR(INDEX('Исходник'!$1:$626,MATCH($A635,'Исходник'!$T:$T,0),MATCH(AF$1,'Исходник'!$1:$1,0)))</f>
        <v/>
      </c>
      <c r="AG635" s="27" t="str">
        <f t="shared" si="14"/>
        <v/>
      </c>
      <c r="AH635" s="1" t="str">
        <f t="array" ref="AH635">IFERROR(INDEX('Исходник'!$1:$626,MATCH($A635,'Исходник'!$T:$T,0),MATCH(AH$1,'Исходник'!$1:$1,0)))</f>
        <v/>
      </c>
      <c r="AI635" s="1" t="str">
        <f t="array" ref="AI635">IFERROR(INDEX('Исходник'!$1:$626,MATCH($A635,'Исходник'!$T:$T,0),MATCH(AI$1,'Исходник'!$1:$1,0)))</f>
        <v/>
      </c>
      <c r="AJ635" s="18">
        <f t="shared" si="15"/>
        <v>0</v>
      </c>
    </row>
    <row r="636" ht="15.75" customHeight="1">
      <c r="A636" s="27"/>
      <c r="B636" s="1" t="str">
        <f t="array" ref="B636">IFERROR(INDEX('Исходник'!$1:$626,MATCH($A636,'Исходник'!$T:$T,0),MATCH(B$1,'Исходник'!$1:$1,0)))</f>
        <v/>
      </c>
      <c r="C636" s="1" t="str">
        <f t="array" ref="C636">IFERROR(INDEX('Исходник'!$1:$626,MATCH($A636,'Исходник'!$T:$T,0),MATCH(C$1,'Исходник'!$1:$1,0)))</f>
        <v/>
      </c>
      <c r="D636" s="1" t="str">
        <f t="array" ref="D636">IFERROR(INDEX('Исходник'!$1:$626,MATCH($A636,'Исходник'!$T:$T,0),MATCH(D$1,'Исходник'!$1:$1,0)))</f>
        <v/>
      </c>
      <c r="E636" s="1" t="str">
        <f t="array" ref="E636">IFERROR(INDEX('Исходник'!$1:$626,MATCH($A636,'Исходник'!$T:$T,0),MATCH(E$1,'Исходник'!$1:$1,0)))</f>
        <v/>
      </c>
      <c r="F636" s="1" t="str">
        <f t="array" ref="F636">IFERROR(INDEX('Исходник'!$1:$626,MATCH($A636,'Исходник'!$T:$T,0),MATCH(F$1,'Исходник'!$1:$1,0)))</f>
        <v/>
      </c>
      <c r="G636" s="1" t="str">
        <f t="array" ref="G636">IFERROR(INDEX('Исходник'!$1:$626,MATCH($A636,'Исходник'!$T:$T,0),MATCH(G$1,'Исходник'!$1:$1,0)))</f>
        <v/>
      </c>
      <c r="H636" s="27">
        <f t="shared" si="1"/>
        <v>0</v>
      </c>
      <c r="I636" s="27" t="str">
        <f t="shared" si="2"/>
        <v/>
      </c>
      <c r="J636" s="1" t="str">
        <f t="array" ref="J636">IFERROR(INDEX('Исходник'!$1:$626,MATCH($A636,'Исходник'!$T:$T,0),MATCH(J$1,'Исходник'!$1:$1,0)))</f>
        <v/>
      </c>
      <c r="K636" s="27" t="str">
        <f t="shared" si="3"/>
        <v/>
      </c>
      <c r="L636" s="1" t="str">
        <f t="array" ref="L636">IFERROR(INDEX('Исходник'!$1:$626,MATCH($A636,'Исходник'!$T:$T,0),MATCH(L$1,'Исходник'!$1:$1,0)))</f>
        <v/>
      </c>
      <c r="M636" s="28">
        <f t="shared" si="4"/>
        <v>0</v>
      </c>
      <c r="N636" s="1" t="str">
        <f t="array" ref="N636">IFERROR(INDEX('Исходник'!$1:$626,MATCH($A636,'Исходник'!$T:$T,0),MATCH(N$1,'Исходник'!$1:$1,0)))</f>
        <v/>
      </c>
      <c r="O636" s="27">
        <f t="shared" si="5"/>
        <v>0</v>
      </c>
      <c r="P636" s="27" t="str">
        <f t="shared" si="6"/>
        <v/>
      </c>
      <c r="Q636" s="1" t="str">
        <f t="array" ref="Q636">IFERROR(INDEX('Исходник'!$1:$626,MATCH($A636,'Исходник'!$T:$T,0),MATCH(Q$1,'Исходник'!$1:$1,0)))</f>
        <v/>
      </c>
      <c r="R636" s="1" t="str">
        <f t="array" ref="R636">IFERROR(INDEX('Исходник'!$1:$626,MATCH($A636,'Исходник'!$T:$T,0),MATCH(R$1,'Исходник'!$1:$1,0)))</f>
        <v/>
      </c>
      <c r="S636" s="27">
        <f t="shared" si="7"/>
        <v>0</v>
      </c>
      <c r="T636" s="27" t="str">
        <f t="shared" si="8"/>
        <v/>
      </c>
      <c r="U636" s="1" t="str">
        <f t="array" ref="U636">IFERROR(INDEX('Исходник'!$1:$626,MATCH($A636,'Исходник'!$T:$T,0),MATCH(U$1,'Исходник'!$1:$1,0)))</f>
        <v/>
      </c>
      <c r="V636" s="27" t="str">
        <f t="shared" si="9"/>
        <v/>
      </c>
      <c r="W636" s="1" t="str">
        <f t="array" ref="W636">IFERROR(INDEX('Исходник'!$1:$626,MATCH($A636,'Исходник'!$T:$T,0),MATCH(W$1,'Исходник'!$1:$1,0)))</f>
        <v/>
      </c>
      <c r="X636" s="28">
        <f t="shared" si="10"/>
        <v>0</v>
      </c>
      <c r="Y636" s="1" t="str">
        <f t="array" ref="Y636">IFERROR(INDEX('Исходник'!$1:$626,MATCH($A636,'Исходник'!$T:$T,0),MATCH(Y$1,'Исходник'!$1:$1,0)))</f>
        <v/>
      </c>
      <c r="Z636" s="27">
        <f t="shared" si="11"/>
        <v>0</v>
      </c>
      <c r="AA636" s="27" t="str">
        <f t="shared" si="12"/>
        <v/>
      </c>
      <c r="AB636" s="1" t="str">
        <f t="array" ref="AB636">IFERROR(INDEX('Исходник'!$1:$626,MATCH($A636,'Исходник'!$T:$T,0),MATCH(AB$1,'Исходник'!$1:$1,0)))</f>
        <v/>
      </c>
      <c r="AC636" s="1" t="str">
        <f t="array" ref="AC636">IFERROR(INDEX('Исходник'!$1:$626,MATCH($A636,'Исходник'!$T:$T,0),MATCH(AC$1,'Исходник'!$1:$1,0)))</f>
        <v/>
      </c>
      <c r="AD636" s="27" t="str">
        <f t="shared" si="13"/>
        <v/>
      </c>
      <c r="AE636" s="1" t="str">
        <f t="array" ref="AE636">IFERROR(INDEX('Исходник'!$1:$626,MATCH($A636,'Исходник'!$T:$T,0),MATCH(AE$1,'Исходник'!$1:$1,0)))</f>
        <v/>
      </c>
      <c r="AF636" s="1" t="str">
        <f t="array" ref="AF636">IFERROR(INDEX('Исходник'!$1:$626,MATCH($A636,'Исходник'!$T:$T,0),MATCH(AF$1,'Исходник'!$1:$1,0)))</f>
        <v/>
      </c>
      <c r="AG636" s="27" t="str">
        <f t="shared" si="14"/>
        <v/>
      </c>
      <c r="AH636" s="1" t="str">
        <f t="array" ref="AH636">IFERROR(INDEX('Исходник'!$1:$626,MATCH($A636,'Исходник'!$T:$T,0),MATCH(AH$1,'Исходник'!$1:$1,0)))</f>
        <v/>
      </c>
      <c r="AI636" s="1" t="str">
        <f t="array" ref="AI636">IFERROR(INDEX('Исходник'!$1:$626,MATCH($A636,'Исходник'!$T:$T,0),MATCH(AI$1,'Исходник'!$1:$1,0)))</f>
        <v/>
      </c>
      <c r="AJ636" s="18">
        <f t="shared" si="15"/>
        <v>0</v>
      </c>
    </row>
    <row r="637" ht="15.75" customHeight="1">
      <c r="A637" s="27"/>
      <c r="B637" s="1" t="str">
        <f t="array" ref="B637">IFERROR(INDEX('Исходник'!$1:$626,MATCH($A637,'Исходник'!$T:$T,0),MATCH(B$1,'Исходник'!$1:$1,0)))</f>
        <v/>
      </c>
      <c r="C637" s="1" t="str">
        <f t="array" ref="C637">IFERROR(INDEX('Исходник'!$1:$626,MATCH($A637,'Исходник'!$T:$T,0),MATCH(C$1,'Исходник'!$1:$1,0)))</f>
        <v/>
      </c>
      <c r="D637" s="1" t="str">
        <f t="array" ref="D637">IFERROR(INDEX('Исходник'!$1:$626,MATCH($A637,'Исходник'!$T:$T,0),MATCH(D$1,'Исходник'!$1:$1,0)))</f>
        <v/>
      </c>
      <c r="E637" s="1" t="str">
        <f t="array" ref="E637">IFERROR(INDEX('Исходник'!$1:$626,MATCH($A637,'Исходник'!$T:$T,0),MATCH(E$1,'Исходник'!$1:$1,0)))</f>
        <v/>
      </c>
      <c r="F637" s="1" t="str">
        <f t="array" ref="F637">IFERROR(INDEX('Исходник'!$1:$626,MATCH($A637,'Исходник'!$T:$T,0),MATCH(F$1,'Исходник'!$1:$1,0)))</f>
        <v/>
      </c>
      <c r="G637" s="1" t="str">
        <f t="array" ref="G637">IFERROR(INDEX('Исходник'!$1:$626,MATCH($A637,'Исходник'!$T:$T,0),MATCH(G$1,'Исходник'!$1:$1,0)))</f>
        <v/>
      </c>
      <c r="H637" s="27">
        <f t="shared" si="1"/>
        <v>0</v>
      </c>
      <c r="I637" s="27" t="str">
        <f t="shared" si="2"/>
        <v/>
      </c>
      <c r="J637" s="1" t="str">
        <f t="array" ref="J637">IFERROR(INDEX('Исходник'!$1:$626,MATCH($A637,'Исходник'!$T:$T,0),MATCH(J$1,'Исходник'!$1:$1,0)))</f>
        <v/>
      </c>
      <c r="K637" s="27" t="str">
        <f t="shared" si="3"/>
        <v/>
      </c>
      <c r="L637" s="1" t="str">
        <f t="array" ref="L637">IFERROR(INDEX('Исходник'!$1:$626,MATCH($A637,'Исходник'!$T:$T,0),MATCH(L$1,'Исходник'!$1:$1,0)))</f>
        <v/>
      </c>
      <c r="M637" s="28">
        <f t="shared" si="4"/>
        <v>0</v>
      </c>
      <c r="N637" s="1" t="str">
        <f t="array" ref="N637">IFERROR(INDEX('Исходник'!$1:$626,MATCH($A637,'Исходник'!$T:$T,0),MATCH(N$1,'Исходник'!$1:$1,0)))</f>
        <v/>
      </c>
      <c r="O637" s="27">
        <f t="shared" si="5"/>
        <v>0</v>
      </c>
      <c r="P637" s="27" t="str">
        <f t="shared" si="6"/>
        <v/>
      </c>
      <c r="Q637" s="1" t="str">
        <f t="array" ref="Q637">IFERROR(INDEX('Исходник'!$1:$626,MATCH($A637,'Исходник'!$T:$T,0),MATCH(Q$1,'Исходник'!$1:$1,0)))</f>
        <v/>
      </c>
      <c r="R637" s="1" t="str">
        <f t="array" ref="R637">IFERROR(INDEX('Исходник'!$1:$626,MATCH($A637,'Исходник'!$T:$T,0),MATCH(R$1,'Исходник'!$1:$1,0)))</f>
        <v/>
      </c>
      <c r="S637" s="27">
        <f t="shared" si="7"/>
        <v>0</v>
      </c>
      <c r="T637" s="27" t="str">
        <f t="shared" si="8"/>
        <v/>
      </c>
      <c r="U637" s="1" t="str">
        <f t="array" ref="U637">IFERROR(INDEX('Исходник'!$1:$626,MATCH($A637,'Исходник'!$T:$T,0),MATCH(U$1,'Исходник'!$1:$1,0)))</f>
        <v/>
      </c>
      <c r="V637" s="27" t="str">
        <f t="shared" si="9"/>
        <v/>
      </c>
      <c r="W637" s="1" t="str">
        <f t="array" ref="W637">IFERROR(INDEX('Исходник'!$1:$626,MATCH($A637,'Исходник'!$T:$T,0),MATCH(W$1,'Исходник'!$1:$1,0)))</f>
        <v/>
      </c>
      <c r="X637" s="28">
        <f t="shared" si="10"/>
        <v>0</v>
      </c>
      <c r="Y637" s="1" t="str">
        <f t="array" ref="Y637">IFERROR(INDEX('Исходник'!$1:$626,MATCH($A637,'Исходник'!$T:$T,0),MATCH(Y$1,'Исходник'!$1:$1,0)))</f>
        <v/>
      </c>
      <c r="Z637" s="27">
        <f t="shared" si="11"/>
        <v>0</v>
      </c>
      <c r="AA637" s="27" t="str">
        <f t="shared" si="12"/>
        <v/>
      </c>
      <c r="AB637" s="1" t="str">
        <f t="array" ref="AB637">IFERROR(INDEX('Исходник'!$1:$626,MATCH($A637,'Исходник'!$T:$T,0),MATCH(AB$1,'Исходник'!$1:$1,0)))</f>
        <v/>
      </c>
      <c r="AC637" s="1" t="str">
        <f t="array" ref="AC637">IFERROR(INDEX('Исходник'!$1:$626,MATCH($A637,'Исходник'!$T:$T,0),MATCH(AC$1,'Исходник'!$1:$1,0)))</f>
        <v/>
      </c>
      <c r="AD637" s="27" t="str">
        <f t="shared" si="13"/>
        <v/>
      </c>
      <c r="AE637" s="1" t="str">
        <f t="array" ref="AE637">IFERROR(INDEX('Исходник'!$1:$626,MATCH($A637,'Исходник'!$T:$T,0),MATCH(AE$1,'Исходник'!$1:$1,0)))</f>
        <v/>
      </c>
      <c r="AF637" s="1" t="str">
        <f t="array" ref="AF637">IFERROR(INDEX('Исходник'!$1:$626,MATCH($A637,'Исходник'!$T:$T,0),MATCH(AF$1,'Исходник'!$1:$1,0)))</f>
        <v/>
      </c>
      <c r="AG637" s="27" t="str">
        <f t="shared" si="14"/>
        <v/>
      </c>
      <c r="AH637" s="1" t="str">
        <f t="array" ref="AH637">IFERROR(INDEX('Исходник'!$1:$626,MATCH($A637,'Исходник'!$T:$T,0),MATCH(AH$1,'Исходник'!$1:$1,0)))</f>
        <v/>
      </c>
      <c r="AI637" s="1" t="str">
        <f t="array" ref="AI637">IFERROR(INDEX('Исходник'!$1:$626,MATCH($A637,'Исходник'!$T:$T,0),MATCH(AI$1,'Исходник'!$1:$1,0)))</f>
        <v/>
      </c>
      <c r="AJ637" s="18">
        <f t="shared" si="15"/>
        <v>0</v>
      </c>
    </row>
    <row r="638" ht="15.75" customHeight="1">
      <c r="A638" s="27"/>
      <c r="B638" s="1" t="str">
        <f t="array" ref="B638">IFERROR(INDEX('Исходник'!$1:$626,MATCH($A638,'Исходник'!$T:$T,0),MATCH(B$1,'Исходник'!$1:$1,0)))</f>
        <v/>
      </c>
      <c r="C638" s="1" t="str">
        <f t="array" ref="C638">IFERROR(INDEX('Исходник'!$1:$626,MATCH($A638,'Исходник'!$T:$T,0),MATCH(C$1,'Исходник'!$1:$1,0)))</f>
        <v/>
      </c>
      <c r="D638" s="1" t="str">
        <f t="array" ref="D638">IFERROR(INDEX('Исходник'!$1:$626,MATCH($A638,'Исходник'!$T:$T,0),MATCH(D$1,'Исходник'!$1:$1,0)))</f>
        <v/>
      </c>
      <c r="E638" s="1" t="str">
        <f t="array" ref="E638">IFERROR(INDEX('Исходник'!$1:$626,MATCH($A638,'Исходник'!$T:$T,0),MATCH(E$1,'Исходник'!$1:$1,0)))</f>
        <v/>
      </c>
      <c r="F638" s="1" t="str">
        <f t="array" ref="F638">IFERROR(INDEX('Исходник'!$1:$626,MATCH($A638,'Исходник'!$T:$T,0),MATCH(F$1,'Исходник'!$1:$1,0)))</f>
        <v/>
      </c>
      <c r="G638" s="1" t="str">
        <f t="array" ref="G638">IFERROR(INDEX('Исходник'!$1:$626,MATCH($A638,'Исходник'!$T:$T,0),MATCH(G$1,'Исходник'!$1:$1,0)))</f>
        <v/>
      </c>
      <c r="H638" s="27">
        <f t="shared" si="1"/>
        <v>0</v>
      </c>
      <c r="I638" s="27" t="str">
        <f t="shared" si="2"/>
        <v/>
      </c>
      <c r="J638" s="1" t="str">
        <f t="array" ref="J638">IFERROR(INDEX('Исходник'!$1:$626,MATCH($A638,'Исходник'!$T:$T,0),MATCH(J$1,'Исходник'!$1:$1,0)))</f>
        <v/>
      </c>
      <c r="K638" s="27" t="str">
        <f t="shared" si="3"/>
        <v/>
      </c>
      <c r="L638" s="1" t="str">
        <f t="array" ref="L638">IFERROR(INDEX('Исходник'!$1:$626,MATCH($A638,'Исходник'!$T:$T,0),MATCH(L$1,'Исходник'!$1:$1,0)))</f>
        <v/>
      </c>
      <c r="M638" s="28">
        <f t="shared" si="4"/>
        <v>0</v>
      </c>
      <c r="N638" s="1" t="str">
        <f t="array" ref="N638">IFERROR(INDEX('Исходник'!$1:$626,MATCH($A638,'Исходник'!$T:$T,0),MATCH(N$1,'Исходник'!$1:$1,0)))</f>
        <v/>
      </c>
      <c r="O638" s="27">
        <f t="shared" si="5"/>
        <v>0</v>
      </c>
      <c r="P638" s="27" t="str">
        <f t="shared" si="6"/>
        <v/>
      </c>
      <c r="Q638" s="1" t="str">
        <f t="array" ref="Q638">IFERROR(INDEX('Исходник'!$1:$626,MATCH($A638,'Исходник'!$T:$T,0),MATCH(Q$1,'Исходник'!$1:$1,0)))</f>
        <v/>
      </c>
      <c r="R638" s="1" t="str">
        <f t="array" ref="R638">IFERROR(INDEX('Исходник'!$1:$626,MATCH($A638,'Исходник'!$T:$T,0),MATCH(R$1,'Исходник'!$1:$1,0)))</f>
        <v/>
      </c>
      <c r="S638" s="27">
        <f t="shared" si="7"/>
        <v>0</v>
      </c>
      <c r="T638" s="27" t="str">
        <f t="shared" si="8"/>
        <v/>
      </c>
      <c r="U638" s="1" t="str">
        <f t="array" ref="U638">IFERROR(INDEX('Исходник'!$1:$626,MATCH($A638,'Исходник'!$T:$T,0),MATCH(U$1,'Исходник'!$1:$1,0)))</f>
        <v/>
      </c>
      <c r="V638" s="27" t="str">
        <f t="shared" si="9"/>
        <v/>
      </c>
      <c r="W638" s="1" t="str">
        <f t="array" ref="W638">IFERROR(INDEX('Исходник'!$1:$626,MATCH($A638,'Исходник'!$T:$T,0),MATCH(W$1,'Исходник'!$1:$1,0)))</f>
        <v/>
      </c>
      <c r="X638" s="28">
        <f t="shared" si="10"/>
        <v>0</v>
      </c>
      <c r="Y638" s="1" t="str">
        <f t="array" ref="Y638">IFERROR(INDEX('Исходник'!$1:$626,MATCH($A638,'Исходник'!$T:$T,0),MATCH(Y$1,'Исходник'!$1:$1,0)))</f>
        <v/>
      </c>
      <c r="Z638" s="27">
        <f t="shared" si="11"/>
        <v>0</v>
      </c>
      <c r="AA638" s="27" t="str">
        <f t="shared" si="12"/>
        <v/>
      </c>
      <c r="AB638" s="1" t="str">
        <f t="array" ref="AB638">IFERROR(INDEX('Исходник'!$1:$626,MATCH($A638,'Исходник'!$T:$T,0),MATCH(AB$1,'Исходник'!$1:$1,0)))</f>
        <v/>
      </c>
      <c r="AC638" s="1" t="str">
        <f t="array" ref="AC638">IFERROR(INDEX('Исходник'!$1:$626,MATCH($A638,'Исходник'!$T:$T,0),MATCH(AC$1,'Исходник'!$1:$1,0)))</f>
        <v/>
      </c>
      <c r="AD638" s="27" t="str">
        <f t="shared" si="13"/>
        <v/>
      </c>
      <c r="AE638" s="1" t="str">
        <f t="array" ref="AE638">IFERROR(INDEX('Исходник'!$1:$626,MATCH($A638,'Исходник'!$T:$T,0),MATCH(AE$1,'Исходник'!$1:$1,0)))</f>
        <v/>
      </c>
      <c r="AF638" s="1" t="str">
        <f t="array" ref="AF638">IFERROR(INDEX('Исходник'!$1:$626,MATCH($A638,'Исходник'!$T:$T,0),MATCH(AF$1,'Исходник'!$1:$1,0)))</f>
        <v/>
      </c>
      <c r="AG638" s="27" t="str">
        <f t="shared" si="14"/>
        <v/>
      </c>
      <c r="AH638" s="1" t="str">
        <f t="array" ref="AH638">IFERROR(INDEX('Исходник'!$1:$626,MATCH($A638,'Исходник'!$T:$T,0),MATCH(AH$1,'Исходник'!$1:$1,0)))</f>
        <v/>
      </c>
      <c r="AI638" s="1" t="str">
        <f t="array" ref="AI638">IFERROR(INDEX('Исходник'!$1:$626,MATCH($A638,'Исходник'!$T:$T,0),MATCH(AI$1,'Исходник'!$1:$1,0)))</f>
        <v/>
      </c>
      <c r="AJ638" s="18">
        <f t="shared" si="15"/>
        <v>0</v>
      </c>
    </row>
    <row r="639" ht="15.75" customHeight="1">
      <c r="A639" s="27"/>
      <c r="B639" s="1" t="str">
        <f t="array" ref="B639">IFERROR(INDEX('Исходник'!$1:$626,MATCH($A639,'Исходник'!$T:$T,0),MATCH(B$1,'Исходник'!$1:$1,0)))</f>
        <v/>
      </c>
      <c r="C639" s="1" t="str">
        <f t="array" ref="C639">IFERROR(INDEX('Исходник'!$1:$626,MATCH($A639,'Исходник'!$T:$T,0),MATCH(C$1,'Исходник'!$1:$1,0)))</f>
        <v/>
      </c>
      <c r="D639" s="1" t="str">
        <f t="array" ref="D639">IFERROR(INDEX('Исходник'!$1:$626,MATCH($A639,'Исходник'!$T:$T,0),MATCH(D$1,'Исходник'!$1:$1,0)))</f>
        <v/>
      </c>
      <c r="E639" s="1" t="str">
        <f t="array" ref="E639">IFERROR(INDEX('Исходник'!$1:$626,MATCH($A639,'Исходник'!$T:$T,0),MATCH(E$1,'Исходник'!$1:$1,0)))</f>
        <v/>
      </c>
      <c r="F639" s="1" t="str">
        <f t="array" ref="F639">IFERROR(INDEX('Исходник'!$1:$626,MATCH($A639,'Исходник'!$T:$T,0),MATCH(F$1,'Исходник'!$1:$1,0)))</f>
        <v/>
      </c>
      <c r="G639" s="1" t="str">
        <f t="array" ref="G639">IFERROR(INDEX('Исходник'!$1:$626,MATCH($A639,'Исходник'!$T:$T,0),MATCH(G$1,'Исходник'!$1:$1,0)))</f>
        <v/>
      </c>
      <c r="H639" s="27">
        <f t="shared" si="1"/>
        <v>0</v>
      </c>
      <c r="I639" s="27" t="str">
        <f t="shared" si="2"/>
        <v/>
      </c>
      <c r="J639" s="1" t="str">
        <f t="array" ref="J639">IFERROR(INDEX('Исходник'!$1:$626,MATCH($A639,'Исходник'!$T:$T,0),MATCH(J$1,'Исходник'!$1:$1,0)))</f>
        <v/>
      </c>
      <c r="K639" s="27" t="str">
        <f t="shared" si="3"/>
        <v/>
      </c>
      <c r="L639" s="1" t="str">
        <f t="array" ref="L639">IFERROR(INDEX('Исходник'!$1:$626,MATCH($A639,'Исходник'!$T:$T,0),MATCH(L$1,'Исходник'!$1:$1,0)))</f>
        <v/>
      </c>
      <c r="M639" s="28">
        <f t="shared" si="4"/>
        <v>0</v>
      </c>
      <c r="N639" s="1" t="str">
        <f t="array" ref="N639">IFERROR(INDEX('Исходник'!$1:$626,MATCH($A639,'Исходник'!$T:$T,0),MATCH(N$1,'Исходник'!$1:$1,0)))</f>
        <v/>
      </c>
      <c r="O639" s="27">
        <f t="shared" si="5"/>
        <v>0</v>
      </c>
      <c r="P639" s="27" t="str">
        <f t="shared" si="6"/>
        <v/>
      </c>
      <c r="Q639" s="1" t="str">
        <f t="array" ref="Q639">IFERROR(INDEX('Исходник'!$1:$626,MATCH($A639,'Исходник'!$T:$T,0),MATCH(Q$1,'Исходник'!$1:$1,0)))</f>
        <v/>
      </c>
      <c r="R639" s="1" t="str">
        <f t="array" ref="R639">IFERROR(INDEX('Исходник'!$1:$626,MATCH($A639,'Исходник'!$T:$T,0),MATCH(R$1,'Исходник'!$1:$1,0)))</f>
        <v/>
      </c>
      <c r="S639" s="27">
        <f t="shared" si="7"/>
        <v>0</v>
      </c>
      <c r="T639" s="27" t="str">
        <f t="shared" si="8"/>
        <v/>
      </c>
      <c r="U639" s="1" t="str">
        <f t="array" ref="U639">IFERROR(INDEX('Исходник'!$1:$626,MATCH($A639,'Исходник'!$T:$T,0),MATCH(U$1,'Исходник'!$1:$1,0)))</f>
        <v/>
      </c>
      <c r="V639" s="27" t="str">
        <f t="shared" si="9"/>
        <v/>
      </c>
      <c r="W639" s="1" t="str">
        <f t="array" ref="W639">IFERROR(INDEX('Исходник'!$1:$626,MATCH($A639,'Исходник'!$T:$T,0),MATCH(W$1,'Исходник'!$1:$1,0)))</f>
        <v/>
      </c>
      <c r="X639" s="28">
        <f t="shared" si="10"/>
        <v>0</v>
      </c>
      <c r="Y639" s="1" t="str">
        <f t="array" ref="Y639">IFERROR(INDEX('Исходник'!$1:$626,MATCH($A639,'Исходник'!$T:$T,0),MATCH(Y$1,'Исходник'!$1:$1,0)))</f>
        <v/>
      </c>
      <c r="Z639" s="27">
        <f t="shared" si="11"/>
        <v>0</v>
      </c>
      <c r="AA639" s="27" t="str">
        <f t="shared" si="12"/>
        <v/>
      </c>
      <c r="AB639" s="1" t="str">
        <f t="array" ref="AB639">IFERROR(INDEX('Исходник'!$1:$626,MATCH($A639,'Исходник'!$T:$T,0),MATCH(AB$1,'Исходник'!$1:$1,0)))</f>
        <v/>
      </c>
      <c r="AC639" s="1" t="str">
        <f t="array" ref="AC639">IFERROR(INDEX('Исходник'!$1:$626,MATCH($A639,'Исходник'!$T:$T,0),MATCH(AC$1,'Исходник'!$1:$1,0)))</f>
        <v/>
      </c>
      <c r="AD639" s="27" t="str">
        <f t="shared" si="13"/>
        <v/>
      </c>
      <c r="AE639" s="1" t="str">
        <f t="array" ref="AE639">IFERROR(INDEX('Исходник'!$1:$626,MATCH($A639,'Исходник'!$T:$T,0),MATCH(AE$1,'Исходник'!$1:$1,0)))</f>
        <v/>
      </c>
      <c r="AF639" s="1" t="str">
        <f t="array" ref="AF639">IFERROR(INDEX('Исходник'!$1:$626,MATCH($A639,'Исходник'!$T:$T,0),MATCH(AF$1,'Исходник'!$1:$1,0)))</f>
        <v/>
      </c>
      <c r="AG639" s="27" t="str">
        <f t="shared" si="14"/>
        <v/>
      </c>
      <c r="AH639" s="1" t="str">
        <f t="array" ref="AH639">IFERROR(INDEX('Исходник'!$1:$626,MATCH($A639,'Исходник'!$T:$T,0),MATCH(AH$1,'Исходник'!$1:$1,0)))</f>
        <v/>
      </c>
      <c r="AI639" s="1" t="str">
        <f t="array" ref="AI639">IFERROR(INDEX('Исходник'!$1:$626,MATCH($A639,'Исходник'!$T:$T,0),MATCH(AI$1,'Исходник'!$1:$1,0)))</f>
        <v/>
      </c>
      <c r="AJ639" s="18">
        <f t="shared" si="15"/>
        <v>0</v>
      </c>
    </row>
    <row r="640" ht="15.75" customHeight="1">
      <c r="A640" s="27"/>
      <c r="B640" s="1" t="str">
        <f t="array" ref="B640">IFERROR(INDEX('Исходник'!$1:$626,MATCH($A640,'Исходник'!$T:$T,0),MATCH(B$1,'Исходник'!$1:$1,0)))</f>
        <v/>
      </c>
      <c r="C640" s="1" t="str">
        <f t="array" ref="C640">IFERROR(INDEX('Исходник'!$1:$626,MATCH($A640,'Исходник'!$T:$T,0),MATCH(C$1,'Исходник'!$1:$1,0)))</f>
        <v/>
      </c>
      <c r="D640" s="1" t="str">
        <f t="array" ref="D640">IFERROR(INDEX('Исходник'!$1:$626,MATCH($A640,'Исходник'!$T:$T,0),MATCH(D$1,'Исходник'!$1:$1,0)))</f>
        <v/>
      </c>
      <c r="E640" s="1" t="str">
        <f t="array" ref="E640">IFERROR(INDEX('Исходник'!$1:$626,MATCH($A640,'Исходник'!$T:$T,0),MATCH(E$1,'Исходник'!$1:$1,0)))</f>
        <v/>
      </c>
      <c r="F640" s="1" t="str">
        <f t="array" ref="F640">IFERROR(INDEX('Исходник'!$1:$626,MATCH($A640,'Исходник'!$T:$T,0),MATCH(F$1,'Исходник'!$1:$1,0)))</f>
        <v/>
      </c>
      <c r="G640" s="1" t="str">
        <f t="array" ref="G640">IFERROR(INDEX('Исходник'!$1:$626,MATCH($A640,'Исходник'!$T:$T,0),MATCH(G$1,'Исходник'!$1:$1,0)))</f>
        <v/>
      </c>
      <c r="H640" s="27">
        <f t="shared" si="1"/>
        <v>0</v>
      </c>
      <c r="I640" s="27" t="str">
        <f t="shared" si="2"/>
        <v/>
      </c>
      <c r="J640" s="1" t="str">
        <f t="array" ref="J640">IFERROR(INDEX('Исходник'!$1:$626,MATCH($A640,'Исходник'!$T:$T,0),MATCH(J$1,'Исходник'!$1:$1,0)))</f>
        <v/>
      </c>
      <c r="K640" s="27" t="str">
        <f t="shared" si="3"/>
        <v/>
      </c>
      <c r="L640" s="1" t="str">
        <f t="array" ref="L640">IFERROR(INDEX('Исходник'!$1:$626,MATCH($A640,'Исходник'!$T:$T,0),MATCH(L$1,'Исходник'!$1:$1,0)))</f>
        <v/>
      </c>
      <c r="M640" s="28">
        <f t="shared" si="4"/>
        <v>0</v>
      </c>
      <c r="N640" s="1" t="str">
        <f t="array" ref="N640">IFERROR(INDEX('Исходник'!$1:$626,MATCH($A640,'Исходник'!$T:$T,0),MATCH(N$1,'Исходник'!$1:$1,0)))</f>
        <v/>
      </c>
      <c r="O640" s="27">
        <f t="shared" si="5"/>
        <v>0</v>
      </c>
      <c r="P640" s="27" t="str">
        <f t="shared" si="6"/>
        <v/>
      </c>
      <c r="Q640" s="1" t="str">
        <f t="array" ref="Q640">IFERROR(INDEX('Исходник'!$1:$626,MATCH($A640,'Исходник'!$T:$T,0),MATCH(Q$1,'Исходник'!$1:$1,0)))</f>
        <v/>
      </c>
      <c r="R640" s="1" t="str">
        <f t="array" ref="R640">IFERROR(INDEX('Исходник'!$1:$626,MATCH($A640,'Исходник'!$T:$T,0),MATCH(R$1,'Исходник'!$1:$1,0)))</f>
        <v/>
      </c>
      <c r="S640" s="27">
        <f t="shared" si="7"/>
        <v>0</v>
      </c>
      <c r="T640" s="27" t="str">
        <f t="shared" si="8"/>
        <v/>
      </c>
      <c r="U640" s="1" t="str">
        <f t="array" ref="U640">IFERROR(INDEX('Исходник'!$1:$626,MATCH($A640,'Исходник'!$T:$T,0),MATCH(U$1,'Исходник'!$1:$1,0)))</f>
        <v/>
      </c>
      <c r="V640" s="27" t="str">
        <f t="shared" si="9"/>
        <v/>
      </c>
      <c r="W640" s="1" t="str">
        <f t="array" ref="W640">IFERROR(INDEX('Исходник'!$1:$626,MATCH($A640,'Исходник'!$T:$T,0),MATCH(W$1,'Исходник'!$1:$1,0)))</f>
        <v/>
      </c>
      <c r="X640" s="28">
        <f t="shared" si="10"/>
        <v>0</v>
      </c>
      <c r="Y640" s="1" t="str">
        <f t="array" ref="Y640">IFERROR(INDEX('Исходник'!$1:$626,MATCH($A640,'Исходник'!$T:$T,0),MATCH(Y$1,'Исходник'!$1:$1,0)))</f>
        <v/>
      </c>
      <c r="Z640" s="27">
        <f t="shared" si="11"/>
        <v>0</v>
      </c>
      <c r="AA640" s="27" t="str">
        <f t="shared" si="12"/>
        <v/>
      </c>
      <c r="AB640" s="1" t="str">
        <f t="array" ref="AB640">IFERROR(INDEX('Исходник'!$1:$626,MATCH($A640,'Исходник'!$T:$T,0),MATCH(AB$1,'Исходник'!$1:$1,0)))</f>
        <v/>
      </c>
      <c r="AC640" s="1" t="str">
        <f t="array" ref="AC640">IFERROR(INDEX('Исходник'!$1:$626,MATCH($A640,'Исходник'!$T:$T,0),MATCH(AC$1,'Исходник'!$1:$1,0)))</f>
        <v/>
      </c>
      <c r="AD640" s="27" t="str">
        <f t="shared" si="13"/>
        <v/>
      </c>
      <c r="AE640" s="1" t="str">
        <f t="array" ref="AE640">IFERROR(INDEX('Исходник'!$1:$626,MATCH($A640,'Исходник'!$T:$T,0),MATCH(AE$1,'Исходник'!$1:$1,0)))</f>
        <v/>
      </c>
      <c r="AF640" s="1" t="str">
        <f t="array" ref="AF640">IFERROR(INDEX('Исходник'!$1:$626,MATCH($A640,'Исходник'!$T:$T,0),MATCH(AF$1,'Исходник'!$1:$1,0)))</f>
        <v/>
      </c>
      <c r="AG640" s="27" t="str">
        <f t="shared" si="14"/>
        <v/>
      </c>
      <c r="AH640" s="1" t="str">
        <f t="array" ref="AH640">IFERROR(INDEX('Исходник'!$1:$626,MATCH($A640,'Исходник'!$T:$T,0),MATCH(AH$1,'Исходник'!$1:$1,0)))</f>
        <v/>
      </c>
      <c r="AI640" s="1" t="str">
        <f t="array" ref="AI640">IFERROR(INDEX('Исходник'!$1:$626,MATCH($A640,'Исходник'!$T:$T,0),MATCH(AI$1,'Исходник'!$1:$1,0)))</f>
        <v/>
      </c>
      <c r="AJ640" s="18">
        <f t="shared" si="15"/>
        <v>0</v>
      </c>
    </row>
    <row r="641" ht="15.75" customHeight="1">
      <c r="A641" s="27"/>
      <c r="B641" s="1" t="str">
        <f t="array" ref="B641">IFERROR(INDEX('Исходник'!$1:$626,MATCH($A641,'Исходник'!$T:$T,0),MATCH(B$1,'Исходник'!$1:$1,0)))</f>
        <v/>
      </c>
      <c r="C641" s="1" t="str">
        <f t="array" ref="C641">IFERROR(INDEX('Исходник'!$1:$626,MATCH($A641,'Исходник'!$T:$T,0),MATCH(C$1,'Исходник'!$1:$1,0)))</f>
        <v/>
      </c>
      <c r="D641" s="1" t="str">
        <f t="array" ref="D641">IFERROR(INDEX('Исходник'!$1:$626,MATCH($A641,'Исходник'!$T:$T,0),MATCH(D$1,'Исходник'!$1:$1,0)))</f>
        <v/>
      </c>
      <c r="E641" s="1" t="str">
        <f t="array" ref="E641">IFERROR(INDEX('Исходник'!$1:$626,MATCH($A641,'Исходник'!$T:$T,0),MATCH(E$1,'Исходник'!$1:$1,0)))</f>
        <v/>
      </c>
      <c r="F641" s="1" t="str">
        <f t="array" ref="F641">IFERROR(INDEX('Исходник'!$1:$626,MATCH($A641,'Исходник'!$T:$T,0),MATCH(F$1,'Исходник'!$1:$1,0)))</f>
        <v/>
      </c>
      <c r="G641" s="1" t="str">
        <f t="array" ref="G641">IFERROR(INDEX('Исходник'!$1:$626,MATCH($A641,'Исходник'!$T:$T,0),MATCH(G$1,'Исходник'!$1:$1,0)))</f>
        <v/>
      </c>
      <c r="H641" s="27">
        <f t="shared" si="1"/>
        <v>0</v>
      </c>
      <c r="I641" s="27" t="str">
        <f t="shared" si="2"/>
        <v/>
      </c>
      <c r="J641" s="1" t="str">
        <f t="array" ref="J641">IFERROR(INDEX('Исходник'!$1:$626,MATCH($A641,'Исходник'!$T:$T,0),MATCH(J$1,'Исходник'!$1:$1,0)))</f>
        <v/>
      </c>
      <c r="K641" s="27" t="str">
        <f t="shared" si="3"/>
        <v/>
      </c>
      <c r="L641" s="1" t="str">
        <f t="array" ref="L641">IFERROR(INDEX('Исходник'!$1:$626,MATCH($A641,'Исходник'!$T:$T,0),MATCH(L$1,'Исходник'!$1:$1,0)))</f>
        <v/>
      </c>
      <c r="M641" s="28">
        <f t="shared" si="4"/>
        <v>0</v>
      </c>
      <c r="N641" s="1" t="str">
        <f t="array" ref="N641">IFERROR(INDEX('Исходник'!$1:$626,MATCH($A641,'Исходник'!$T:$T,0),MATCH(N$1,'Исходник'!$1:$1,0)))</f>
        <v/>
      </c>
      <c r="O641" s="27">
        <f t="shared" si="5"/>
        <v>0</v>
      </c>
      <c r="P641" s="27" t="str">
        <f t="shared" si="6"/>
        <v/>
      </c>
      <c r="Q641" s="1" t="str">
        <f t="array" ref="Q641">IFERROR(INDEX('Исходник'!$1:$626,MATCH($A641,'Исходник'!$T:$T,0),MATCH(Q$1,'Исходник'!$1:$1,0)))</f>
        <v/>
      </c>
      <c r="R641" s="1" t="str">
        <f t="array" ref="R641">IFERROR(INDEX('Исходник'!$1:$626,MATCH($A641,'Исходник'!$T:$T,0),MATCH(R$1,'Исходник'!$1:$1,0)))</f>
        <v/>
      </c>
      <c r="S641" s="27">
        <f t="shared" si="7"/>
        <v>0</v>
      </c>
      <c r="T641" s="27" t="str">
        <f t="shared" si="8"/>
        <v/>
      </c>
      <c r="U641" s="1" t="str">
        <f t="array" ref="U641">IFERROR(INDEX('Исходник'!$1:$626,MATCH($A641,'Исходник'!$T:$T,0),MATCH(U$1,'Исходник'!$1:$1,0)))</f>
        <v/>
      </c>
      <c r="V641" s="27" t="str">
        <f t="shared" si="9"/>
        <v/>
      </c>
      <c r="W641" s="1" t="str">
        <f t="array" ref="W641">IFERROR(INDEX('Исходник'!$1:$626,MATCH($A641,'Исходник'!$T:$T,0),MATCH(W$1,'Исходник'!$1:$1,0)))</f>
        <v/>
      </c>
      <c r="X641" s="28">
        <f t="shared" si="10"/>
        <v>0</v>
      </c>
      <c r="Y641" s="1" t="str">
        <f t="array" ref="Y641">IFERROR(INDEX('Исходник'!$1:$626,MATCH($A641,'Исходник'!$T:$T,0),MATCH(Y$1,'Исходник'!$1:$1,0)))</f>
        <v/>
      </c>
      <c r="Z641" s="27">
        <f t="shared" si="11"/>
        <v>0</v>
      </c>
      <c r="AA641" s="27" t="str">
        <f t="shared" si="12"/>
        <v/>
      </c>
      <c r="AB641" s="1" t="str">
        <f t="array" ref="AB641">IFERROR(INDEX('Исходник'!$1:$626,MATCH($A641,'Исходник'!$T:$T,0),MATCH(AB$1,'Исходник'!$1:$1,0)))</f>
        <v/>
      </c>
      <c r="AC641" s="1" t="str">
        <f t="array" ref="AC641">IFERROR(INDEX('Исходник'!$1:$626,MATCH($A641,'Исходник'!$T:$T,0),MATCH(AC$1,'Исходник'!$1:$1,0)))</f>
        <v/>
      </c>
      <c r="AD641" s="27" t="str">
        <f t="shared" si="13"/>
        <v/>
      </c>
      <c r="AE641" s="1" t="str">
        <f t="array" ref="AE641">IFERROR(INDEX('Исходник'!$1:$626,MATCH($A641,'Исходник'!$T:$T,0),MATCH(AE$1,'Исходник'!$1:$1,0)))</f>
        <v/>
      </c>
      <c r="AF641" s="1" t="str">
        <f t="array" ref="AF641">IFERROR(INDEX('Исходник'!$1:$626,MATCH($A641,'Исходник'!$T:$T,0),MATCH(AF$1,'Исходник'!$1:$1,0)))</f>
        <v/>
      </c>
      <c r="AG641" s="27" t="str">
        <f t="shared" si="14"/>
        <v/>
      </c>
      <c r="AH641" s="1" t="str">
        <f t="array" ref="AH641">IFERROR(INDEX('Исходник'!$1:$626,MATCH($A641,'Исходник'!$T:$T,0),MATCH(AH$1,'Исходник'!$1:$1,0)))</f>
        <v/>
      </c>
      <c r="AI641" s="1" t="str">
        <f t="array" ref="AI641">IFERROR(INDEX('Исходник'!$1:$626,MATCH($A641,'Исходник'!$T:$T,0),MATCH(AI$1,'Исходник'!$1:$1,0)))</f>
        <v/>
      </c>
      <c r="AJ641" s="18">
        <f t="shared" si="15"/>
        <v>0</v>
      </c>
    </row>
    <row r="642" ht="15.75" customHeight="1">
      <c r="A642" s="27"/>
      <c r="B642" s="1" t="str">
        <f t="array" ref="B642">IFERROR(INDEX('Исходник'!$1:$626,MATCH($A642,'Исходник'!$T:$T,0),MATCH(B$1,'Исходник'!$1:$1,0)))</f>
        <v/>
      </c>
      <c r="C642" s="1" t="str">
        <f t="array" ref="C642">IFERROR(INDEX('Исходник'!$1:$626,MATCH($A642,'Исходник'!$T:$T,0),MATCH(C$1,'Исходник'!$1:$1,0)))</f>
        <v/>
      </c>
      <c r="D642" s="1" t="str">
        <f t="array" ref="D642">IFERROR(INDEX('Исходник'!$1:$626,MATCH($A642,'Исходник'!$T:$T,0),MATCH(D$1,'Исходник'!$1:$1,0)))</f>
        <v/>
      </c>
      <c r="E642" s="1" t="str">
        <f t="array" ref="E642">IFERROR(INDEX('Исходник'!$1:$626,MATCH($A642,'Исходник'!$T:$T,0),MATCH(E$1,'Исходник'!$1:$1,0)))</f>
        <v/>
      </c>
      <c r="F642" s="1" t="str">
        <f t="array" ref="F642">IFERROR(INDEX('Исходник'!$1:$626,MATCH($A642,'Исходник'!$T:$T,0),MATCH(F$1,'Исходник'!$1:$1,0)))</f>
        <v/>
      </c>
      <c r="G642" s="1" t="str">
        <f t="array" ref="G642">IFERROR(INDEX('Исходник'!$1:$626,MATCH($A642,'Исходник'!$T:$T,0),MATCH(G$1,'Исходник'!$1:$1,0)))</f>
        <v/>
      </c>
      <c r="H642" s="27">
        <f t="shared" si="1"/>
        <v>0</v>
      </c>
      <c r="I642" s="27" t="str">
        <f t="shared" si="2"/>
        <v/>
      </c>
      <c r="J642" s="1" t="str">
        <f t="array" ref="J642">IFERROR(INDEX('Исходник'!$1:$626,MATCH($A642,'Исходник'!$T:$T,0),MATCH(J$1,'Исходник'!$1:$1,0)))</f>
        <v/>
      </c>
      <c r="K642" s="27" t="str">
        <f t="shared" si="3"/>
        <v/>
      </c>
      <c r="L642" s="1" t="str">
        <f t="array" ref="L642">IFERROR(INDEX('Исходник'!$1:$626,MATCH($A642,'Исходник'!$T:$T,0),MATCH(L$1,'Исходник'!$1:$1,0)))</f>
        <v/>
      </c>
      <c r="M642" s="28">
        <f t="shared" si="4"/>
        <v>0</v>
      </c>
      <c r="N642" s="1" t="str">
        <f t="array" ref="N642">IFERROR(INDEX('Исходник'!$1:$626,MATCH($A642,'Исходник'!$T:$T,0),MATCH(N$1,'Исходник'!$1:$1,0)))</f>
        <v/>
      </c>
      <c r="O642" s="27">
        <f t="shared" si="5"/>
        <v>0</v>
      </c>
      <c r="P642" s="27" t="str">
        <f t="shared" si="6"/>
        <v/>
      </c>
      <c r="Q642" s="1" t="str">
        <f t="array" ref="Q642">IFERROR(INDEX('Исходник'!$1:$626,MATCH($A642,'Исходник'!$T:$T,0),MATCH(Q$1,'Исходник'!$1:$1,0)))</f>
        <v/>
      </c>
      <c r="R642" s="1" t="str">
        <f t="array" ref="R642">IFERROR(INDEX('Исходник'!$1:$626,MATCH($A642,'Исходник'!$T:$T,0),MATCH(R$1,'Исходник'!$1:$1,0)))</f>
        <v/>
      </c>
      <c r="S642" s="27">
        <f t="shared" si="7"/>
        <v>0</v>
      </c>
      <c r="T642" s="27" t="str">
        <f t="shared" si="8"/>
        <v/>
      </c>
      <c r="U642" s="1" t="str">
        <f t="array" ref="U642">IFERROR(INDEX('Исходник'!$1:$626,MATCH($A642,'Исходник'!$T:$T,0),MATCH(U$1,'Исходник'!$1:$1,0)))</f>
        <v/>
      </c>
      <c r="V642" s="27" t="str">
        <f t="shared" si="9"/>
        <v/>
      </c>
      <c r="W642" s="1" t="str">
        <f t="array" ref="W642">IFERROR(INDEX('Исходник'!$1:$626,MATCH($A642,'Исходник'!$T:$T,0),MATCH(W$1,'Исходник'!$1:$1,0)))</f>
        <v/>
      </c>
      <c r="X642" s="28">
        <f t="shared" si="10"/>
        <v>0</v>
      </c>
      <c r="Y642" s="1" t="str">
        <f t="array" ref="Y642">IFERROR(INDEX('Исходник'!$1:$626,MATCH($A642,'Исходник'!$T:$T,0),MATCH(Y$1,'Исходник'!$1:$1,0)))</f>
        <v/>
      </c>
      <c r="Z642" s="27">
        <f t="shared" si="11"/>
        <v>0</v>
      </c>
      <c r="AA642" s="27" t="str">
        <f t="shared" si="12"/>
        <v/>
      </c>
      <c r="AB642" s="1" t="str">
        <f t="array" ref="AB642">IFERROR(INDEX('Исходник'!$1:$626,MATCH($A642,'Исходник'!$T:$T,0),MATCH(AB$1,'Исходник'!$1:$1,0)))</f>
        <v/>
      </c>
      <c r="AC642" s="1" t="str">
        <f t="array" ref="AC642">IFERROR(INDEX('Исходник'!$1:$626,MATCH($A642,'Исходник'!$T:$T,0),MATCH(AC$1,'Исходник'!$1:$1,0)))</f>
        <v/>
      </c>
      <c r="AD642" s="27" t="str">
        <f t="shared" si="13"/>
        <v/>
      </c>
      <c r="AE642" s="1" t="str">
        <f t="array" ref="AE642">IFERROR(INDEX('Исходник'!$1:$626,MATCH($A642,'Исходник'!$T:$T,0),MATCH(AE$1,'Исходник'!$1:$1,0)))</f>
        <v/>
      </c>
      <c r="AF642" s="1" t="str">
        <f t="array" ref="AF642">IFERROR(INDEX('Исходник'!$1:$626,MATCH($A642,'Исходник'!$T:$T,0),MATCH(AF$1,'Исходник'!$1:$1,0)))</f>
        <v/>
      </c>
      <c r="AG642" s="27" t="str">
        <f t="shared" si="14"/>
        <v/>
      </c>
      <c r="AH642" s="1" t="str">
        <f t="array" ref="AH642">IFERROR(INDEX('Исходник'!$1:$626,MATCH($A642,'Исходник'!$T:$T,0),MATCH(AH$1,'Исходник'!$1:$1,0)))</f>
        <v/>
      </c>
      <c r="AI642" s="1" t="str">
        <f t="array" ref="AI642">IFERROR(INDEX('Исходник'!$1:$626,MATCH($A642,'Исходник'!$T:$T,0),MATCH(AI$1,'Исходник'!$1:$1,0)))</f>
        <v/>
      </c>
      <c r="AJ642" s="18">
        <f t="shared" si="15"/>
        <v>0</v>
      </c>
    </row>
    <row r="643" ht="15.75" customHeight="1">
      <c r="A643" s="27"/>
      <c r="B643" s="1" t="str">
        <f t="array" ref="B643">IFERROR(INDEX('Исходник'!$1:$626,MATCH($A643,'Исходник'!$T:$T,0),MATCH(B$1,'Исходник'!$1:$1,0)))</f>
        <v/>
      </c>
      <c r="C643" s="1" t="str">
        <f t="array" ref="C643">IFERROR(INDEX('Исходник'!$1:$626,MATCH($A643,'Исходник'!$T:$T,0),MATCH(C$1,'Исходник'!$1:$1,0)))</f>
        <v/>
      </c>
      <c r="D643" s="1" t="str">
        <f t="array" ref="D643">IFERROR(INDEX('Исходник'!$1:$626,MATCH($A643,'Исходник'!$T:$T,0),MATCH(D$1,'Исходник'!$1:$1,0)))</f>
        <v/>
      </c>
      <c r="E643" s="1" t="str">
        <f t="array" ref="E643">IFERROR(INDEX('Исходник'!$1:$626,MATCH($A643,'Исходник'!$T:$T,0),MATCH(E$1,'Исходник'!$1:$1,0)))</f>
        <v/>
      </c>
      <c r="F643" s="1" t="str">
        <f t="array" ref="F643">IFERROR(INDEX('Исходник'!$1:$626,MATCH($A643,'Исходник'!$T:$T,0),MATCH(F$1,'Исходник'!$1:$1,0)))</f>
        <v/>
      </c>
      <c r="G643" s="1" t="str">
        <f t="array" ref="G643">IFERROR(INDEX('Исходник'!$1:$626,MATCH($A643,'Исходник'!$T:$T,0),MATCH(G$1,'Исходник'!$1:$1,0)))</f>
        <v/>
      </c>
      <c r="H643" s="27">
        <f t="shared" si="1"/>
        <v>0</v>
      </c>
      <c r="I643" s="27" t="str">
        <f t="shared" si="2"/>
        <v/>
      </c>
      <c r="J643" s="1" t="str">
        <f t="array" ref="J643">IFERROR(INDEX('Исходник'!$1:$626,MATCH($A643,'Исходник'!$T:$T,0),MATCH(J$1,'Исходник'!$1:$1,0)))</f>
        <v/>
      </c>
      <c r="K643" s="27" t="str">
        <f t="shared" si="3"/>
        <v/>
      </c>
      <c r="L643" s="1" t="str">
        <f t="array" ref="L643">IFERROR(INDEX('Исходник'!$1:$626,MATCH($A643,'Исходник'!$T:$T,0),MATCH(L$1,'Исходник'!$1:$1,0)))</f>
        <v/>
      </c>
      <c r="M643" s="28">
        <f t="shared" si="4"/>
        <v>0</v>
      </c>
      <c r="N643" s="1" t="str">
        <f t="array" ref="N643">IFERROR(INDEX('Исходник'!$1:$626,MATCH($A643,'Исходник'!$T:$T,0),MATCH(N$1,'Исходник'!$1:$1,0)))</f>
        <v/>
      </c>
      <c r="O643" s="27">
        <f t="shared" si="5"/>
        <v>0</v>
      </c>
      <c r="P643" s="27" t="str">
        <f t="shared" si="6"/>
        <v/>
      </c>
      <c r="Q643" s="1" t="str">
        <f t="array" ref="Q643">IFERROR(INDEX('Исходник'!$1:$626,MATCH($A643,'Исходник'!$T:$T,0),MATCH(Q$1,'Исходник'!$1:$1,0)))</f>
        <v/>
      </c>
      <c r="R643" s="1" t="str">
        <f t="array" ref="R643">IFERROR(INDEX('Исходник'!$1:$626,MATCH($A643,'Исходник'!$T:$T,0),MATCH(R$1,'Исходник'!$1:$1,0)))</f>
        <v/>
      </c>
      <c r="S643" s="27">
        <f t="shared" si="7"/>
        <v>0</v>
      </c>
      <c r="T643" s="27" t="str">
        <f t="shared" si="8"/>
        <v/>
      </c>
      <c r="U643" s="1" t="str">
        <f t="array" ref="U643">IFERROR(INDEX('Исходник'!$1:$626,MATCH($A643,'Исходник'!$T:$T,0),MATCH(U$1,'Исходник'!$1:$1,0)))</f>
        <v/>
      </c>
      <c r="V643" s="27" t="str">
        <f t="shared" si="9"/>
        <v/>
      </c>
      <c r="W643" s="1" t="str">
        <f t="array" ref="W643">IFERROR(INDEX('Исходник'!$1:$626,MATCH($A643,'Исходник'!$T:$T,0),MATCH(W$1,'Исходник'!$1:$1,0)))</f>
        <v/>
      </c>
      <c r="X643" s="28">
        <f t="shared" si="10"/>
        <v>0</v>
      </c>
      <c r="Y643" s="1" t="str">
        <f t="array" ref="Y643">IFERROR(INDEX('Исходник'!$1:$626,MATCH($A643,'Исходник'!$T:$T,0),MATCH(Y$1,'Исходник'!$1:$1,0)))</f>
        <v/>
      </c>
      <c r="Z643" s="27">
        <f t="shared" si="11"/>
        <v>0</v>
      </c>
      <c r="AA643" s="27" t="str">
        <f t="shared" si="12"/>
        <v/>
      </c>
      <c r="AB643" s="1" t="str">
        <f t="array" ref="AB643">IFERROR(INDEX('Исходник'!$1:$626,MATCH($A643,'Исходник'!$T:$T,0),MATCH(AB$1,'Исходник'!$1:$1,0)))</f>
        <v/>
      </c>
      <c r="AC643" s="1" t="str">
        <f t="array" ref="AC643">IFERROR(INDEX('Исходник'!$1:$626,MATCH($A643,'Исходник'!$T:$T,0),MATCH(AC$1,'Исходник'!$1:$1,0)))</f>
        <v/>
      </c>
      <c r="AD643" s="27" t="str">
        <f t="shared" si="13"/>
        <v/>
      </c>
      <c r="AE643" s="1" t="str">
        <f t="array" ref="AE643">IFERROR(INDEX('Исходник'!$1:$626,MATCH($A643,'Исходник'!$T:$T,0),MATCH(AE$1,'Исходник'!$1:$1,0)))</f>
        <v/>
      </c>
      <c r="AF643" s="1" t="str">
        <f t="array" ref="AF643">IFERROR(INDEX('Исходник'!$1:$626,MATCH($A643,'Исходник'!$T:$T,0),MATCH(AF$1,'Исходник'!$1:$1,0)))</f>
        <v/>
      </c>
      <c r="AG643" s="27" t="str">
        <f t="shared" si="14"/>
        <v/>
      </c>
      <c r="AH643" s="1" t="str">
        <f t="array" ref="AH643">IFERROR(INDEX('Исходник'!$1:$626,MATCH($A643,'Исходник'!$T:$T,0),MATCH(AH$1,'Исходник'!$1:$1,0)))</f>
        <v/>
      </c>
      <c r="AI643" s="1" t="str">
        <f t="array" ref="AI643">IFERROR(INDEX('Исходник'!$1:$626,MATCH($A643,'Исходник'!$T:$T,0),MATCH(AI$1,'Исходник'!$1:$1,0)))</f>
        <v/>
      </c>
      <c r="AJ643" s="18">
        <f t="shared" si="15"/>
        <v>0</v>
      </c>
    </row>
    <row r="644" ht="15.75" customHeight="1">
      <c r="A644" s="27"/>
      <c r="B644" s="1" t="str">
        <f t="array" ref="B644">IFERROR(INDEX('Исходник'!$1:$626,MATCH($A644,'Исходник'!$T:$T,0),MATCH(B$1,'Исходник'!$1:$1,0)))</f>
        <v/>
      </c>
      <c r="C644" s="1" t="str">
        <f t="array" ref="C644">IFERROR(INDEX('Исходник'!$1:$626,MATCH($A644,'Исходник'!$T:$T,0),MATCH(C$1,'Исходник'!$1:$1,0)))</f>
        <v/>
      </c>
      <c r="D644" s="1" t="str">
        <f t="array" ref="D644">IFERROR(INDEX('Исходник'!$1:$626,MATCH($A644,'Исходник'!$T:$T,0),MATCH(D$1,'Исходник'!$1:$1,0)))</f>
        <v/>
      </c>
      <c r="E644" s="1" t="str">
        <f t="array" ref="E644">IFERROR(INDEX('Исходник'!$1:$626,MATCH($A644,'Исходник'!$T:$T,0),MATCH(E$1,'Исходник'!$1:$1,0)))</f>
        <v/>
      </c>
      <c r="F644" s="1" t="str">
        <f t="array" ref="F644">IFERROR(INDEX('Исходник'!$1:$626,MATCH($A644,'Исходник'!$T:$T,0),MATCH(F$1,'Исходник'!$1:$1,0)))</f>
        <v/>
      </c>
      <c r="G644" s="1" t="str">
        <f t="array" ref="G644">IFERROR(INDEX('Исходник'!$1:$626,MATCH($A644,'Исходник'!$T:$T,0),MATCH(G$1,'Исходник'!$1:$1,0)))</f>
        <v/>
      </c>
      <c r="H644" s="27">
        <f t="shared" si="1"/>
        <v>0</v>
      </c>
      <c r="I644" s="27" t="str">
        <f t="shared" si="2"/>
        <v/>
      </c>
      <c r="J644" s="1" t="str">
        <f t="array" ref="J644">IFERROR(INDEX('Исходник'!$1:$626,MATCH($A644,'Исходник'!$T:$T,0),MATCH(J$1,'Исходник'!$1:$1,0)))</f>
        <v/>
      </c>
      <c r="K644" s="27" t="str">
        <f t="shared" si="3"/>
        <v/>
      </c>
      <c r="L644" s="1" t="str">
        <f t="array" ref="L644">IFERROR(INDEX('Исходник'!$1:$626,MATCH($A644,'Исходник'!$T:$T,0),MATCH(L$1,'Исходник'!$1:$1,0)))</f>
        <v/>
      </c>
      <c r="M644" s="28">
        <f t="shared" si="4"/>
        <v>0</v>
      </c>
      <c r="N644" s="1" t="str">
        <f t="array" ref="N644">IFERROR(INDEX('Исходник'!$1:$626,MATCH($A644,'Исходник'!$T:$T,0),MATCH(N$1,'Исходник'!$1:$1,0)))</f>
        <v/>
      </c>
      <c r="O644" s="27">
        <f t="shared" si="5"/>
        <v>0</v>
      </c>
      <c r="P644" s="27" t="str">
        <f t="shared" si="6"/>
        <v/>
      </c>
      <c r="Q644" s="1" t="str">
        <f t="array" ref="Q644">IFERROR(INDEX('Исходник'!$1:$626,MATCH($A644,'Исходник'!$T:$T,0),MATCH(Q$1,'Исходник'!$1:$1,0)))</f>
        <v/>
      </c>
      <c r="R644" s="1" t="str">
        <f t="array" ref="R644">IFERROR(INDEX('Исходник'!$1:$626,MATCH($A644,'Исходник'!$T:$T,0),MATCH(R$1,'Исходник'!$1:$1,0)))</f>
        <v/>
      </c>
      <c r="S644" s="27">
        <f t="shared" si="7"/>
        <v>0</v>
      </c>
      <c r="T644" s="27" t="str">
        <f t="shared" si="8"/>
        <v/>
      </c>
      <c r="U644" s="1" t="str">
        <f t="array" ref="U644">IFERROR(INDEX('Исходник'!$1:$626,MATCH($A644,'Исходник'!$T:$T,0),MATCH(U$1,'Исходник'!$1:$1,0)))</f>
        <v/>
      </c>
      <c r="V644" s="27" t="str">
        <f t="shared" si="9"/>
        <v/>
      </c>
      <c r="W644" s="1" t="str">
        <f t="array" ref="W644">IFERROR(INDEX('Исходник'!$1:$626,MATCH($A644,'Исходник'!$T:$T,0),MATCH(W$1,'Исходник'!$1:$1,0)))</f>
        <v/>
      </c>
      <c r="X644" s="28">
        <f t="shared" si="10"/>
        <v>0</v>
      </c>
      <c r="Y644" s="1" t="str">
        <f t="array" ref="Y644">IFERROR(INDEX('Исходник'!$1:$626,MATCH($A644,'Исходник'!$T:$T,0),MATCH(Y$1,'Исходник'!$1:$1,0)))</f>
        <v/>
      </c>
      <c r="Z644" s="27">
        <f t="shared" si="11"/>
        <v>0</v>
      </c>
      <c r="AA644" s="27" t="str">
        <f t="shared" si="12"/>
        <v/>
      </c>
      <c r="AB644" s="1" t="str">
        <f t="array" ref="AB644">IFERROR(INDEX('Исходник'!$1:$626,MATCH($A644,'Исходник'!$T:$T,0),MATCH(AB$1,'Исходник'!$1:$1,0)))</f>
        <v/>
      </c>
      <c r="AC644" s="1" t="str">
        <f t="array" ref="AC644">IFERROR(INDEX('Исходник'!$1:$626,MATCH($A644,'Исходник'!$T:$T,0),MATCH(AC$1,'Исходник'!$1:$1,0)))</f>
        <v/>
      </c>
      <c r="AD644" s="27" t="str">
        <f t="shared" si="13"/>
        <v/>
      </c>
      <c r="AE644" s="1" t="str">
        <f t="array" ref="AE644">IFERROR(INDEX('Исходник'!$1:$626,MATCH($A644,'Исходник'!$T:$T,0),MATCH(AE$1,'Исходник'!$1:$1,0)))</f>
        <v/>
      </c>
      <c r="AF644" s="1" t="str">
        <f t="array" ref="AF644">IFERROR(INDEX('Исходник'!$1:$626,MATCH($A644,'Исходник'!$T:$T,0),MATCH(AF$1,'Исходник'!$1:$1,0)))</f>
        <v/>
      </c>
      <c r="AG644" s="27" t="str">
        <f t="shared" si="14"/>
        <v/>
      </c>
      <c r="AH644" s="1" t="str">
        <f t="array" ref="AH644">IFERROR(INDEX('Исходник'!$1:$626,MATCH($A644,'Исходник'!$T:$T,0),MATCH(AH$1,'Исходник'!$1:$1,0)))</f>
        <v/>
      </c>
      <c r="AI644" s="1" t="str">
        <f t="array" ref="AI644">IFERROR(INDEX('Исходник'!$1:$626,MATCH($A644,'Исходник'!$T:$T,0),MATCH(AI$1,'Исходник'!$1:$1,0)))</f>
        <v/>
      </c>
      <c r="AJ644" s="18">
        <f t="shared" si="15"/>
        <v>0</v>
      </c>
    </row>
    <row r="645" ht="15.75" customHeight="1">
      <c r="A645" s="27"/>
      <c r="B645" s="1" t="str">
        <f t="array" ref="B645">IFERROR(INDEX('Исходник'!$1:$626,MATCH($A645,'Исходник'!$T:$T,0),MATCH(B$1,'Исходник'!$1:$1,0)))</f>
        <v/>
      </c>
      <c r="C645" s="1" t="str">
        <f t="array" ref="C645">IFERROR(INDEX('Исходник'!$1:$626,MATCH($A645,'Исходник'!$T:$T,0),MATCH(C$1,'Исходник'!$1:$1,0)))</f>
        <v/>
      </c>
      <c r="D645" s="1" t="str">
        <f t="array" ref="D645">IFERROR(INDEX('Исходник'!$1:$626,MATCH($A645,'Исходник'!$T:$T,0),MATCH(D$1,'Исходник'!$1:$1,0)))</f>
        <v/>
      </c>
      <c r="E645" s="1" t="str">
        <f t="array" ref="E645">IFERROR(INDEX('Исходник'!$1:$626,MATCH($A645,'Исходник'!$T:$T,0),MATCH(E$1,'Исходник'!$1:$1,0)))</f>
        <v/>
      </c>
      <c r="F645" s="1" t="str">
        <f t="array" ref="F645">IFERROR(INDEX('Исходник'!$1:$626,MATCH($A645,'Исходник'!$T:$T,0),MATCH(F$1,'Исходник'!$1:$1,0)))</f>
        <v/>
      </c>
      <c r="G645" s="1" t="str">
        <f t="array" ref="G645">IFERROR(INDEX('Исходник'!$1:$626,MATCH($A645,'Исходник'!$T:$T,0),MATCH(G$1,'Исходник'!$1:$1,0)))</f>
        <v/>
      </c>
      <c r="H645" s="27">
        <f t="shared" si="1"/>
        <v>0</v>
      </c>
      <c r="I645" s="27" t="str">
        <f t="shared" si="2"/>
        <v/>
      </c>
      <c r="J645" s="1" t="str">
        <f t="array" ref="J645">IFERROR(INDEX('Исходник'!$1:$626,MATCH($A645,'Исходник'!$T:$T,0),MATCH(J$1,'Исходник'!$1:$1,0)))</f>
        <v/>
      </c>
      <c r="K645" s="27" t="str">
        <f t="shared" si="3"/>
        <v/>
      </c>
      <c r="L645" s="1" t="str">
        <f t="array" ref="L645">IFERROR(INDEX('Исходник'!$1:$626,MATCH($A645,'Исходник'!$T:$T,0),MATCH(L$1,'Исходник'!$1:$1,0)))</f>
        <v/>
      </c>
      <c r="M645" s="28">
        <f t="shared" si="4"/>
        <v>0</v>
      </c>
      <c r="N645" s="1" t="str">
        <f t="array" ref="N645">IFERROR(INDEX('Исходник'!$1:$626,MATCH($A645,'Исходник'!$T:$T,0),MATCH(N$1,'Исходник'!$1:$1,0)))</f>
        <v/>
      </c>
      <c r="O645" s="27">
        <f t="shared" si="5"/>
        <v>0</v>
      </c>
      <c r="P645" s="27" t="str">
        <f t="shared" si="6"/>
        <v/>
      </c>
      <c r="Q645" s="1" t="str">
        <f t="array" ref="Q645">IFERROR(INDEX('Исходник'!$1:$626,MATCH($A645,'Исходник'!$T:$T,0),MATCH(Q$1,'Исходник'!$1:$1,0)))</f>
        <v/>
      </c>
      <c r="R645" s="1" t="str">
        <f t="array" ref="R645">IFERROR(INDEX('Исходник'!$1:$626,MATCH($A645,'Исходник'!$T:$T,0),MATCH(R$1,'Исходник'!$1:$1,0)))</f>
        <v/>
      </c>
      <c r="S645" s="27">
        <f t="shared" si="7"/>
        <v>0</v>
      </c>
      <c r="T645" s="27" t="str">
        <f t="shared" si="8"/>
        <v/>
      </c>
      <c r="U645" s="1" t="str">
        <f t="array" ref="U645">IFERROR(INDEX('Исходник'!$1:$626,MATCH($A645,'Исходник'!$T:$T,0),MATCH(U$1,'Исходник'!$1:$1,0)))</f>
        <v/>
      </c>
      <c r="V645" s="27" t="str">
        <f t="shared" si="9"/>
        <v/>
      </c>
      <c r="W645" s="1" t="str">
        <f t="array" ref="W645">IFERROR(INDEX('Исходник'!$1:$626,MATCH($A645,'Исходник'!$T:$T,0),MATCH(W$1,'Исходник'!$1:$1,0)))</f>
        <v/>
      </c>
      <c r="X645" s="28">
        <f t="shared" si="10"/>
        <v>0</v>
      </c>
      <c r="Y645" s="1" t="str">
        <f t="array" ref="Y645">IFERROR(INDEX('Исходник'!$1:$626,MATCH($A645,'Исходник'!$T:$T,0),MATCH(Y$1,'Исходник'!$1:$1,0)))</f>
        <v/>
      </c>
      <c r="Z645" s="27">
        <f t="shared" si="11"/>
        <v>0</v>
      </c>
      <c r="AA645" s="27" t="str">
        <f t="shared" si="12"/>
        <v/>
      </c>
      <c r="AB645" s="1" t="str">
        <f t="array" ref="AB645">IFERROR(INDEX('Исходник'!$1:$626,MATCH($A645,'Исходник'!$T:$T,0),MATCH(AB$1,'Исходник'!$1:$1,0)))</f>
        <v/>
      </c>
      <c r="AC645" s="1" t="str">
        <f t="array" ref="AC645">IFERROR(INDEX('Исходник'!$1:$626,MATCH($A645,'Исходник'!$T:$T,0),MATCH(AC$1,'Исходник'!$1:$1,0)))</f>
        <v/>
      </c>
      <c r="AD645" s="27" t="str">
        <f t="shared" si="13"/>
        <v/>
      </c>
      <c r="AE645" s="1" t="str">
        <f t="array" ref="AE645">IFERROR(INDEX('Исходник'!$1:$626,MATCH($A645,'Исходник'!$T:$T,0),MATCH(AE$1,'Исходник'!$1:$1,0)))</f>
        <v/>
      </c>
      <c r="AF645" s="1" t="str">
        <f t="array" ref="AF645">IFERROR(INDEX('Исходник'!$1:$626,MATCH($A645,'Исходник'!$T:$T,0),MATCH(AF$1,'Исходник'!$1:$1,0)))</f>
        <v/>
      </c>
      <c r="AG645" s="27" t="str">
        <f t="shared" si="14"/>
        <v/>
      </c>
      <c r="AH645" s="1" t="str">
        <f t="array" ref="AH645">IFERROR(INDEX('Исходник'!$1:$626,MATCH($A645,'Исходник'!$T:$T,0),MATCH(AH$1,'Исходник'!$1:$1,0)))</f>
        <v/>
      </c>
      <c r="AI645" s="1" t="str">
        <f t="array" ref="AI645">IFERROR(INDEX('Исходник'!$1:$626,MATCH($A645,'Исходник'!$T:$T,0),MATCH(AI$1,'Исходник'!$1:$1,0)))</f>
        <v/>
      </c>
      <c r="AJ645" s="18">
        <f t="shared" si="15"/>
        <v>0</v>
      </c>
    </row>
    <row r="646" ht="15.75" customHeight="1">
      <c r="A646" s="27"/>
      <c r="B646" s="1" t="str">
        <f t="array" ref="B646">IFERROR(INDEX('Исходник'!$1:$626,MATCH($A646,'Исходник'!$T:$T,0),MATCH(B$1,'Исходник'!$1:$1,0)))</f>
        <v/>
      </c>
      <c r="C646" s="1" t="str">
        <f t="array" ref="C646">IFERROR(INDEX('Исходник'!$1:$626,MATCH($A646,'Исходник'!$T:$T,0),MATCH(C$1,'Исходник'!$1:$1,0)))</f>
        <v/>
      </c>
      <c r="D646" s="1" t="str">
        <f t="array" ref="D646">IFERROR(INDEX('Исходник'!$1:$626,MATCH($A646,'Исходник'!$T:$T,0),MATCH(D$1,'Исходник'!$1:$1,0)))</f>
        <v/>
      </c>
      <c r="E646" s="1" t="str">
        <f t="array" ref="E646">IFERROR(INDEX('Исходник'!$1:$626,MATCH($A646,'Исходник'!$T:$T,0),MATCH(E$1,'Исходник'!$1:$1,0)))</f>
        <v/>
      </c>
      <c r="F646" s="1" t="str">
        <f t="array" ref="F646">IFERROR(INDEX('Исходник'!$1:$626,MATCH($A646,'Исходник'!$T:$T,0),MATCH(F$1,'Исходник'!$1:$1,0)))</f>
        <v/>
      </c>
      <c r="G646" s="1" t="str">
        <f t="array" ref="G646">IFERROR(INDEX('Исходник'!$1:$626,MATCH($A646,'Исходник'!$T:$T,0),MATCH(G$1,'Исходник'!$1:$1,0)))</f>
        <v/>
      </c>
      <c r="H646" s="27">
        <f t="shared" si="1"/>
        <v>0</v>
      </c>
      <c r="I646" s="27" t="str">
        <f t="shared" si="2"/>
        <v/>
      </c>
      <c r="J646" s="1" t="str">
        <f t="array" ref="J646">IFERROR(INDEX('Исходник'!$1:$626,MATCH($A646,'Исходник'!$T:$T,0),MATCH(J$1,'Исходник'!$1:$1,0)))</f>
        <v/>
      </c>
      <c r="K646" s="27" t="str">
        <f t="shared" si="3"/>
        <v/>
      </c>
      <c r="L646" s="1" t="str">
        <f t="array" ref="L646">IFERROR(INDEX('Исходник'!$1:$626,MATCH($A646,'Исходник'!$T:$T,0),MATCH(L$1,'Исходник'!$1:$1,0)))</f>
        <v/>
      </c>
      <c r="M646" s="28">
        <f t="shared" si="4"/>
        <v>0</v>
      </c>
      <c r="N646" s="1" t="str">
        <f t="array" ref="N646">IFERROR(INDEX('Исходник'!$1:$626,MATCH($A646,'Исходник'!$T:$T,0),MATCH(N$1,'Исходник'!$1:$1,0)))</f>
        <v/>
      </c>
      <c r="O646" s="27">
        <f t="shared" si="5"/>
        <v>0</v>
      </c>
      <c r="P646" s="27" t="str">
        <f t="shared" si="6"/>
        <v/>
      </c>
      <c r="Q646" s="1" t="str">
        <f t="array" ref="Q646">IFERROR(INDEX('Исходник'!$1:$626,MATCH($A646,'Исходник'!$T:$T,0),MATCH(Q$1,'Исходник'!$1:$1,0)))</f>
        <v/>
      </c>
      <c r="R646" s="1" t="str">
        <f t="array" ref="R646">IFERROR(INDEX('Исходник'!$1:$626,MATCH($A646,'Исходник'!$T:$T,0),MATCH(R$1,'Исходник'!$1:$1,0)))</f>
        <v/>
      </c>
      <c r="S646" s="27">
        <f t="shared" si="7"/>
        <v>0</v>
      </c>
      <c r="T646" s="27" t="str">
        <f t="shared" si="8"/>
        <v/>
      </c>
      <c r="U646" s="1" t="str">
        <f t="array" ref="U646">IFERROR(INDEX('Исходник'!$1:$626,MATCH($A646,'Исходник'!$T:$T,0),MATCH(U$1,'Исходник'!$1:$1,0)))</f>
        <v/>
      </c>
      <c r="V646" s="27" t="str">
        <f t="shared" si="9"/>
        <v/>
      </c>
      <c r="W646" s="1" t="str">
        <f t="array" ref="W646">IFERROR(INDEX('Исходник'!$1:$626,MATCH($A646,'Исходник'!$T:$T,0),MATCH(W$1,'Исходник'!$1:$1,0)))</f>
        <v/>
      </c>
      <c r="X646" s="28">
        <f t="shared" si="10"/>
        <v>0</v>
      </c>
      <c r="Y646" s="1" t="str">
        <f t="array" ref="Y646">IFERROR(INDEX('Исходник'!$1:$626,MATCH($A646,'Исходник'!$T:$T,0),MATCH(Y$1,'Исходник'!$1:$1,0)))</f>
        <v/>
      </c>
      <c r="Z646" s="27">
        <f t="shared" si="11"/>
        <v>0</v>
      </c>
      <c r="AA646" s="27" t="str">
        <f t="shared" si="12"/>
        <v/>
      </c>
      <c r="AB646" s="1" t="str">
        <f t="array" ref="AB646">IFERROR(INDEX('Исходник'!$1:$626,MATCH($A646,'Исходник'!$T:$T,0),MATCH(AB$1,'Исходник'!$1:$1,0)))</f>
        <v/>
      </c>
      <c r="AC646" s="1" t="str">
        <f t="array" ref="AC646">IFERROR(INDEX('Исходник'!$1:$626,MATCH($A646,'Исходник'!$T:$T,0),MATCH(AC$1,'Исходник'!$1:$1,0)))</f>
        <v/>
      </c>
      <c r="AD646" s="27" t="str">
        <f t="shared" si="13"/>
        <v/>
      </c>
      <c r="AE646" s="1" t="str">
        <f t="array" ref="AE646">IFERROR(INDEX('Исходник'!$1:$626,MATCH($A646,'Исходник'!$T:$T,0),MATCH(AE$1,'Исходник'!$1:$1,0)))</f>
        <v/>
      </c>
      <c r="AF646" s="1" t="str">
        <f t="array" ref="AF646">IFERROR(INDEX('Исходник'!$1:$626,MATCH($A646,'Исходник'!$T:$T,0),MATCH(AF$1,'Исходник'!$1:$1,0)))</f>
        <v/>
      </c>
      <c r="AG646" s="27" t="str">
        <f t="shared" si="14"/>
        <v/>
      </c>
      <c r="AH646" s="1" t="str">
        <f t="array" ref="AH646">IFERROR(INDEX('Исходник'!$1:$626,MATCH($A646,'Исходник'!$T:$T,0),MATCH(AH$1,'Исходник'!$1:$1,0)))</f>
        <v/>
      </c>
      <c r="AI646" s="1" t="str">
        <f t="array" ref="AI646">IFERROR(INDEX('Исходник'!$1:$626,MATCH($A646,'Исходник'!$T:$T,0),MATCH(AI$1,'Исходник'!$1:$1,0)))</f>
        <v/>
      </c>
      <c r="AJ646" s="18">
        <f t="shared" si="15"/>
        <v>0</v>
      </c>
    </row>
    <row r="647" ht="15.75" customHeight="1">
      <c r="A647" s="27"/>
      <c r="B647" s="1" t="str">
        <f t="array" ref="B647">IFERROR(INDEX('Исходник'!$1:$626,MATCH($A647,'Исходник'!$T:$T,0),MATCH(B$1,'Исходник'!$1:$1,0)))</f>
        <v/>
      </c>
      <c r="C647" s="1" t="str">
        <f t="array" ref="C647">IFERROR(INDEX('Исходник'!$1:$626,MATCH($A647,'Исходник'!$T:$T,0),MATCH(C$1,'Исходник'!$1:$1,0)))</f>
        <v/>
      </c>
      <c r="D647" s="1" t="str">
        <f t="array" ref="D647">IFERROR(INDEX('Исходник'!$1:$626,MATCH($A647,'Исходник'!$T:$T,0),MATCH(D$1,'Исходник'!$1:$1,0)))</f>
        <v/>
      </c>
      <c r="E647" s="1" t="str">
        <f t="array" ref="E647">IFERROR(INDEX('Исходник'!$1:$626,MATCH($A647,'Исходник'!$T:$T,0),MATCH(E$1,'Исходник'!$1:$1,0)))</f>
        <v/>
      </c>
      <c r="F647" s="1" t="str">
        <f t="array" ref="F647">IFERROR(INDEX('Исходник'!$1:$626,MATCH($A647,'Исходник'!$T:$T,0),MATCH(F$1,'Исходник'!$1:$1,0)))</f>
        <v/>
      </c>
      <c r="G647" s="1" t="str">
        <f t="array" ref="G647">IFERROR(INDEX('Исходник'!$1:$626,MATCH($A647,'Исходник'!$T:$T,0),MATCH(G$1,'Исходник'!$1:$1,0)))</f>
        <v/>
      </c>
      <c r="H647" s="27">
        <f t="shared" si="1"/>
        <v>0</v>
      </c>
      <c r="I647" s="27" t="str">
        <f t="shared" si="2"/>
        <v/>
      </c>
      <c r="J647" s="1" t="str">
        <f t="array" ref="J647">IFERROR(INDEX('Исходник'!$1:$626,MATCH($A647,'Исходник'!$T:$T,0),MATCH(J$1,'Исходник'!$1:$1,0)))</f>
        <v/>
      </c>
      <c r="K647" s="27" t="str">
        <f t="shared" si="3"/>
        <v/>
      </c>
      <c r="L647" s="1" t="str">
        <f t="array" ref="L647">IFERROR(INDEX('Исходник'!$1:$626,MATCH($A647,'Исходник'!$T:$T,0),MATCH(L$1,'Исходник'!$1:$1,0)))</f>
        <v/>
      </c>
      <c r="M647" s="28">
        <f t="shared" si="4"/>
        <v>0</v>
      </c>
      <c r="N647" s="1" t="str">
        <f t="array" ref="N647">IFERROR(INDEX('Исходник'!$1:$626,MATCH($A647,'Исходник'!$T:$T,0),MATCH(N$1,'Исходник'!$1:$1,0)))</f>
        <v/>
      </c>
      <c r="O647" s="27">
        <f t="shared" si="5"/>
        <v>0</v>
      </c>
      <c r="P647" s="27" t="str">
        <f t="shared" si="6"/>
        <v/>
      </c>
      <c r="Q647" s="1" t="str">
        <f t="array" ref="Q647">IFERROR(INDEX('Исходник'!$1:$626,MATCH($A647,'Исходник'!$T:$T,0),MATCH(Q$1,'Исходник'!$1:$1,0)))</f>
        <v/>
      </c>
      <c r="R647" s="1" t="str">
        <f t="array" ref="R647">IFERROR(INDEX('Исходник'!$1:$626,MATCH($A647,'Исходник'!$T:$T,0),MATCH(R$1,'Исходник'!$1:$1,0)))</f>
        <v/>
      </c>
      <c r="S647" s="27">
        <f t="shared" si="7"/>
        <v>0</v>
      </c>
      <c r="T647" s="27" t="str">
        <f t="shared" si="8"/>
        <v/>
      </c>
      <c r="U647" s="1" t="str">
        <f t="array" ref="U647">IFERROR(INDEX('Исходник'!$1:$626,MATCH($A647,'Исходник'!$T:$T,0),MATCH(U$1,'Исходник'!$1:$1,0)))</f>
        <v/>
      </c>
      <c r="V647" s="27" t="str">
        <f t="shared" si="9"/>
        <v/>
      </c>
      <c r="W647" s="1" t="str">
        <f t="array" ref="W647">IFERROR(INDEX('Исходник'!$1:$626,MATCH($A647,'Исходник'!$T:$T,0),MATCH(W$1,'Исходник'!$1:$1,0)))</f>
        <v/>
      </c>
      <c r="X647" s="28">
        <f t="shared" si="10"/>
        <v>0</v>
      </c>
      <c r="Y647" s="1" t="str">
        <f t="array" ref="Y647">IFERROR(INDEX('Исходник'!$1:$626,MATCH($A647,'Исходник'!$T:$T,0),MATCH(Y$1,'Исходник'!$1:$1,0)))</f>
        <v/>
      </c>
      <c r="Z647" s="27">
        <f t="shared" si="11"/>
        <v>0</v>
      </c>
      <c r="AA647" s="27" t="str">
        <f t="shared" si="12"/>
        <v/>
      </c>
      <c r="AB647" s="1" t="str">
        <f t="array" ref="AB647">IFERROR(INDEX('Исходник'!$1:$626,MATCH($A647,'Исходник'!$T:$T,0),MATCH(AB$1,'Исходник'!$1:$1,0)))</f>
        <v/>
      </c>
      <c r="AC647" s="1" t="str">
        <f t="array" ref="AC647">IFERROR(INDEX('Исходник'!$1:$626,MATCH($A647,'Исходник'!$T:$T,0),MATCH(AC$1,'Исходник'!$1:$1,0)))</f>
        <v/>
      </c>
      <c r="AD647" s="27" t="str">
        <f t="shared" si="13"/>
        <v/>
      </c>
      <c r="AE647" s="1" t="str">
        <f t="array" ref="AE647">IFERROR(INDEX('Исходник'!$1:$626,MATCH($A647,'Исходник'!$T:$T,0),MATCH(AE$1,'Исходник'!$1:$1,0)))</f>
        <v/>
      </c>
      <c r="AF647" s="1" t="str">
        <f t="array" ref="AF647">IFERROR(INDEX('Исходник'!$1:$626,MATCH($A647,'Исходник'!$T:$T,0),MATCH(AF$1,'Исходник'!$1:$1,0)))</f>
        <v/>
      </c>
      <c r="AG647" s="27" t="str">
        <f t="shared" si="14"/>
        <v/>
      </c>
      <c r="AH647" s="1" t="str">
        <f t="array" ref="AH647">IFERROR(INDEX('Исходник'!$1:$626,MATCH($A647,'Исходник'!$T:$T,0),MATCH(AH$1,'Исходник'!$1:$1,0)))</f>
        <v/>
      </c>
      <c r="AI647" s="1" t="str">
        <f t="array" ref="AI647">IFERROR(INDEX('Исходник'!$1:$626,MATCH($A647,'Исходник'!$T:$T,0),MATCH(AI$1,'Исходник'!$1:$1,0)))</f>
        <v/>
      </c>
      <c r="AJ647" s="18">
        <f t="shared" si="15"/>
        <v>0</v>
      </c>
    </row>
    <row r="648" ht="15.75" customHeight="1">
      <c r="A648" s="27"/>
      <c r="B648" s="1" t="str">
        <f t="array" ref="B648">IFERROR(INDEX('Исходник'!$1:$626,MATCH($A648,'Исходник'!$T:$T,0),MATCH(B$1,'Исходник'!$1:$1,0)))</f>
        <v/>
      </c>
      <c r="C648" s="1" t="str">
        <f t="array" ref="C648">IFERROR(INDEX('Исходник'!$1:$626,MATCH($A648,'Исходник'!$T:$T,0),MATCH(C$1,'Исходник'!$1:$1,0)))</f>
        <v/>
      </c>
      <c r="D648" s="1" t="str">
        <f t="array" ref="D648">IFERROR(INDEX('Исходник'!$1:$626,MATCH($A648,'Исходник'!$T:$T,0),MATCH(D$1,'Исходник'!$1:$1,0)))</f>
        <v/>
      </c>
      <c r="E648" s="1" t="str">
        <f t="array" ref="E648">IFERROR(INDEX('Исходник'!$1:$626,MATCH($A648,'Исходник'!$T:$T,0),MATCH(E$1,'Исходник'!$1:$1,0)))</f>
        <v/>
      </c>
      <c r="F648" s="1" t="str">
        <f t="array" ref="F648">IFERROR(INDEX('Исходник'!$1:$626,MATCH($A648,'Исходник'!$T:$T,0),MATCH(F$1,'Исходник'!$1:$1,0)))</f>
        <v/>
      </c>
      <c r="G648" s="1" t="str">
        <f t="array" ref="G648">IFERROR(INDEX('Исходник'!$1:$626,MATCH($A648,'Исходник'!$T:$T,0),MATCH(G$1,'Исходник'!$1:$1,0)))</f>
        <v/>
      </c>
      <c r="H648" s="27">
        <f t="shared" si="1"/>
        <v>0</v>
      </c>
      <c r="I648" s="27" t="str">
        <f t="shared" si="2"/>
        <v/>
      </c>
      <c r="J648" s="1" t="str">
        <f t="array" ref="J648">IFERROR(INDEX('Исходник'!$1:$626,MATCH($A648,'Исходник'!$T:$T,0),MATCH(J$1,'Исходник'!$1:$1,0)))</f>
        <v/>
      </c>
      <c r="K648" s="27" t="str">
        <f t="shared" si="3"/>
        <v/>
      </c>
      <c r="L648" s="1" t="str">
        <f t="array" ref="L648">IFERROR(INDEX('Исходник'!$1:$626,MATCH($A648,'Исходник'!$T:$T,0),MATCH(L$1,'Исходник'!$1:$1,0)))</f>
        <v/>
      </c>
      <c r="M648" s="28">
        <f t="shared" si="4"/>
        <v>0</v>
      </c>
      <c r="N648" s="1" t="str">
        <f t="array" ref="N648">IFERROR(INDEX('Исходник'!$1:$626,MATCH($A648,'Исходник'!$T:$T,0),MATCH(N$1,'Исходник'!$1:$1,0)))</f>
        <v/>
      </c>
      <c r="O648" s="27">
        <f t="shared" si="5"/>
        <v>0</v>
      </c>
      <c r="P648" s="27" t="str">
        <f t="shared" si="6"/>
        <v/>
      </c>
      <c r="Q648" s="1" t="str">
        <f t="array" ref="Q648">IFERROR(INDEX('Исходник'!$1:$626,MATCH($A648,'Исходник'!$T:$T,0),MATCH(Q$1,'Исходник'!$1:$1,0)))</f>
        <v/>
      </c>
      <c r="R648" s="1" t="str">
        <f t="array" ref="R648">IFERROR(INDEX('Исходник'!$1:$626,MATCH($A648,'Исходник'!$T:$T,0),MATCH(R$1,'Исходник'!$1:$1,0)))</f>
        <v/>
      </c>
      <c r="S648" s="27">
        <f t="shared" si="7"/>
        <v>0</v>
      </c>
      <c r="T648" s="27" t="str">
        <f t="shared" si="8"/>
        <v/>
      </c>
      <c r="U648" s="1" t="str">
        <f t="array" ref="U648">IFERROR(INDEX('Исходник'!$1:$626,MATCH($A648,'Исходник'!$T:$T,0),MATCH(U$1,'Исходник'!$1:$1,0)))</f>
        <v/>
      </c>
      <c r="V648" s="27" t="str">
        <f t="shared" si="9"/>
        <v/>
      </c>
      <c r="W648" s="1" t="str">
        <f t="array" ref="W648">IFERROR(INDEX('Исходник'!$1:$626,MATCH($A648,'Исходник'!$T:$T,0),MATCH(W$1,'Исходник'!$1:$1,0)))</f>
        <v/>
      </c>
      <c r="X648" s="28">
        <f t="shared" si="10"/>
        <v>0</v>
      </c>
      <c r="Y648" s="1" t="str">
        <f t="array" ref="Y648">IFERROR(INDEX('Исходник'!$1:$626,MATCH($A648,'Исходник'!$T:$T,0),MATCH(Y$1,'Исходник'!$1:$1,0)))</f>
        <v/>
      </c>
      <c r="Z648" s="27">
        <f t="shared" si="11"/>
        <v>0</v>
      </c>
      <c r="AA648" s="27" t="str">
        <f t="shared" si="12"/>
        <v/>
      </c>
      <c r="AB648" s="1" t="str">
        <f t="array" ref="AB648">IFERROR(INDEX('Исходник'!$1:$626,MATCH($A648,'Исходник'!$T:$T,0),MATCH(AB$1,'Исходник'!$1:$1,0)))</f>
        <v/>
      </c>
      <c r="AC648" s="1" t="str">
        <f t="array" ref="AC648">IFERROR(INDEX('Исходник'!$1:$626,MATCH($A648,'Исходник'!$T:$T,0),MATCH(AC$1,'Исходник'!$1:$1,0)))</f>
        <v/>
      </c>
      <c r="AD648" s="27" t="str">
        <f t="shared" si="13"/>
        <v/>
      </c>
      <c r="AE648" s="1" t="str">
        <f t="array" ref="AE648">IFERROR(INDEX('Исходник'!$1:$626,MATCH($A648,'Исходник'!$T:$T,0),MATCH(AE$1,'Исходник'!$1:$1,0)))</f>
        <v/>
      </c>
      <c r="AF648" s="1" t="str">
        <f t="array" ref="AF648">IFERROR(INDEX('Исходник'!$1:$626,MATCH($A648,'Исходник'!$T:$T,0),MATCH(AF$1,'Исходник'!$1:$1,0)))</f>
        <v/>
      </c>
      <c r="AG648" s="27" t="str">
        <f t="shared" si="14"/>
        <v/>
      </c>
      <c r="AH648" s="1" t="str">
        <f t="array" ref="AH648">IFERROR(INDEX('Исходник'!$1:$626,MATCH($A648,'Исходник'!$T:$T,0),MATCH(AH$1,'Исходник'!$1:$1,0)))</f>
        <v/>
      </c>
      <c r="AI648" s="1" t="str">
        <f t="array" ref="AI648">IFERROR(INDEX('Исходник'!$1:$626,MATCH($A648,'Исходник'!$T:$T,0),MATCH(AI$1,'Исходник'!$1:$1,0)))</f>
        <v/>
      </c>
      <c r="AJ648" s="18">
        <f t="shared" si="15"/>
        <v>0</v>
      </c>
    </row>
    <row r="649" ht="15.75" customHeight="1">
      <c r="A649" s="27"/>
      <c r="B649" s="1" t="str">
        <f t="array" ref="B649">IFERROR(INDEX('Исходник'!$1:$626,MATCH($A649,'Исходник'!$T:$T,0),MATCH(B$1,'Исходник'!$1:$1,0)))</f>
        <v/>
      </c>
      <c r="C649" s="1" t="str">
        <f t="array" ref="C649">IFERROR(INDEX('Исходник'!$1:$626,MATCH($A649,'Исходник'!$T:$T,0),MATCH(C$1,'Исходник'!$1:$1,0)))</f>
        <v/>
      </c>
      <c r="D649" s="1" t="str">
        <f t="array" ref="D649">IFERROR(INDEX('Исходник'!$1:$626,MATCH($A649,'Исходник'!$T:$T,0),MATCH(D$1,'Исходник'!$1:$1,0)))</f>
        <v/>
      </c>
      <c r="E649" s="1" t="str">
        <f t="array" ref="E649">IFERROR(INDEX('Исходник'!$1:$626,MATCH($A649,'Исходник'!$T:$T,0),MATCH(E$1,'Исходник'!$1:$1,0)))</f>
        <v/>
      </c>
      <c r="F649" s="1" t="str">
        <f t="array" ref="F649">IFERROR(INDEX('Исходник'!$1:$626,MATCH($A649,'Исходник'!$T:$T,0),MATCH(F$1,'Исходник'!$1:$1,0)))</f>
        <v/>
      </c>
      <c r="G649" s="1" t="str">
        <f t="array" ref="G649">IFERROR(INDEX('Исходник'!$1:$626,MATCH($A649,'Исходник'!$T:$T,0),MATCH(G$1,'Исходник'!$1:$1,0)))</f>
        <v/>
      </c>
      <c r="H649" s="27">
        <f t="shared" si="1"/>
        <v>0</v>
      </c>
      <c r="I649" s="27" t="str">
        <f t="shared" si="2"/>
        <v/>
      </c>
      <c r="J649" s="1" t="str">
        <f t="array" ref="J649">IFERROR(INDEX('Исходник'!$1:$626,MATCH($A649,'Исходник'!$T:$T,0),MATCH(J$1,'Исходник'!$1:$1,0)))</f>
        <v/>
      </c>
      <c r="K649" s="27" t="str">
        <f t="shared" si="3"/>
        <v/>
      </c>
      <c r="L649" s="1" t="str">
        <f t="array" ref="L649">IFERROR(INDEX('Исходник'!$1:$626,MATCH($A649,'Исходник'!$T:$T,0),MATCH(L$1,'Исходник'!$1:$1,0)))</f>
        <v/>
      </c>
      <c r="M649" s="28">
        <f t="shared" si="4"/>
        <v>0</v>
      </c>
      <c r="N649" s="1" t="str">
        <f t="array" ref="N649">IFERROR(INDEX('Исходник'!$1:$626,MATCH($A649,'Исходник'!$T:$T,0),MATCH(N$1,'Исходник'!$1:$1,0)))</f>
        <v/>
      </c>
      <c r="O649" s="27">
        <f t="shared" si="5"/>
        <v>0</v>
      </c>
      <c r="P649" s="27" t="str">
        <f t="shared" si="6"/>
        <v/>
      </c>
      <c r="Q649" s="1" t="str">
        <f t="array" ref="Q649">IFERROR(INDEX('Исходник'!$1:$626,MATCH($A649,'Исходник'!$T:$T,0),MATCH(Q$1,'Исходник'!$1:$1,0)))</f>
        <v/>
      </c>
      <c r="R649" s="1" t="str">
        <f t="array" ref="R649">IFERROR(INDEX('Исходник'!$1:$626,MATCH($A649,'Исходник'!$T:$T,0),MATCH(R$1,'Исходник'!$1:$1,0)))</f>
        <v/>
      </c>
      <c r="S649" s="27">
        <f t="shared" si="7"/>
        <v>0</v>
      </c>
      <c r="T649" s="27" t="str">
        <f t="shared" si="8"/>
        <v/>
      </c>
      <c r="U649" s="1" t="str">
        <f t="array" ref="U649">IFERROR(INDEX('Исходник'!$1:$626,MATCH($A649,'Исходник'!$T:$T,0),MATCH(U$1,'Исходник'!$1:$1,0)))</f>
        <v/>
      </c>
      <c r="V649" s="27" t="str">
        <f t="shared" si="9"/>
        <v/>
      </c>
      <c r="W649" s="1" t="str">
        <f t="array" ref="W649">IFERROR(INDEX('Исходник'!$1:$626,MATCH($A649,'Исходник'!$T:$T,0),MATCH(W$1,'Исходник'!$1:$1,0)))</f>
        <v/>
      </c>
      <c r="X649" s="28">
        <f t="shared" si="10"/>
        <v>0</v>
      </c>
      <c r="Y649" s="1" t="str">
        <f t="array" ref="Y649">IFERROR(INDEX('Исходник'!$1:$626,MATCH($A649,'Исходник'!$T:$T,0),MATCH(Y$1,'Исходник'!$1:$1,0)))</f>
        <v/>
      </c>
      <c r="Z649" s="27">
        <f t="shared" si="11"/>
        <v>0</v>
      </c>
      <c r="AA649" s="27" t="str">
        <f t="shared" si="12"/>
        <v/>
      </c>
      <c r="AB649" s="1" t="str">
        <f t="array" ref="AB649">IFERROR(INDEX('Исходник'!$1:$626,MATCH($A649,'Исходник'!$T:$T,0),MATCH(AB$1,'Исходник'!$1:$1,0)))</f>
        <v/>
      </c>
      <c r="AC649" s="1" t="str">
        <f t="array" ref="AC649">IFERROR(INDEX('Исходник'!$1:$626,MATCH($A649,'Исходник'!$T:$T,0),MATCH(AC$1,'Исходник'!$1:$1,0)))</f>
        <v/>
      </c>
      <c r="AD649" s="27" t="str">
        <f t="shared" si="13"/>
        <v/>
      </c>
      <c r="AE649" s="1" t="str">
        <f t="array" ref="AE649">IFERROR(INDEX('Исходник'!$1:$626,MATCH($A649,'Исходник'!$T:$T,0),MATCH(AE$1,'Исходник'!$1:$1,0)))</f>
        <v/>
      </c>
      <c r="AF649" s="1" t="str">
        <f t="array" ref="AF649">IFERROR(INDEX('Исходник'!$1:$626,MATCH($A649,'Исходник'!$T:$T,0),MATCH(AF$1,'Исходник'!$1:$1,0)))</f>
        <v/>
      </c>
      <c r="AG649" s="27" t="str">
        <f t="shared" si="14"/>
        <v/>
      </c>
      <c r="AH649" s="1" t="str">
        <f t="array" ref="AH649">IFERROR(INDEX('Исходник'!$1:$626,MATCH($A649,'Исходник'!$T:$T,0),MATCH(AH$1,'Исходник'!$1:$1,0)))</f>
        <v/>
      </c>
      <c r="AI649" s="1" t="str">
        <f t="array" ref="AI649">IFERROR(INDEX('Исходник'!$1:$626,MATCH($A649,'Исходник'!$T:$T,0),MATCH(AI$1,'Исходник'!$1:$1,0)))</f>
        <v/>
      </c>
      <c r="AJ649" s="18">
        <f t="shared" si="15"/>
        <v>0</v>
      </c>
    </row>
    <row r="650" ht="15.75" customHeight="1">
      <c r="A650" s="27"/>
      <c r="B650" s="1" t="str">
        <f t="array" ref="B650">IFERROR(INDEX('Исходник'!$1:$626,MATCH($A650,'Исходник'!$T:$T,0),MATCH(B$1,'Исходник'!$1:$1,0)))</f>
        <v/>
      </c>
      <c r="C650" s="1" t="str">
        <f t="array" ref="C650">IFERROR(INDEX('Исходник'!$1:$626,MATCH($A650,'Исходник'!$T:$T,0),MATCH(C$1,'Исходник'!$1:$1,0)))</f>
        <v/>
      </c>
      <c r="D650" s="1" t="str">
        <f t="array" ref="D650">IFERROR(INDEX('Исходник'!$1:$626,MATCH($A650,'Исходник'!$T:$T,0),MATCH(D$1,'Исходник'!$1:$1,0)))</f>
        <v/>
      </c>
      <c r="E650" s="1" t="str">
        <f t="array" ref="E650">IFERROR(INDEX('Исходник'!$1:$626,MATCH($A650,'Исходник'!$T:$T,0),MATCH(E$1,'Исходник'!$1:$1,0)))</f>
        <v/>
      </c>
      <c r="F650" s="1" t="str">
        <f t="array" ref="F650">IFERROR(INDEX('Исходник'!$1:$626,MATCH($A650,'Исходник'!$T:$T,0),MATCH(F$1,'Исходник'!$1:$1,0)))</f>
        <v/>
      </c>
      <c r="G650" s="1" t="str">
        <f t="array" ref="G650">IFERROR(INDEX('Исходник'!$1:$626,MATCH($A650,'Исходник'!$T:$T,0),MATCH(G$1,'Исходник'!$1:$1,0)))</f>
        <v/>
      </c>
      <c r="H650" s="27">
        <f t="shared" si="1"/>
        <v>0</v>
      </c>
      <c r="I650" s="27" t="str">
        <f t="shared" si="2"/>
        <v/>
      </c>
      <c r="J650" s="1" t="str">
        <f t="array" ref="J650">IFERROR(INDEX('Исходник'!$1:$626,MATCH($A650,'Исходник'!$T:$T,0),MATCH(J$1,'Исходник'!$1:$1,0)))</f>
        <v/>
      </c>
      <c r="K650" s="27" t="str">
        <f t="shared" si="3"/>
        <v/>
      </c>
      <c r="L650" s="1" t="str">
        <f t="array" ref="L650">IFERROR(INDEX('Исходник'!$1:$626,MATCH($A650,'Исходник'!$T:$T,0),MATCH(L$1,'Исходник'!$1:$1,0)))</f>
        <v/>
      </c>
      <c r="M650" s="28">
        <f t="shared" si="4"/>
        <v>0</v>
      </c>
      <c r="N650" s="1" t="str">
        <f t="array" ref="N650">IFERROR(INDEX('Исходник'!$1:$626,MATCH($A650,'Исходник'!$T:$T,0),MATCH(N$1,'Исходник'!$1:$1,0)))</f>
        <v/>
      </c>
      <c r="O650" s="27">
        <f t="shared" si="5"/>
        <v>0</v>
      </c>
      <c r="P650" s="27" t="str">
        <f t="shared" si="6"/>
        <v/>
      </c>
      <c r="Q650" s="1" t="str">
        <f t="array" ref="Q650">IFERROR(INDEX('Исходник'!$1:$626,MATCH($A650,'Исходник'!$T:$T,0),MATCH(Q$1,'Исходник'!$1:$1,0)))</f>
        <v/>
      </c>
      <c r="R650" s="1" t="str">
        <f t="array" ref="R650">IFERROR(INDEX('Исходник'!$1:$626,MATCH($A650,'Исходник'!$T:$T,0),MATCH(R$1,'Исходник'!$1:$1,0)))</f>
        <v/>
      </c>
      <c r="S650" s="27">
        <f t="shared" si="7"/>
        <v>0</v>
      </c>
      <c r="T650" s="27" t="str">
        <f t="shared" si="8"/>
        <v/>
      </c>
      <c r="U650" s="1" t="str">
        <f t="array" ref="U650">IFERROR(INDEX('Исходник'!$1:$626,MATCH($A650,'Исходник'!$T:$T,0),MATCH(U$1,'Исходник'!$1:$1,0)))</f>
        <v/>
      </c>
      <c r="V650" s="27" t="str">
        <f t="shared" si="9"/>
        <v/>
      </c>
      <c r="W650" s="1" t="str">
        <f t="array" ref="W650">IFERROR(INDEX('Исходник'!$1:$626,MATCH($A650,'Исходник'!$T:$T,0),MATCH(W$1,'Исходник'!$1:$1,0)))</f>
        <v/>
      </c>
      <c r="X650" s="28">
        <f t="shared" si="10"/>
        <v>0</v>
      </c>
      <c r="Y650" s="1" t="str">
        <f t="array" ref="Y650">IFERROR(INDEX('Исходник'!$1:$626,MATCH($A650,'Исходник'!$T:$T,0),MATCH(Y$1,'Исходник'!$1:$1,0)))</f>
        <v/>
      </c>
      <c r="Z650" s="27">
        <f t="shared" si="11"/>
        <v>0</v>
      </c>
      <c r="AA650" s="27" t="str">
        <f t="shared" si="12"/>
        <v/>
      </c>
      <c r="AB650" s="1" t="str">
        <f t="array" ref="AB650">IFERROR(INDEX('Исходник'!$1:$626,MATCH($A650,'Исходник'!$T:$T,0),MATCH(AB$1,'Исходник'!$1:$1,0)))</f>
        <v/>
      </c>
      <c r="AC650" s="1" t="str">
        <f t="array" ref="AC650">IFERROR(INDEX('Исходник'!$1:$626,MATCH($A650,'Исходник'!$T:$T,0),MATCH(AC$1,'Исходник'!$1:$1,0)))</f>
        <v/>
      </c>
      <c r="AD650" s="27" t="str">
        <f t="shared" si="13"/>
        <v/>
      </c>
      <c r="AE650" s="1" t="str">
        <f t="array" ref="AE650">IFERROR(INDEX('Исходник'!$1:$626,MATCH($A650,'Исходник'!$T:$T,0),MATCH(AE$1,'Исходник'!$1:$1,0)))</f>
        <v/>
      </c>
      <c r="AF650" s="1" t="str">
        <f t="array" ref="AF650">IFERROR(INDEX('Исходник'!$1:$626,MATCH($A650,'Исходник'!$T:$T,0),MATCH(AF$1,'Исходник'!$1:$1,0)))</f>
        <v/>
      </c>
      <c r="AG650" s="27" t="str">
        <f t="shared" si="14"/>
        <v/>
      </c>
      <c r="AH650" s="1" t="str">
        <f t="array" ref="AH650">IFERROR(INDEX('Исходник'!$1:$626,MATCH($A650,'Исходник'!$T:$T,0),MATCH(AH$1,'Исходник'!$1:$1,0)))</f>
        <v/>
      </c>
      <c r="AI650" s="1" t="str">
        <f t="array" ref="AI650">IFERROR(INDEX('Исходник'!$1:$626,MATCH($A650,'Исходник'!$T:$T,0),MATCH(AI$1,'Исходник'!$1:$1,0)))</f>
        <v/>
      </c>
      <c r="AJ650" s="18">
        <f t="shared" si="15"/>
        <v>0</v>
      </c>
    </row>
    <row r="651" ht="15.75" customHeight="1">
      <c r="A651" s="27"/>
      <c r="B651" s="1" t="str">
        <f t="array" ref="B651">IFERROR(INDEX('Исходник'!$1:$626,MATCH($A651,'Исходник'!$T:$T,0),MATCH(B$1,'Исходник'!$1:$1,0)))</f>
        <v/>
      </c>
      <c r="C651" s="1" t="str">
        <f t="array" ref="C651">IFERROR(INDEX('Исходник'!$1:$626,MATCH($A651,'Исходник'!$T:$T,0),MATCH(C$1,'Исходник'!$1:$1,0)))</f>
        <v/>
      </c>
      <c r="D651" s="1" t="str">
        <f t="array" ref="D651">IFERROR(INDEX('Исходник'!$1:$626,MATCH($A651,'Исходник'!$T:$T,0),MATCH(D$1,'Исходник'!$1:$1,0)))</f>
        <v/>
      </c>
      <c r="E651" s="1" t="str">
        <f t="array" ref="E651">IFERROR(INDEX('Исходник'!$1:$626,MATCH($A651,'Исходник'!$T:$T,0),MATCH(E$1,'Исходник'!$1:$1,0)))</f>
        <v/>
      </c>
      <c r="F651" s="1" t="str">
        <f t="array" ref="F651">IFERROR(INDEX('Исходник'!$1:$626,MATCH($A651,'Исходник'!$T:$T,0),MATCH(F$1,'Исходник'!$1:$1,0)))</f>
        <v/>
      </c>
      <c r="G651" s="1" t="str">
        <f t="array" ref="G651">IFERROR(INDEX('Исходник'!$1:$626,MATCH($A651,'Исходник'!$T:$T,0),MATCH(G$1,'Исходник'!$1:$1,0)))</f>
        <v/>
      </c>
      <c r="H651" s="27">
        <f t="shared" si="1"/>
        <v>0</v>
      </c>
      <c r="I651" s="27" t="str">
        <f t="shared" si="2"/>
        <v/>
      </c>
      <c r="J651" s="1" t="str">
        <f t="array" ref="J651">IFERROR(INDEX('Исходник'!$1:$626,MATCH($A651,'Исходник'!$T:$T,0),MATCH(J$1,'Исходник'!$1:$1,0)))</f>
        <v/>
      </c>
      <c r="K651" s="27" t="str">
        <f t="shared" si="3"/>
        <v/>
      </c>
      <c r="L651" s="1" t="str">
        <f t="array" ref="L651">IFERROR(INDEX('Исходник'!$1:$626,MATCH($A651,'Исходник'!$T:$T,0),MATCH(L$1,'Исходник'!$1:$1,0)))</f>
        <v/>
      </c>
      <c r="M651" s="28">
        <f t="shared" si="4"/>
        <v>0</v>
      </c>
      <c r="N651" s="1" t="str">
        <f t="array" ref="N651">IFERROR(INDEX('Исходник'!$1:$626,MATCH($A651,'Исходник'!$T:$T,0),MATCH(N$1,'Исходник'!$1:$1,0)))</f>
        <v/>
      </c>
      <c r="O651" s="27">
        <f t="shared" si="5"/>
        <v>0</v>
      </c>
      <c r="P651" s="27" t="str">
        <f t="shared" si="6"/>
        <v/>
      </c>
      <c r="Q651" s="1" t="str">
        <f t="array" ref="Q651">IFERROR(INDEX('Исходник'!$1:$626,MATCH($A651,'Исходник'!$T:$T,0),MATCH(Q$1,'Исходник'!$1:$1,0)))</f>
        <v/>
      </c>
      <c r="R651" s="1" t="str">
        <f t="array" ref="R651">IFERROR(INDEX('Исходник'!$1:$626,MATCH($A651,'Исходник'!$T:$T,0),MATCH(R$1,'Исходник'!$1:$1,0)))</f>
        <v/>
      </c>
      <c r="S651" s="27">
        <f t="shared" si="7"/>
        <v>0</v>
      </c>
      <c r="T651" s="27" t="str">
        <f t="shared" si="8"/>
        <v/>
      </c>
      <c r="U651" s="1" t="str">
        <f t="array" ref="U651">IFERROR(INDEX('Исходник'!$1:$626,MATCH($A651,'Исходник'!$T:$T,0),MATCH(U$1,'Исходник'!$1:$1,0)))</f>
        <v/>
      </c>
      <c r="V651" s="27" t="str">
        <f t="shared" si="9"/>
        <v/>
      </c>
      <c r="W651" s="1" t="str">
        <f t="array" ref="W651">IFERROR(INDEX('Исходник'!$1:$626,MATCH($A651,'Исходник'!$T:$T,0),MATCH(W$1,'Исходник'!$1:$1,0)))</f>
        <v/>
      </c>
      <c r="X651" s="28">
        <f t="shared" si="10"/>
        <v>0</v>
      </c>
      <c r="Y651" s="1" t="str">
        <f t="array" ref="Y651">IFERROR(INDEX('Исходник'!$1:$626,MATCH($A651,'Исходник'!$T:$T,0),MATCH(Y$1,'Исходник'!$1:$1,0)))</f>
        <v/>
      </c>
      <c r="Z651" s="27">
        <f t="shared" si="11"/>
        <v>0</v>
      </c>
      <c r="AA651" s="27" t="str">
        <f t="shared" si="12"/>
        <v/>
      </c>
      <c r="AB651" s="1" t="str">
        <f t="array" ref="AB651">IFERROR(INDEX('Исходник'!$1:$626,MATCH($A651,'Исходник'!$T:$T,0),MATCH(AB$1,'Исходник'!$1:$1,0)))</f>
        <v/>
      </c>
      <c r="AC651" s="1" t="str">
        <f t="array" ref="AC651">IFERROR(INDEX('Исходник'!$1:$626,MATCH($A651,'Исходник'!$T:$T,0),MATCH(AC$1,'Исходник'!$1:$1,0)))</f>
        <v/>
      </c>
      <c r="AD651" s="27" t="str">
        <f t="shared" si="13"/>
        <v/>
      </c>
      <c r="AE651" s="1" t="str">
        <f t="array" ref="AE651">IFERROR(INDEX('Исходник'!$1:$626,MATCH($A651,'Исходник'!$T:$T,0),MATCH(AE$1,'Исходник'!$1:$1,0)))</f>
        <v/>
      </c>
      <c r="AF651" s="1" t="str">
        <f t="array" ref="AF651">IFERROR(INDEX('Исходник'!$1:$626,MATCH($A651,'Исходник'!$T:$T,0),MATCH(AF$1,'Исходник'!$1:$1,0)))</f>
        <v/>
      </c>
      <c r="AG651" s="27" t="str">
        <f t="shared" si="14"/>
        <v/>
      </c>
      <c r="AH651" s="1" t="str">
        <f t="array" ref="AH651">IFERROR(INDEX('Исходник'!$1:$626,MATCH($A651,'Исходник'!$T:$T,0),MATCH(AH$1,'Исходник'!$1:$1,0)))</f>
        <v/>
      </c>
      <c r="AI651" s="1" t="str">
        <f t="array" ref="AI651">IFERROR(INDEX('Исходник'!$1:$626,MATCH($A651,'Исходник'!$T:$T,0),MATCH(AI$1,'Исходник'!$1:$1,0)))</f>
        <v/>
      </c>
      <c r="AJ651" s="18">
        <f t="shared" si="15"/>
        <v>0</v>
      </c>
    </row>
    <row r="652" ht="15.75" customHeight="1">
      <c r="A652" s="27"/>
      <c r="B652" s="1" t="str">
        <f t="array" ref="B652">IFERROR(INDEX('Исходник'!$1:$626,MATCH($A652,'Исходник'!$T:$T,0),MATCH(B$1,'Исходник'!$1:$1,0)))</f>
        <v/>
      </c>
      <c r="C652" s="1" t="str">
        <f t="array" ref="C652">IFERROR(INDEX('Исходник'!$1:$626,MATCH($A652,'Исходник'!$T:$T,0),MATCH(C$1,'Исходник'!$1:$1,0)))</f>
        <v/>
      </c>
      <c r="D652" s="1" t="str">
        <f t="array" ref="D652">IFERROR(INDEX('Исходник'!$1:$626,MATCH($A652,'Исходник'!$T:$T,0),MATCH(D$1,'Исходник'!$1:$1,0)))</f>
        <v/>
      </c>
      <c r="E652" s="1" t="str">
        <f t="array" ref="E652">IFERROR(INDEX('Исходник'!$1:$626,MATCH($A652,'Исходник'!$T:$T,0),MATCH(E$1,'Исходник'!$1:$1,0)))</f>
        <v/>
      </c>
      <c r="F652" s="1" t="str">
        <f t="array" ref="F652">IFERROR(INDEX('Исходник'!$1:$626,MATCH($A652,'Исходник'!$T:$T,0),MATCH(F$1,'Исходник'!$1:$1,0)))</f>
        <v/>
      </c>
      <c r="G652" s="1" t="str">
        <f t="array" ref="G652">IFERROR(INDEX('Исходник'!$1:$626,MATCH($A652,'Исходник'!$T:$T,0),MATCH(G$1,'Исходник'!$1:$1,0)))</f>
        <v/>
      </c>
      <c r="H652" s="27">
        <f t="shared" si="1"/>
        <v>0</v>
      </c>
      <c r="I652" s="27" t="str">
        <f t="shared" si="2"/>
        <v/>
      </c>
      <c r="J652" s="1" t="str">
        <f t="array" ref="J652">IFERROR(INDEX('Исходник'!$1:$626,MATCH($A652,'Исходник'!$T:$T,0),MATCH(J$1,'Исходник'!$1:$1,0)))</f>
        <v/>
      </c>
      <c r="K652" s="27" t="str">
        <f t="shared" si="3"/>
        <v/>
      </c>
      <c r="L652" s="1" t="str">
        <f t="array" ref="L652">IFERROR(INDEX('Исходник'!$1:$626,MATCH($A652,'Исходник'!$T:$T,0),MATCH(L$1,'Исходник'!$1:$1,0)))</f>
        <v/>
      </c>
      <c r="M652" s="28">
        <f t="shared" si="4"/>
        <v>0</v>
      </c>
      <c r="N652" s="1" t="str">
        <f t="array" ref="N652">IFERROR(INDEX('Исходник'!$1:$626,MATCH($A652,'Исходник'!$T:$T,0),MATCH(N$1,'Исходник'!$1:$1,0)))</f>
        <v/>
      </c>
      <c r="O652" s="27">
        <f t="shared" si="5"/>
        <v>0</v>
      </c>
      <c r="P652" s="27" t="str">
        <f t="shared" si="6"/>
        <v/>
      </c>
      <c r="Q652" s="1" t="str">
        <f t="array" ref="Q652">IFERROR(INDEX('Исходник'!$1:$626,MATCH($A652,'Исходник'!$T:$T,0),MATCH(Q$1,'Исходник'!$1:$1,0)))</f>
        <v/>
      </c>
      <c r="R652" s="1" t="str">
        <f t="array" ref="R652">IFERROR(INDEX('Исходник'!$1:$626,MATCH($A652,'Исходник'!$T:$T,0),MATCH(R$1,'Исходник'!$1:$1,0)))</f>
        <v/>
      </c>
      <c r="S652" s="27">
        <f t="shared" si="7"/>
        <v>0</v>
      </c>
      <c r="T652" s="27" t="str">
        <f t="shared" si="8"/>
        <v/>
      </c>
      <c r="U652" s="1" t="str">
        <f t="array" ref="U652">IFERROR(INDEX('Исходник'!$1:$626,MATCH($A652,'Исходник'!$T:$T,0),MATCH(U$1,'Исходник'!$1:$1,0)))</f>
        <v/>
      </c>
      <c r="V652" s="27" t="str">
        <f t="shared" si="9"/>
        <v/>
      </c>
      <c r="W652" s="1" t="str">
        <f t="array" ref="W652">IFERROR(INDEX('Исходник'!$1:$626,MATCH($A652,'Исходник'!$T:$T,0),MATCH(W$1,'Исходник'!$1:$1,0)))</f>
        <v/>
      </c>
      <c r="X652" s="28">
        <f t="shared" si="10"/>
        <v>0</v>
      </c>
      <c r="Y652" s="1" t="str">
        <f t="array" ref="Y652">IFERROR(INDEX('Исходник'!$1:$626,MATCH($A652,'Исходник'!$T:$T,0),MATCH(Y$1,'Исходник'!$1:$1,0)))</f>
        <v/>
      </c>
      <c r="Z652" s="27">
        <f t="shared" si="11"/>
        <v>0</v>
      </c>
      <c r="AA652" s="27" t="str">
        <f t="shared" si="12"/>
        <v/>
      </c>
      <c r="AB652" s="1" t="str">
        <f t="array" ref="AB652">IFERROR(INDEX('Исходник'!$1:$626,MATCH($A652,'Исходник'!$T:$T,0),MATCH(AB$1,'Исходник'!$1:$1,0)))</f>
        <v/>
      </c>
      <c r="AC652" s="1" t="str">
        <f t="array" ref="AC652">IFERROR(INDEX('Исходник'!$1:$626,MATCH($A652,'Исходник'!$T:$T,0),MATCH(AC$1,'Исходник'!$1:$1,0)))</f>
        <v/>
      </c>
      <c r="AD652" s="27" t="str">
        <f t="shared" si="13"/>
        <v/>
      </c>
      <c r="AE652" s="1" t="str">
        <f t="array" ref="AE652">IFERROR(INDEX('Исходник'!$1:$626,MATCH($A652,'Исходник'!$T:$T,0),MATCH(AE$1,'Исходник'!$1:$1,0)))</f>
        <v/>
      </c>
      <c r="AF652" s="1" t="str">
        <f t="array" ref="AF652">IFERROR(INDEX('Исходник'!$1:$626,MATCH($A652,'Исходник'!$T:$T,0),MATCH(AF$1,'Исходник'!$1:$1,0)))</f>
        <v/>
      </c>
      <c r="AG652" s="27" t="str">
        <f t="shared" si="14"/>
        <v/>
      </c>
      <c r="AH652" s="1" t="str">
        <f t="array" ref="AH652">IFERROR(INDEX('Исходник'!$1:$626,MATCH($A652,'Исходник'!$T:$T,0),MATCH(AH$1,'Исходник'!$1:$1,0)))</f>
        <v/>
      </c>
      <c r="AI652" s="1" t="str">
        <f t="array" ref="AI652">IFERROR(INDEX('Исходник'!$1:$626,MATCH($A652,'Исходник'!$T:$T,0),MATCH(AI$1,'Исходник'!$1:$1,0)))</f>
        <v/>
      </c>
      <c r="AJ652" s="18">
        <f t="shared" si="15"/>
        <v>0</v>
      </c>
    </row>
    <row r="653" ht="15.75" customHeight="1">
      <c r="A653" s="27"/>
      <c r="B653" s="1" t="str">
        <f t="array" ref="B653">IFERROR(INDEX('Исходник'!$1:$626,MATCH($A653,'Исходник'!$T:$T,0),MATCH(B$1,'Исходник'!$1:$1,0)))</f>
        <v/>
      </c>
      <c r="C653" s="1" t="str">
        <f t="array" ref="C653">IFERROR(INDEX('Исходник'!$1:$626,MATCH($A653,'Исходник'!$T:$T,0),MATCH(C$1,'Исходник'!$1:$1,0)))</f>
        <v/>
      </c>
      <c r="D653" s="1" t="str">
        <f t="array" ref="D653">IFERROR(INDEX('Исходник'!$1:$626,MATCH($A653,'Исходник'!$T:$T,0),MATCH(D$1,'Исходник'!$1:$1,0)))</f>
        <v/>
      </c>
      <c r="E653" s="1" t="str">
        <f t="array" ref="E653">IFERROR(INDEX('Исходник'!$1:$626,MATCH($A653,'Исходник'!$T:$T,0),MATCH(E$1,'Исходник'!$1:$1,0)))</f>
        <v/>
      </c>
      <c r="F653" s="1" t="str">
        <f t="array" ref="F653">IFERROR(INDEX('Исходник'!$1:$626,MATCH($A653,'Исходник'!$T:$T,0),MATCH(F$1,'Исходник'!$1:$1,0)))</f>
        <v/>
      </c>
      <c r="G653" s="1" t="str">
        <f t="array" ref="G653">IFERROR(INDEX('Исходник'!$1:$626,MATCH($A653,'Исходник'!$T:$T,0),MATCH(G$1,'Исходник'!$1:$1,0)))</f>
        <v/>
      </c>
      <c r="H653" s="27">
        <f t="shared" si="1"/>
        <v>0</v>
      </c>
      <c r="I653" s="27" t="str">
        <f t="shared" si="2"/>
        <v/>
      </c>
      <c r="J653" s="1" t="str">
        <f t="array" ref="J653">IFERROR(INDEX('Исходник'!$1:$626,MATCH($A653,'Исходник'!$T:$T,0),MATCH(J$1,'Исходник'!$1:$1,0)))</f>
        <v/>
      </c>
      <c r="K653" s="27" t="str">
        <f t="shared" si="3"/>
        <v/>
      </c>
      <c r="L653" s="1" t="str">
        <f t="array" ref="L653">IFERROR(INDEX('Исходник'!$1:$626,MATCH($A653,'Исходник'!$T:$T,0),MATCH(L$1,'Исходник'!$1:$1,0)))</f>
        <v/>
      </c>
      <c r="M653" s="28">
        <f t="shared" si="4"/>
        <v>0</v>
      </c>
      <c r="N653" s="1" t="str">
        <f t="array" ref="N653">IFERROR(INDEX('Исходник'!$1:$626,MATCH($A653,'Исходник'!$T:$T,0),MATCH(N$1,'Исходник'!$1:$1,0)))</f>
        <v/>
      </c>
      <c r="O653" s="27">
        <f t="shared" si="5"/>
        <v>0</v>
      </c>
      <c r="P653" s="27" t="str">
        <f t="shared" si="6"/>
        <v/>
      </c>
      <c r="Q653" s="1" t="str">
        <f t="array" ref="Q653">IFERROR(INDEX('Исходник'!$1:$626,MATCH($A653,'Исходник'!$T:$T,0),MATCH(Q$1,'Исходник'!$1:$1,0)))</f>
        <v/>
      </c>
      <c r="R653" s="1" t="str">
        <f t="array" ref="R653">IFERROR(INDEX('Исходник'!$1:$626,MATCH($A653,'Исходник'!$T:$T,0),MATCH(R$1,'Исходник'!$1:$1,0)))</f>
        <v/>
      </c>
      <c r="S653" s="27">
        <f t="shared" si="7"/>
        <v>0</v>
      </c>
      <c r="T653" s="27" t="str">
        <f t="shared" si="8"/>
        <v/>
      </c>
      <c r="U653" s="1" t="str">
        <f t="array" ref="U653">IFERROR(INDEX('Исходник'!$1:$626,MATCH($A653,'Исходник'!$T:$T,0),MATCH(U$1,'Исходник'!$1:$1,0)))</f>
        <v/>
      </c>
      <c r="V653" s="27" t="str">
        <f t="shared" si="9"/>
        <v/>
      </c>
      <c r="W653" s="1" t="str">
        <f t="array" ref="W653">IFERROR(INDEX('Исходник'!$1:$626,MATCH($A653,'Исходник'!$T:$T,0),MATCH(W$1,'Исходник'!$1:$1,0)))</f>
        <v/>
      </c>
      <c r="X653" s="28">
        <f t="shared" si="10"/>
        <v>0</v>
      </c>
      <c r="Y653" s="1" t="str">
        <f t="array" ref="Y653">IFERROR(INDEX('Исходник'!$1:$626,MATCH($A653,'Исходник'!$T:$T,0),MATCH(Y$1,'Исходник'!$1:$1,0)))</f>
        <v/>
      </c>
      <c r="Z653" s="27">
        <f t="shared" si="11"/>
        <v>0</v>
      </c>
      <c r="AA653" s="27" t="str">
        <f t="shared" si="12"/>
        <v/>
      </c>
      <c r="AB653" s="1" t="str">
        <f t="array" ref="AB653">IFERROR(INDEX('Исходник'!$1:$626,MATCH($A653,'Исходник'!$T:$T,0),MATCH(AB$1,'Исходник'!$1:$1,0)))</f>
        <v/>
      </c>
      <c r="AC653" s="1" t="str">
        <f t="array" ref="AC653">IFERROR(INDEX('Исходник'!$1:$626,MATCH($A653,'Исходник'!$T:$T,0),MATCH(AC$1,'Исходник'!$1:$1,0)))</f>
        <v/>
      </c>
      <c r="AD653" s="27" t="str">
        <f t="shared" si="13"/>
        <v/>
      </c>
      <c r="AE653" s="1" t="str">
        <f t="array" ref="AE653">IFERROR(INDEX('Исходник'!$1:$626,MATCH($A653,'Исходник'!$T:$T,0),MATCH(AE$1,'Исходник'!$1:$1,0)))</f>
        <v/>
      </c>
      <c r="AF653" s="1" t="str">
        <f t="array" ref="AF653">IFERROR(INDEX('Исходник'!$1:$626,MATCH($A653,'Исходник'!$T:$T,0),MATCH(AF$1,'Исходник'!$1:$1,0)))</f>
        <v/>
      </c>
      <c r="AG653" s="27" t="str">
        <f t="shared" si="14"/>
        <v/>
      </c>
      <c r="AH653" s="1" t="str">
        <f t="array" ref="AH653">IFERROR(INDEX('Исходник'!$1:$626,MATCH($A653,'Исходник'!$T:$T,0),MATCH(AH$1,'Исходник'!$1:$1,0)))</f>
        <v/>
      </c>
      <c r="AI653" s="1" t="str">
        <f t="array" ref="AI653">IFERROR(INDEX('Исходник'!$1:$626,MATCH($A653,'Исходник'!$T:$T,0),MATCH(AI$1,'Исходник'!$1:$1,0)))</f>
        <v/>
      </c>
      <c r="AJ653" s="18">
        <f t="shared" si="15"/>
        <v>0</v>
      </c>
    </row>
    <row r="654" ht="15.75" customHeight="1">
      <c r="A654" s="27"/>
      <c r="B654" s="1" t="str">
        <f t="array" ref="B654">IFERROR(INDEX('Исходник'!$1:$626,MATCH($A654,'Исходник'!$T:$T,0),MATCH(B$1,'Исходник'!$1:$1,0)))</f>
        <v/>
      </c>
      <c r="C654" s="1" t="str">
        <f t="array" ref="C654">IFERROR(INDEX('Исходник'!$1:$626,MATCH($A654,'Исходник'!$T:$T,0),MATCH(C$1,'Исходник'!$1:$1,0)))</f>
        <v/>
      </c>
      <c r="D654" s="1" t="str">
        <f t="array" ref="D654">IFERROR(INDEX('Исходник'!$1:$626,MATCH($A654,'Исходник'!$T:$T,0),MATCH(D$1,'Исходник'!$1:$1,0)))</f>
        <v/>
      </c>
      <c r="E654" s="1" t="str">
        <f t="array" ref="E654">IFERROR(INDEX('Исходник'!$1:$626,MATCH($A654,'Исходник'!$T:$T,0),MATCH(E$1,'Исходник'!$1:$1,0)))</f>
        <v/>
      </c>
      <c r="F654" s="1" t="str">
        <f t="array" ref="F654">IFERROR(INDEX('Исходник'!$1:$626,MATCH($A654,'Исходник'!$T:$T,0),MATCH(F$1,'Исходник'!$1:$1,0)))</f>
        <v/>
      </c>
      <c r="G654" s="1" t="str">
        <f t="array" ref="G654">IFERROR(INDEX('Исходник'!$1:$626,MATCH($A654,'Исходник'!$T:$T,0),MATCH(G$1,'Исходник'!$1:$1,0)))</f>
        <v/>
      </c>
      <c r="H654" s="27">
        <f t="shared" si="1"/>
        <v>0</v>
      </c>
      <c r="I654" s="27" t="str">
        <f t="shared" si="2"/>
        <v/>
      </c>
      <c r="J654" s="1" t="str">
        <f t="array" ref="J654">IFERROR(INDEX('Исходник'!$1:$626,MATCH($A654,'Исходник'!$T:$T,0),MATCH(J$1,'Исходник'!$1:$1,0)))</f>
        <v/>
      </c>
      <c r="K654" s="27" t="str">
        <f t="shared" si="3"/>
        <v/>
      </c>
      <c r="L654" s="1" t="str">
        <f t="array" ref="L654">IFERROR(INDEX('Исходник'!$1:$626,MATCH($A654,'Исходник'!$T:$T,0),MATCH(L$1,'Исходник'!$1:$1,0)))</f>
        <v/>
      </c>
      <c r="M654" s="28">
        <f t="shared" si="4"/>
        <v>0</v>
      </c>
      <c r="N654" s="1" t="str">
        <f t="array" ref="N654">IFERROR(INDEX('Исходник'!$1:$626,MATCH($A654,'Исходник'!$T:$T,0),MATCH(N$1,'Исходник'!$1:$1,0)))</f>
        <v/>
      </c>
      <c r="O654" s="27">
        <f t="shared" si="5"/>
        <v>0</v>
      </c>
      <c r="P654" s="27" t="str">
        <f t="shared" si="6"/>
        <v/>
      </c>
      <c r="Q654" s="1" t="str">
        <f t="array" ref="Q654">IFERROR(INDEX('Исходник'!$1:$626,MATCH($A654,'Исходник'!$T:$T,0),MATCH(Q$1,'Исходник'!$1:$1,0)))</f>
        <v/>
      </c>
      <c r="R654" s="1" t="str">
        <f t="array" ref="R654">IFERROR(INDEX('Исходник'!$1:$626,MATCH($A654,'Исходник'!$T:$T,0),MATCH(R$1,'Исходник'!$1:$1,0)))</f>
        <v/>
      </c>
      <c r="S654" s="27">
        <f t="shared" si="7"/>
        <v>0</v>
      </c>
      <c r="T654" s="27" t="str">
        <f t="shared" si="8"/>
        <v/>
      </c>
      <c r="U654" s="1" t="str">
        <f t="array" ref="U654">IFERROR(INDEX('Исходник'!$1:$626,MATCH($A654,'Исходник'!$T:$T,0),MATCH(U$1,'Исходник'!$1:$1,0)))</f>
        <v/>
      </c>
      <c r="V654" s="27" t="str">
        <f t="shared" si="9"/>
        <v/>
      </c>
      <c r="W654" s="1" t="str">
        <f t="array" ref="W654">IFERROR(INDEX('Исходник'!$1:$626,MATCH($A654,'Исходник'!$T:$T,0),MATCH(W$1,'Исходник'!$1:$1,0)))</f>
        <v/>
      </c>
      <c r="X654" s="28">
        <f t="shared" si="10"/>
        <v>0</v>
      </c>
      <c r="Y654" s="1" t="str">
        <f t="array" ref="Y654">IFERROR(INDEX('Исходник'!$1:$626,MATCH($A654,'Исходник'!$T:$T,0),MATCH(Y$1,'Исходник'!$1:$1,0)))</f>
        <v/>
      </c>
      <c r="Z654" s="27">
        <f t="shared" si="11"/>
        <v>0</v>
      </c>
      <c r="AA654" s="27" t="str">
        <f t="shared" si="12"/>
        <v/>
      </c>
      <c r="AB654" s="1" t="str">
        <f t="array" ref="AB654">IFERROR(INDEX('Исходник'!$1:$626,MATCH($A654,'Исходник'!$T:$T,0),MATCH(AB$1,'Исходник'!$1:$1,0)))</f>
        <v/>
      </c>
      <c r="AC654" s="1" t="str">
        <f t="array" ref="AC654">IFERROR(INDEX('Исходник'!$1:$626,MATCH($A654,'Исходник'!$T:$T,0),MATCH(AC$1,'Исходник'!$1:$1,0)))</f>
        <v/>
      </c>
      <c r="AD654" s="27" t="str">
        <f t="shared" si="13"/>
        <v/>
      </c>
      <c r="AE654" s="1" t="str">
        <f t="array" ref="AE654">IFERROR(INDEX('Исходник'!$1:$626,MATCH($A654,'Исходник'!$T:$T,0),MATCH(AE$1,'Исходник'!$1:$1,0)))</f>
        <v/>
      </c>
      <c r="AF654" s="1" t="str">
        <f t="array" ref="AF654">IFERROR(INDEX('Исходник'!$1:$626,MATCH($A654,'Исходник'!$T:$T,0),MATCH(AF$1,'Исходник'!$1:$1,0)))</f>
        <v/>
      </c>
      <c r="AG654" s="27" t="str">
        <f t="shared" si="14"/>
        <v/>
      </c>
      <c r="AH654" s="1" t="str">
        <f t="array" ref="AH654">IFERROR(INDEX('Исходник'!$1:$626,MATCH($A654,'Исходник'!$T:$T,0),MATCH(AH$1,'Исходник'!$1:$1,0)))</f>
        <v/>
      </c>
      <c r="AI654" s="1" t="str">
        <f t="array" ref="AI654">IFERROR(INDEX('Исходник'!$1:$626,MATCH($A654,'Исходник'!$T:$T,0),MATCH(AI$1,'Исходник'!$1:$1,0)))</f>
        <v/>
      </c>
      <c r="AJ654" s="18">
        <f t="shared" si="15"/>
        <v>0</v>
      </c>
    </row>
    <row r="655" ht="15.75" customHeight="1">
      <c r="A655" s="27"/>
      <c r="B655" s="1" t="str">
        <f t="array" ref="B655">IFERROR(INDEX('Исходник'!$1:$626,MATCH($A655,'Исходник'!$T:$T,0),MATCH(B$1,'Исходник'!$1:$1,0)))</f>
        <v/>
      </c>
      <c r="C655" s="1" t="str">
        <f t="array" ref="C655">IFERROR(INDEX('Исходник'!$1:$626,MATCH($A655,'Исходник'!$T:$T,0),MATCH(C$1,'Исходник'!$1:$1,0)))</f>
        <v/>
      </c>
      <c r="D655" s="1" t="str">
        <f t="array" ref="D655">IFERROR(INDEX('Исходник'!$1:$626,MATCH($A655,'Исходник'!$T:$T,0),MATCH(D$1,'Исходник'!$1:$1,0)))</f>
        <v/>
      </c>
      <c r="E655" s="1" t="str">
        <f t="array" ref="E655">IFERROR(INDEX('Исходник'!$1:$626,MATCH($A655,'Исходник'!$T:$T,0),MATCH(E$1,'Исходник'!$1:$1,0)))</f>
        <v/>
      </c>
      <c r="F655" s="1" t="str">
        <f t="array" ref="F655">IFERROR(INDEX('Исходник'!$1:$626,MATCH($A655,'Исходник'!$T:$T,0),MATCH(F$1,'Исходник'!$1:$1,0)))</f>
        <v/>
      </c>
      <c r="G655" s="1" t="str">
        <f t="array" ref="G655">IFERROR(INDEX('Исходник'!$1:$626,MATCH($A655,'Исходник'!$T:$T,0),MATCH(G$1,'Исходник'!$1:$1,0)))</f>
        <v/>
      </c>
      <c r="H655" s="27">
        <f t="shared" si="1"/>
        <v>0</v>
      </c>
      <c r="I655" s="27" t="str">
        <f t="shared" si="2"/>
        <v/>
      </c>
      <c r="J655" s="1" t="str">
        <f t="array" ref="J655">IFERROR(INDEX('Исходник'!$1:$626,MATCH($A655,'Исходник'!$T:$T,0),MATCH(J$1,'Исходник'!$1:$1,0)))</f>
        <v/>
      </c>
      <c r="K655" s="27" t="str">
        <f t="shared" si="3"/>
        <v/>
      </c>
      <c r="L655" s="1" t="str">
        <f t="array" ref="L655">IFERROR(INDEX('Исходник'!$1:$626,MATCH($A655,'Исходник'!$T:$T,0),MATCH(L$1,'Исходник'!$1:$1,0)))</f>
        <v/>
      </c>
      <c r="M655" s="28">
        <f t="shared" si="4"/>
        <v>0</v>
      </c>
      <c r="N655" s="1" t="str">
        <f t="array" ref="N655">IFERROR(INDEX('Исходник'!$1:$626,MATCH($A655,'Исходник'!$T:$T,0),MATCH(N$1,'Исходник'!$1:$1,0)))</f>
        <v/>
      </c>
      <c r="O655" s="27">
        <f t="shared" si="5"/>
        <v>0</v>
      </c>
      <c r="P655" s="27" t="str">
        <f t="shared" si="6"/>
        <v/>
      </c>
      <c r="Q655" s="1" t="str">
        <f t="array" ref="Q655">IFERROR(INDEX('Исходник'!$1:$626,MATCH($A655,'Исходник'!$T:$T,0),MATCH(Q$1,'Исходник'!$1:$1,0)))</f>
        <v/>
      </c>
      <c r="R655" s="1" t="str">
        <f t="array" ref="R655">IFERROR(INDEX('Исходник'!$1:$626,MATCH($A655,'Исходник'!$T:$T,0),MATCH(R$1,'Исходник'!$1:$1,0)))</f>
        <v/>
      </c>
      <c r="S655" s="27">
        <f t="shared" si="7"/>
        <v>0</v>
      </c>
      <c r="T655" s="27" t="str">
        <f t="shared" si="8"/>
        <v/>
      </c>
      <c r="U655" s="1" t="str">
        <f t="array" ref="U655">IFERROR(INDEX('Исходник'!$1:$626,MATCH($A655,'Исходник'!$T:$T,0),MATCH(U$1,'Исходник'!$1:$1,0)))</f>
        <v/>
      </c>
      <c r="V655" s="27" t="str">
        <f t="shared" si="9"/>
        <v/>
      </c>
      <c r="W655" s="1" t="str">
        <f t="array" ref="W655">IFERROR(INDEX('Исходник'!$1:$626,MATCH($A655,'Исходник'!$T:$T,0),MATCH(W$1,'Исходник'!$1:$1,0)))</f>
        <v/>
      </c>
      <c r="X655" s="28">
        <f t="shared" si="10"/>
        <v>0</v>
      </c>
      <c r="Y655" s="1" t="str">
        <f t="array" ref="Y655">IFERROR(INDEX('Исходник'!$1:$626,MATCH($A655,'Исходник'!$T:$T,0),MATCH(Y$1,'Исходник'!$1:$1,0)))</f>
        <v/>
      </c>
      <c r="Z655" s="27">
        <f t="shared" si="11"/>
        <v>0</v>
      </c>
      <c r="AA655" s="27" t="str">
        <f t="shared" si="12"/>
        <v/>
      </c>
      <c r="AB655" s="1" t="str">
        <f t="array" ref="AB655">IFERROR(INDEX('Исходник'!$1:$626,MATCH($A655,'Исходник'!$T:$T,0),MATCH(AB$1,'Исходник'!$1:$1,0)))</f>
        <v/>
      </c>
      <c r="AC655" s="1" t="str">
        <f t="array" ref="AC655">IFERROR(INDEX('Исходник'!$1:$626,MATCH($A655,'Исходник'!$T:$T,0),MATCH(AC$1,'Исходник'!$1:$1,0)))</f>
        <v/>
      </c>
      <c r="AD655" s="27" t="str">
        <f t="shared" si="13"/>
        <v/>
      </c>
      <c r="AE655" s="1" t="str">
        <f t="array" ref="AE655">IFERROR(INDEX('Исходник'!$1:$626,MATCH($A655,'Исходник'!$T:$T,0),MATCH(AE$1,'Исходник'!$1:$1,0)))</f>
        <v/>
      </c>
      <c r="AF655" s="1" t="str">
        <f t="array" ref="AF655">IFERROR(INDEX('Исходник'!$1:$626,MATCH($A655,'Исходник'!$T:$T,0),MATCH(AF$1,'Исходник'!$1:$1,0)))</f>
        <v/>
      </c>
      <c r="AG655" s="27" t="str">
        <f t="shared" si="14"/>
        <v/>
      </c>
      <c r="AH655" s="1" t="str">
        <f t="array" ref="AH655">IFERROR(INDEX('Исходник'!$1:$626,MATCH($A655,'Исходник'!$T:$T,0),MATCH(AH$1,'Исходник'!$1:$1,0)))</f>
        <v/>
      </c>
      <c r="AI655" s="1" t="str">
        <f t="array" ref="AI655">IFERROR(INDEX('Исходник'!$1:$626,MATCH($A655,'Исходник'!$T:$T,0),MATCH(AI$1,'Исходник'!$1:$1,0)))</f>
        <v/>
      </c>
      <c r="AJ655" s="18">
        <f t="shared" si="15"/>
        <v>0</v>
      </c>
    </row>
    <row r="656" ht="15.75" customHeight="1">
      <c r="A656" s="27"/>
      <c r="B656" s="1" t="str">
        <f t="array" ref="B656">IFERROR(INDEX('Исходник'!$1:$626,MATCH($A656,'Исходник'!$T:$T,0),MATCH(B$1,'Исходник'!$1:$1,0)))</f>
        <v/>
      </c>
      <c r="C656" s="1" t="str">
        <f t="array" ref="C656">IFERROR(INDEX('Исходник'!$1:$626,MATCH($A656,'Исходник'!$T:$T,0),MATCH(C$1,'Исходник'!$1:$1,0)))</f>
        <v/>
      </c>
      <c r="D656" s="1" t="str">
        <f t="array" ref="D656">IFERROR(INDEX('Исходник'!$1:$626,MATCH($A656,'Исходник'!$T:$T,0),MATCH(D$1,'Исходник'!$1:$1,0)))</f>
        <v/>
      </c>
      <c r="E656" s="1" t="str">
        <f t="array" ref="E656">IFERROR(INDEX('Исходник'!$1:$626,MATCH($A656,'Исходник'!$T:$T,0),MATCH(E$1,'Исходник'!$1:$1,0)))</f>
        <v/>
      </c>
      <c r="F656" s="1" t="str">
        <f t="array" ref="F656">IFERROR(INDEX('Исходник'!$1:$626,MATCH($A656,'Исходник'!$T:$T,0),MATCH(F$1,'Исходник'!$1:$1,0)))</f>
        <v/>
      </c>
      <c r="G656" s="1" t="str">
        <f t="array" ref="G656">IFERROR(INDEX('Исходник'!$1:$626,MATCH($A656,'Исходник'!$T:$T,0),MATCH(G$1,'Исходник'!$1:$1,0)))</f>
        <v/>
      </c>
      <c r="H656" s="27">
        <f t="shared" si="1"/>
        <v>0</v>
      </c>
      <c r="I656" s="27" t="str">
        <f t="shared" si="2"/>
        <v/>
      </c>
      <c r="J656" s="1" t="str">
        <f t="array" ref="J656">IFERROR(INDEX('Исходник'!$1:$626,MATCH($A656,'Исходник'!$T:$T,0),MATCH(J$1,'Исходник'!$1:$1,0)))</f>
        <v/>
      </c>
      <c r="K656" s="27" t="str">
        <f t="shared" si="3"/>
        <v/>
      </c>
      <c r="L656" s="1" t="str">
        <f t="array" ref="L656">IFERROR(INDEX('Исходник'!$1:$626,MATCH($A656,'Исходник'!$T:$T,0),MATCH(L$1,'Исходник'!$1:$1,0)))</f>
        <v/>
      </c>
      <c r="M656" s="28">
        <f t="shared" si="4"/>
        <v>0</v>
      </c>
      <c r="N656" s="1" t="str">
        <f t="array" ref="N656">IFERROR(INDEX('Исходник'!$1:$626,MATCH($A656,'Исходник'!$T:$T,0),MATCH(N$1,'Исходник'!$1:$1,0)))</f>
        <v/>
      </c>
      <c r="O656" s="27">
        <f t="shared" si="5"/>
        <v>0</v>
      </c>
      <c r="P656" s="27" t="str">
        <f t="shared" si="6"/>
        <v/>
      </c>
      <c r="Q656" s="1" t="str">
        <f t="array" ref="Q656">IFERROR(INDEX('Исходник'!$1:$626,MATCH($A656,'Исходник'!$T:$T,0),MATCH(Q$1,'Исходник'!$1:$1,0)))</f>
        <v/>
      </c>
      <c r="R656" s="1" t="str">
        <f t="array" ref="R656">IFERROR(INDEX('Исходник'!$1:$626,MATCH($A656,'Исходник'!$T:$T,0),MATCH(R$1,'Исходник'!$1:$1,0)))</f>
        <v/>
      </c>
      <c r="S656" s="27">
        <f t="shared" si="7"/>
        <v>0</v>
      </c>
      <c r="T656" s="27" t="str">
        <f t="shared" si="8"/>
        <v/>
      </c>
      <c r="U656" s="1" t="str">
        <f t="array" ref="U656">IFERROR(INDEX('Исходник'!$1:$626,MATCH($A656,'Исходник'!$T:$T,0),MATCH(U$1,'Исходник'!$1:$1,0)))</f>
        <v/>
      </c>
      <c r="V656" s="27" t="str">
        <f t="shared" si="9"/>
        <v/>
      </c>
      <c r="W656" s="1" t="str">
        <f t="array" ref="W656">IFERROR(INDEX('Исходник'!$1:$626,MATCH($A656,'Исходник'!$T:$T,0),MATCH(W$1,'Исходник'!$1:$1,0)))</f>
        <v/>
      </c>
      <c r="X656" s="28">
        <f t="shared" si="10"/>
        <v>0</v>
      </c>
      <c r="Y656" s="1" t="str">
        <f t="array" ref="Y656">IFERROR(INDEX('Исходник'!$1:$626,MATCH($A656,'Исходник'!$T:$T,0),MATCH(Y$1,'Исходник'!$1:$1,0)))</f>
        <v/>
      </c>
      <c r="Z656" s="27">
        <f t="shared" si="11"/>
        <v>0</v>
      </c>
      <c r="AA656" s="27" t="str">
        <f t="shared" si="12"/>
        <v/>
      </c>
      <c r="AB656" s="1" t="str">
        <f t="array" ref="AB656">IFERROR(INDEX('Исходник'!$1:$626,MATCH($A656,'Исходник'!$T:$T,0),MATCH(AB$1,'Исходник'!$1:$1,0)))</f>
        <v/>
      </c>
      <c r="AC656" s="1" t="str">
        <f t="array" ref="AC656">IFERROR(INDEX('Исходник'!$1:$626,MATCH($A656,'Исходник'!$T:$T,0),MATCH(AC$1,'Исходник'!$1:$1,0)))</f>
        <v/>
      </c>
      <c r="AD656" s="27" t="str">
        <f t="shared" si="13"/>
        <v/>
      </c>
      <c r="AE656" s="1" t="str">
        <f t="array" ref="AE656">IFERROR(INDEX('Исходник'!$1:$626,MATCH($A656,'Исходник'!$T:$T,0),MATCH(AE$1,'Исходник'!$1:$1,0)))</f>
        <v/>
      </c>
      <c r="AF656" s="1" t="str">
        <f t="array" ref="AF656">IFERROR(INDEX('Исходник'!$1:$626,MATCH($A656,'Исходник'!$T:$T,0),MATCH(AF$1,'Исходник'!$1:$1,0)))</f>
        <v/>
      </c>
      <c r="AG656" s="27" t="str">
        <f t="shared" si="14"/>
        <v/>
      </c>
      <c r="AH656" s="1" t="str">
        <f t="array" ref="AH656">IFERROR(INDEX('Исходник'!$1:$626,MATCH($A656,'Исходник'!$T:$T,0),MATCH(AH$1,'Исходник'!$1:$1,0)))</f>
        <v/>
      </c>
      <c r="AI656" s="1" t="str">
        <f t="array" ref="AI656">IFERROR(INDEX('Исходник'!$1:$626,MATCH($A656,'Исходник'!$T:$T,0),MATCH(AI$1,'Исходник'!$1:$1,0)))</f>
        <v/>
      </c>
      <c r="AJ656" s="18">
        <f t="shared" si="15"/>
        <v>0</v>
      </c>
    </row>
    <row r="657" ht="15.75" customHeight="1">
      <c r="A657" s="27"/>
      <c r="B657" s="1" t="str">
        <f t="array" ref="B657">IFERROR(INDEX('Исходник'!$1:$626,MATCH($A657,'Исходник'!$T:$T,0),MATCH(B$1,'Исходник'!$1:$1,0)))</f>
        <v/>
      </c>
      <c r="C657" s="1" t="str">
        <f t="array" ref="C657">IFERROR(INDEX('Исходник'!$1:$626,MATCH($A657,'Исходник'!$T:$T,0),MATCH(C$1,'Исходник'!$1:$1,0)))</f>
        <v/>
      </c>
      <c r="D657" s="1" t="str">
        <f t="array" ref="D657">IFERROR(INDEX('Исходник'!$1:$626,MATCH($A657,'Исходник'!$T:$T,0),MATCH(D$1,'Исходник'!$1:$1,0)))</f>
        <v/>
      </c>
      <c r="E657" s="1" t="str">
        <f t="array" ref="E657">IFERROR(INDEX('Исходник'!$1:$626,MATCH($A657,'Исходник'!$T:$T,0),MATCH(E$1,'Исходник'!$1:$1,0)))</f>
        <v/>
      </c>
      <c r="F657" s="1" t="str">
        <f t="array" ref="F657">IFERROR(INDEX('Исходник'!$1:$626,MATCH($A657,'Исходник'!$T:$T,0),MATCH(F$1,'Исходник'!$1:$1,0)))</f>
        <v/>
      </c>
      <c r="G657" s="1" t="str">
        <f t="array" ref="G657">IFERROR(INDEX('Исходник'!$1:$626,MATCH($A657,'Исходник'!$T:$T,0),MATCH(G$1,'Исходник'!$1:$1,0)))</f>
        <v/>
      </c>
      <c r="H657" s="27">
        <f t="shared" si="1"/>
        <v>0</v>
      </c>
      <c r="I657" s="27" t="str">
        <f t="shared" si="2"/>
        <v/>
      </c>
      <c r="J657" s="1" t="str">
        <f t="array" ref="J657">IFERROR(INDEX('Исходник'!$1:$626,MATCH($A657,'Исходник'!$T:$T,0),MATCH(J$1,'Исходник'!$1:$1,0)))</f>
        <v/>
      </c>
      <c r="K657" s="27" t="str">
        <f t="shared" si="3"/>
        <v/>
      </c>
      <c r="L657" s="1" t="str">
        <f t="array" ref="L657">IFERROR(INDEX('Исходник'!$1:$626,MATCH($A657,'Исходник'!$T:$T,0),MATCH(L$1,'Исходник'!$1:$1,0)))</f>
        <v/>
      </c>
      <c r="M657" s="28">
        <f t="shared" si="4"/>
        <v>0</v>
      </c>
      <c r="N657" s="1" t="str">
        <f t="array" ref="N657">IFERROR(INDEX('Исходник'!$1:$626,MATCH($A657,'Исходник'!$T:$T,0),MATCH(N$1,'Исходник'!$1:$1,0)))</f>
        <v/>
      </c>
      <c r="O657" s="27">
        <f t="shared" si="5"/>
        <v>0</v>
      </c>
      <c r="P657" s="27" t="str">
        <f t="shared" si="6"/>
        <v/>
      </c>
      <c r="Q657" s="1" t="str">
        <f t="array" ref="Q657">IFERROR(INDEX('Исходник'!$1:$626,MATCH($A657,'Исходник'!$T:$T,0),MATCH(Q$1,'Исходник'!$1:$1,0)))</f>
        <v/>
      </c>
      <c r="R657" s="1" t="str">
        <f t="array" ref="R657">IFERROR(INDEX('Исходник'!$1:$626,MATCH($A657,'Исходник'!$T:$T,0),MATCH(R$1,'Исходник'!$1:$1,0)))</f>
        <v/>
      </c>
      <c r="S657" s="27">
        <f t="shared" si="7"/>
        <v>0</v>
      </c>
      <c r="T657" s="27" t="str">
        <f t="shared" si="8"/>
        <v/>
      </c>
      <c r="U657" s="1" t="str">
        <f t="array" ref="U657">IFERROR(INDEX('Исходник'!$1:$626,MATCH($A657,'Исходник'!$T:$T,0),MATCH(U$1,'Исходник'!$1:$1,0)))</f>
        <v/>
      </c>
      <c r="V657" s="27" t="str">
        <f t="shared" si="9"/>
        <v/>
      </c>
      <c r="W657" s="1" t="str">
        <f t="array" ref="W657">IFERROR(INDEX('Исходник'!$1:$626,MATCH($A657,'Исходник'!$T:$T,0),MATCH(W$1,'Исходник'!$1:$1,0)))</f>
        <v/>
      </c>
      <c r="X657" s="28">
        <f t="shared" si="10"/>
        <v>0</v>
      </c>
      <c r="Y657" s="1" t="str">
        <f t="array" ref="Y657">IFERROR(INDEX('Исходник'!$1:$626,MATCH($A657,'Исходник'!$T:$T,0),MATCH(Y$1,'Исходник'!$1:$1,0)))</f>
        <v/>
      </c>
      <c r="Z657" s="27">
        <f t="shared" si="11"/>
        <v>0</v>
      </c>
      <c r="AA657" s="27" t="str">
        <f t="shared" si="12"/>
        <v/>
      </c>
      <c r="AB657" s="1" t="str">
        <f t="array" ref="AB657">IFERROR(INDEX('Исходник'!$1:$626,MATCH($A657,'Исходник'!$T:$T,0),MATCH(AB$1,'Исходник'!$1:$1,0)))</f>
        <v/>
      </c>
      <c r="AC657" s="1" t="str">
        <f t="array" ref="AC657">IFERROR(INDEX('Исходник'!$1:$626,MATCH($A657,'Исходник'!$T:$T,0),MATCH(AC$1,'Исходник'!$1:$1,0)))</f>
        <v/>
      </c>
      <c r="AD657" s="27" t="str">
        <f t="shared" si="13"/>
        <v/>
      </c>
      <c r="AE657" s="1" t="str">
        <f t="array" ref="AE657">IFERROR(INDEX('Исходник'!$1:$626,MATCH($A657,'Исходник'!$T:$T,0),MATCH(AE$1,'Исходник'!$1:$1,0)))</f>
        <v/>
      </c>
      <c r="AF657" s="1" t="str">
        <f t="array" ref="AF657">IFERROR(INDEX('Исходник'!$1:$626,MATCH($A657,'Исходник'!$T:$T,0),MATCH(AF$1,'Исходник'!$1:$1,0)))</f>
        <v/>
      </c>
      <c r="AG657" s="27" t="str">
        <f t="shared" si="14"/>
        <v/>
      </c>
      <c r="AH657" s="1" t="str">
        <f t="array" ref="AH657">IFERROR(INDEX('Исходник'!$1:$626,MATCH($A657,'Исходник'!$T:$T,0),MATCH(AH$1,'Исходник'!$1:$1,0)))</f>
        <v/>
      </c>
      <c r="AI657" s="1" t="str">
        <f t="array" ref="AI657">IFERROR(INDEX('Исходник'!$1:$626,MATCH($A657,'Исходник'!$T:$T,0),MATCH(AI$1,'Исходник'!$1:$1,0)))</f>
        <v/>
      </c>
      <c r="AJ657" s="18">
        <f t="shared" si="15"/>
        <v>0</v>
      </c>
    </row>
    <row r="658" ht="15.75" customHeight="1">
      <c r="A658" s="27"/>
      <c r="B658" s="1" t="str">
        <f t="array" ref="B658">IFERROR(INDEX('Исходник'!$1:$626,MATCH($A658,'Исходник'!$T:$T,0),MATCH(B$1,'Исходник'!$1:$1,0)))</f>
        <v/>
      </c>
      <c r="C658" s="1" t="str">
        <f t="array" ref="C658">IFERROR(INDEX('Исходник'!$1:$626,MATCH($A658,'Исходник'!$T:$T,0),MATCH(C$1,'Исходник'!$1:$1,0)))</f>
        <v/>
      </c>
      <c r="D658" s="1" t="str">
        <f t="array" ref="D658">IFERROR(INDEX('Исходник'!$1:$626,MATCH($A658,'Исходник'!$T:$T,0),MATCH(D$1,'Исходник'!$1:$1,0)))</f>
        <v/>
      </c>
      <c r="E658" s="1" t="str">
        <f t="array" ref="E658">IFERROR(INDEX('Исходник'!$1:$626,MATCH($A658,'Исходник'!$T:$T,0),MATCH(E$1,'Исходник'!$1:$1,0)))</f>
        <v/>
      </c>
      <c r="F658" s="1" t="str">
        <f t="array" ref="F658">IFERROR(INDEX('Исходник'!$1:$626,MATCH($A658,'Исходник'!$T:$T,0),MATCH(F$1,'Исходник'!$1:$1,0)))</f>
        <v/>
      </c>
      <c r="G658" s="1" t="str">
        <f t="array" ref="G658">IFERROR(INDEX('Исходник'!$1:$626,MATCH($A658,'Исходник'!$T:$T,0),MATCH(G$1,'Исходник'!$1:$1,0)))</f>
        <v/>
      </c>
      <c r="H658" s="27">
        <f t="shared" si="1"/>
        <v>0</v>
      </c>
      <c r="I658" s="27" t="str">
        <f t="shared" si="2"/>
        <v/>
      </c>
      <c r="J658" s="1" t="str">
        <f t="array" ref="J658">IFERROR(INDEX('Исходник'!$1:$626,MATCH($A658,'Исходник'!$T:$T,0),MATCH(J$1,'Исходник'!$1:$1,0)))</f>
        <v/>
      </c>
      <c r="K658" s="27" t="str">
        <f t="shared" si="3"/>
        <v/>
      </c>
      <c r="L658" s="1" t="str">
        <f t="array" ref="L658">IFERROR(INDEX('Исходник'!$1:$626,MATCH($A658,'Исходник'!$T:$T,0),MATCH(L$1,'Исходник'!$1:$1,0)))</f>
        <v/>
      </c>
      <c r="M658" s="28">
        <f t="shared" si="4"/>
        <v>0</v>
      </c>
      <c r="N658" s="1" t="str">
        <f t="array" ref="N658">IFERROR(INDEX('Исходник'!$1:$626,MATCH($A658,'Исходник'!$T:$T,0),MATCH(N$1,'Исходник'!$1:$1,0)))</f>
        <v/>
      </c>
      <c r="O658" s="27">
        <f t="shared" si="5"/>
        <v>0</v>
      </c>
      <c r="P658" s="27" t="str">
        <f t="shared" si="6"/>
        <v/>
      </c>
      <c r="Q658" s="1" t="str">
        <f t="array" ref="Q658">IFERROR(INDEX('Исходник'!$1:$626,MATCH($A658,'Исходник'!$T:$T,0),MATCH(Q$1,'Исходник'!$1:$1,0)))</f>
        <v/>
      </c>
      <c r="R658" s="1" t="str">
        <f t="array" ref="R658">IFERROR(INDEX('Исходник'!$1:$626,MATCH($A658,'Исходник'!$T:$T,0),MATCH(R$1,'Исходник'!$1:$1,0)))</f>
        <v/>
      </c>
      <c r="S658" s="27">
        <f t="shared" si="7"/>
        <v>0</v>
      </c>
      <c r="T658" s="27" t="str">
        <f t="shared" si="8"/>
        <v/>
      </c>
      <c r="U658" s="1" t="str">
        <f t="array" ref="U658">IFERROR(INDEX('Исходник'!$1:$626,MATCH($A658,'Исходник'!$T:$T,0),MATCH(U$1,'Исходник'!$1:$1,0)))</f>
        <v/>
      </c>
      <c r="V658" s="27" t="str">
        <f t="shared" si="9"/>
        <v/>
      </c>
      <c r="W658" s="1" t="str">
        <f t="array" ref="W658">IFERROR(INDEX('Исходник'!$1:$626,MATCH($A658,'Исходник'!$T:$T,0),MATCH(W$1,'Исходник'!$1:$1,0)))</f>
        <v/>
      </c>
      <c r="X658" s="28">
        <f t="shared" si="10"/>
        <v>0</v>
      </c>
      <c r="Y658" s="1" t="str">
        <f t="array" ref="Y658">IFERROR(INDEX('Исходник'!$1:$626,MATCH($A658,'Исходник'!$T:$T,0),MATCH(Y$1,'Исходник'!$1:$1,0)))</f>
        <v/>
      </c>
      <c r="Z658" s="27">
        <f t="shared" si="11"/>
        <v>0</v>
      </c>
      <c r="AA658" s="27" t="str">
        <f t="shared" si="12"/>
        <v/>
      </c>
      <c r="AB658" s="1" t="str">
        <f t="array" ref="AB658">IFERROR(INDEX('Исходник'!$1:$626,MATCH($A658,'Исходник'!$T:$T,0),MATCH(AB$1,'Исходник'!$1:$1,0)))</f>
        <v/>
      </c>
      <c r="AC658" s="1" t="str">
        <f t="array" ref="AC658">IFERROR(INDEX('Исходник'!$1:$626,MATCH($A658,'Исходник'!$T:$T,0),MATCH(AC$1,'Исходник'!$1:$1,0)))</f>
        <v/>
      </c>
      <c r="AD658" s="27" t="str">
        <f t="shared" si="13"/>
        <v/>
      </c>
      <c r="AE658" s="1" t="str">
        <f t="array" ref="AE658">IFERROR(INDEX('Исходник'!$1:$626,MATCH($A658,'Исходник'!$T:$T,0),MATCH(AE$1,'Исходник'!$1:$1,0)))</f>
        <v/>
      </c>
      <c r="AF658" s="1" t="str">
        <f t="array" ref="AF658">IFERROR(INDEX('Исходник'!$1:$626,MATCH($A658,'Исходник'!$T:$T,0),MATCH(AF$1,'Исходник'!$1:$1,0)))</f>
        <v/>
      </c>
      <c r="AG658" s="27" t="str">
        <f t="shared" si="14"/>
        <v/>
      </c>
      <c r="AH658" s="1" t="str">
        <f t="array" ref="AH658">IFERROR(INDEX('Исходник'!$1:$626,MATCH($A658,'Исходник'!$T:$T,0),MATCH(AH$1,'Исходник'!$1:$1,0)))</f>
        <v/>
      </c>
      <c r="AI658" s="1" t="str">
        <f t="array" ref="AI658">IFERROR(INDEX('Исходник'!$1:$626,MATCH($A658,'Исходник'!$T:$T,0),MATCH(AI$1,'Исходник'!$1:$1,0)))</f>
        <v/>
      </c>
      <c r="AJ658" s="18">
        <f t="shared" si="15"/>
        <v>0</v>
      </c>
    </row>
    <row r="659" ht="15.75" customHeight="1">
      <c r="A659" s="27"/>
      <c r="B659" s="1" t="str">
        <f t="array" ref="B659">IFERROR(INDEX('Исходник'!$1:$626,MATCH($A659,'Исходник'!$T:$T,0),MATCH(B$1,'Исходник'!$1:$1,0)))</f>
        <v/>
      </c>
      <c r="C659" s="1" t="str">
        <f t="array" ref="C659">IFERROR(INDEX('Исходник'!$1:$626,MATCH($A659,'Исходник'!$T:$T,0),MATCH(C$1,'Исходник'!$1:$1,0)))</f>
        <v/>
      </c>
      <c r="D659" s="1" t="str">
        <f t="array" ref="D659">IFERROR(INDEX('Исходник'!$1:$626,MATCH($A659,'Исходник'!$T:$T,0),MATCH(D$1,'Исходник'!$1:$1,0)))</f>
        <v/>
      </c>
      <c r="E659" s="1" t="str">
        <f t="array" ref="E659">IFERROR(INDEX('Исходник'!$1:$626,MATCH($A659,'Исходник'!$T:$T,0),MATCH(E$1,'Исходник'!$1:$1,0)))</f>
        <v/>
      </c>
      <c r="F659" s="1" t="str">
        <f t="array" ref="F659">IFERROR(INDEX('Исходник'!$1:$626,MATCH($A659,'Исходник'!$T:$T,0),MATCH(F$1,'Исходник'!$1:$1,0)))</f>
        <v/>
      </c>
      <c r="G659" s="1" t="str">
        <f t="array" ref="G659">IFERROR(INDEX('Исходник'!$1:$626,MATCH($A659,'Исходник'!$T:$T,0),MATCH(G$1,'Исходник'!$1:$1,0)))</f>
        <v/>
      </c>
      <c r="H659" s="27">
        <f t="shared" si="1"/>
        <v>0</v>
      </c>
      <c r="I659" s="27" t="str">
        <f t="shared" si="2"/>
        <v/>
      </c>
      <c r="J659" s="1" t="str">
        <f t="array" ref="J659">IFERROR(INDEX('Исходник'!$1:$626,MATCH($A659,'Исходник'!$T:$T,0),MATCH(J$1,'Исходник'!$1:$1,0)))</f>
        <v/>
      </c>
      <c r="K659" s="27" t="str">
        <f t="shared" si="3"/>
        <v/>
      </c>
      <c r="L659" s="1" t="str">
        <f t="array" ref="L659">IFERROR(INDEX('Исходник'!$1:$626,MATCH($A659,'Исходник'!$T:$T,0),MATCH(L$1,'Исходник'!$1:$1,0)))</f>
        <v/>
      </c>
      <c r="M659" s="28">
        <f t="shared" si="4"/>
        <v>0</v>
      </c>
      <c r="N659" s="1" t="str">
        <f t="array" ref="N659">IFERROR(INDEX('Исходник'!$1:$626,MATCH($A659,'Исходник'!$T:$T,0),MATCH(N$1,'Исходник'!$1:$1,0)))</f>
        <v/>
      </c>
      <c r="O659" s="27">
        <f t="shared" si="5"/>
        <v>0</v>
      </c>
      <c r="P659" s="27" t="str">
        <f t="shared" si="6"/>
        <v/>
      </c>
      <c r="Q659" s="1" t="str">
        <f t="array" ref="Q659">IFERROR(INDEX('Исходник'!$1:$626,MATCH($A659,'Исходник'!$T:$T,0),MATCH(Q$1,'Исходник'!$1:$1,0)))</f>
        <v/>
      </c>
      <c r="R659" s="1" t="str">
        <f t="array" ref="R659">IFERROR(INDEX('Исходник'!$1:$626,MATCH($A659,'Исходник'!$T:$T,0),MATCH(R$1,'Исходник'!$1:$1,0)))</f>
        <v/>
      </c>
      <c r="S659" s="27">
        <f t="shared" si="7"/>
        <v>0</v>
      </c>
      <c r="T659" s="27" t="str">
        <f t="shared" si="8"/>
        <v/>
      </c>
      <c r="U659" s="1" t="str">
        <f t="array" ref="U659">IFERROR(INDEX('Исходник'!$1:$626,MATCH($A659,'Исходник'!$T:$T,0),MATCH(U$1,'Исходник'!$1:$1,0)))</f>
        <v/>
      </c>
      <c r="V659" s="27" t="str">
        <f t="shared" si="9"/>
        <v/>
      </c>
      <c r="W659" s="1" t="str">
        <f t="array" ref="W659">IFERROR(INDEX('Исходник'!$1:$626,MATCH($A659,'Исходник'!$T:$T,0),MATCH(W$1,'Исходник'!$1:$1,0)))</f>
        <v/>
      </c>
      <c r="X659" s="28">
        <f t="shared" si="10"/>
        <v>0</v>
      </c>
      <c r="Y659" s="1" t="str">
        <f t="array" ref="Y659">IFERROR(INDEX('Исходник'!$1:$626,MATCH($A659,'Исходник'!$T:$T,0),MATCH(Y$1,'Исходник'!$1:$1,0)))</f>
        <v/>
      </c>
      <c r="Z659" s="27">
        <f t="shared" si="11"/>
        <v>0</v>
      </c>
      <c r="AA659" s="27" t="str">
        <f t="shared" si="12"/>
        <v/>
      </c>
      <c r="AB659" s="1" t="str">
        <f t="array" ref="AB659">IFERROR(INDEX('Исходник'!$1:$626,MATCH($A659,'Исходник'!$T:$T,0),MATCH(AB$1,'Исходник'!$1:$1,0)))</f>
        <v/>
      </c>
      <c r="AC659" s="1" t="str">
        <f t="array" ref="AC659">IFERROR(INDEX('Исходник'!$1:$626,MATCH($A659,'Исходник'!$T:$T,0),MATCH(AC$1,'Исходник'!$1:$1,0)))</f>
        <v/>
      </c>
      <c r="AD659" s="27" t="str">
        <f t="shared" si="13"/>
        <v/>
      </c>
      <c r="AE659" s="1" t="str">
        <f t="array" ref="AE659">IFERROR(INDEX('Исходник'!$1:$626,MATCH($A659,'Исходник'!$T:$T,0),MATCH(AE$1,'Исходник'!$1:$1,0)))</f>
        <v/>
      </c>
      <c r="AF659" s="1" t="str">
        <f t="array" ref="AF659">IFERROR(INDEX('Исходник'!$1:$626,MATCH($A659,'Исходник'!$T:$T,0),MATCH(AF$1,'Исходник'!$1:$1,0)))</f>
        <v/>
      </c>
      <c r="AG659" s="27" t="str">
        <f t="shared" si="14"/>
        <v/>
      </c>
      <c r="AH659" s="1" t="str">
        <f t="array" ref="AH659">IFERROR(INDEX('Исходник'!$1:$626,MATCH($A659,'Исходник'!$T:$T,0),MATCH(AH$1,'Исходник'!$1:$1,0)))</f>
        <v/>
      </c>
      <c r="AI659" s="1" t="str">
        <f t="array" ref="AI659">IFERROR(INDEX('Исходник'!$1:$626,MATCH($A659,'Исходник'!$T:$T,0),MATCH(AI$1,'Исходник'!$1:$1,0)))</f>
        <v/>
      </c>
      <c r="AJ659" s="18">
        <f t="shared" si="15"/>
        <v>0</v>
      </c>
    </row>
    <row r="660" ht="15.75" customHeight="1">
      <c r="A660" s="27"/>
      <c r="B660" s="1" t="str">
        <f t="array" ref="B660">IFERROR(INDEX('Исходник'!$1:$626,MATCH($A660,'Исходник'!$T:$T,0),MATCH(B$1,'Исходник'!$1:$1,0)))</f>
        <v/>
      </c>
      <c r="C660" s="1" t="str">
        <f t="array" ref="C660">IFERROR(INDEX('Исходник'!$1:$626,MATCH($A660,'Исходник'!$T:$T,0),MATCH(C$1,'Исходник'!$1:$1,0)))</f>
        <v/>
      </c>
      <c r="D660" s="1" t="str">
        <f t="array" ref="D660">IFERROR(INDEX('Исходник'!$1:$626,MATCH($A660,'Исходник'!$T:$T,0),MATCH(D$1,'Исходник'!$1:$1,0)))</f>
        <v/>
      </c>
      <c r="E660" s="1" t="str">
        <f t="array" ref="E660">IFERROR(INDEX('Исходник'!$1:$626,MATCH($A660,'Исходник'!$T:$T,0),MATCH(E$1,'Исходник'!$1:$1,0)))</f>
        <v/>
      </c>
      <c r="F660" s="1" t="str">
        <f t="array" ref="F660">IFERROR(INDEX('Исходник'!$1:$626,MATCH($A660,'Исходник'!$T:$T,0),MATCH(F$1,'Исходник'!$1:$1,0)))</f>
        <v/>
      </c>
      <c r="G660" s="1" t="str">
        <f t="array" ref="G660">IFERROR(INDEX('Исходник'!$1:$626,MATCH($A660,'Исходник'!$T:$T,0),MATCH(G$1,'Исходник'!$1:$1,0)))</f>
        <v/>
      </c>
      <c r="H660" s="27">
        <f t="shared" si="1"/>
        <v>0</v>
      </c>
      <c r="I660" s="27" t="str">
        <f t="shared" si="2"/>
        <v/>
      </c>
      <c r="J660" s="1" t="str">
        <f t="array" ref="J660">IFERROR(INDEX('Исходник'!$1:$626,MATCH($A660,'Исходник'!$T:$T,0),MATCH(J$1,'Исходник'!$1:$1,0)))</f>
        <v/>
      </c>
      <c r="K660" s="27" t="str">
        <f t="shared" si="3"/>
        <v/>
      </c>
      <c r="L660" s="1" t="str">
        <f t="array" ref="L660">IFERROR(INDEX('Исходник'!$1:$626,MATCH($A660,'Исходник'!$T:$T,0),MATCH(L$1,'Исходник'!$1:$1,0)))</f>
        <v/>
      </c>
      <c r="M660" s="28">
        <f t="shared" si="4"/>
        <v>0</v>
      </c>
      <c r="N660" s="1" t="str">
        <f t="array" ref="N660">IFERROR(INDEX('Исходник'!$1:$626,MATCH($A660,'Исходник'!$T:$T,0),MATCH(N$1,'Исходник'!$1:$1,0)))</f>
        <v/>
      </c>
      <c r="O660" s="27">
        <f t="shared" si="5"/>
        <v>0</v>
      </c>
      <c r="P660" s="27" t="str">
        <f t="shared" si="6"/>
        <v/>
      </c>
      <c r="Q660" s="1" t="str">
        <f t="array" ref="Q660">IFERROR(INDEX('Исходник'!$1:$626,MATCH($A660,'Исходник'!$T:$T,0),MATCH(Q$1,'Исходник'!$1:$1,0)))</f>
        <v/>
      </c>
      <c r="R660" s="1" t="str">
        <f t="array" ref="R660">IFERROR(INDEX('Исходник'!$1:$626,MATCH($A660,'Исходник'!$T:$T,0),MATCH(R$1,'Исходник'!$1:$1,0)))</f>
        <v/>
      </c>
      <c r="S660" s="27">
        <f t="shared" si="7"/>
        <v>0</v>
      </c>
      <c r="T660" s="27" t="str">
        <f t="shared" si="8"/>
        <v/>
      </c>
      <c r="U660" s="1" t="str">
        <f t="array" ref="U660">IFERROR(INDEX('Исходник'!$1:$626,MATCH($A660,'Исходник'!$T:$T,0),MATCH(U$1,'Исходник'!$1:$1,0)))</f>
        <v/>
      </c>
      <c r="V660" s="27" t="str">
        <f t="shared" si="9"/>
        <v/>
      </c>
      <c r="W660" s="1" t="str">
        <f t="array" ref="W660">IFERROR(INDEX('Исходник'!$1:$626,MATCH($A660,'Исходник'!$T:$T,0),MATCH(W$1,'Исходник'!$1:$1,0)))</f>
        <v/>
      </c>
      <c r="X660" s="28">
        <f t="shared" si="10"/>
        <v>0</v>
      </c>
      <c r="Y660" s="1" t="str">
        <f t="array" ref="Y660">IFERROR(INDEX('Исходник'!$1:$626,MATCH($A660,'Исходник'!$T:$T,0),MATCH(Y$1,'Исходник'!$1:$1,0)))</f>
        <v/>
      </c>
      <c r="Z660" s="27">
        <f t="shared" si="11"/>
        <v>0</v>
      </c>
      <c r="AA660" s="27" t="str">
        <f t="shared" si="12"/>
        <v/>
      </c>
      <c r="AB660" s="1" t="str">
        <f t="array" ref="AB660">IFERROR(INDEX('Исходник'!$1:$626,MATCH($A660,'Исходник'!$T:$T,0),MATCH(AB$1,'Исходник'!$1:$1,0)))</f>
        <v/>
      </c>
      <c r="AC660" s="1" t="str">
        <f t="array" ref="AC660">IFERROR(INDEX('Исходник'!$1:$626,MATCH($A660,'Исходник'!$T:$T,0),MATCH(AC$1,'Исходник'!$1:$1,0)))</f>
        <v/>
      </c>
      <c r="AD660" s="27" t="str">
        <f t="shared" si="13"/>
        <v/>
      </c>
      <c r="AE660" s="1" t="str">
        <f t="array" ref="AE660">IFERROR(INDEX('Исходник'!$1:$626,MATCH($A660,'Исходник'!$T:$T,0),MATCH(AE$1,'Исходник'!$1:$1,0)))</f>
        <v/>
      </c>
      <c r="AF660" s="1" t="str">
        <f t="array" ref="AF660">IFERROR(INDEX('Исходник'!$1:$626,MATCH($A660,'Исходник'!$T:$T,0),MATCH(AF$1,'Исходник'!$1:$1,0)))</f>
        <v/>
      </c>
      <c r="AG660" s="27" t="str">
        <f t="shared" si="14"/>
        <v/>
      </c>
      <c r="AH660" s="1" t="str">
        <f t="array" ref="AH660">IFERROR(INDEX('Исходник'!$1:$626,MATCH($A660,'Исходник'!$T:$T,0),MATCH(AH$1,'Исходник'!$1:$1,0)))</f>
        <v/>
      </c>
      <c r="AI660" s="1" t="str">
        <f t="array" ref="AI660">IFERROR(INDEX('Исходник'!$1:$626,MATCH($A660,'Исходник'!$T:$T,0),MATCH(AI$1,'Исходник'!$1:$1,0)))</f>
        <v/>
      </c>
      <c r="AJ660" s="18">
        <f t="shared" si="15"/>
        <v>0</v>
      </c>
    </row>
    <row r="661" ht="15.75" customHeight="1">
      <c r="A661" s="27"/>
      <c r="B661" s="1" t="str">
        <f t="array" ref="B661">IFERROR(INDEX('Исходник'!$1:$626,MATCH($A661,'Исходник'!$T:$T,0),MATCH(B$1,'Исходник'!$1:$1,0)))</f>
        <v/>
      </c>
      <c r="C661" s="1" t="str">
        <f t="array" ref="C661">IFERROR(INDEX('Исходник'!$1:$626,MATCH($A661,'Исходник'!$T:$T,0),MATCH(C$1,'Исходник'!$1:$1,0)))</f>
        <v/>
      </c>
      <c r="D661" s="1" t="str">
        <f t="array" ref="D661">IFERROR(INDEX('Исходник'!$1:$626,MATCH($A661,'Исходник'!$T:$T,0),MATCH(D$1,'Исходник'!$1:$1,0)))</f>
        <v/>
      </c>
      <c r="E661" s="1" t="str">
        <f t="array" ref="E661">IFERROR(INDEX('Исходник'!$1:$626,MATCH($A661,'Исходник'!$T:$T,0),MATCH(E$1,'Исходник'!$1:$1,0)))</f>
        <v/>
      </c>
      <c r="F661" s="1" t="str">
        <f t="array" ref="F661">IFERROR(INDEX('Исходник'!$1:$626,MATCH($A661,'Исходник'!$T:$T,0),MATCH(F$1,'Исходник'!$1:$1,0)))</f>
        <v/>
      </c>
      <c r="G661" s="1" t="str">
        <f t="array" ref="G661">IFERROR(INDEX('Исходник'!$1:$626,MATCH($A661,'Исходник'!$T:$T,0),MATCH(G$1,'Исходник'!$1:$1,0)))</f>
        <v/>
      </c>
      <c r="H661" s="27">
        <f t="shared" si="1"/>
        <v>0</v>
      </c>
      <c r="I661" s="27" t="str">
        <f t="shared" si="2"/>
        <v/>
      </c>
      <c r="J661" s="1" t="str">
        <f t="array" ref="J661">IFERROR(INDEX('Исходник'!$1:$626,MATCH($A661,'Исходник'!$T:$T,0),MATCH(J$1,'Исходник'!$1:$1,0)))</f>
        <v/>
      </c>
      <c r="K661" s="27" t="str">
        <f t="shared" si="3"/>
        <v/>
      </c>
      <c r="L661" s="1" t="str">
        <f t="array" ref="L661">IFERROR(INDEX('Исходник'!$1:$626,MATCH($A661,'Исходник'!$T:$T,0),MATCH(L$1,'Исходник'!$1:$1,0)))</f>
        <v/>
      </c>
      <c r="M661" s="28">
        <f t="shared" si="4"/>
        <v>0</v>
      </c>
      <c r="N661" s="1" t="str">
        <f t="array" ref="N661">IFERROR(INDEX('Исходник'!$1:$626,MATCH($A661,'Исходник'!$T:$T,0),MATCH(N$1,'Исходник'!$1:$1,0)))</f>
        <v/>
      </c>
      <c r="O661" s="27">
        <f t="shared" si="5"/>
        <v>0</v>
      </c>
      <c r="P661" s="27" t="str">
        <f t="shared" si="6"/>
        <v/>
      </c>
      <c r="Q661" s="1" t="str">
        <f t="array" ref="Q661">IFERROR(INDEX('Исходник'!$1:$626,MATCH($A661,'Исходник'!$T:$T,0),MATCH(Q$1,'Исходник'!$1:$1,0)))</f>
        <v/>
      </c>
      <c r="R661" s="1" t="str">
        <f t="array" ref="R661">IFERROR(INDEX('Исходник'!$1:$626,MATCH($A661,'Исходник'!$T:$T,0),MATCH(R$1,'Исходник'!$1:$1,0)))</f>
        <v/>
      </c>
      <c r="S661" s="27">
        <f t="shared" si="7"/>
        <v>0</v>
      </c>
      <c r="T661" s="27" t="str">
        <f t="shared" si="8"/>
        <v/>
      </c>
      <c r="U661" s="1" t="str">
        <f t="array" ref="U661">IFERROR(INDEX('Исходник'!$1:$626,MATCH($A661,'Исходник'!$T:$T,0),MATCH(U$1,'Исходник'!$1:$1,0)))</f>
        <v/>
      </c>
      <c r="V661" s="27" t="str">
        <f t="shared" si="9"/>
        <v/>
      </c>
      <c r="W661" s="1" t="str">
        <f t="array" ref="W661">IFERROR(INDEX('Исходник'!$1:$626,MATCH($A661,'Исходник'!$T:$T,0),MATCH(W$1,'Исходник'!$1:$1,0)))</f>
        <v/>
      </c>
      <c r="X661" s="28">
        <f t="shared" si="10"/>
        <v>0</v>
      </c>
      <c r="Y661" s="1" t="str">
        <f t="array" ref="Y661">IFERROR(INDEX('Исходник'!$1:$626,MATCH($A661,'Исходник'!$T:$T,0),MATCH(Y$1,'Исходник'!$1:$1,0)))</f>
        <v/>
      </c>
      <c r="Z661" s="27">
        <f t="shared" si="11"/>
        <v>0</v>
      </c>
      <c r="AA661" s="27" t="str">
        <f t="shared" si="12"/>
        <v/>
      </c>
      <c r="AB661" s="1" t="str">
        <f t="array" ref="AB661">IFERROR(INDEX('Исходник'!$1:$626,MATCH($A661,'Исходник'!$T:$T,0),MATCH(AB$1,'Исходник'!$1:$1,0)))</f>
        <v/>
      </c>
      <c r="AC661" s="1" t="str">
        <f t="array" ref="AC661">IFERROR(INDEX('Исходник'!$1:$626,MATCH($A661,'Исходник'!$T:$T,0),MATCH(AC$1,'Исходник'!$1:$1,0)))</f>
        <v/>
      </c>
      <c r="AD661" s="27" t="str">
        <f t="shared" si="13"/>
        <v/>
      </c>
      <c r="AE661" s="1" t="str">
        <f t="array" ref="AE661">IFERROR(INDEX('Исходник'!$1:$626,MATCH($A661,'Исходник'!$T:$T,0),MATCH(AE$1,'Исходник'!$1:$1,0)))</f>
        <v/>
      </c>
      <c r="AF661" s="1" t="str">
        <f t="array" ref="AF661">IFERROR(INDEX('Исходник'!$1:$626,MATCH($A661,'Исходник'!$T:$T,0),MATCH(AF$1,'Исходник'!$1:$1,0)))</f>
        <v/>
      </c>
      <c r="AG661" s="27" t="str">
        <f t="shared" si="14"/>
        <v/>
      </c>
      <c r="AH661" s="1" t="str">
        <f t="array" ref="AH661">IFERROR(INDEX('Исходник'!$1:$626,MATCH($A661,'Исходник'!$T:$T,0),MATCH(AH$1,'Исходник'!$1:$1,0)))</f>
        <v/>
      </c>
      <c r="AI661" s="1" t="str">
        <f t="array" ref="AI661">IFERROR(INDEX('Исходник'!$1:$626,MATCH($A661,'Исходник'!$T:$T,0),MATCH(AI$1,'Исходник'!$1:$1,0)))</f>
        <v/>
      </c>
      <c r="AJ661" s="18">
        <f t="shared" si="15"/>
        <v>0</v>
      </c>
    </row>
    <row r="662" ht="15.75" customHeight="1">
      <c r="A662" s="27"/>
      <c r="B662" s="1" t="str">
        <f t="array" ref="B662">IFERROR(INDEX('Исходник'!$1:$626,MATCH($A662,'Исходник'!$T:$T,0),MATCH(B$1,'Исходник'!$1:$1,0)))</f>
        <v/>
      </c>
      <c r="C662" s="1" t="str">
        <f t="array" ref="C662">IFERROR(INDEX('Исходник'!$1:$626,MATCH($A662,'Исходник'!$T:$T,0),MATCH(C$1,'Исходник'!$1:$1,0)))</f>
        <v/>
      </c>
      <c r="D662" s="1" t="str">
        <f t="array" ref="D662">IFERROR(INDEX('Исходник'!$1:$626,MATCH($A662,'Исходник'!$T:$T,0),MATCH(D$1,'Исходник'!$1:$1,0)))</f>
        <v/>
      </c>
      <c r="E662" s="1" t="str">
        <f t="array" ref="E662">IFERROR(INDEX('Исходник'!$1:$626,MATCH($A662,'Исходник'!$T:$T,0),MATCH(E$1,'Исходник'!$1:$1,0)))</f>
        <v/>
      </c>
      <c r="F662" s="1" t="str">
        <f t="array" ref="F662">IFERROR(INDEX('Исходник'!$1:$626,MATCH($A662,'Исходник'!$T:$T,0),MATCH(F$1,'Исходник'!$1:$1,0)))</f>
        <v/>
      </c>
      <c r="G662" s="1" t="str">
        <f t="array" ref="G662">IFERROR(INDEX('Исходник'!$1:$626,MATCH($A662,'Исходник'!$T:$T,0),MATCH(G$1,'Исходник'!$1:$1,0)))</f>
        <v/>
      </c>
      <c r="H662" s="27">
        <f t="shared" si="1"/>
        <v>0</v>
      </c>
      <c r="I662" s="27" t="str">
        <f t="shared" si="2"/>
        <v/>
      </c>
      <c r="J662" s="1" t="str">
        <f t="array" ref="J662">IFERROR(INDEX('Исходник'!$1:$626,MATCH($A662,'Исходник'!$T:$T,0),MATCH(J$1,'Исходник'!$1:$1,0)))</f>
        <v/>
      </c>
      <c r="K662" s="27" t="str">
        <f t="shared" si="3"/>
        <v/>
      </c>
      <c r="L662" s="1" t="str">
        <f t="array" ref="L662">IFERROR(INDEX('Исходник'!$1:$626,MATCH($A662,'Исходник'!$T:$T,0),MATCH(L$1,'Исходник'!$1:$1,0)))</f>
        <v/>
      </c>
      <c r="M662" s="28">
        <f t="shared" si="4"/>
        <v>0</v>
      </c>
      <c r="N662" s="1" t="str">
        <f t="array" ref="N662">IFERROR(INDEX('Исходник'!$1:$626,MATCH($A662,'Исходник'!$T:$T,0),MATCH(N$1,'Исходник'!$1:$1,0)))</f>
        <v/>
      </c>
      <c r="O662" s="27">
        <f t="shared" si="5"/>
        <v>0</v>
      </c>
      <c r="P662" s="27" t="str">
        <f t="shared" si="6"/>
        <v/>
      </c>
      <c r="Q662" s="1" t="str">
        <f t="array" ref="Q662">IFERROR(INDEX('Исходник'!$1:$626,MATCH($A662,'Исходник'!$T:$T,0),MATCH(Q$1,'Исходник'!$1:$1,0)))</f>
        <v/>
      </c>
      <c r="R662" s="1" t="str">
        <f t="array" ref="R662">IFERROR(INDEX('Исходник'!$1:$626,MATCH($A662,'Исходник'!$T:$T,0),MATCH(R$1,'Исходник'!$1:$1,0)))</f>
        <v/>
      </c>
      <c r="S662" s="27">
        <f t="shared" si="7"/>
        <v>0</v>
      </c>
      <c r="T662" s="27" t="str">
        <f t="shared" si="8"/>
        <v/>
      </c>
      <c r="U662" s="1" t="str">
        <f t="array" ref="U662">IFERROR(INDEX('Исходник'!$1:$626,MATCH($A662,'Исходник'!$T:$T,0),MATCH(U$1,'Исходник'!$1:$1,0)))</f>
        <v/>
      </c>
      <c r="V662" s="27" t="str">
        <f t="shared" si="9"/>
        <v/>
      </c>
      <c r="W662" s="1" t="str">
        <f t="array" ref="W662">IFERROR(INDEX('Исходник'!$1:$626,MATCH($A662,'Исходник'!$T:$T,0),MATCH(W$1,'Исходник'!$1:$1,0)))</f>
        <v/>
      </c>
      <c r="X662" s="28">
        <f t="shared" si="10"/>
        <v>0</v>
      </c>
      <c r="Y662" s="1" t="str">
        <f t="array" ref="Y662">IFERROR(INDEX('Исходник'!$1:$626,MATCH($A662,'Исходник'!$T:$T,0),MATCH(Y$1,'Исходник'!$1:$1,0)))</f>
        <v/>
      </c>
      <c r="Z662" s="27">
        <f t="shared" si="11"/>
        <v>0</v>
      </c>
      <c r="AA662" s="27" t="str">
        <f t="shared" si="12"/>
        <v/>
      </c>
      <c r="AB662" s="1" t="str">
        <f t="array" ref="AB662">IFERROR(INDEX('Исходник'!$1:$626,MATCH($A662,'Исходник'!$T:$T,0),MATCH(AB$1,'Исходник'!$1:$1,0)))</f>
        <v/>
      </c>
      <c r="AC662" s="1" t="str">
        <f t="array" ref="AC662">IFERROR(INDEX('Исходник'!$1:$626,MATCH($A662,'Исходник'!$T:$T,0),MATCH(AC$1,'Исходник'!$1:$1,0)))</f>
        <v/>
      </c>
      <c r="AD662" s="27" t="str">
        <f t="shared" si="13"/>
        <v/>
      </c>
      <c r="AE662" s="1" t="str">
        <f t="array" ref="AE662">IFERROR(INDEX('Исходник'!$1:$626,MATCH($A662,'Исходник'!$T:$T,0),MATCH(AE$1,'Исходник'!$1:$1,0)))</f>
        <v/>
      </c>
      <c r="AF662" s="1" t="str">
        <f t="array" ref="AF662">IFERROR(INDEX('Исходник'!$1:$626,MATCH($A662,'Исходник'!$T:$T,0),MATCH(AF$1,'Исходник'!$1:$1,0)))</f>
        <v/>
      </c>
      <c r="AG662" s="27" t="str">
        <f t="shared" si="14"/>
        <v/>
      </c>
      <c r="AH662" s="1" t="str">
        <f t="array" ref="AH662">IFERROR(INDEX('Исходник'!$1:$626,MATCH($A662,'Исходник'!$T:$T,0),MATCH(AH$1,'Исходник'!$1:$1,0)))</f>
        <v/>
      </c>
      <c r="AI662" s="1" t="str">
        <f t="array" ref="AI662">IFERROR(INDEX('Исходник'!$1:$626,MATCH($A662,'Исходник'!$T:$T,0),MATCH(AI$1,'Исходник'!$1:$1,0)))</f>
        <v/>
      </c>
      <c r="AJ662" s="18">
        <f t="shared" si="15"/>
        <v>0</v>
      </c>
    </row>
    <row r="663" ht="15.75" customHeight="1">
      <c r="A663" s="27"/>
      <c r="B663" s="1" t="str">
        <f t="array" ref="B663">IFERROR(INDEX('Исходник'!$1:$626,MATCH($A663,'Исходник'!$T:$T,0),MATCH(B$1,'Исходник'!$1:$1,0)))</f>
        <v/>
      </c>
      <c r="C663" s="1" t="str">
        <f t="array" ref="C663">IFERROR(INDEX('Исходник'!$1:$626,MATCH($A663,'Исходник'!$T:$T,0),MATCH(C$1,'Исходник'!$1:$1,0)))</f>
        <v/>
      </c>
      <c r="D663" s="1" t="str">
        <f t="array" ref="D663">IFERROR(INDEX('Исходник'!$1:$626,MATCH($A663,'Исходник'!$T:$T,0),MATCH(D$1,'Исходник'!$1:$1,0)))</f>
        <v/>
      </c>
      <c r="E663" s="1" t="str">
        <f t="array" ref="E663">IFERROR(INDEX('Исходник'!$1:$626,MATCH($A663,'Исходник'!$T:$T,0),MATCH(E$1,'Исходник'!$1:$1,0)))</f>
        <v/>
      </c>
      <c r="F663" s="1" t="str">
        <f t="array" ref="F663">IFERROR(INDEX('Исходник'!$1:$626,MATCH($A663,'Исходник'!$T:$T,0),MATCH(F$1,'Исходник'!$1:$1,0)))</f>
        <v/>
      </c>
      <c r="G663" s="1" t="str">
        <f t="array" ref="G663">IFERROR(INDEX('Исходник'!$1:$626,MATCH($A663,'Исходник'!$T:$T,0),MATCH(G$1,'Исходник'!$1:$1,0)))</f>
        <v/>
      </c>
      <c r="H663" s="27">
        <f t="shared" si="1"/>
        <v>0</v>
      </c>
      <c r="I663" s="27" t="str">
        <f t="shared" si="2"/>
        <v/>
      </c>
      <c r="J663" s="1" t="str">
        <f t="array" ref="J663">IFERROR(INDEX('Исходник'!$1:$626,MATCH($A663,'Исходник'!$T:$T,0),MATCH(J$1,'Исходник'!$1:$1,0)))</f>
        <v/>
      </c>
      <c r="K663" s="27" t="str">
        <f t="shared" si="3"/>
        <v/>
      </c>
      <c r="L663" s="1" t="str">
        <f t="array" ref="L663">IFERROR(INDEX('Исходник'!$1:$626,MATCH($A663,'Исходник'!$T:$T,0),MATCH(L$1,'Исходник'!$1:$1,0)))</f>
        <v/>
      </c>
      <c r="M663" s="28">
        <f t="shared" si="4"/>
        <v>0</v>
      </c>
      <c r="N663" s="1" t="str">
        <f t="array" ref="N663">IFERROR(INDEX('Исходник'!$1:$626,MATCH($A663,'Исходник'!$T:$T,0),MATCH(N$1,'Исходник'!$1:$1,0)))</f>
        <v/>
      </c>
      <c r="O663" s="27">
        <f t="shared" si="5"/>
        <v>0</v>
      </c>
      <c r="P663" s="27" t="str">
        <f t="shared" si="6"/>
        <v/>
      </c>
      <c r="Q663" s="1" t="str">
        <f t="array" ref="Q663">IFERROR(INDEX('Исходник'!$1:$626,MATCH($A663,'Исходник'!$T:$T,0),MATCH(Q$1,'Исходник'!$1:$1,0)))</f>
        <v/>
      </c>
      <c r="R663" s="1" t="str">
        <f t="array" ref="R663">IFERROR(INDEX('Исходник'!$1:$626,MATCH($A663,'Исходник'!$T:$T,0),MATCH(R$1,'Исходник'!$1:$1,0)))</f>
        <v/>
      </c>
      <c r="S663" s="27">
        <f t="shared" si="7"/>
        <v>0</v>
      </c>
      <c r="T663" s="27" t="str">
        <f t="shared" si="8"/>
        <v/>
      </c>
      <c r="U663" s="1" t="str">
        <f t="array" ref="U663">IFERROR(INDEX('Исходник'!$1:$626,MATCH($A663,'Исходник'!$T:$T,0),MATCH(U$1,'Исходник'!$1:$1,0)))</f>
        <v/>
      </c>
      <c r="V663" s="27" t="str">
        <f t="shared" si="9"/>
        <v/>
      </c>
      <c r="W663" s="1" t="str">
        <f t="array" ref="W663">IFERROR(INDEX('Исходник'!$1:$626,MATCH($A663,'Исходник'!$T:$T,0),MATCH(W$1,'Исходник'!$1:$1,0)))</f>
        <v/>
      </c>
      <c r="X663" s="28">
        <f t="shared" si="10"/>
        <v>0</v>
      </c>
      <c r="Y663" s="1" t="str">
        <f t="array" ref="Y663">IFERROR(INDEX('Исходник'!$1:$626,MATCH($A663,'Исходник'!$T:$T,0),MATCH(Y$1,'Исходник'!$1:$1,0)))</f>
        <v/>
      </c>
      <c r="Z663" s="27">
        <f t="shared" si="11"/>
        <v>0</v>
      </c>
      <c r="AA663" s="27" t="str">
        <f t="shared" si="12"/>
        <v/>
      </c>
      <c r="AB663" s="1" t="str">
        <f t="array" ref="AB663">IFERROR(INDEX('Исходник'!$1:$626,MATCH($A663,'Исходник'!$T:$T,0),MATCH(AB$1,'Исходник'!$1:$1,0)))</f>
        <v/>
      </c>
      <c r="AC663" s="1" t="str">
        <f t="array" ref="AC663">IFERROR(INDEX('Исходник'!$1:$626,MATCH($A663,'Исходник'!$T:$T,0),MATCH(AC$1,'Исходник'!$1:$1,0)))</f>
        <v/>
      </c>
      <c r="AD663" s="27" t="str">
        <f t="shared" si="13"/>
        <v/>
      </c>
      <c r="AE663" s="1" t="str">
        <f t="array" ref="AE663">IFERROR(INDEX('Исходник'!$1:$626,MATCH($A663,'Исходник'!$T:$T,0),MATCH(AE$1,'Исходник'!$1:$1,0)))</f>
        <v/>
      </c>
      <c r="AF663" s="1" t="str">
        <f t="array" ref="AF663">IFERROR(INDEX('Исходник'!$1:$626,MATCH($A663,'Исходник'!$T:$T,0),MATCH(AF$1,'Исходник'!$1:$1,0)))</f>
        <v/>
      </c>
      <c r="AG663" s="27" t="str">
        <f t="shared" si="14"/>
        <v/>
      </c>
      <c r="AH663" s="1" t="str">
        <f t="array" ref="AH663">IFERROR(INDEX('Исходник'!$1:$626,MATCH($A663,'Исходник'!$T:$T,0),MATCH(AH$1,'Исходник'!$1:$1,0)))</f>
        <v/>
      </c>
      <c r="AI663" s="1" t="str">
        <f t="array" ref="AI663">IFERROR(INDEX('Исходник'!$1:$626,MATCH($A663,'Исходник'!$T:$T,0),MATCH(AI$1,'Исходник'!$1:$1,0)))</f>
        <v/>
      </c>
      <c r="AJ663" s="18">
        <f t="shared" si="15"/>
        <v>0</v>
      </c>
    </row>
    <row r="664" ht="15.75" customHeight="1">
      <c r="A664" s="27"/>
      <c r="B664" s="1" t="str">
        <f t="array" ref="B664">IFERROR(INDEX('Исходник'!$1:$626,MATCH($A664,'Исходник'!$T:$T,0),MATCH(B$1,'Исходник'!$1:$1,0)))</f>
        <v/>
      </c>
      <c r="C664" s="1" t="str">
        <f t="array" ref="C664">IFERROR(INDEX('Исходник'!$1:$626,MATCH($A664,'Исходник'!$T:$T,0),MATCH(C$1,'Исходник'!$1:$1,0)))</f>
        <v/>
      </c>
      <c r="D664" s="1" t="str">
        <f t="array" ref="D664">IFERROR(INDEX('Исходник'!$1:$626,MATCH($A664,'Исходник'!$T:$T,0),MATCH(D$1,'Исходник'!$1:$1,0)))</f>
        <v/>
      </c>
      <c r="E664" s="1" t="str">
        <f t="array" ref="E664">IFERROR(INDEX('Исходник'!$1:$626,MATCH($A664,'Исходник'!$T:$T,0),MATCH(E$1,'Исходник'!$1:$1,0)))</f>
        <v/>
      </c>
      <c r="F664" s="1" t="str">
        <f t="array" ref="F664">IFERROR(INDEX('Исходник'!$1:$626,MATCH($A664,'Исходник'!$T:$T,0),MATCH(F$1,'Исходник'!$1:$1,0)))</f>
        <v/>
      </c>
      <c r="G664" s="1" t="str">
        <f t="array" ref="G664">IFERROR(INDEX('Исходник'!$1:$626,MATCH($A664,'Исходник'!$T:$T,0),MATCH(G$1,'Исходник'!$1:$1,0)))</f>
        <v/>
      </c>
      <c r="H664" s="27">
        <f t="shared" si="1"/>
        <v>0</v>
      </c>
      <c r="I664" s="27" t="str">
        <f t="shared" si="2"/>
        <v/>
      </c>
      <c r="J664" s="1" t="str">
        <f t="array" ref="J664">IFERROR(INDEX('Исходник'!$1:$626,MATCH($A664,'Исходник'!$T:$T,0),MATCH(J$1,'Исходник'!$1:$1,0)))</f>
        <v/>
      </c>
      <c r="K664" s="27" t="str">
        <f t="shared" si="3"/>
        <v/>
      </c>
      <c r="L664" s="1" t="str">
        <f t="array" ref="L664">IFERROR(INDEX('Исходник'!$1:$626,MATCH($A664,'Исходник'!$T:$T,0),MATCH(L$1,'Исходник'!$1:$1,0)))</f>
        <v/>
      </c>
      <c r="M664" s="28">
        <f t="shared" si="4"/>
        <v>0</v>
      </c>
      <c r="N664" s="1" t="str">
        <f t="array" ref="N664">IFERROR(INDEX('Исходник'!$1:$626,MATCH($A664,'Исходник'!$T:$T,0),MATCH(N$1,'Исходник'!$1:$1,0)))</f>
        <v/>
      </c>
      <c r="O664" s="27">
        <f t="shared" si="5"/>
        <v>0</v>
      </c>
      <c r="P664" s="27" t="str">
        <f t="shared" si="6"/>
        <v/>
      </c>
      <c r="Q664" s="1" t="str">
        <f t="array" ref="Q664">IFERROR(INDEX('Исходник'!$1:$626,MATCH($A664,'Исходник'!$T:$T,0),MATCH(Q$1,'Исходник'!$1:$1,0)))</f>
        <v/>
      </c>
      <c r="R664" s="1" t="str">
        <f t="array" ref="R664">IFERROR(INDEX('Исходник'!$1:$626,MATCH($A664,'Исходник'!$T:$T,0),MATCH(R$1,'Исходник'!$1:$1,0)))</f>
        <v/>
      </c>
      <c r="S664" s="27">
        <f t="shared" si="7"/>
        <v>0</v>
      </c>
      <c r="T664" s="27" t="str">
        <f t="shared" si="8"/>
        <v/>
      </c>
      <c r="U664" s="1" t="str">
        <f t="array" ref="U664">IFERROR(INDEX('Исходник'!$1:$626,MATCH($A664,'Исходник'!$T:$T,0),MATCH(U$1,'Исходник'!$1:$1,0)))</f>
        <v/>
      </c>
      <c r="V664" s="27" t="str">
        <f t="shared" si="9"/>
        <v/>
      </c>
      <c r="W664" s="1" t="str">
        <f t="array" ref="W664">IFERROR(INDEX('Исходник'!$1:$626,MATCH($A664,'Исходник'!$T:$T,0),MATCH(W$1,'Исходник'!$1:$1,0)))</f>
        <v/>
      </c>
      <c r="X664" s="28">
        <f t="shared" si="10"/>
        <v>0</v>
      </c>
      <c r="Y664" s="1" t="str">
        <f t="array" ref="Y664">IFERROR(INDEX('Исходник'!$1:$626,MATCH($A664,'Исходник'!$T:$T,0),MATCH(Y$1,'Исходник'!$1:$1,0)))</f>
        <v/>
      </c>
      <c r="Z664" s="27">
        <f t="shared" si="11"/>
        <v>0</v>
      </c>
      <c r="AA664" s="27" t="str">
        <f t="shared" si="12"/>
        <v/>
      </c>
      <c r="AB664" s="1" t="str">
        <f t="array" ref="AB664">IFERROR(INDEX('Исходник'!$1:$626,MATCH($A664,'Исходник'!$T:$T,0),MATCH(AB$1,'Исходник'!$1:$1,0)))</f>
        <v/>
      </c>
      <c r="AC664" s="1" t="str">
        <f t="array" ref="AC664">IFERROR(INDEX('Исходник'!$1:$626,MATCH($A664,'Исходник'!$T:$T,0),MATCH(AC$1,'Исходник'!$1:$1,0)))</f>
        <v/>
      </c>
      <c r="AD664" s="27" t="str">
        <f t="shared" si="13"/>
        <v/>
      </c>
      <c r="AE664" s="1" t="str">
        <f t="array" ref="AE664">IFERROR(INDEX('Исходник'!$1:$626,MATCH($A664,'Исходник'!$T:$T,0),MATCH(AE$1,'Исходник'!$1:$1,0)))</f>
        <v/>
      </c>
      <c r="AF664" s="1" t="str">
        <f t="array" ref="AF664">IFERROR(INDEX('Исходник'!$1:$626,MATCH($A664,'Исходник'!$T:$T,0),MATCH(AF$1,'Исходник'!$1:$1,0)))</f>
        <v/>
      </c>
      <c r="AG664" s="27" t="str">
        <f t="shared" si="14"/>
        <v/>
      </c>
      <c r="AH664" s="1" t="str">
        <f t="array" ref="AH664">IFERROR(INDEX('Исходник'!$1:$626,MATCH($A664,'Исходник'!$T:$T,0),MATCH(AH$1,'Исходник'!$1:$1,0)))</f>
        <v/>
      </c>
      <c r="AI664" s="1" t="str">
        <f t="array" ref="AI664">IFERROR(INDEX('Исходник'!$1:$626,MATCH($A664,'Исходник'!$T:$T,0),MATCH(AI$1,'Исходник'!$1:$1,0)))</f>
        <v/>
      </c>
      <c r="AJ664" s="18">
        <f t="shared" si="15"/>
        <v>0</v>
      </c>
    </row>
    <row r="665" ht="15.75" customHeight="1">
      <c r="A665" s="27"/>
      <c r="B665" s="1" t="str">
        <f t="array" ref="B665">IFERROR(INDEX('Исходник'!$1:$626,MATCH($A665,'Исходник'!$T:$T,0),MATCH(B$1,'Исходник'!$1:$1,0)))</f>
        <v/>
      </c>
      <c r="C665" s="1" t="str">
        <f t="array" ref="C665">IFERROR(INDEX('Исходник'!$1:$626,MATCH($A665,'Исходник'!$T:$T,0),MATCH(C$1,'Исходник'!$1:$1,0)))</f>
        <v/>
      </c>
      <c r="D665" s="1" t="str">
        <f t="array" ref="D665">IFERROR(INDEX('Исходник'!$1:$626,MATCH($A665,'Исходник'!$T:$T,0),MATCH(D$1,'Исходник'!$1:$1,0)))</f>
        <v/>
      </c>
      <c r="E665" s="1" t="str">
        <f t="array" ref="E665">IFERROR(INDEX('Исходник'!$1:$626,MATCH($A665,'Исходник'!$T:$T,0),MATCH(E$1,'Исходник'!$1:$1,0)))</f>
        <v/>
      </c>
      <c r="F665" s="1" t="str">
        <f t="array" ref="F665">IFERROR(INDEX('Исходник'!$1:$626,MATCH($A665,'Исходник'!$T:$T,0),MATCH(F$1,'Исходник'!$1:$1,0)))</f>
        <v/>
      </c>
      <c r="G665" s="1" t="str">
        <f t="array" ref="G665">IFERROR(INDEX('Исходник'!$1:$626,MATCH($A665,'Исходник'!$T:$T,0),MATCH(G$1,'Исходник'!$1:$1,0)))</f>
        <v/>
      </c>
      <c r="H665" s="27">
        <f t="shared" si="1"/>
        <v>0</v>
      </c>
      <c r="I665" s="27" t="str">
        <f t="shared" si="2"/>
        <v/>
      </c>
      <c r="J665" s="1" t="str">
        <f t="array" ref="J665">IFERROR(INDEX('Исходник'!$1:$626,MATCH($A665,'Исходник'!$T:$T,0),MATCH(J$1,'Исходник'!$1:$1,0)))</f>
        <v/>
      </c>
      <c r="K665" s="27" t="str">
        <f t="shared" si="3"/>
        <v/>
      </c>
      <c r="L665" s="1" t="str">
        <f t="array" ref="L665">IFERROR(INDEX('Исходник'!$1:$626,MATCH($A665,'Исходник'!$T:$T,0),MATCH(L$1,'Исходник'!$1:$1,0)))</f>
        <v/>
      </c>
      <c r="M665" s="28">
        <f t="shared" si="4"/>
        <v>0</v>
      </c>
      <c r="N665" s="1" t="str">
        <f t="array" ref="N665">IFERROR(INDEX('Исходник'!$1:$626,MATCH($A665,'Исходник'!$T:$T,0),MATCH(N$1,'Исходник'!$1:$1,0)))</f>
        <v/>
      </c>
      <c r="O665" s="27">
        <f t="shared" si="5"/>
        <v>0</v>
      </c>
      <c r="P665" s="27" t="str">
        <f t="shared" si="6"/>
        <v/>
      </c>
      <c r="Q665" s="1" t="str">
        <f t="array" ref="Q665">IFERROR(INDEX('Исходник'!$1:$626,MATCH($A665,'Исходник'!$T:$T,0),MATCH(Q$1,'Исходник'!$1:$1,0)))</f>
        <v/>
      </c>
      <c r="R665" s="1" t="str">
        <f t="array" ref="R665">IFERROR(INDEX('Исходник'!$1:$626,MATCH($A665,'Исходник'!$T:$T,0),MATCH(R$1,'Исходник'!$1:$1,0)))</f>
        <v/>
      </c>
      <c r="S665" s="27">
        <f t="shared" si="7"/>
        <v>0</v>
      </c>
      <c r="T665" s="27" t="str">
        <f t="shared" si="8"/>
        <v/>
      </c>
      <c r="U665" s="1" t="str">
        <f t="array" ref="U665">IFERROR(INDEX('Исходник'!$1:$626,MATCH($A665,'Исходник'!$T:$T,0),MATCH(U$1,'Исходник'!$1:$1,0)))</f>
        <v/>
      </c>
      <c r="V665" s="27" t="str">
        <f t="shared" si="9"/>
        <v/>
      </c>
      <c r="W665" s="1" t="str">
        <f t="array" ref="W665">IFERROR(INDEX('Исходник'!$1:$626,MATCH($A665,'Исходник'!$T:$T,0),MATCH(W$1,'Исходник'!$1:$1,0)))</f>
        <v/>
      </c>
      <c r="X665" s="28">
        <f t="shared" si="10"/>
        <v>0</v>
      </c>
      <c r="Y665" s="1" t="str">
        <f t="array" ref="Y665">IFERROR(INDEX('Исходник'!$1:$626,MATCH($A665,'Исходник'!$T:$T,0),MATCH(Y$1,'Исходник'!$1:$1,0)))</f>
        <v/>
      </c>
      <c r="Z665" s="27">
        <f t="shared" si="11"/>
        <v>0</v>
      </c>
      <c r="AA665" s="27" t="str">
        <f t="shared" si="12"/>
        <v/>
      </c>
      <c r="AB665" s="1" t="str">
        <f t="array" ref="AB665">IFERROR(INDEX('Исходник'!$1:$626,MATCH($A665,'Исходник'!$T:$T,0),MATCH(AB$1,'Исходник'!$1:$1,0)))</f>
        <v/>
      </c>
      <c r="AC665" s="1" t="str">
        <f t="array" ref="AC665">IFERROR(INDEX('Исходник'!$1:$626,MATCH($A665,'Исходник'!$T:$T,0),MATCH(AC$1,'Исходник'!$1:$1,0)))</f>
        <v/>
      </c>
      <c r="AD665" s="27" t="str">
        <f t="shared" si="13"/>
        <v/>
      </c>
      <c r="AE665" s="1" t="str">
        <f t="array" ref="AE665">IFERROR(INDEX('Исходник'!$1:$626,MATCH($A665,'Исходник'!$T:$T,0),MATCH(AE$1,'Исходник'!$1:$1,0)))</f>
        <v/>
      </c>
      <c r="AF665" s="1" t="str">
        <f t="array" ref="AF665">IFERROR(INDEX('Исходник'!$1:$626,MATCH($A665,'Исходник'!$T:$T,0),MATCH(AF$1,'Исходник'!$1:$1,0)))</f>
        <v/>
      </c>
      <c r="AG665" s="27" t="str">
        <f t="shared" si="14"/>
        <v/>
      </c>
      <c r="AH665" s="1" t="str">
        <f t="array" ref="AH665">IFERROR(INDEX('Исходник'!$1:$626,MATCH($A665,'Исходник'!$T:$T,0),MATCH(AH$1,'Исходник'!$1:$1,0)))</f>
        <v/>
      </c>
      <c r="AI665" s="1" t="str">
        <f t="array" ref="AI665">IFERROR(INDEX('Исходник'!$1:$626,MATCH($A665,'Исходник'!$T:$T,0),MATCH(AI$1,'Исходник'!$1:$1,0)))</f>
        <v/>
      </c>
      <c r="AJ665" s="18">
        <f t="shared" si="15"/>
        <v>0</v>
      </c>
    </row>
    <row r="666" ht="15.75" customHeight="1">
      <c r="A666" s="27"/>
      <c r="B666" s="1" t="str">
        <f t="array" ref="B666">IFERROR(INDEX('Исходник'!$1:$626,MATCH($A666,'Исходник'!$T:$T,0),MATCH(B$1,'Исходник'!$1:$1,0)))</f>
        <v/>
      </c>
      <c r="C666" s="1" t="str">
        <f t="array" ref="C666">IFERROR(INDEX('Исходник'!$1:$626,MATCH($A666,'Исходник'!$T:$T,0),MATCH(C$1,'Исходник'!$1:$1,0)))</f>
        <v/>
      </c>
      <c r="D666" s="1" t="str">
        <f t="array" ref="D666">IFERROR(INDEX('Исходник'!$1:$626,MATCH($A666,'Исходник'!$T:$T,0),MATCH(D$1,'Исходник'!$1:$1,0)))</f>
        <v/>
      </c>
      <c r="E666" s="1" t="str">
        <f t="array" ref="E666">IFERROR(INDEX('Исходник'!$1:$626,MATCH($A666,'Исходник'!$T:$T,0),MATCH(E$1,'Исходник'!$1:$1,0)))</f>
        <v/>
      </c>
      <c r="F666" s="1" t="str">
        <f t="array" ref="F666">IFERROR(INDEX('Исходник'!$1:$626,MATCH($A666,'Исходник'!$T:$T,0),MATCH(F$1,'Исходник'!$1:$1,0)))</f>
        <v/>
      </c>
      <c r="G666" s="1" t="str">
        <f t="array" ref="G666">IFERROR(INDEX('Исходник'!$1:$626,MATCH($A666,'Исходник'!$T:$T,0),MATCH(G$1,'Исходник'!$1:$1,0)))</f>
        <v/>
      </c>
      <c r="H666" s="27">
        <f t="shared" si="1"/>
        <v>0</v>
      </c>
      <c r="I666" s="27" t="str">
        <f t="shared" si="2"/>
        <v/>
      </c>
      <c r="J666" s="1" t="str">
        <f t="array" ref="J666">IFERROR(INDEX('Исходник'!$1:$626,MATCH($A666,'Исходник'!$T:$T,0),MATCH(J$1,'Исходник'!$1:$1,0)))</f>
        <v/>
      </c>
      <c r="K666" s="27" t="str">
        <f t="shared" si="3"/>
        <v/>
      </c>
      <c r="L666" s="1" t="str">
        <f t="array" ref="L666">IFERROR(INDEX('Исходник'!$1:$626,MATCH($A666,'Исходник'!$T:$T,0),MATCH(L$1,'Исходник'!$1:$1,0)))</f>
        <v/>
      </c>
      <c r="M666" s="28">
        <f t="shared" si="4"/>
        <v>0</v>
      </c>
      <c r="N666" s="1" t="str">
        <f t="array" ref="N666">IFERROR(INDEX('Исходник'!$1:$626,MATCH($A666,'Исходник'!$T:$T,0),MATCH(N$1,'Исходник'!$1:$1,0)))</f>
        <v/>
      </c>
      <c r="O666" s="27">
        <f t="shared" si="5"/>
        <v>0</v>
      </c>
      <c r="P666" s="27" t="str">
        <f t="shared" si="6"/>
        <v/>
      </c>
      <c r="Q666" s="1" t="str">
        <f t="array" ref="Q666">IFERROR(INDEX('Исходник'!$1:$626,MATCH($A666,'Исходник'!$T:$T,0),MATCH(Q$1,'Исходник'!$1:$1,0)))</f>
        <v/>
      </c>
      <c r="R666" s="1" t="str">
        <f t="array" ref="R666">IFERROR(INDEX('Исходник'!$1:$626,MATCH($A666,'Исходник'!$T:$T,0),MATCH(R$1,'Исходник'!$1:$1,0)))</f>
        <v/>
      </c>
      <c r="S666" s="27">
        <f t="shared" si="7"/>
        <v>0</v>
      </c>
      <c r="T666" s="27" t="str">
        <f t="shared" si="8"/>
        <v/>
      </c>
      <c r="U666" s="1" t="str">
        <f t="array" ref="U666">IFERROR(INDEX('Исходник'!$1:$626,MATCH($A666,'Исходник'!$T:$T,0),MATCH(U$1,'Исходник'!$1:$1,0)))</f>
        <v/>
      </c>
      <c r="V666" s="27" t="str">
        <f t="shared" si="9"/>
        <v/>
      </c>
      <c r="W666" s="1" t="str">
        <f t="array" ref="W666">IFERROR(INDEX('Исходник'!$1:$626,MATCH($A666,'Исходник'!$T:$T,0),MATCH(W$1,'Исходник'!$1:$1,0)))</f>
        <v/>
      </c>
      <c r="X666" s="28">
        <f t="shared" si="10"/>
        <v>0</v>
      </c>
      <c r="Y666" s="1" t="str">
        <f t="array" ref="Y666">IFERROR(INDEX('Исходник'!$1:$626,MATCH($A666,'Исходник'!$T:$T,0),MATCH(Y$1,'Исходник'!$1:$1,0)))</f>
        <v/>
      </c>
      <c r="Z666" s="27">
        <f t="shared" si="11"/>
        <v>0</v>
      </c>
      <c r="AA666" s="27" t="str">
        <f t="shared" si="12"/>
        <v/>
      </c>
      <c r="AB666" s="1" t="str">
        <f t="array" ref="AB666">IFERROR(INDEX('Исходник'!$1:$626,MATCH($A666,'Исходник'!$T:$T,0),MATCH(AB$1,'Исходник'!$1:$1,0)))</f>
        <v/>
      </c>
      <c r="AC666" s="1" t="str">
        <f t="array" ref="AC666">IFERROR(INDEX('Исходник'!$1:$626,MATCH($A666,'Исходник'!$T:$T,0),MATCH(AC$1,'Исходник'!$1:$1,0)))</f>
        <v/>
      </c>
      <c r="AD666" s="27" t="str">
        <f t="shared" si="13"/>
        <v/>
      </c>
      <c r="AE666" s="1" t="str">
        <f t="array" ref="AE666">IFERROR(INDEX('Исходник'!$1:$626,MATCH($A666,'Исходник'!$T:$T,0),MATCH(AE$1,'Исходник'!$1:$1,0)))</f>
        <v/>
      </c>
      <c r="AF666" s="1" t="str">
        <f t="array" ref="AF666">IFERROR(INDEX('Исходник'!$1:$626,MATCH($A666,'Исходник'!$T:$T,0),MATCH(AF$1,'Исходник'!$1:$1,0)))</f>
        <v/>
      </c>
      <c r="AG666" s="27" t="str">
        <f t="shared" si="14"/>
        <v/>
      </c>
      <c r="AH666" s="1" t="str">
        <f t="array" ref="AH666">IFERROR(INDEX('Исходник'!$1:$626,MATCH($A666,'Исходник'!$T:$T,0),MATCH(AH$1,'Исходник'!$1:$1,0)))</f>
        <v/>
      </c>
      <c r="AI666" s="1" t="str">
        <f t="array" ref="AI666">IFERROR(INDEX('Исходник'!$1:$626,MATCH($A666,'Исходник'!$T:$T,0),MATCH(AI$1,'Исходник'!$1:$1,0)))</f>
        <v/>
      </c>
      <c r="AJ666" s="18">
        <f t="shared" si="15"/>
        <v>0</v>
      </c>
    </row>
    <row r="667" ht="15.75" customHeight="1">
      <c r="A667" s="27"/>
      <c r="B667" s="1" t="str">
        <f t="array" ref="B667">IFERROR(INDEX('Исходник'!$1:$626,MATCH($A667,'Исходник'!$T:$T,0),MATCH(B$1,'Исходник'!$1:$1,0)))</f>
        <v/>
      </c>
      <c r="C667" s="1" t="str">
        <f t="array" ref="C667">IFERROR(INDEX('Исходник'!$1:$626,MATCH($A667,'Исходник'!$T:$T,0),MATCH(C$1,'Исходник'!$1:$1,0)))</f>
        <v/>
      </c>
      <c r="D667" s="1" t="str">
        <f t="array" ref="D667">IFERROR(INDEX('Исходник'!$1:$626,MATCH($A667,'Исходник'!$T:$T,0),MATCH(D$1,'Исходник'!$1:$1,0)))</f>
        <v/>
      </c>
      <c r="E667" s="1" t="str">
        <f t="array" ref="E667">IFERROR(INDEX('Исходник'!$1:$626,MATCH($A667,'Исходник'!$T:$T,0),MATCH(E$1,'Исходник'!$1:$1,0)))</f>
        <v/>
      </c>
      <c r="F667" s="1" t="str">
        <f t="array" ref="F667">IFERROR(INDEX('Исходник'!$1:$626,MATCH($A667,'Исходник'!$T:$T,0),MATCH(F$1,'Исходник'!$1:$1,0)))</f>
        <v/>
      </c>
      <c r="G667" s="1" t="str">
        <f t="array" ref="G667">IFERROR(INDEX('Исходник'!$1:$626,MATCH($A667,'Исходник'!$T:$T,0),MATCH(G$1,'Исходник'!$1:$1,0)))</f>
        <v/>
      </c>
      <c r="H667" s="27">
        <f t="shared" si="1"/>
        <v>0</v>
      </c>
      <c r="I667" s="27" t="str">
        <f t="shared" si="2"/>
        <v/>
      </c>
      <c r="J667" s="1" t="str">
        <f t="array" ref="J667">IFERROR(INDEX('Исходник'!$1:$626,MATCH($A667,'Исходник'!$T:$T,0),MATCH(J$1,'Исходник'!$1:$1,0)))</f>
        <v/>
      </c>
      <c r="K667" s="27" t="str">
        <f t="shared" si="3"/>
        <v/>
      </c>
      <c r="L667" s="1" t="str">
        <f t="array" ref="L667">IFERROR(INDEX('Исходник'!$1:$626,MATCH($A667,'Исходник'!$T:$T,0),MATCH(L$1,'Исходник'!$1:$1,0)))</f>
        <v/>
      </c>
      <c r="M667" s="28">
        <f t="shared" si="4"/>
        <v>0</v>
      </c>
      <c r="N667" s="1" t="str">
        <f t="array" ref="N667">IFERROR(INDEX('Исходник'!$1:$626,MATCH($A667,'Исходник'!$T:$T,0),MATCH(N$1,'Исходник'!$1:$1,0)))</f>
        <v/>
      </c>
      <c r="O667" s="27">
        <f t="shared" si="5"/>
        <v>0</v>
      </c>
      <c r="P667" s="27" t="str">
        <f t="shared" si="6"/>
        <v/>
      </c>
      <c r="Q667" s="1" t="str">
        <f t="array" ref="Q667">IFERROR(INDEX('Исходник'!$1:$626,MATCH($A667,'Исходник'!$T:$T,0),MATCH(Q$1,'Исходник'!$1:$1,0)))</f>
        <v/>
      </c>
      <c r="R667" s="1" t="str">
        <f t="array" ref="R667">IFERROR(INDEX('Исходник'!$1:$626,MATCH($A667,'Исходник'!$T:$T,0),MATCH(R$1,'Исходник'!$1:$1,0)))</f>
        <v/>
      </c>
      <c r="S667" s="27">
        <f t="shared" si="7"/>
        <v>0</v>
      </c>
      <c r="T667" s="27" t="str">
        <f t="shared" si="8"/>
        <v/>
      </c>
      <c r="U667" s="1" t="str">
        <f t="array" ref="U667">IFERROR(INDEX('Исходник'!$1:$626,MATCH($A667,'Исходник'!$T:$T,0),MATCH(U$1,'Исходник'!$1:$1,0)))</f>
        <v/>
      </c>
      <c r="V667" s="27" t="str">
        <f t="shared" si="9"/>
        <v/>
      </c>
      <c r="W667" s="1" t="str">
        <f t="array" ref="W667">IFERROR(INDEX('Исходник'!$1:$626,MATCH($A667,'Исходник'!$T:$T,0),MATCH(W$1,'Исходник'!$1:$1,0)))</f>
        <v/>
      </c>
      <c r="X667" s="28">
        <f t="shared" si="10"/>
        <v>0</v>
      </c>
      <c r="Y667" s="1" t="str">
        <f t="array" ref="Y667">IFERROR(INDEX('Исходник'!$1:$626,MATCH($A667,'Исходник'!$T:$T,0),MATCH(Y$1,'Исходник'!$1:$1,0)))</f>
        <v/>
      </c>
      <c r="Z667" s="27">
        <f t="shared" si="11"/>
        <v>0</v>
      </c>
      <c r="AA667" s="27" t="str">
        <f t="shared" si="12"/>
        <v/>
      </c>
      <c r="AB667" s="1" t="str">
        <f t="array" ref="AB667">IFERROR(INDEX('Исходник'!$1:$626,MATCH($A667,'Исходник'!$T:$T,0),MATCH(AB$1,'Исходник'!$1:$1,0)))</f>
        <v/>
      </c>
      <c r="AC667" s="1" t="str">
        <f t="array" ref="AC667">IFERROR(INDEX('Исходник'!$1:$626,MATCH($A667,'Исходник'!$T:$T,0),MATCH(AC$1,'Исходник'!$1:$1,0)))</f>
        <v/>
      </c>
      <c r="AD667" s="27" t="str">
        <f t="shared" si="13"/>
        <v/>
      </c>
      <c r="AE667" s="1" t="str">
        <f t="array" ref="AE667">IFERROR(INDEX('Исходник'!$1:$626,MATCH($A667,'Исходник'!$T:$T,0),MATCH(AE$1,'Исходник'!$1:$1,0)))</f>
        <v/>
      </c>
      <c r="AF667" s="1" t="str">
        <f t="array" ref="AF667">IFERROR(INDEX('Исходник'!$1:$626,MATCH($A667,'Исходник'!$T:$T,0),MATCH(AF$1,'Исходник'!$1:$1,0)))</f>
        <v/>
      </c>
      <c r="AG667" s="27" t="str">
        <f t="shared" si="14"/>
        <v/>
      </c>
      <c r="AH667" s="1" t="str">
        <f t="array" ref="AH667">IFERROR(INDEX('Исходник'!$1:$626,MATCH($A667,'Исходник'!$T:$T,0),MATCH(AH$1,'Исходник'!$1:$1,0)))</f>
        <v/>
      </c>
      <c r="AI667" s="1" t="str">
        <f t="array" ref="AI667">IFERROR(INDEX('Исходник'!$1:$626,MATCH($A667,'Исходник'!$T:$T,0),MATCH(AI$1,'Исходник'!$1:$1,0)))</f>
        <v/>
      </c>
      <c r="AJ667" s="18">
        <f t="shared" si="15"/>
        <v>0</v>
      </c>
    </row>
    <row r="668" ht="15.75" customHeight="1">
      <c r="A668" s="27"/>
      <c r="B668" s="1" t="str">
        <f t="array" ref="B668">IFERROR(INDEX('Исходник'!$1:$626,MATCH($A668,'Исходник'!$T:$T,0),MATCH(B$1,'Исходник'!$1:$1,0)))</f>
        <v/>
      </c>
      <c r="C668" s="1" t="str">
        <f t="array" ref="C668">IFERROR(INDEX('Исходник'!$1:$626,MATCH($A668,'Исходник'!$T:$T,0),MATCH(C$1,'Исходник'!$1:$1,0)))</f>
        <v/>
      </c>
      <c r="D668" s="1" t="str">
        <f t="array" ref="D668">IFERROR(INDEX('Исходник'!$1:$626,MATCH($A668,'Исходник'!$T:$T,0),MATCH(D$1,'Исходник'!$1:$1,0)))</f>
        <v/>
      </c>
      <c r="E668" s="1" t="str">
        <f t="array" ref="E668">IFERROR(INDEX('Исходник'!$1:$626,MATCH($A668,'Исходник'!$T:$T,0),MATCH(E$1,'Исходник'!$1:$1,0)))</f>
        <v/>
      </c>
      <c r="F668" s="1" t="str">
        <f t="array" ref="F668">IFERROR(INDEX('Исходник'!$1:$626,MATCH($A668,'Исходник'!$T:$T,0),MATCH(F$1,'Исходник'!$1:$1,0)))</f>
        <v/>
      </c>
      <c r="G668" s="1" t="str">
        <f t="array" ref="G668">IFERROR(INDEX('Исходник'!$1:$626,MATCH($A668,'Исходник'!$T:$T,0),MATCH(G$1,'Исходник'!$1:$1,0)))</f>
        <v/>
      </c>
      <c r="H668" s="27">
        <f t="shared" si="1"/>
        <v>0</v>
      </c>
      <c r="I668" s="27" t="str">
        <f t="shared" si="2"/>
        <v/>
      </c>
      <c r="J668" s="1" t="str">
        <f t="array" ref="J668">IFERROR(INDEX('Исходник'!$1:$626,MATCH($A668,'Исходник'!$T:$T,0),MATCH(J$1,'Исходник'!$1:$1,0)))</f>
        <v/>
      </c>
      <c r="K668" s="27" t="str">
        <f t="shared" si="3"/>
        <v/>
      </c>
      <c r="L668" s="1" t="str">
        <f t="array" ref="L668">IFERROR(INDEX('Исходник'!$1:$626,MATCH($A668,'Исходник'!$T:$T,0),MATCH(L$1,'Исходник'!$1:$1,0)))</f>
        <v/>
      </c>
      <c r="M668" s="28">
        <f t="shared" si="4"/>
        <v>0</v>
      </c>
      <c r="N668" s="1" t="str">
        <f t="array" ref="N668">IFERROR(INDEX('Исходник'!$1:$626,MATCH($A668,'Исходник'!$T:$T,0),MATCH(N$1,'Исходник'!$1:$1,0)))</f>
        <v/>
      </c>
      <c r="O668" s="27">
        <f t="shared" si="5"/>
        <v>0</v>
      </c>
      <c r="P668" s="27" t="str">
        <f t="shared" si="6"/>
        <v/>
      </c>
      <c r="Q668" s="1" t="str">
        <f t="array" ref="Q668">IFERROR(INDEX('Исходник'!$1:$626,MATCH($A668,'Исходник'!$T:$T,0),MATCH(Q$1,'Исходник'!$1:$1,0)))</f>
        <v/>
      </c>
      <c r="R668" s="1" t="str">
        <f t="array" ref="R668">IFERROR(INDEX('Исходник'!$1:$626,MATCH($A668,'Исходник'!$T:$T,0),MATCH(R$1,'Исходник'!$1:$1,0)))</f>
        <v/>
      </c>
      <c r="S668" s="27">
        <f t="shared" si="7"/>
        <v>0</v>
      </c>
      <c r="T668" s="27" t="str">
        <f t="shared" si="8"/>
        <v/>
      </c>
      <c r="U668" s="1" t="str">
        <f t="array" ref="U668">IFERROR(INDEX('Исходник'!$1:$626,MATCH($A668,'Исходник'!$T:$T,0),MATCH(U$1,'Исходник'!$1:$1,0)))</f>
        <v/>
      </c>
      <c r="V668" s="27" t="str">
        <f t="shared" si="9"/>
        <v/>
      </c>
      <c r="W668" s="1" t="str">
        <f t="array" ref="W668">IFERROR(INDEX('Исходник'!$1:$626,MATCH($A668,'Исходник'!$T:$T,0),MATCH(W$1,'Исходник'!$1:$1,0)))</f>
        <v/>
      </c>
      <c r="X668" s="28">
        <f t="shared" si="10"/>
        <v>0</v>
      </c>
      <c r="Y668" s="1" t="str">
        <f t="array" ref="Y668">IFERROR(INDEX('Исходник'!$1:$626,MATCH($A668,'Исходник'!$T:$T,0),MATCH(Y$1,'Исходник'!$1:$1,0)))</f>
        <v/>
      </c>
      <c r="Z668" s="27">
        <f t="shared" si="11"/>
        <v>0</v>
      </c>
      <c r="AA668" s="27" t="str">
        <f t="shared" si="12"/>
        <v/>
      </c>
      <c r="AB668" s="1" t="str">
        <f t="array" ref="AB668">IFERROR(INDEX('Исходник'!$1:$626,MATCH($A668,'Исходник'!$T:$T,0),MATCH(AB$1,'Исходник'!$1:$1,0)))</f>
        <v/>
      </c>
      <c r="AC668" s="1" t="str">
        <f t="array" ref="AC668">IFERROR(INDEX('Исходник'!$1:$626,MATCH($A668,'Исходник'!$T:$T,0),MATCH(AC$1,'Исходник'!$1:$1,0)))</f>
        <v/>
      </c>
      <c r="AD668" s="27" t="str">
        <f t="shared" si="13"/>
        <v/>
      </c>
      <c r="AE668" s="1" t="str">
        <f t="array" ref="AE668">IFERROR(INDEX('Исходник'!$1:$626,MATCH($A668,'Исходник'!$T:$T,0),MATCH(AE$1,'Исходник'!$1:$1,0)))</f>
        <v/>
      </c>
      <c r="AF668" s="1" t="str">
        <f t="array" ref="AF668">IFERROR(INDEX('Исходник'!$1:$626,MATCH($A668,'Исходник'!$T:$T,0),MATCH(AF$1,'Исходник'!$1:$1,0)))</f>
        <v/>
      </c>
      <c r="AG668" s="27" t="str">
        <f t="shared" si="14"/>
        <v/>
      </c>
      <c r="AH668" s="1" t="str">
        <f t="array" ref="AH668">IFERROR(INDEX('Исходник'!$1:$626,MATCH($A668,'Исходник'!$T:$T,0),MATCH(AH$1,'Исходник'!$1:$1,0)))</f>
        <v/>
      </c>
      <c r="AI668" s="1" t="str">
        <f t="array" ref="AI668">IFERROR(INDEX('Исходник'!$1:$626,MATCH($A668,'Исходник'!$T:$T,0),MATCH(AI$1,'Исходник'!$1:$1,0)))</f>
        <v/>
      </c>
      <c r="AJ668" s="18">
        <f t="shared" si="15"/>
        <v>0</v>
      </c>
    </row>
    <row r="669" ht="15.75" customHeight="1">
      <c r="A669" s="27"/>
      <c r="B669" s="1" t="str">
        <f t="array" ref="B669">IFERROR(INDEX('Исходник'!$1:$626,MATCH($A669,'Исходник'!$T:$T,0),MATCH(B$1,'Исходник'!$1:$1,0)))</f>
        <v/>
      </c>
      <c r="C669" s="1" t="str">
        <f t="array" ref="C669">IFERROR(INDEX('Исходник'!$1:$626,MATCH($A669,'Исходник'!$T:$T,0),MATCH(C$1,'Исходник'!$1:$1,0)))</f>
        <v/>
      </c>
      <c r="D669" s="1" t="str">
        <f t="array" ref="D669">IFERROR(INDEX('Исходник'!$1:$626,MATCH($A669,'Исходник'!$T:$T,0),MATCH(D$1,'Исходник'!$1:$1,0)))</f>
        <v/>
      </c>
      <c r="E669" s="1" t="str">
        <f t="array" ref="E669">IFERROR(INDEX('Исходник'!$1:$626,MATCH($A669,'Исходник'!$T:$T,0),MATCH(E$1,'Исходник'!$1:$1,0)))</f>
        <v/>
      </c>
      <c r="F669" s="1" t="str">
        <f t="array" ref="F669">IFERROR(INDEX('Исходник'!$1:$626,MATCH($A669,'Исходник'!$T:$T,0),MATCH(F$1,'Исходник'!$1:$1,0)))</f>
        <v/>
      </c>
      <c r="G669" s="1" t="str">
        <f t="array" ref="G669">IFERROR(INDEX('Исходник'!$1:$626,MATCH($A669,'Исходник'!$T:$T,0),MATCH(G$1,'Исходник'!$1:$1,0)))</f>
        <v/>
      </c>
      <c r="H669" s="27">
        <f t="shared" si="1"/>
        <v>0</v>
      </c>
      <c r="I669" s="27" t="str">
        <f t="shared" si="2"/>
        <v/>
      </c>
      <c r="J669" s="1" t="str">
        <f t="array" ref="J669">IFERROR(INDEX('Исходник'!$1:$626,MATCH($A669,'Исходник'!$T:$T,0),MATCH(J$1,'Исходник'!$1:$1,0)))</f>
        <v/>
      </c>
      <c r="K669" s="27" t="str">
        <f t="shared" si="3"/>
        <v/>
      </c>
      <c r="L669" s="1" t="str">
        <f t="array" ref="L669">IFERROR(INDEX('Исходник'!$1:$626,MATCH($A669,'Исходник'!$T:$T,0),MATCH(L$1,'Исходник'!$1:$1,0)))</f>
        <v/>
      </c>
      <c r="M669" s="28">
        <f t="shared" si="4"/>
        <v>0</v>
      </c>
      <c r="N669" s="1" t="str">
        <f t="array" ref="N669">IFERROR(INDEX('Исходник'!$1:$626,MATCH($A669,'Исходник'!$T:$T,0),MATCH(N$1,'Исходник'!$1:$1,0)))</f>
        <v/>
      </c>
      <c r="O669" s="27">
        <f t="shared" si="5"/>
        <v>0</v>
      </c>
      <c r="P669" s="27" t="str">
        <f t="shared" si="6"/>
        <v/>
      </c>
      <c r="Q669" s="1" t="str">
        <f t="array" ref="Q669">IFERROR(INDEX('Исходник'!$1:$626,MATCH($A669,'Исходник'!$T:$T,0),MATCH(Q$1,'Исходник'!$1:$1,0)))</f>
        <v/>
      </c>
      <c r="R669" s="1" t="str">
        <f t="array" ref="R669">IFERROR(INDEX('Исходник'!$1:$626,MATCH($A669,'Исходник'!$T:$T,0),MATCH(R$1,'Исходник'!$1:$1,0)))</f>
        <v/>
      </c>
      <c r="S669" s="27">
        <f t="shared" si="7"/>
        <v>0</v>
      </c>
      <c r="T669" s="27" t="str">
        <f t="shared" si="8"/>
        <v/>
      </c>
      <c r="U669" s="1" t="str">
        <f t="array" ref="U669">IFERROR(INDEX('Исходник'!$1:$626,MATCH($A669,'Исходник'!$T:$T,0),MATCH(U$1,'Исходник'!$1:$1,0)))</f>
        <v/>
      </c>
      <c r="V669" s="27" t="str">
        <f t="shared" si="9"/>
        <v/>
      </c>
      <c r="W669" s="1" t="str">
        <f t="array" ref="W669">IFERROR(INDEX('Исходник'!$1:$626,MATCH($A669,'Исходник'!$T:$T,0),MATCH(W$1,'Исходник'!$1:$1,0)))</f>
        <v/>
      </c>
      <c r="X669" s="28">
        <f t="shared" si="10"/>
        <v>0</v>
      </c>
      <c r="Y669" s="1" t="str">
        <f t="array" ref="Y669">IFERROR(INDEX('Исходник'!$1:$626,MATCH($A669,'Исходник'!$T:$T,0),MATCH(Y$1,'Исходник'!$1:$1,0)))</f>
        <v/>
      </c>
      <c r="Z669" s="27">
        <f t="shared" si="11"/>
        <v>0</v>
      </c>
      <c r="AA669" s="27" t="str">
        <f t="shared" si="12"/>
        <v/>
      </c>
      <c r="AB669" s="1" t="str">
        <f t="array" ref="AB669">IFERROR(INDEX('Исходник'!$1:$626,MATCH($A669,'Исходник'!$T:$T,0),MATCH(AB$1,'Исходник'!$1:$1,0)))</f>
        <v/>
      </c>
      <c r="AC669" s="1" t="str">
        <f t="array" ref="AC669">IFERROR(INDEX('Исходник'!$1:$626,MATCH($A669,'Исходник'!$T:$T,0),MATCH(AC$1,'Исходник'!$1:$1,0)))</f>
        <v/>
      </c>
      <c r="AD669" s="27" t="str">
        <f t="shared" si="13"/>
        <v/>
      </c>
      <c r="AE669" s="1" t="str">
        <f t="array" ref="AE669">IFERROR(INDEX('Исходник'!$1:$626,MATCH($A669,'Исходник'!$T:$T,0),MATCH(AE$1,'Исходник'!$1:$1,0)))</f>
        <v/>
      </c>
      <c r="AF669" s="1" t="str">
        <f t="array" ref="AF669">IFERROR(INDEX('Исходник'!$1:$626,MATCH($A669,'Исходник'!$T:$T,0),MATCH(AF$1,'Исходник'!$1:$1,0)))</f>
        <v/>
      </c>
      <c r="AG669" s="27" t="str">
        <f t="shared" si="14"/>
        <v/>
      </c>
      <c r="AH669" s="1" t="str">
        <f t="array" ref="AH669">IFERROR(INDEX('Исходник'!$1:$626,MATCH($A669,'Исходник'!$T:$T,0),MATCH(AH$1,'Исходник'!$1:$1,0)))</f>
        <v/>
      </c>
      <c r="AI669" s="1" t="str">
        <f t="array" ref="AI669">IFERROR(INDEX('Исходник'!$1:$626,MATCH($A669,'Исходник'!$T:$T,0),MATCH(AI$1,'Исходник'!$1:$1,0)))</f>
        <v/>
      </c>
      <c r="AJ669" s="18">
        <f t="shared" si="15"/>
        <v>0</v>
      </c>
    </row>
    <row r="670" ht="15.75" customHeight="1">
      <c r="A670" s="27"/>
      <c r="B670" s="1" t="str">
        <f t="array" ref="B670">IFERROR(INDEX('Исходник'!$1:$626,MATCH($A670,'Исходник'!$T:$T,0),MATCH(B$1,'Исходник'!$1:$1,0)))</f>
        <v/>
      </c>
      <c r="C670" s="1" t="str">
        <f t="array" ref="C670">IFERROR(INDEX('Исходник'!$1:$626,MATCH($A670,'Исходник'!$T:$T,0),MATCH(C$1,'Исходник'!$1:$1,0)))</f>
        <v/>
      </c>
      <c r="D670" s="1" t="str">
        <f t="array" ref="D670">IFERROR(INDEX('Исходник'!$1:$626,MATCH($A670,'Исходник'!$T:$T,0),MATCH(D$1,'Исходник'!$1:$1,0)))</f>
        <v/>
      </c>
      <c r="E670" s="1" t="str">
        <f t="array" ref="E670">IFERROR(INDEX('Исходник'!$1:$626,MATCH($A670,'Исходник'!$T:$T,0),MATCH(E$1,'Исходник'!$1:$1,0)))</f>
        <v/>
      </c>
      <c r="F670" s="1" t="str">
        <f t="array" ref="F670">IFERROR(INDEX('Исходник'!$1:$626,MATCH($A670,'Исходник'!$T:$T,0),MATCH(F$1,'Исходник'!$1:$1,0)))</f>
        <v/>
      </c>
      <c r="G670" s="1" t="str">
        <f t="array" ref="G670">IFERROR(INDEX('Исходник'!$1:$626,MATCH($A670,'Исходник'!$T:$T,0),MATCH(G$1,'Исходник'!$1:$1,0)))</f>
        <v/>
      </c>
      <c r="H670" s="27">
        <f t="shared" si="1"/>
        <v>0</v>
      </c>
      <c r="I670" s="27" t="str">
        <f t="shared" si="2"/>
        <v/>
      </c>
      <c r="J670" s="1" t="str">
        <f t="array" ref="J670">IFERROR(INDEX('Исходник'!$1:$626,MATCH($A670,'Исходник'!$T:$T,0),MATCH(J$1,'Исходник'!$1:$1,0)))</f>
        <v/>
      </c>
      <c r="K670" s="27" t="str">
        <f t="shared" si="3"/>
        <v/>
      </c>
      <c r="L670" s="1" t="str">
        <f t="array" ref="L670">IFERROR(INDEX('Исходник'!$1:$626,MATCH($A670,'Исходник'!$T:$T,0),MATCH(L$1,'Исходник'!$1:$1,0)))</f>
        <v/>
      </c>
      <c r="M670" s="28">
        <f t="shared" si="4"/>
        <v>0</v>
      </c>
      <c r="N670" s="1" t="str">
        <f t="array" ref="N670">IFERROR(INDEX('Исходник'!$1:$626,MATCH($A670,'Исходник'!$T:$T,0),MATCH(N$1,'Исходник'!$1:$1,0)))</f>
        <v/>
      </c>
      <c r="O670" s="27">
        <f t="shared" si="5"/>
        <v>0</v>
      </c>
      <c r="P670" s="27" t="str">
        <f t="shared" si="6"/>
        <v/>
      </c>
      <c r="Q670" s="1" t="str">
        <f t="array" ref="Q670">IFERROR(INDEX('Исходник'!$1:$626,MATCH($A670,'Исходник'!$T:$T,0),MATCH(Q$1,'Исходник'!$1:$1,0)))</f>
        <v/>
      </c>
      <c r="R670" s="1" t="str">
        <f t="array" ref="R670">IFERROR(INDEX('Исходник'!$1:$626,MATCH($A670,'Исходник'!$T:$T,0),MATCH(R$1,'Исходник'!$1:$1,0)))</f>
        <v/>
      </c>
      <c r="S670" s="27">
        <f t="shared" si="7"/>
        <v>0</v>
      </c>
      <c r="T670" s="27" t="str">
        <f t="shared" si="8"/>
        <v/>
      </c>
      <c r="U670" s="1" t="str">
        <f t="array" ref="U670">IFERROR(INDEX('Исходник'!$1:$626,MATCH($A670,'Исходник'!$T:$T,0),MATCH(U$1,'Исходник'!$1:$1,0)))</f>
        <v/>
      </c>
      <c r="V670" s="27" t="str">
        <f t="shared" si="9"/>
        <v/>
      </c>
      <c r="W670" s="1" t="str">
        <f t="array" ref="W670">IFERROR(INDEX('Исходник'!$1:$626,MATCH($A670,'Исходник'!$T:$T,0),MATCH(W$1,'Исходник'!$1:$1,0)))</f>
        <v/>
      </c>
      <c r="X670" s="28">
        <f t="shared" si="10"/>
        <v>0</v>
      </c>
      <c r="Y670" s="1" t="str">
        <f t="array" ref="Y670">IFERROR(INDEX('Исходник'!$1:$626,MATCH($A670,'Исходник'!$T:$T,0),MATCH(Y$1,'Исходник'!$1:$1,0)))</f>
        <v/>
      </c>
      <c r="Z670" s="27">
        <f t="shared" si="11"/>
        <v>0</v>
      </c>
      <c r="AA670" s="27" t="str">
        <f t="shared" si="12"/>
        <v/>
      </c>
      <c r="AB670" s="1" t="str">
        <f t="array" ref="AB670">IFERROR(INDEX('Исходник'!$1:$626,MATCH($A670,'Исходник'!$T:$T,0),MATCH(AB$1,'Исходник'!$1:$1,0)))</f>
        <v/>
      </c>
      <c r="AC670" s="1" t="str">
        <f t="array" ref="AC670">IFERROR(INDEX('Исходник'!$1:$626,MATCH($A670,'Исходник'!$T:$T,0),MATCH(AC$1,'Исходник'!$1:$1,0)))</f>
        <v/>
      </c>
      <c r="AD670" s="27" t="str">
        <f t="shared" si="13"/>
        <v/>
      </c>
      <c r="AE670" s="1" t="str">
        <f t="array" ref="AE670">IFERROR(INDEX('Исходник'!$1:$626,MATCH($A670,'Исходник'!$T:$T,0),MATCH(AE$1,'Исходник'!$1:$1,0)))</f>
        <v/>
      </c>
      <c r="AF670" s="1" t="str">
        <f t="array" ref="AF670">IFERROR(INDEX('Исходник'!$1:$626,MATCH($A670,'Исходник'!$T:$T,0),MATCH(AF$1,'Исходник'!$1:$1,0)))</f>
        <v/>
      </c>
      <c r="AG670" s="27" t="str">
        <f t="shared" si="14"/>
        <v/>
      </c>
      <c r="AH670" s="1" t="str">
        <f t="array" ref="AH670">IFERROR(INDEX('Исходник'!$1:$626,MATCH($A670,'Исходник'!$T:$T,0),MATCH(AH$1,'Исходник'!$1:$1,0)))</f>
        <v/>
      </c>
      <c r="AI670" s="1" t="str">
        <f t="array" ref="AI670">IFERROR(INDEX('Исходник'!$1:$626,MATCH($A670,'Исходник'!$T:$T,0),MATCH(AI$1,'Исходник'!$1:$1,0)))</f>
        <v/>
      </c>
      <c r="AJ670" s="18">
        <f t="shared" si="15"/>
        <v>0</v>
      </c>
    </row>
    <row r="671" ht="15.75" customHeight="1">
      <c r="A671" s="27"/>
      <c r="B671" s="1" t="str">
        <f t="array" ref="B671">IFERROR(INDEX('Исходник'!$1:$626,MATCH($A671,'Исходник'!$T:$T,0),MATCH(B$1,'Исходник'!$1:$1,0)))</f>
        <v/>
      </c>
      <c r="C671" s="1" t="str">
        <f t="array" ref="C671">IFERROR(INDEX('Исходник'!$1:$626,MATCH($A671,'Исходник'!$T:$T,0),MATCH(C$1,'Исходник'!$1:$1,0)))</f>
        <v/>
      </c>
      <c r="D671" s="1" t="str">
        <f t="array" ref="D671">IFERROR(INDEX('Исходник'!$1:$626,MATCH($A671,'Исходник'!$T:$T,0),MATCH(D$1,'Исходник'!$1:$1,0)))</f>
        <v/>
      </c>
      <c r="E671" s="1" t="str">
        <f t="array" ref="E671">IFERROR(INDEX('Исходник'!$1:$626,MATCH($A671,'Исходник'!$T:$T,0),MATCH(E$1,'Исходник'!$1:$1,0)))</f>
        <v/>
      </c>
      <c r="F671" s="1" t="str">
        <f t="array" ref="F671">IFERROR(INDEX('Исходник'!$1:$626,MATCH($A671,'Исходник'!$T:$T,0),MATCH(F$1,'Исходник'!$1:$1,0)))</f>
        <v/>
      </c>
      <c r="G671" s="1" t="str">
        <f t="array" ref="G671">IFERROR(INDEX('Исходник'!$1:$626,MATCH($A671,'Исходник'!$T:$T,0),MATCH(G$1,'Исходник'!$1:$1,0)))</f>
        <v/>
      </c>
      <c r="H671" s="27">
        <f t="shared" si="1"/>
        <v>0</v>
      </c>
      <c r="I671" s="27" t="str">
        <f t="shared" si="2"/>
        <v/>
      </c>
      <c r="J671" s="1" t="str">
        <f t="array" ref="J671">IFERROR(INDEX('Исходник'!$1:$626,MATCH($A671,'Исходник'!$T:$T,0),MATCH(J$1,'Исходник'!$1:$1,0)))</f>
        <v/>
      </c>
      <c r="K671" s="27" t="str">
        <f t="shared" si="3"/>
        <v/>
      </c>
      <c r="L671" s="1" t="str">
        <f t="array" ref="L671">IFERROR(INDEX('Исходник'!$1:$626,MATCH($A671,'Исходник'!$T:$T,0),MATCH(L$1,'Исходник'!$1:$1,0)))</f>
        <v/>
      </c>
      <c r="M671" s="28">
        <f t="shared" si="4"/>
        <v>0</v>
      </c>
      <c r="N671" s="1" t="str">
        <f t="array" ref="N671">IFERROR(INDEX('Исходник'!$1:$626,MATCH($A671,'Исходник'!$T:$T,0),MATCH(N$1,'Исходник'!$1:$1,0)))</f>
        <v/>
      </c>
      <c r="O671" s="27">
        <f t="shared" si="5"/>
        <v>0</v>
      </c>
      <c r="P671" s="27" t="str">
        <f t="shared" si="6"/>
        <v/>
      </c>
      <c r="Q671" s="1" t="str">
        <f t="array" ref="Q671">IFERROR(INDEX('Исходник'!$1:$626,MATCH($A671,'Исходник'!$T:$T,0),MATCH(Q$1,'Исходник'!$1:$1,0)))</f>
        <v/>
      </c>
      <c r="R671" s="1" t="str">
        <f t="array" ref="R671">IFERROR(INDEX('Исходник'!$1:$626,MATCH($A671,'Исходник'!$T:$T,0),MATCH(R$1,'Исходник'!$1:$1,0)))</f>
        <v/>
      </c>
      <c r="S671" s="27">
        <f t="shared" si="7"/>
        <v>0</v>
      </c>
      <c r="T671" s="27" t="str">
        <f t="shared" si="8"/>
        <v/>
      </c>
      <c r="U671" s="1" t="str">
        <f t="array" ref="U671">IFERROR(INDEX('Исходник'!$1:$626,MATCH($A671,'Исходник'!$T:$T,0),MATCH(U$1,'Исходник'!$1:$1,0)))</f>
        <v/>
      </c>
      <c r="V671" s="27" t="str">
        <f t="shared" si="9"/>
        <v/>
      </c>
      <c r="W671" s="1" t="str">
        <f t="array" ref="W671">IFERROR(INDEX('Исходник'!$1:$626,MATCH($A671,'Исходник'!$T:$T,0),MATCH(W$1,'Исходник'!$1:$1,0)))</f>
        <v/>
      </c>
      <c r="X671" s="28">
        <f t="shared" si="10"/>
        <v>0</v>
      </c>
      <c r="Y671" s="1" t="str">
        <f t="array" ref="Y671">IFERROR(INDEX('Исходник'!$1:$626,MATCH($A671,'Исходник'!$T:$T,0),MATCH(Y$1,'Исходник'!$1:$1,0)))</f>
        <v/>
      </c>
      <c r="Z671" s="27">
        <f t="shared" si="11"/>
        <v>0</v>
      </c>
      <c r="AA671" s="27" t="str">
        <f t="shared" si="12"/>
        <v/>
      </c>
      <c r="AB671" s="1" t="str">
        <f t="array" ref="AB671">IFERROR(INDEX('Исходник'!$1:$626,MATCH($A671,'Исходник'!$T:$T,0),MATCH(AB$1,'Исходник'!$1:$1,0)))</f>
        <v/>
      </c>
      <c r="AC671" s="1" t="str">
        <f t="array" ref="AC671">IFERROR(INDEX('Исходник'!$1:$626,MATCH($A671,'Исходник'!$T:$T,0),MATCH(AC$1,'Исходник'!$1:$1,0)))</f>
        <v/>
      </c>
      <c r="AD671" s="27" t="str">
        <f t="shared" si="13"/>
        <v/>
      </c>
      <c r="AE671" s="1" t="str">
        <f t="array" ref="AE671">IFERROR(INDEX('Исходник'!$1:$626,MATCH($A671,'Исходник'!$T:$T,0),MATCH(AE$1,'Исходник'!$1:$1,0)))</f>
        <v/>
      </c>
      <c r="AF671" s="1" t="str">
        <f t="array" ref="AF671">IFERROR(INDEX('Исходник'!$1:$626,MATCH($A671,'Исходник'!$T:$T,0),MATCH(AF$1,'Исходник'!$1:$1,0)))</f>
        <v/>
      </c>
      <c r="AG671" s="27" t="str">
        <f t="shared" si="14"/>
        <v/>
      </c>
      <c r="AH671" s="1" t="str">
        <f t="array" ref="AH671">IFERROR(INDEX('Исходник'!$1:$626,MATCH($A671,'Исходник'!$T:$T,0),MATCH(AH$1,'Исходник'!$1:$1,0)))</f>
        <v/>
      </c>
      <c r="AI671" s="1" t="str">
        <f t="array" ref="AI671">IFERROR(INDEX('Исходник'!$1:$626,MATCH($A671,'Исходник'!$T:$T,0),MATCH(AI$1,'Исходник'!$1:$1,0)))</f>
        <v/>
      </c>
      <c r="AJ671" s="18">
        <f t="shared" si="15"/>
        <v>0</v>
      </c>
    </row>
    <row r="672" ht="15.75" customHeight="1">
      <c r="A672" s="27"/>
      <c r="B672" s="1" t="str">
        <f t="array" ref="B672">IFERROR(INDEX('Исходник'!$1:$626,MATCH($A672,'Исходник'!$T:$T,0),MATCH(B$1,'Исходник'!$1:$1,0)))</f>
        <v/>
      </c>
      <c r="C672" s="1" t="str">
        <f t="array" ref="C672">IFERROR(INDEX('Исходник'!$1:$626,MATCH($A672,'Исходник'!$T:$T,0),MATCH(C$1,'Исходник'!$1:$1,0)))</f>
        <v/>
      </c>
      <c r="D672" s="1" t="str">
        <f t="array" ref="D672">IFERROR(INDEX('Исходник'!$1:$626,MATCH($A672,'Исходник'!$T:$T,0),MATCH(D$1,'Исходник'!$1:$1,0)))</f>
        <v/>
      </c>
      <c r="E672" s="1" t="str">
        <f t="array" ref="E672">IFERROR(INDEX('Исходник'!$1:$626,MATCH($A672,'Исходник'!$T:$T,0),MATCH(E$1,'Исходник'!$1:$1,0)))</f>
        <v/>
      </c>
      <c r="F672" s="1" t="str">
        <f t="array" ref="F672">IFERROR(INDEX('Исходник'!$1:$626,MATCH($A672,'Исходник'!$T:$T,0),MATCH(F$1,'Исходник'!$1:$1,0)))</f>
        <v/>
      </c>
      <c r="G672" s="1" t="str">
        <f t="array" ref="G672">IFERROR(INDEX('Исходник'!$1:$626,MATCH($A672,'Исходник'!$T:$T,0),MATCH(G$1,'Исходник'!$1:$1,0)))</f>
        <v/>
      </c>
      <c r="H672" s="27">
        <f t="shared" si="1"/>
        <v>0</v>
      </c>
      <c r="I672" s="27" t="str">
        <f t="shared" si="2"/>
        <v/>
      </c>
      <c r="J672" s="1" t="str">
        <f t="array" ref="J672">IFERROR(INDEX('Исходник'!$1:$626,MATCH($A672,'Исходник'!$T:$T,0),MATCH(J$1,'Исходник'!$1:$1,0)))</f>
        <v/>
      </c>
      <c r="K672" s="27" t="str">
        <f t="shared" si="3"/>
        <v/>
      </c>
      <c r="L672" s="1" t="str">
        <f t="array" ref="L672">IFERROR(INDEX('Исходник'!$1:$626,MATCH($A672,'Исходник'!$T:$T,0),MATCH(L$1,'Исходник'!$1:$1,0)))</f>
        <v/>
      </c>
      <c r="M672" s="28">
        <f t="shared" si="4"/>
        <v>0</v>
      </c>
      <c r="N672" s="1" t="str">
        <f t="array" ref="N672">IFERROR(INDEX('Исходник'!$1:$626,MATCH($A672,'Исходник'!$T:$T,0),MATCH(N$1,'Исходник'!$1:$1,0)))</f>
        <v/>
      </c>
      <c r="O672" s="27">
        <f t="shared" si="5"/>
        <v>0</v>
      </c>
      <c r="P672" s="27" t="str">
        <f t="shared" si="6"/>
        <v/>
      </c>
      <c r="Q672" s="1" t="str">
        <f t="array" ref="Q672">IFERROR(INDEX('Исходник'!$1:$626,MATCH($A672,'Исходник'!$T:$T,0),MATCH(Q$1,'Исходник'!$1:$1,0)))</f>
        <v/>
      </c>
      <c r="R672" s="1" t="str">
        <f t="array" ref="R672">IFERROR(INDEX('Исходник'!$1:$626,MATCH($A672,'Исходник'!$T:$T,0),MATCH(R$1,'Исходник'!$1:$1,0)))</f>
        <v/>
      </c>
      <c r="S672" s="27">
        <f t="shared" si="7"/>
        <v>0</v>
      </c>
      <c r="T672" s="27" t="str">
        <f t="shared" si="8"/>
        <v/>
      </c>
      <c r="U672" s="1" t="str">
        <f t="array" ref="U672">IFERROR(INDEX('Исходник'!$1:$626,MATCH($A672,'Исходник'!$T:$T,0),MATCH(U$1,'Исходник'!$1:$1,0)))</f>
        <v/>
      </c>
      <c r="V672" s="27" t="str">
        <f t="shared" si="9"/>
        <v/>
      </c>
      <c r="W672" s="1" t="str">
        <f t="array" ref="W672">IFERROR(INDEX('Исходник'!$1:$626,MATCH($A672,'Исходник'!$T:$T,0),MATCH(W$1,'Исходник'!$1:$1,0)))</f>
        <v/>
      </c>
      <c r="X672" s="28">
        <f t="shared" si="10"/>
        <v>0</v>
      </c>
      <c r="Y672" s="1" t="str">
        <f t="array" ref="Y672">IFERROR(INDEX('Исходник'!$1:$626,MATCH($A672,'Исходник'!$T:$T,0),MATCH(Y$1,'Исходник'!$1:$1,0)))</f>
        <v/>
      </c>
      <c r="Z672" s="27">
        <f t="shared" si="11"/>
        <v>0</v>
      </c>
      <c r="AA672" s="27" t="str">
        <f t="shared" si="12"/>
        <v/>
      </c>
      <c r="AB672" s="1" t="str">
        <f t="array" ref="AB672">IFERROR(INDEX('Исходник'!$1:$626,MATCH($A672,'Исходник'!$T:$T,0),MATCH(AB$1,'Исходник'!$1:$1,0)))</f>
        <v/>
      </c>
      <c r="AC672" s="1" t="str">
        <f t="array" ref="AC672">IFERROR(INDEX('Исходник'!$1:$626,MATCH($A672,'Исходник'!$T:$T,0),MATCH(AC$1,'Исходник'!$1:$1,0)))</f>
        <v/>
      </c>
      <c r="AD672" s="27" t="str">
        <f t="shared" si="13"/>
        <v/>
      </c>
      <c r="AE672" s="1" t="str">
        <f t="array" ref="AE672">IFERROR(INDEX('Исходник'!$1:$626,MATCH($A672,'Исходник'!$T:$T,0),MATCH(AE$1,'Исходник'!$1:$1,0)))</f>
        <v/>
      </c>
      <c r="AF672" s="1" t="str">
        <f t="array" ref="AF672">IFERROR(INDEX('Исходник'!$1:$626,MATCH($A672,'Исходник'!$T:$T,0),MATCH(AF$1,'Исходник'!$1:$1,0)))</f>
        <v/>
      </c>
      <c r="AG672" s="27" t="str">
        <f t="shared" si="14"/>
        <v/>
      </c>
      <c r="AH672" s="1" t="str">
        <f t="array" ref="AH672">IFERROR(INDEX('Исходник'!$1:$626,MATCH($A672,'Исходник'!$T:$T,0),MATCH(AH$1,'Исходник'!$1:$1,0)))</f>
        <v/>
      </c>
      <c r="AI672" s="1" t="str">
        <f t="array" ref="AI672">IFERROR(INDEX('Исходник'!$1:$626,MATCH($A672,'Исходник'!$T:$T,0),MATCH(AI$1,'Исходник'!$1:$1,0)))</f>
        <v/>
      </c>
      <c r="AJ672" s="18">
        <f t="shared" si="15"/>
        <v>0</v>
      </c>
    </row>
    <row r="673" ht="15.75" customHeight="1">
      <c r="A673" s="27"/>
      <c r="B673" s="1" t="str">
        <f t="array" ref="B673">IFERROR(INDEX('Исходник'!$1:$626,MATCH($A673,'Исходник'!$T:$T,0),MATCH(B$1,'Исходник'!$1:$1,0)))</f>
        <v/>
      </c>
      <c r="C673" s="1" t="str">
        <f t="array" ref="C673">IFERROR(INDEX('Исходник'!$1:$626,MATCH($A673,'Исходник'!$T:$T,0),MATCH(C$1,'Исходник'!$1:$1,0)))</f>
        <v/>
      </c>
      <c r="D673" s="1" t="str">
        <f t="array" ref="D673">IFERROR(INDEX('Исходник'!$1:$626,MATCH($A673,'Исходник'!$T:$T,0),MATCH(D$1,'Исходник'!$1:$1,0)))</f>
        <v/>
      </c>
      <c r="E673" s="1" t="str">
        <f t="array" ref="E673">IFERROR(INDEX('Исходник'!$1:$626,MATCH($A673,'Исходник'!$T:$T,0),MATCH(E$1,'Исходник'!$1:$1,0)))</f>
        <v/>
      </c>
      <c r="F673" s="1" t="str">
        <f t="array" ref="F673">IFERROR(INDEX('Исходник'!$1:$626,MATCH($A673,'Исходник'!$T:$T,0),MATCH(F$1,'Исходник'!$1:$1,0)))</f>
        <v/>
      </c>
      <c r="G673" s="1" t="str">
        <f t="array" ref="G673">IFERROR(INDEX('Исходник'!$1:$626,MATCH($A673,'Исходник'!$T:$T,0),MATCH(G$1,'Исходник'!$1:$1,0)))</f>
        <v/>
      </c>
      <c r="H673" s="27">
        <f t="shared" si="1"/>
        <v>0</v>
      </c>
      <c r="I673" s="27" t="str">
        <f t="shared" si="2"/>
        <v/>
      </c>
      <c r="J673" s="1" t="str">
        <f t="array" ref="J673">IFERROR(INDEX('Исходник'!$1:$626,MATCH($A673,'Исходник'!$T:$T,0),MATCH(J$1,'Исходник'!$1:$1,0)))</f>
        <v/>
      </c>
      <c r="K673" s="27" t="str">
        <f t="shared" si="3"/>
        <v/>
      </c>
      <c r="L673" s="1" t="str">
        <f t="array" ref="L673">IFERROR(INDEX('Исходник'!$1:$626,MATCH($A673,'Исходник'!$T:$T,0),MATCH(L$1,'Исходник'!$1:$1,0)))</f>
        <v/>
      </c>
      <c r="M673" s="28">
        <f t="shared" si="4"/>
        <v>0</v>
      </c>
      <c r="N673" s="1" t="str">
        <f t="array" ref="N673">IFERROR(INDEX('Исходник'!$1:$626,MATCH($A673,'Исходник'!$T:$T,0),MATCH(N$1,'Исходник'!$1:$1,0)))</f>
        <v/>
      </c>
      <c r="O673" s="27">
        <f t="shared" si="5"/>
        <v>0</v>
      </c>
      <c r="P673" s="27" t="str">
        <f t="shared" si="6"/>
        <v/>
      </c>
      <c r="Q673" s="1" t="str">
        <f t="array" ref="Q673">IFERROR(INDEX('Исходник'!$1:$626,MATCH($A673,'Исходник'!$T:$T,0),MATCH(Q$1,'Исходник'!$1:$1,0)))</f>
        <v/>
      </c>
      <c r="R673" s="1" t="str">
        <f t="array" ref="R673">IFERROR(INDEX('Исходник'!$1:$626,MATCH($A673,'Исходник'!$T:$T,0),MATCH(R$1,'Исходник'!$1:$1,0)))</f>
        <v/>
      </c>
      <c r="S673" s="27">
        <f t="shared" si="7"/>
        <v>0</v>
      </c>
      <c r="T673" s="27" t="str">
        <f t="shared" si="8"/>
        <v/>
      </c>
      <c r="U673" s="1" t="str">
        <f t="array" ref="U673">IFERROR(INDEX('Исходник'!$1:$626,MATCH($A673,'Исходник'!$T:$T,0),MATCH(U$1,'Исходник'!$1:$1,0)))</f>
        <v/>
      </c>
      <c r="V673" s="27" t="str">
        <f t="shared" si="9"/>
        <v/>
      </c>
      <c r="W673" s="1" t="str">
        <f t="array" ref="W673">IFERROR(INDEX('Исходник'!$1:$626,MATCH($A673,'Исходник'!$T:$T,0),MATCH(W$1,'Исходник'!$1:$1,0)))</f>
        <v/>
      </c>
      <c r="X673" s="28">
        <f t="shared" si="10"/>
        <v>0</v>
      </c>
      <c r="Y673" s="1" t="str">
        <f t="array" ref="Y673">IFERROR(INDEX('Исходник'!$1:$626,MATCH($A673,'Исходник'!$T:$T,0),MATCH(Y$1,'Исходник'!$1:$1,0)))</f>
        <v/>
      </c>
      <c r="Z673" s="27">
        <f t="shared" si="11"/>
        <v>0</v>
      </c>
      <c r="AA673" s="27" t="str">
        <f t="shared" si="12"/>
        <v/>
      </c>
      <c r="AB673" s="1" t="str">
        <f t="array" ref="AB673">IFERROR(INDEX('Исходник'!$1:$626,MATCH($A673,'Исходник'!$T:$T,0),MATCH(AB$1,'Исходник'!$1:$1,0)))</f>
        <v/>
      </c>
      <c r="AC673" s="1" t="str">
        <f t="array" ref="AC673">IFERROR(INDEX('Исходник'!$1:$626,MATCH($A673,'Исходник'!$T:$T,0),MATCH(AC$1,'Исходник'!$1:$1,0)))</f>
        <v/>
      </c>
      <c r="AD673" s="27" t="str">
        <f t="shared" si="13"/>
        <v/>
      </c>
      <c r="AE673" s="1" t="str">
        <f t="array" ref="AE673">IFERROR(INDEX('Исходник'!$1:$626,MATCH($A673,'Исходник'!$T:$T,0),MATCH(AE$1,'Исходник'!$1:$1,0)))</f>
        <v/>
      </c>
      <c r="AF673" s="1" t="str">
        <f t="array" ref="AF673">IFERROR(INDEX('Исходник'!$1:$626,MATCH($A673,'Исходник'!$T:$T,0),MATCH(AF$1,'Исходник'!$1:$1,0)))</f>
        <v/>
      </c>
      <c r="AG673" s="27" t="str">
        <f t="shared" si="14"/>
        <v/>
      </c>
      <c r="AH673" s="1" t="str">
        <f t="array" ref="AH673">IFERROR(INDEX('Исходник'!$1:$626,MATCH($A673,'Исходник'!$T:$T,0),MATCH(AH$1,'Исходник'!$1:$1,0)))</f>
        <v/>
      </c>
      <c r="AI673" s="1" t="str">
        <f t="array" ref="AI673">IFERROR(INDEX('Исходник'!$1:$626,MATCH($A673,'Исходник'!$T:$T,0),MATCH(AI$1,'Исходник'!$1:$1,0)))</f>
        <v/>
      </c>
      <c r="AJ673" s="18">
        <f t="shared" si="15"/>
        <v>0</v>
      </c>
    </row>
    <row r="674" ht="15.75" customHeight="1">
      <c r="A674" s="27"/>
      <c r="B674" s="1" t="str">
        <f t="array" ref="B674">IFERROR(INDEX('Исходник'!$1:$626,MATCH($A674,'Исходник'!$T:$T,0),MATCH(B$1,'Исходник'!$1:$1,0)))</f>
        <v/>
      </c>
      <c r="C674" s="1" t="str">
        <f t="array" ref="C674">IFERROR(INDEX('Исходник'!$1:$626,MATCH($A674,'Исходник'!$T:$T,0),MATCH(C$1,'Исходник'!$1:$1,0)))</f>
        <v/>
      </c>
      <c r="D674" s="1" t="str">
        <f t="array" ref="D674">IFERROR(INDEX('Исходник'!$1:$626,MATCH($A674,'Исходник'!$T:$T,0),MATCH(D$1,'Исходник'!$1:$1,0)))</f>
        <v/>
      </c>
      <c r="E674" s="1" t="str">
        <f t="array" ref="E674">IFERROR(INDEX('Исходник'!$1:$626,MATCH($A674,'Исходник'!$T:$T,0),MATCH(E$1,'Исходник'!$1:$1,0)))</f>
        <v/>
      </c>
      <c r="F674" s="1" t="str">
        <f t="array" ref="F674">IFERROR(INDEX('Исходник'!$1:$626,MATCH($A674,'Исходник'!$T:$T,0),MATCH(F$1,'Исходник'!$1:$1,0)))</f>
        <v/>
      </c>
      <c r="G674" s="1" t="str">
        <f t="array" ref="G674">IFERROR(INDEX('Исходник'!$1:$626,MATCH($A674,'Исходник'!$T:$T,0),MATCH(G$1,'Исходник'!$1:$1,0)))</f>
        <v/>
      </c>
      <c r="H674" s="27">
        <f t="shared" si="1"/>
        <v>0</v>
      </c>
      <c r="I674" s="27" t="str">
        <f t="shared" si="2"/>
        <v/>
      </c>
      <c r="J674" s="1" t="str">
        <f t="array" ref="J674">IFERROR(INDEX('Исходник'!$1:$626,MATCH($A674,'Исходник'!$T:$T,0),MATCH(J$1,'Исходник'!$1:$1,0)))</f>
        <v/>
      </c>
      <c r="K674" s="27" t="str">
        <f t="shared" si="3"/>
        <v/>
      </c>
      <c r="L674" s="1" t="str">
        <f t="array" ref="L674">IFERROR(INDEX('Исходник'!$1:$626,MATCH($A674,'Исходник'!$T:$T,0),MATCH(L$1,'Исходник'!$1:$1,0)))</f>
        <v/>
      </c>
      <c r="M674" s="28">
        <f t="shared" si="4"/>
        <v>0</v>
      </c>
      <c r="N674" s="1" t="str">
        <f t="array" ref="N674">IFERROR(INDEX('Исходник'!$1:$626,MATCH($A674,'Исходник'!$T:$T,0),MATCH(N$1,'Исходник'!$1:$1,0)))</f>
        <v/>
      </c>
      <c r="O674" s="27">
        <f t="shared" si="5"/>
        <v>0</v>
      </c>
      <c r="P674" s="27" t="str">
        <f t="shared" si="6"/>
        <v/>
      </c>
      <c r="Q674" s="1" t="str">
        <f t="array" ref="Q674">IFERROR(INDEX('Исходник'!$1:$626,MATCH($A674,'Исходник'!$T:$T,0),MATCH(Q$1,'Исходник'!$1:$1,0)))</f>
        <v/>
      </c>
      <c r="R674" s="1" t="str">
        <f t="array" ref="R674">IFERROR(INDEX('Исходник'!$1:$626,MATCH($A674,'Исходник'!$T:$T,0),MATCH(R$1,'Исходник'!$1:$1,0)))</f>
        <v/>
      </c>
      <c r="S674" s="27">
        <f t="shared" si="7"/>
        <v>0</v>
      </c>
      <c r="T674" s="27" t="str">
        <f t="shared" si="8"/>
        <v/>
      </c>
      <c r="U674" s="1" t="str">
        <f t="array" ref="U674">IFERROR(INDEX('Исходник'!$1:$626,MATCH($A674,'Исходник'!$T:$T,0),MATCH(U$1,'Исходник'!$1:$1,0)))</f>
        <v/>
      </c>
      <c r="V674" s="27" t="str">
        <f t="shared" si="9"/>
        <v/>
      </c>
      <c r="W674" s="1" t="str">
        <f t="array" ref="W674">IFERROR(INDEX('Исходник'!$1:$626,MATCH($A674,'Исходник'!$T:$T,0),MATCH(W$1,'Исходник'!$1:$1,0)))</f>
        <v/>
      </c>
      <c r="X674" s="28">
        <f t="shared" si="10"/>
        <v>0</v>
      </c>
      <c r="Y674" s="1" t="str">
        <f t="array" ref="Y674">IFERROR(INDEX('Исходник'!$1:$626,MATCH($A674,'Исходник'!$T:$T,0),MATCH(Y$1,'Исходник'!$1:$1,0)))</f>
        <v/>
      </c>
      <c r="Z674" s="27">
        <f t="shared" si="11"/>
        <v>0</v>
      </c>
      <c r="AA674" s="27" t="str">
        <f t="shared" si="12"/>
        <v/>
      </c>
      <c r="AB674" s="1" t="str">
        <f t="array" ref="AB674">IFERROR(INDEX('Исходник'!$1:$626,MATCH($A674,'Исходник'!$T:$T,0),MATCH(AB$1,'Исходник'!$1:$1,0)))</f>
        <v/>
      </c>
      <c r="AC674" s="1" t="str">
        <f t="array" ref="AC674">IFERROR(INDEX('Исходник'!$1:$626,MATCH($A674,'Исходник'!$T:$T,0),MATCH(AC$1,'Исходник'!$1:$1,0)))</f>
        <v/>
      </c>
      <c r="AD674" s="27" t="str">
        <f t="shared" si="13"/>
        <v/>
      </c>
      <c r="AE674" s="1" t="str">
        <f t="array" ref="AE674">IFERROR(INDEX('Исходник'!$1:$626,MATCH($A674,'Исходник'!$T:$T,0),MATCH(AE$1,'Исходник'!$1:$1,0)))</f>
        <v/>
      </c>
      <c r="AF674" s="1" t="str">
        <f t="array" ref="AF674">IFERROR(INDEX('Исходник'!$1:$626,MATCH($A674,'Исходник'!$T:$T,0),MATCH(AF$1,'Исходник'!$1:$1,0)))</f>
        <v/>
      </c>
      <c r="AG674" s="27" t="str">
        <f t="shared" si="14"/>
        <v/>
      </c>
      <c r="AH674" s="1" t="str">
        <f t="array" ref="AH674">IFERROR(INDEX('Исходник'!$1:$626,MATCH($A674,'Исходник'!$T:$T,0),MATCH(AH$1,'Исходник'!$1:$1,0)))</f>
        <v/>
      </c>
      <c r="AI674" s="1" t="str">
        <f t="array" ref="AI674">IFERROR(INDEX('Исходник'!$1:$626,MATCH($A674,'Исходник'!$T:$T,0),MATCH(AI$1,'Исходник'!$1:$1,0)))</f>
        <v/>
      </c>
      <c r="AJ674" s="18">
        <f t="shared" si="15"/>
        <v>0</v>
      </c>
    </row>
    <row r="675" ht="15.75" customHeight="1">
      <c r="A675" s="27"/>
      <c r="B675" s="1" t="str">
        <f t="array" ref="B675">IFERROR(INDEX('Исходник'!$1:$626,MATCH($A675,'Исходник'!$T:$T,0),MATCH(B$1,'Исходник'!$1:$1,0)))</f>
        <v/>
      </c>
      <c r="C675" s="1" t="str">
        <f t="array" ref="C675">IFERROR(INDEX('Исходник'!$1:$626,MATCH($A675,'Исходник'!$T:$T,0),MATCH(C$1,'Исходник'!$1:$1,0)))</f>
        <v/>
      </c>
      <c r="D675" s="1" t="str">
        <f t="array" ref="D675">IFERROR(INDEX('Исходник'!$1:$626,MATCH($A675,'Исходник'!$T:$T,0),MATCH(D$1,'Исходник'!$1:$1,0)))</f>
        <v/>
      </c>
      <c r="E675" s="1" t="str">
        <f t="array" ref="E675">IFERROR(INDEX('Исходник'!$1:$626,MATCH($A675,'Исходник'!$T:$T,0),MATCH(E$1,'Исходник'!$1:$1,0)))</f>
        <v/>
      </c>
      <c r="F675" s="1" t="str">
        <f t="array" ref="F675">IFERROR(INDEX('Исходник'!$1:$626,MATCH($A675,'Исходник'!$T:$T,0),MATCH(F$1,'Исходник'!$1:$1,0)))</f>
        <v/>
      </c>
      <c r="G675" s="1" t="str">
        <f t="array" ref="G675">IFERROR(INDEX('Исходник'!$1:$626,MATCH($A675,'Исходник'!$T:$T,0),MATCH(G$1,'Исходник'!$1:$1,0)))</f>
        <v/>
      </c>
      <c r="H675" s="27">
        <f t="shared" si="1"/>
        <v>0</v>
      </c>
      <c r="I675" s="27" t="str">
        <f t="shared" si="2"/>
        <v/>
      </c>
      <c r="J675" s="1" t="str">
        <f t="array" ref="J675">IFERROR(INDEX('Исходник'!$1:$626,MATCH($A675,'Исходник'!$T:$T,0),MATCH(J$1,'Исходник'!$1:$1,0)))</f>
        <v/>
      </c>
      <c r="K675" s="27" t="str">
        <f t="shared" si="3"/>
        <v/>
      </c>
      <c r="L675" s="1" t="str">
        <f t="array" ref="L675">IFERROR(INDEX('Исходник'!$1:$626,MATCH($A675,'Исходник'!$T:$T,0),MATCH(L$1,'Исходник'!$1:$1,0)))</f>
        <v/>
      </c>
      <c r="M675" s="28">
        <f t="shared" si="4"/>
        <v>0</v>
      </c>
      <c r="N675" s="1" t="str">
        <f t="array" ref="N675">IFERROR(INDEX('Исходник'!$1:$626,MATCH($A675,'Исходник'!$T:$T,0),MATCH(N$1,'Исходник'!$1:$1,0)))</f>
        <v/>
      </c>
      <c r="O675" s="27">
        <f t="shared" si="5"/>
        <v>0</v>
      </c>
      <c r="P675" s="27" t="str">
        <f t="shared" si="6"/>
        <v/>
      </c>
      <c r="Q675" s="1" t="str">
        <f t="array" ref="Q675">IFERROR(INDEX('Исходник'!$1:$626,MATCH($A675,'Исходник'!$T:$T,0),MATCH(Q$1,'Исходник'!$1:$1,0)))</f>
        <v/>
      </c>
      <c r="R675" s="1" t="str">
        <f t="array" ref="R675">IFERROR(INDEX('Исходник'!$1:$626,MATCH($A675,'Исходник'!$T:$T,0),MATCH(R$1,'Исходник'!$1:$1,0)))</f>
        <v/>
      </c>
      <c r="S675" s="27">
        <f t="shared" si="7"/>
        <v>0</v>
      </c>
      <c r="T675" s="27" t="str">
        <f t="shared" si="8"/>
        <v/>
      </c>
      <c r="U675" s="1" t="str">
        <f t="array" ref="U675">IFERROR(INDEX('Исходник'!$1:$626,MATCH($A675,'Исходник'!$T:$T,0),MATCH(U$1,'Исходник'!$1:$1,0)))</f>
        <v/>
      </c>
      <c r="V675" s="27" t="str">
        <f t="shared" si="9"/>
        <v/>
      </c>
      <c r="W675" s="1" t="str">
        <f t="array" ref="W675">IFERROR(INDEX('Исходник'!$1:$626,MATCH($A675,'Исходник'!$T:$T,0),MATCH(W$1,'Исходник'!$1:$1,0)))</f>
        <v/>
      </c>
      <c r="X675" s="28">
        <f t="shared" si="10"/>
        <v>0</v>
      </c>
      <c r="Y675" s="1" t="str">
        <f t="array" ref="Y675">IFERROR(INDEX('Исходник'!$1:$626,MATCH($A675,'Исходник'!$T:$T,0),MATCH(Y$1,'Исходник'!$1:$1,0)))</f>
        <v/>
      </c>
      <c r="Z675" s="27">
        <f t="shared" si="11"/>
        <v>0</v>
      </c>
      <c r="AA675" s="27" t="str">
        <f t="shared" si="12"/>
        <v/>
      </c>
      <c r="AB675" s="1" t="str">
        <f t="array" ref="AB675">IFERROR(INDEX('Исходник'!$1:$626,MATCH($A675,'Исходник'!$T:$T,0),MATCH(AB$1,'Исходник'!$1:$1,0)))</f>
        <v/>
      </c>
      <c r="AC675" s="1" t="str">
        <f t="array" ref="AC675">IFERROR(INDEX('Исходник'!$1:$626,MATCH($A675,'Исходник'!$T:$T,0),MATCH(AC$1,'Исходник'!$1:$1,0)))</f>
        <v/>
      </c>
      <c r="AD675" s="27" t="str">
        <f t="shared" si="13"/>
        <v/>
      </c>
      <c r="AE675" s="1" t="str">
        <f t="array" ref="AE675">IFERROR(INDEX('Исходник'!$1:$626,MATCH($A675,'Исходник'!$T:$T,0),MATCH(AE$1,'Исходник'!$1:$1,0)))</f>
        <v/>
      </c>
      <c r="AF675" s="1" t="str">
        <f t="array" ref="AF675">IFERROR(INDEX('Исходник'!$1:$626,MATCH($A675,'Исходник'!$T:$T,0),MATCH(AF$1,'Исходник'!$1:$1,0)))</f>
        <v/>
      </c>
      <c r="AG675" s="27" t="str">
        <f t="shared" si="14"/>
        <v/>
      </c>
      <c r="AH675" s="1" t="str">
        <f t="array" ref="AH675">IFERROR(INDEX('Исходник'!$1:$626,MATCH($A675,'Исходник'!$T:$T,0),MATCH(AH$1,'Исходник'!$1:$1,0)))</f>
        <v/>
      </c>
      <c r="AI675" s="1" t="str">
        <f t="array" ref="AI675">IFERROR(INDEX('Исходник'!$1:$626,MATCH($A675,'Исходник'!$T:$T,0),MATCH(AI$1,'Исходник'!$1:$1,0)))</f>
        <v/>
      </c>
      <c r="AJ675" s="18">
        <f t="shared" si="15"/>
        <v>0</v>
      </c>
    </row>
    <row r="676" ht="15.75" customHeight="1">
      <c r="A676" s="27"/>
      <c r="B676" s="1" t="str">
        <f t="array" ref="B676">IFERROR(INDEX('Исходник'!$1:$626,MATCH($A676,'Исходник'!$T:$T,0),MATCH(B$1,'Исходник'!$1:$1,0)))</f>
        <v/>
      </c>
      <c r="C676" s="1" t="str">
        <f t="array" ref="C676">IFERROR(INDEX('Исходник'!$1:$626,MATCH($A676,'Исходник'!$T:$T,0),MATCH(C$1,'Исходник'!$1:$1,0)))</f>
        <v/>
      </c>
      <c r="D676" s="1" t="str">
        <f t="array" ref="D676">IFERROR(INDEX('Исходник'!$1:$626,MATCH($A676,'Исходник'!$T:$T,0),MATCH(D$1,'Исходник'!$1:$1,0)))</f>
        <v/>
      </c>
      <c r="E676" s="1" t="str">
        <f t="array" ref="E676">IFERROR(INDEX('Исходник'!$1:$626,MATCH($A676,'Исходник'!$T:$T,0),MATCH(E$1,'Исходник'!$1:$1,0)))</f>
        <v/>
      </c>
      <c r="F676" s="1" t="str">
        <f t="array" ref="F676">IFERROR(INDEX('Исходник'!$1:$626,MATCH($A676,'Исходник'!$T:$T,0),MATCH(F$1,'Исходник'!$1:$1,0)))</f>
        <v/>
      </c>
      <c r="G676" s="1" t="str">
        <f t="array" ref="G676">IFERROR(INDEX('Исходник'!$1:$626,MATCH($A676,'Исходник'!$T:$T,0),MATCH(G$1,'Исходник'!$1:$1,0)))</f>
        <v/>
      </c>
      <c r="H676" s="27">
        <f t="shared" si="1"/>
        <v>0</v>
      </c>
      <c r="I676" s="27" t="str">
        <f t="shared" si="2"/>
        <v/>
      </c>
      <c r="J676" s="1" t="str">
        <f t="array" ref="J676">IFERROR(INDEX('Исходник'!$1:$626,MATCH($A676,'Исходник'!$T:$T,0),MATCH(J$1,'Исходник'!$1:$1,0)))</f>
        <v/>
      </c>
      <c r="K676" s="27" t="str">
        <f t="shared" si="3"/>
        <v/>
      </c>
      <c r="L676" s="1" t="str">
        <f t="array" ref="L676">IFERROR(INDEX('Исходник'!$1:$626,MATCH($A676,'Исходник'!$T:$T,0),MATCH(L$1,'Исходник'!$1:$1,0)))</f>
        <v/>
      </c>
      <c r="M676" s="28">
        <f t="shared" si="4"/>
        <v>0</v>
      </c>
      <c r="N676" s="1" t="str">
        <f t="array" ref="N676">IFERROR(INDEX('Исходник'!$1:$626,MATCH($A676,'Исходник'!$T:$T,0),MATCH(N$1,'Исходник'!$1:$1,0)))</f>
        <v/>
      </c>
      <c r="O676" s="27">
        <f t="shared" si="5"/>
        <v>0</v>
      </c>
      <c r="P676" s="27" t="str">
        <f t="shared" si="6"/>
        <v/>
      </c>
      <c r="Q676" s="1" t="str">
        <f t="array" ref="Q676">IFERROR(INDEX('Исходник'!$1:$626,MATCH($A676,'Исходник'!$T:$T,0),MATCH(Q$1,'Исходник'!$1:$1,0)))</f>
        <v/>
      </c>
      <c r="R676" s="1" t="str">
        <f t="array" ref="R676">IFERROR(INDEX('Исходник'!$1:$626,MATCH($A676,'Исходник'!$T:$T,0),MATCH(R$1,'Исходник'!$1:$1,0)))</f>
        <v/>
      </c>
      <c r="S676" s="27">
        <f t="shared" si="7"/>
        <v>0</v>
      </c>
      <c r="T676" s="27" t="str">
        <f t="shared" si="8"/>
        <v/>
      </c>
      <c r="U676" s="1" t="str">
        <f t="array" ref="U676">IFERROR(INDEX('Исходник'!$1:$626,MATCH($A676,'Исходник'!$T:$T,0),MATCH(U$1,'Исходник'!$1:$1,0)))</f>
        <v/>
      </c>
      <c r="V676" s="27" t="str">
        <f t="shared" si="9"/>
        <v/>
      </c>
      <c r="W676" s="1" t="str">
        <f t="array" ref="W676">IFERROR(INDEX('Исходник'!$1:$626,MATCH($A676,'Исходник'!$T:$T,0),MATCH(W$1,'Исходник'!$1:$1,0)))</f>
        <v/>
      </c>
      <c r="X676" s="28">
        <f t="shared" si="10"/>
        <v>0</v>
      </c>
      <c r="Y676" s="1" t="str">
        <f t="array" ref="Y676">IFERROR(INDEX('Исходник'!$1:$626,MATCH($A676,'Исходник'!$T:$T,0),MATCH(Y$1,'Исходник'!$1:$1,0)))</f>
        <v/>
      </c>
      <c r="Z676" s="27">
        <f t="shared" si="11"/>
        <v>0</v>
      </c>
      <c r="AA676" s="27" t="str">
        <f t="shared" si="12"/>
        <v/>
      </c>
      <c r="AB676" s="1" t="str">
        <f t="array" ref="AB676">IFERROR(INDEX('Исходник'!$1:$626,MATCH($A676,'Исходник'!$T:$T,0),MATCH(AB$1,'Исходник'!$1:$1,0)))</f>
        <v/>
      </c>
      <c r="AC676" s="1" t="str">
        <f t="array" ref="AC676">IFERROR(INDEX('Исходник'!$1:$626,MATCH($A676,'Исходник'!$T:$T,0),MATCH(AC$1,'Исходник'!$1:$1,0)))</f>
        <v/>
      </c>
      <c r="AD676" s="27" t="str">
        <f t="shared" si="13"/>
        <v/>
      </c>
      <c r="AE676" s="1" t="str">
        <f t="array" ref="AE676">IFERROR(INDEX('Исходник'!$1:$626,MATCH($A676,'Исходник'!$T:$T,0),MATCH(AE$1,'Исходник'!$1:$1,0)))</f>
        <v/>
      </c>
      <c r="AF676" s="1" t="str">
        <f t="array" ref="AF676">IFERROR(INDEX('Исходник'!$1:$626,MATCH($A676,'Исходник'!$T:$T,0),MATCH(AF$1,'Исходник'!$1:$1,0)))</f>
        <v/>
      </c>
      <c r="AG676" s="27" t="str">
        <f t="shared" si="14"/>
        <v/>
      </c>
      <c r="AH676" s="1" t="str">
        <f t="array" ref="AH676">IFERROR(INDEX('Исходник'!$1:$626,MATCH($A676,'Исходник'!$T:$T,0),MATCH(AH$1,'Исходник'!$1:$1,0)))</f>
        <v/>
      </c>
      <c r="AI676" s="1" t="str">
        <f t="array" ref="AI676">IFERROR(INDEX('Исходник'!$1:$626,MATCH($A676,'Исходник'!$T:$T,0),MATCH(AI$1,'Исходник'!$1:$1,0)))</f>
        <v/>
      </c>
      <c r="AJ676" s="18">
        <f t="shared" si="15"/>
        <v>0</v>
      </c>
    </row>
    <row r="677" ht="15.75" customHeight="1">
      <c r="A677" s="27"/>
      <c r="B677" s="1" t="str">
        <f t="array" ref="B677">IFERROR(INDEX('Исходник'!$1:$626,MATCH($A677,'Исходник'!$T:$T,0),MATCH(B$1,'Исходник'!$1:$1,0)))</f>
        <v/>
      </c>
      <c r="C677" s="1" t="str">
        <f t="array" ref="C677">IFERROR(INDEX('Исходник'!$1:$626,MATCH($A677,'Исходник'!$T:$T,0),MATCH(C$1,'Исходник'!$1:$1,0)))</f>
        <v/>
      </c>
      <c r="D677" s="1" t="str">
        <f t="array" ref="D677">IFERROR(INDEX('Исходник'!$1:$626,MATCH($A677,'Исходник'!$T:$T,0),MATCH(D$1,'Исходник'!$1:$1,0)))</f>
        <v/>
      </c>
      <c r="E677" s="1" t="str">
        <f t="array" ref="E677">IFERROR(INDEX('Исходник'!$1:$626,MATCH($A677,'Исходник'!$T:$T,0),MATCH(E$1,'Исходник'!$1:$1,0)))</f>
        <v/>
      </c>
      <c r="F677" s="1" t="str">
        <f t="array" ref="F677">IFERROR(INDEX('Исходник'!$1:$626,MATCH($A677,'Исходник'!$T:$T,0),MATCH(F$1,'Исходник'!$1:$1,0)))</f>
        <v/>
      </c>
      <c r="G677" s="1" t="str">
        <f t="array" ref="G677">IFERROR(INDEX('Исходник'!$1:$626,MATCH($A677,'Исходник'!$T:$T,0),MATCH(G$1,'Исходник'!$1:$1,0)))</f>
        <v/>
      </c>
      <c r="H677" s="27">
        <f t="shared" si="1"/>
        <v>0</v>
      </c>
      <c r="I677" s="27" t="str">
        <f t="shared" si="2"/>
        <v/>
      </c>
      <c r="J677" s="1" t="str">
        <f t="array" ref="J677">IFERROR(INDEX('Исходник'!$1:$626,MATCH($A677,'Исходник'!$T:$T,0),MATCH(J$1,'Исходник'!$1:$1,0)))</f>
        <v/>
      </c>
      <c r="K677" s="27" t="str">
        <f t="shared" si="3"/>
        <v/>
      </c>
      <c r="L677" s="1" t="str">
        <f t="array" ref="L677">IFERROR(INDEX('Исходник'!$1:$626,MATCH($A677,'Исходник'!$T:$T,0),MATCH(L$1,'Исходник'!$1:$1,0)))</f>
        <v/>
      </c>
      <c r="M677" s="28">
        <f t="shared" si="4"/>
        <v>0</v>
      </c>
      <c r="N677" s="1" t="str">
        <f t="array" ref="N677">IFERROR(INDEX('Исходник'!$1:$626,MATCH($A677,'Исходник'!$T:$T,0),MATCH(N$1,'Исходник'!$1:$1,0)))</f>
        <v/>
      </c>
      <c r="O677" s="27">
        <f t="shared" si="5"/>
        <v>0</v>
      </c>
      <c r="P677" s="27" t="str">
        <f t="shared" si="6"/>
        <v/>
      </c>
      <c r="Q677" s="1" t="str">
        <f t="array" ref="Q677">IFERROR(INDEX('Исходник'!$1:$626,MATCH($A677,'Исходник'!$T:$T,0),MATCH(Q$1,'Исходник'!$1:$1,0)))</f>
        <v/>
      </c>
      <c r="R677" s="1" t="str">
        <f t="array" ref="R677">IFERROR(INDEX('Исходник'!$1:$626,MATCH($A677,'Исходник'!$T:$T,0),MATCH(R$1,'Исходник'!$1:$1,0)))</f>
        <v/>
      </c>
      <c r="S677" s="27">
        <f t="shared" si="7"/>
        <v>0</v>
      </c>
      <c r="T677" s="27" t="str">
        <f t="shared" si="8"/>
        <v/>
      </c>
      <c r="U677" s="1" t="str">
        <f t="array" ref="U677">IFERROR(INDEX('Исходник'!$1:$626,MATCH($A677,'Исходник'!$T:$T,0),MATCH(U$1,'Исходник'!$1:$1,0)))</f>
        <v/>
      </c>
      <c r="V677" s="27" t="str">
        <f t="shared" si="9"/>
        <v/>
      </c>
      <c r="W677" s="1" t="str">
        <f t="array" ref="W677">IFERROR(INDEX('Исходник'!$1:$626,MATCH($A677,'Исходник'!$T:$T,0),MATCH(W$1,'Исходник'!$1:$1,0)))</f>
        <v/>
      </c>
      <c r="X677" s="28">
        <f t="shared" si="10"/>
        <v>0</v>
      </c>
      <c r="Y677" s="1" t="str">
        <f t="array" ref="Y677">IFERROR(INDEX('Исходник'!$1:$626,MATCH($A677,'Исходник'!$T:$T,0),MATCH(Y$1,'Исходник'!$1:$1,0)))</f>
        <v/>
      </c>
      <c r="Z677" s="27">
        <f t="shared" si="11"/>
        <v>0</v>
      </c>
      <c r="AA677" s="27" t="str">
        <f t="shared" si="12"/>
        <v/>
      </c>
      <c r="AB677" s="1" t="str">
        <f t="array" ref="AB677">IFERROR(INDEX('Исходник'!$1:$626,MATCH($A677,'Исходник'!$T:$T,0),MATCH(AB$1,'Исходник'!$1:$1,0)))</f>
        <v/>
      </c>
      <c r="AC677" s="1" t="str">
        <f t="array" ref="AC677">IFERROR(INDEX('Исходник'!$1:$626,MATCH($A677,'Исходник'!$T:$T,0),MATCH(AC$1,'Исходник'!$1:$1,0)))</f>
        <v/>
      </c>
      <c r="AD677" s="27" t="str">
        <f t="shared" si="13"/>
        <v/>
      </c>
      <c r="AE677" s="1" t="str">
        <f t="array" ref="AE677">IFERROR(INDEX('Исходник'!$1:$626,MATCH($A677,'Исходник'!$T:$T,0),MATCH(AE$1,'Исходник'!$1:$1,0)))</f>
        <v/>
      </c>
      <c r="AF677" s="1" t="str">
        <f t="array" ref="AF677">IFERROR(INDEX('Исходник'!$1:$626,MATCH($A677,'Исходник'!$T:$T,0),MATCH(AF$1,'Исходник'!$1:$1,0)))</f>
        <v/>
      </c>
      <c r="AG677" s="27" t="str">
        <f t="shared" si="14"/>
        <v/>
      </c>
      <c r="AH677" s="1" t="str">
        <f t="array" ref="AH677">IFERROR(INDEX('Исходник'!$1:$626,MATCH($A677,'Исходник'!$T:$T,0),MATCH(AH$1,'Исходник'!$1:$1,0)))</f>
        <v/>
      </c>
      <c r="AI677" s="1" t="str">
        <f t="array" ref="AI677">IFERROR(INDEX('Исходник'!$1:$626,MATCH($A677,'Исходник'!$T:$T,0),MATCH(AI$1,'Исходник'!$1:$1,0)))</f>
        <v/>
      </c>
      <c r="AJ677" s="18">
        <f t="shared" si="15"/>
        <v>0</v>
      </c>
    </row>
    <row r="678" ht="15.75" customHeight="1">
      <c r="A678" s="27"/>
      <c r="B678" s="1" t="str">
        <f t="array" ref="B678">IFERROR(INDEX('Исходник'!$1:$626,MATCH($A678,'Исходник'!$T:$T,0),MATCH(B$1,'Исходник'!$1:$1,0)))</f>
        <v/>
      </c>
      <c r="C678" s="1" t="str">
        <f t="array" ref="C678">IFERROR(INDEX('Исходник'!$1:$626,MATCH($A678,'Исходник'!$T:$T,0),MATCH(C$1,'Исходник'!$1:$1,0)))</f>
        <v/>
      </c>
      <c r="D678" s="1" t="str">
        <f t="array" ref="D678">IFERROR(INDEX('Исходник'!$1:$626,MATCH($A678,'Исходник'!$T:$T,0),MATCH(D$1,'Исходник'!$1:$1,0)))</f>
        <v/>
      </c>
      <c r="E678" s="1" t="str">
        <f t="array" ref="E678">IFERROR(INDEX('Исходник'!$1:$626,MATCH($A678,'Исходник'!$T:$T,0),MATCH(E$1,'Исходник'!$1:$1,0)))</f>
        <v/>
      </c>
      <c r="F678" s="1" t="str">
        <f t="array" ref="F678">IFERROR(INDEX('Исходник'!$1:$626,MATCH($A678,'Исходник'!$T:$T,0),MATCH(F$1,'Исходник'!$1:$1,0)))</f>
        <v/>
      </c>
      <c r="G678" s="1" t="str">
        <f t="array" ref="G678">IFERROR(INDEX('Исходник'!$1:$626,MATCH($A678,'Исходник'!$T:$T,0),MATCH(G$1,'Исходник'!$1:$1,0)))</f>
        <v/>
      </c>
      <c r="H678" s="27">
        <f t="shared" si="1"/>
        <v>0</v>
      </c>
      <c r="I678" s="27" t="str">
        <f t="shared" si="2"/>
        <v/>
      </c>
      <c r="J678" s="1" t="str">
        <f t="array" ref="J678">IFERROR(INDEX('Исходник'!$1:$626,MATCH($A678,'Исходник'!$T:$T,0),MATCH(J$1,'Исходник'!$1:$1,0)))</f>
        <v/>
      </c>
      <c r="K678" s="27" t="str">
        <f t="shared" si="3"/>
        <v/>
      </c>
      <c r="L678" s="1" t="str">
        <f t="array" ref="L678">IFERROR(INDEX('Исходник'!$1:$626,MATCH($A678,'Исходник'!$T:$T,0),MATCH(L$1,'Исходник'!$1:$1,0)))</f>
        <v/>
      </c>
      <c r="M678" s="28">
        <f t="shared" si="4"/>
        <v>0</v>
      </c>
      <c r="N678" s="1" t="str">
        <f t="array" ref="N678">IFERROR(INDEX('Исходник'!$1:$626,MATCH($A678,'Исходник'!$T:$T,0),MATCH(N$1,'Исходник'!$1:$1,0)))</f>
        <v/>
      </c>
      <c r="O678" s="27">
        <f t="shared" si="5"/>
        <v>0</v>
      </c>
      <c r="P678" s="27" t="str">
        <f t="shared" si="6"/>
        <v/>
      </c>
      <c r="Q678" s="1" t="str">
        <f t="array" ref="Q678">IFERROR(INDEX('Исходник'!$1:$626,MATCH($A678,'Исходник'!$T:$T,0),MATCH(Q$1,'Исходник'!$1:$1,0)))</f>
        <v/>
      </c>
      <c r="R678" s="1" t="str">
        <f t="array" ref="R678">IFERROR(INDEX('Исходник'!$1:$626,MATCH($A678,'Исходник'!$T:$T,0),MATCH(R$1,'Исходник'!$1:$1,0)))</f>
        <v/>
      </c>
      <c r="S678" s="27">
        <f t="shared" si="7"/>
        <v>0</v>
      </c>
      <c r="T678" s="27" t="str">
        <f t="shared" si="8"/>
        <v/>
      </c>
      <c r="U678" s="1" t="str">
        <f t="array" ref="U678">IFERROR(INDEX('Исходник'!$1:$626,MATCH($A678,'Исходник'!$T:$T,0),MATCH(U$1,'Исходник'!$1:$1,0)))</f>
        <v/>
      </c>
      <c r="V678" s="27" t="str">
        <f t="shared" si="9"/>
        <v/>
      </c>
      <c r="W678" s="1" t="str">
        <f t="array" ref="W678">IFERROR(INDEX('Исходник'!$1:$626,MATCH($A678,'Исходник'!$T:$T,0),MATCH(W$1,'Исходник'!$1:$1,0)))</f>
        <v/>
      </c>
      <c r="X678" s="28">
        <f t="shared" si="10"/>
        <v>0</v>
      </c>
      <c r="Y678" s="1" t="str">
        <f t="array" ref="Y678">IFERROR(INDEX('Исходник'!$1:$626,MATCH($A678,'Исходник'!$T:$T,0),MATCH(Y$1,'Исходник'!$1:$1,0)))</f>
        <v/>
      </c>
      <c r="Z678" s="27">
        <f t="shared" si="11"/>
        <v>0</v>
      </c>
      <c r="AA678" s="27" t="str">
        <f t="shared" si="12"/>
        <v/>
      </c>
      <c r="AB678" s="1" t="str">
        <f t="array" ref="AB678">IFERROR(INDEX('Исходник'!$1:$626,MATCH($A678,'Исходник'!$T:$T,0),MATCH(AB$1,'Исходник'!$1:$1,0)))</f>
        <v/>
      </c>
      <c r="AC678" s="1" t="str">
        <f t="array" ref="AC678">IFERROR(INDEX('Исходник'!$1:$626,MATCH($A678,'Исходник'!$T:$T,0),MATCH(AC$1,'Исходник'!$1:$1,0)))</f>
        <v/>
      </c>
      <c r="AD678" s="27" t="str">
        <f t="shared" si="13"/>
        <v/>
      </c>
      <c r="AE678" s="1" t="str">
        <f t="array" ref="AE678">IFERROR(INDEX('Исходник'!$1:$626,MATCH($A678,'Исходник'!$T:$T,0),MATCH(AE$1,'Исходник'!$1:$1,0)))</f>
        <v/>
      </c>
      <c r="AF678" s="1" t="str">
        <f t="array" ref="AF678">IFERROR(INDEX('Исходник'!$1:$626,MATCH($A678,'Исходник'!$T:$T,0),MATCH(AF$1,'Исходник'!$1:$1,0)))</f>
        <v/>
      </c>
      <c r="AG678" s="27" t="str">
        <f t="shared" si="14"/>
        <v/>
      </c>
      <c r="AH678" s="1" t="str">
        <f t="array" ref="AH678">IFERROR(INDEX('Исходник'!$1:$626,MATCH($A678,'Исходник'!$T:$T,0),MATCH(AH$1,'Исходник'!$1:$1,0)))</f>
        <v/>
      </c>
      <c r="AI678" s="1" t="str">
        <f t="array" ref="AI678">IFERROR(INDEX('Исходник'!$1:$626,MATCH($A678,'Исходник'!$T:$T,0),MATCH(AI$1,'Исходник'!$1:$1,0)))</f>
        <v/>
      </c>
      <c r="AJ678" s="18">
        <f t="shared" si="15"/>
        <v>0</v>
      </c>
    </row>
    <row r="679" ht="15.75" customHeight="1">
      <c r="A679" s="27"/>
      <c r="B679" s="1" t="str">
        <f t="array" ref="B679">IFERROR(INDEX('Исходник'!$1:$626,MATCH($A679,'Исходник'!$T:$T,0),MATCH(B$1,'Исходник'!$1:$1,0)))</f>
        <v/>
      </c>
      <c r="C679" s="1" t="str">
        <f t="array" ref="C679">IFERROR(INDEX('Исходник'!$1:$626,MATCH($A679,'Исходник'!$T:$T,0),MATCH(C$1,'Исходник'!$1:$1,0)))</f>
        <v/>
      </c>
      <c r="D679" s="1" t="str">
        <f t="array" ref="D679">IFERROR(INDEX('Исходник'!$1:$626,MATCH($A679,'Исходник'!$T:$T,0),MATCH(D$1,'Исходник'!$1:$1,0)))</f>
        <v/>
      </c>
      <c r="E679" s="1" t="str">
        <f t="array" ref="E679">IFERROR(INDEX('Исходник'!$1:$626,MATCH($A679,'Исходник'!$T:$T,0),MATCH(E$1,'Исходник'!$1:$1,0)))</f>
        <v/>
      </c>
      <c r="F679" s="1" t="str">
        <f t="array" ref="F679">IFERROR(INDEX('Исходник'!$1:$626,MATCH($A679,'Исходник'!$T:$T,0),MATCH(F$1,'Исходник'!$1:$1,0)))</f>
        <v/>
      </c>
      <c r="G679" s="1" t="str">
        <f t="array" ref="G679">IFERROR(INDEX('Исходник'!$1:$626,MATCH($A679,'Исходник'!$T:$T,0),MATCH(G$1,'Исходник'!$1:$1,0)))</f>
        <v/>
      </c>
      <c r="H679" s="27">
        <f t="shared" si="1"/>
        <v>0</v>
      </c>
      <c r="I679" s="27" t="str">
        <f t="shared" si="2"/>
        <v/>
      </c>
      <c r="J679" s="1" t="str">
        <f t="array" ref="J679">IFERROR(INDEX('Исходник'!$1:$626,MATCH($A679,'Исходник'!$T:$T,0),MATCH(J$1,'Исходник'!$1:$1,0)))</f>
        <v/>
      </c>
      <c r="K679" s="27" t="str">
        <f t="shared" si="3"/>
        <v/>
      </c>
      <c r="L679" s="1" t="str">
        <f t="array" ref="L679">IFERROR(INDEX('Исходник'!$1:$626,MATCH($A679,'Исходник'!$T:$T,0),MATCH(L$1,'Исходник'!$1:$1,0)))</f>
        <v/>
      </c>
      <c r="M679" s="28">
        <f t="shared" si="4"/>
        <v>0</v>
      </c>
      <c r="N679" s="1" t="str">
        <f t="array" ref="N679">IFERROR(INDEX('Исходник'!$1:$626,MATCH($A679,'Исходник'!$T:$T,0),MATCH(N$1,'Исходник'!$1:$1,0)))</f>
        <v/>
      </c>
      <c r="O679" s="27">
        <f t="shared" si="5"/>
        <v>0</v>
      </c>
      <c r="P679" s="27" t="str">
        <f t="shared" si="6"/>
        <v/>
      </c>
      <c r="Q679" s="1" t="str">
        <f t="array" ref="Q679">IFERROR(INDEX('Исходник'!$1:$626,MATCH($A679,'Исходник'!$T:$T,0),MATCH(Q$1,'Исходник'!$1:$1,0)))</f>
        <v/>
      </c>
      <c r="R679" s="1" t="str">
        <f t="array" ref="R679">IFERROR(INDEX('Исходник'!$1:$626,MATCH($A679,'Исходник'!$T:$T,0),MATCH(R$1,'Исходник'!$1:$1,0)))</f>
        <v/>
      </c>
      <c r="S679" s="27">
        <f t="shared" si="7"/>
        <v>0</v>
      </c>
      <c r="T679" s="27" t="str">
        <f t="shared" si="8"/>
        <v/>
      </c>
      <c r="U679" s="1" t="str">
        <f t="array" ref="U679">IFERROR(INDEX('Исходник'!$1:$626,MATCH($A679,'Исходник'!$T:$T,0),MATCH(U$1,'Исходник'!$1:$1,0)))</f>
        <v/>
      </c>
      <c r="V679" s="27" t="str">
        <f t="shared" si="9"/>
        <v/>
      </c>
      <c r="W679" s="1" t="str">
        <f t="array" ref="W679">IFERROR(INDEX('Исходник'!$1:$626,MATCH($A679,'Исходник'!$T:$T,0),MATCH(W$1,'Исходник'!$1:$1,0)))</f>
        <v/>
      </c>
      <c r="X679" s="28">
        <f t="shared" si="10"/>
        <v>0</v>
      </c>
      <c r="Y679" s="1" t="str">
        <f t="array" ref="Y679">IFERROR(INDEX('Исходник'!$1:$626,MATCH($A679,'Исходник'!$T:$T,0),MATCH(Y$1,'Исходник'!$1:$1,0)))</f>
        <v/>
      </c>
      <c r="Z679" s="27">
        <f t="shared" si="11"/>
        <v>0</v>
      </c>
      <c r="AA679" s="27" t="str">
        <f t="shared" si="12"/>
        <v/>
      </c>
      <c r="AB679" s="1" t="str">
        <f t="array" ref="AB679">IFERROR(INDEX('Исходник'!$1:$626,MATCH($A679,'Исходник'!$T:$T,0),MATCH(AB$1,'Исходник'!$1:$1,0)))</f>
        <v/>
      </c>
      <c r="AC679" s="1" t="str">
        <f t="array" ref="AC679">IFERROR(INDEX('Исходник'!$1:$626,MATCH($A679,'Исходник'!$T:$T,0),MATCH(AC$1,'Исходник'!$1:$1,0)))</f>
        <v/>
      </c>
      <c r="AD679" s="27" t="str">
        <f t="shared" si="13"/>
        <v/>
      </c>
      <c r="AE679" s="1" t="str">
        <f t="array" ref="AE679">IFERROR(INDEX('Исходник'!$1:$626,MATCH($A679,'Исходник'!$T:$T,0),MATCH(AE$1,'Исходник'!$1:$1,0)))</f>
        <v/>
      </c>
      <c r="AF679" s="1" t="str">
        <f t="array" ref="AF679">IFERROR(INDEX('Исходник'!$1:$626,MATCH($A679,'Исходник'!$T:$T,0),MATCH(AF$1,'Исходник'!$1:$1,0)))</f>
        <v/>
      </c>
      <c r="AG679" s="27" t="str">
        <f t="shared" si="14"/>
        <v/>
      </c>
      <c r="AH679" s="1" t="str">
        <f t="array" ref="AH679">IFERROR(INDEX('Исходник'!$1:$626,MATCH($A679,'Исходник'!$T:$T,0),MATCH(AH$1,'Исходник'!$1:$1,0)))</f>
        <v/>
      </c>
      <c r="AI679" s="1" t="str">
        <f t="array" ref="AI679">IFERROR(INDEX('Исходник'!$1:$626,MATCH($A679,'Исходник'!$T:$T,0),MATCH(AI$1,'Исходник'!$1:$1,0)))</f>
        <v/>
      </c>
      <c r="AJ679" s="18">
        <f t="shared" si="15"/>
        <v>0</v>
      </c>
    </row>
    <row r="680" ht="15.75" customHeight="1">
      <c r="A680" s="27"/>
      <c r="B680" s="1" t="str">
        <f t="array" ref="B680">IFERROR(INDEX('Исходник'!$1:$626,MATCH($A680,'Исходник'!$T:$T,0),MATCH(B$1,'Исходник'!$1:$1,0)))</f>
        <v/>
      </c>
      <c r="C680" s="1" t="str">
        <f t="array" ref="C680">IFERROR(INDEX('Исходник'!$1:$626,MATCH($A680,'Исходник'!$T:$T,0),MATCH(C$1,'Исходник'!$1:$1,0)))</f>
        <v/>
      </c>
      <c r="D680" s="1" t="str">
        <f t="array" ref="D680">IFERROR(INDEX('Исходник'!$1:$626,MATCH($A680,'Исходник'!$T:$T,0),MATCH(D$1,'Исходник'!$1:$1,0)))</f>
        <v/>
      </c>
      <c r="E680" s="1" t="str">
        <f t="array" ref="E680">IFERROR(INDEX('Исходник'!$1:$626,MATCH($A680,'Исходник'!$T:$T,0),MATCH(E$1,'Исходник'!$1:$1,0)))</f>
        <v/>
      </c>
      <c r="F680" s="1" t="str">
        <f t="array" ref="F680">IFERROR(INDEX('Исходник'!$1:$626,MATCH($A680,'Исходник'!$T:$T,0),MATCH(F$1,'Исходник'!$1:$1,0)))</f>
        <v/>
      </c>
      <c r="G680" s="1" t="str">
        <f t="array" ref="G680">IFERROR(INDEX('Исходник'!$1:$626,MATCH($A680,'Исходник'!$T:$T,0),MATCH(G$1,'Исходник'!$1:$1,0)))</f>
        <v/>
      </c>
      <c r="H680" s="27">
        <f t="shared" si="1"/>
        <v>0</v>
      </c>
      <c r="I680" s="27" t="str">
        <f t="shared" si="2"/>
        <v/>
      </c>
      <c r="J680" s="1" t="str">
        <f t="array" ref="J680">IFERROR(INDEX('Исходник'!$1:$626,MATCH($A680,'Исходник'!$T:$T,0),MATCH(J$1,'Исходник'!$1:$1,0)))</f>
        <v/>
      </c>
      <c r="K680" s="27" t="str">
        <f t="shared" si="3"/>
        <v/>
      </c>
      <c r="L680" s="1" t="str">
        <f t="array" ref="L680">IFERROR(INDEX('Исходник'!$1:$626,MATCH($A680,'Исходник'!$T:$T,0),MATCH(L$1,'Исходник'!$1:$1,0)))</f>
        <v/>
      </c>
      <c r="M680" s="28">
        <f t="shared" si="4"/>
        <v>0</v>
      </c>
      <c r="N680" s="1" t="str">
        <f t="array" ref="N680">IFERROR(INDEX('Исходник'!$1:$626,MATCH($A680,'Исходник'!$T:$T,0),MATCH(N$1,'Исходник'!$1:$1,0)))</f>
        <v/>
      </c>
      <c r="O680" s="27">
        <f t="shared" si="5"/>
        <v>0</v>
      </c>
      <c r="P680" s="27" t="str">
        <f t="shared" si="6"/>
        <v/>
      </c>
      <c r="Q680" s="1" t="str">
        <f t="array" ref="Q680">IFERROR(INDEX('Исходник'!$1:$626,MATCH($A680,'Исходник'!$T:$T,0),MATCH(Q$1,'Исходник'!$1:$1,0)))</f>
        <v/>
      </c>
      <c r="R680" s="1" t="str">
        <f t="array" ref="R680">IFERROR(INDEX('Исходник'!$1:$626,MATCH($A680,'Исходник'!$T:$T,0),MATCH(R$1,'Исходник'!$1:$1,0)))</f>
        <v/>
      </c>
      <c r="S680" s="27">
        <f t="shared" si="7"/>
        <v>0</v>
      </c>
      <c r="T680" s="27" t="str">
        <f t="shared" si="8"/>
        <v/>
      </c>
      <c r="U680" s="1" t="str">
        <f t="array" ref="U680">IFERROR(INDEX('Исходник'!$1:$626,MATCH($A680,'Исходник'!$T:$T,0),MATCH(U$1,'Исходник'!$1:$1,0)))</f>
        <v/>
      </c>
      <c r="V680" s="27" t="str">
        <f t="shared" si="9"/>
        <v/>
      </c>
      <c r="W680" s="1" t="str">
        <f t="array" ref="W680">IFERROR(INDEX('Исходник'!$1:$626,MATCH($A680,'Исходник'!$T:$T,0),MATCH(W$1,'Исходник'!$1:$1,0)))</f>
        <v/>
      </c>
      <c r="X680" s="28">
        <f t="shared" si="10"/>
        <v>0</v>
      </c>
      <c r="Y680" s="1" t="str">
        <f t="array" ref="Y680">IFERROR(INDEX('Исходник'!$1:$626,MATCH($A680,'Исходник'!$T:$T,0),MATCH(Y$1,'Исходник'!$1:$1,0)))</f>
        <v/>
      </c>
      <c r="Z680" s="27">
        <f t="shared" si="11"/>
        <v>0</v>
      </c>
      <c r="AA680" s="27" t="str">
        <f t="shared" si="12"/>
        <v/>
      </c>
      <c r="AB680" s="1" t="str">
        <f t="array" ref="AB680">IFERROR(INDEX('Исходник'!$1:$626,MATCH($A680,'Исходник'!$T:$T,0),MATCH(AB$1,'Исходник'!$1:$1,0)))</f>
        <v/>
      </c>
      <c r="AC680" s="1" t="str">
        <f t="array" ref="AC680">IFERROR(INDEX('Исходник'!$1:$626,MATCH($A680,'Исходник'!$T:$T,0),MATCH(AC$1,'Исходник'!$1:$1,0)))</f>
        <v/>
      </c>
      <c r="AD680" s="27" t="str">
        <f t="shared" si="13"/>
        <v/>
      </c>
      <c r="AE680" s="1" t="str">
        <f t="array" ref="AE680">IFERROR(INDEX('Исходник'!$1:$626,MATCH($A680,'Исходник'!$T:$T,0),MATCH(AE$1,'Исходник'!$1:$1,0)))</f>
        <v/>
      </c>
      <c r="AF680" s="1" t="str">
        <f t="array" ref="AF680">IFERROR(INDEX('Исходник'!$1:$626,MATCH($A680,'Исходник'!$T:$T,0),MATCH(AF$1,'Исходник'!$1:$1,0)))</f>
        <v/>
      </c>
      <c r="AG680" s="27" t="str">
        <f t="shared" si="14"/>
        <v/>
      </c>
      <c r="AH680" s="1" t="str">
        <f t="array" ref="AH680">IFERROR(INDEX('Исходник'!$1:$626,MATCH($A680,'Исходник'!$T:$T,0),MATCH(AH$1,'Исходник'!$1:$1,0)))</f>
        <v/>
      </c>
      <c r="AI680" s="1" t="str">
        <f t="array" ref="AI680">IFERROR(INDEX('Исходник'!$1:$626,MATCH($A680,'Исходник'!$T:$T,0),MATCH(AI$1,'Исходник'!$1:$1,0)))</f>
        <v/>
      </c>
      <c r="AJ680" s="18">
        <f t="shared" si="15"/>
        <v>0</v>
      </c>
    </row>
    <row r="681" ht="15.75" customHeight="1">
      <c r="A681" s="27"/>
      <c r="B681" s="1" t="str">
        <f t="array" ref="B681">IFERROR(INDEX('Исходник'!$1:$626,MATCH($A681,'Исходник'!$T:$T,0),MATCH(B$1,'Исходник'!$1:$1,0)))</f>
        <v/>
      </c>
      <c r="C681" s="1" t="str">
        <f t="array" ref="C681">IFERROR(INDEX('Исходник'!$1:$626,MATCH($A681,'Исходник'!$T:$T,0),MATCH(C$1,'Исходник'!$1:$1,0)))</f>
        <v/>
      </c>
      <c r="D681" s="1" t="str">
        <f t="array" ref="D681">IFERROR(INDEX('Исходник'!$1:$626,MATCH($A681,'Исходник'!$T:$T,0),MATCH(D$1,'Исходник'!$1:$1,0)))</f>
        <v/>
      </c>
      <c r="E681" s="1" t="str">
        <f t="array" ref="E681">IFERROR(INDEX('Исходник'!$1:$626,MATCH($A681,'Исходник'!$T:$T,0),MATCH(E$1,'Исходник'!$1:$1,0)))</f>
        <v/>
      </c>
      <c r="F681" s="1" t="str">
        <f t="array" ref="F681">IFERROR(INDEX('Исходник'!$1:$626,MATCH($A681,'Исходник'!$T:$T,0),MATCH(F$1,'Исходник'!$1:$1,0)))</f>
        <v/>
      </c>
      <c r="G681" s="1" t="str">
        <f t="array" ref="G681">IFERROR(INDEX('Исходник'!$1:$626,MATCH($A681,'Исходник'!$T:$T,0),MATCH(G$1,'Исходник'!$1:$1,0)))</f>
        <v/>
      </c>
      <c r="H681" s="27">
        <f t="shared" si="1"/>
        <v>0</v>
      </c>
      <c r="I681" s="27" t="str">
        <f t="shared" si="2"/>
        <v/>
      </c>
      <c r="J681" s="1" t="str">
        <f t="array" ref="J681">IFERROR(INDEX('Исходник'!$1:$626,MATCH($A681,'Исходник'!$T:$T,0),MATCH(J$1,'Исходник'!$1:$1,0)))</f>
        <v/>
      </c>
      <c r="K681" s="27" t="str">
        <f t="shared" si="3"/>
        <v/>
      </c>
      <c r="L681" s="1" t="str">
        <f t="array" ref="L681">IFERROR(INDEX('Исходник'!$1:$626,MATCH($A681,'Исходник'!$T:$T,0),MATCH(L$1,'Исходник'!$1:$1,0)))</f>
        <v/>
      </c>
      <c r="M681" s="28">
        <f t="shared" si="4"/>
        <v>0</v>
      </c>
      <c r="N681" s="1" t="str">
        <f t="array" ref="N681">IFERROR(INDEX('Исходник'!$1:$626,MATCH($A681,'Исходник'!$T:$T,0),MATCH(N$1,'Исходник'!$1:$1,0)))</f>
        <v/>
      </c>
      <c r="O681" s="27">
        <f t="shared" si="5"/>
        <v>0</v>
      </c>
      <c r="P681" s="27" t="str">
        <f t="shared" si="6"/>
        <v/>
      </c>
      <c r="Q681" s="1" t="str">
        <f t="array" ref="Q681">IFERROR(INDEX('Исходник'!$1:$626,MATCH($A681,'Исходник'!$T:$T,0),MATCH(Q$1,'Исходник'!$1:$1,0)))</f>
        <v/>
      </c>
      <c r="R681" s="1" t="str">
        <f t="array" ref="R681">IFERROR(INDEX('Исходник'!$1:$626,MATCH($A681,'Исходник'!$T:$T,0),MATCH(R$1,'Исходник'!$1:$1,0)))</f>
        <v/>
      </c>
      <c r="S681" s="27">
        <f t="shared" si="7"/>
        <v>0</v>
      </c>
      <c r="T681" s="27" t="str">
        <f t="shared" si="8"/>
        <v/>
      </c>
      <c r="U681" s="1" t="str">
        <f t="array" ref="U681">IFERROR(INDEX('Исходник'!$1:$626,MATCH($A681,'Исходник'!$T:$T,0),MATCH(U$1,'Исходник'!$1:$1,0)))</f>
        <v/>
      </c>
      <c r="V681" s="27" t="str">
        <f t="shared" si="9"/>
        <v/>
      </c>
      <c r="W681" s="1" t="str">
        <f t="array" ref="W681">IFERROR(INDEX('Исходник'!$1:$626,MATCH($A681,'Исходник'!$T:$T,0),MATCH(W$1,'Исходник'!$1:$1,0)))</f>
        <v/>
      </c>
      <c r="X681" s="28">
        <f t="shared" si="10"/>
        <v>0</v>
      </c>
      <c r="Y681" s="1" t="str">
        <f t="array" ref="Y681">IFERROR(INDEX('Исходник'!$1:$626,MATCH($A681,'Исходник'!$T:$T,0),MATCH(Y$1,'Исходник'!$1:$1,0)))</f>
        <v/>
      </c>
      <c r="Z681" s="27">
        <f t="shared" si="11"/>
        <v>0</v>
      </c>
      <c r="AA681" s="27" t="str">
        <f t="shared" si="12"/>
        <v/>
      </c>
      <c r="AB681" s="1" t="str">
        <f t="array" ref="AB681">IFERROR(INDEX('Исходник'!$1:$626,MATCH($A681,'Исходник'!$T:$T,0),MATCH(AB$1,'Исходник'!$1:$1,0)))</f>
        <v/>
      </c>
      <c r="AC681" s="1" t="str">
        <f t="array" ref="AC681">IFERROR(INDEX('Исходник'!$1:$626,MATCH($A681,'Исходник'!$T:$T,0),MATCH(AC$1,'Исходник'!$1:$1,0)))</f>
        <v/>
      </c>
      <c r="AD681" s="27" t="str">
        <f t="shared" si="13"/>
        <v/>
      </c>
      <c r="AE681" s="1" t="str">
        <f t="array" ref="AE681">IFERROR(INDEX('Исходник'!$1:$626,MATCH($A681,'Исходник'!$T:$T,0),MATCH(AE$1,'Исходник'!$1:$1,0)))</f>
        <v/>
      </c>
      <c r="AF681" s="1" t="str">
        <f t="array" ref="AF681">IFERROR(INDEX('Исходник'!$1:$626,MATCH($A681,'Исходник'!$T:$T,0),MATCH(AF$1,'Исходник'!$1:$1,0)))</f>
        <v/>
      </c>
      <c r="AG681" s="27" t="str">
        <f t="shared" si="14"/>
        <v/>
      </c>
      <c r="AH681" s="1" t="str">
        <f t="array" ref="AH681">IFERROR(INDEX('Исходник'!$1:$626,MATCH($A681,'Исходник'!$T:$T,0),MATCH(AH$1,'Исходник'!$1:$1,0)))</f>
        <v/>
      </c>
      <c r="AI681" s="1" t="str">
        <f t="array" ref="AI681">IFERROR(INDEX('Исходник'!$1:$626,MATCH($A681,'Исходник'!$T:$T,0),MATCH(AI$1,'Исходник'!$1:$1,0)))</f>
        <v/>
      </c>
      <c r="AJ681" s="18">
        <f t="shared" si="15"/>
        <v>0</v>
      </c>
    </row>
    <row r="682" ht="15.75" customHeight="1">
      <c r="A682" s="27"/>
      <c r="B682" s="1" t="str">
        <f t="array" ref="B682">IFERROR(INDEX('Исходник'!$1:$626,MATCH($A682,'Исходник'!$T:$T,0),MATCH(B$1,'Исходник'!$1:$1,0)))</f>
        <v/>
      </c>
      <c r="C682" s="1" t="str">
        <f t="array" ref="C682">IFERROR(INDEX('Исходник'!$1:$626,MATCH($A682,'Исходник'!$T:$T,0),MATCH(C$1,'Исходник'!$1:$1,0)))</f>
        <v/>
      </c>
      <c r="D682" s="1" t="str">
        <f t="array" ref="D682">IFERROR(INDEX('Исходник'!$1:$626,MATCH($A682,'Исходник'!$T:$T,0),MATCH(D$1,'Исходник'!$1:$1,0)))</f>
        <v/>
      </c>
      <c r="E682" s="1" t="str">
        <f t="array" ref="E682">IFERROR(INDEX('Исходник'!$1:$626,MATCH($A682,'Исходник'!$T:$T,0),MATCH(E$1,'Исходник'!$1:$1,0)))</f>
        <v/>
      </c>
      <c r="F682" s="1" t="str">
        <f t="array" ref="F682">IFERROR(INDEX('Исходник'!$1:$626,MATCH($A682,'Исходник'!$T:$T,0),MATCH(F$1,'Исходник'!$1:$1,0)))</f>
        <v/>
      </c>
      <c r="G682" s="1" t="str">
        <f t="array" ref="G682">IFERROR(INDEX('Исходник'!$1:$626,MATCH($A682,'Исходник'!$T:$T,0),MATCH(G$1,'Исходник'!$1:$1,0)))</f>
        <v/>
      </c>
      <c r="H682" s="27">
        <f t="shared" si="1"/>
        <v>0</v>
      </c>
      <c r="I682" s="27" t="str">
        <f t="shared" si="2"/>
        <v/>
      </c>
      <c r="J682" s="1" t="str">
        <f t="array" ref="J682">IFERROR(INDEX('Исходник'!$1:$626,MATCH($A682,'Исходник'!$T:$T,0),MATCH(J$1,'Исходник'!$1:$1,0)))</f>
        <v/>
      </c>
      <c r="K682" s="27" t="str">
        <f t="shared" si="3"/>
        <v/>
      </c>
      <c r="L682" s="1" t="str">
        <f t="array" ref="L682">IFERROR(INDEX('Исходник'!$1:$626,MATCH($A682,'Исходник'!$T:$T,0),MATCH(L$1,'Исходник'!$1:$1,0)))</f>
        <v/>
      </c>
      <c r="M682" s="28">
        <f t="shared" si="4"/>
        <v>0</v>
      </c>
      <c r="N682" s="1" t="str">
        <f t="array" ref="N682">IFERROR(INDEX('Исходник'!$1:$626,MATCH($A682,'Исходник'!$T:$T,0),MATCH(N$1,'Исходник'!$1:$1,0)))</f>
        <v/>
      </c>
      <c r="O682" s="27">
        <f t="shared" si="5"/>
        <v>0</v>
      </c>
      <c r="P682" s="27" t="str">
        <f t="shared" si="6"/>
        <v/>
      </c>
      <c r="Q682" s="1" t="str">
        <f t="array" ref="Q682">IFERROR(INDEX('Исходник'!$1:$626,MATCH($A682,'Исходник'!$T:$T,0),MATCH(Q$1,'Исходник'!$1:$1,0)))</f>
        <v/>
      </c>
      <c r="R682" s="1" t="str">
        <f t="array" ref="R682">IFERROR(INDEX('Исходник'!$1:$626,MATCH($A682,'Исходник'!$T:$T,0),MATCH(R$1,'Исходник'!$1:$1,0)))</f>
        <v/>
      </c>
      <c r="S682" s="27">
        <f t="shared" si="7"/>
        <v>0</v>
      </c>
      <c r="T682" s="27" t="str">
        <f t="shared" si="8"/>
        <v/>
      </c>
      <c r="U682" s="1" t="str">
        <f t="array" ref="U682">IFERROR(INDEX('Исходник'!$1:$626,MATCH($A682,'Исходник'!$T:$T,0),MATCH(U$1,'Исходник'!$1:$1,0)))</f>
        <v/>
      </c>
      <c r="V682" s="27" t="str">
        <f t="shared" si="9"/>
        <v/>
      </c>
      <c r="W682" s="1" t="str">
        <f t="array" ref="W682">IFERROR(INDEX('Исходник'!$1:$626,MATCH($A682,'Исходник'!$T:$T,0),MATCH(W$1,'Исходник'!$1:$1,0)))</f>
        <v/>
      </c>
      <c r="X682" s="28">
        <f t="shared" si="10"/>
        <v>0</v>
      </c>
      <c r="Y682" s="1" t="str">
        <f t="array" ref="Y682">IFERROR(INDEX('Исходник'!$1:$626,MATCH($A682,'Исходник'!$T:$T,0),MATCH(Y$1,'Исходник'!$1:$1,0)))</f>
        <v/>
      </c>
      <c r="Z682" s="27">
        <f t="shared" si="11"/>
        <v>0</v>
      </c>
      <c r="AA682" s="27" t="str">
        <f t="shared" si="12"/>
        <v/>
      </c>
      <c r="AB682" s="1" t="str">
        <f t="array" ref="AB682">IFERROR(INDEX('Исходник'!$1:$626,MATCH($A682,'Исходник'!$T:$T,0),MATCH(AB$1,'Исходник'!$1:$1,0)))</f>
        <v/>
      </c>
      <c r="AC682" s="1" t="str">
        <f t="array" ref="AC682">IFERROR(INDEX('Исходник'!$1:$626,MATCH($A682,'Исходник'!$T:$T,0),MATCH(AC$1,'Исходник'!$1:$1,0)))</f>
        <v/>
      </c>
      <c r="AD682" s="27" t="str">
        <f t="shared" si="13"/>
        <v/>
      </c>
      <c r="AE682" s="1" t="str">
        <f t="array" ref="AE682">IFERROR(INDEX('Исходник'!$1:$626,MATCH($A682,'Исходник'!$T:$T,0),MATCH(AE$1,'Исходник'!$1:$1,0)))</f>
        <v/>
      </c>
      <c r="AF682" s="1" t="str">
        <f t="array" ref="AF682">IFERROR(INDEX('Исходник'!$1:$626,MATCH($A682,'Исходник'!$T:$T,0),MATCH(AF$1,'Исходник'!$1:$1,0)))</f>
        <v/>
      </c>
      <c r="AG682" s="27" t="str">
        <f t="shared" si="14"/>
        <v/>
      </c>
      <c r="AH682" s="1" t="str">
        <f t="array" ref="AH682">IFERROR(INDEX('Исходник'!$1:$626,MATCH($A682,'Исходник'!$T:$T,0),MATCH(AH$1,'Исходник'!$1:$1,0)))</f>
        <v/>
      </c>
      <c r="AI682" s="1" t="str">
        <f t="array" ref="AI682">IFERROR(INDEX('Исходник'!$1:$626,MATCH($A682,'Исходник'!$T:$T,0),MATCH(AI$1,'Исходник'!$1:$1,0)))</f>
        <v/>
      </c>
      <c r="AJ682" s="18">
        <f t="shared" si="15"/>
        <v>0</v>
      </c>
    </row>
    <row r="683" ht="15.75" customHeight="1">
      <c r="A683" s="27"/>
      <c r="B683" s="1" t="str">
        <f t="array" ref="B683">IFERROR(INDEX('Исходник'!$1:$626,MATCH($A683,'Исходник'!$T:$T,0),MATCH(B$1,'Исходник'!$1:$1,0)))</f>
        <v/>
      </c>
      <c r="C683" s="1" t="str">
        <f t="array" ref="C683">IFERROR(INDEX('Исходник'!$1:$626,MATCH($A683,'Исходник'!$T:$T,0),MATCH(C$1,'Исходник'!$1:$1,0)))</f>
        <v/>
      </c>
      <c r="D683" s="1" t="str">
        <f t="array" ref="D683">IFERROR(INDEX('Исходник'!$1:$626,MATCH($A683,'Исходник'!$T:$T,0),MATCH(D$1,'Исходник'!$1:$1,0)))</f>
        <v/>
      </c>
      <c r="E683" s="1" t="str">
        <f t="array" ref="E683">IFERROR(INDEX('Исходник'!$1:$626,MATCH($A683,'Исходник'!$T:$T,0),MATCH(E$1,'Исходник'!$1:$1,0)))</f>
        <v/>
      </c>
      <c r="F683" s="1" t="str">
        <f t="array" ref="F683">IFERROR(INDEX('Исходник'!$1:$626,MATCH($A683,'Исходник'!$T:$T,0),MATCH(F$1,'Исходник'!$1:$1,0)))</f>
        <v/>
      </c>
      <c r="G683" s="1" t="str">
        <f t="array" ref="G683">IFERROR(INDEX('Исходник'!$1:$626,MATCH($A683,'Исходник'!$T:$T,0),MATCH(G$1,'Исходник'!$1:$1,0)))</f>
        <v/>
      </c>
      <c r="H683" s="27">
        <f t="shared" si="1"/>
        <v>0</v>
      </c>
      <c r="I683" s="27" t="str">
        <f t="shared" si="2"/>
        <v/>
      </c>
      <c r="J683" s="1" t="str">
        <f t="array" ref="J683">IFERROR(INDEX('Исходник'!$1:$626,MATCH($A683,'Исходник'!$T:$T,0),MATCH(J$1,'Исходник'!$1:$1,0)))</f>
        <v/>
      </c>
      <c r="K683" s="27" t="str">
        <f t="shared" si="3"/>
        <v/>
      </c>
      <c r="L683" s="1" t="str">
        <f t="array" ref="L683">IFERROR(INDEX('Исходник'!$1:$626,MATCH($A683,'Исходник'!$T:$T,0),MATCH(L$1,'Исходник'!$1:$1,0)))</f>
        <v/>
      </c>
      <c r="M683" s="28">
        <f t="shared" si="4"/>
        <v>0</v>
      </c>
      <c r="N683" s="1" t="str">
        <f t="array" ref="N683">IFERROR(INDEX('Исходник'!$1:$626,MATCH($A683,'Исходник'!$T:$T,0),MATCH(N$1,'Исходник'!$1:$1,0)))</f>
        <v/>
      </c>
      <c r="O683" s="27">
        <f t="shared" si="5"/>
        <v>0</v>
      </c>
      <c r="P683" s="27" t="str">
        <f t="shared" si="6"/>
        <v/>
      </c>
      <c r="Q683" s="1" t="str">
        <f t="array" ref="Q683">IFERROR(INDEX('Исходник'!$1:$626,MATCH($A683,'Исходник'!$T:$T,0),MATCH(Q$1,'Исходник'!$1:$1,0)))</f>
        <v/>
      </c>
      <c r="R683" s="1" t="str">
        <f t="array" ref="R683">IFERROR(INDEX('Исходник'!$1:$626,MATCH($A683,'Исходник'!$T:$T,0),MATCH(R$1,'Исходник'!$1:$1,0)))</f>
        <v/>
      </c>
      <c r="S683" s="27">
        <f t="shared" si="7"/>
        <v>0</v>
      </c>
      <c r="T683" s="27" t="str">
        <f t="shared" si="8"/>
        <v/>
      </c>
      <c r="U683" s="1" t="str">
        <f t="array" ref="U683">IFERROR(INDEX('Исходник'!$1:$626,MATCH($A683,'Исходник'!$T:$T,0),MATCH(U$1,'Исходник'!$1:$1,0)))</f>
        <v/>
      </c>
      <c r="V683" s="27" t="str">
        <f t="shared" si="9"/>
        <v/>
      </c>
      <c r="W683" s="1" t="str">
        <f t="array" ref="W683">IFERROR(INDEX('Исходник'!$1:$626,MATCH($A683,'Исходник'!$T:$T,0),MATCH(W$1,'Исходник'!$1:$1,0)))</f>
        <v/>
      </c>
      <c r="X683" s="28">
        <f t="shared" si="10"/>
        <v>0</v>
      </c>
      <c r="Y683" s="1" t="str">
        <f t="array" ref="Y683">IFERROR(INDEX('Исходник'!$1:$626,MATCH($A683,'Исходник'!$T:$T,0),MATCH(Y$1,'Исходник'!$1:$1,0)))</f>
        <v/>
      </c>
      <c r="Z683" s="27">
        <f t="shared" si="11"/>
        <v>0</v>
      </c>
      <c r="AA683" s="27" t="str">
        <f t="shared" si="12"/>
        <v/>
      </c>
      <c r="AB683" s="1" t="str">
        <f t="array" ref="AB683">IFERROR(INDEX('Исходник'!$1:$626,MATCH($A683,'Исходник'!$T:$T,0),MATCH(AB$1,'Исходник'!$1:$1,0)))</f>
        <v/>
      </c>
      <c r="AC683" s="1" t="str">
        <f t="array" ref="AC683">IFERROR(INDEX('Исходник'!$1:$626,MATCH($A683,'Исходник'!$T:$T,0),MATCH(AC$1,'Исходник'!$1:$1,0)))</f>
        <v/>
      </c>
      <c r="AD683" s="27" t="str">
        <f t="shared" si="13"/>
        <v/>
      </c>
      <c r="AE683" s="1" t="str">
        <f t="array" ref="AE683">IFERROR(INDEX('Исходник'!$1:$626,MATCH($A683,'Исходник'!$T:$T,0),MATCH(AE$1,'Исходник'!$1:$1,0)))</f>
        <v/>
      </c>
      <c r="AF683" s="1" t="str">
        <f t="array" ref="AF683">IFERROR(INDEX('Исходник'!$1:$626,MATCH($A683,'Исходник'!$T:$T,0),MATCH(AF$1,'Исходник'!$1:$1,0)))</f>
        <v/>
      </c>
      <c r="AG683" s="27" t="str">
        <f t="shared" si="14"/>
        <v/>
      </c>
      <c r="AH683" s="1" t="str">
        <f t="array" ref="AH683">IFERROR(INDEX('Исходник'!$1:$626,MATCH($A683,'Исходник'!$T:$T,0),MATCH(AH$1,'Исходник'!$1:$1,0)))</f>
        <v/>
      </c>
      <c r="AI683" s="1" t="str">
        <f t="array" ref="AI683">IFERROR(INDEX('Исходник'!$1:$626,MATCH($A683,'Исходник'!$T:$T,0),MATCH(AI$1,'Исходник'!$1:$1,0)))</f>
        <v/>
      </c>
      <c r="AJ683" s="18">
        <f t="shared" si="15"/>
        <v>0</v>
      </c>
    </row>
    <row r="684" ht="15.75" customHeight="1">
      <c r="A684" s="27"/>
      <c r="B684" s="1" t="str">
        <f t="array" ref="B684">IFERROR(INDEX('Исходник'!$1:$626,MATCH($A684,'Исходник'!$T:$T,0),MATCH(B$1,'Исходник'!$1:$1,0)))</f>
        <v/>
      </c>
      <c r="C684" s="1" t="str">
        <f t="array" ref="C684">IFERROR(INDEX('Исходник'!$1:$626,MATCH($A684,'Исходник'!$T:$T,0),MATCH(C$1,'Исходник'!$1:$1,0)))</f>
        <v/>
      </c>
      <c r="D684" s="1" t="str">
        <f t="array" ref="D684">IFERROR(INDEX('Исходник'!$1:$626,MATCH($A684,'Исходник'!$T:$T,0),MATCH(D$1,'Исходник'!$1:$1,0)))</f>
        <v/>
      </c>
      <c r="E684" s="1" t="str">
        <f t="array" ref="E684">IFERROR(INDEX('Исходник'!$1:$626,MATCH($A684,'Исходник'!$T:$T,0),MATCH(E$1,'Исходник'!$1:$1,0)))</f>
        <v/>
      </c>
      <c r="F684" s="1" t="str">
        <f t="array" ref="F684">IFERROR(INDEX('Исходник'!$1:$626,MATCH($A684,'Исходник'!$T:$T,0),MATCH(F$1,'Исходник'!$1:$1,0)))</f>
        <v/>
      </c>
      <c r="G684" s="1" t="str">
        <f t="array" ref="G684">IFERROR(INDEX('Исходник'!$1:$626,MATCH($A684,'Исходник'!$T:$T,0),MATCH(G$1,'Исходник'!$1:$1,0)))</f>
        <v/>
      </c>
      <c r="H684" s="27">
        <f t="shared" si="1"/>
        <v>0</v>
      </c>
      <c r="I684" s="27" t="str">
        <f t="shared" si="2"/>
        <v/>
      </c>
      <c r="J684" s="1" t="str">
        <f t="array" ref="J684">IFERROR(INDEX('Исходник'!$1:$626,MATCH($A684,'Исходник'!$T:$T,0),MATCH(J$1,'Исходник'!$1:$1,0)))</f>
        <v/>
      </c>
      <c r="K684" s="27" t="str">
        <f t="shared" si="3"/>
        <v/>
      </c>
      <c r="L684" s="1" t="str">
        <f t="array" ref="L684">IFERROR(INDEX('Исходник'!$1:$626,MATCH($A684,'Исходник'!$T:$T,0),MATCH(L$1,'Исходник'!$1:$1,0)))</f>
        <v/>
      </c>
      <c r="M684" s="28">
        <f t="shared" si="4"/>
        <v>0</v>
      </c>
      <c r="N684" s="1" t="str">
        <f t="array" ref="N684">IFERROR(INDEX('Исходник'!$1:$626,MATCH($A684,'Исходник'!$T:$T,0),MATCH(N$1,'Исходник'!$1:$1,0)))</f>
        <v/>
      </c>
      <c r="O684" s="27">
        <f t="shared" si="5"/>
        <v>0</v>
      </c>
      <c r="P684" s="27" t="str">
        <f t="shared" si="6"/>
        <v/>
      </c>
      <c r="Q684" s="1" t="str">
        <f t="array" ref="Q684">IFERROR(INDEX('Исходник'!$1:$626,MATCH($A684,'Исходник'!$T:$T,0),MATCH(Q$1,'Исходник'!$1:$1,0)))</f>
        <v/>
      </c>
      <c r="R684" s="1" t="str">
        <f t="array" ref="R684">IFERROR(INDEX('Исходник'!$1:$626,MATCH($A684,'Исходник'!$T:$T,0),MATCH(R$1,'Исходник'!$1:$1,0)))</f>
        <v/>
      </c>
      <c r="S684" s="27">
        <f t="shared" si="7"/>
        <v>0</v>
      </c>
      <c r="T684" s="27" t="str">
        <f t="shared" si="8"/>
        <v/>
      </c>
      <c r="U684" s="1" t="str">
        <f t="array" ref="U684">IFERROR(INDEX('Исходник'!$1:$626,MATCH($A684,'Исходник'!$T:$T,0),MATCH(U$1,'Исходник'!$1:$1,0)))</f>
        <v/>
      </c>
      <c r="V684" s="27" t="str">
        <f t="shared" si="9"/>
        <v/>
      </c>
      <c r="W684" s="1" t="str">
        <f t="array" ref="W684">IFERROR(INDEX('Исходник'!$1:$626,MATCH($A684,'Исходник'!$T:$T,0),MATCH(W$1,'Исходник'!$1:$1,0)))</f>
        <v/>
      </c>
      <c r="X684" s="28">
        <f t="shared" si="10"/>
        <v>0</v>
      </c>
      <c r="Y684" s="1" t="str">
        <f t="array" ref="Y684">IFERROR(INDEX('Исходник'!$1:$626,MATCH($A684,'Исходник'!$T:$T,0),MATCH(Y$1,'Исходник'!$1:$1,0)))</f>
        <v/>
      </c>
      <c r="Z684" s="27">
        <f t="shared" si="11"/>
        <v>0</v>
      </c>
      <c r="AA684" s="27" t="str">
        <f t="shared" si="12"/>
        <v/>
      </c>
      <c r="AB684" s="1" t="str">
        <f t="array" ref="AB684">IFERROR(INDEX('Исходник'!$1:$626,MATCH($A684,'Исходник'!$T:$T,0),MATCH(AB$1,'Исходник'!$1:$1,0)))</f>
        <v/>
      </c>
      <c r="AC684" s="1" t="str">
        <f t="array" ref="AC684">IFERROR(INDEX('Исходник'!$1:$626,MATCH($A684,'Исходник'!$T:$T,0),MATCH(AC$1,'Исходник'!$1:$1,0)))</f>
        <v/>
      </c>
      <c r="AD684" s="27" t="str">
        <f t="shared" si="13"/>
        <v/>
      </c>
      <c r="AE684" s="1" t="str">
        <f t="array" ref="AE684">IFERROR(INDEX('Исходник'!$1:$626,MATCH($A684,'Исходник'!$T:$T,0),MATCH(AE$1,'Исходник'!$1:$1,0)))</f>
        <v/>
      </c>
      <c r="AF684" s="1" t="str">
        <f t="array" ref="AF684">IFERROR(INDEX('Исходник'!$1:$626,MATCH($A684,'Исходник'!$T:$T,0),MATCH(AF$1,'Исходник'!$1:$1,0)))</f>
        <v/>
      </c>
      <c r="AG684" s="27" t="str">
        <f t="shared" si="14"/>
        <v/>
      </c>
      <c r="AH684" s="1" t="str">
        <f t="array" ref="AH684">IFERROR(INDEX('Исходник'!$1:$626,MATCH($A684,'Исходник'!$T:$T,0),MATCH(AH$1,'Исходник'!$1:$1,0)))</f>
        <v/>
      </c>
      <c r="AI684" s="1" t="str">
        <f t="array" ref="AI684">IFERROR(INDEX('Исходник'!$1:$626,MATCH($A684,'Исходник'!$T:$T,0),MATCH(AI$1,'Исходник'!$1:$1,0)))</f>
        <v/>
      </c>
      <c r="AJ684" s="18">
        <f t="shared" si="15"/>
        <v>0</v>
      </c>
    </row>
    <row r="685" ht="15.75" customHeight="1">
      <c r="A685" s="27"/>
      <c r="B685" s="1" t="str">
        <f t="array" ref="B685">IFERROR(INDEX('Исходник'!$1:$626,MATCH($A685,'Исходник'!$T:$T,0),MATCH(B$1,'Исходник'!$1:$1,0)))</f>
        <v/>
      </c>
      <c r="C685" s="1" t="str">
        <f t="array" ref="C685">IFERROR(INDEX('Исходник'!$1:$626,MATCH($A685,'Исходник'!$T:$T,0),MATCH(C$1,'Исходник'!$1:$1,0)))</f>
        <v/>
      </c>
      <c r="D685" s="1" t="str">
        <f t="array" ref="D685">IFERROR(INDEX('Исходник'!$1:$626,MATCH($A685,'Исходник'!$T:$T,0),MATCH(D$1,'Исходник'!$1:$1,0)))</f>
        <v/>
      </c>
      <c r="E685" s="1" t="str">
        <f t="array" ref="E685">IFERROR(INDEX('Исходник'!$1:$626,MATCH($A685,'Исходник'!$T:$T,0),MATCH(E$1,'Исходник'!$1:$1,0)))</f>
        <v/>
      </c>
      <c r="F685" s="1" t="str">
        <f t="array" ref="F685">IFERROR(INDEX('Исходник'!$1:$626,MATCH($A685,'Исходник'!$T:$T,0),MATCH(F$1,'Исходник'!$1:$1,0)))</f>
        <v/>
      </c>
      <c r="G685" s="1" t="str">
        <f t="array" ref="G685">IFERROR(INDEX('Исходник'!$1:$626,MATCH($A685,'Исходник'!$T:$T,0),MATCH(G$1,'Исходник'!$1:$1,0)))</f>
        <v/>
      </c>
      <c r="H685" s="27">
        <f t="shared" si="1"/>
        <v>0</v>
      </c>
      <c r="I685" s="27" t="str">
        <f t="shared" si="2"/>
        <v/>
      </c>
      <c r="J685" s="1" t="str">
        <f t="array" ref="J685">IFERROR(INDEX('Исходник'!$1:$626,MATCH($A685,'Исходник'!$T:$T,0),MATCH(J$1,'Исходник'!$1:$1,0)))</f>
        <v/>
      </c>
      <c r="K685" s="27" t="str">
        <f t="shared" si="3"/>
        <v/>
      </c>
      <c r="L685" s="1" t="str">
        <f t="array" ref="L685">IFERROR(INDEX('Исходник'!$1:$626,MATCH($A685,'Исходник'!$T:$T,0),MATCH(L$1,'Исходник'!$1:$1,0)))</f>
        <v/>
      </c>
      <c r="M685" s="28">
        <f t="shared" si="4"/>
        <v>0</v>
      </c>
      <c r="N685" s="1" t="str">
        <f t="array" ref="N685">IFERROR(INDEX('Исходник'!$1:$626,MATCH($A685,'Исходник'!$T:$T,0),MATCH(N$1,'Исходник'!$1:$1,0)))</f>
        <v/>
      </c>
      <c r="O685" s="27">
        <f t="shared" si="5"/>
        <v>0</v>
      </c>
      <c r="P685" s="27" t="str">
        <f t="shared" si="6"/>
        <v/>
      </c>
      <c r="Q685" s="1" t="str">
        <f t="array" ref="Q685">IFERROR(INDEX('Исходник'!$1:$626,MATCH($A685,'Исходник'!$T:$T,0),MATCH(Q$1,'Исходник'!$1:$1,0)))</f>
        <v/>
      </c>
      <c r="R685" s="1" t="str">
        <f t="array" ref="R685">IFERROR(INDEX('Исходник'!$1:$626,MATCH($A685,'Исходник'!$T:$T,0),MATCH(R$1,'Исходник'!$1:$1,0)))</f>
        <v/>
      </c>
      <c r="S685" s="27">
        <f t="shared" si="7"/>
        <v>0</v>
      </c>
      <c r="T685" s="27" t="str">
        <f t="shared" si="8"/>
        <v/>
      </c>
      <c r="U685" s="1" t="str">
        <f t="array" ref="U685">IFERROR(INDEX('Исходник'!$1:$626,MATCH($A685,'Исходник'!$T:$T,0),MATCH(U$1,'Исходник'!$1:$1,0)))</f>
        <v/>
      </c>
      <c r="V685" s="27" t="str">
        <f t="shared" si="9"/>
        <v/>
      </c>
      <c r="W685" s="1" t="str">
        <f t="array" ref="W685">IFERROR(INDEX('Исходник'!$1:$626,MATCH($A685,'Исходник'!$T:$T,0),MATCH(W$1,'Исходник'!$1:$1,0)))</f>
        <v/>
      </c>
      <c r="X685" s="28">
        <f t="shared" si="10"/>
        <v>0</v>
      </c>
      <c r="Y685" s="1" t="str">
        <f t="array" ref="Y685">IFERROR(INDEX('Исходник'!$1:$626,MATCH($A685,'Исходник'!$T:$T,0),MATCH(Y$1,'Исходник'!$1:$1,0)))</f>
        <v/>
      </c>
      <c r="Z685" s="27">
        <f t="shared" si="11"/>
        <v>0</v>
      </c>
      <c r="AA685" s="27" t="str">
        <f t="shared" si="12"/>
        <v/>
      </c>
      <c r="AB685" s="1" t="str">
        <f t="array" ref="AB685">IFERROR(INDEX('Исходник'!$1:$626,MATCH($A685,'Исходник'!$T:$T,0),MATCH(AB$1,'Исходник'!$1:$1,0)))</f>
        <v/>
      </c>
      <c r="AC685" s="1" t="str">
        <f t="array" ref="AC685">IFERROR(INDEX('Исходник'!$1:$626,MATCH($A685,'Исходник'!$T:$T,0),MATCH(AC$1,'Исходник'!$1:$1,0)))</f>
        <v/>
      </c>
      <c r="AD685" s="27" t="str">
        <f t="shared" si="13"/>
        <v/>
      </c>
      <c r="AE685" s="1" t="str">
        <f t="array" ref="AE685">IFERROR(INDEX('Исходник'!$1:$626,MATCH($A685,'Исходник'!$T:$T,0),MATCH(AE$1,'Исходник'!$1:$1,0)))</f>
        <v/>
      </c>
      <c r="AF685" s="1" t="str">
        <f t="array" ref="AF685">IFERROR(INDEX('Исходник'!$1:$626,MATCH($A685,'Исходник'!$T:$T,0),MATCH(AF$1,'Исходник'!$1:$1,0)))</f>
        <v/>
      </c>
      <c r="AG685" s="27" t="str">
        <f t="shared" si="14"/>
        <v/>
      </c>
      <c r="AH685" s="1" t="str">
        <f t="array" ref="AH685">IFERROR(INDEX('Исходник'!$1:$626,MATCH($A685,'Исходник'!$T:$T,0),MATCH(AH$1,'Исходник'!$1:$1,0)))</f>
        <v/>
      </c>
      <c r="AI685" s="1" t="str">
        <f t="array" ref="AI685">IFERROR(INDEX('Исходник'!$1:$626,MATCH($A685,'Исходник'!$T:$T,0),MATCH(AI$1,'Исходник'!$1:$1,0)))</f>
        <v/>
      </c>
      <c r="AJ685" s="18">
        <f t="shared" si="15"/>
        <v>0</v>
      </c>
    </row>
    <row r="686" ht="15.75" customHeight="1">
      <c r="A686" s="27"/>
      <c r="B686" s="1" t="str">
        <f t="array" ref="B686">IFERROR(INDEX('Исходник'!$1:$626,MATCH($A686,'Исходник'!$T:$T,0),MATCH(B$1,'Исходник'!$1:$1,0)))</f>
        <v/>
      </c>
      <c r="C686" s="1" t="str">
        <f t="array" ref="C686">IFERROR(INDEX('Исходник'!$1:$626,MATCH($A686,'Исходник'!$T:$T,0),MATCH(C$1,'Исходник'!$1:$1,0)))</f>
        <v/>
      </c>
      <c r="D686" s="1" t="str">
        <f t="array" ref="D686">IFERROR(INDEX('Исходник'!$1:$626,MATCH($A686,'Исходник'!$T:$T,0),MATCH(D$1,'Исходник'!$1:$1,0)))</f>
        <v/>
      </c>
      <c r="E686" s="1" t="str">
        <f t="array" ref="E686">IFERROR(INDEX('Исходник'!$1:$626,MATCH($A686,'Исходник'!$T:$T,0),MATCH(E$1,'Исходник'!$1:$1,0)))</f>
        <v/>
      </c>
      <c r="F686" s="1" t="str">
        <f t="array" ref="F686">IFERROR(INDEX('Исходник'!$1:$626,MATCH($A686,'Исходник'!$T:$T,0),MATCH(F$1,'Исходник'!$1:$1,0)))</f>
        <v/>
      </c>
      <c r="G686" s="1" t="str">
        <f t="array" ref="G686">IFERROR(INDEX('Исходник'!$1:$626,MATCH($A686,'Исходник'!$T:$T,0),MATCH(G$1,'Исходник'!$1:$1,0)))</f>
        <v/>
      </c>
      <c r="H686" s="27">
        <f t="shared" si="1"/>
        <v>0</v>
      </c>
      <c r="I686" s="27" t="str">
        <f t="shared" si="2"/>
        <v/>
      </c>
      <c r="J686" s="1" t="str">
        <f t="array" ref="J686">IFERROR(INDEX('Исходник'!$1:$626,MATCH($A686,'Исходник'!$T:$T,0),MATCH(J$1,'Исходник'!$1:$1,0)))</f>
        <v/>
      </c>
      <c r="K686" s="27" t="str">
        <f t="shared" si="3"/>
        <v/>
      </c>
      <c r="L686" s="1" t="str">
        <f t="array" ref="L686">IFERROR(INDEX('Исходник'!$1:$626,MATCH($A686,'Исходник'!$T:$T,0),MATCH(L$1,'Исходник'!$1:$1,0)))</f>
        <v/>
      </c>
      <c r="M686" s="28">
        <f t="shared" si="4"/>
        <v>0</v>
      </c>
      <c r="N686" s="1" t="str">
        <f t="array" ref="N686">IFERROR(INDEX('Исходник'!$1:$626,MATCH($A686,'Исходник'!$T:$T,0),MATCH(N$1,'Исходник'!$1:$1,0)))</f>
        <v/>
      </c>
      <c r="O686" s="27">
        <f t="shared" si="5"/>
        <v>0</v>
      </c>
      <c r="P686" s="27" t="str">
        <f t="shared" si="6"/>
        <v/>
      </c>
      <c r="Q686" s="1" t="str">
        <f t="array" ref="Q686">IFERROR(INDEX('Исходник'!$1:$626,MATCH($A686,'Исходник'!$T:$T,0),MATCH(Q$1,'Исходник'!$1:$1,0)))</f>
        <v/>
      </c>
      <c r="R686" s="1" t="str">
        <f t="array" ref="R686">IFERROR(INDEX('Исходник'!$1:$626,MATCH($A686,'Исходник'!$T:$T,0),MATCH(R$1,'Исходник'!$1:$1,0)))</f>
        <v/>
      </c>
      <c r="S686" s="27">
        <f t="shared" si="7"/>
        <v>0</v>
      </c>
      <c r="T686" s="27" t="str">
        <f t="shared" si="8"/>
        <v/>
      </c>
      <c r="U686" s="1" t="str">
        <f t="array" ref="U686">IFERROR(INDEX('Исходник'!$1:$626,MATCH($A686,'Исходник'!$T:$T,0),MATCH(U$1,'Исходник'!$1:$1,0)))</f>
        <v/>
      </c>
      <c r="V686" s="27" t="str">
        <f t="shared" si="9"/>
        <v/>
      </c>
      <c r="W686" s="1" t="str">
        <f t="array" ref="W686">IFERROR(INDEX('Исходник'!$1:$626,MATCH($A686,'Исходник'!$T:$T,0),MATCH(W$1,'Исходник'!$1:$1,0)))</f>
        <v/>
      </c>
      <c r="X686" s="28">
        <f t="shared" si="10"/>
        <v>0</v>
      </c>
      <c r="Y686" s="1" t="str">
        <f t="array" ref="Y686">IFERROR(INDEX('Исходник'!$1:$626,MATCH($A686,'Исходник'!$T:$T,0),MATCH(Y$1,'Исходник'!$1:$1,0)))</f>
        <v/>
      </c>
      <c r="Z686" s="27">
        <f t="shared" si="11"/>
        <v>0</v>
      </c>
      <c r="AA686" s="27" t="str">
        <f t="shared" si="12"/>
        <v/>
      </c>
      <c r="AB686" s="1" t="str">
        <f t="array" ref="AB686">IFERROR(INDEX('Исходник'!$1:$626,MATCH($A686,'Исходник'!$T:$T,0),MATCH(AB$1,'Исходник'!$1:$1,0)))</f>
        <v/>
      </c>
      <c r="AC686" s="1" t="str">
        <f t="array" ref="AC686">IFERROR(INDEX('Исходник'!$1:$626,MATCH($A686,'Исходник'!$T:$T,0),MATCH(AC$1,'Исходник'!$1:$1,0)))</f>
        <v/>
      </c>
      <c r="AD686" s="27" t="str">
        <f t="shared" si="13"/>
        <v/>
      </c>
      <c r="AE686" s="1" t="str">
        <f t="array" ref="AE686">IFERROR(INDEX('Исходник'!$1:$626,MATCH($A686,'Исходник'!$T:$T,0),MATCH(AE$1,'Исходник'!$1:$1,0)))</f>
        <v/>
      </c>
      <c r="AF686" s="1" t="str">
        <f t="array" ref="AF686">IFERROR(INDEX('Исходник'!$1:$626,MATCH($A686,'Исходник'!$T:$T,0),MATCH(AF$1,'Исходник'!$1:$1,0)))</f>
        <v/>
      </c>
      <c r="AG686" s="27" t="str">
        <f t="shared" si="14"/>
        <v/>
      </c>
      <c r="AH686" s="1" t="str">
        <f t="array" ref="AH686">IFERROR(INDEX('Исходник'!$1:$626,MATCH($A686,'Исходник'!$T:$T,0),MATCH(AH$1,'Исходник'!$1:$1,0)))</f>
        <v/>
      </c>
      <c r="AI686" s="1" t="str">
        <f t="array" ref="AI686">IFERROR(INDEX('Исходник'!$1:$626,MATCH($A686,'Исходник'!$T:$T,0),MATCH(AI$1,'Исходник'!$1:$1,0)))</f>
        <v/>
      </c>
      <c r="AJ686" s="18">
        <f t="shared" si="15"/>
        <v>0</v>
      </c>
    </row>
    <row r="687" ht="15.75" customHeight="1">
      <c r="A687" s="27"/>
      <c r="B687" s="1" t="str">
        <f t="array" ref="B687">IFERROR(INDEX('Исходник'!$1:$626,MATCH($A687,'Исходник'!$T:$T,0),MATCH(B$1,'Исходник'!$1:$1,0)))</f>
        <v/>
      </c>
      <c r="C687" s="1" t="str">
        <f t="array" ref="C687">IFERROR(INDEX('Исходник'!$1:$626,MATCH($A687,'Исходник'!$T:$T,0),MATCH(C$1,'Исходник'!$1:$1,0)))</f>
        <v/>
      </c>
      <c r="D687" s="1" t="str">
        <f t="array" ref="D687">IFERROR(INDEX('Исходник'!$1:$626,MATCH($A687,'Исходник'!$T:$T,0),MATCH(D$1,'Исходник'!$1:$1,0)))</f>
        <v/>
      </c>
      <c r="E687" s="1" t="str">
        <f t="array" ref="E687">IFERROR(INDEX('Исходник'!$1:$626,MATCH($A687,'Исходник'!$T:$T,0),MATCH(E$1,'Исходник'!$1:$1,0)))</f>
        <v/>
      </c>
      <c r="F687" s="1" t="str">
        <f t="array" ref="F687">IFERROR(INDEX('Исходник'!$1:$626,MATCH($A687,'Исходник'!$T:$T,0),MATCH(F$1,'Исходник'!$1:$1,0)))</f>
        <v/>
      </c>
      <c r="G687" s="1" t="str">
        <f t="array" ref="G687">IFERROR(INDEX('Исходник'!$1:$626,MATCH($A687,'Исходник'!$T:$T,0),MATCH(G$1,'Исходник'!$1:$1,0)))</f>
        <v/>
      </c>
      <c r="H687" s="27">
        <f t="shared" si="1"/>
        <v>0</v>
      </c>
      <c r="I687" s="27" t="str">
        <f t="shared" si="2"/>
        <v/>
      </c>
      <c r="J687" s="1" t="str">
        <f t="array" ref="J687">IFERROR(INDEX('Исходник'!$1:$626,MATCH($A687,'Исходник'!$T:$T,0),MATCH(J$1,'Исходник'!$1:$1,0)))</f>
        <v/>
      </c>
      <c r="K687" s="27" t="str">
        <f t="shared" si="3"/>
        <v/>
      </c>
      <c r="L687" s="1" t="str">
        <f t="array" ref="L687">IFERROR(INDEX('Исходник'!$1:$626,MATCH($A687,'Исходник'!$T:$T,0),MATCH(L$1,'Исходник'!$1:$1,0)))</f>
        <v/>
      </c>
      <c r="M687" s="28">
        <f t="shared" si="4"/>
        <v>0</v>
      </c>
      <c r="N687" s="1" t="str">
        <f t="array" ref="N687">IFERROR(INDEX('Исходник'!$1:$626,MATCH($A687,'Исходник'!$T:$T,0),MATCH(N$1,'Исходник'!$1:$1,0)))</f>
        <v/>
      </c>
      <c r="O687" s="27">
        <f t="shared" si="5"/>
        <v>0</v>
      </c>
      <c r="P687" s="27" t="str">
        <f t="shared" si="6"/>
        <v/>
      </c>
      <c r="Q687" s="1" t="str">
        <f t="array" ref="Q687">IFERROR(INDEX('Исходник'!$1:$626,MATCH($A687,'Исходник'!$T:$T,0),MATCH(Q$1,'Исходник'!$1:$1,0)))</f>
        <v/>
      </c>
      <c r="R687" s="1" t="str">
        <f t="array" ref="R687">IFERROR(INDEX('Исходник'!$1:$626,MATCH($A687,'Исходник'!$T:$T,0),MATCH(R$1,'Исходник'!$1:$1,0)))</f>
        <v/>
      </c>
      <c r="S687" s="27">
        <f t="shared" si="7"/>
        <v>0</v>
      </c>
      <c r="T687" s="27" t="str">
        <f t="shared" si="8"/>
        <v/>
      </c>
      <c r="U687" s="1" t="str">
        <f t="array" ref="U687">IFERROR(INDEX('Исходник'!$1:$626,MATCH($A687,'Исходник'!$T:$T,0),MATCH(U$1,'Исходник'!$1:$1,0)))</f>
        <v/>
      </c>
      <c r="V687" s="27" t="str">
        <f t="shared" si="9"/>
        <v/>
      </c>
      <c r="W687" s="1" t="str">
        <f t="array" ref="W687">IFERROR(INDEX('Исходник'!$1:$626,MATCH($A687,'Исходник'!$T:$T,0),MATCH(W$1,'Исходник'!$1:$1,0)))</f>
        <v/>
      </c>
      <c r="X687" s="28">
        <f t="shared" si="10"/>
        <v>0</v>
      </c>
      <c r="Y687" s="1" t="str">
        <f t="array" ref="Y687">IFERROR(INDEX('Исходник'!$1:$626,MATCH($A687,'Исходник'!$T:$T,0),MATCH(Y$1,'Исходник'!$1:$1,0)))</f>
        <v/>
      </c>
      <c r="Z687" s="27">
        <f t="shared" si="11"/>
        <v>0</v>
      </c>
      <c r="AA687" s="27" t="str">
        <f t="shared" si="12"/>
        <v/>
      </c>
      <c r="AB687" s="1" t="str">
        <f t="array" ref="AB687">IFERROR(INDEX('Исходник'!$1:$626,MATCH($A687,'Исходник'!$T:$T,0),MATCH(AB$1,'Исходник'!$1:$1,0)))</f>
        <v/>
      </c>
      <c r="AC687" s="1" t="str">
        <f t="array" ref="AC687">IFERROR(INDEX('Исходник'!$1:$626,MATCH($A687,'Исходник'!$T:$T,0),MATCH(AC$1,'Исходник'!$1:$1,0)))</f>
        <v/>
      </c>
      <c r="AD687" s="27" t="str">
        <f t="shared" si="13"/>
        <v/>
      </c>
      <c r="AE687" s="1" t="str">
        <f t="array" ref="AE687">IFERROR(INDEX('Исходник'!$1:$626,MATCH($A687,'Исходник'!$T:$T,0),MATCH(AE$1,'Исходник'!$1:$1,0)))</f>
        <v/>
      </c>
      <c r="AF687" s="1" t="str">
        <f t="array" ref="AF687">IFERROR(INDEX('Исходник'!$1:$626,MATCH($A687,'Исходник'!$T:$T,0),MATCH(AF$1,'Исходник'!$1:$1,0)))</f>
        <v/>
      </c>
      <c r="AG687" s="27" t="str">
        <f t="shared" si="14"/>
        <v/>
      </c>
      <c r="AH687" s="1" t="str">
        <f t="array" ref="AH687">IFERROR(INDEX('Исходник'!$1:$626,MATCH($A687,'Исходник'!$T:$T,0),MATCH(AH$1,'Исходник'!$1:$1,0)))</f>
        <v/>
      </c>
      <c r="AI687" s="1" t="str">
        <f t="array" ref="AI687">IFERROR(INDEX('Исходник'!$1:$626,MATCH($A687,'Исходник'!$T:$T,0),MATCH(AI$1,'Исходник'!$1:$1,0)))</f>
        <v/>
      </c>
      <c r="AJ687" s="18">
        <f t="shared" si="15"/>
        <v>0</v>
      </c>
    </row>
    <row r="688" ht="15.75" customHeight="1">
      <c r="A688" s="27"/>
      <c r="B688" s="1" t="str">
        <f t="array" ref="B688">IFERROR(INDEX('Исходник'!$1:$626,MATCH($A688,'Исходник'!$T:$T,0),MATCH(B$1,'Исходник'!$1:$1,0)))</f>
        <v/>
      </c>
      <c r="C688" s="1" t="str">
        <f t="array" ref="C688">IFERROR(INDEX('Исходник'!$1:$626,MATCH($A688,'Исходник'!$T:$T,0),MATCH(C$1,'Исходник'!$1:$1,0)))</f>
        <v/>
      </c>
      <c r="D688" s="1" t="str">
        <f t="array" ref="D688">IFERROR(INDEX('Исходник'!$1:$626,MATCH($A688,'Исходник'!$T:$T,0),MATCH(D$1,'Исходник'!$1:$1,0)))</f>
        <v/>
      </c>
      <c r="E688" s="1" t="str">
        <f t="array" ref="E688">IFERROR(INDEX('Исходник'!$1:$626,MATCH($A688,'Исходник'!$T:$T,0),MATCH(E$1,'Исходник'!$1:$1,0)))</f>
        <v/>
      </c>
      <c r="F688" s="1" t="str">
        <f t="array" ref="F688">IFERROR(INDEX('Исходник'!$1:$626,MATCH($A688,'Исходник'!$T:$T,0),MATCH(F$1,'Исходник'!$1:$1,0)))</f>
        <v/>
      </c>
      <c r="G688" s="1" t="str">
        <f t="array" ref="G688">IFERROR(INDEX('Исходник'!$1:$626,MATCH($A688,'Исходник'!$T:$T,0),MATCH(G$1,'Исходник'!$1:$1,0)))</f>
        <v/>
      </c>
      <c r="H688" s="27">
        <f t="shared" si="1"/>
        <v>0</v>
      </c>
      <c r="I688" s="27" t="str">
        <f t="shared" si="2"/>
        <v/>
      </c>
      <c r="J688" s="1" t="str">
        <f t="array" ref="J688">IFERROR(INDEX('Исходник'!$1:$626,MATCH($A688,'Исходник'!$T:$T,0),MATCH(J$1,'Исходник'!$1:$1,0)))</f>
        <v/>
      </c>
      <c r="K688" s="27" t="str">
        <f t="shared" si="3"/>
        <v/>
      </c>
      <c r="L688" s="1" t="str">
        <f t="array" ref="L688">IFERROR(INDEX('Исходник'!$1:$626,MATCH($A688,'Исходник'!$T:$T,0),MATCH(L$1,'Исходник'!$1:$1,0)))</f>
        <v/>
      </c>
      <c r="M688" s="28">
        <f t="shared" si="4"/>
        <v>0</v>
      </c>
      <c r="N688" s="1" t="str">
        <f t="array" ref="N688">IFERROR(INDEX('Исходник'!$1:$626,MATCH($A688,'Исходник'!$T:$T,0),MATCH(N$1,'Исходник'!$1:$1,0)))</f>
        <v/>
      </c>
      <c r="O688" s="27">
        <f t="shared" si="5"/>
        <v>0</v>
      </c>
      <c r="P688" s="27" t="str">
        <f t="shared" si="6"/>
        <v/>
      </c>
      <c r="Q688" s="1" t="str">
        <f t="array" ref="Q688">IFERROR(INDEX('Исходник'!$1:$626,MATCH($A688,'Исходник'!$T:$T,0),MATCH(Q$1,'Исходник'!$1:$1,0)))</f>
        <v/>
      </c>
      <c r="R688" s="1" t="str">
        <f t="array" ref="R688">IFERROR(INDEX('Исходник'!$1:$626,MATCH($A688,'Исходник'!$T:$T,0),MATCH(R$1,'Исходник'!$1:$1,0)))</f>
        <v/>
      </c>
      <c r="S688" s="27">
        <f t="shared" si="7"/>
        <v>0</v>
      </c>
      <c r="T688" s="27" t="str">
        <f t="shared" si="8"/>
        <v/>
      </c>
      <c r="U688" s="1" t="str">
        <f t="array" ref="U688">IFERROR(INDEX('Исходник'!$1:$626,MATCH($A688,'Исходник'!$T:$T,0),MATCH(U$1,'Исходник'!$1:$1,0)))</f>
        <v/>
      </c>
      <c r="V688" s="27" t="str">
        <f t="shared" si="9"/>
        <v/>
      </c>
      <c r="W688" s="1" t="str">
        <f t="array" ref="W688">IFERROR(INDEX('Исходник'!$1:$626,MATCH($A688,'Исходник'!$T:$T,0),MATCH(W$1,'Исходник'!$1:$1,0)))</f>
        <v/>
      </c>
      <c r="X688" s="28">
        <f t="shared" si="10"/>
        <v>0</v>
      </c>
      <c r="Y688" s="1" t="str">
        <f t="array" ref="Y688">IFERROR(INDEX('Исходник'!$1:$626,MATCH($A688,'Исходник'!$T:$T,0),MATCH(Y$1,'Исходник'!$1:$1,0)))</f>
        <v/>
      </c>
      <c r="Z688" s="27">
        <f t="shared" si="11"/>
        <v>0</v>
      </c>
      <c r="AA688" s="27" t="str">
        <f t="shared" si="12"/>
        <v/>
      </c>
      <c r="AB688" s="1" t="str">
        <f t="array" ref="AB688">IFERROR(INDEX('Исходник'!$1:$626,MATCH($A688,'Исходник'!$T:$T,0),MATCH(AB$1,'Исходник'!$1:$1,0)))</f>
        <v/>
      </c>
      <c r="AC688" s="1" t="str">
        <f t="array" ref="AC688">IFERROR(INDEX('Исходник'!$1:$626,MATCH($A688,'Исходник'!$T:$T,0),MATCH(AC$1,'Исходник'!$1:$1,0)))</f>
        <v/>
      </c>
      <c r="AD688" s="27" t="str">
        <f t="shared" si="13"/>
        <v/>
      </c>
      <c r="AE688" s="1" t="str">
        <f t="array" ref="AE688">IFERROR(INDEX('Исходник'!$1:$626,MATCH($A688,'Исходник'!$T:$T,0),MATCH(AE$1,'Исходник'!$1:$1,0)))</f>
        <v/>
      </c>
      <c r="AF688" s="1" t="str">
        <f t="array" ref="AF688">IFERROR(INDEX('Исходник'!$1:$626,MATCH($A688,'Исходник'!$T:$T,0),MATCH(AF$1,'Исходник'!$1:$1,0)))</f>
        <v/>
      </c>
      <c r="AG688" s="27" t="str">
        <f t="shared" si="14"/>
        <v/>
      </c>
      <c r="AH688" s="1" t="str">
        <f t="array" ref="AH688">IFERROR(INDEX('Исходник'!$1:$626,MATCH($A688,'Исходник'!$T:$T,0),MATCH(AH$1,'Исходник'!$1:$1,0)))</f>
        <v/>
      </c>
      <c r="AI688" s="1" t="str">
        <f t="array" ref="AI688">IFERROR(INDEX('Исходник'!$1:$626,MATCH($A688,'Исходник'!$T:$T,0),MATCH(AI$1,'Исходник'!$1:$1,0)))</f>
        <v/>
      </c>
      <c r="AJ688" s="18">
        <f t="shared" si="15"/>
        <v>0</v>
      </c>
    </row>
    <row r="689" ht="15.75" customHeight="1">
      <c r="A689" s="27"/>
      <c r="B689" s="1" t="str">
        <f t="array" ref="B689">IFERROR(INDEX('Исходник'!$1:$626,MATCH($A689,'Исходник'!$T:$T,0),MATCH(B$1,'Исходник'!$1:$1,0)))</f>
        <v/>
      </c>
      <c r="C689" s="1" t="str">
        <f t="array" ref="C689">IFERROR(INDEX('Исходник'!$1:$626,MATCH($A689,'Исходник'!$T:$T,0),MATCH(C$1,'Исходник'!$1:$1,0)))</f>
        <v/>
      </c>
      <c r="D689" s="1" t="str">
        <f t="array" ref="D689">IFERROR(INDEX('Исходник'!$1:$626,MATCH($A689,'Исходник'!$T:$T,0),MATCH(D$1,'Исходник'!$1:$1,0)))</f>
        <v/>
      </c>
      <c r="E689" s="1" t="str">
        <f t="array" ref="E689">IFERROR(INDEX('Исходник'!$1:$626,MATCH($A689,'Исходник'!$T:$T,0),MATCH(E$1,'Исходник'!$1:$1,0)))</f>
        <v/>
      </c>
      <c r="F689" s="1" t="str">
        <f t="array" ref="F689">IFERROR(INDEX('Исходник'!$1:$626,MATCH($A689,'Исходник'!$T:$T,0),MATCH(F$1,'Исходник'!$1:$1,0)))</f>
        <v/>
      </c>
      <c r="G689" s="1" t="str">
        <f t="array" ref="G689">IFERROR(INDEX('Исходник'!$1:$626,MATCH($A689,'Исходник'!$T:$T,0),MATCH(G$1,'Исходник'!$1:$1,0)))</f>
        <v/>
      </c>
      <c r="H689" s="27">
        <f t="shared" si="1"/>
        <v>0</v>
      </c>
      <c r="I689" s="27" t="str">
        <f t="shared" si="2"/>
        <v/>
      </c>
      <c r="J689" s="1" t="str">
        <f t="array" ref="J689">IFERROR(INDEX('Исходник'!$1:$626,MATCH($A689,'Исходник'!$T:$T,0),MATCH(J$1,'Исходник'!$1:$1,0)))</f>
        <v/>
      </c>
      <c r="K689" s="27" t="str">
        <f t="shared" si="3"/>
        <v/>
      </c>
      <c r="L689" s="1" t="str">
        <f t="array" ref="L689">IFERROR(INDEX('Исходник'!$1:$626,MATCH($A689,'Исходник'!$T:$T,0),MATCH(L$1,'Исходник'!$1:$1,0)))</f>
        <v/>
      </c>
      <c r="M689" s="28">
        <f t="shared" si="4"/>
        <v>0</v>
      </c>
      <c r="N689" s="1" t="str">
        <f t="array" ref="N689">IFERROR(INDEX('Исходник'!$1:$626,MATCH($A689,'Исходник'!$T:$T,0),MATCH(N$1,'Исходник'!$1:$1,0)))</f>
        <v/>
      </c>
      <c r="O689" s="27">
        <f t="shared" si="5"/>
        <v>0</v>
      </c>
      <c r="P689" s="27" t="str">
        <f t="shared" si="6"/>
        <v/>
      </c>
      <c r="Q689" s="1" t="str">
        <f t="array" ref="Q689">IFERROR(INDEX('Исходник'!$1:$626,MATCH($A689,'Исходник'!$T:$T,0),MATCH(Q$1,'Исходник'!$1:$1,0)))</f>
        <v/>
      </c>
      <c r="R689" s="1" t="str">
        <f t="array" ref="R689">IFERROR(INDEX('Исходник'!$1:$626,MATCH($A689,'Исходник'!$T:$T,0),MATCH(R$1,'Исходник'!$1:$1,0)))</f>
        <v/>
      </c>
      <c r="S689" s="27">
        <f t="shared" si="7"/>
        <v>0</v>
      </c>
      <c r="T689" s="27" t="str">
        <f t="shared" si="8"/>
        <v/>
      </c>
      <c r="U689" s="1" t="str">
        <f t="array" ref="U689">IFERROR(INDEX('Исходник'!$1:$626,MATCH($A689,'Исходник'!$T:$T,0),MATCH(U$1,'Исходник'!$1:$1,0)))</f>
        <v/>
      </c>
      <c r="V689" s="27" t="str">
        <f t="shared" si="9"/>
        <v/>
      </c>
      <c r="W689" s="1" t="str">
        <f t="array" ref="W689">IFERROR(INDEX('Исходник'!$1:$626,MATCH($A689,'Исходник'!$T:$T,0),MATCH(W$1,'Исходник'!$1:$1,0)))</f>
        <v/>
      </c>
      <c r="X689" s="28">
        <f t="shared" si="10"/>
        <v>0</v>
      </c>
      <c r="Y689" s="1" t="str">
        <f t="array" ref="Y689">IFERROR(INDEX('Исходник'!$1:$626,MATCH($A689,'Исходник'!$T:$T,0),MATCH(Y$1,'Исходник'!$1:$1,0)))</f>
        <v/>
      </c>
      <c r="Z689" s="27">
        <f t="shared" si="11"/>
        <v>0</v>
      </c>
      <c r="AA689" s="27" t="str">
        <f t="shared" si="12"/>
        <v/>
      </c>
      <c r="AB689" s="1" t="str">
        <f t="array" ref="AB689">IFERROR(INDEX('Исходник'!$1:$626,MATCH($A689,'Исходник'!$T:$T,0),MATCH(AB$1,'Исходник'!$1:$1,0)))</f>
        <v/>
      </c>
      <c r="AC689" s="1" t="str">
        <f t="array" ref="AC689">IFERROR(INDEX('Исходник'!$1:$626,MATCH($A689,'Исходник'!$T:$T,0),MATCH(AC$1,'Исходник'!$1:$1,0)))</f>
        <v/>
      </c>
      <c r="AD689" s="27" t="str">
        <f t="shared" si="13"/>
        <v/>
      </c>
      <c r="AE689" s="1" t="str">
        <f t="array" ref="AE689">IFERROR(INDEX('Исходник'!$1:$626,MATCH($A689,'Исходник'!$T:$T,0),MATCH(AE$1,'Исходник'!$1:$1,0)))</f>
        <v/>
      </c>
      <c r="AF689" s="1" t="str">
        <f t="array" ref="AF689">IFERROR(INDEX('Исходник'!$1:$626,MATCH($A689,'Исходник'!$T:$T,0),MATCH(AF$1,'Исходник'!$1:$1,0)))</f>
        <v/>
      </c>
      <c r="AG689" s="27" t="str">
        <f t="shared" si="14"/>
        <v/>
      </c>
      <c r="AH689" s="1" t="str">
        <f t="array" ref="AH689">IFERROR(INDEX('Исходник'!$1:$626,MATCH($A689,'Исходник'!$T:$T,0),MATCH(AH$1,'Исходник'!$1:$1,0)))</f>
        <v/>
      </c>
      <c r="AI689" s="1" t="str">
        <f t="array" ref="AI689">IFERROR(INDEX('Исходник'!$1:$626,MATCH($A689,'Исходник'!$T:$T,0),MATCH(AI$1,'Исходник'!$1:$1,0)))</f>
        <v/>
      </c>
      <c r="AJ689" s="18">
        <f t="shared" si="15"/>
        <v>0</v>
      </c>
    </row>
    <row r="690" ht="15.75" customHeight="1">
      <c r="A690" s="27"/>
      <c r="B690" s="1" t="str">
        <f t="array" ref="B690">IFERROR(INDEX('Исходник'!$1:$626,MATCH($A690,'Исходник'!$T:$T,0),MATCH(B$1,'Исходник'!$1:$1,0)))</f>
        <v/>
      </c>
      <c r="C690" s="1" t="str">
        <f t="array" ref="C690">IFERROR(INDEX('Исходник'!$1:$626,MATCH($A690,'Исходник'!$T:$T,0),MATCH(C$1,'Исходник'!$1:$1,0)))</f>
        <v/>
      </c>
      <c r="D690" s="1" t="str">
        <f t="array" ref="D690">IFERROR(INDEX('Исходник'!$1:$626,MATCH($A690,'Исходник'!$T:$T,0),MATCH(D$1,'Исходник'!$1:$1,0)))</f>
        <v/>
      </c>
      <c r="E690" s="1" t="str">
        <f t="array" ref="E690">IFERROR(INDEX('Исходник'!$1:$626,MATCH($A690,'Исходник'!$T:$T,0),MATCH(E$1,'Исходник'!$1:$1,0)))</f>
        <v/>
      </c>
      <c r="F690" s="1" t="str">
        <f t="array" ref="F690">IFERROR(INDEX('Исходник'!$1:$626,MATCH($A690,'Исходник'!$T:$T,0),MATCH(F$1,'Исходник'!$1:$1,0)))</f>
        <v/>
      </c>
      <c r="G690" s="1" t="str">
        <f t="array" ref="G690">IFERROR(INDEX('Исходник'!$1:$626,MATCH($A690,'Исходник'!$T:$T,0),MATCH(G$1,'Исходник'!$1:$1,0)))</f>
        <v/>
      </c>
      <c r="H690" s="27">
        <f t="shared" si="1"/>
        <v>0</v>
      </c>
      <c r="I690" s="27" t="str">
        <f t="shared" si="2"/>
        <v/>
      </c>
      <c r="J690" s="1" t="str">
        <f t="array" ref="J690">IFERROR(INDEX('Исходник'!$1:$626,MATCH($A690,'Исходник'!$T:$T,0),MATCH(J$1,'Исходник'!$1:$1,0)))</f>
        <v/>
      </c>
      <c r="K690" s="27" t="str">
        <f t="shared" si="3"/>
        <v/>
      </c>
      <c r="L690" s="1" t="str">
        <f t="array" ref="L690">IFERROR(INDEX('Исходник'!$1:$626,MATCH($A690,'Исходник'!$T:$T,0),MATCH(L$1,'Исходник'!$1:$1,0)))</f>
        <v/>
      </c>
      <c r="M690" s="28">
        <f t="shared" si="4"/>
        <v>0</v>
      </c>
      <c r="N690" s="1" t="str">
        <f t="array" ref="N690">IFERROR(INDEX('Исходник'!$1:$626,MATCH($A690,'Исходник'!$T:$T,0),MATCH(N$1,'Исходник'!$1:$1,0)))</f>
        <v/>
      </c>
      <c r="O690" s="27">
        <f t="shared" si="5"/>
        <v>0</v>
      </c>
      <c r="P690" s="27" t="str">
        <f t="shared" si="6"/>
        <v/>
      </c>
      <c r="Q690" s="1" t="str">
        <f t="array" ref="Q690">IFERROR(INDEX('Исходник'!$1:$626,MATCH($A690,'Исходник'!$T:$T,0),MATCH(Q$1,'Исходник'!$1:$1,0)))</f>
        <v/>
      </c>
      <c r="R690" s="1" t="str">
        <f t="array" ref="R690">IFERROR(INDEX('Исходник'!$1:$626,MATCH($A690,'Исходник'!$T:$T,0),MATCH(R$1,'Исходник'!$1:$1,0)))</f>
        <v/>
      </c>
      <c r="S690" s="27">
        <f t="shared" si="7"/>
        <v>0</v>
      </c>
      <c r="T690" s="27" t="str">
        <f t="shared" si="8"/>
        <v/>
      </c>
      <c r="U690" s="1" t="str">
        <f t="array" ref="U690">IFERROR(INDEX('Исходник'!$1:$626,MATCH($A690,'Исходник'!$T:$T,0),MATCH(U$1,'Исходник'!$1:$1,0)))</f>
        <v/>
      </c>
      <c r="V690" s="27" t="str">
        <f t="shared" si="9"/>
        <v/>
      </c>
      <c r="W690" s="1" t="str">
        <f t="array" ref="W690">IFERROR(INDEX('Исходник'!$1:$626,MATCH($A690,'Исходник'!$T:$T,0),MATCH(W$1,'Исходник'!$1:$1,0)))</f>
        <v/>
      </c>
      <c r="X690" s="28">
        <f t="shared" si="10"/>
        <v>0</v>
      </c>
      <c r="Y690" s="1" t="str">
        <f t="array" ref="Y690">IFERROR(INDEX('Исходник'!$1:$626,MATCH($A690,'Исходник'!$T:$T,0),MATCH(Y$1,'Исходник'!$1:$1,0)))</f>
        <v/>
      </c>
      <c r="Z690" s="27">
        <f t="shared" si="11"/>
        <v>0</v>
      </c>
      <c r="AA690" s="27" t="str">
        <f t="shared" si="12"/>
        <v/>
      </c>
      <c r="AB690" s="1" t="str">
        <f t="array" ref="AB690">IFERROR(INDEX('Исходник'!$1:$626,MATCH($A690,'Исходник'!$T:$T,0),MATCH(AB$1,'Исходник'!$1:$1,0)))</f>
        <v/>
      </c>
      <c r="AC690" s="1" t="str">
        <f t="array" ref="AC690">IFERROR(INDEX('Исходник'!$1:$626,MATCH($A690,'Исходник'!$T:$T,0),MATCH(AC$1,'Исходник'!$1:$1,0)))</f>
        <v/>
      </c>
      <c r="AD690" s="27" t="str">
        <f t="shared" si="13"/>
        <v/>
      </c>
      <c r="AE690" s="1" t="str">
        <f t="array" ref="AE690">IFERROR(INDEX('Исходник'!$1:$626,MATCH($A690,'Исходник'!$T:$T,0),MATCH(AE$1,'Исходник'!$1:$1,0)))</f>
        <v/>
      </c>
      <c r="AF690" s="1" t="str">
        <f t="array" ref="AF690">IFERROR(INDEX('Исходник'!$1:$626,MATCH($A690,'Исходник'!$T:$T,0),MATCH(AF$1,'Исходник'!$1:$1,0)))</f>
        <v/>
      </c>
      <c r="AG690" s="27" t="str">
        <f t="shared" si="14"/>
        <v/>
      </c>
      <c r="AH690" s="1" t="str">
        <f t="array" ref="AH690">IFERROR(INDEX('Исходник'!$1:$626,MATCH($A690,'Исходник'!$T:$T,0),MATCH(AH$1,'Исходник'!$1:$1,0)))</f>
        <v/>
      </c>
      <c r="AI690" s="1" t="str">
        <f t="array" ref="AI690">IFERROR(INDEX('Исходник'!$1:$626,MATCH($A690,'Исходник'!$T:$T,0),MATCH(AI$1,'Исходник'!$1:$1,0)))</f>
        <v/>
      </c>
      <c r="AJ690" s="18">
        <f t="shared" si="15"/>
        <v>0</v>
      </c>
    </row>
    <row r="691" ht="15.75" customHeight="1">
      <c r="A691" s="27"/>
      <c r="B691" s="1" t="str">
        <f t="array" ref="B691">IFERROR(INDEX('Исходник'!$1:$626,MATCH($A691,'Исходник'!$T:$T,0),MATCH(B$1,'Исходник'!$1:$1,0)))</f>
        <v/>
      </c>
      <c r="C691" s="1" t="str">
        <f t="array" ref="C691">IFERROR(INDEX('Исходник'!$1:$626,MATCH($A691,'Исходник'!$T:$T,0),MATCH(C$1,'Исходник'!$1:$1,0)))</f>
        <v/>
      </c>
      <c r="D691" s="1" t="str">
        <f t="array" ref="D691">IFERROR(INDEX('Исходник'!$1:$626,MATCH($A691,'Исходник'!$T:$T,0),MATCH(D$1,'Исходник'!$1:$1,0)))</f>
        <v/>
      </c>
      <c r="E691" s="1" t="str">
        <f t="array" ref="E691">IFERROR(INDEX('Исходник'!$1:$626,MATCH($A691,'Исходник'!$T:$T,0),MATCH(E$1,'Исходник'!$1:$1,0)))</f>
        <v/>
      </c>
      <c r="F691" s="1" t="str">
        <f t="array" ref="F691">IFERROR(INDEX('Исходник'!$1:$626,MATCH($A691,'Исходник'!$T:$T,0),MATCH(F$1,'Исходник'!$1:$1,0)))</f>
        <v/>
      </c>
      <c r="G691" s="1" t="str">
        <f t="array" ref="G691">IFERROR(INDEX('Исходник'!$1:$626,MATCH($A691,'Исходник'!$T:$T,0),MATCH(G$1,'Исходник'!$1:$1,0)))</f>
        <v/>
      </c>
      <c r="H691" s="27">
        <f t="shared" si="1"/>
        <v>0</v>
      </c>
      <c r="I691" s="27" t="str">
        <f t="shared" si="2"/>
        <v/>
      </c>
      <c r="J691" s="1" t="str">
        <f t="array" ref="J691">IFERROR(INDEX('Исходник'!$1:$626,MATCH($A691,'Исходник'!$T:$T,0),MATCH(J$1,'Исходник'!$1:$1,0)))</f>
        <v/>
      </c>
      <c r="K691" s="27" t="str">
        <f t="shared" si="3"/>
        <v/>
      </c>
      <c r="L691" s="1" t="str">
        <f t="array" ref="L691">IFERROR(INDEX('Исходник'!$1:$626,MATCH($A691,'Исходник'!$T:$T,0),MATCH(L$1,'Исходник'!$1:$1,0)))</f>
        <v/>
      </c>
      <c r="M691" s="28">
        <f t="shared" si="4"/>
        <v>0</v>
      </c>
      <c r="N691" s="1" t="str">
        <f t="array" ref="N691">IFERROR(INDEX('Исходник'!$1:$626,MATCH($A691,'Исходник'!$T:$T,0),MATCH(N$1,'Исходник'!$1:$1,0)))</f>
        <v/>
      </c>
      <c r="O691" s="27">
        <f t="shared" si="5"/>
        <v>0</v>
      </c>
      <c r="P691" s="27" t="str">
        <f t="shared" si="6"/>
        <v/>
      </c>
      <c r="Q691" s="1" t="str">
        <f t="array" ref="Q691">IFERROR(INDEX('Исходник'!$1:$626,MATCH($A691,'Исходник'!$T:$T,0),MATCH(Q$1,'Исходник'!$1:$1,0)))</f>
        <v/>
      </c>
      <c r="R691" s="1" t="str">
        <f t="array" ref="R691">IFERROR(INDEX('Исходник'!$1:$626,MATCH($A691,'Исходник'!$T:$T,0),MATCH(R$1,'Исходник'!$1:$1,0)))</f>
        <v/>
      </c>
      <c r="S691" s="27">
        <f t="shared" si="7"/>
        <v>0</v>
      </c>
      <c r="T691" s="27" t="str">
        <f t="shared" si="8"/>
        <v/>
      </c>
      <c r="U691" s="1" t="str">
        <f t="array" ref="U691">IFERROR(INDEX('Исходник'!$1:$626,MATCH($A691,'Исходник'!$T:$T,0),MATCH(U$1,'Исходник'!$1:$1,0)))</f>
        <v/>
      </c>
      <c r="V691" s="27" t="str">
        <f t="shared" si="9"/>
        <v/>
      </c>
      <c r="W691" s="1" t="str">
        <f t="array" ref="W691">IFERROR(INDEX('Исходник'!$1:$626,MATCH($A691,'Исходник'!$T:$T,0),MATCH(W$1,'Исходник'!$1:$1,0)))</f>
        <v/>
      </c>
      <c r="X691" s="28">
        <f t="shared" si="10"/>
        <v>0</v>
      </c>
      <c r="Y691" s="1" t="str">
        <f t="array" ref="Y691">IFERROR(INDEX('Исходник'!$1:$626,MATCH($A691,'Исходник'!$T:$T,0),MATCH(Y$1,'Исходник'!$1:$1,0)))</f>
        <v/>
      </c>
      <c r="Z691" s="27">
        <f t="shared" si="11"/>
        <v>0</v>
      </c>
      <c r="AA691" s="27" t="str">
        <f t="shared" si="12"/>
        <v/>
      </c>
      <c r="AB691" s="1" t="str">
        <f t="array" ref="AB691">IFERROR(INDEX('Исходник'!$1:$626,MATCH($A691,'Исходник'!$T:$T,0),MATCH(AB$1,'Исходник'!$1:$1,0)))</f>
        <v/>
      </c>
      <c r="AC691" s="1" t="str">
        <f t="array" ref="AC691">IFERROR(INDEX('Исходник'!$1:$626,MATCH($A691,'Исходник'!$T:$T,0),MATCH(AC$1,'Исходник'!$1:$1,0)))</f>
        <v/>
      </c>
      <c r="AD691" s="27" t="str">
        <f t="shared" si="13"/>
        <v/>
      </c>
      <c r="AE691" s="1" t="str">
        <f t="array" ref="AE691">IFERROR(INDEX('Исходник'!$1:$626,MATCH($A691,'Исходник'!$T:$T,0),MATCH(AE$1,'Исходник'!$1:$1,0)))</f>
        <v/>
      </c>
      <c r="AF691" s="1" t="str">
        <f t="array" ref="AF691">IFERROR(INDEX('Исходник'!$1:$626,MATCH($A691,'Исходник'!$T:$T,0),MATCH(AF$1,'Исходник'!$1:$1,0)))</f>
        <v/>
      </c>
      <c r="AG691" s="27" t="str">
        <f t="shared" si="14"/>
        <v/>
      </c>
      <c r="AH691" s="1" t="str">
        <f t="array" ref="AH691">IFERROR(INDEX('Исходник'!$1:$626,MATCH($A691,'Исходник'!$T:$T,0),MATCH(AH$1,'Исходник'!$1:$1,0)))</f>
        <v/>
      </c>
      <c r="AI691" s="1" t="str">
        <f t="array" ref="AI691">IFERROR(INDEX('Исходник'!$1:$626,MATCH($A691,'Исходник'!$T:$T,0),MATCH(AI$1,'Исходник'!$1:$1,0)))</f>
        <v/>
      </c>
      <c r="AJ691" s="18">
        <f t="shared" si="15"/>
        <v>0</v>
      </c>
    </row>
    <row r="692" ht="15.75" customHeight="1">
      <c r="A692" s="27"/>
      <c r="B692" s="1" t="str">
        <f t="array" ref="B692">IFERROR(INDEX('Исходник'!$1:$626,MATCH($A692,'Исходник'!$T:$T,0),MATCH(B$1,'Исходник'!$1:$1,0)))</f>
        <v/>
      </c>
      <c r="C692" s="1" t="str">
        <f t="array" ref="C692">IFERROR(INDEX('Исходник'!$1:$626,MATCH($A692,'Исходник'!$T:$T,0),MATCH(C$1,'Исходник'!$1:$1,0)))</f>
        <v/>
      </c>
      <c r="D692" s="1" t="str">
        <f t="array" ref="D692">IFERROR(INDEX('Исходник'!$1:$626,MATCH($A692,'Исходник'!$T:$T,0),MATCH(D$1,'Исходник'!$1:$1,0)))</f>
        <v/>
      </c>
      <c r="E692" s="1" t="str">
        <f t="array" ref="E692">IFERROR(INDEX('Исходник'!$1:$626,MATCH($A692,'Исходник'!$T:$T,0),MATCH(E$1,'Исходник'!$1:$1,0)))</f>
        <v/>
      </c>
      <c r="F692" s="1" t="str">
        <f t="array" ref="F692">IFERROR(INDEX('Исходник'!$1:$626,MATCH($A692,'Исходник'!$T:$T,0),MATCH(F$1,'Исходник'!$1:$1,0)))</f>
        <v/>
      </c>
      <c r="G692" s="1" t="str">
        <f t="array" ref="G692">IFERROR(INDEX('Исходник'!$1:$626,MATCH($A692,'Исходник'!$T:$T,0),MATCH(G$1,'Исходник'!$1:$1,0)))</f>
        <v/>
      </c>
      <c r="H692" s="27">
        <f t="shared" si="1"/>
        <v>0</v>
      </c>
      <c r="I692" s="27" t="str">
        <f t="shared" si="2"/>
        <v/>
      </c>
      <c r="J692" s="1" t="str">
        <f t="array" ref="J692">IFERROR(INDEX('Исходник'!$1:$626,MATCH($A692,'Исходник'!$T:$T,0),MATCH(J$1,'Исходник'!$1:$1,0)))</f>
        <v/>
      </c>
      <c r="K692" s="27" t="str">
        <f t="shared" si="3"/>
        <v/>
      </c>
      <c r="L692" s="1" t="str">
        <f t="array" ref="L692">IFERROR(INDEX('Исходник'!$1:$626,MATCH($A692,'Исходник'!$T:$T,0),MATCH(L$1,'Исходник'!$1:$1,0)))</f>
        <v/>
      </c>
      <c r="M692" s="28">
        <f t="shared" si="4"/>
        <v>0</v>
      </c>
      <c r="N692" s="1" t="str">
        <f t="array" ref="N692">IFERROR(INDEX('Исходник'!$1:$626,MATCH($A692,'Исходник'!$T:$T,0),MATCH(N$1,'Исходник'!$1:$1,0)))</f>
        <v/>
      </c>
      <c r="O692" s="27">
        <f t="shared" si="5"/>
        <v>0</v>
      </c>
      <c r="P692" s="27" t="str">
        <f t="shared" si="6"/>
        <v/>
      </c>
      <c r="Q692" s="1" t="str">
        <f t="array" ref="Q692">IFERROR(INDEX('Исходник'!$1:$626,MATCH($A692,'Исходник'!$T:$T,0),MATCH(Q$1,'Исходник'!$1:$1,0)))</f>
        <v/>
      </c>
      <c r="R692" s="1" t="str">
        <f t="array" ref="R692">IFERROR(INDEX('Исходник'!$1:$626,MATCH($A692,'Исходник'!$T:$T,0),MATCH(R$1,'Исходник'!$1:$1,0)))</f>
        <v/>
      </c>
      <c r="S692" s="27">
        <f t="shared" si="7"/>
        <v>0</v>
      </c>
      <c r="T692" s="27" t="str">
        <f t="shared" si="8"/>
        <v/>
      </c>
      <c r="U692" s="1" t="str">
        <f t="array" ref="U692">IFERROR(INDEX('Исходник'!$1:$626,MATCH($A692,'Исходник'!$T:$T,0),MATCH(U$1,'Исходник'!$1:$1,0)))</f>
        <v/>
      </c>
      <c r="V692" s="27" t="str">
        <f t="shared" si="9"/>
        <v/>
      </c>
      <c r="W692" s="1" t="str">
        <f t="array" ref="W692">IFERROR(INDEX('Исходник'!$1:$626,MATCH($A692,'Исходник'!$T:$T,0),MATCH(W$1,'Исходник'!$1:$1,0)))</f>
        <v/>
      </c>
      <c r="X692" s="28">
        <f t="shared" si="10"/>
        <v>0</v>
      </c>
      <c r="Y692" s="1" t="str">
        <f t="array" ref="Y692">IFERROR(INDEX('Исходник'!$1:$626,MATCH($A692,'Исходник'!$T:$T,0),MATCH(Y$1,'Исходник'!$1:$1,0)))</f>
        <v/>
      </c>
      <c r="Z692" s="27">
        <f t="shared" si="11"/>
        <v>0</v>
      </c>
      <c r="AA692" s="27" t="str">
        <f t="shared" si="12"/>
        <v/>
      </c>
      <c r="AB692" s="1" t="str">
        <f t="array" ref="AB692">IFERROR(INDEX('Исходник'!$1:$626,MATCH($A692,'Исходник'!$T:$T,0),MATCH(AB$1,'Исходник'!$1:$1,0)))</f>
        <v/>
      </c>
      <c r="AC692" s="1" t="str">
        <f t="array" ref="AC692">IFERROR(INDEX('Исходник'!$1:$626,MATCH($A692,'Исходник'!$T:$T,0),MATCH(AC$1,'Исходник'!$1:$1,0)))</f>
        <v/>
      </c>
      <c r="AD692" s="27" t="str">
        <f t="shared" si="13"/>
        <v/>
      </c>
      <c r="AE692" s="1" t="str">
        <f t="array" ref="AE692">IFERROR(INDEX('Исходник'!$1:$626,MATCH($A692,'Исходник'!$T:$T,0),MATCH(AE$1,'Исходник'!$1:$1,0)))</f>
        <v/>
      </c>
      <c r="AF692" s="1" t="str">
        <f t="array" ref="AF692">IFERROR(INDEX('Исходник'!$1:$626,MATCH($A692,'Исходник'!$T:$T,0),MATCH(AF$1,'Исходник'!$1:$1,0)))</f>
        <v/>
      </c>
      <c r="AG692" s="27" t="str">
        <f t="shared" si="14"/>
        <v/>
      </c>
      <c r="AH692" s="1" t="str">
        <f t="array" ref="AH692">IFERROR(INDEX('Исходник'!$1:$626,MATCH($A692,'Исходник'!$T:$T,0),MATCH(AH$1,'Исходник'!$1:$1,0)))</f>
        <v/>
      </c>
      <c r="AI692" s="1" t="str">
        <f t="array" ref="AI692">IFERROR(INDEX('Исходник'!$1:$626,MATCH($A692,'Исходник'!$T:$T,0),MATCH(AI$1,'Исходник'!$1:$1,0)))</f>
        <v/>
      </c>
      <c r="AJ692" s="18">
        <f t="shared" si="15"/>
        <v>0</v>
      </c>
    </row>
    <row r="693" ht="15.75" customHeight="1">
      <c r="A693" s="27"/>
      <c r="B693" s="1" t="str">
        <f t="array" ref="B693">IFERROR(INDEX('Исходник'!$1:$626,MATCH($A693,'Исходник'!$T:$T,0),MATCH(B$1,'Исходник'!$1:$1,0)))</f>
        <v/>
      </c>
      <c r="C693" s="1" t="str">
        <f t="array" ref="C693">IFERROR(INDEX('Исходник'!$1:$626,MATCH($A693,'Исходник'!$T:$T,0),MATCH(C$1,'Исходник'!$1:$1,0)))</f>
        <v/>
      </c>
      <c r="D693" s="1" t="str">
        <f t="array" ref="D693">IFERROR(INDEX('Исходник'!$1:$626,MATCH($A693,'Исходник'!$T:$T,0),MATCH(D$1,'Исходник'!$1:$1,0)))</f>
        <v/>
      </c>
      <c r="E693" s="1" t="str">
        <f t="array" ref="E693">IFERROR(INDEX('Исходник'!$1:$626,MATCH($A693,'Исходник'!$T:$T,0),MATCH(E$1,'Исходник'!$1:$1,0)))</f>
        <v/>
      </c>
      <c r="F693" s="1" t="str">
        <f t="array" ref="F693">IFERROR(INDEX('Исходник'!$1:$626,MATCH($A693,'Исходник'!$T:$T,0),MATCH(F$1,'Исходник'!$1:$1,0)))</f>
        <v/>
      </c>
      <c r="G693" s="1" t="str">
        <f t="array" ref="G693">IFERROR(INDEX('Исходник'!$1:$626,MATCH($A693,'Исходник'!$T:$T,0),MATCH(G$1,'Исходник'!$1:$1,0)))</f>
        <v/>
      </c>
      <c r="H693" s="27">
        <f t="shared" si="1"/>
        <v>0</v>
      </c>
      <c r="I693" s="27" t="str">
        <f t="shared" si="2"/>
        <v/>
      </c>
      <c r="J693" s="1" t="str">
        <f t="array" ref="J693">IFERROR(INDEX('Исходник'!$1:$626,MATCH($A693,'Исходник'!$T:$T,0),MATCH(J$1,'Исходник'!$1:$1,0)))</f>
        <v/>
      </c>
      <c r="K693" s="27" t="str">
        <f t="shared" si="3"/>
        <v/>
      </c>
      <c r="L693" s="1" t="str">
        <f t="array" ref="L693">IFERROR(INDEX('Исходник'!$1:$626,MATCH($A693,'Исходник'!$T:$T,0),MATCH(L$1,'Исходник'!$1:$1,0)))</f>
        <v/>
      </c>
      <c r="M693" s="28">
        <f t="shared" si="4"/>
        <v>0</v>
      </c>
      <c r="N693" s="1" t="str">
        <f t="array" ref="N693">IFERROR(INDEX('Исходник'!$1:$626,MATCH($A693,'Исходник'!$T:$T,0),MATCH(N$1,'Исходник'!$1:$1,0)))</f>
        <v/>
      </c>
      <c r="O693" s="27">
        <f t="shared" si="5"/>
        <v>0</v>
      </c>
      <c r="P693" s="27" t="str">
        <f t="shared" si="6"/>
        <v/>
      </c>
      <c r="Q693" s="1" t="str">
        <f t="array" ref="Q693">IFERROR(INDEX('Исходник'!$1:$626,MATCH($A693,'Исходник'!$T:$T,0),MATCH(Q$1,'Исходник'!$1:$1,0)))</f>
        <v/>
      </c>
      <c r="R693" s="1" t="str">
        <f t="array" ref="R693">IFERROR(INDEX('Исходник'!$1:$626,MATCH($A693,'Исходник'!$T:$T,0),MATCH(R$1,'Исходник'!$1:$1,0)))</f>
        <v/>
      </c>
      <c r="S693" s="27">
        <f t="shared" si="7"/>
        <v>0</v>
      </c>
      <c r="T693" s="27" t="str">
        <f t="shared" si="8"/>
        <v/>
      </c>
      <c r="U693" s="1" t="str">
        <f t="array" ref="U693">IFERROR(INDEX('Исходник'!$1:$626,MATCH($A693,'Исходник'!$T:$T,0),MATCH(U$1,'Исходник'!$1:$1,0)))</f>
        <v/>
      </c>
      <c r="V693" s="27" t="str">
        <f t="shared" si="9"/>
        <v/>
      </c>
      <c r="W693" s="1" t="str">
        <f t="array" ref="W693">IFERROR(INDEX('Исходник'!$1:$626,MATCH($A693,'Исходник'!$T:$T,0),MATCH(W$1,'Исходник'!$1:$1,0)))</f>
        <v/>
      </c>
      <c r="X693" s="28">
        <f t="shared" si="10"/>
        <v>0</v>
      </c>
      <c r="Y693" s="1" t="str">
        <f t="array" ref="Y693">IFERROR(INDEX('Исходник'!$1:$626,MATCH($A693,'Исходник'!$T:$T,0),MATCH(Y$1,'Исходник'!$1:$1,0)))</f>
        <v/>
      </c>
      <c r="Z693" s="27">
        <f t="shared" si="11"/>
        <v>0</v>
      </c>
      <c r="AA693" s="27" t="str">
        <f t="shared" si="12"/>
        <v/>
      </c>
      <c r="AB693" s="1" t="str">
        <f t="array" ref="AB693">IFERROR(INDEX('Исходник'!$1:$626,MATCH($A693,'Исходник'!$T:$T,0),MATCH(AB$1,'Исходник'!$1:$1,0)))</f>
        <v/>
      </c>
      <c r="AC693" s="1" t="str">
        <f t="array" ref="AC693">IFERROR(INDEX('Исходник'!$1:$626,MATCH($A693,'Исходник'!$T:$T,0),MATCH(AC$1,'Исходник'!$1:$1,0)))</f>
        <v/>
      </c>
      <c r="AD693" s="27" t="str">
        <f t="shared" si="13"/>
        <v/>
      </c>
      <c r="AE693" s="1" t="str">
        <f t="array" ref="AE693">IFERROR(INDEX('Исходник'!$1:$626,MATCH($A693,'Исходник'!$T:$T,0),MATCH(AE$1,'Исходник'!$1:$1,0)))</f>
        <v/>
      </c>
      <c r="AF693" s="1" t="str">
        <f t="array" ref="AF693">IFERROR(INDEX('Исходник'!$1:$626,MATCH($A693,'Исходник'!$T:$T,0),MATCH(AF$1,'Исходник'!$1:$1,0)))</f>
        <v/>
      </c>
      <c r="AG693" s="27" t="str">
        <f t="shared" si="14"/>
        <v/>
      </c>
      <c r="AH693" s="1" t="str">
        <f t="array" ref="AH693">IFERROR(INDEX('Исходник'!$1:$626,MATCH($A693,'Исходник'!$T:$T,0),MATCH(AH$1,'Исходник'!$1:$1,0)))</f>
        <v/>
      </c>
      <c r="AI693" s="1" t="str">
        <f t="array" ref="AI693">IFERROR(INDEX('Исходник'!$1:$626,MATCH($A693,'Исходник'!$T:$T,0),MATCH(AI$1,'Исходник'!$1:$1,0)))</f>
        <v/>
      </c>
      <c r="AJ693" s="18">
        <f t="shared" si="15"/>
        <v>0</v>
      </c>
    </row>
    <row r="694" ht="15.75" customHeight="1">
      <c r="A694" s="27"/>
      <c r="B694" s="1" t="str">
        <f t="array" ref="B694">IFERROR(INDEX('Исходник'!$1:$626,MATCH($A694,'Исходник'!$T:$T,0),MATCH(B$1,'Исходник'!$1:$1,0)))</f>
        <v/>
      </c>
      <c r="C694" s="1" t="str">
        <f t="array" ref="C694">IFERROR(INDEX('Исходник'!$1:$626,MATCH($A694,'Исходник'!$T:$T,0),MATCH(C$1,'Исходник'!$1:$1,0)))</f>
        <v/>
      </c>
      <c r="D694" s="1" t="str">
        <f t="array" ref="D694">IFERROR(INDEX('Исходник'!$1:$626,MATCH($A694,'Исходник'!$T:$T,0),MATCH(D$1,'Исходник'!$1:$1,0)))</f>
        <v/>
      </c>
      <c r="E694" s="1" t="str">
        <f t="array" ref="E694">IFERROR(INDEX('Исходник'!$1:$626,MATCH($A694,'Исходник'!$T:$T,0),MATCH(E$1,'Исходник'!$1:$1,0)))</f>
        <v/>
      </c>
      <c r="F694" s="1" t="str">
        <f t="array" ref="F694">IFERROR(INDEX('Исходник'!$1:$626,MATCH($A694,'Исходник'!$T:$T,0),MATCH(F$1,'Исходник'!$1:$1,0)))</f>
        <v/>
      </c>
      <c r="G694" s="1" t="str">
        <f t="array" ref="G694">IFERROR(INDEX('Исходник'!$1:$626,MATCH($A694,'Исходник'!$T:$T,0),MATCH(G$1,'Исходник'!$1:$1,0)))</f>
        <v/>
      </c>
      <c r="H694" s="27">
        <f t="shared" si="1"/>
        <v>0</v>
      </c>
      <c r="I694" s="27" t="str">
        <f t="shared" si="2"/>
        <v/>
      </c>
      <c r="J694" s="1" t="str">
        <f t="array" ref="J694">IFERROR(INDEX('Исходник'!$1:$626,MATCH($A694,'Исходник'!$T:$T,0),MATCH(J$1,'Исходник'!$1:$1,0)))</f>
        <v/>
      </c>
      <c r="K694" s="27" t="str">
        <f t="shared" si="3"/>
        <v/>
      </c>
      <c r="L694" s="1" t="str">
        <f t="array" ref="L694">IFERROR(INDEX('Исходник'!$1:$626,MATCH($A694,'Исходник'!$T:$T,0),MATCH(L$1,'Исходник'!$1:$1,0)))</f>
        <v/>
      </c>
      <c r="M694" s="28">
        <f t="shared" si="4"/>
        <v>0</v>
      </c>
      <c r="N694" s="1" t="str">
        <f t="array" ref="N694">IFERROR(INDEX('Исходник'!$1:$626,MATCH($A694,'Исходник'!$T:$T,0),MATCH(N$1,'Исходник'!$1:$1,0)))</f>
        <v/>
      </c>
      <c r="O694" s="27">
        <f t="shared" si="5"/>
        <v>0</v>
      </c>
      <c r="P694" s="27" t="str">
        <f t="shared" si="6"/>
        <v/>
      </c>
      <c r="Q694" s="1" t="str">
        <f t="array" ref="Q694">IFERROR(INDEX('Исходник'!$1:$626,MATCH($A694,'Исходник'!$T:$T,0),MATCH(Q$1,'Исходник'!$1:$1,0)))</f>
        <v/>
      </c>
      <c r="R694" s="1" t="str">
        <f t="array" ref="R694">IFERROR(INDEX('Исходник'!$1:$626,MATCH($A694,'Исходник'!$T:$T,0),MATCH(R$1,'Исходник'!$1:$1,0)))</f>
        <v/>
      </c>
      <c r="S694" s="27">
        <f t="shared" si="7"/>
        <v>0</v>
      </c>
      <c r="T694" s="27" t="str">
        <f t="shared" si="8"/>
        <v/>
      </c>
      <c r="U694" s="1" t="str">
        <f t="array" ref="U694">IFERROR(INDEX('Исходник'!$1:$626,MATCH($A694,'Исходник'!$T:$T,0),MATCH(U$1,'Исходник'!$1:$1,0)))</f>
        <v/>
      </c>
      <c r="V694" s="27" t="str">
        <f t="shared" si="9"/>
        <v/>
      </c>
      <c r="W694" s="1" t="str">
        <f t="array" ref="W694">IFERROR(INDEX('Исходник'!$1:$626,MATCH($A694,'Исходник'!$T:$T,0),MATCH(W$1,'Исходник'!$1:$1,0)))</f>
        <v/>
      </c>
      <c r="X694" s="28">
        <f t="shared" si="10"/>
        <v>0</v>
      </c>
      <c r="Y694" s="1" t="str">
        <f t="array" ref="Y694">IFERROR(INDEX('Исходник'!$1:$626,MATCH($A694,'Исходник'!$T:$T,0),MATCH(Y$1,'Исходник'!$1:$1,0)))</f>
        <v/>
      </c>
      <c r="Z694" s="27">
        <f t="shared" si="11"/>
        <v>0</v>
      </c>
      <c r="AA694" s="27" t="str">
        <f t="shared" si="12"/>
        <v/>
      </c>
      <c r="AB694" s="1" t="str">
        <f t="array" ref="AB694">IFERROR(INDEX('Исходник'!$1:$626,MATCH($A694,'Исходник'!$T:$T,0),MATCH(AB$1,'Исходник'!$1:$1,0)))</f>
        <v/>
      </c>
      <c r="AC694" s="1" t="str">
        <f t="array" ref="AC694">IFERROR(INDEX('Исходник'!$1:$626,MATCH($A694,'Исходник'!$T:$T,0),MATCH(AC$1,'Исходник'!$1:$1,0)))</f>
        <v/>
      </c>
      <c r="AD694" s="27" t="str">
        <f t="shared" si="13"/>
        <v/>
      </c>
      <c r="AE694" s="1" t="str">
        <f t="array" ref="AE694">IFERROR(INDEX('Исходник'!$1:$626,MATCH($A694,'Исходник'!$T:$T,0),MATCH(AE$1,'Исходник'!$1:$1,0)))</f>
        <v/>
      </c>
      <c r="AF694" s="1" t="str">
        <f t="array" ref="AF694">IFERROR(INDEX('Исходник'!$1:$626,MATCH($A694,'Исходник'!$T:$T,0),MATCH(AF$1,'Исходник'!$1:$1,0)))</f>
        <v/>
      </c>
      <c r="AG694" s="27" t="str">
        <f t="shared" si="14"/>
        <v/>
      </c>
      <c r="AH694" s="1" t="str">
        <f t="array" ref="AH694">IFERROR(INDEX('Исходник'!$1:$626,MATCH($A694,'Исходник'!$T:$T,0),MATCH(AH$1,'Исходник'!$1:$1,0)))</f>
        <v/>
      </c>
      <c r="AI694" s="1" t="str">
        <f t="array" ref="AI694">IFERROR(INDEX('Исходник'!$1:$626,MATCH($A694,'Исходник'!$T:$T,0),MATCH(AI$1,'Исходник'!$1:$1,0)))</f>
        <v/>
      </c>
      <c r="AJ694" s="18">
        <f t="shared" si="15"/>
        <v>0</v>
      </c>
    </row>
    <row r="695" ht="15.75" customHeight="1">
      <c r="A695" s="27"/>
      <c r="B695" s="1" t="str">
        <f t="array" ref="B695">IFERROR(INDEX('Исходник'!$1:$626,MATCH($A695,'Исходник'!$T:$T,0),MATCH(B$1,'Исходник'!$1:$1,0)))</f>
        <v/>
      </c>
      <c r="C695" s="1" t="str">
        <f t="array" ref="C695">IFERROR(INDEX('Исходник'!$1:$626,MATCH($A695,'Исходник'!$T:$T,0),MATCH(C$1,'Исходник'!$1:$1,0)))</f>
        <v/>
      </c>
      <c r="D695" s="1" t="str">
        <f t="array" ref="D695">IFERROR(INDEX('Исходник'!$1:$626,MATCH($A695,'Исходник'!$T:$T,0),MATCH(D$1,'Исходник'!$1:$1,0)))</f>
        <v/>
      </c>
      <c r="E695" s="1" t="str">
        <f t="array" ref="E695">IFERROR(INDEX('Исходник'!$1:$626,MATCH($A695,'Исходник'!$T:$T,0),MATCH(E$1,'Исходник'!$1:$1,0)))</f>
        <v/>
      </c>
      <c r="F695" s="1" t="str">
        <f t="array" ref="F695">IFERROR(INDEX('Исходник'!$1:$626,MATCH($A695,'Исходник'!$T:$T,0),MATCH(F$1,'Исходник'!$1:$1,0)))</f>
        <v/>
      </c>
      <c r="G695" s="1" t="str">
        <f t="array" ref="G695">IFERROR(INDEX('Исходник'!$1:$626,MATCH($A695,'Исходник'!$T:$T,0),MATCH(G$1,'Исходник'!$1:$1,0)))</f>
        <v/>
      </c>
      <c r="H695" s="27">
        <f t="shared" si="1"/>
        <v>0</v>
      </c>
      <c r="I695" s="27" t="str">
        <f t="shared" si="2"/>
        <v/>
      </c>
      <c r="J695" s="1" t="str">
        <f t="array" ref="J695">IFERROR(INDEX('Исходник'!$1:$626,MATCH($A695,'Исходник'!$T:$T,0),MATCH(J$1,'Исходник'!$1:$1,0)))</f>
        <v/>
      </c>
      <c r="K695" s="27" t="str">
        <f t="shared" si="3"/>
        <v/>
      </c>
      <c r="L695" s="1" t="str">
        <f t="array" ref="L695">IFERROR(INDEX('Исходник'!$1:$626,MATCH($A695,'Исходник'!$T:$T,0),MATCH(L$1,'Исходник'!$1:$1,0)))</f>
        <v/>
      </c>
      <c r="M695" s="28">
        <f t="shared" si="4"/>
        <v>0</v>
      </c>
      <c r="N695" s="1" t="str">
        <f t="array" ref="N695">IFERROR(INDEX('Исходник'!$1:$626,MATCH($A695,'Исходник'!$T:$T,0),MATCH(N$1,'Исходник'!$1:$1,0)))</f>
        <v/>
      </c>
      <c r="O695" s="27">
        <f t="shared" si="5"/>
        <v>0</v>
      </c>
      <c r="P695" s="27" t="str">
        <f t="shared" si="6"/>
        <v/>
      </c>
      <c r="Q695" s="1" t="str">
        <f t="array" ref="Q695">IFERROR(INDEX('Исходник'!$1:$626,MATCH($A695,'Исходник'!$T:$T,0),MATCH(Q$1,'Исходник'!$1:$1,0)))</f>
        <v/>
      </c>
      <c r="R695" s="1" t="str">
        <f t="array" ref="R695">IFERROR(INDEX('Исходник'!$1:$626,MATCH($A695,'Исходник'!$T:$T,0),MATCH(R$1,'Исходник'!$1:$1,0)))</f>
        <v/>
      </c>
      <c r="S695" s="27">
        <f t="shared" si="7"/>
        <v>0</v>
      </c>
      <c r="T695" s="27" t="str">
        <f t="shared" si="8"/>
        <v/>
      </c>
      <c r="U695" s="1" t="str">
        <f t="array" ref="U695">IFERROR(INDEX('Исходник'!$1:$626,MATCH($A695,'Исходник'!$T:$T,0),MATCH(U$1,'Исходник'!$1:$1,0)))</f>
        <v/>
      </c>
      <c r="V695" s="27" t="str">
        <f t="shared" si="9"/>
        <v/>
      </c>
      <c r="W695" s="1" t="str">
        <f t="array" ref="W695">IFERROR(INDEX('Исходник'!$1:$626,MATCH($A695,'Исходник'!$T:$T,0),MATCH(W$1,'Исходник'!$1:$1,0)))</f>
        <v/>
      </c>
      <c r="X695" s="28">
        <f t="shared" si="10"/>
        <v>0</v>
      </c>
      <c r="Y695" s="1" t="str">
        <f t="array" ref="Y695">IFERROR(INDEX('Исходник'!$1:$626,MATCH($A695,'Исходник'!$T:$T,0),MATCH(Y$1,'Исходник'!$1:$1,0)))</f>
        <v/>
      </c>
      <c r="Z695" s="27">
        <f t="shared" si="11"/>
        <v>0</v>
      </c>
      <c r="AA695" s="27" t="str">
        <f t="shared" si="12"/>
        <v/>
      </c>
      <c r="AB695" s="1" t="str">
        <f t="array" ref="AB695">IFERROR(INDEX('Исходник'!$1:$626,MATCH($A695,'Исходник'!$T:$T,0),MATCH(AB$1,'Исходник'!$1:$1,0)))</f>
        <v/>
      </c>
      <c r="AC695" s="1" t="str">
        <f t="array" ref="AC695">IFERROR(INDEX('Исходник'!$1:$626,MATCH($A695,'Исходник'!$T:$T,0),MATCH(AC$1,'Исходник'!$1:$1,0)))</f>
        <v/>
      </c>
      <c r="AD695" s="27" t="str">
        <f t="shared" si="13"/>
        <v/>
      </c>
      <c r="AE695" s="1" t="str">
        <f t="array" ref="AE695">IFERROR(INDEX('Исходник'!$1:$626,MATCH($A695,'Исходник'!$T:$T,0),MATCH(AE$1,'Исходник'!$1:$1,0)))</f>
        <v/>
      </c>
      <c r="AF695" s="1" t="str">
        <f t="array" ref="AF695">IFERROR(INDEX('Исходник'!$1:$626,MATCH($A695,'Исходник'!$T:$T,0),MATCH(AF$1,'Исходник'!$1:$1,0)))</f>
        <v/>
      </c>
      <c r="AG695" s="27" t="str">
        <f t="shared" si="14"/>
        <v/>
      </c>
      <c r="AH695" s="1" t="str">
        <f t="array" ref="AH695">IFERROR(INDEX('Исходник'!$1:$626,MATCH($A695,'Исходник'!$T:$T,0),MATCH(AH$1,'Исходник'!$1:$1,0)))</f>
        <v/>
      </c>
      <c r="AI695" s="1" t="str">
        <f t="array" ref="AI695">IFERROR(INDEX('Исходник'!$1:$626,MATCH($A695,'Исходник'!$T:$T,0),MATCH(AI$1,'Исходник'!$1:$1,0)))</f>
        <v/>
      </c>
      <c r="AJ695" s="18">
        <f t="shared" si="15"/>
        <v>0</v>
      </c>
    </row>
    <row r="696" ht="15.75" customHeight="1">
      <c r="A696" s="27"/>
      <c r="B696" s="1" t="str">
        <f t="array" ref="B696">IFERROR(INDEX('Исходник'!$1:$626,MATCH($A696,'Исходник'!$T:$T,0),MATCH(B$1,'Исходник'!$1:$1,0)))</f>
        <v/>
      </c>
      <c r="C696" s="1" t="str">
        <f t="array" ref="C696">IFERROR(INDEX('Исходник'!$1:$626,MATCH($A696,'Исходник'!$T:$T,0),MATCH(C$1,'Исходник'!$1:$1,0)))</f>
        <v/>
      </c>
      <c r="D696" s="1" t="str">
        <f t="array" ref="D696">IFERROR(INDEX('Исходник'!$1:$626,MATCH($A696,'Исходник'!$T:$T,0),MATCH(D$1,'Исходник'!$1:$1,0)))</f>
        <v/>
      </c>
      <c r="E696" s="1" t="str">
        <f t="array" ref="E696">IFERROR(INDEX('Исходник'!$1:$626,MATCH($A696,'Исходник'!$T:$T,0),MATCH(E$1,'Исходник'!$1:$1,0)))</f>
        <v/>
      </c>
      <c r="F696" s="1" t="str">
        <f t="array" ref="F696">IFERROR(INDEX('Исходник'!$1:$626,MATCH($A696,'Исходник'!$T:$T,0),MATCH(F$1,'Исходник'!$1:$1,0)))</f>
        <v/>
      </c>
      <c r="G696" s="1" t="str">
        <f t="array" ref="G696">IFERROR(INDEX('Исходник'!$1:$626,MATCH($A696,'Исходник'!$T:$T,0),MATCH(G$1,'Исходник'!$1:$1,0)))</f>
        <v/>
      </c>
      <c r="H696" s="27">
        <f t="shared" si="1"/>
        <v>0</v>
      </c>
      <c r="I696" s="27" t="str">
        <f t="shared" si="2"/>
        <v/>
      </c>
      <c r="J696" s="1" t="str">
        <f t="array" ref="J696">IFERROR(INDEX('Исходник'!$1:$626,MATCH($A696,'Исходник'!$T:$T,0),MATCH(J$1,'Исходник'!$1:$1,0)))</f>
        <v/>
      </c>
      <c r="K696" s="27" t="str">
        <f t="shared" si="3"/>
        <v/>
      </c>
      <c r="L696" s="1" t="str">
        <f t="array" ref="L696">IFERROR(INDEX('Исходник'!$1:$626,MATCH($A696,'Исходник'!$T:$T,0),MATCH(L$1,'Исходник'!$1:$1,0)))</f>
        <v/>
      </c>
      <c r="M696" s="28">
        <f t="shared" si="4"/>
        <v>0</v>
      </c>
      <c r="N696" s="1" t="str">
        <f t="array" ref="N696">IFERROR(INDEX('Исходник'!$1:$626,MATCH($A696,'Исходник'!$T:$T,0),MATCH(N$1,'Исходник'!$1:$1,0)))</f>
        <v/>
      </c>
      <c r="O696" s="27">
        <f t="shared" si="5"/>
        <v>0</v>
      </c>
      <c r="P696" s="27" t="str">
        <f t="shared" si="6"/>
        <v/>
      </c>
      <c r="Q696" s="1" t="str">
        <f t="array" ref="Q696">IFERROR(INDEX('Исходник'!$1:$626,MATCH($A696,'Исходник'!$T:$T,0),MATCH(Q$1,'Исходник'!$1:$1,0)))</f>
        <v/>
      </c>
      <c r="R696" s="1" t="str">
        <f t="array" ref="R696">IFERROR(INDEX('Исходник'!$1:$626,MATCH($A696,'Исходник'!$T:$T,0),MATCH(R$1,'Исходник'!$1:$1,0)))</f>
        <v/>
      </c>
      <c r="S696" s="27">
        <f t="shared" si="7"/>
        <v>0</v>
      </c>
      <c r="T696" s="27" t="str">
        <f t="shared" si="8"/>
        <v/>
      </c>
      <c r="U696" s="1" t="str">
        <f t="array" ref="U696">IFERROR(INDEX('Исходник'!$1:$626,MATCH($A696,'Исходник'!$T:$T,0),MATCH(U$1,'Исходник'!$1:$1,0)))</f>
        <v/>
      </c>
      <c r="V696" s="27" t="str">
        <f t="shared" si="9"/>
        <v/>
      </c>
      <c r="W696" s="1" t="str">
        <f t="array" ref="W696">IFERROR(INDEX('Исходник'!$1:$626,MATCH($A696,'Исходник'!$T:$T,0),MATCH(W$1,'Исходник'!$1:$1,0)))</f>
        <v/>
      </c>
      <c r="X696" s="28">
        <f t="shared" si="10"/>
        <v>0</v>
      </c>
      <c r="Y696" s="1" t="str">
        <f t="array" ref="Y696">IFERROR(INDEX('Исходник'!$1:$626,MATCH($A696,'Исходник'!$T:$T,0),MATCH(Y$1,'Исходник'!$1:$1,0)))</f>
        <v/>
      </c>
      <c r="Z696" s="27">
        <f t="shared" si="11"/>
        <v>0</v>
      </c>
      <c r="AA696" s="27" t="str">
        <f t="shared" si="12"/>
        <v/>
      </c>
      <c r="AB696" s="1" t="str">
        <f t="array" ref="AB696">IFERROR(INDEX('Исходник'!$1:$626,MATCH($A696,'Исходник'!$T:$T,0),MATCH(AB$1,'Исходник'!$1:$1,0)))</f>
        <v/>
      </c>
      <c r="AC696" s="1" t="str">
        <f t="array" ref="AC696">IFERROR(INDEX('Исходник'!$1:$626,MATCH($A696,'Исходник'!$T:$T,0),MATCH(AC$1,'Исходник'!$1:$1,0)))</f>
        <v/>
      </c>
      <c r="AD696" s="27" t="str">
        <f t="shared" si="13"/>
        <v/>
      </c>
      <c r="AE696" s="1" t="str">
        <f t="array" ref="AE696">IFERROR(INDEX('Исходник'!$1:$626,MATCH($A696,'Исходник'!$T:$T,0),MATCH(AE$1,'Исходник'!$1:$1,0)))</f>
        <v/>
      </c>
      <c r="AF696" s="1" t="str">
        <f t="array" ref="AF696">IFERROR(INDEX('Исходник'!$1:$626,MATCH($A696,'Исходник'!$T:$T,0),MATCH(AF$1,'Исходник'!$1:$1,0)))</f>
        <v/>
      </c>
      <c r="AG696" s="27" t="str">
        <f t="shared" si="14"/>
        <v/>
      </c>
      <c r="AH696" s="1" t="str">
        <f t="array" ref="AH696">IFERROR(INDEX('Исходник'!$1:$626,MATCH($A696,'Исходник'!$T:$T,0),MATCH(AH$1,'Исходник'!$1:$1,0)))</f>
        <v/>
      </c>
      <c r="AI696" s="1" t="str">
        <f t="array" ref="AI696">IFERROR(INDEX('Исходник'!$1:$626,MATCH($A696,'Исходник'!$T:$T,0),MATCH(AI$1,'Исходник'!$1:$1,0)))</f>
        <v/>
      </c>
      <c r="AJ696" s="18">
        <f t="shared" si="15"/>
        <v>0</v>
      </c>
    </row>
    <row r="697" ht="15.75" customHeight="1">
      <c r="A697" s="27"/>
      <c r="B697" s="1" t="str">
        <f t="array" ref="B697">IFERROR(INDEX('Исходник'!$1:$626,MATCH($A697,'Исходник'!$T:$T,0),MATCH(B$1,'Исходник'!$1:$1,0)))</f>
        <v/>
      </c>
      <c r="C697" s="1" t="str">
        <f t="array" ref="C697">IFERROR(INDEX('Исходник'!$1:$626,MATCH($A697,'Исходник'!$T:$T,0),MATCH(C$1,'Исходник'!$1:$1,0)))</f>
        <v/>
      </c>
      <c r="D697" s="1" t="str">
        <f t="array" ref="D697">IFERROR(INDEX('Исходник'!$1:$626,MATCH($A697,'Исходник'!$T:$T,0),MATCH(D$1,'Исходник'!$1:$1,0)))</f>
        <v/>
      </c>
      <c r="E697" s="1" t="str">
        <f t="array" ref="E697">IFERROR(INDEX('Исходник'!$1:$626,MATCH($A697,'Исходник'!$T:$T,0),MATCH(E$1,'Исходник'!$1:$1,0)))</f>
        <v/>
      </c>
      <c r="F697" s="1" t="str">
        <f t="array" ref="F697">IFERROR(INDEX('Исходник'!$1:$626,MATCH($A697,'Исходник'!$T:$T,0),MATCH(F$1,'Исходник'!$1:$1,0)))</f>
        <v/>
      </c>
      <c r="G697" s="1" t="str">
        <f t="array" ref="G697">IFERROR(INDEX('Исходник'!$1:$626,MATCH($A697,'Исходник'!$T:$T,0),MATCH(G$1,'Исходник'!$1:$1,0)))</f>
        <v/>
      </c>
      <c r="H697" s="27">
        <f t="shared" si="1"/>
        <v>0</v>
      </c>
      <c r="I697" s="27" t="str">
        <f t="shared" si="2"/>
        <v/>
      </c>
      <c r="J697" s="1" t="str">
        <f t="array" ref="J697">IFERROR(INDEX('Исходник'!$1:$626,MATCH($A697,'Исходник'!$T:$T,0),MATCH(J$1,'Исходник'!$1:$1,0)))</f>
        <v/>
      </c>
      <c r="K697" s="27" t="str">
        <f t="shared" si="3"/>
        <v/>
      </c>
      <c r="L697" s="1" t="str">
        <f t="array" ref="L697">IFERROR(INDEX('Исходник'!$1:$626,MATCH($A697,'Исходник'!$T:$T,0),MATCH(L$1,'Исходник'!$1:$1,0)))</f>
        <v/>
      </c>
      <c r="M697" s="28">
        <f t="shared" si="4"/>
        <v>0</v>
      </c>
      <c r="N697" s="1" t="str">
        <f t="array" ref="N697">IFERROR(INDEX('Исходник'!$1:$626,MATCH($A697,'Исходник'!$T:$T,0),MATCH(N$1,'Исходник'!$1:$1,0)))</f>
        <v/>
      </c>
      <c r="O697" s="27">
        <f t="shared" si="5"/>
        <v>0</v>
      </c>
      <c r="P697" s="27" t="str">
        <f t="shared" si="6"/>
        <v/>
      </c>
      <c r="Q697" s="1" t="str">
        <f t="array" ref="Q697">IFERROR(INDEX('Исходник'!$1:$626,MATCH($A697,'Исходник'!$T:$T,0),MATCH(Q$1,'Исходник'!$1:$1,0)))</f>
        <v/>
      </c>
      <c r="R697" s="1" t="str">
        <f t="array" ref="R697">IFERROR(INDEX('Исходник'!$1:$626,MATCH($A697,'Исходник'!$T:$T,0),MATCH(R$1,'Исходник'!$1:$1,0)))</f>
        <v/>
      </c>
      <c r="S697" s="27">
        <f t="shared" si="7"/>
        <v>0</v>
      </c>
      <c r="T697" s="27" t="str">
        <f t="shared" si="8"/>
        <v/>
      </c>
      <c r="U697" s="1" t="str">
        <f t="array" ref="U697">IFERROR(INDEX('Исходник'!$1:$626,MATCH($A697,'Исходник'!$T:$T,0),MATCH(U$1,'Исходник'!$1:$1,0)))</f>
        <v/>
      </c>
      <c r="V697" s="27" t="str">
        <f t="shared" si="9"/>
        <v/>
      </c>
      <c r="W697" s="1" t="str">
        <f t="array" ref="W697">IFERROR(INDEX('Исходник'!$1:$626,MATCH($A697,'Исходник'!$T:$T,0),MATCH(W$1,'Исходник'!$1:$1,0)))</f>
        <v/>
      </c>
      <c r="X697" s="28">
        <f t="shared" si="10"/>
        <v>0</v>
      </c>
      <c r="Y697" s="1" t="str">
        <f t="array" ref="Y697">IFERROR(INDEX('Исходник'!$1:$626,MATCH($A697,'Исходник'!$T:$T,0),MATCH(Y$1,'Исходник'!$1:$1,0)))</f>
        <v/>
      </c>
      <c r="Z697" s="27">
        <f t="shared" si="11"/>
        <v>0</v>
      </c>
      <c r="AA697" s="27" t="str">
        <f t="shared" si="12"/>
        <v/>
      </c>
      <c r="AB697" s="1" t="str">
        <f t="array" ref="AB697">IFERROR(INDEX('Исходник'!$1:$626,MATCH($A697,'Исходник'!$T:$T,0),MATCH(AB$1,'Исходник'!$1:$1,0)))</f>
        <v/>
      </c>
      <c r="AC697" s="1" t="str">
        <f t="array" ref="AC697">IFERROR(INDEX('Исходник'!$1:$626,MATCH($A697,'Исходник'!$T:$T,0),MATCH(AC$1,'Исходник'!$1:$1,0)))</f>
        <v/>
      </c>
      <c r="AD697" s="27" t="str">
        <f t="shared" si="13"/>
        <v/>
      </c>
      <c r="AE697" s="1" t="str">
        <f t="array" ref="AE697">IFERROR(INDEX('Исходник'!$1:$626,MATCH($A697,'Исходник'!$T:$T,0),MATCH(AE$1,'Исходник'!$1:$1,0)))</f>
        <v/>
      </c>
      <c r="AF697" s="1" t="str">
        <f t="array" ref="AF697">IFERROR(INDEX('Исходник'!$1:$626,MATCH($A697,'Исходник'!$T:$T,0),MATCH(AF$1,'Исходник'!$1:$1,0)))</f>
        <v/>
      </c>
      <c r="AG697" s="27" t="str">
        <f t="shared" si="14"/>
        <v/>
      </c>
      <c r="AH697" s="1" t="str">
        <f t="array" ref="AH697">IFERROR(INDEX('Исходник'!$1:$626,MATCH($A697,'Исходник'!$T:$T,0),MATCH(AH$1,'Исходник'!$1:$1,0)))</f>
        <v/>
      </c>
      <c r="AI697" s="1" t="str">
        <f t="array" ref="AI697">IFERROR(INDEX('Исходник'!$1:$626,MATCH($A697,'Исходник'!$T:$T,0),MATCH(AI$1,'Исходник'!$1:$1,0)))</f>
        <v/>
      </c>
      <c r="AJ697" s="18">
        <f t="shared" si="15"/>
        <v>0</v>
      </c>
    </row>
    <row r="698" ht="15.75" customHeight="1">
      <c r="A698" s="27"/>
      <c r="B698" s="1" t="str">
        <f t="array" ref="B698">IFERROR(INDEX('Исходник'!$1:$626,MATCH($A698,'Исходник'!$T:$T,0),MATCH(B$1,'Исходник'!$1:$1,0)))</f>
        <v/>
      </c>
      <c r="C698" s="1" t="str">
        <f t="array" ref="C698">IFERROR(INDEX('Исходник'!$1:$626,MATCH($A698,'Исходник'!$T:$T,0),MATCH(C$1,'Исходник'!$1:$1,0)))</f>
        <v/>
      </c>
      <c r="D698" s="1" t="str">
        <f t="array" ref="D698">IFERROR(INDEX('Исходник'!$1:$626,MATCH($A698,'Исходник'!$T:$T,0),MATCH(D$1,'Исходник'!$1:$1,0)))</f>
        <v/>
      </c>
      <c r="E698" s="1" t="str">
        <f t="array" ref="E698">IFERROR(INDEX('Исходник'!$1:$626,MATCH($A698,'Исходник'!$T:$T,0),MATCH(E$1,'Исходник'!$1:$1,0)))</f>
        <v/>
      </c>
      <c r="F698" s="1" t="str">
        <f t="array" ref="F698">IFERROR(INDEX('Исходник'!$1:$626,MATCH($A698,'Исходник'!$T:$T,0),MATCH(F$1,'Исходник'!$1:$1,0)))</f>
        <v/>
      </c>
      <c r="G698" s="1" t="str">
        <f t="array" ref="G698">IFERROR(INDEX('Исходник'!$1:$626,MATCH($A698,'Исходник'!$T:$T,0),MATCH(G$1,'Исходник'!$1:$1,0)))</f>
        <v/>
      </c>
      <c r="H698" s="27">
        <f t="shared" si="1"/>
        <v>0</v>
      </c>
      <c r="I698" s="27" t="str">
        <f t="shared" si="2"/>
        <v/>
      </c>
      <c r="J698" s="1" t="str">
        <f t="array" ref="J698">IFERROR(INDEX('Исходник'!$1:$626,MATCH($A698,'Исходник'!$T:$T,0),MATCH(J$1,'Исходник'!$1:$1,0)))</f>
        <v/>
      </c>
      <c r="K698" s="27" t="str">
        <f t="shared" si="3"/>
        <v/>
      </c>
      <c r="L698" s="1" t="str">
        <f t="array" ref="L698">IFERROR(INDEX('Исходник'!$1:$626,MATCH($A698,'Исходник'!$T:$T,0),MATCH(L$1,'Исходник'!$1:$1,0)))</f>
        <v/>
      </c>
      <c r="M698" s="28">
        <f t="shared" si="4"/>
        <v>0</v>
      </c>
      <c r="N698" s="1" t="str">
        <f t="array" ref="N698">IFERROR(INDEX('Исходник'!$1:$626,MATCH($A698,'Исходник'!$T:$T,0),MATCH(N$1,'Исходник'!$1:$1,0)))</f>
        <v/>
      </c>
      <c r="O698" s="27">
        <f t="shared" si="5"/>
        <v>0</v>
      </c>
      <c r="P698" s="27" t="str">
        <f t="shared" si="6"/>
        <v/>
      </c>
      <c r="Q698" s="1" t="str">
        <f t="array" ref="Q698">IFERROR(INDEX('Исходник'!$1:$626,MATCH($A698,'Исходник'!$T:$T,0),MATCH(Q$1,'Исходник'!$1:$1,0)))</f>
        <v/>
      </c>
      <c r="R698" s="1" t="str">
        <f t="array" ref="R698">IFERROR(INDEX('Исходник'!$1:$626,MATCH($A698,'Исходник'!$T:$T,0),MATCH(R$1,'Исходник'!$1:$1,0)))</f>
        <v/>
      </c>
      <c r="S698" s="27">
        <f t="shared" si="7"/>
        <v>0</v>
      </c>
      <c r="T698" s="27" t="str">
        <f t="shared" si="8"/>
        <v/>
      </c>
      <c r="U698" s="1" t="str">
        <f t="array" ref="U698">IFERROR(INDEX('Исходник'!$1:$626,MATCH($A698,'Исходник'!$T:$T,0),MATCH(U$1,'Исходник'!$1:$1,0)))</f>
        <v/>
      </c>
      <c r="V698" s="27" t="str">
        <f t="shared" si="9"/>
        <v/>
      </c>
      <c r="W698" s="1" t="str">
        <f t="array" ref="W698">IFERROR(INDEX('Исходник'!$1:$626,MATCH($A698,'Исходник'!$T:$T,0),MATCH(W$1,'Исходник'!$1:$1,0)))</f>
        <v/>
      </c>
      <c r="X698" s="28">
        <f t="shared" si="10"/>
        <v>0</v>
      </c>
      <c r="Y698" s="1" t="str">
        <f t="array" ref="Y698">IFERROR(INDEX('Исходник'!$1:$626,MATCH($A698,'Исходник'!$T:$T,0),MATCH(Y$1,'Исходник'!$1:$1,0)))</f>
        <v/>
      </c>
      <c r="Z698" s="27">
        <f t="shared" si="11"/>
        <v>0</v>
      </c>
      <c r="AA698" s="27" t="str">
        <f t="shared" si="12"/>
        <v/>
      </c>
      <c r="AB698" s="1" t="str">
        <f t="array" ref="AB698">IFERROR(INDEX('Исходник'!$1:$626,MATCH($A698,'Исходник'!$T:$T,0),MATCH(AB$1,'Исходник'!$1:$1,0)))</f>
        <v/>
      </c>
      <c r="AC698" s="1" t="str">
        <f t="array" ref="AC698">IFERROR(INDEX('Исходник'!$1:$626,MATCH($A698,'Исходник'!$T:$T,0),MATCH(AC$1,'Исходник'!$1:$1,0)))</f>
        <v/>
      </c>
      <c r="AD698" s="27" t="str">
        <f t="shared" si="13"/>
        <v/>
      </c>
      <c r="AE698" s="1" t="str">
        <f t="array" ref="AE698">IFERROR(INDEX('Исходник'!$1:$626,MATCH($A698,'Исходник'!$T:$T,0),MATCH(AE$1,'Исходник'!$1:$1,0)))</f>
        <v/>
      </c>
      <c r="AF698" s="1" t="str">
        <f t="array" ref="AF698">IFERROR(INDEX('Исходник'!$1:$626,MATCH($A698,'Исходник'!$T:$T,0),MATCH(AF$1,'Исходник'!$1:$1,0)))</f>
        <v/>
      </c>
      <c r="AG698" s="27" t="str">
        <f t="shared" si="14"/>
        <v/>
      </c>
      <c r="AH698" s="1" t="str">
        <f t="array" ref="AH698">IFERROR(INDEX('Исходник'!$1:$626,MATCH($A698,'Исходник'!$T:$T,0),MATCH(AH$1,'Исходник'!$1:$1,0)))</f>
        <v/>
      </c>
      <c r="AI698" s="1" t="str">
        <f t="array" ref="AI698">IFERROR(INDEX('Исходник'!$1:$626,MATCH($A698,'Исходник'!$T:$T,0),MATCH(AI$1,'Исходник'!$1:$1,0)))</f>
        <v/>
      </c>
      <c r="AJ698" s="18">
        <f t="shared" si="15"/>
        <v>0</v>
      </c>
    </row>
    <row r="699" ht="15.75" customHeight="1">
      <c r="A699" s="27"/>
      <c r="B699" s="1" t="str">
        <f t="array" ref="B699">IFERROR(INDEX('Исходник'!$1:$626,MATCH($A699,'Исходник'!$T:$T,0),MATCH(B$1,'Исходник'!$1:$1,0)))</f>
        <v/>
      </c>
      <c r="C699" s="1" t="str">
        <f t="array" ref="C699">IFERROR(INDEX('Исходник'!$1:$626,MATCH($A699,'Исходник'!$T:$T,0),MATCH(C$1,'Исходник'!$1:$1,0)))</f>
        <v/>
      </c>
      <c r="D699" s="1" t="str">
        <f t="array" ref="D699">IFERROR(INDEX('Исходник'!$1:$626,MATCH($A699,'Исходник'!$T:$T,0),MATCH(D$1,'Исходник'!$1:$1,0)))</f>
        <v/>
      </c>
      <c r="E699" s="1" t="str">
        <f t="array" ref="E699">IFERROR(INDEX('Исходник'!$1:$626,MATCH($A699,'Исходник'!$T:$T,0),MATCH(E$1,'Исходник'!$1:$1,0)))</f>
        <v/>
      </c>
      <c r="F699" s="1" t="str">
        <f t="array" ref="F699">IFERROR(INDEX('Исходник'!$1:$626,MATCH($A699,'Исходник'!$T:$T,0),MATCH(F$1,'Исходник'!$1:$1,0)))</f>
        <v/>
      </c>
      <c r="G699" s="1" t="str">
        <f t="array" ref="G699">IFERROR(INDEX('Исходник'!$1:$626,MATCH($A699,'Исходник'!$T:$T,0),MATCH(G$1,'Исходник'!$1:$1,0)))</f>
        <v/>
      </c>
      <c r="H699" s="27">
        <f t="shared" si="1"/>
        <v>0</v>
      </c>
      <c r="I699" s="27" t="str">
        <f t="shared" si="2"/>
        <v/>
      </c>
      <c r="J699" s="1" t="str">
        <f t="array" ref="J699">IFERROR(INDEX('Исходник'!$1:$626,MATCH($A699,'Исходник'!$T:$T,0),MATCH(J$1,'Исходник'!$1:$1,0)))</f>
        <v/>
      </c>
      <c r="K699" s="27" t="str">
        <f t="shared" si="3"/>
        <v/>
      </c>
      <c r="L699" s="1" t="str">
        <f t="array" ref="L699">IFERROR(INDEX('Исходник'!$1:$626,MATCH($A699,'Исходник'!$T:$T,0),MATCH(L$1,'Исходник'!$1:$1,0)))</f>
        <v/>
      </c>
      <c r="M699" s="28">
        <f t="shared" si="4"/>
        <v>0</v>
      </c>
      <c r="N699" s="1" t="str">
        <f t="array" ref="N699">IFERROR(INDEX('Исходник'!$1:$626,MATCH($A699,'Исходник'!$T:$T,0),MATCH(N$1,'Исходник'!$1:$1,0)))</f>
        <v/>
      </c>
      <c r="O699" s="27">
        <f t="shared" si="5"/>
        <v>0</v>
      </c>
      <c r="P699" s="27" t="str">
        <f t="shared" si="6"/>
        <v/>
      </c>
      <c r="Q699" s="1" t="str">
        <f t="array" ref="Q699">IFERROR(INDEX('Исходник'!$1:$626,MATCH($A699,'Исходник'!$T:$T,0),MATCH(Q$1,'Исходник'!$1:$1,0)))</f>
        <v/>
      </c>
      <c r="R699" s="1" t="str">
        <f t="array" ref="R699">IFERROR(INDEX('Исходник'!$1:$626,MATCH($A699,'Исходник'!$T:$T,0),MATCH(R$1,'Исходник'!$1:$1,0)))</f>
        <v/>
      </c>
      <c r="S699" s="27">
        <f t="shared" si="7"/>
        <v>0</v>
      </c>
      <c r="T699" s="27" t="str">
        <f t="shared" si="8"/>
        <v/>
      </c>
      <c r="U699" s="1" t="str">
        <f t="array" ref="U699">IFERROR(INDEX('Исходник'!$1:$626,MATCH($A699,'Исходник'!$T:$T,0),MATCH(U$1,'Исходник'!$1:$1,0)))</f>
        <v/>
      </c>
      <c r="V699" s="27" t="str">
        <f t="shared" si="9"/>
        <v/>
      </c>
      <c r="W699" s="1" t="str">
        <f t="array" ref="W699">IFERROR(INDEX('Исходник'!$1:$626,MATCH($A699,'Исходник'!$T:$T,0),MATCH(W$1,'Исходник'!$1:$1,0)))</f>
        <v/>
      </c>
      <c r="X699" s="28">
        <f t="shared" si="10"/>
        <v>0</v>
      </c>
      <c r="Y699" s="1" t="str">
        <f t="array" ref="Y699">IFERROR(INDEX('Исходник'!$1:$626,MATCH($A699,'Исходник'!$T:$T,0),MATCH(Y$1,'Исходник'!$1:$1,0)))</f>
        <v/>
      </c>
      <c r="Z699" s="27">
        <f t="shared" si="11"/>
        <v>0</v>
      </c>
      <c r="AA699" s="27" t="str">
        <f t="shared" si="12"/>
        <v/>
      </c>
      <c r="AB699" s="1" t="str">
        <f t="array" ref="AB699">IFERROR(INDEX('Исходник'!$1:$626,MATCH($A699,'Исходник'!$T:$T,0),MATCH(AB$1,'Исходник'!$1:$1,0)))</f>
        <v/>
      </c>
      <c r="AC699" s="1" t="str">
        <f t="array" ref="AC699">IFERROR(INDEX('Исходник'!$1:$626,MATCH($A699,'Исходник'!$T:$T,0),MATCH(AC$1,'Исходник'!$1:$1,0)))</f>
        <v/>
      </c>
      <c r="AD699" s="27" t="str">
        <f t="shared" si="13"/>
        <v/>
      </c>
      <c r="AE699" s="1" t="str">
        <f t="array" ref="AE699">IFERROR(INDEX('Исходник'!$1:$626,MATCH($A699,'Исходник'!$T:$T,0),MATCH(AE$1,'Исходник'!$1:$1,0)))</f>
        <v/>
      </c>
      <c r="AF699" s="1" t="str">
        <f t="array" ref="AF699">IFERROR(INDEX('Исходник'!$1:$626,MATCH($A699,'Исходник'!$T:$T,0),MATCH(AF$1,'Исходник'!$1:$1,0)))</f>
        <v/>
      </c>
      <c r="AG699" s="27" t="str">
        <f t="shared" si="14"/>
        <v/>
      </c>
      <c r="AH699" s="1" t="str">
        <f t="array" ref="AH699">IFERROR(INDEX('Исходник'!$1:$626,MATCH($A699,'Исходник'!$T:$T,0),MATCH(AH$1,'Исходник'!$1:$1,0)))</f>
        <v/>
      </c>
      <c r="AI699" s="1" t="str">
        <f t="array" ref="AI699">IFERROR(INDEX('Исходник'!$1:$626,MATCH($A699,'Исходник'!$T:$T,0),MATCH(AI$1,'Исходник'!$1:$1,0)))</f>
        <v/>
      </c>
      <c r="AJ699" s="18">
        <f t="shared" si="15"/>
        <v>0</v>
      </c>
    </row>
    <row r="700" ht="15.75" customHeight="1">
      <c r="A700" s="27"/>
      <c r="B700" s="1" t="str">
        <f t="array" ref="B700">IFERROR(INDEX('Исходник'!$1:$626,MATCH($A700,'Исходник'!$T:$T,0),MATCH(B$1,'Исходник'!$1:$1,0)))</f>
        <v/>
      </c>
      <c r="C700" s="1" t="str">
        <f t="array" ref="C700">IFERROR(INDEX('Исходник'!$1:$626,MATCH($A700,'Исходник'!$T:$T,0),MATCH(C$1,'Исходник'!$1:$1,0)))</f>
        <v/>
      </c>
      <c r="D700" s="1" t="str">
        <f t="array" ref="D700">IFERROR(INDEX('Исходник'!$1:$626,MATCH($A700,'Исходник'!$T:$T,0),MATCH(D$1,'Исходник'!$1:$1,0)))</f>
        <v/>
      </c>
      <c r="E700" s="1" t="str">
        <f t="array" ref="E700">IFERROR(INDEX('Исходник'!$1:$626,MATCH($A700,'Исходник'!$T:$T,0),MATCH(E$1,'Исходник'!$1:$1,0)))</f>
        <v/>
      </c>
      <c r="F700" s="1" t="str">
        <f t="array" ref="F700">IFERROR(INDEX('Исходник'!$1:$626,MATCH($A700,'Исходник'!$T:$T,0),MATCH(F$1,'Исходник'!$1:$1,0)))</f>
        <v/>
      </c>
      <c r="G700" s="1" t="str">
        <f t="array" ref="G700">IFERROR(INDEX('Исходник'!$1:$626,MATCH($A700,'Исходник'!$T:$T,0),MATCH(G$1,'Исходник'!$1:$1,0)))</f>
        <v/>
      </c>
      <c r="H700" s="27">
        <f t="shared" si="1"/>
        <v>0</v>
      </c>
      <c r="I700" s="27" t="str">
        <f t="shared" si="2"/>
        <v/>
      </c>
      <c r="J700" s="1" t="str">
        <f t="array" ref="J700">IFERROR(INDEX('Исходник'!$1:$626,MATCH($A700,'Исходник'!$T:$T,0),MATCH(J$1,'Исходник'!$1:$1,0)))</f>
        <v/>
      </c>
      <c r="K700" s="27" t="str">
        <f t="shared" si="3"/>
        <v/>
      </c>
      <c r="L700" s="1" t="str">
        <f t="array" ref="L700">IFERROR(INDEX('Исходник'!$1:$626,MATCH($A700,'Исходник'!$T:$T,0),MATCH(L$1,'Исходник'!$1:$1,0)))</f>
        <v/>
      </c>
      <c r="M700" s="28">
        <f t="shared" si="4"/>
        <v>0</v>
      </c>
      <c r="N700" s="1" t="str">
        <f t="array" ref="N700">IFERROR(INDEX('Исходник'!$1:$626,MATCH($A700,'Исходник'!$T:$T,0),MATCH(N$1,'Исходник'!$1:$1,0)))</f>
        <v/>
      </c>
      <c r="O700" s="27">
        <f t="shared" si="5"/>
        <v>0</v>
      </c>
      <c r="P700" s="27" t="str">
        <f t="shared" si="6"/>
        <v/>
      </c>
      <c r="Q700" s="1" t="str">
        <f t="array" ref="Q700">IFERROR(INDEX('Исходник'!$1:$626,MATCH($A700,'Исходник'!$T:$T,0),MATCH(Q$1,'Исходник'!$1:$1,0)))</f>
        <v/>
      </c>
      <c r="R700" s="1" t="str">
        <f t="array" ref="R700">IFERROR(INDEX('Исходник'!$1:$626,MATCH($A700,'Исходник'!$T:$T,0),MATCH(R$1,'Исходник'!$1:$1,0)))</f>
        <v/>
      </c>
      <c r="S700" s="27">
        <f t="shared" si="7"/>
        <v>0</v>
      </c>
      <c r="T700" s="27" t="str">
        <f t="shared" si="8"/>
        <v/>
      </c>
      <c r="U700" s="1" t="str">
        <f t="array" ref="U700">IFERROR(INDEX('Исходник'!$1:$626,MATCH($A700,'Исходник'!$T:$T,0),MATCH(U$1,'Исходник'!$1:$1,0)))</f>
        <v/>
      </c>
      <c r="V700" s="27" t="str">
        <f t="shared" si="9"/>
        <v/>
      </c>
      <c r="W700" s="1" t="str">
        <f t="array" ref="W700">IFERROR(INDEX('Исходник'!$1:$626,MATCH($A700,'Исходник'!$T:$T,0),MATCH(W$1,'Исходник'!$1:$1,0)))</f>
        <v/>
      </c>
      <c r="X700" s="28">
        <f t="shared" si="10"/>
        <v>0</v>
      </c>
      <c r="Y700" s="1" t="str">
        <f t="array" ref="Y700">IFERROR(INDEX('Исходник'!$1:$626,MATCH($A700,'Исходник'!$T:$T,0),MATCH(Y$1,'Исходник'!$1:$1,0)))</f>
        <v/>
      </c>
      <c r="Z700" s="27">
        <f t="shared" si="11"/>
        <v>0</v>
      </c>
      <c r="AA700" s="27" t="str">
        <f t="shared" si="12"/>
        <v/>
      </c>
      <c r="AB700" s="1" t="str">
        <f t="array" ref="AB700">IFERROR(INDEX('Исходник'!$1:$626,MATCH($A700,'Исходник'!$T:$T,0),MATCH(AB$1,'Исходник'!$1:$1,0)))</f>
        <v/>
      </c>
      <c r="AC700" s="1" t="str">
        <f t="array" ref="AC700">IFERROR(INDEX('Исходник'!$1:$626,MATCH($A700,'Исходник'!$T:$T,0),MATCH(AC$1,'Исходник'!$1:$1,0)))</f>
        <v/>
      </c>
      <c r="AD700" s="27" t="str">
        <f t="shared" si="13"/>
        <v/>
      </c>
      <c r="AE700" s="1" t="str">
        <f t="array" ref="AE700">IFERROR(INDEX('Исходник'!$1:$626,MATCH($A700,'Исходник'!$T:$T,0),MATCH(AE$1,'Исходник'!$1:$1,0)))</f>
        <v/>
      </c>
      <c r="AF700" s="1" t="str">
        <f t="array" ref="AF700">IFERROR(INDEX('Исходник'!$1:$626,MATCH($A700,'Исходник'!$T:$T,0),MATCH(AF$1,'Исходник'!$1:$1,0)))</f>
        <v/>
      </c>
      <c r="AG700" s="27" t="str">
        <f t="shared" si="14"/>
        <v/>
      </c>
      <c r="AH700" s="1" t="str">
        <f t="array" ref="AH700">IFERROR(INDEX('Исходник'!$1:$626,MATCH($A700,'Исходник'!$T:$T,0),MATCH(AH$1,'Исходник'!$1:$1,0)))</f>
        <v/>
      </c>
      <c r="AI700" s="1" t="str">
        <f t="array" ref="AI700">IFERROR(INDEX('Исходник'!$1:$626,MATCH($A700,'Исходник'!$T:$T,0),MATCH(AI$1,'Исходник'!$1:$1,0)))</f>
        <v/>
      </c>
      <c r="AJ700" s="18">
        <f t="shared" si="15"/>
        <v>0</v>
      </c>
    </row>
    <row r="701" ht="15.75" customHeight="1">
      <c r="A701" s="27"/>
      <c r="B701" s="1" t="str">
        <f t="array" ref="B701">IFERROR(INDEX('Исходник'!$1:$626,MATCH($A701,'Исходник'!$T:$T,0),MATCH(B$1,'Исходник'!$1:$1,0)))</f>
        <v/>
      </c>
      <c r="C701" s="1" t="str">
        <f t="array" ref="C701">IFERROR(INDEX('Исходник'!$1:$626,MATCH($A701,'Исходник'!$T:$T,0),MATCH(C$1,'Исходник'!$1:$1,0)))</f>
        <v/>
      </c>
      <c r="D701" s="1" t="str">
        <f t="array" ref="D701">IFERROR(INDEX('Исходник'!$1:$626,MATCH($A701,'Исходник'!$T:$T,0),MATCH(D$1,'Исходник'!$1:$1,0)))</f>
        <v/>
      </c>
      <c r="E701" s="1" t="str">
        <f t="array" ref="E701">IFERROR(INDEX('Исходник'!$1:$626,MATCH($A701,'Исходник'!$T:$T,0),MATCH(E$1,'Исходник'!$1:$1,0)))</f>
        <v/>
      </c>
      <c r="F701" s="1" t="str">
        <f t="array" ref="F701">IFERROR(INDEX('Исходник'!$1:$626,MATCH($A701,'Исходник'!$T:$T,0),MATCH(F$1,'Исходник'!$1:$1,0)))</f>
        <v/>
      </c>
      <c r="G701" s="1" t="str">
        <f t="array" ref="G701">IFERROR(INDEX('Исходник'!$1:$626,MATCH($A701,'Исходник'!$T:$T,0),MATCH(G$1,'Исходник'!$1:$1,0)))</f>
        <v/>
      </c>
      <c r="H701" s="27">
        <f t="shared" si="1"/>
        <v>0</v>
      </c>
      <c r="I701" s="27" t="str">
        <f t="shared" si="2"/>
        <v/>
      </c>
      <c r="J701" s="1" t="str">
        <f t="array" ref="J701">IFERROR(INDEX('Исходник'!$1:$626,MATCH($A701,'Исходник'!$T:$T,0),MATCH(J$1,'Исходник'!$1:$1,0)))</f>
        <v/>
      </c>
      <c r="K701" s="27" t="str">
        <f t="shared" si="3"/>
        <v/>
      </c>
      <c r="L701" s="1" t="str">
        <f t="array" ref="L701">IFERROR(INDEX('Исходник'!$1:$626,MATCH($A701,'Исходник'!$T:$T,0),MATCH(L$1,'Исходник'!$1:$1,0)))</f>
        <v/>
      </c>
      <c r="M701" s="28">
        <f t="shared" si="4"/>
        <v>0</v>
      </c>
      <c r="N701" s="1" t="str">
        <f t="array" ref="N701">IFERROR(INDEX('Исходник'!$1:$626,MATCH($A701,'Исходник'!$T:$T,0),MATCH(N$1,'Исходник'!$1:$1,0)))</f>
        <v/>
      </c>
      <c r="O701" s="27">
        <f t="shared" si="5"/>
        <v>0</v>
      </c>
      <c r="P701" s="27" t="str">
        <f t="shared" si="6"/>
        <v/>
      </c>
      <c r="Q701" s="1" t="str">
        <f t="array" ref="Q701">IFERROR(INDEX('Исходник'!$1:$626,MATCH($A701,'Исходник'!$T:$T,0),MATCH(Q$1,'Исходник'!$1:$1,0)))</f>
        <v/>
      </c>
      <c r="R701" s="1" t="str">
        <f t="array" ref="R701">IFERROR(INDEX('Исходник'!$1:$626,MATCH($A701,'Исходник'!$T:$T,0),MATCH(R$1,'Исходник'!$1:$1,0)))</f>
        <v/>
      </c>
      <c r="S701" s="27">
        <f t="shared" si="7"/>
        <v>0</v>
      </c>
      <c r="T701" s="27" t="str">
        <f t="shared" si="8"/>
        <v/>
      </c>
      <c r="U701" s="1" t="str">
        <f t="array" ref="U701">IFERROR(INDEX('Исходник'!$1:$626,MATCH($A701,'Исходник'!$T:$T,0),MATCH(U$1,'Исходник'!$1:$1,0)))</f>
        <v/>
      </c>
      <c r="V701" s="27" t="str">
        <f t="shared" si="9"/>
        <v/>
      </c>
      <c r="W701" s="1" t="str">
        <f t="array" ref="W701">IFERROR(INDEX('Исходник'!$1:$626,MATCH($A701,'Исходник'!$T:$T,0),MATCH(W$1,'Исходник'!$1:$1,0)))</f>
        <v/>
      </c>
      <c r="X701" s="28">
        <f t="shared" si="10"/>
        <v>0</v>
      </c>
      <c r="Y701" s="1" t="str">
        <f t="array" ref="Y701">IFERROR(INDEX('Исходник'!$1:$626,MATCH($A701,'Исходник'!$T:$T,0),MATCH(Y$1,'Исходник'!$1:$1,0)))</f>
        <v/>
      </c>
      <c r="Z701" s="27">
        <f t="shared" si="11"/>
        <v>0</v>
      </c>
      <c r="AA701" s="27" t="str">
        <f t="shared" si="12"/>
        <v/>
      </c>
      <c r="AB701" s="1" t="str">
        <f t="array" ref="AB701">IFERROR(INDEX('Исходник'!$1:$626,MATCH($A701,'Исходник'!$T:$T,0),MATCH(AB$1,'Исходник'!$1:$1,0)))</f>
        <v/>
      </c>
      <c r="AC701" s="1" t="str">
        <f t="array" ref="AC701">IFERROR(INDEX('Исходник'!$1:$626,MATCH($A701,'Исходник'!$T:$T,0),MATCH(AC$1,'Исходник'!$1:$1,0)))</f>
        <v/>
      </c>
      <c r="AD701" s="27" t="str">
        <f t="shared" si="13"/>
        <v/>
      </c>
      <c r="AE701" s="1" t="str">
        <f t="array" ref="AE701">IFERROR(INDEX('Исходник'!$1:$626,MATCH($A701,'Исходник'!$T:$T,0),MATCH(AE$1,'Исходник'!$1:$1,0)))</f>
        <v/>
      </c>
      <c r="AF701" s="1" t="str">
        <f t="array" ref="AF701">IFERROR(INDEX('Исходник'!$1:$626,MATCH($A701,'Исходник'!$T:$T,0),MATCH(AF$1,'Исходник'!$1:$1,0)))</f>
        <v/>
      </c>
      <c r="AG701" s="27" t="str">
        <f t="shared" si="14"/>
        <v/>
      </c>
      <c r="AH701" s="1" t="str">
        <f t="array" ref="AH701">IFERROR(INDEX('Исходник'!$1:$626,MATCH($A701,'Исходник'!$T:$T,0),MATCH(AH$1,'Исходник'!$1:$1,0)))</f>
        <v/>
      </c>
      <c r="AI701" s="1" t="str">
        <f t="array" ref="AI701">IFERROR(INDEX('Исходник'!$1:$626,MATCH($A701,'Исходник'!$T:$T,0),MATCH(AI$1,'Исходник'!$1:$1,0)))</f>
        <v/>
      </c>
      <c r="AJ701" s="18">
        <f t="shared" si="15"/>
        <v>0</v>
      </c>
    </row>
    <row r="702" ht="15.75" customHeight="1">
      <c r="A702" s="27"/>
      <c r="B702" s="1" t="str">
        <f t="array" ref="B702">IFERROR(INDEX('Исходник'!$1:$626,MATCH($A702,'Исходник'!$T:$T,0),MATCH(B$1,'Исходник'!$1:$1,0)))</f>
        <v/>
      </c>
      <c r="C702" s="1" t="str">
        <f t="array" ref="C702">IFERROR(INDEX('Исходник'!$1:$626,MATCH($A702,'Исходник'!$T:$T,0),MATCH(C$1,'Исходник'!$1:$1,0)))</f>
        <v/>
      </c>
      <c r="D702" s="1" t="str">
        <f t="array" ref="D702">IFERROR(INDEX('Исходник'!$1:$626,MATCH($A702,'Исходник'!$T:$T,0),MATCH(D$1,'Исходник'!$1:$1,0)))</f>
        <v/>
      </c>
      <c r="E702" s="1" t="str">
        <f t="array" ref="E702">IFERROR(INDEX('Исходник'!$1:$626,MATCH($A702,'Исходник'!$T:$T,0),MATCH(E$1,'Исходник'!$1:$1,0)))</f>
        <v/>
      </c>
      <c r="F702" s="1" t="str">
        <f t="array" ref="F702">IFERROR(INDEX('Исходник'!$1:$626,MATCH($A702,'Исходник'!$T:$T,0),MATCH(F$1,'Исходник'!$1:$1,0)))</f>
        <v/>
      </c>
      <c r="G702" s="1" t="str">
        <f t="array" ref="G702">IFERROR(INDEX('Исходник'!$1:$626,MATCH($A702,'Исходник'!$T:$T,0),MATCH(G$1,'Исходник'!$1:$1,0)))</f>
        <v/>
      </c>
      <c r="H702" s="27">
        <f t="shared" si="1"/>
        <v>0</v>
      </c>
      <c r="I702" s="27" t="str">
        <f t="shared" si="2"/>
        <v/>
      </c>
      <c r="J702" s="1" t="str">
        <f t="array" ref="J702">IFERROR(INDEX('Исходник'!$1:$626,MATCH($A702,'Исходник'!$T:$T,0),MATCH(J$1,'Исходник'!$1:$1,0)))</f>
        <v/>
      </c>
      <c r="K702" s="27" t="str">
        <f t="shared" si="3"/>
        <v/>
      </c>
      <c r="L702" s="1" t="str">
        <f t="array" ref="L702">IFERROR(INDEX('Исходник'!$1:$626,MATCH($A702,'Исходник'!$T:$T,0),MATCH(L$1,'Исходник'!$1:$1,0)))</f>
        <v/>
      </c>
      <c r="M702" s="28">
        <f t="shared" si="4"/>
        <v>0</v>
      </c>
      <c r="N702" s="1" t="str">
        <f t="array" ref="N702">IFERROR(INDEX('Исходник'!$1:$626,MATCH($A702,'Исходник'!$T:$T,0),MATCH(N$1,'Исходник'!$1:$1,0)))</f>
        <v/>
      </c>
      <c r="O702" s="27">
        <f t="shared" si="5"/>
        <v>0</v>
      </c>
      <c r="P702" s="27" t="str">
        <f t="shared" si="6"/>
        <v/>
      </c>
      <c r="Q702" s="1" t="str">
        <f t="array" ref="Q702">IFERROR(INDEX('Исходник'!$1:$626,MATCH($A702,'Исходник'!$T:$T,0),MATCH(Q$1,'Исходник'!$1:$1,0)))</f>
        <v/>
      </c>
      <c r="R702" s="1" t="str">
        <f t="array" ref="R702">IFERROR(INDEX('Исходник'!$1:$626,MATCH($A702,'Исходник'!$T:$T,0),MATCH(R$1,'Исходник'!$1:$1,0)))</f>
        <v/>
      </c>
      <c r="S702" s="27">
        <f t="shared" si="7"/>
        <v>0</v>
      </c>
      <c r="T702" s="27" t="str">
        <f t="shared" si="8"/>
        <v/>
      </c>
      <c r="U702" s="1" t="str">
        <f t="array" ref="U702">IFERROR(INDEX('Исходник'!$1:$626,MATCH($A702,'Исходник'!$T:$T,0),MATCH(U$1,'Исходник'!$1:$1,0)))</f>
        <v/>
      </c>
      <c r="V702" s="27" t="str">
        <f t="shared" si="9"/>
        <v/>
      </c>
      <c r="W702" s="1" t="str">
        <f t="array" ref="W702">IFERROR(INDEX('Исходник'!$1:$626,MATCH($A702,'Исходник'!$T:$T,0),MATCH(W$1,'Исходник'!$1:$1,0)))</f>
        <v/>
      </c>
      <c r="X702" s="28">
        <f t="shared" si="10"/>
        <v>0</v>
      </c>
      <c r="Y702" s="1" t="str">
        <f t="array" ref="Y702">IFERROR(INDEX('Исходник'!$1:$626,MATCH($A702,'Исходник'!$T:$T,0),MATCH(Y$1,'Исходник'!$1:$1,0)))</f>
        <v/>
      </c>
      <c r="Z702" s="27">
        <f t="shared" si="11"/>
        <v>0</v>
      </c>
      <c r="AA702" s="27" t="str">
        <f t="shared" si="12"/>
        <v/>
      </c>
      <c r="AB702" s="1" t="str">
        <f t="array" ref="AB702">IFERROR(INDEX('Исходник'!$1:$626,MATCH($A702,'Исходник'!$T:$T,0),MATCH(AB$1,'Исходник'!$1:$1,0)))</f>
        <v/>
      </c>
      <c r="AC702" s="1" t="str">
        <f t="array" ref="AC702">IFERROR(INDEX('Исходник'!$1:$626,MATCH($A702,'Исходник'!$T:$T,0),MATCH(AC$1,'Исходник'!$1:$1,0)))</f>
        <v/>
      </c>
      <c r="AD702" s="27" t="str">
        <f t="shared" si="13"/>
        <v/>
      </c>
      <c r="AE702" s="1" t="str">
        <f t="array" ref="AE702">IFERROR(INDEX('Исходник'!$1:$626,MATCH($A702,'Исходник'!$T:$T,0),MATCH(AE$1,'Исходник'!$1:$1,0)))</f>
        <v/>
      </c>
      <c r="AF702" s="1" t="str">
        <f t="array" ref="AF702">IFERROR(INDEX('Исходник'!$1:$626,MATCH($A702,'Исходник'!$T:$T,0),MATCH(AF$1,'Исходник'!$1:$1,0)))</f>
        <v/>
      </c>
      <c r="AG702" s="27" t="str">
        <f t="shared" si="14"/>
        <v/>
      </c>
      <c r="AH702" s="1" t="str">
        <f t="array" ref="AH702">IFERROR(INDEX('Исходник'!$1:$626,MATCH($A702,'Исходник'!$T:$T,0),MATCH(AH$1,'Исходник'!$1:$1,0)))</f>
        <v/>
      </c>
      <c r="AI702" s="1" t="str">
        <f t="array" ref="AI702">IFERROR(INDEX('Исходник'!$1:$626,MATCH($A702,'Исходник'!$T:$T,0),MATCH(AI$1,'Исходник'!$1:$1,0)))</f>
        <v/>
      </c>
      <c r="AJ702" s="18">
        <f t="shared" si="15"/>
        <v>0</v>
      </c>
    </row>
    <row r="703" ht="15.75" customHeight="1">
      <c r="A703" s="27"/>
      <c r="B703" s="1" t="str">
        <f t="array" ref="B703">IFERROR(INDEX('Исходник'!$1:$626,MATCH($A703,'Исходник'!$T:$T,0),MATCH(B$1,'Исходник'!$1:$1,0)))</f>
        <v/>
      </c>
      <c r="C703" s="1" t="str">
        <f t="array" ref="C703">IFERROR(INDEX('Исходник'!$1:$626,MATCH($A703,'Исходник'!$T:$T,0),MATCH(C$1,'Исходник'!$1:$1,0)))</f>
        <v/>
      </c>
      <c r="D703" s="1" t="str">
        <f t="array" ref="D703">IFERROR(INDEX('Исходник'!$1:$626,MATCH($A703,'Исходник'!$T:$T,0),MATCH(D$1,'Исходник'!$1:$1,0)))</f>
        <v/>
      </c>
      <c r="E703" s="1" t="str">
        <f t="array" ref="E703">IFERROR(INDEX('Исходник'!$1:$626,MATCH($A703,'Исходник'!$T:$T,0),MATCH(E$1,'Исходник'!$1:$1,0)))</f>
        <v/>
      </c>
      <c r="F703" s="1" t="str">
        <f t="array" ref="F703">IFERROR(INDEX('Исходник'!$1:$626,MATCH($A703,'Исходник'!$T:$T,0),MATCH(F$1,'Исходник'!$1:$1,0)))</f>
        <v/>
      </c>
      <c r="G703" s="1" t="str">
        <f t="array" ref="G703">IFERROR(INDEX('Исходник'!$1:$626,MATCH($A703,'Исходник'!$T:$T,0),MATCH(G$1,'Исходник'!$1:$1,0)))</f>
        <v/>
      </c>
      <c r="H703" s="27">
        <f t="shared" si="1"/>
        <v>0</v>
      </c>
      <c r="I703" s="27" t="str">
        <f t="shared" si="2"/>
        <v/>
      </c>
      <c r="J703" s="1" t="str">
        <f t="array" ref="J703">IFERROR(INDEX('Исходник'!$1:$626,MATCH($A703,'Исходник'!$T:$T,0),MATCH(J$1,'Исходник'!$1:$1,0)))</f>
        <v/>
      </c>
      <c r="K703" s="27" t="str">
        <f t="shared" si="3"/>
        <v/>
      </c>
      <c r="L703" s="1" t="str">
        <f t="array" ref="L703">IFERROR(INDEX('Исходник'!$1:$626,MATCH($A703,'Исходник'!$T:$T,0),MATCH(L$1,'Исходник'!$1:$1,0)))</f>
        <v/>
      </c>
      <c r="M703" s="28">
        <f t="shared" si="4"/>
        <v>0</v>
      </c>
      <c r="N703" s="1" t="str">
        <f t="array" ref="N703">IFERROR(INDEX('Исходник'!$1:$626,MATCH($A703,'Исходник'!$T:$T,0),MATCH(N$1,'Исходник'!$1:$1,0)))</f>
        <v/>
      </c>
      <c r="O703" s="27">
        <f t="shared" si="5"/>
        <v>0</v>
      </c>
      <c r="P703" s="27" t="str">
        <f t="shared" si="6"/>
        <v/>
      </c>
      <c r="Q703" s="1" t="str">
        <f t="array" ref="Q703">IFERROR(INDEX('Исходник'!$1:$626,MATCH($A703,'Исходник'!$T:$T,0),MATCH(Q$1,'Исходник'!$1:$1,0)))</f>
        <v/>
      </c>
      <c r="R703" s="1" t="str">
        <f t="array" ref="R703">IFERROR(INDEX('Исходник'!$1:$626,MATCH($A703,'Исходник'!$T:$T,0),MATCH(R$1,'Исходник'!$1:$1,0)))</f>
        <v/>
      </c>
      <c r="S703" s="27">
        <f t="shared" si="7"/>
        <v>0</v>
      </c>
      <c r="T703" s="27" t="str">
        <f t="shared" si="8"/>
        <v/>
      </c>
      <c r="U703" s="1" t="str">
        <f t="array" ref="U703">IFERROR(INDEX('Исходник'!$1:$626,MATCH($A703,'Исходник'!$T:$T,0),MATCH(U$1,'Исходник'!$1:$1,0)))</f>
        <v/>
      </c>
      <c r="V703" s="27" t="str">
        <f t="shared" si="9"/>
        <v/>
      </c>
      <c r="W703" s="1" t="str">
        <f t="array" ref="W703">IFERROR(INDEX('Исходник'!$1:$626,MATCH($A703,'Исходник'!$T:$T,0),MATCH(W$1,'Исходник'!$1:$1,0)))</f>
        <v/>
      </c>
      <c r="X703" s="28">
        <f t="shared" si="10"/>
        <v>0</v>
      </c>
      <c r="Y703" s="1" t="str">
        <f t="array" ref="Y703">IFERROR(INDEX('Исходник'!$1:$626,MATCH($A703,'Исходник'!$T:$T,0),MATCH(Y$1,'Исходник'!$1:$1,0)))</f>
        <v/>
      </c>
      <c r="Z703" s="27">
        <f t="shared" si="11"/>
        <v>0</v>
      </c>
      <c r="AA703" s="27" t="str">
        <f t="shared" si="12"/>
        <v/>
      </c>
      <c r="AB703" s="1" t="str">
        <f t="array" ref="AB703">IFERROR(INDEX('Исходник'!$1:$626,MATCH($A703,'Исходник'!$T:$T,0),MATCH(AB$1,'Исходник'!$1:$1,0)))</f>
        <v/>
      </c>
      <c r="AC703" s="1" t="str">
        <f t="array" ref="AC703">IFERROR(INDEX('Исходник'!$1:$626,MATCH($A703,'Исходник'!$T:$T,0),MATCH(AC$1,'Исходник'!$1:$1,0)))</f>
        <v/>
      </c>
      <c r="AD703" s="27" t="str">
        <f t="shared" si="13"/>
        <v/>
      </c>
      <c r="AE703" s="1" t="str">
        <f t="array" ref="AE703">IFERROR(INDEX('Исходник'!$1:$626,MATCH($A703,'Исходник'!$T:$T,0),MATCH(AE$1,'Исходник'!$1:$1,0)))</f>
        <v/>
      </c>
      <c r="AF703" s="1" t="str">
        <f t="array" ref="AF703">IFERROR(INDEX('Исходник'!$1:$626,MATCH($A703,'Исходник'!$T:$T,0),MATCH(AF$1,'Исходник'!$1:$1,0)))</f>
        <v/>
      </c>
      <c r="AG703" s="27" t="str">
        <f t="shared" si="14"/>
        <v/>
      </c>
      <c r="AH703" s="1" t="str">
        <f t="array" ref="AH703">IFERROR(INDEX('Исходник'!$1:$626,MATCH($A703,'Исходник'!$T:$T,0),MATCH(AH$1,'Исходник'!$1:$1,0)))</f>
        <v/>
      </c>
      <c r="AI703" s="1" t="str">
        <f t="array" ref="AI703">IFERROR(INDEX('Исходник'!$1:$626,MATCH($A703,'Исходник'!$T:$T,0),MATCH(AI$1,'Исходник'!$1:$1,0)))</f>
        <v/>
      </c>
      <c r="AJ703" s="18">
        <f t="shared" si="15"/>
        <v>0</v>
      </c>
    </row>
    <row r="704" ht="15.75" customHeight="1">
      <c r="A704" s="27"/>
      <c r="B704" s="1" t="str">
        <f t="array" ref="B704">IFERROR(INDEX('Исходник'!$1:$626,MATCH($A704,'Исходник'!$T:$T,0),MATCH(B$1,'Исходник'!$1:$1,0)))</f>
        <v/>
      </c>
      <c r="C704" s="1" t="str">
        <f t="array" ref="C704">IFERROR(INDEX('Исходник'!$1:$626,MATCH($A704,'Исходник'!$T:$T,0),MATCH(C$1,'Исходник'!$1:$1,0)))</f>
        <v/>
      </c>
      <c r="D704" s="1" t="str">
        <f t="array" ref="D704">IFERROR(INDEX('Исходник'!$1:$626,MATCH($A704,'Исходник'!$T:$T,0),MATCH(D$1,'Исходник'!$1:$1,0)))</f>
        <v/>
      </c>
      <c r="E704" s="1" t="str">
        <f t="array" ref="E704">IFERROR(INDEX('Исходник'!$1:$626,MATCH($A704,'Исходник'!$T:$T,0),MATCH(E$1,'Исходник'!$1:$1,0)))</f>
        <v/>
      </c>
      <c r="F704" s="1" t="str">
        <f t="array" ref="F704">IFERROR(INDEX('Исходник'!$1:$626,MATCH($A704,'Исходник'!$T:$T,0),MATCH(F$1,'Исходник'!$1:$1,0)))</f>
        <v/>
      </c>
      <c r="G704" s="1" t="str">
        <f t="array" ref="G704">IFERROR(INDEX('Исходник'!$1:$626,MATCH($A704,'Исходник'!$T:$T,0),MATCH(G$1,'Исходник'!$1:$1,0)))</f>
        <v/>
      </c>
      <c r="H704" s="27">
        <f t="shared" si="1"/>
        <v>0</v>
      </c>
      <c r="I704" s="27" t="str">
        <f t="shared" si="2"/>
        <v/>
      </c>
      <c r="J704" s="1" t="str">
        <f t="array" ref="J704">IFERROR(INDEX('Исходник'!$1:$626,MATCH($A704,'Исходник'!$T:$T,0),MATCH(J$1,'Исходник'!$1:$1,0)))</f>
        <v/>
      </c>
      <c r="K704" s="27" t="str">
        <f t="shared" si="3"/>
        <v/>
      </c>
      <c r="L704" s="1" t="str">
        <f t="array" ref="L704">IFERROR(INDEX('Исходник'!$1:$626,MATCH($A704,'Исходник'!$T:$T,0),MATCH(L$1,'Исходник'!$1:$1,0)))</f>
        <v/>
      </c>
      <c r="M704" s="28">
        <f t="shared" si="4"/>
        <v>0</v>
      </c>
      <c r="N704" s="1" t="str">
        <f t="array" ref="N704">IFERROR(INDEX('Исходник'!$1:$626,MATCH($A704,'Исходник'!$T:$T,0),MATCH(N$1,'Исходник'!$1:$1,0)))</f>
        <v/>
      </c>
      <c r="O704" s="27">
        <f t="shared" si="5"/>
        <v>0</v>
      </c>
      <c r="P704" s="27" t="str">
        <f t="shared" si="6"/>
        <v/>
      </c>
      <c r="Q704" s="1" t="str">
        <f t="array" ref="Q704">IFERROR(INDEX('Исходник'!$1:$626,MATCH($A704,'Исходник'!$T:$T,0),MATCH(Q$1,'Исходник'!$1:$1,0)))</f>
        <v/>
      </c>
      <c r="R704" s="1" t="str">
        <f t="array" ref="R704">IFERROR(INDEX('Исходник'!$1:$626,MATCH($A704,'Исходник'!$T:$T,0),MATCH(R$1,'Исходник'!$1:$1,0)))</f>
        <v/>
      </c>
      <c r="S704" s="27">
        <f t="shared" si="7"/>
        <v>0</v>
      </c>
      <c r="T704" s="27" t="str">
        <f t="shared" si="8"/>
        <v/>
      </c>
      <c r="U704" s="1" t="str">
        <f t="array" ref="U704">IFERROR(INDEX('Исходник'!$1:$626,MATCH($A704,'Исходник'!$T:$T,0),MATCH(U$1,'Исходник'!$1:$1,0)))</f>
        <v/>
      </c>
      <c r="V704" s="27" t="str">
        <f t="shared" si="9"/>
        <v/>
      </c>
      <c r="W704" s="1" t="str">
        <f t="array" ref="W704">IFERROR(INDEX('Исходник'!$1:$626,MATCH($A704,'Исходник'!$T:$T,0),MATCH(W$1,'Исходник'!$1:$1,0)))</f>
        <v/>
      </c>
      <c r="X704" s="28">
        <f t="shared" si="10"/>
        <v>0</v>
      </c>
      <c r="Y704" s="1" t="str">
        <f t="array" ref="Y704">IFERROR(INDEX('Исходник'!$1:$626,MATCH($A704,'Исходник'!$T:$T,0),MATCH(Y$1,'Исходник'!$1:$1,0)))</f>
        <v/>
      </c>
      <c r="Z704" s="27">
        <f t="shared" si="11"/>
        <v>0</v>
      </c>
      <c r="AA704" s="27" t="str">
        <f t="shared" si="12"/>
        <v/>
      </c>
      <c r="AB704" s="1" t="str">
        <f t="array" ref="AB704">IFERROR(INDEX('Исходник'!$1:$626,MATCH($A704,'Исходник'!$T:$T,0),MATCH(AB$1,'Исходник'!$1:$1,0)))</f>
        <v/>
      </c>
      <c r="AC704" s="1" t="str">
        <f t="array" ref="AC704">IFERROR(INDEX('Исходник'!$1:$626,MATCH($A704,'Исходник'!$T:$T,0),MATCH(AC$1,'Исходник'!$1:$1,0)))</f>
        <v/>
      </c>
      <c r="AD704" s="27" t="str">
        <f t="shared" si="13"/>
        <v/>
      </c>
      <c r="AE704" s="1" t="str">
        <f t="array" ref="AE704">IFERROR(INDEX('Исходник'!$1:$626,MATCH($A704,'Исходник'!$T:$T,0),MATCH(AE$1,'Исходник'!$1:$1,0)))</f>
        <v/>
      </c>
      <c r="AF704" s="1" t="str">
        <f t="array" ref="AF704">IFERROR(INDEX('Исходник'!$1:$626,MATCH($A704,'Исходник'!$T:$T,0),MATCH(AF$1,'Исходник'!$1:$1,0)))</f>
        <v/>
      </c>
      <c r="AG704" s="27" t="str">
        <f t="shared" si="14"/>
        <v/>
      </c>
      <c r="AH704" s="1" t="str">
        <f t="array" ref="AH704">IFERROR(INDEX('Исходник'!$1:$626,MATCH($A704,'Исходник'!$T:$T,0),MATCH(AH$1,'Исходник'!$1:$1,0)))</f>
        <v/>
      </c>
      <c r="AI704" s="1" t="str">
        <f t="array" ref="AI704">IFERROR(INDEX('Исходник'!$1:$626,MATCH($A704,'Исходник'!$T:$T,0),MATCH(AI$1,'Исходник'!$1:$1,0)))</f>
        <v/>
      </c>
      <c r="AJ704" s="18">
        <f t="shared" si="15"/>
        <v>0</v>
      </c>
    </row>
    <row r="705" ht="15.75" customHeight="1">
      <c r="A705" s="27"/>
      <c r="B705" s="1" t="str">
        <f t="array" ref="B705">IFERROR(INDEX('Исходник'!$1:$626,MATCH($A705,'Исходник'!$T:$T,0),MATCH(B$1,'Исходник'!$1:$1,0)))</f>
        <v/>
      </c>
      <c r="C705" s="1" t="str">
        <f t="array" ref="C705">IFERROR(INDEX('Исходник'!$1:$626,MATCH($A705,'Исходник'!$T:$T,0),MATCH(C$1,'Исходник'!$1:$1,0)))</f>
        <v/>
      </c>
      <c r="D705" s="1" t="str">
        <f t="array" ref="D705">IFERROR(INDEX('Исходник'!$1:$626,MATCH($A705,'Исходник'!$T:$T,0),MATCH(D$1,'Исходник'!$1:$1,0)))</f>
        <v/>
      </c>
      <c r="E705" s="1" t="str">
        <f t="array" ref="E705">IFERROR(INDEX('Исходник'!$1:$626,MATCH($A705,'Исходник'!$T:$T,0),MATCH(E$1,'Исходник'!$1:$1,0)))</f>
        <v/>
      </c>
      <c r="F705" s="1" t="str">
        <f t="array" ref="F705">IFERROR(INDEX('Исходник'!$1:$626,MATCH($A705,'Исходник'!$T:$T,0),MATCH(F$1,'Исходник'!$1:$1,0)))</f>
        <v/>
      </c>
      <c r="G705" s="1" t="str">
        <f t="array" ref="G705">IFERROR(INDEX('Исходник'!$1:$626,MATCH($A705,'Исходник'!$T:$T,0),MATCH(G$1,'Исходник'!$1:$1,0)))</f>
        <v/>
      </c>
      <c r="H705" s="27">
        <f t="shared" si="1"/>
        <v>0</v>
      </c>
      <c r="I705" s="27" t="str">
        <f t="shared" si="2"/>
        <v/>
      </c>
      <c r="J705" s="1" t="str">
        <f t="array" ref="J705">IFERROR(INDEX('Исходник'!$1:$626,MATCH($A705,'Исходник'!$T:$T,0),MATCH(J$1,'Исходник'!$1:$1,0)))</f>
        <v/>
      </c>
      <c r="K705" s="27" t="str">
        <f t="shared" si="3"/>
        <v/>
      </c>
      <c r="L705" s="1" t="str">
        <f t="array" ref="L705">IFERROR(INDEX('Исходник'!$1:$626,MATCH($A705,'Исходник'!$T:$T,0),MATCH(L$1,'Исходник'!$1:$1,0)))</f>
        <v/>
      </c>
      <c r="M705" s="28">
        <f t="shared" si="4"/>
        <v>0</v>
      </c>
      <c r="N705" s="1" t="str">
        <f t="array" ref="N705">IFERROR(INDEX('Исходник'!$1:$626,MATCH($A705,'Исходник'!$T:$T,0),MATCH(N$1,'Исходник'!$1:$1,0)))</f>
        <v/>
      </c>
      <c r="O705" s="27">
        <f t="shared" si="5"/>
        <v>0</v>
      </c>
      <c r="P705" s="27" t="str">
        <f t="shared" si="6"/>
        <v/>
      </c>
      <c r="Q705" s="1" t="str">
        <f t="array" ref="Q705">IFERROR(INDEX('Исходник'!$1:$626,MATCH($A705,'Исходник'!$T:$T,0),MATCH(Q$1,'Исходник'!$1:$1,0)))</f>
        <v/>
      </c>
      <c r="R705" s="1" t="str">
        <f t="array" ref="R705">IFERROR(INDEX('Исходник'!$1:$626,MATCH($A705,'Исходник'!$T:$T,0),MATCH(R$1,'Исходник'!$1:$1,0)))</f>
        <v/>
      </c>
      <c r="S705" s="27">
        <f t="shared" si="7"/>
        <v>0</v>
      </c>
      <c r="T705" s="27" t="str">
        <f t="shared" si="8"/>
        <v/>
      </c>
      <c r="U705" s="1" t="str">
        <f t="array" ref="U705">IFERROR(INDEX('Исходник'!$1:$626,MATCH($A705,'Исходник'!$T:$T,0),MATCH(U$1,'Исходник'!$1:$1,0)))</f>
        <v/>
      </c>
      <c r="V705" s="27" t="str">
        <f t="shared" si="9"/>
        <v/>
      </c>
      <c r="W705" s="1" t="str">
        <f t="array" ref="W705">IFERROR(INDEX('Исходник'!$1:$626,MATCH($A705,'Исходник'!$T:$T,0),MATCH(W$1,'Исходник'!$1:$1,0)))</f>
        <v/>
      </c>
      <c r="X705" s="28">
        <f t="shared" si="10"/>
        <v>0</v>
      </c>
      <c r="Y705" s="1" t="str">
        <f t="array" ref="Y705">IFERROR(INDEX('Исходник'!$1:$626,MATCH($A705,'Исходник'!$T:$T,0),MATCH(Y$1,'Исходник'!$1:$1,0)))</f>
        <v/>
      </c>
      <c r="Z705" s="27">
        <f t="shared" si="11"/>
        <v>0</v>
      </c>
      <c r="AA705" s="27" t="str">
        <f t="shared" si="12"/>
        <v/>
      </c>
      <c r="AB705" s="1" t="str">
        <f t="array" ref="AB705">IFERROR(INDEX('Исходник'!$1:$626,MATCH($A705,'Исходник'!$T:$T,0),MATCH(AB$1,'Исходник'!$1:$1,0)))</f>
        <v/>
      </c>
      <c r="AC705" s="1" t="str">
        <f t="array" ref="AC705">IFERROR(INDEX('Исходник'!$1:$626,MATCH($A705,'Исходник'!$T:$T,0),MATCH(AC$1,'Исходник'!$1:$1,0)))</f>
        <v/>
      </c>
      <c r="AD705" s="27" t="str">
        <f t="shared" si="13"/>
        <v/>
      </c>
      <c r="AE705" s="1" t="str">
        <f t="array" ref="AE705">IFERROR(INDEX('Исходник'!$1:$626,MATCH($A705,'Исходник'!$T:$T,0),MATCH(AE$1,'Исходник'!$1:$1,0)))</f>
        <v/>
      </c>
      <c r="AF705" s="1" t="str">
        <f t="array" ref="AF705">IFERROR(INDEX('Исходник'!$1:$626,MATCH($A705,'Исходник'!$T:$T,0),MATCH(AF$1,'Исходник'!$1:$1,0)))</f>
        <v/>
      </c>
      <c r="AG705" s="27" t="str">
        <f t="shared" si="14"/>
        <v/>
      </c>
      <c r="AH705" s="1" t="str">
        <f t="array" ref="AH705">IFERROR(INDEX('Исходник'!$1:$626,MATCH($A705,'Исходник'!$T:$T,0),MATCH(AH$1,'Исходник'!$1:$1,0)))</f>
        <v/>
      </c>
      <c r="AI705" s="1" t="str">
        <f t="array" ref="AI705">IFERROR(INDEX('Исходник'!$1:$626,MATCH($A705,'Исходник'!$T:$T,0),MATCH(AI$1,'Исходник'!$1:$1,0)))</f>
        <v/>
      </c>
      <c r="AJ705" s="18">
        <f t="shared" si="15"/>
        <v>0</v>
      </c>
    </row>
    <row r="706" ht="15.75" customHeight="1">
      <c r="A706" s="27"/>
      <c r="B706" s="1" t="str">
        <f t="array" ref="B706">IFERROR(INDEX('Исходник'!$1:$626,MATCH($A706,'Исходник'!$T:$T,0),MATCH(B$1,'Исходник'!$1:$1,0)))</f>
        <v/>
      </c>
      <c r="C706" s="1" t="str">
        <f t="array" ref="C706">IFERROR(INDEX('Исходник'!$1:$626,MATCH($A706,'Исходник'!$T:$T,0),MATCH(C$1,'Исходник'!$1:$1,0)))</f>
        <v/>
      </c>
      <c r="D706" s="1" t="str">
        <f t="array" ref="D706">IFERROR(INDEX('Исходник'!$1:$626,MATCH($A706,'Исходник'!$T:$T,0),MATCH(D$1,'Исходник'!$1:$1,0)))</f>
        <v/>
      </c>
      <c r="E706" s="1" t="str">
        <f t="array" ref="E706">IFERROR(INDEX('Исходник'!$1:$626,MATCH($A706,'Исходник'!$T:$T,0),MATCH(E$1,'Исходник'!$1:$1,0)))</f>
        <v/>
      </c>
      <c r="F706" s="1" t="str">
        <f t="array" ref="F706">IFERROR(INDEX('Исходник'!$1:$626,MATCH($A706,'Исходник'!$T:$T,0),MATCH(F$1,'Исходник'!$1:$1,0)))</f>
        <v/>
      </c>
      <c r="G706" s="1" t="str">
        <f t="array" ref="G706">IFERROR(INDEX('Исходник'!$1:$626,MATCH($A706,'Исходник'!$T:$T,0),MATCH(G$1,'Исходник'!$1:$1,0)))</f>
        <v/>
      </c>
      <c r="H706" s="27">
        <f t="shared" si="1"/>
        <v>0</v>
      </c>
      <c r="I706" s="27" t="str">
        <f t="shared" si="2"/>
        <v/>
      </c>
      <c r="J706" s="1" t="str">
        <f t="array" ref="J706">IFERROR(INDEX('Исходник'!$1:$626,MATCH($A706,'Исходник'!$T:$T,0),MATCH(J$1,'Исходник'!$1:$1,0)))</f>
        <v/>
      </c>
      <c r="K706" s="27" t="str">
        <f t="shared" si="3"/>
        <v/>
      </c>
      <c r="L706" s="1" t="str">
        <f t="array" ref="L706">IFERROR(INDEX('Исходник'!$1:$626,MATCH($A706,'Исходник'!$T:$T,0),MATCH(L$1,'Исходник'!$1:$1,0)))</f>
        <v/>
      </c>
      <c r="M706" s="28">
        <f t="shared" si="4"/>
        <v>0</v>
      </c>
      <c r="N706" s="1" t="str">
        <f t="array" ref="N706">IFERROR(INDEX('Исходник'!$1:$626,MATCH($A706,'Исходник'!$T:$T,0),MATCH(N$1,'Исходник'!$1:$1,0)))</f>
        <v/>
      </c>
      <c r="O706" s="27">
        <f t="shared" si="5"/>
        <v>0</v>
      </c>
      <c r="P706" s="27" t="str">
        <f t="shared" si="6"/>
        <v/>
      </c>
      <c r="Q706" s="1" t="str">
        <f t="array" ref="Q706">IFERROR(INDEX('Исходник'!$1:$626,MATCH($A706,'Исходник'!$T:$T,0),MATCH(Q$1,'Исходник'!$1:$1,0)))</f>
        <v/>
      </c>
      <c r="R706" s="1" t="str">
        <f t="array" ref="R706">IFERROR(INDEX('Исходник'!$1:$626,MATCH($A706,'Исходник'!$T:$T,0),MATCH(R$1,'Исходник'!$1:$1,0)))</f>
        <v/>
      </c>
      <c r="S706" s="27">
        <f t="shared" si="7"/>
        <v>0</v>
      </c>
      <c r="T706" s="27" t="str">
        <f t="shared" si="8"/>
        <v/>
      </c>
      <c r="U706" s="1" t="str">
        <f t="array" ref="U706">IFERROR(INDEX('Исходник'!$1:$626,MATCH($A706,'Исходник'!$T:$T,0),MATCH(U$1,'Исходник'!$1:$1,0)))</f>
        <v/>
      </c>
      <c r="V706" s="27" t="str">
        <f t="shared" si="9"/>
        <v/>
      </c>
      <c r="W706" s="1" t="str">
        <f t="array" ref="W706">IFERROR(INDEX('Исходник'!$1:$626,MATCH($A706,'Исходник'!$T:$T,0),MATCH(W$1,'Исходник'!$1:$1,0)))</f>
        <v/>
      </c>
      <c r="X706" s="28">
        <f t="shared" si="10"/>
        <v>0</v>
      </c>
      <c r="Y706" s="1" t="str">
        <f t="array" ref="Y706">IFERROR(INDEX('Исходник'!$1:$626,MATCH($A706,'Исходник'!$T:$T,0),MATCH(Y$1,'Исходник'!$1:$1,0)))</f>
        <v/>
      </c>
      <c r="Z706" s="27">
        <f t="shared" si="11"/>
        <v>0</v>
      </c>
      <c r="AA706" s="27" t="str">
        <f t="shared" si="12"/>
        <v/>
      </c>
      <c r="AB706" s="1" t="str">
        <f t="array" ref="AB706">IFERROR(INDEX('Исходник'!$1:$626,MATCH($A706,'Исходник'!$T:$T,0),MATCH(AB$1,'Исходник'!$1:$1,0)))</f>
        <v/>
      </c>
      <c r="AC706" s="1" t="str">
        <f t="array" ref="AC706">IFERROR(INDEX('Исходник'!$1:$626,MATCH($A706,'Исходник'!$T:$T,0),MATCH(AC$1,'Исходник'!$1:$1,0)))</f>
        <v/>
      </c>
      <c r="AD706" s="27" t="str">
        <f t="shared" si="13"/>
        <v/>
      </c>
      <c r="AE706" s="1" t="str">
        <f t="array" ref="AE706">IFERROR(INDEX('Исходник'!$1:$626,MATCH($A706,'Исходник'!$T:$T,0),MATCH(AE$1,'Исходник'!$1:$1,0)))</f>
        <v/>
      </c>
      <c r="AF706" s="1" t="str">
        <f t="array" ref="AF706">IFERROR(INDEX('Исходник'!$1:$626,MATCH($A706,'Исходник'!$T:$T,0),MATCH(AF$1,'Исходник'!$1:$1,0)))</f>
        <v/>
      </c>
      <c r="AG706" s="27" t="str">
        <f t="shared" si="14"/>
        <v/>
      </c>
      <c r="AH706" s="1" t="str">
        <f t="array" ref="AH706">IFERROR(INDEX('Исходник'!$1:$626,MATCH($A706,'Исходник'!$T:$T,0),MATCH(AH$1,'Исходник'!$1:$1,0)))</f>
        <v/>
      </c>
      <c r="AI706" s="1" t="str">
        <f t="array" ref="AI706">IFERROR(INDEX('Исходник'!$1:$626,MATCH($A706,'Исходник'!$T:$T,0),MATCH(AI$1,'Исходник'!$1:$1,0)))</f>
        <v/>
      </c>
      <c r="AJ706" s="18">
        <f t="shared" si="15"/>
        <v>0</v>
      </c>
    </row>
    <row r="707" ht="15.75" customHeight="1">
      <c r="A707" s="27"/>
      <c r="B707" s="1" t="str">
        <f t="array" ref="B707">IFERROR(INDEX('Исходник'!$1:$626,MATCH($A707,'Исходник'!$T:$T,0),MATCH(B$1,'Исходник'!$1:$1,0)))</f>
        <v/>
      </c>
      <c r="C707" s="1" t="str">
        <f t="array" ref="C707">IFERROR(INDEX('Исходник'!$1:$626,MATCH($A707,'Исходник'!$T:$T,0),MATCH(C$1,'Исходник'!$1:$1,0)))</f>
        <v/>
      </c>
      <c r="D707" s="1" t="str">
        <f t="array" ref="D707">IFERROR(INDEX('Исходник'!$1:$626,MATCH($A707,'Исходник'!$T:$T,0),MATCH(D$1,'Исходник'!$1:$1,0)))</f>
        <v/>
      </c>
      <c r="E707" s="1" t="str">
        <f t="array" ref="E707">IFERROR(INDEX('Исходник'!$1:$626,MATCH($A707,'Исходник'!$T:$T,0),MATCH(E$1,'Исходник'!$1:$1,0)))</f>
        <v/>
      </c>
      <c r="F707" s="1" t="str">
        <f t="array" ref="F707">IFERROR(INDEX('Исходник'!$1:$626,MATCH($A707,'Исходник'!$T:$T,0),MATCH(F$1,'Исходник'!$1:$1,0)))</f>
        <v/>
      </c>
      <c r="G707" s="1" t="str">
        <f t="array" ref="G707">IFERROR(INDEX('Исходник'!$1:$626,MATCH($A707,'Исходник'!$T:$T,0),MATCH(G$1,'Исходник'!$1:$1,0)))</f>
        <v/>
      </c>
      <c r="H707" s="27">
        <f t="shared" si="1"/>
        <v>0</v>
      </c>
      <c r="I707" s="27" t="str">
        <f t="shared" si="2"/>
        <v/>
      </c>
      <c r="J707" s="1" t="str">
        <f t="array" ref="J707">IFERROR(INDEX('Исходник'!$1:$626,MATCH($A707,'Исходник'!$T:$T,0),MATCH(J$1,'Исходник'!$1:$1,0)))</f>
        <v/>
      </c>
      <c r="K707" s="27" t="str">
        <f t="shared" si="3"/>
        <v/>
      </c>
      <c r="L707" s="1" t="str">
        <f t="array" ref="L707">IFERROR(INDEX('Исходник'!$1:$626,MATCH($A707,'Исходник'!$T:$T,0),MATCH(L$1,'Исходник'!$1:$1,0)))</f>
        <v/>
      </c>
      <c r="M707" s="28">
        <f t="shared" si="4"/>
        <v>0</v>
      </c>
      <c r="N707" s="1" t="str">
        <f t="array" ref="N707">IFERROR(INDEX('Исходник'!$1:$626,MATCH($A707,'Исходник'!$T:$T,0),MATCH(N$1,'Исходник'!$1:$1,0)))</f>
        <v/>
      </c>
      <c r="O707" s="27">
        <f t="shared" si="5"/>
        <v>0</v>
      </c>
      <c r="P707" s="27" t="str">
        <f t="shared" si="6"/>
        <v/>
      </c>
      <c r="Q707" s="1" t="str">
        <f t="array" ref="Q707">IFERROR(INDEX('Исходник'!$1:$626,MATCH($A707,'Исходник'!$T:$T,0),MATCH(Q$1,'Исходник'!$1:$1,0)))</f>
        <v/>
      </c>
      <c r="R707" s="1" t="str">
        <f t="array" ref="R707">IFERROR(INDEX('Исходник'!$1:$626,MATCH($A707,'Исходник'!$T:$T,0),MATCH(R$1,'Исходник'!$1:$1,0)))</f>
        <v/>
      </c>
      <c r="S707" s="27">
        <f t="shared" si="7"/>
        <v>0</v>
      </c>
      <c r="T707" s="27" t="str">
        <f t="shared" si="8"/>
        <v/>
      </c>
      <c r="U707" s="1" t="str">
        <f t="array" ref="U707">IFERROR(INDEX('Исходник'!$1:$626,MATCH($A707,'Исходник'!$T:$T,0),MATCH(U$1,'Исходник'!$1:$1,0)))</f>
        <v/>
      </c>
      <c r="V707" s="27" t="str">
        <f t="shared" si="9"/>
        <v/>
      </c>
      <c r="W707" s="1" t="str">
        <f t="array" ref="W707">IFERROR(INDEX('Исходник'!$1:$626,MATCH($A707,'Исходник'!$T:$T,0),MATCH(W$1,'Исходник'!$1:$1,0)))</f>
        <v/>
      </c>
      <c r="X707" s="28">
        <f t="shared" si="10"/>
        <v>0</v>
      </c>
      <c r="Y707" s="1" t="str">
        <f t="array" ref="Y707">IFERROR(INDEX('Исходник'!$1:$626,MATCH($A707,'Исходник'!$T:$T,0),MATCH(Y$1,'Исходник'!$1:$1,0)))</f>
        <v/>
      </c>
      <c r="Z707" s="27">
        <f t="shared" si="11"/>
        <v>0</v>
      </c>
      <c r="AA707" s="27" t="str">
        <f t="shared" si="12"/>
        <v/>
      </c>
      <c r="AB707" s="1" t="str">
        <f t="array" ref="AB707">IFERROR(INDEX('Исходник'!$1:$626,MATCH($A707,'Исходник'!$T:$T,0),MATCH(AB$1,'Исходник'!$1:$1,0)))</f>
        <v/>
      </c>
      <c r="AC707" s="1" t="str">
        <f t="array" ref="AC707">IFERROR(INDEX('Исходник'!$1:$626,MATCH($A707,'Исходник'!$T:$T,0),MATCH(AC$1,'Исходник'!$1:$1,0)))</f>
        <v/>
      </c>
      <c r="AD707" s="27" t="str">
        <f t="shared" si="13"/>
        <v/>
      </c>
      <c r="AE707" s="1" t="str">
        <f t="array" ref="AE707">IFERROR(INDEX('Исходник'!$1:$626,MATCH($A707,'Исходник'!$T:$T,0),MATCH(AE$1,'Исходник'!$1:$1,0)))</f>
        <v/>
      </c>
      <c r="AF707" s="1" t="str">
        <f t="array" ref="AF707">IFERROR(INDEX('Исходник'!$1:$626,MATCH($A707,'Исходник'!$T:$T,0),MATCH(AF$1,'Исходник'!$1:$1,0)))</f>
        <v/>
      </c>
      <c r="AG707" s="27" t="str">
        <f t="shared" si="14"/>
        <v/>
      </c>
      <c r="AH707" s="1" t="str">
        <f t="array" ref="AH707">IFERROR(INDEX('Исходник'!$1:$626,MATCH($A707,'Исходник'!$T:$T,0),MATCH(AH$1,'Исходник'!$1:$1,0)))</f>
        <v/>
      </c>
      <c r="AI707" s="1" t="str">
        <f t="array" ref="AI707">IFERROR(INDEX('Исходник'!$1:$626,MATCH($A707,'Исходник'!$T:$T,0),MATCH(AI$1,'Исходник'!$1:$1,0)))</f>
        <v/>
      </c>
      <c r="AJ707" s="18">
        <f t="shared" si="15"/>
        <v>0</v>
      </c>
    </row>
    <row r="708" ht="15.75" customHeight="1">
      <c r="A708" s="27"/>
      <c r="B708" s="1" t="str">
        <f t="array" ref="B708">IFERROR(INDEX('Исходник'!$1:$626,MATCH($A708,'Исходник'!$T:$T,0),MATCH(B$1,'Исходник'!$1:$1,0)))</f>
        <v/>
      </c>
      <c r="C708" s="1" t="str">
        <f t="array" ref="C708">IFERROR(INDEX('Исходник'!$1:$626,MATCH($A708,'Исходник'!$T:$T,0),MATCH(C$1,'Исходник'!$1:$1,0)))</f>
        <v/>
      </c>
      <c r="D708" s="1" t="str">
        <f t="array" ref="D708">IFERROR(INDEX('Исходник'!$1:$626,MATCH($A708,'Исходник'!$T:$T,0),MATCH(D$1,'Исходник'!$1:$1,0)))</f>
        <v/>
      </c>
      <c r="E708" s="1" t="str">
        <f t="array" ref="E708">IFERROR(INDEX('Исходник'!$1:$626,MATCH($A708,'Исходник'!$T:$T,0),MATCH(E$1,'Исходник'!$1:$1,0)))</f>
        <v/>
      </c>
      <c r="F708" s="1" t="str">
        <f t="array" ref="F708">IFERROR(INDEX('Исходник'!$1:$626,MATCH($A708,'Исходник'!$T:$T,0),MATCH(F$1,'Исходник'!$1:$1,0)))</f>
        <v/>
      </c>
      <c r="G708" s="1" t="str">
        <f t="array" ref="G708">IFERROR(INDEX('Исходник'!$1:$626,MATCH($A708,'Исходник'!$T:$T,0),MATCH(G$1,'Исходник'!$1:$1,0)))</f>
        <v/>
      </c>
      <c r="H708" s="27">
        <f t="shared" si="1"/>
        <v>0</v>
      </c>
      <c r="I708" s="27" t="str">
        <f t="shared" si="2"/>
        <v/>
      </c>
      <c r="J708" s="1" t="str">
        <f t="array" ref="J708">IFERROR(INDEX('Исходник'!$1:$626,MATCH($A708,'Исходник'!$T:$T,0),MATCH(J$1,'Исходник'!$1:$1,0)))</f>
        <v/>
      </c>
      <c r="K708" s="27" t="str">
        <f t="shared" si="3"/>
        <v/>
      </c>
      <c r="L708" s="1" t="str">
        <f t="array" ref="L708">IFERROR(INDEX('Исходник'!$1:$626,MATCH($A708,'Исходник'!$T:$T,0),MATCH(L$1,'Исходник'!$1:$1,0)))</f>
        <v/>
      </c>
      <c r="M708" s="28">
        <f t="shared" si="4"/>
        <v>0</v>
      </c>
      <c r="N708" s="1" t="str">
        <f t="array" ref="N708">IFERROR(INDEX('Исходник'!$1:$626,MATCH($A708,'Исходник'!$T:$T,0),MATCH(N$1,'Исходник'!$1:$1,0)))</f>
        <v/>
      </c>
      <c r="O708" s="27">
        <f t="shared" si="5"/>
        <v>0</v>
      </c>
      <c r="P708" s="27" t="str">
        <f t="shared" si="6"/>
        <v/>
      </c>
      <c r="Q708" s="1" t="str">
        <f t="array" ref="Q708">IFERROR(INDEX('Исходник'!$1:$626,MATCH($A708,'Исходник'!$T:$T,0),MATCH(Q$1,'Исходник'!$1:$1,0)))</f>
        <v/>
      </c>
      <c r="R708" s="1" t="str">
        <f t="array" ref="R708">IFERROR(INDEX('Исходник'!$1:$626,MATCH($A708,'Исходник'!$T:$T,0),MATCH(R$1,'Исходник'!$1:$1,0)))</f>
        <v/>
      </c>
      <c r="S708" s="27">
        <f t="shared" si="7"/>
        <v>0</v>
      </c>
      <c r="T708" s="27" t="str">
        <f t="shared" si="8"/>
        <v/>
      </c>
      <c r="U708" s="1" t="str">
        <f t="array" ref="U708">IFERROR(INDEX('Исходник'!$1:$626,MATCH($A708,'Исходник'!$T:$T,0),MATCH(U$1,'Исходник'!$1:$1,0)))</f>
        <v/>
      </c>
      <c r="V708" s="27" t="str">
        <f t="shared" si="9"/>
        <v/>
      </c>
      <c r="W708" s="1" t="str">
        <f t="array" ref="W708">IFERROR(INDEX('Исходник'!$1:$626,MATCH($A708,'Исходник'!$T:$T,0),MATCH(W$1,'Исходник'!$1:$1,0)))</f>
        <v/>
      </c>
      <c r="X708" s="28">
        <f t="shared" si="10"/>
        <v>0</v>
      </c>
      <c r="Y708" s="1" t="str">
        <f t="array" ref="Y708">IFERROR(INDEX('Исходник'!$1:$626,MATCH($A708,'Исходник'!$T:$T,0),MATCH(Y$1,'Исходник'!$1:$1,0)))</f>
        <v/>
      </c>
      <c r="Z708" s="27">
        <f t="shared" si="11"/>
        <v>0</v>
      </c>
      <c r="AA708" s="27" t="str">
        <f t="shared" si="12"/>
        <v/>
      </c>
      <c r="AB708" s="1" t="str">
        <f t="array" ref="AB708">IFERROR(INDEX('Исходник'!$1:$626,MATCH($A708,'Исходник'!$T:$T,0),MATCH(AB$1,'Исходник'!$1:$1,0)))</f>
        <v/>
      </c>
      <c r="AC708" s="1" t="str">
        <f t="array" ref="AC708">IFERROR(INDEX('Исходник'!$1:$626,MATCH($A708,'Исходник'!$T:$T,0),MATCH(AC$1,'Исходник'!$1:$1,0)))</f>
        <v/>
      </c>
      <c r="AD708" s="27" t="str">
        <f t="shared" si="13"/>
        <v/>
      </c>
      <c r="AE708" s="1" t="str">
        <f t="array" ref="AE708">IFERROR(INDEX('Исходник'!$1:$626,MATCH($A708,'Исходник'!$T:$T,0),MATCH(AE$1,'Исходник'!$1:$1,0)))</f>
        <v/>
      </c>
      <c r="AF708" s="1" t="str">
        <f t="array" ref="AF708">IFERROR(INDEX('Исходник'!$1:$626,MATCH($A708,'Исходник'!$T:$T,0),MATCH(AF$1,'Исходник'!$1:$1,0)))</f>
        <v/>
      </c>
      <c r="AG708" s="27" t="str">
        <f t="shared" si="14"/>
        <v/>
      </c>
      <c r="AH708" s="1" t="str">
        <f t="array" ref="AH708">IFERROR(INDEX('Исходник'!$1:$626,MATCH($A708,'Исходник'!$T:$T,0),MATCH(AH$1,'Исходник'!$1:$1,0)))</f>
        <v/>
      </c>
      <c r="AI708" s="1" t="str">
        <f t="array" ref="AI708">IFERROR(INDEX('Исходник'!$1:$626,MATCH($A708,'Исходник'!$T:$T,0),MATCH(AI$1,'Исходник'!$1:$1,0)))</f>
        <v/>
      </c>
      <c r="AJ708" s="18">
        <f t="shared" si="15"/>
        <v>0</v>
      </c>
    </row>
    <row r="709" ht="15.75" customHeight="1">
      <c r="A709" s="27"/>
      <c r="B709" s="1" t="str">
        <f t="array" ref="B709">IFERROR(INDEX('Исходник'!$1:$626,MATCH($A709,'Исходник'!$T:$T,0),MATCH(B$1,'Исходник'!$1:$1,0)))</f>
        <v/>
      </c>
      <c r="C709" s="1" t="str">
        <f t="array" ref="C709">IFERROR(INDEX('Исходник'!$1:$626,MATCH($A709,'Исходник'!$T:$T,0),MATCH(C$1,'Исходник'!$1:$1,0)))</f>
        <v/>
      </c>
      <c r="D709" s="1" t="str">
        <f t="array" ref="D709">IFERROR(INDEX('Исходник'!$1:$626,MATCH($A709,'Исходник'!$T:$T,0),MATCH(D$1,'Исходник'!$1:$1,0)))</f>
        <v/>
      </c>
      <c r="E709" s="1" t="str">
        <f t="array" ref="E709">IFERROR(INDEX('Исходник'!$1:$626,MATCH($A709,'Исходник'!$T:$T,0),MATCH(E$1,'Исходник'!$1:$1,0)))</f>
        <v/>
      </c>
      <c r="F709" s="1" t="str">
        <f t="array" ref="F709">IFERROR(INDEX('Исходник'!$1:$626,MATCH($A709,'Исходник'!$T:$T,0),MATCH(F$1,'Исходник'!$1:$1,0)))</f>
        <v/>
      </c>
      <c r="G709" s="1" t="str">
        <f t="array" ref="G709">IFERROR(INDEX('Исходник'!$1:$626,MATCH($A709,'Исходник'!$T:$T,0),MATCH(G$1,'Исходник'!$1:$1,0)))</f>
        <v/>
      </c>
      <c r="H709" s="27">
        <f t="shared" si="1"/>
        <v>0</v>
      </c>
      <c r="I709" s="27" t="str">
        <f t="shared" si="2"/>
        <v/>
      </c>
      <c r="J709" s="1" t="str">
        <f t="array" ref="J709">IFERROR(INDEX('Исходник'!$1:$626,MATCH($A709,'Исходник'!$T:$T,0),MATCH(J$1,'Исходник'!$1:$1,0)))</f>
        <v/>
      </c>
      <c r="K709" s="27" t="str">
        <f t="shared" si="3"/>
        <v/>
      </c>
      <c r="L709" s="1" t="str">
        <f t="array" ref="L709">IFERROR(INDEX('Исходник'!$1:$626,MATCH($A709,'Исходник'!$T:$T,0),MATCH(L$1,'Исходник'!$1:$1,0)))</f>
        <v/>
      </c>
      <c r="M709" s="28">
        <f t="shared" si="4"/>
        <v>0</v>
      </c>
      <c r="N709" s="1" t="str">
        <f t="array" ref="N709">IFERROR(INDEX('Исходник'!$1:$626,MATCH($A709,'Исходник'!$T:$T,0),MATCH(N$1,'Исходник'!$1:$1,0)))</f>
        <v/>
      </c>
      <c r="O709" s="27">
        <f t="shared" si="5"/>
        <v>0</v>
      </c>
      <c r="P709" s="27" t="str">
        <f t="shared" si="6"/>
        <v/>
      </c>
      <c r="Q709" s="1" t="str">
        <f t="array" ref="Q709">IFERROR(INDEX('Исходник'!$1:$626,MATCH($A709,'Исходник'!$T:$T,0),MATCH(Q$1,'Исходник'!$1:$1,0)))</f>
        <v/>
      </c>
      <c r="R709" s="1" t="str">
        <f t="array" ref="R709">IFERROR(INDEX('Исходник'!$1:$626,MATCH($A709,'Исходник'!$T:$T,0),MATCH(R$1,'Исходник'!$1:$1,0)))</f>
        <v/>
      </c>
      <c r="S709" s="27">
        <f t="shared" si="7"/>
        <v>0</v>
      </c>
      <c r="T709" s="27" t="str">
        <f t="shared" si="8"/>
        <v/>
      </c>
      <c r="U709" s="1" t="str">
        <f t="array" ref="U709">IFERROR(INDEX('Исходник'!$1:$626,MATCH($A709,'Исходник'!$T:$T,0),MATCH(U$1,'Исходник'!$1:$1,0)))</f>
        <v/>
      </c>
      <c r="V709" s="27" t="str">
        <f t="shared" si="9"/>
        <v/>
      </c>
      <c r="W709" s="1" t="str">
        <f t="array" ref="W709">IFERROR(INDEX('Исходник'!$1:$626,MATCH($A709,'Исходник'!$T:$T,0),MATCH(W$1,'Исходник'!$1:$1,0)))</f>
        <v/>
      </c>
      <c r="X709" s="28">
        <f t="shared" si="10"/>
        <v>0</v>
      </c>
      <c r="Y709" s="1" t="str">
        <f t="array" ref="Y709">IFERROR(INDEX('Исходник'!$1:$626,MATCH($A709,'Исходник'!$T:$T,0),MATCH(Y$1,'Исходник'!$1:$1,0)))</f>
        <v/>
      </c>
      <c r="Z709" s="27">
        <f t="shared" si="11"/>
        <v>0</v>
      </c>
      <c r="AA709" s="27" t="str">
        <f t="shared" si="12"/>
        <v/>
      </c>
      <c r="AB709" s="1" t="str">
        <f t="array" ref="AB709">IFERROR(INDEX('Исходник'!$1:$626,MATCH($A709,'Исходник'!$T:$T,0),MATCH(AB$1,'Исходник'!$1:$1,0)))</f>
        <v/>
      </c>
      <c r="AC709" s="1" t="str">
        <f t="array" ref="AC709">IFERROR(INDEX('Исходник'!$1:$626,MATCH($A709,'Исходник'!$T:$T,0),MATCH(AC$1,'Исходник'!$1:$1,0)))</f>
        <v/>
      </c>
      <c r="AD709" s="27" t="str">
        <f t="shared" si="13"/>
        <v/>
      </c>
      <c r="AE709" s="1" t="str">
        <f t="array" ref="AE709">IFERROR(INDEX('Исходник'!$1:$626,MATCH($A709,'Исходник'!$T:$T,0),MATCH(AE$1,'Исходник'!$1:$1,0)))</f>
        <v/>
      </c>
      <c r="AF709" s="1" t="str">
        <f t="array" ref="AF709">IFERROR(INDEX('Исходник'!$1:$626,MATCH($A709,'Исходник'!$T:$T,0),MATCH(AF$1,'Исходник'!$1:$1,0)))</f>
        <v/>
      </c>
      <c r="AG709" s="27" t="str">
        <f t="shared" si="14"/>
        <v/>
      </c>
      <c r="AH709" s="1" t="str">
        <f t="array" ref="AH709">IFERROR(INDEX('Исходник'!$1:$626,MATCH($A709,'Исходник'!$T:$T,0),MATCH(AH$1,'Исходник'!$1:$1,0)))</f>
        <v/>
      </c>
      <c r="AI709" s="1" t="str">
        <f t="array" ref="AI709">IFERROR(INDEX('Исходник'!$1:$626,MATCH($A709,'Исходник'!$T:$T,0),MATCH(AI$1,'Исходник'!$1:$1,0)))</f>
        <v/>
      </c>
      <c r="AJ709" s="18">
        <f t="shared" si="15"/>
        <v>0</v>
      </c>
    </row>
    <row r="710" ht="15.75" customHeight="1">
      <c r="A710" s="27"/>
      <c r="B710" s="1" t="str">
        <f t="array" ref="B710">IFERROR(INDEX('Исходник'!$1:$626,MATCH($A710,'Исходник'!$T:$T,0),MATCH(B$1,'Исходник'!$1:$1,0)))</f>
        <v/>
      </c>
      <c r="C710" s="1" t="str">
        <f t="array" ref="C710">IFERROR(INDEX('Исходник'!$1:$626,MATCH($A710,'Исходник'!$T:$T,0),MATCH(C$1,'Исходник'!$1:$1,0)))</f>
        <v/>
      </c>
      <c r="D710" s="1" t="str">
        <f t="array" ref="D710">IFERROR(INDEX('Исходник'!$1:$626,MATCH($A710,'Исходник'!$T:$T,0),MATCH(D$1,'Исходник'!$1:$1,0)))</f>
        <v/>
      </c>
      <c r="E710" s="1" t="str">
        <f t="array" ref="E710">IFERROR(INDEX('Исходник'!$1:$626,MATCH($A710,'Исходник'!$T:$T,0),MATCH(E$1,'Исходник'!$1:$1,0)))</f>
        <v/>
      </c>
      <c r="F710" s="1" t="str">
        <f t="array" ref="F710">IFERROR(INDEX('Исходник'!$1:$626,MATCH($A710,'Исходник'!$T:$T,0),MATCH(F$1,'Исходник'!$1:$1,0)))</f>
        <v/>
      </c>
      <c r="G710" s="1" t="str">
        <f t="array" ref="G710">IFERROR(INDEX('Исходник'!$1:$626,MATCH($A710,'Исходник'!$T:$T,0),MATCH(G$1,'Исходник'!$1:$1,0)))</f>
        <v/>
      </c>
      <c r="H710" s="27">
        <f t="shared" si="1"/>
        <v>0</v>
      </c>
      <c r="I710" s="27" t="str">
        <f t="shared" si="2"/>
        <v/>
      </c>
      <c r="J710" s="1" t="str">
        <f t="array" ref="J710">IFERROR(INDEX('Исходник'!$1:$626,MATCH($A710,'Исходник'!$T:$T,0),MATCH(J$1,'Исходник'!$1:$1,0)))</f>
        <v/>
      </c>
      <c r="K710" s="27" t="str">
        <f t="shared" si="3"/>
        <v/>
      </c>
      <c r="L710" s="1" t="str">
        <f t="array" ref="L710">IFERROR(INDEX('Исходник'!$1:$626,MATCH($A710,'Исходник'!$T:$T,0),MATCH(L$1,'Исходник'!$1:$1,0)))</f>
        <v/>
      </c>
      <c r="M710" s="28">
        <f t="shared" si="4"/>
        <v>0</v>
      </c>
      <c r="N710" s="1" t="str">
        <f t="array" ref="N710">IFERROR(INDEX('Исходник'!$1:$626,MATCH($A710,'Исходник'!$T:$T,0),MATCH(N$1,'Исходник'!$1:$1,0)))</f>
        <v/>
      </c>
      <c r="O710" s="27">
        <f t="shared" si="5"/>
        <v>0</v>
      </c>
      <c r="P710" s="27" t="str">
        <f t="shared" si="6"/>
        <v/>
      </c>
      <c r="Q710" s="1" t="str">
        <f t="array" ref="Q710">IFERROR(INDEX('Исходник'!$1:$626,MATCH($A710,'Исходник'!$T:$T,0),MATCH(Q$1,'Исходник'!$1:$1,0)))</f>
        <v/>
      </c>
      <c r="R710" s="1" t="str">
        <f t="array" ref="R710">IFERROR(INDEX('Исходник'!$1:$626,MATCH($A710,'Исходник'!$T:$T,0),MATCH(R$1,'Исходник'!$1:$1,0)))</f>
        <v/>
      </c>
      <c r="S710" s="27">
        <f t="shared" si="7"/>
        <v>0</v>
      </c>
      <c r="T710" s="27" t="str">
        <f t="shared" si="8"/>
        <v/>
      </c>
      <c r="U710" s="1" t="str">
        <f t="array" ref="U710">IFERROR(INDEX('Исходник'!$1:$626,MATCH($A710,'Исходник'!$T:$T,0),MATCH(U$1,'Исходник'!$1:$1,0)))</f>
        <v/>
      </c>
      <c r="V710" s="27" t="str">
        <f t="shared" si="9"/>
        <v/>
      </c>
      <c r="W710" s="1" t="str">
        <f t="array" ref="W710">IFERROR(INDEX('Исходник'!$1:$626,MATCH($A710,'Исходник'!$T:$T,0),MATCH(W$1,'Исходник'!$1:$1,0)))</f>
        <v/>
      </c>
      <c r="X710" s="28">
        <f t="shared" si="10"/>
        <v>0</v>
      </c>
      <c r="Y710" s="1" t="str">
        <f t="array" ref="Y710">IFERROR(INDEX('Исходник'!$1:$626,MATCH($A710,'Исходник'!$T:$T,0),MATCH(Y$1,'Исходник'!$1:$1,0)))</f>
        <v/>
      </c>
      <c r="Z710" s="27">
        <f t="shared" si="11"/>
        <v>0</v>
      </c>
      <c r="AA710" s="27" t="str">
        <f t="shared" si="12"/>
        <v/>
      </c>
      <c r="AB710" s="1" t="str">
        <f t="array" ref="AB710">IFERROR(INDEX('Исходник'!$1:$626,MATCH($A710,'Исходник'!$T:$T,0),MATCH(AB$1,'Исходник'!$1:$1,0)))</f>
        <v/>
      </c>
      <c r="AC710" s="1" t="str">
        <f t="array" ref="AC710">IFERROR(INDEX('Исходник'!$1:$626,MATCH($A710,'Исходник'!$T:$T,0),MATCH(AC$1,'Исходник'!$1:$1,0)))</f>
        <v/>
      </c>
      <c r="AD710" s="27" t="str">
        <f t="shared" si="13"/>
        <v/>
      </c>
      <c r="AE710" s="1" t="str">
        <f t="array" ref="AE710">IFERROR(INDEX('Исходник'!$1:$626,MATCH($A710,'Исходник'!$T:$T,0),MATCH(AE$1,'Исходник'!$1:$1,0)))</f>
        <v/>
      </c>
      <c r="AF710" s="1" t="str">
        <f t="array" ref="AF710">IFERROR(INDEX('Исходник'!$1:$626,MATCH($A710,'Исходник'!$T:$T,0),MATCH(AF$1,'Исходник'!$1:$1,0)))</f>
        <v/>
      </c>
      <c r="AG710" s="27" t="str">
        <f t="shared" si="14"/>
        <v/>
      </c>
      <c r="AH710" s="1" t="str">
        <f t="array" ref="AH710">IFERROR(INDEX('Исходник'!$1:$626,MATCH($A710,'Исходник'!$T:$T,0),MATCH(AH$1,'Исходник'!$1:$1,0)))</f>
        <v/>
      </c>
      <c r="AI710" s="1" t="str">
        <f t="array" ref="AI710">IFERROR(INDEX('Исходник'!$1:$626,MATCH($A710,'Исходник'!$T:$T,0),MATCH(AI$1,'Исходник'!$1:$1,0)))</f>
        <v/>
      </c>
      <c r="AJ710" s="18">
        <f t="shared" si="15"/>
        <v>0</v>
      </c>
    </row>
    <row r="711" ht="15.75" customHeight="1">
      <c r="A711" s="27"/>
      <c r="B711" s="1" t="str">
        <f t="array" ref="B711">IFERROR(INDEX('Исходник'!$1:$626,MATCH($A711,'Исходник'!$T:$T,0),MATCH(B$1,'Исходник'!$1:$1,0)))</f>
        <v/>
      </c>
      <c r="C711" s="1" t="str">
        <f t="array" ref="C711">IFERROR(INDEX('Исходник'!$1:$626,MATCH($A711,'Исходник'!$T:$T,0),MATCH(C$1,'Исходник'!$1:$1,0)))</f>
        <v/>
      </c>
      <c r="D711" s="1" t="str">
        <f t="array" ref="D711">IFERROR(INDEX('Исходник'!$1:$626,MATCH($A711,'Исходник'!$T:$T,0),MATCH(D$1,'Исходник'!$1:$1,0)))</f>
        <v/>
      </c>
      <c r="E711" s="1" t="str">
        <f t="array" ref="E711">IFERROR(INDEX('Исходник'!$1:$626,MATCH($A711,'Исходник'!$T:$T,0),MATCH(E$1,'Исходник'!$1:$1,0)))</f>
        <v/>
      </c>
      <c r="F711" s="1" t="str">
        <f t="array" ref="F711">IFERROR(INDEX('Исходник'!$1:$626,MATCH($A711,'Исходник'!$T:$T,0),MATCH(F$1,'Исходник'!$1:$1,0)))</f>
        <v/>
      </c>
      <c r="G711" s="1" t="str">
        <f t="array" ref="G711">IFERROR(INDEX('Исходник'!$1:$626,MATCH($A711,'Исходник'!$T:$T,0),MATCH(G$1,'Исходник'!$1:$1,0)))</f>
        <v/>
      </c>
      <c r="H711" s="27">
        <f t="shared" si="1"/>
        <v>0</v>
      </c>
      <c r="I711" s="27" t="str">
        <f t="shared" si="2"/>
        <v/>
      </c>
      <c r="J711" s="1" t="str">
        <f t="array" ref="J711">IFERROR(INDEX('Исходник'!$1:$626,MATCH($A711,'Исходник'!$T:$T,0),MATCH(J$1,'Исходник'!$1:$1,0)))</f>
        <v/>
      </c>
      <c r="K711" s="27" t="str">
        <f t="shared" si="3"/>
        <v/>
      </c>
      <c r="L711" s="1" t="str">
        <f t="array" ref="L711">IFERROR(INDEX('Исходник'!$1:$626,MATCH($A711,'Исходник'!$T:$T,0),MATCH(L$1,'Исходник'!$1:$1,0)))</f>
        <v/>
      </c>
      <c r="M711" s="28">
        <f t="shared" si="4"/>
        <v>0</v>
      </c>
      <c r="N711" s="1" t="str">
        <f t="array" ref="N711">IFERROR(INDEX('Исходник'!$1:$626,MATCH($A711,'Исходник'!$T:$T,0),MATCH(N$1,'Исходник'!$1:$1,0)))</f>
        <v/>
      </c>
      <c r="O711" s="27">
        <f t="shared" si="5"/>
        <v>0</v>
      </c>
      <c r="P711" s="27" t="str">
        <f t="shared" si="6"/>
        <v/>
      </c>
      <c r="Q711" s="1" t="str">
        <f t="array" ref="Q711">IFERROR(INDEX('Исходник'!$1:$626,MATCH($A711,'Исходник'!$T:$T,0),MATCH(Q$1,'Исходник'!$1:$1,0)))</f>
        <v/>
      </c>
      <c r="R711" s="1" t="str">
        <f t="array" ref="R711">IFERROR(INDEX('Исходник'!$1:$626,MATCH($A711,'Исходник'!$T:$T,0),MATCH(R$1,'Исходник'!$1:$1,0)))</f>
        <v/>
      </c>
      <c r="S711" s="27">
        <f t="shared" si="7"/>
        <v>0</v>
      </c>
      <c r="T711" s="27" t="str">
        <f t="shared" si="8"/>
        <v/>
      </c>
      <c r="U711" s="1" t="str">
        <f t="array" ref="U711">IFERROR(INDEX('Исходник'!$1:$626,MATCH($A711,'Исходник'!$T:$T,0),MATCH(U$1,'Исходник'!$1:$1,0)))</f>
        <v/>
      </c>
      <c r="V711" s="27" t="str">
        <f t="shared" si="9"/>
        <v/>
      </c>
      <c r="W711" s="1" t="str">
        <f t="array" ref="W711">IFERROR(INDEX('Исходник'!$1:$626,MATCH($A711,'Исходник'!$T:$T,0),MATCH(W$1,'Исходник'!$1:$1,0)))</f>
        <v/>
      </c>
      <c r="X711" s="28">
        <f t="shared" si="10"/>
        <v>0</v>
      </c>
      <c r="Y711" s="1" t="str">
        <f t="array" ref="Y711">IFERROR(INDEX('Исходник'!$1:$626,MATCH($A711,'Исходник'!$T:$T,0),MATCH(Y$1,'Исходник'!$1:$1,0)))</f>
        <v/>
      </c>
      <c r="Z711" s="27">
        <f t="shared" si="11"/>
        <v>0</v>
      </c>
      <c r="AA711" s="27" t="str">
        <f t="shared" si="12"/>
        <v/>
      </c>
      <c r="AB711" s="1" t="str">
        <f t="array" ref="AB711">IFERROR(INDEX('Исходник'!$1:$626,MATCH($A711,'Исходник'!$T:$T,0),MATCH(AB$1,'Исходник'!$1:$1,0)))</f>
        <v/>
      </c>
      <c r="AC711" s="1" t="str">
        <f t="array" ref="AC711">IFERROR(INDEX('Исходник'!$1:$626,MATCH($A711,'Исходник'!$T:$T,0),MATCH(AC$1,'Исходник'!$1:$1,0)))</f>
        <v/>
      </c>
      <c r="AD711" s="27" t="str">
        <f t="shared" si="13"/>
        <v/>
      </c>
      <c r="AE711" s="1" t="str">
        <f t="array" ref="AE711">IFERROR(INDEX('Исходник'!$1:$626,MATCH($A711,'Исходник'!$T:$T,0),MATCH(AE$1,'Исходник'!$1:$1,0)))</f>
        <v/>
      </c>
      <c r="AF711" s="1" t="str">
        <f t="array" ref="AF711">IFERROR(INDEX('Исходник'!$1:$626,MATCH($A711,'Исходник'!$T:$T,0),MATCH(AF$1,'Исходник'!$1:$1,0)))</f>
        <v/>
      </c>
      <c r="AG711" s="27" t="str">
        <f t="shared" si="14"/>
        <v/>
      </c>
      <c r="AH711" s="1" t="str">
        <f t="array" ref="AH711">IFERROR(INDEX('Исходник'!$1:$626,MATCH($A711,'Исходник'!$T:$T,0),MATCH(AH$1,'Исходник'!$1:$1,0)))</f>
        <v/>
      </c>
      <c r="AI711" s="1" t="str">
        <f t="array" ref="AI711">IFERROR(INDEX('Исходник'!$1:$626,MATCH($A711,'Исходник'!$T:$T,0),MATCH(AI$1,'Исходник'!$1:$1,0)))</f>
        <v/>
      </c>
      <c r="AJ711" s="18">
        <f t="shared" si="15"/>
        <v>0</v>
      </c>
    </row>
    <row r="712" ht="15.75" customHeight="1">
      <c r="A712" s="27"/>
      <c r="B712" s="1" t="str">
        <f t="array" ref="B712">IFERROR(INDEX('Исходник'!$1:$626,MATCH($A712,'Исходник'!$T:$T,0),MATCH(B$1,'Исходник'!$1:$1,0)))</f>
        <v/>
      </c>
      <c r="C712" s="1" t="str">
        <f t="array" ref="C712">IFERROR(INDEX('Исходник'!$1:$626,MATCH($A712,'Исходник'!$T:$T,0),MATCH(C$1,'Исходник'!$1:$1,0)))</f>
        <v/>
      </c>
      <c r="D712" s="1" t="str">
        <f t="array" ref="D712">IFERROR(INDEX('Исходник'!$1:$626,MATCH($A712,'Исходник'!$T:$T,0),MATCH(D$1,'Исходник'!$1:$1,0)))</f>
        <v/>
      </c>
      <c r="E712" s="1" t="str">
        <f t="array" ref="E712">IFERROR(INDEX('Исходник'!$1:$626,MATCH($A712,'Исходник'!$T:$T,0),MATCH(E$1,'Исходник'!$1:$1,0)))</f>
        <v/>
      </c>
      <c r="F712" s="1" t="str">
        <f t="array" ref="F712">IFERROR(INDEX('Исходник'!$1:$626,MATCH($A712,'Исходник'!$T:$T,0),MATCH(F$1,'Исходник'!$1:$1,0)))</f>
        <v/>
      </c>
      <c r="G712" s="1" t="str">
        <f t="array" ref="G712">IFERROR(INDEX('Исходник'!$1:$626,MATCH($A712,'Исходник'!$T:$T,0),MATCH(G$1,'Исходник'!$1:$1,0)))</f>
        <v/>
      </c>
      <c r="H712" s="27">
        <f t="shared" si="1"/>
        <v>0</v>
      </c>
      <c r="I712" s="27" t="str">
        <f t="shared" si="2"/>
        <v/>
      </c>
      <c r="J712" s="1" t="str">
        <f t="array" ref="J712">IFERROR(INDEX('Исходник'!$1:$626,MATCH($A712,'Исходник'!$T:$T,0),MATCH(J$1,'Исходник'!$1:$1,0)))</f>
        <v/>
      </c>
      <c r="K712" s="27" t="str">
        <f t="shared" si="3"/>
        <v/>
      </c>
      <c r="L712" s="1" t="str">
        <f t="array" ref="L712">IFERROR(INDEX('Исходник'!$1:$626,MATCH($A712,'Исходник'!$T:$T,0),MATCH(L$1,'Исходник'!$1:$1,0)))</f>
        <v/>
      </c>
      <c r="M712" s="28">
        <f t="shared" si="4"/>
        <v>0</v>
      </c>
      <c r="N712" s="1" t="str">
        <f t="array" ref="N712">IFERROR(INDEX('Исходник'!$1:$626,MATCH($A712,'Исходник'!$T:$T,0),MATCH(N$1,'Исходник'!$1:$1,0)))</f>
        <v/>
      </c>
      <c r="O712" s="27">
        <f t="shared" si="5"/>
        <v>0</v>
      </c>
      <c r="P712" s="27" t="str">
        <f t="shared" si="6"/>
        <v/>
      </c>
      <c r="Q712" s="1" t="str">
        <f t="array" ref="Q712">IFERROR(INDEX('Исходник'!$1:$626,MATCH($A712,'Исходник'!$T:$T,0),MATCH(Q$1,'Исходник'!$1:$1,0)))</f>
        <v/>
      </c>
      <c r="R712" s="1" t="str">
        <f t="array" ref="R712">IFERROR(INDEX('Исходник'!$1:$626,MATCH($A712,'Исходник'!$T:$T,0),MATCH(R$1,'Исходник'!$1:$1,0)))</f>
        <v/>
      </c>
      <c r="S712" s="27">
        <f t="shared" si="7"/>
        <v>0</v>
      </c>
      <c r="T712" s="27" t="str">
        <f t="shared" si="8"/>
        <v/>
      </c>
      <c r="U712" s="1" t="str">
        <f t="array" ref="U712">IFERROR(INDEX('Исходник'!$1:$626,MATCH($A712,'Исходник'!$T:$T,0),MATCH(U$1,'Исходник'!$1:$1,0)))</f>
        <v/>
      </c>
      <c r="V712" s="27" t="str">
        <f t="shared" si="9"/>
        <v/>
      </c>
      <c r="W712" s="1" t="str">
        <f t="array" ref="W712">IFERROR(INDEX('Исходник'!$1:$626,MATCH($A712,'Исходник'!$T:$T,0),MATCH(W$1,'Исходник'!$1:$1,0)))</f>
        <v/>
      </c>
      <c r="X712" s="28">
        <f t="shared" si="10"/>
        <v>0</v>
      </c>
      <c r="Y712" s="1" t="str">
        <f t="array" ref="Y712">IFERROR(INDEX('Исходник'!$1:$626,MATCH($A712,'Исходник'!$T:$T,0),MATCH(Y$1,'Исходник'!$1:$1,0)))</f>
        <v/>
      </c>
      <c r="Z712" s="27">
        <f t="shared" si="11"/>
        <v>0</v>
      </c>
      <c r="AA712" s="27" t="str">
        <f t="shared" si="12"/>
        <v/>
      </c>
      <c r="AB712" s="1" t="str">
        <f t="array" ref="AB712">IFERROR(INDEX('Исходник'!$1:$626,MATCH($A712,'Исходник'!$T:$T,0),MATCH(AB$1,'Исходник'!$1:$1,0)))</f>
        <v/>
      </c>
      <c r="AC712" s="1" t="str">
        <f t="array" ref="AC712">IFERROR(INDEX('Исходник'!$1:$626,MATCH($A712,'Исходник'!$T:$T,0),MATCH(AC$1,'Исходник'!$1:$1,0)))</f>
        <v/>
      </c>
      <c r="AD712" s="27" t="str">
        <f t="shared" si="13"/>
        <v/>
      </c>
      <c r="AE712" s="1" t="str">
        <f t="array" ref="AE712">IFERROR(INDEX('Исходник'!$1:$626,MATCH($A712,'Исходник'!$T:$T,0),MATCH(AE$1,'Исходник'!$1:$1,0)))</f>
        <v/>
      </c>
      <c r="AF712" s="1" t="str">
        <f t="array" ref="AF712">IFERROR(INDEX('Исходник'!$1:$626,MATCH($A712,'Исходник'!$T:$T,0),MATCH(AF$1,'Исходник'!$1:$1,0)))</f>
        <v/>
      </c>
      <c r="AG712" s="27" t="str">
        <f t="shared" si="14"/>
        <v/>
      </c>
      <c r="AH712" s="1" t="str">
        <f t="array" ref="AH712">IFERROR(INDEX('Исходник'!$1:$626,MATCH($A712,'Исходник'!$T:$T,0),MATCH(AH$1,'Исходник'!$1:$1,0)))</f>
        <v/>
      </c>
      <c r="AI712" s="1" t="str">
        <f t="array" ref="AI712">IFERROR(INDEX('Исходник'!$1:$626,MATCH($A712,'Исходник'!$T:$T,0),MATCH(AI$1,'Исходник'!$1:$1,0)))</f>
        <v/>
      </c>
      <c r="AJ712" s="18">
        <f t="shared" si="15"/>
        <v>0</v>
      </c>
    </row>
    <row r="713" ht="15.75" customHeight="1">
      <c r="A713" s="27"/>
      <c r="B713" s="1" t="str">
        <f t="array" ref="B713">IFERROR(INDEX('Исходник'!$1:$626,MATCH($A713,'Исходник'!$T:$T,0),MATCH(B$1,'Исходник'!$1:$1,0)))</f>
        <v/>
      </c>
      <c r="C713" s="1" t="str">
        <f t="array" ref="C713">IFERROR(INDEX('Исходник'!$1:$626,MATCH($A713,'Исходник'!$T:$T,0),MATCH(C$1,'Исходник'!$1:$1,0)))</f>
        <v/>
      </c>
      <c r="D713" s="1" t="str">
        <f t="array" ref="D713">IFERROR(INDEX('Исходник'!$1:$626,MATCH($A713,'Исходник'!$T:$T,0),MATCH(D$1,'Исходник'!$1:$1,0)))</f>
        <v/>
      </c>
      <c r="E713" s="1" t="str">
        <f t="array" ref="E713">IFERROR(INDEX('Исходник'!$1:$626,MATCH($A713,'Исходник'!$T:$T,0),MATCH(E$1,'Исходник'!$1:$1,0)))</f>
        <v/>
      </c>
      <c r="F713" s="1" t="str">
        <f t="array" ref="F713">IFERROR(INDEX('Исходник'!$1:$626,MATCH($A713,'Исходник'!$T:$T,0),MATCH(F$1,'Исходник'!$1:$1,0)))</f>
        <v/>
      </c>
      <c r="G713" s="1" t="str">
        <f t="array" ref="G713">IFERROR(INDEX('Исходник'!$1:$626,MATCH($A713,'Исходник'!$T:$T,0),MATCH(G$1,'Исходник'!$1:$1,0)))</f>
        <v/>
      </c>
      <c r="H713" s="27">
        <f t="shared" si="1"/>
        <v>0</v>
      </c>
      <c r="I713" s="27" t="str">
        <f t="shared" si="2"/>
        <v/>
      </c>
      <c r="J713" s="1" t="str">
        <f t="array" ref="J713">IFERROR(INDEX('Исходник'!$1:$626,MATCH($A713,'Исходник'!$T:$T,0),MATCH(J$1,'Исходник'!$1:$1,0)))</f>
        <v/>
      </c>
      <c r="K713" s="27" t="str">
        <f t="shared" si="3"/>
        <v/>
      </c>
      <c r="L713" s="1" t="str">
        <f t="array" ref="L713">IFERROR(INDEX('Исходник'!$1:$626,MATCH($A713,'Исходник'!$T:$T,0),MATCH(L$1,'Исходник'!$1:$1,0)))</f>
        <v/>
      </c>
      <c r="M713" s="28">
        <f t="shared" si="4"/>
        <v>0</v>
      </c>
      <c r="N713" s="1" t="str">
        <f t="array" ref="N713">IFERROR(INDEX('Исходник'!$1:$626,MATCH($A713,'Исходник'!$T:$T,0),MATCH(N$1,'Исходник'!$1:$1,0)))</f>
        <v/>
      </c>
      <c r="O713" s="27">
        <f t="shared" si="5"/>
        <v>0</v>
      </c>
      <c r="P713" s="27" t="str">
        <f t="shared" si="6"/>
        <v/>
      </c>
      <c r="Q713" s="1" t="str">
        <f t="array" ref="Q713">IFERROR(INDEX('Исходник'!$1:$626,MATCH($A713,'Исходник'!$T:$T,0),MATCH(Q$1,'Исходник'!$1:$1,0)))</f>
        <v/>
      </c>
      <c r="R713" s="1" t="str">
        <f t="array" ref="R713">IFERROR(INDEX('Исходник'!$1:$626,MATCH($A713,'Исходник'!$T:$T,0),MATCH(R$1,'Исходник'!$1:$1,0)))</f>
        <v/>
      </c>
      <c r="S713" s="27">
        <f t="shared" si="7"/>
        <v>0</v>
      </c>
      <c r="T713" s="27" t="str">
        <f t="shared" si="8"/>
        <v/>
      </c>
      <c r="U713" s="1" t="str">
        <f t="array" ref="U713">IFERROR(INDEX('Исходник'!$1:$626,MATCH($A713,'Исходник'!$T:$T,0),MATCH(U$1,'Исходник'!$1:$1,0)))</f>
        <v/>
      </c>
      <c r="V713" s="27" t="str">
        <f t="shared" si="9"/>
        <v/>
      </c>
      <c r="W713" s="1" t="str">
        <f t="array" ref="W713">IFERROR(INDEX('Исходник'!$1:$626,MATCH($A713,'Исходник'!$T:$T,0),MATCH(W$1,'Исходник'!$1:$1,0)))</f>
        <v/>
      </c>
      <c r="X713" s="28">
        <f t="shared" si="10"/>
        <v>0</v>
      </c>
      <c r="Y713" s="1" t="str">
        <f t="array" ref="Y713">IFERROR(INDEX('Исходник'!$1:$626,MATCH($A713,'Исходник'!$T:$T,0),MATCH(Y$1,'Исходник'!$1:$1,0)))</f>
        <v/>
      </c>
      <c r="Z713" s="27">
        <f t="shared" si="11"/>
        <v>0</v>
      </c>
      <c r="AA713" s="27" t="str">
        <f t="shared" si="12"/>
        <v/>
      </c>
      <c r="AB713" s="1" t="str">
        <f t="array" ref="AB713">IFERROR(INDEX('Исходник'!$1:$626,MATCH($A713,'Исходник'!$T:$T,0),MATCH(AB$1,'Исходник'!$1:$1,0)))</f>
        <v/>
      </c>
      <c r="AC713" s="1" t="str">
        <f t="array" ref="AC713">IFERROR(INDEX('Исходник'!$1:$626,MATCH($A713,'Исходник'!$T:$T,0),MATCH(AC$1,'Исходник'!$1:$1,0)))</f>
        <v/>
      </c>
      <c r="AD713" s="27" t="str">
        <f t="shared" si="13"/>
        <v/>
      </c>
      <c r="AE713" s="1" t="str">
        <f t="array" ref="AE713">IFERROR(INDEX('Исходник'!$1:$626,MATCH($A713,'Исходник'!$T:$T,0),MATCH(AE$1,'Исходник'!$1:$1,0)))</f>
        <v/>
      </c>
      <c r="AF713" s="1" t="str">
        <f t="array" ref="AF713">IFERROR(INDEX('Исходник'!$1:$626,MATCH($A713,'Исходник'!$T:$T,0),MATCH(AF$1,'Исходник'!$1:$1,0)))</f>
        <v/>
      </c>
      <c r="AG713" s="27" t="str">
        <f t="shared" si="14"/>
        <v/>
      </c>
      <c r="AH713" s="1" t="str">
        <f t="array" ref="AH713">IFERROR(INDEX('Исходник'!$1:$626,MATCH($A713,'Исходник'!$T:$T,0),MATCH(AH$1,'Исходник'!$1:$1,0)))</f>
        <v/>
      </c>
      <c r="AI713" s="1" t="str">
        <f t="array" ref="AI713">IFERROR(INDEX('Исходник'!$1:$626,MATCH($A713,'Исходник'!$T:$T,0),MATCH(AI$1,'Исходник'!$1:$1,0)))</f>
        <v/>
      </c>
      <c r="AJ713" s="18">
        <f t="shared" si="15"/>
        <v>0</v>
      </c>
    </row>
    <row r="714" ht="15.75" customHeight="1">
      <c r="A714" s="27"/>
      <c r="B714" s="1" t="str">
        <f t="array" ref="B714">IFERROR(INDEX('Исходник'!$1:$626,MATCH($A714,'Исходник'!$T:$T,0),MATCH(B$1,'Исходник'!$1:$1,0)))</f>
        <v/>
      </c>
      <c r="C714" s="1" t="str">
        <f t="array" ref="C714">IFERROR(INDEX('Исходник'!$1:$626,MATCH($A714,'Исходник'!$T:$T,0),MATCH(C$1,'Исходник'!$1:$1,0)))</f>
        <v/>
      </c>
      <c r="D714" s="1" t="str">
        <f t="array" ref="D714">IFERROR(INDEX('Исходник'!$1:$626,MATCH($A714,'Исходник'!$T:$T,0),MATCH(D$1,'Исходник'!$1:$1,0)))</f>
        <v/>
      </c>
      <c r="E714" s="1" t="str">
        <f t="array" ref="E714">IFERROR(INDEX('Исходник'!$1:$626,MATCH($A714,'Исходник'!$T:$T,0),MATCH(E$1,'Исходник'!$1:$1,0)))</f>
        <v/>
      </c>
      <c r="F714" s="1" t="str">
        <f t="array" ref="F714">IFERROR(INDEX('Исходник'!$1:$626,MATCH($A714,'Исходник'!$T:$T,0),MATCH(F$1,'Исходник'!$1:$1,0)))</f>
        <v/>
      </c>
      <c r="G714" s="1" t="str">
        <f t="array" ref="G714">IFERROR(INDEX('Исходник'!$1:$626,MATCH($A714,'Исходник'!$T:$T,0),MATCH(G$1,'Исходник'!$1:$1,0)))</f>
        <v/>
      </c>
      <c r="H714" s="27">
        <f t="shared" si="1"/>
        <v>0</v>
      </c>
      <c r="I714" s="27" t="str">
        <f t="shared" si="2"/>
        <v/>
      </c>
      <c r="J714" s="1" t="str">
        <f t="array" ref="J714">IFERROR(INDEX('Исходник'!$1:$626,MATCH($A714,'Исходник'!$T:$T,0),MATCH(J$1,'Исходник'!$1:$1,0)))</f>
        <v/>
      </c>
      <c r="K714" s="27" t="str">
        <f t="shared" si="3"/>
        <v/>
      </c>
      <c r="L714" s="1" t="str">
        <f t="array" ref="L714">IFERROR(INDEX('Исходник'!$1:$626,MATCH($A714,'Исходник'!$T:$T,0),MATCH(L$1,'Исходник'!$1:$1,0)))</f>
        <v/>
      </c>
      <c r="M714" s="28">
        <f t="shared" si="4"/>
        <v>0</v>
      </c>
      <c r="N714" s="1" t="str">
        <f t="array" ref="N714">IFERROR(INDEX('Исходник'!$1:$626,MATCH($A714,'Исходник'!$T:$T,0),MATCH(N$1,'Исходник'!$1:$1,0)))</f>
        <v/>
      </c>
      <c r="O714" s="27">
        <f t="shared" si="5"/>
        <v>0</v>
      </c>
      <c r="P714" s="27" t="str">
        <f t="shared" si="6"/>
        <v/>
      </c>
      <c r="Q714" s="1" t="str">
        <f t="array" ref="Q714">IFERROR(INDEX('Исходник'!$1:$626,MATCH($A714,'Исходник'!$T:$T,0),MATCH(Q$1,'Исходник'!$1:$1,0)))</f>
        <v/>
      </c>
      <c r="R714" s="1" t="str">
        <f t="array" ref="R714">IFERROR(INDEX('Исходник'!$1:$626,MATCH($A714,'Исходник'!$T:$T,0),MATCH(R$1,'Исходник'!$1:$1,0)))</f>
        <v/>
      </c>
      <c r="S714" s="27">
        <f t="shared" si="7"/>
        <v>0</v>
      </c>
      <c r="T714" s="27" t="str">
        <f t="shared" si="8"/>
        <v/>
      </c>
      <c r="U714" s="1" t="str">
        <f t="array" ref="U714">IFERROR(INDEX('Исходник'!$1:$626,MATCH($A714,'Исходник'!$T:$T,0),MATCH(U$1,'Исходник'!$1:$1,0)))</f>
        <v/>
      </c>
      <c r="V714" s="27" t="str">
        <f t="shared" si="9"/>
        <v/>
      </c>
      <c r="W714" s="1" t="str">
        <f t="array" ref="W714">IFERROR(INDEX('Исходник'!$1:$626,MATCH($A714,'Исходник'!$T:$T,0),MATCH(W$1,'Исходник'!$1:$1,0)))</f>
        <v/>
      </c>
      <c r="X714" s="28">
        <f t="shared" si="10"/>
        <v>0</v>
      </c>
      <c r="Y714" s="1" t="str">
        <f t="array" ref="Y714">IFERROR(INDEX('Исходник'!$1:$626,MATCH($A714,'Исходник'!$T:$T,0),MATCH(Y$1,'Исходник'!$1:$1,0)))</f>
        <v/>
      </c>
      <c r="Z714" s="27">
        <f t="shared" si="11"/>
        <v>0</v>
      </c>
      <c r="AA714" s="27" t="str">
        <f t="shared" si="12"/>
        <v/>
      </c>
      <c r="AB714" s="1" t="str">
        <f t="array" ref="AB714">IFERROR(INDEX('Исходник'!$1:$626,MATCH($A714,'Исходник'!$T:$T,0),MATCH(AB$1,'Исходник'!$1:$1,0)))</f>
        <v/>
      </c>
      <c r="AC714" s="1" t="str">
        <f t="array" ref="AC714">IFERROR(INDEX('Исходник'!$1:$626,MATCH($A714,'Исходник'!$T:$T,0),MATCH(AC$1,'Исходник'!$1:$1,0)))</f>
        <v/>
      </c>
      <c r="AD714" s="27" t="str">
        <f t="shared" si="13"/>
        <v/>
      </c>
      <c r="AE714" s="1" t="str">
        <f t="array" ref="AE714">IFERROR(INDEX('Исходник'!$1:$626,MATCH($A714,'Исходник'!$T:$T,0),MATCH(AE$1,'Исходник'!$1:$1,0)))</f>
        <v/>
      </c>
      <c r="AF714" s="1" t="str">
        <f t="array" ref="AF714">IFERROR(INDEX('Исходник'!$1:$626,MATCH($A714,'Исходник'!$T:$T,0),MATCH(AF$1,'Исходник'!$1:$1,0)))</f>
        <v/>
      </c>
      <c r="AG714" s="27" t="str">
        <f t="shared" si="14"/>
        <v/>
      </c>
      <c r="AH714" s="1" t="str">
        <f t="array" ref="AH714">IFERROR(INDEX('Исходник'!$1:$626,MATCH($A714,'Исходник'!$T:$T,0),MATCH(AH$1,'Исходник'!$1:$1,0)))</f>
        <v/>
      </c>
      <c r="AI714" s="1" t="str">
        <f t="array" ref="AI714">IFERROR(INDEX('Исходник'!$1:$626,MATCH($A714,'Исходник'!$T:$T,0),MATCH(AI$1,'Исходник'!$1:$1,0)))</f>
        <v/>
      </c>
      <c r="AJ714" s="18">
        <f t="shared" si="15"/>
        <v>0</v>
      </c>
    </row>
    <row r="715" ht="15.75" customHeight="1">
      <c r="A715" s="27"/>
      <c r="B715" s="1" t="str">
        <f t="array" ref="B715">IFERROR(INDEX('Исходник'!$1:$626,MATCH($A715,'Исходник'!$T:$T,0),MATCH(B$1,'Исходник'!$1:$1,0)))</f>
        <v/>
      </c>
      <c r="C715" s="1" t="str">
        <f t="array" ref="C715">IFERROR(INDEX('Исходник'!$1:$626,MATCH($A715,'Исходник'!$T:$T,0),MATCH(C$1,'Исходник'!$1:$1,0)))</f>
        <v/>
      </c>
      <c r="D715" s="1" t="str">
        <f t="array" ref="D715">IFERROR(INDEX('Исходник'!$1:$626,MATCH($A715,'Исходник'!$T:$T,0),MATCH(D$1,'Исходник'!$1:$1,0)))</f>
        <v/>
      </c>
      <c r="E715" s="1" t="str">
        <f t="array" ref="E715">IFERROR(INDEX('Исходник'!$1:$626,MATCH($A715,'Исходник'!$T:$T,0),MATCH(E$1,'Исходник'!$1:$1,0)))</f>
        <v/>
      </c>
      <c r="F715" s="1" t="str">
        <f t="array" ref="F715">IFERROR(INDEX('Исходник'!$1:$626,MATCH($A715,'Исходник'!$T:$T,0),MATCH(F$1,'Исходник'!$1:$1,0)))</f>
        <v/>
      </c>
      <c r="G715" s="1" t="str">
        <f t="array" ref="G715">IFERROR(INDEX('Исходник'!$1:$626,MATCH($A715,'Исходник'!$T:$T,0),MATCH(G$1,'Исходник'!$1:$1,0)))</f>
        <v/>
      </c>
      <c r="H715" s="27">
        <f t="shared" si="1"/>
        <v>0</v>
      </c>
      <c r="I715" s="27" t="str">
        <f t="shared" si="2"/>
        <v/>
      </c>
      <c r="J715" s="1" t="str">
        <f t="array" ref="J715">IFERROR(INDEX('Исходник'!$1:$626,MATCH($A715,'Исходник'!$T:$T,0),MATCH(J$1,'Исходник'!$1:$1,0)))</f>
        <v/>
      </c>
      <c r="K715" s="27" t="str">
        <f t="shared" si="3"/>
        <v/>
      </c>
      <c r="L715" s="1" t="str">
        <f t="array" ref="L715">IFERROR(INDEX('Исходник'!$1:$626,MATCH($A715,'Исходник'!$T:$T,0),MATCH(L$1,'Исходник'!$1:$1,0)))</f>
        <v/>
      </c>
      <c r="M715" s="28">
        <f t="shared" si="4"/>
        <v>0</v>
      </c>
      <c r="N715" s="1" t="str">
        <f t="array" ref="N715">IFERROR(INDEX('Исходник'!$1:$626,MATCH($A715,'Исходник'!$T:$T,0),MATCH(N$1,'Исходник'!$1:$1,0)))</f>
        <v/>
      </c>
      <c r="O715" s="27">
        <f t="shared" si="5"/>
        <v>0</v>
      </c>
      <c r="P715" s="27" t="str">
        <f t="shared" si="6"/>
        <v/>
      </c>
      <c r="Q715" s="1" t="str">
        <f t="array" ref="Q715">IFERROR(INDEX('Исходник'!$1:$626,MATCH($A715,'Исходник'!$T:$T,0),MATCH(Q$1,'Исходник'!$1:$1,0)))</f>
        <v/>
      </c>
      <c r="R715" s="1" t="str">
        <f t="array" ref="R715">IFERROR(INDEX('Исходник'!$1:$626,MATCH($A715,'Исходник'!$T:$T,0),MATCH(R$1,'Исходник'!$1:$1,0)))</f>
        <v/>
      </c>
      <c r="S715" s="27">
        <f t="shared" si="7"/>
        <v>0</v>
      </c>
      <c r="T715" s="27" t="str">
        <f t="shared" si="8"/>
        <v/>
      </c>
      <c r="U715" s="1" t="str">
        <f t="array" ref="U715">IFERROR(INDEX('Исходник'!$1:$626,MATCH($A715,'Исходник'!$T:$T,0),MATCH(U$1,'Исходник'!$1:$1,0)))</f>
        <v/>
      </c>
      <c r="V715" s="27" t="str">
        <f t="shared" si="9"/>
        <v/>
      </c>
      <c r="W715" s="1" t="str">
        <f t="array" ref="W715">IFERROR(INDEX('Исходник'!$1:$626,MATCH($A715,'Исходник'!$T:$T,0),MATCH(W$1,'Исходник'!$1:$1,0)))</f>
        <v/>
      </c>
      <c r="X715" s="28">
        <f t="shared" si="10"/>
        <v>0</v>
      </c>
      <c r="Y715" s="1" t="str">
        <f t="array" ref="Y715">IFERROR(INDEX('Исходник'!$1:$626,MATCH($A715,'Исходник'!$T:$T,0),MATCH(Y$1,'Исходник'!$1:$1,0)))</f>
        <v/>
      </c>
      <c r="Z715" s="27">
        <f t="shared" si="11"/>
        <v>0</v>
      </c>
      <c r="AA715" s="27" t="str">
        <f t="shared" si="12"/>
        <v/>
      </c>
      <c r="AB715" s="1" t="str">
        <f t="array" ref="AB715">IFERROR(INDEX('Исходник'!$1:$626,MATCH($A715,'Исходник'!$T:$T,0),MATCH(AB$1,'Исходник'!$1:$1,0)))</f>
        <v/>
      </c>
      <c r="AC715" s="1" t="str">
        <f t="array" ref="AC715">IFERROR(INDEX('Исходник'!$1:$626,MATCH($A715,'Исходник'!$T:$T,0),MATCH(AC$1,'Исходник'!$1:$1,0)))</f>
        <v/>
      </c>
      <c r="AD715" s="27" t="str">
        <f t="shared" si="13"/>
        <v/>
      </c>
      <c r="AE715" s="1" t="str">
        <f t="array" ref="AE715">IFERROR(INDEX('Исходник'!$1:$626,MATCH($A715,'Исходник'!$T:$T,0),MATCH(AE$1,'Исходник'!$1:$1,0)))</f>
        <v/>
      </c>
      <c r="AF715" s="1" t="str">
        <f t="array" ref="AF715">IFERROR(INDEX('Исходник'!$1:$626,MATCH($A715,'Исходник'!$T:$T,0),MATCH(AF$1,'Исходник'!$1:$1,0)))</f>
        <v/>
      </c>
      <c r="AG715" s="27" t="str">
        <f t="shared" si="14"/>
        <v/>
      </c>
      <c r="AH715" s="1" t="str">
        <f t="array" ref="AH715">IFERROR(INDEX('Исходник'!$1:$626,MATCH($A715,'Исходник'!$T:$T,0),MATCH(AH$1,'Исходник'!$1:$1,0)))</f>
        <v/>
      </c>
      <c r="AI715" s="1" t="str">
        <f t="array" ref="AI715">IFERROR(INDEX('Исходник'!$1:$626,MATCH($A715,'Исходник'!$T:$T,0),MATCH(AI$1,'Исходник'!$1:$1,0)))</f>
        <v/>
      </c>
      <c r="AJ715" s="18">
        <f t="shared" si="15"/>
        <v>0</v>
      </c>
    </row>
    <row r="716" ht="15.75" customHeight="1">
      <c r="A716" s="27"/>
      <c r="B716" s="1" t="str">
        <f t="array" ref="B716">IFERROR(INDEX('Исходник'!$1:$626,MATCH($A716,'Исходник'!$T:$T,0),MATCH(B$1,'Исходник'!$1:$1,0)))</f>
        <v/>
      </c>
      <c r="C716" s="1" t="str">
        <f t="array" ref="C716">IFERROR(INDEX('Исходник'!$1:$626,MATCH($A716,'Исходник'!$T:$T,0),MATCH(C$1,'Исходник'!$1:$1,0)))</f>
        <v/>
      </c>
      <c r="D716" s="1" t="str">
        <f t="array" ref="D716">IFERROR(INDEX('Исходник'!$1:$626,MATCH($A716,'Исходник'!$T:$T,0),MATCH(D$1,'Исходник'!$1:$1,0)))</f>
        <v/>
      </c>
      <c r="E716" s="1" t="str">
        <f t="array" ref="E716">IFERROR(INDEX('Исходник'!$1:$626,MATCH($A716,'Исходник'!$T:$T,0),MATCH(E$1,'Исходник'!$1:$1,0)))</f>
        <v/>
      </c>
      <c r="F716" s="1" t="str">
        <f t="array" ref="F716">IFERROR(INDEX('Исходник'!$1:$626,MATCH($A716,'Исходник'!$T:$T,0),MATCH(F$1,'Исходник'!$1:$1,0)))</f>
        <v/>
      </c>
      <c r="G716" s="1" t="str">
        <f t="array" ref="G716">IFERROR(INDEX('Исходник'!$1:$626,MATCH($A716,'Исходник'!$T:$T,0),MATCH(G$1,'Исходник'!$1:$1,0)))</f>
        <v/>
      </c>
      <c r="H716" s="27">
        <f t="shared" si="1"/>
        <v>0</v>
      </c>
      <c r="I716" s="27" t="str">
        <f t="shared" si="2"/>
        <v/>
      </c>
      <c r="J716" s="1" t="str">
        <f t="array" ref="J716">IFERROR(INDEX('Исходник'!$1:$626,MATCH($A716,'Исходник'!$T:$T,0),MATCH(J$1,'Исходник'!$1:$1,0)))</f>
        <v/>
      </c>
      <c r="K716" s="27" t="str">
        <f t="shared" si="3"/>
        <v/>
      </c>
      <c r="L716" s="1" t="str">
        <f t="array" ref="L716">IFERROR(INDEX('Исходник'!$1:$626,MATCH($A716,'Исходник'!$T:$T,0),MATCH(L$1,'Исходник'!$1:$1,0)))</f>
        <v/>
      </c>
      <c r="M716" s="28">
        <f t="shared" si="4"/>
        <v>0</v>
      </c>
      <c r="N716" s="1" t="str">
        <f t="array" ref="N716">IFERROR(INDEX('Исходник'!$1:$626,MATCH($A716,'Исходник'!$T:$T,0),MATCH(N$1,'Исходник'!$1:$1,0)))</f>
        <v/>
      </c>
      <c r="O716" s="27">
        <f t="shared" si="5"/>
        <v>0</v>
      </c>
      <c r="P716" s="27" t="str">
        <f t="shared" si="6"/>
        <v/>
      </c>
      <c r="Q716" s="1" t="str">
        <f t="array" ref="Q716">IFERROR(INDEX('Исходник'!$1:$626,MATCH($A716,'Исходник'!$T:$T,0),MATCH(Q$1,'Исходник'!$1:$1,0)))</f>
        <v/>
      </c>
      <c r="R716" s="1" t="str">
        <f t="array" ref="R716">IFERROR(INDEX('Исходник'!$1:$626,MATCH($A716,'Исходник'!$T:$T,0),MATCH(R$1,'Исходник'!$1:$1,0)))</f>
        <v/>
      </c>
      <c r="S716" s="27">
        <f t="shared" si="7"/>
        <v>0</v>
      </c>
      <c r="T716" s="27" t="str">
        <f t="shared" si="8"/>
        <v/>
      </c>
      <c r="U716" s="1" t="str">
        <f t="array" ref="U716">IFERROR(INDEX('Исходник'!$1:$626,MATCH($A716,'Исходник'!$T:$T,0),MATCH(U$1,'Исходник'!$1:$1,0)))</f>
        <v/>
      </c>
      <c r="V716" s="27" t="str">
        <f t="shared" si="9"/>
        <v/>
      </c>
      <c r="W716" s="1" t="str">
        <f t="array" ref="W716">IFERROR(INDEX('Исходник'!$1:$626,MATCH($A716,'Исходник'!$T:$T,0),MATCH(W$1,'Исходник'!$1:$1,0)))</f>
        <v/>
      </c>
      <c r="X716" s="28">
        <f t="shared" si="10"/>
        <v>0</v>
      </c>
      <c r="Y716" s="1" t="str">
        <f t="array" ref="Y716">IFERROR(INDEX('Исходник'!$1:$626,MATCH($A716,'Исходник'!$T:$T,0),MATCH(Y$1,'Исходник'!$1:$1,0)))</f>
        <v/>
      </c>
      <c r="Z716" s="27">
        <f t="shared" si="11"/>
        <v>0</v>
      </c>
      <c r="AA716" s="27" t="str">
        <f t="shared" si="12"/>
        <v/>
      </c>
      <c r="AB716" s="1" t="str">
        <f t="array" ref="AB716">IFERROR(INDEX('Исходник'!$1:$626,MATCH($A716,'Исходник'!$T:$T,0),MATCH(AB$1,'Исходник'!$1:$1,0)))</f>
        <v/>
      </c>
      <c r="AC716" s="1" t="str">
        <f t="array" ref="AC716">IFERROR(INDEX('Исходник'!$1:$626,MATCH($A716,'Исходник'!$T:$T,0),MATCH(AC$1,'Исходник'!$1:$1,0)))</f>
        <v/>
      </c>
      <c r="AD716" s="27" t="str">
        <f t="shared" si="13"/>
        <v/>
      </c>
      <c r="AE716" s="1" t="str">
        <f t="array" ref="AE716">IFERROR(INDEX('Исходник'!$1:$626,MATCH($A716,'Исходник'!$T:$T,0),MATCH(AE$1,'Исходник'!$1:$1,0)))</f>
        <v/>
      </c>
      <c r="AF716" s="1" t="str">
        <f t="array" ref="AF716">IFERROR(INDEX('Исходник'!$1:$626,MATCH($A716,'Исходник'!$T:$T,0),MATCH(AF$1,'Исходник'!$1:$1,0)))</f>
        <v/>
      </c>
      <c r="AG716" s="27" t="str">
        <f t="shared" si="14"/>
        <v/>
      </c>
      <c r="AH716" s="1" t="str">
        <f t="array" ref="AH716">IFERROR(INDEX('Исходник'!$1:$626,MATCH($A716,'Исходник'!$T:$T,0),MATCH(AH$1,'Исходник'!$1:$1,0)))</f>
        <v/>
      </c>
      <c r="AI716" s="1" t="str">
        <f t="array" ref="AI716">IFERROR(INDEX('Исходник'!$1:$626,MATCH($A716,'Исходник'!$T:$T,0),MATCH(AI$1,'Исходник'!$1:$1,0)))</f>
        <v/>
      </c>
      <c r="AJ716" s="18">
        <f t="shared" si="15"/>
        <v>0</v>
      </c>
    </row>
    <row r="717" ht="15.75" customHeight="1">
      <c r="A717" s="27"/>
      <c r="B717" s="1" t="str">
        <f t="array" ref="B717">IFERROR(INDEX('Исходник'!$1:$626,MATCH($A717,'Исходник'!$T:$T,0),MATCH(B$1,'Исходник'!$1:$1,0)))</f>
        <v/>
      </c>
      <c r="C717" s="1" t="str">
        <f t="array" ref="C717">IFERROR(INDEX('Исходник'!$1:$626,MATCH($A717,'Исходник'!$T:$T,0),MATCH(C$1,'Исходник'!$1:$1,0)))</f>
        <v/>
      </c>
      <c r="D717" s="1" t="str">
        <f t="array" ref="D717">IFERROR(INDEX('Исходник'!$1:$626,MATCH($A717,'Исходник'!$T:$T,0),MATCH(D$1,'Исходник'!$1:$1,0)))</f>
        <v/>
      </c>
      <c r="E717" s="1" t="str">
        <f t="array" ref="E717">IFERROR(INDEX('Исходник'!$1:$626,MATCH($A717,'Исходник'!$T:$T,0),MATCH(E$1,'Исходник'!$1:$1,0)))</f>
        <v/>
      </c>
      <c r="F717" s="1" t="str">
        <f t="array" ref="F717">IFERROR(INDEX('Исходник'!$1:$626,MATCH($A717,'Исходник'!$T:$T,0),MATCH(F$1,'Исходник'!$1:$1,0)))</f>
        <v/>
      </c>
      <c r="G717" s="1" t="str">
        <f t="array" ref="G717">IFERROR(INDEX('Исходник'!$1:$626,MATCH($A717,'Исходник'!$T:$T,0),MATCH(G$1,'Исходник'!$1:$1,0)))</f>
        <v/>
      </c>
      <c r="H717" s="27">
        <f t="shared" si="1"/>
        <v>0</v>
      </c>
      <c r="I717" s="27" t="str">
        <f t="shared" si="2"/>
        <v/>
      </c>
      <c r="J717" s="1" t="str">
        <f t="array" ref="J717">IFERROR(INDEX('Исходник'!$1:$626,MATCH($A717,'Исходник'!$T:$T,0),MATCH(J$1,'Исходник'!$1:$1,0)))</f>
        <v/>
      </c>
      <c r="K717" s="27" t="str">
        <f t="shared" si="3"/>
        <v/>
      </c>
      <c r="L717" s="1" t="str">
        <f t="array" ref="L717">IFERROR(INDEX('Исходник'!$1:$626,MATCH($A717,'Исходник'!$T:$T,0),MATCH(L$1,'Исходник'!$1:$1,0)))</f>
        <v/>
      </c>
      <c r="M717" s="28">
        <f t="shared" si="4"/>
        <v>0</v>
      </c>
      <c r="N717" s="1" t="str">
        <f t="array" ref="N717">IFERROR(INDEX('Исходник'!$1:$626,MATCH($A717,'Исходник'!$T:$T,0),MATCH(N$1,'Исходник'!$1:$1,0)))</f>
        <v/>
      </c>
      <c r="O717" s="27">
        <f t="shared" si="5"/>
        <v>0</v>
      </c>
      <c r="P717" s="27" t="str">
        <f t="shared" si="6"/>
        <v/>
      </c>
      <c r="Q717" s="1" t="str">
        <f t="array" ref="Q717">IFERROR(INDEX('Исходник'!$1:$626,MATCH($A717,'Исходник'!$T:$T,0),MATCH(Q$1,'Исходник'!$1:$1,0)))</f>
        <v/>
      </c>
      <c r="R717" s="1" t="str">
        <f t="array" ref="R717">IFERROR(INDEX('Исходник'!$1:$626,MATCH($A717,'Исходник'!$T:$T,0),MATCH(R$1,'Исходник'!$1:$1,0)))</f>
        <v/>
      </c>
      <c r="S717" s="27">
        <f t="shared" si="7"/>
        <v>0</v>
      </c>
      <c r="T717" s="27" t="str">
        <f t="shared" si="8"/>
        <v/>
      </c>
      <c r="U717" s="1" t="str">
        <f t="array" ref="U717">IFERROR(INDEX('Исходник'!$1:$626,MATCH($A717,'Исходник'!$T:$T,0),MATCH(U$1,'Исходник'!$1:$1,0)))</f>
        <v/>
      </c>
      <c r="V717" s="27" t="str">
        <f t="shared" si="9"/>
        <v/>
      </c>
      <c r="W717" s="1" t="str">
        <f t="array" ref="W717">IFERROR(INDEX('Исходник'!$1:$626,MATCH($A717,'Исходник'!$T:$T,0),MATCH(W$1,'Исходник'!$1:$1,0)))</f>
        <v/>
      </c>
      <c r="X717" s="28">
        <f t="shared" si="10"/>
        <v>0</v>
      </c>
      <c r="Y717" s="1" t="str">
        <f t="array" ref="Y717">IFERROR(INDEX('Исходник'!$1:$626,MATCH($A717,'Исходник'!$T:$T,0),MATCH(Y$1,'Исходник'!$1:$1,0)))</f>
        <v/>
      </c>
      <c r="Z717" s="27">
        <f t="shared" si="11"/>
        <v>0</v>
      </c>
      <c r="AA717" s="27" t="str">
        <f t="shared" si="12"/>
        <v/>
      </c>
      <c r="AB717" s="1" t="str">
        <f t="array" ref="AB717">IFERROR(INDEX('Исходник'!$1:$626,MATCH($A717,'Исходник'!$T:$T,0),MATCH(AB$1,'Исходник'!$1:$1,0)))</f>
        <v/>
      </c>
      <c r="AC717" s="1" t="str">
        <f t="array" ref="AC717">IFERROR(INDEX('Исходник'!$1:$626,MATCH($A717,'Исходник'!$T:$T,0),MATCH(AC$1,'Исходник'!$1:$1,0)))</f>
        <v/>
      </c>
      <c r="AD717" s="27" t="str">
        <f t="shared" si="13"/>
        <v/>
      </c>
      <c r="AE717" s="1" t="str">
        <f t="array" ref="AE717">IFERROR(INDEX('Исходник'!$1:$626,MATCH($A717,'Исходник'!$T:$T,0),MATCH(AE$1,'Исходник'!$1:$1,0)))</f>
        <v/>
      </c>
      <c r="AF717" s="1" t="str">
        <f t="array" ref="AF717">IFERROR(INDEX('Исходник'!$1:$626,MATCH($A717,'Исходник'!$T:$T,0),MATCH(AF$1,'Исходник'!$1:$1,0)))</f>
        <v/>
      </c>
      <c r="AG717" s="27" t="str">
        <f t="shared" si="14"/>
        <v/>
      </c>
      <c r="AH717" s="1" t="str">
        <f t="array" ref="AH717">IFERROR(INDEX('Исходник'!$1:$626,MATCH($A717,'Исходник'!$T:$T,0),MATCH(AH$1,'Исходник'!$1:$1,0)))</f>
        <v/>
      </c>
      <c r="AI717" s="1" t="str">
        <f t="array" ref="AI717">IFERROR(INDEX('Исходник'!$1:$626,MATCH($A717,'Исходник'!$T:$T,0),MATCH(AI$1,'Исходник'!$1:$1,0)))</f>
        <v/>
      </c>
      <c r="AJ717" s="18">
        <f t="shared" si="15"/>
        <v>0</v>
      </c>
    </row>
    <row r="718" ht="15.75" customHeight="1">
      <c r="A718" s="27"/>
      <c r="B718" s="1" t="str">
        <f t="array" ref="B718">IFERROR(INDEX('Исходник'!$1:$626,MATCH($A718,'Исходник'!$T:$T,0),MATCH(B$1,'Исходник'!$1:$1,0)))</f>
        <v/>
      </c>
      <c r="C718" s="1" t="str">
        <f t="array" ref="C718">IFERROR(INDEX('Исходник'!$1:$626,MATCH($A718,'Исходник'!$T:$T,0),MATCH(C$1,'Исходник'!$1:$1,0)))</f>
        <v/>
      </c>
      <c r="D718" s="1" t="str">
        <f t="array" ref="D718">IFERROR(INDEX('Исходник'!$1:$626,MATCH($A718,'Исходник'!$T:$T,0),MATCH(D$1,'Исходник'!$1:$1,0)))</f>
        <v/>
      </c>
      <c r="E718" s="1" t="str">
        <f t="array" ref="E718">IFERROR(INDEX('Исходник'!$1:$626,MATCH($A718,'Исходник'!$T:$T,0),MATCH(E$1,'Исходник'!$1:$1,0)))</f>
        <v/>
      </c>
      <c r="F718" s="1" t="str">
        <f t="array" ref="F718">IFERROR(INDEX('Исходник'!$1:$626,MATCH($A718,'Исходник'!$T:$T,0),MATCH(F$1,'Исходник'!$1:$1,0)))</f>
        <v/>
      </c>
      <c r="G718" s="1" t="str">
        <f t="array" ref="G718">IFERROR(INDEX('Исходник'!$1:$626,MATCH($A718,'Исходник'!$T:$T,0),MATCH(G$1,'Исходник'!$1:$1,0)))</f>
        <v/>
      </c>
      <c r="H718" s="27">
        <f t="shared" si="1"/>
        <v>0</v>
      </c>
      <c r="I718" s="27" t="str">
        <f t="shared" si="2"/>
        <v/>
      </c>
      <c r="J718" s="1" t="str">
        <f t="array" ref="J718">IFERROR(INDEX('Исходник'!$1:$626,MATCH($A718,'Исходник'!$T:$T,0),MATCH(J$1,'Исходник'!$1:$1,0)))</f>
        <v/>
      </c>
      <c r="K718" s="27" t="str">
        <f t="shared" si="3"/>
        <v/>
      </c>
      <c r="L718" s="1" t="str">
        <f t="array" ref="L718">IFERROR(INDEX('Исходник'!$1:$626,MATCH($A718,'Исходник'!$T:$T,0),MATCH(L$1,'Исходник'!$1:$1,0)))</f>
        <v/>
      </c>
      <c r="M718" s="28">
        <f t="shared" si="4"/>
        <v>0</v>
      </c>
      <c r="N718" s="1" t="str">
        <f t="array" ref="N718">IFERROR(INDEX('Исходник'!$1:$626,MATCH($A718,'Исходник'!$T:$T,0),MATCH(N$1,'Исходник'!$1:$1,0)))</f>
        <v/>
      </c>
      <c r="O718" s="27">
        <f t="shared" si="5"/>
        <v>0</v>
      </c>
      <c r="P718" s="27" t="str">
        <f t="shared" si="6"/>
        <v/>
      </c>
      <c r="Q718" s="1" t="str">
        <f t="array" ref="Q718">IFERROR(INDEX('Исходник'!$1:$626,MATCH($A718,'Исходник'!$T:$T,0),MATCH(Q$1,'Исходник'!$1:$1,0)))</f>
        <v/>
      </c>
      <c r="R718" s="1" t="str">
        <f t="array" ref="R718">IFERROR(INDEX('Исходник'!$1:$626,MATCH($A718,'Исходник'!$T:$T,0),MATCH(R$1,'Исходник'!$1:$1,0)))</f>
        <v/>
      </c>
      <c r="S718" s="27">
        <f t="shared" si="7"/>
        <v>0</v>
      </c>
      <c r="T718" s="27" t="str">
        <f t="shared" si="8"/>
        <v/>
      </c>
      <c r="U718" s="1" t="str">
        <f t="array" ref="U718">IFERROR(INDEX('Исходник'!$1:$626,MATCH($A718,'Исходник'!$T:$T,0),MATCH(U$1,'Исходник'!$1:$1,0)))</f>
        <v/>
      </c>
      <c r="V718" s="27" t="str">
        <f t="shared" si="9"/>
        <v/>
      </c>
      <c r="W718" s="1" t="str">
        <f t="array" ref="W718">IFERROR(INDEX('Исходник'!$1:$626,MATCH($A718,'Исходник'!$T:$T,0),MATCH(W$1,'Исходник'!$1:$1,0)))</f>
        <v/>
      </c>
      <c r="X718" s="28">
        <f t="shared" si="10"/>
        <v>0</v>
      </c>
      <c r="Y718" s="1" t="str">
        <f t="array" ref="Y718">IFERROR(INDEX('Исходник'!$1:$626,MATCH($A718,'Исходник'!$T:$T,0),MATCH(Y$1,'Исходник'!$1:$1,0)))</f>
        <v/>
      </c>
      <c r="Z718" s="27">
        <f t="shared" si="11"/>
        <v>0</v>
      </c>
      <c r="AA718" s="27" t="str">
        <f t="shared" si="12"/>
        <v/>
      </c>
      <c r="AB718" s="1" t="str">
        <f t="array" ref="AB718">IFERROR(INDEX('Исходник'!$1:$626,MATCH($A718,'Исходник'!$T:$T,0),MATCH(AB$1,'Исходник'!$1:$1,0)))</f>
        <v/>
      </c>
      <c r="AC718" s="1" t="str">
        <f t="array" ref="AC718">IFERROR(INDEX('Исходник'!$1:$626,MATCH($A718,'Исходник'!$T:$T,0),MATCH(AC$1,'Исходник'!$1:$1,0)))</f>
        <v/>
      </c>
      <c r="AD718" s="27" t="str">
        <f t="shared" si="13"/>
        <v/>
      </c>
      <c r="AE718" s="1" t="str">
        <f t="array" ref="AE718">IFERROR(INDEX('Исходник'!$1:$626,MATCH($A718,'Исходник'!$T:$T,0),MATCH(AE$1,'Исходник'!$1:$1,0)))</f>
        <v/>
      </c>
      <c r="AF718" s="1" t="str">
        <f t="array" ref="AF718">IFERROR(INDEX('Исходник'!$1:$626,MATCH($A718,'Исходник'!$T:$T,0),MATCH(AF$1,'Исходник'!$1:$1,0)))</f>
        <v/>
      </c>
      <c r="AG718" s="27" t="str">
        <f t="shared" si="14"/>
        <v/>
      </c>
      <c r="AH718" s="1" t="str">
        <f t="array" ref="AH718">IFERROR(INDEX('Исходник'!$1:$626,MATCH($A718,'Исходник'!$T:$T,0),MATCH(AH$1,'Исходник'!$1:$1,0)))</f>
        <v/>
      </c>
      <c r="AI718" s="1" t="str">
        <f t="array" ref="AI718">IFERROR(INDEX('Исходник'!$1:$626,MATCH($A718,'Исходник'!$T:$T,0),MATCH(AI$1,'Исходник'!$1:$1,0)))</f>
        <v/>
      </c>
      <c r="AJ718" s="18">
        <f t="shared" si="15"/>
        <v>0</v>
      </c>
    </row>
    <row r="719" ht="15.75" customHeight="1">
      <c r="A719" s="27"/>
      <c r="B719" s="1" t="str">
        <f t="array" ref="B719">IFERROR(INDEX('Исходник'!$1:$626,MATCH($A719,'Исходник'!$T:$T,0),MATCH(B$1,'Исходник'!$1:$1,0)))</f>
        <v/>
      </c>
      <c r="C719" s="1" t="str">
        <f t="array" ref="C719">IFERROR(INDEX('Исходник'!$1:$626,MATCH($A719,'Исходник'!$T:$T,0),MATCH(C$1,'Исходник'!$1:$1,0)))</f>
        <v/>
      </c>
      <c r="D719" s="1" t="str">
        <f t="array" ref="D719">IFERROR(INDEX('Исходник'!$1:$626,MATCH($A719,'Исходник'!$T:$T,0),MATCH(D$1,'Исходник'!$1:$1,0)))</f>
        <v/>
      </c>
      <c r="E719" s="1" t="str">
        <f t="array" ref="E719">IFERROR(INDEX('Исходник'!$1:$626,MATCH($A719,'Исходник'!$T:$T,0),MATCH(E$1,'Исходник'!$1:$1,0)))</f>
        <v/>
      </c>
      <c r="F719" s="1" t="str">
        <f t="array" ref="F719">IFERROR(INDEX('Исходник'!$1:$626,MATCH($A719,'Исходник'!$T:$T,0),MATCH(F$1,'Исходник'!$1:$1,0)))</f>
        <v/>
      </c>
      <c r="G719" s="1" t="str">
        <f t="array" ref="G719">IFERROR(INDEX('Исходник'!$1:$626,MATCH($A719,'Исходник'!$T:$T,0),MATCH(G$1,'Исходник'!$1:$1,0)))</f>
        <v/>
      </c>
      <c r="H719" s="27">
        <f t="shared" si="1"/>
        <v>0</v>
      </c>
      <c r="I719" s="27" t="str">
        <f t="shared" si="2"/>
        <v/>
      </c>
      <c r="J719" s="1" t="str">
        <f t="array" ref="J719">IFERROR(INDEX('Исходник'!$1:$626,MATCH($A719,'Исходник'!$T:$T,0),MATCH(J$1,'Исходник'!$1:$1,0)))</f>
        <v/>
      </c>
      <c r="K719" s="27" t="str">
        <f t="shared" si="3"/>
        <v/>
      </c>
      <c r="L719" s="1" t="str">
        <f t="array" ref="L719">IFERROR(INDEX('Исходник'!$1:$626,MATCH($A719,'Исходник'!$T:$T,0),MATCH(L$1,'Исходник'!$1:$1,0)))</f>
        <v/>
      </c>
      <c r="M719" s="28">
        <f t="shared" si="4"/>
        <v>0</v>
      </c>
      <c r="N719" s="1" t="str">
        <f t="array" ref="N719">IFERROR(INDEX('Исходник'!$1:$626,MATCH($A719,'Исходник'!$T:$T,0),MATCH(N$1,'Исходник'!$1:$1,0)))</f>
        <v/>
      </c>
      <c r="O719" s="27">
        <f t="shared" si="5"/>
        <v>0</v>
      </c>
      <c r="P719" s="27" t="str">
        <f t="shared" si="6"/>
        <v/>
      </c>
      <c r="Q719" s="1" t="str">
        <f t="array" ref="Q719">IFERROR(INDEX('Исходник'!$1:$626,MATCH($A719,'Исходник'!$T:$T,0),MATCH(Q$1,'Исходник'!$1:$1,0)))</f>
        <v/>
      </c>
      <c r="R719" s="1" t="str">
        <f t="array" ref="R719">IFERROR(INDEX('Исходник'!$1:$626,MATCH($A719,'Исходник'!$T:$T,0),MATCH(R$1,'Исходник'!$1:$1,0)))</f>
        <v/>
      </c>
      <c r="S719" s="27">
        <f t="shared" si="7"/>
        <v>0</v>
      </c>
      <c r="T719" s="27" t="str">
        <f t="shared" si="8"/>
        <v/>
      </c>
      <c r="U719" s="1" t="str">
        <f t="array" ref="U719">IFERROR(INDEX('Исходник'!$1:$626,MATCH($A719,'Исходник'!$T:$T,0),MATCH(U$1,'Исходник'!$1:$1,0)))</f>
        <v/>
      </c>
      <c r="V719" s="27" t="str">
        <f t="shared" si="9"/>
        <v/>
      </c>
      <c r="W719" s="1" t="str">
        <f t="array" ref="W719">IFERROR(INDEX('Исходник'!$1:$626,MATCH($A719,'Исходник'!$T:$T,0),MATCH(W$1,'Исходник'!$1:$1,0)))</f>
        <v/>
      </c>
      <c r="X719" s="28">
        <f t="shared" si="10"/>
        <v>0</v>
      </c>
      <c r="Y719" s="1" t="str">
        <f t="array" ref="Y719">IFERROR(INDEX('Исходник'!$1:$626,MATCH($A719,'Исходник'!$T:$T,0),MATCH(Y$1,'Исходник'!$1:$1,0)))</f>
        <v/>
      </c>
      <c r="Z719" s="27">
        <f t="shared" si="11"/>
        <v>0</v>
      </c>
      <c r="AA719" s="27" t="str">
        <f t="shared" si="12"/>
        <v/>
      </c>
      <c r="AB719" s="1" t="str">
        <f t="array" ref="AB719">IFERROR(INDEX('Исходник'!$1:$626,MATCH($A719,'Исходник'!$T:$T,0),MATCH(AB$1,'Исходник'!$1:$1,0)))</f>
        <v/>
      </c>
      <c r="AC719" s="1" t="str">
        <f t="array" ref="AC719">IFERROR(INDEX('Исходник'!$1:$626,MATCH($A719,'Исходник'!$T:$T,0),MATCH(AC$1,'Исходник'!$1:$1,0)))</f>
        <v/>
      </c>
      <c r="AD719" s="27" t="str">
        <f t="shared" si="13"/>
        <v/>
      </c>
      <c r="AE719" s="1" t="str">
        <f t="array" ref="AE719">IFERROR(INDEX('Исходник'!$1:$626,MATCH($A719,'Исходник'!$T:$T,0),MATCH(AE$1,'Исходник'!$1:$1,0)))</f>
        <v/>
      </c>
      <c r="AF719" s="1" t="str">
        <f t="array" ref="AF719">IFERROR(INDEX('Исходник'!$1:$626,MATCH($A719,'Исходник'!$T:$T,0),MATCH(AF$1,'Исходник'!$1:$1,0)))</f>
        <v/>
      </c>
      <c r="AG719" s="27" t="str">
        <f t="shared" si="14"/>
        <v/>
      </c>
      <c r="AH719" s="1" t="str">
        <f t="array" ref="AH719">IFERROR(INDEX('Исходник'!$1:$626,MATCH($A719,'Исходник'!$T:$T,0),MATCH(AH$1,'Исходник'!$1:$1,0)))</f>
        <v/>
      </c>
      <c r="AI719" s="1" t="str">
        <f t="array" ref="AI719">IFERROR(INDEX('Исходник'!$1:$626,MATCH($A719,'Исходник'!$T:$T,0),MATCH(AI$1,'Исходник'!$1:$1,0)))</f>
        <v/>
      </c>
      <c r="AJ719" s="18">
        <f t="shared" si="15"/>
        <v>0</v>
      </c>
    </row>
    <row r="720" ht="15.75" customHeight="1">
      <c r="A720" s="27"/>
      <c r="B720" s="1" t="str">
        <f t="array" ref="B720">IFERROR(INDEX('Исходник'!$1:$626,MATCH($A720,'Исходник'!$T:$T,0),MATCH(B$1,'Исходник'!$1:$1,0)))</f>
        <v/>
      </c>
      <c r="C720" s="1" t="str">
        <f t="array" ref="C720">IFERROR(INDEX('Исходник'!$1:$626,MATCH($A720,'Исходник'!$T:$T,0),MATCH(C$1,'Исходник'!$1:$1,0)))</f>
        <v/>
      </c>
      <c r="D720" s="1" t="str">
        <f t="array" ref="D720">IFERROR(INDEX('Исходник'!$1:$626,MATCH($A720,'Исходник'!$T:$T,0),MATCH(D$1,'Исходник'!$1:$1,0)))</f>
        <v/>
      </c>
      <c r="E720" s="1" t="str">
        <f t="array" ref="E720">IFERROR(INDEX('Исходник'!$1:$626,MATCH($A720,'Исходник'!$T:$T,0),MATCH(E$1,'Исходник'!$1:$1,0)))</f>
        <v/>
      </c>
      <c r="F720" s="1" t="str">
        <f t="array" ref="F720">IFERROR(INDEX('Исходник'!$1:$626,MATCH($A720,'Исходник'!$T:$T,0),MATCH(F$1,'Исходник'!$1:$1,0)))</f>
        <v/>
      </c>
      <c r="G720" s="1" t="str">
        <f t="array" ref="G720">IFERROR(INDEX('Исходник'!$1:$626,MATCH($A720,'Исходник'!$T:$T,0),MATCH(G$1,'Исходник'!$1:$1,0)))</f>
        <v/>
      </c>
      <c r="H720" s="27">
        <f t="shared" si="1"/>
        <v>0</v>
      </c>
      <c r="I720" s="27" t="str">
        <f t="shared" si="2"/>
        <v/>
      </c>
      <c r="J720" s="1" t="str">
        <f t="array" ref="J720">IFERROR(INDEX('Исходник'!$1:$626,MATCH($A720,'Исходник'!$T:$T,0),MATCH(J$1,'Исходник'!$1:$1,0)))</f>
        <v/>
      </c>
      <c r="K720" s="27" t="str">
        <f t="shared" si="3"/>
        <v/>
      </c>
      <c r="L720" s="1" t="str">
        <f t="array" ref="L720">IFERROR(INDEX('Исходник'!$1:$626,MATCH($A720,'Исходник'!$T:$T,0),MATCH(L$1,'Исходник'!$1:$1,0)))</f>
        <v/>
      </c>
      <c r="M720" s="28">
        <f t="shared" si="4"/>
        <v>0</v>
      </c>
      <c r="N720" s="1" t="str">
        <f t="array" ref="N720">IFERROR(INDEX('Исходник'!$1:$626,MATCH($A720,'Исходник'!$T:$T,0),MATCH(N$1,'Исходник'!$1:$1,0)))</f>
        <v/>
      </c>
      <c r="O720" s="27">
        <f t="shared" si="5"/>
        <v>0</v>
      </c>
      <c r="P720" s="27" t="str">
        <f t="shared" si="6"/>
        <v/>
      </c>
      <c r="Q720" s="1" t="str">
        <f t="array" ref="Q720">IFERROR(INDEX('Исходник'!$1:$626,MATCH($A720,'Исходник'!$T:$T,0),MATCH(Q$1,'Исходник'!$1:$1,0)))</f>
        <v/>
      </c>
      <c r="R720" s="1" t="str">
        <f t="array" ref="R720">IFERROR(INDEX('Исходник'!$1:$626,MATCH($A720,'Исходник'!$T:$T,0),MATCH(R$1,'Исходник'!$1:$1,0)))</f>
        <v/>
      </c>
      <c r="S720" s="27">
        <f t="shared" si="7"/>
        <v>0</v>
      </c>
      <c r="T720" s="27" t="str">
        <f t="shared" si="8"/>
        <v/>
      </c>
      <c r="U720" s="1" t="str">
        <f t="array" ref="U720">IFERROR(INDEX('Исходник'!$1:$626,MATCH($A720,'Исходник'!$T:$T,0),MATCH(U$1,'Исходник'!$1:$1,0)))</f>
        <v/>
      </c>
      <c r="V720" s="27" t="str">
        <f t="shared" si="9"/>
        <v/>
      </c>
      <c r="W720" s="1" t="str">
        <f t="array" ref="W720">IFERROR(INDEX('Исходник'!$1:$626,MATCH($A720,'Исходник'!$T:$T,0),MATCH(W$1,'Исходник'!$1:$1,0)))</f>
        <v/>
      </c>
      <c r="X720" s="28">
        <f t="shared" si="10"/>
        <v>0</v>
      </c>
      <c r="Y720" s="1" t="str">
        <f t="array" ref="Y720">IFERROR(INDEX('Исходник'!$1:$626,MATCH($A720,'Исходник'!$T:$T,0),MATCH(Y$1,'Исходник'!$1:$1,0)))</f>
        <v/>
      </c>
      <c r="Z720" s="27">
        <f t="shared" si="11"/>
        <v>0</v>
      </c>
      <c r="AA720" s="27" t="str">
        <f t="shared" si="12"/>
        <v/>
      </c>
      <c r="AB720" s="1" t="str">
        <f t="array" ref="AB720">IFERROR(INDEX('Исходник'!$1:$626,MATCH($A720,'Исходник'!$T:$T,0),MATCH(AB$1,'Исходник'!$1:$1,0)))</f>
        <v/>
      </c>
      <c r="AC720" s="1" t="str">
        <f t="array" ref="AC720">IFERROR(INDEX('Исходник'!$1:$626,MATCH($A720,'Исходник'!$T:$T,0),MATCH(AC$1,'Исходник'!$1:$1,0)))</f>
        <v/>
      </c>
      <c r="AD720" s="27" t="str">
        <f t="shared" si="13"/>
        <v/>
      </c>
      <c r="AE720" s="1" t="str">
        <f t="array" ref="AE720">IFERROR(INDEX('Исходник'!$1:$626,MATCH($A720,'Исходник'!$T:$T,0),MATCH(AE$1,'Исходник'!$1:$1,0)))</f>
        <v/>
      </c>
      <c r="AF720" s="1" t="str">
        <f t="array" ref="AF720">IFERROR(INDEX('Исходник'!$1:$626,MATCH($A720,'Исходник'!$T:$T,0),MATCH(AF$1,'Исходник'!$1:$1,0)))</f>
        <v/>
      </c>
      <c r="AG720" s="27" t="str">
        <f t="shared" si="14"/>
        <v/>
      </c>
      <c r="AH720" s="1" t="str">
        <f t="array" ref="AH720">IFERROR(INDEX('Исходник'!$1:$626,MATCH($A720,'Исходник'!$T:$T,0),MATCH(AH$1,'Исходник'!$1:$1,0)))</f>
        <v/>
      </c>
      <c r="AI720" s="1" t="str">
        <f t="array" ref="AI720">IFERROR(INDEX('Исходник'!$1:$626,MATCH($A720,'Исходник'!$T:$T,0),MATCH(AI$1,'Исходник'!$1:$1,0)))</f>
        <v/>
      </c>
      <c r="AJ720" s="18">
        <f t="shared" si="15"/>
        <v>0</v>
      </c>
    </row>
    <row r="721" ht="15.75" customHeight="1">
      <c r="A721" s="27"/>
      <c r="B721" s="1" t="str">
        <f t="array" ref="B721">IFERROR(INDEX('Исходник'!$1:$626,MATCH($A721,'Исходник'!$T:$T,0),MATCH(B$1,'Исходник'!$1:$1,0)))</f>
        <v/>
      </c>
      <c r="C721" s="1" t="str">
        <f t="array" ref="C721">IFERROR(INDEX('Исходник'!$1:$626,MATCH($A721,'Исходник'!$T:$T,0),MATCH(C$1,'Исходник'!$1:$1,0)))</f>
        <v/>
      </c>
      <c r="D721" s="1" t="str">
        <f t="array" ref="D721">IFERROR(INDEX('Исходник'!$1:$626,MATCH($A721,'Исходник'!$T:$T,0),MATCH(D$1,'Исходник'!$1:$1,0)))</f>
        <v/>
      </c>
      <c r="E721" s="1" t="str">
        <f t="array" ref="E721">IFERROR(INDEX('Исходник'!$1:$626,MATCH($A721,'Исходник'!$T:$T,0),MATCH(E$1,'Исходник'!$1:$1,0)))</f>
        <v/>
      </c>
      <c r="F721" s="1" t="str">
        <f t="array" ref="F721">IFERROR(INDEX('Исходник'!$1:$626,MATCH($A721,'Исходник'!$T:$T,0),MATCH(F$1,'Исходник'!$1:$1,0)))</f>
        <v/>
      </c>
      <c r="G721" s="1" t="str">
        <f t="array" ref="G721">IFERROR(INDEX('Исходник'!$1:$626,MATCH($A721,'Исходник'!$T:$T,0),MATCH(G$1,'Исходник'!$1:$1,0)))</f>
        <v/>
      </c>
      <c r="H721" s="27">
        <f t="shared" si="1"/>
        <v>0</v>
      </c>
      <c r="I721" s="27" t="str">
        <f t="shared" si="2"/>
        <v/>
      </c>
      <c r="J721" s="1" t="str">
        <f t="array" ref="J721">IFERROR(INDEX('Исходник'!$1:$626,MATCH($A721,'Исходник'!$T:$T,0),MATCH(J$1,'Исходник'!$1:$1,0)))</f>
        <v/>
      </c>
      <c r="K721" s="27" t="str">
        <f t="shared" si="3"/>
        <v/>
      </c>
      <c r="L721" s="1" t="str">
        <f t="array" ref="L721">IFERROR(INDEX('Исходник'!$1:$626,MATCH($A721,'Исходник'!$T:$T,0),MATCH(L$1,'Исходник'!$1:$1,0)))</f>
        <v/>
      </c>
      <c r="M721" s="28">
        <f t="shared" si="4"/>
        <v>0</v>
      </c>
      <c r="N721" s="1" t="str">
        <f t="array" ref="N721">IFERROR(INDEX('Исходник'!$1:$626,MATCH($A721,'Исходник'!$T:$T,0),MATCH(N$1,'Исходник'!$1:$1,0)))</f>
        <v/>
      </c>
      <c r="O721" s="27">
        <f t="shared" si="5"/>
        <v>0</v>
      </c>
      <c r="P721" s="27" t="str">
        <f t="shared" si="6"/>
        <v/>
      </c>
      <c r="Q721" s="1" t="str">
        <f t="array" ref="Q721">IFERROR(INDEX('Исходник'!$1:$626,MATCH($A721,'Исходник'!$T:$T,0),MATCH(Q$1,'Исходник'!$1:$1,0)))</f>
        <v/>
      </c>
      <c r="R721" s="1" t="str">
        <f t="array" ref="R721">IFERROR(INDEX('Исходник'!$1:$626,MATCH($A721,'Исходник'!$T:$T,0),MATCH(R$1,'Исходник'!$1:$1,0)))</f>
        <v/>
      </c>
      <c r="S721" s="27">
        <f t="shared" si="7"/>
        <v>0</v>
      </c>
      <c r="T721" s="27" t="str">
        <f t="shared" si="8"/>
        <v/>
      </c>
      <c r="U721" s="1" t="str">
        <f t="array" ref="U721">IFERROR(INDEX('Исходник'!$1:$626,MATCH($A721,'Исходник'!$T:$T,0),MATCH(U$1,'Исходник'!$1:$1,0)))</f>
        <v/>
      </c>
      <c r="V721" s="27" t="str">
        <f t="shared" si="9"/>
        <v/>
      </c>
      <c r="W721" s="1" t="str">
        <f t="array" ref="W721">IFERROR(INDEX('Исходник'!$1:$626,MATCH($A721,'Исходник'!$T:$T,0),MATCH(W$1,'Исходник'!$1:$1,0)))</f>
        <v/>
      </c>
      <c r="X721" s="28">
        <f t="shared" si="10"/>
        <v>0</v>
      </c>
      <c r="Y721" s="1" t="str">
        <f t="array" ref="Y721">IFERROR(INDEX('Исходник'!$1:$626,MATCH($A721,'Исходник'!$T:$T,0),MATCH(Y$1,'Исходник'!$1:$1,0)))</f>
        <v/>
      </c>
      <c r="Z721" s="27">
        <f t="shared" si="11"/>
        <v>0</v>
      </c>
      <c r="AA721" s="27" t="str">
        <f t="shared" si="12"/>
        <v/>
      </c>
      <c r="AB721" s="1" t="str">
        <f t="array" ref="AB721">IFERROR(INDEX('Исходник'!$1:$626,MATCH($A721,'Исходник'!$T:$T,0),MATCH(AB$1,'Исходник'!$1:$1,0)))</f>
        <v/>
      </c>
      <c r="AC721" s="1" t="str">
        <f t="array" ref="AC721">IFERROR(INDEX('Исходник'!$1:$626,MATCH($A721,'Исходник'!$T:$T,0),MATCH(AC$1,'Исходник'!$1:$1,0)))</f>
        <v/>
      </c>
      <c r="AD721" s="27" t="str">
        <f t="shared" si="13"/>
        <v/>
      </c>
      <c r="AE721" s="1" t="str">
        <f t="array" ref="AE721">IFERROR(INDEX('Исходник'!$1:$626,MATCH($A721,'Исходник'!$T:$T,0),MATCH(AE$1,'Исходник'!$1:$1,0)))</f>
        <v/>
      </c>
      <c r="AF721" s="1" t="str">
        <f t="array" ref="AF721">IFERROR(INDEX('Исходник'!$1:$626,MATCH($A721,'Исходник'!$T:$T,0),MATCH(AF$1,'Исходник'!$1:$1,0)))</f>
        <v/>
      </c>
      <c r="AG721" s="27" t="str">
        <f t="shared" si="14"/>
        <v/>
      </c>
      <c r="AH721" s="1" t="str">
        <f t="array" ref="AH721">IFERROR(INDEX('Исходник'!$1:$626,MATCH($A721,'Исходник'!$T:$T,0),MATCH(AH$1,'Исходник'!$1:$1,0)))</f>
        <v/>
      </c>
      <c r="AI721" s="1" t="str">
        <f t="array" ref="AI721">IFERROR(INDEX('Исходник'!$1:$626,MATCH($A721,'Исходник'!$T:$T,0),MATCH(AI$1,'Исходник'!$1:$1,0)))</f>
        <v/>
      </c>
      <c r="AJ721" s="18">
        <f t="shared" si="15"/>
        <v>0</v>
      </c>
    </row>
    <row r="722" ht="15.75" customHeight="1">
      <c r="A722" s="27"/>
      <c r="B722" s="1" t="str">
        <f t="array" ref="B722">IFERROR(INDEX('Исходник'!$1:$626,MATCH($A722,'Исходник'!$T:$T,0),MATCH(B$1,'Исходник'!$1:$1,0)))</f>
        <v/>
      </c>
      <c r="C722" s="1" t="str">
        <f t="array" ref="C722">IFERROR(INDEX('Исходник'!$1:$626,MATCH($A722,'Исходник'!$T:$T,0),MATCH(C$1,'Исходник'!$1:$1,0)))</f>
        <v/>
      </c>
      <c r="D722" s="1" t="str">
        <f t="array" ref="D722">IFERROR(INDEX('Исходник'!$1:$626,MATCH($A722,'Исходник'!$T:$T,0),MATCH(D$1,'Исходник'!$1:$1,0)))</f>
        <v/>
      </c>
      <c r="E722" s="1" t="str">
        <f t="array" ref="E722">IFERROR(INDEX('Исходник'!$1:$626,MATCH($A722,'Исходник'!$T:$T,0),MATCH(E$1,'Исходник'!$1:$1,0)))</f>
        <v/>
      </c>
      <c r="F722" s="1" t="str">
        <f t="array" ref="F722">IFERROR(INDEX('Исходник'!$1:$626,MATCH($A722,'Исходник'!$T:$T,0),MATCH(F$1,'Исходник'!$1:$1,0)))</f>
        <v/>
      </c>
      <c r="G722" s="1" t="str">
        <f t="array" ref="G722">IFERROR(INDEX('Исходник'!$1:$626,MATCH($A722,'Исходник'!$T:$T,0),MATCH(G$1,'Исходник'!$1:$1,0)))</f>
        <v/>
      </c>
      <c r="H722" s="27">
        <f t="shared" si="1"/>
        <v>0</v>
      </c>
      <c r="I722" s="27" t="str">
        <f t="shared" si="2"/>
        <v/>
      </c>
      <c r="J722" s="1" t="str">
        <f t="array" ref="J722">IFERROR(INDEX('Исходник'!$1:$626,MATCH($A722,'Исходник'!$T:$T,0),MATCH(J$1,'Исходник'!$1:$1,0)))</f>
        <v/>
      </c>
      <c r="K722" s="27" t="str">
        <f t="shared" si="3"/>
        <v/>
      </c>
      <c r="L722" s="1" t="str">
        <f t="array" ref="L722">IFERROR(INDEX('Исходник'!$1:$626,MATCH($A722,'Исходник'!$T:$T,0),MATCH(L$1,'Исходник'!$1:$1,0)))</f>
        <v/>
      </c>
      <c r="M722" s="28">
        <f t="shared" si="4"/>
        <v>0</v>
      </c>
      <c r="N722" s="1" t="str">
        <f t="array" ref="N722">IFERROR(INDEX('Исходник'!$1:$626,MATCH($A722,'Исходник'!$T:$T,0),MATCH(N$1,'Исходник'!$1:$1,0)))</f>
        <v/>
      </c>
      <c r="O722" s="27">
        <f t="shared" si="5"/>
        <v>0</v>
      </c>
      <c r="P722" s="27" t="str">
        <f t="shared" si="6"/>
        <v/>
      </c>
      <c r="Q722" s="1" t="str">
        <f t="array" ref="Q722">IFERROR(INDEX('Исходник'!$1:$626,MATCH($A722,'Исходник'!$T:$T,0),MATCH(Q$1,'Исходник'!$1:$1,0)))</f>
        <v/>
      </c>
      <c r="R722" s="1" t="str">
        <f t="array" ref="R722">IFERROR(INDEX('Исходник'!$1:$626,MATCH($A722,'Исходник'!$T:$T,0),MATCH(R$1,'Исходник'!$1:$1,0)))</f>
        <v/>
      </c>
      <c r="S722" s="27">
        <f t="shared" si="7"/>
        <v>0</v>
      </c>
      <c r="T722" s="27" t="str">
        <f t="shared" si="8"/>
        <v/>
      </c>
      <c r="U722" s="1" t="str">
        <f t="array" ref="U722">IFERROR(INDEX('Исходник'!$1:$626,MATCH($A722,'Исходник'!$T:$T,0),MATCH(U$1,'Исходник'!$1:$1,0)))</f>
        <v/>
      </c>
      <c r="V722" s="27" t="str">
        <f t="shared" si="9"/>
        <v/>
      </c>
      <c r="W722" s="1" t="str">
        <f t="array" ref="W722">IFERROR(INDEX('Исходник'!$1:$626,MATCH($A722,'Исходник'!$T:$T,0),MATCH(W$1,'Исходник'!$1:$1,0)))</f>
        <v/>
      </c>
      <c r="X722" s="28">
        <f t="shared" si="10"/>
        <v>0</v>
      </c>
      <c r="Y722" s="1" t="str">
        <f t="array" ref="Y722">IFERROR(INDEX('Исходник'!$1:$626,MATCH($A722,'Исходник'!$T:$T,0),MATCH(Y$1,'Исходник'!$1:$1,0)))</f>
        <v/>
      </c>
      <c r="Z722" s="27">
        <f t="shared" si="11"/>
        <v>0</v>
      </c>
      <c r="AA722" s="27" t="str">
        <f t="shared" si="12"/>
        <v/>
      </c>
      <c r="AB722" s="1" t="str">
        <f t="array" ref="AB722">IFERROR(INDEX('Исходник'!$1:$626,MATCH($A722,'Исходник'!$T:$T,0),MATCH(AB$1,'Исходник'!$1:$1,0)))</f>
        <v/>
      </c>
      <c r="AC722" s="1" t="str">
        <f t="array" ref="AC722">IFERROR(INDEX('Исходник'!$1:$626,MATCH($A722,'Исходник'!$T:$T,0),MATCH(AC$1,'Исходник'!$1:$1,0)))</f>
        <v/>
      </c>
      <c r="AD722" s="27" t="str">
        <f t="shared" si="13"/>
        <v/>
      </c>
      <c r="AE722" s="1" t="str">
        <f t="array" ref="AE722">IFERROR(INDEX('Исходник'!$1:$626,MATCH($A722,'Исходник'!$T:$T,0),MATCH(AE$1,'Исходник'!$1:$1,0)))</f>
        <v/>
      </c>
      <c r="AF722" s="1" t="str">
        <f t="array" ref="AF722">IFERROR(INDEX('Исходник'!$1:$626,MATCH($A722,'Исходник'!$T:$T,0),MATCH(AF$1,'Исходник'!$1:$1,0)))</f>
        <v/>
      </c>
      <c r="AG722" s="27" t="str">
        <f t="shared" si="14"/>
        <v/>
      </c>
      <c r="AH722" s="1" t="str">
        <f t="array" ref="AH722">IFERROR(INDEX('Исходник'!$1:$626,MATCH($A722,'Исходник'!$T:$T,0),MATCH(AH$1,'Исходник'!$1:$1,0)))</f>
        <v/>
      </c>
      <c r="AI722" s="1" t="str">
        <f t="array" ref="AI722">IFERROR(INDEX('Исходник'!$1:$626,MATCH($A722,'Исходник'!$T:$T,0),MATCH(AI$1,'Исходник'!$1:$1,0)))</f>
        <v/>
      </c>
      <c r="AJ722" s="18">
        <f t="shared" si="15"/>
        <v>0</v>
      </c>
    </row>
    <row r="723" ht="15.75" customHeight="1">
      <c r="A723" s="27"/>
      <c r="B723" s="1" t="str">
        <f t="array" ref="B723">IFERROR(INDEX('Исходник'!$1:$626,MATCH($A723,'Исходник'!$T:$T,0),MATCH(B$1,'Исходник'!$1:$1,0)))</f>
        <v/>
      </c>
      <c r="C723" s="1" t="str">
        <f t="array" ref="C723">IFERROR(INDEX('Исходник'!$1:$626,MATCH($A723,'Исходник'!$T:$T,0),MATCH(C$1,'Исходник'!$1:$1,0)))</f>
        <v/>
      </c>
      <c r="D723" s="1" t="str">
        <f t="array" ref="D723">IFERROR(INDEX('Исходник'!$1:$626,MATCH($A723,'Исходник'!$T:$T,0),MATCH(D$1,'Исходник'!$1:$1,0)))</f>
        <v/>
      </c>
      <c r="E723" s="1" t="str">
        <f t="array" ref="E723">IFERROR(INDEX('Исходник'!$1:$626,MATCH($A723,'Исходник'!$T:$T,0),MATCH(E$1,'Исходник'!$1:$1,0)))</f>
        <v/>
      </c>
      <c r="F723" s="1" t="str">
        <f t="array" ref="F723">IFERROR(INDEX('Исходник'!$1:$626,MATCH($A723,'Исходник'!$T:$T,0),MATCH(F$1,'Исходник'!$1:$1,0)))</f>
        <v/>
      </c>
      <c r="G723" s="1" t="str">
        <f t="array" ref="G723">IFERROR(INDEX('Исходник'!$1:$626,MATCH($A723,'Исходник'!$T:$T,0),MATCH(G$1,'Исходник'!$1:$1,0)))</f>
        <v/>
      </c>
      <c r="H723" s="27">
        <f t="shared" si="1"/>
        <v>0</v>
      </c>
      <c r="I723" s="27" t="str">
        <f t="shared" si="2"/>
        <v/>
      </c>
      <c r="J723" s="1" t="str">
        <f t="array" ref="J723">IFERROR(INDEX('Исходник'!$1:$626,MATCH($A723,'Исходник'!$T:$T,0),MATCH(J$1,'Исходник'!$1:$1,0)))</f>
        <v/>
      </c>
      <c r="K723" s="27" t="str">
        <f t="shared" si="3"/>
        <v/>
      </c>
      <c r="L723" s="1" t="str">
        <f t="array" ref="L723">IFERROR(INDEX('Исходник'!$1:$626,MATCH($A723,'Исходник'!$T:$T,0),MATCH(L$1,'Исходник'!$1:$1,0)))</f>
        <v/>
      </c>
      <c r="M723" s="28">
        <f t="shared" si="4"/>
        <v>0</v>
      </c>
      <c r="N723" s="1" t="str">
        <f t="array" ref="N723">IFERROR(INDEX('Исходник'!$1:$626,MATCH($A723,'Исходник'!$T:$T,0),MATCH(N$1,'Исходник'!$1:$1,0)))</f>
        <v/>
      </c>
      <c r="O723" s="27">
        <f t="shared" si="5"/>
        <v>0</v>
      </c>
      <c r="P723" s="27" t="str">
        <f t="shared" si="6"/>
        <v/>
      </c>
      <c r="Q723" s="1" t="str">
        <f t="array" ref="Q723">IFERROR(INDEX('Исходник'!$1:$626,MATCH($A723,'Исходник'!$T:$T,0),MATCH(Q$1,'Исходник'!$1:$1,0)))</f>
        <v/>
      </c>
      <c r="R723" s="1" t="str">
        <f t="array" ref="R723">IFERROR(INDEX('Исходник'!$1:$626,MATCH($A723,'Исходник'!$T:$T,0),MATCH(R$1,'Исходник'!$1:$1,0)))</f>
        <v/>
      </c>
      <c r="S723" s="27">
        <f t="shared" si="7"/>
        <v>0</v>
      </c>
      <c r="T723" s="27" t="str">
        <f t="shared" si="8"/>
        <v/>
      </c>
      <c r="U723" s="1" t="str">
        <f t="array" ref="U723">IFERROR(INDEX('Исходник'!$1:$626,MATCH($A723,'Исходник'!$T:$T,0),MATCH(U$1,'Исходник'!$1:$1,0)))</f>
        <v/>
      </c>
      <c r="V723" s="27" t="str">
        <f t="shared" si="9"/>
        <v/>
      </c>
      <c r="W723" s="1" t="str">
        <f t="array" ref="W723">IFERROR(INDEX('Исходник'!$1:$626,MATCH($A723,'Исходник'!$T:$T,0),MATCH(W$1,'Исходник'!$1:$1,0)))</f>
        <v/>
      </c>
      <c r="X723" s="28">
        <f t="shared" si="10"/>
        <v>0</v>
      </c>
      <c r="Y723" s="1" t="str">
        <f t="array" ref="Y723">IFERROR(INDEX('Исходник'!$1:$626,MATCH($A723,'Исходник'!$T:$T,0),MATCH(Y$1,'Исходник'!$1:$1,0)))</f>
        <v/>
      </c>
      <c r="Z723" s="27">
        <f t="shared" si="11"/>
        <v>0</v>
      </c>
      <c r="AA723" s="27" t="str">
        <f t="shared" si="12"/>
        <v/>
      </c>
      <c r="AB723" s="1" t="str">
        <f t="array" ref="AB723">IFERROR(INDEX('Исходник'!$1:$626,MATCH($A723,'Исходник'!$T:$T,0),MATCH(AB$1,'Исходник'!$1:$1,0)))</f>
        <v/>
      </c>
      <c r="AC723" s="1" t="str">
        <f t="array" ref="AC723">IFERROR(INDEX('Исходник'!$1:$626,MATCH($A723,'Исходник'!$T:$T,0),MATCH(AC$1,'Исходник'!$1:$1,0)))</f>
        <v/>
      </c>
      <c r="AD723" s="27" t="str">
        <f t="shared" si="13"/>
        <v/>
      </c>
      <c r="AE723" s="1" t="str">
        <f t="array" ref="AE723">IFERROR(INDEX('Исходник'!$1:$626,MATCH($A723,'Исходник'!$T:$T,0),MATCH(AE$1,'Исходник'!$1:$1,0)))</f>
        <v/>
      </c>
      <c r="AF723" s="1" t="str">
        <f t="array" ref="AF723">IFERROR(INDEX('Исходник'!$1:$626,MATCH($A723,'Исходник'!$T:$T,0),MATCH(AF$1,'Исходник'!$1:$1,0)))</f>
        <v/>
      </c>
      <c r="AG723" s="27" t="str">
        <f t="shared" si="14"/>
        <v/>
      </c>
      <c r="AH723" s="1" t="str">
        <f t="array" ref="AH723">IFERROR(INDEX('Исходник'!$1:$626,MATCH($A723,'Исходник'!$T:$T,0),MATCH(AH$1,'Исходник'!$1:$1,0)))</f>
        <v/>
      </c>
      <c r="AI723" s="1" t="str">
        <f t="array" ref="AI723">IFERROR(INDEX('Исходник'!$1:$626,MATCH($A723,'Исходник'!$T:$T,0),MATCH(AI$1,'Исходник'!$1:$1,0)))</f>
        <v/>
      </c>
      <c r="AJ723" s="18">
        <f t="shared" si="15"/>
        <v>0</v>
      </c>
    </row>
    <row r="724" ht="15.75" customHeight="1">
      <c r="A724" s="27"/>
      <c r="B724" s="1" t="str">
        <f t="array" ref="B724">IFERROR(INDEX('Исходник'!$1:$626,MATCH($A724,'Исходник'!$T:$T,0),MATCH(B$1,'Исходник'!$1:$1,0)))</f>
        <v/>
      </c>
      <c r="C724" s="1" t="str">
        <f t="array" ref="C724">IFERROR(INDEX('Исходник'!$1:$626,MATCH($A724,'Исходник'!$T:$T,0),MATCH(C$1,'Исходник'!$1:$1,0)))</f>
        <v/>
      </c>
      <c r="D724" s="1" t="str">
        <f t="array" ref="D724">IFERROR(INDEX('Исходник'!$1:$626,MATCH($A724,'Исходник'!$T:$T,0),MATCH(D$1,'Исходник'!$1:$1,0)))</f>
        <v/>
      </c>
      <c r="E724" s="1" t="str">
        <f t="array" ref="E724">IFERROR(INDEX('Исходник'!$1:$626,MATCH($A724,'Исходник'!$T:$T,0),MATCH(E$1,'Исходник'!$1:$1,0)))</f>
        <v/>
      </c>
      <c r="F724" s="1" t="str">
        <f t="array" ref="F724">IFERROR(INDEX('Исходник'!$1:$626,MATCH($A724,'Исходник'!$T:$T,0),MATCH(F$1,'Исходник'!$1:$1,0)))</f>
        <v/>
      </c>
      <c r="G724" s="1" t="str">
        <f t="array" ref="G724">IFERROR(INDEX('Исходник'!$1:$626,MATCH($A724,'Исходник'!$T:$T,0),MATCH(G$1,'Исходник'!$1:$1,0)))</f>
        <v/>
      </c>
      <c r="H724" s="27">
        <f t="shared" si="1"/>
        <v>0</v>
      </c>
      <c r="I724" s="27" t="str">
        <f t="shared" si="2"/>
        <v/>
      </c>
      <c r="J724" s="1" t="str">
        <f t="array" ref="J724">IFERROR(INDEX('Исходник'!$1:$626,MATCH($A724,'Исходник'!$T:$T,0),MATCH(J$1,'Исходник'!$1:$1,0)))</f>
        <v/>
      </c>
      <c r="K724" s="27" t="str">
        <f t="shared" si="3"/>
        <v/>
      </c>
      <c r="L724" s="1" t="str">
        <f t="array" ref="L724">IFERROR(INDEX('Исходник'!$1:$626,MATCH($A724,'Исходник'!$T:$T,0),MATCH(L$1,'Исходник'!$1:$1,0)))</f>
        <v/>
      </c>
      <c r="M724" s="28">
        <f t="shared" si="4"/>
        <v>0</v>
      </c>
      <c r="N724" s="1" t="str">
        <f t="array" ref="N724">IFERROR(INDEX('Исходник'!$1:$626,MATCH($A724,'Исходник'!$T:$T,0),MATCH(N$1,'Исходник'!$1:$1,0)))</f>
        <v/>
      </c>
      <c r="O724" s="27">
        <f t="shared" si="5"/>
        <v>0</v>
      </c>
      <c r="P724" s="27" t="str">
        <f t="shared" si="6"/>
        <v/>
      </c>
      <c r="Q724" s="1" t="str">
        <f t="array" ref="Q724">IFERROR(INDEX('Исходник'!$1:$626,MATCH($A724,'Исходник'!$T:$T,0),MATCH(Q$1,'Исходник'!$1:$1,0)))</f>
        <v/>
      </c>
      <c r="R724" s="1" t="str">
        <f t="array" ref="R724">IFERROR(INDEX('Исходник'!$1:$626,MATCH($A724,'Исходник'!$T:$T,0),MATCH(R$1,'Исходник'!$1:$1,0)))</f>
        <v/>
      </c>
      <c r="S724" s="27">
        <f t="shared" si="7"/>
        <v>0</v>
      </c>
      <c r="T724" s="27" t="str">
        <f t="shared" si="8"/>
        <v/>
      </c>
      <c r="U724" s="1" t="str">
        <f t="array" ref="U724">IFERROR(INDEX('Исходник'!$1:$626,MATCH($A724,'Исходник'!$T:$T,0),MATCH(U$1,'Исходник'!$1:$1,0)))</f>
        <v/>
      </c>
      <c r="V724" s="27" t="str">
        <f t="shared" si="9"/>
        <v/>
      </c>
      <c r="W724" s="1" t="str">
        <f t="array" ref="W724">IFERROR(INDEX('Исходник'!$1:$626,MATCH($A724,'Исходник'!$T:$T,0),MATCH(W$1,'Исходник'!$1:$1,0)))</f>
        <v/>
      </c>
      <c r="X724" s="28">
        <f t="shared" si="10"/>
        <v>0</v>
      </c>
      <c r="Y724" s="1" t="str">
        <f t="array" ref="Y724">IFERROR(INDEX('Исходник'!$1:$626,MATCH($A724,'Исходник'!$T:$T,0),MATCH(Y$1,'Исходник'!$1:$1,0)))</f>
        <v/>
      </c>
      <c r="Z724" s="27">
        <f t="shared" si="11"/>
        <v>0</v>
      </c>
      <c r="AA724" s="27" t="str">
        <f t="shared" si="12"/>
        <v/>
      </c>
      <c r="AB724" s="1" t="str">
        <f t="array" ref="AB724">IFERROR(INDEX('Исходник'!$1:$626,MATCH($A724,'Исходник'!$T:$T,0),MATCH(AB$1,'Исходник'!$1:$1,0)))</f>
        <v/>
      </c>
      <c r="AC724" s="1" t="str">
        <f t="array" ref="AC724">IFERROR(INDEX('Исходник'!$1:$626,MATCH($A724,'Исходник'!$T:$T,0),MATCH(AC$1,'Исходник'!$1:$1,0)))</f>
        <v/>
      </c>
      <c r="AD724" s="27" t="str">
        <f t="shared" si="13"/>
        <v/>
      </c>
      <c r="AE724" s="1" t="str">
        <f t="array" ref="AE724">IFERROR(INDEX('Исходник'!$1:$626,MATCH($A724,'Исходник'!$T:$T,0),MATCH(AE$1,'Исходник'!$1:$1,0)))</f>
        <v/>
      </c>
      <c r="AF724" s="1" t="str">
        <f t="array" ref="AF724">IFERROR(INDEX('Исходник'!$1:$626,MATCH($A724,'Исходник'!$T:$T,0),MATCH(AF$1,'Исходник'!$1:$1,0)))</f>
        <v/>
      </c>
      <c r="AG724" s="27" t="str">
        <f t="shared" si="14"/>
        <v/>
      </c>
      <c r="AH724" s="1" t="str">
        <f t="array" ref="AH724">IFERROR(INDEX('Исходник'!$1:$626,MATCH($A724,'Исходник'!$T:$T,0),MATCH(AH$1,'Исходник'!$1:$1,0)))</f>
        <v/>
      </c>
      <c r="AI724" s="1" t="str">
        <f t="array" ref="AI724">IFERROR(INDEX('Исходник'!$1:$626,MATCH($A724,'Исходник'!$T:$T,0),MATCH(AI$1,'Исходник'!$1:$1,0)))</f>
        <v/>
      </c>
      <c r="AJ724" s="18">
        <f t="shared" si="15"/>
        <v>0</v>
      </c>
    </row>
    <row r="725" ht="15.75" customHeight="1">
      <c r="A725" s="27"/>
      <c r="B725" s="1" t="str">
        <f t="array" ref="B725">IFERROR(INDEX('Исходник'!$1:$626,MATCH($A725,'Исходник'!$T:$T,0),MATCH(B$1,'Исходник'!$1:$1,0)))</f>
        <v/>
      </c>
      <c r="C725" s="1" t="str">
        <f t="array" ref="C725">IFERROR(INDEX('Исходник'!$1:$626,MATCH($A725,'Исходник'!$T:$T,0),MATCH(C$1,'Исходник'!$1:$1,0)))</f>
        <v/>
      </c>
      <c r="D725" s="1" t="str">
        <f t="array" ref="D725">IFERROR(INDEX('Исходник'!$1:$626,MATCH($A725,'Исходник'!$T:$T,0),MATCH(D$1,'Исходник'!$1:$1,0)))</f>
        <v/>
      </c>
      <c r="E725" s="1" t="str">
        <f t="array" ref="E725">IFERROR(INDEX('Исходник'!$1:$626,MATCH($A725,'Исходник'!$T:$T,0),MATCH(E$1,'Исходник'!$1:$1,0)))</f>
        <v/>
      </c>
      <c r="F725" s="1" t="str">
        <f t="array" ref="F725">IFERROR(INDEX('Исходник'!$1:$626,MATCH($A725,'Исходник'!$T:$T,0),MATCH(F$1,'Исходник'!$1:$1,0)))</f>
        <v/>
      </c>
      <c r="G725" s="1" t="str">
        <f t="array" ref="G725">IFERROR(INDEX('Исходник'!$1:$626,MATCH($A725,'Исходник'!$T:$T,0),MATCH(G$1,'Исходник'!$1:$1,0)))</f>
        <v/>
      </c>
      <c r="H725" s="27">
        <f t="shared" si="1"/>
        <v>0</v>
      </c>
      <c r="I725" s="27" t="str">
        <f t="shared" si="2"/>
        <v/>
      </c>
      <c r="J725" s="1" t="str">
        <f t="array" ref="J725">IFERROR(INDEX('Исходник'!$1:$626,MATCH($A725,'Исходник'!$T:$T,0),MATCH(J$1,'Исходник'!$1:$1,0)))</f>
        <v/>
      </c>
      <c r="K725" s="27" t="str">
        <f t="shared" si="3"/>
        <v/>
      </c>
      <c r="L725" s="1" t="str">
        <f t="array" ref="L725">IFERROR(INDEX('Исходник'!$1:$626,MATCH($A725,'Исходник'!$T:$T,0),MATCH(L$1,'Исходник'!$1:$1,0)))</f>
        <v/>
      </c>
      <c r="M725" s="28">
        <f t="shared" si="4"/>
        <v>0</v>
      </c>
      <c r="N725" s="1" t="str">
        <f t="array" ref="N725">IFERROR(INDEX('Исходник'!$1:$626,MATCH($A725,'Исходник'!$T:$T,0),MATCH(N$1,'Исходник'!$1:$1,0)))</f>
        <v/>
      </c>
      <c r="O725" s="27">
        <f t="shared" si="5"/>
        <v>0</v>
      </c>
      <c r="P725" s="27" t="str">
        <f t="shared" si="6"/>
        <v/>
      </c>
      <c r="Q725" s="1" t="str">
        <f t="array" ref="Q725">IFERROR(INDEX('Исходник'!$1:$626,MATCH($A725,'Исходник'!$T:$T,0),MATCH(Q$1,'Исходник'!$1:$1,0)))</f>
        <v/>
      </c>
      <c r="R725" s="1" t="str">
        <f t="array" ref="R725">IFERROR(INDEX('Исходник'!$1:$626,MATCH($A725,'Исходник'!$T:$T,0),MATCH(R$1,'Исходник'!$1:$1,0)))</f>
        <v/>
      </c>
      <c r="S725" s="27">
        <f t="shared" si="7"/>
        <v>0</v>
      </c>
      <c r="T725" s="27" t="str">
        <f t="shared" si="8"/>
        <v/>
      </c>
      <c r="U725" s="1" t="str">
        <f t="array" ref="U725">IFERROR(INDEX('Исходник'!$1:$626,MATCH($A725,'Исходник'!$T:$T,0),MATCH(U$1,'Исходник'!$1:$1,0)))</f>
        <v/>
      </c>
      <c r="V725" s="27" t="str">
        <f t="shared" si="9"/>
        <v/>
      </c>
      <c r="W725" s="1" t="str">
        <f t="array" ref="W725">IFERROR(INDEX('Исходник'!$1:$626,MATCH($A725,'Исходник'!$T:$T,0),MATCH(W$1,'Исходник'!$1:$1,0)))</f>
        <v/>
      </c>
      <c r="X725" s="28">
        <f t="shared" si="10"/>
        <v>0</v>
      </c>
      <c r="Y725" s="1" t="str">
        <f t="array" ref="Y725">IFERROR(INDEX('Исходник'!$1:$626,MATCH($A725,'Исходник'!$T:$T,0),MATCH(Y$1,'Исходник'!$1:$1,0)))</f>
        <v/>
      </c>
      <c r="Z725" s="27">
        <f t="shared" si="11"/>
        <v>0</v>
      </c>
      <c r="AA725" s="27" t="str">
        <f t="shared" si="12"/>
        <v/>
      </c>
      <c r="AB725" s="1" t="str">
        <f t="array" ref="AB725">IFERROR(INDEX('Исходник'!$1:$626,MATCH($A725,'Исходник'!$T:$T,0),MATCH(AB$1,'Исходник'!$1:$1,0)))</f>
        <v/>
      </c>
      <c r="AC725" s="1" t="str">
        <f t="array" ref="AC725">IFERROR(INDEX('Исходник'!$1:$626,MATCH($A725,'Исходник'!$T:$T,0),MATCH(AC$1,'Исходник'!$1:$1,0)))</f>
        <v/>
      </c>
      <c r="AD725" s="27" t="str">
        <f t="shared" si="13"/>
        <v/>
      </c>
      <c r="AE725" s="1" t="str">
        <f t="array" ref="AE725">IFERROR(INDEX('Исходник'!$1:$626,MATCH($A725,'Исходник'!$T:$T,0),MATCH(AE$1,'Исходник'!$1:$1,0)))</f>
        <v/>
      </c>
      <c r="AF725" s="1" t="str">
        <f t="array" ref="AF725">IFERROR(INDEX('Исходник'!$1:$626,MATCH($A725,'Исходник'!$T:$T,0),MATCH(AF$1,'Исходник'!$1:$1,0)))</f>
        <v/>
      </c>
      <c r="AG725" s="27" t="str">
        <f t="shared" si="14"/>
        <v/>
      </c>
      <c r="AH725" s="1" t="str">
        <f t="array" ref="AH725">IFERROR(INDEX('Исходник'!$1:$626,MATCH($A725,'Исходник'!$T:$T,0),MATCH(AH$1,'Исходник'!$1:$1,0)))</f>
        <v/>
      </c>
      <c r="AI725" s="1" t="str">
        <f t="array" ref="AI725">IFERROR(INDEX('Исходник'!$1:$626,MATCH($A725,'Исходник'!$T:$T,0),MATCH(AI$1,'Исходник'!$1:$1,0)))</f>
        <v/>
      </c>
      <c r="AJ725" s="18">
        <f t="shared" si="15"/>
        <v>0</v>
      </c>
    </row>
    <row r="726" ht="15.75" customHeight="1">
      <c r="A726" s="27"/>
      <c r="B726" s="1" t="str">
        <f t="array" ref="B726">IFERROR(INDEX('Исходник'!$1:$626,MATCH($A726,'Исходник'!$T:$T,0),MATCH(B$1,'Исходник'!$1:$1,0)))</f>
        <v/>
      </c>
      <c r="C726" s="1" t="str">
        <f t="array" ref="C726">IFERROR(INDEX('Исходник'!$1:$626,MATCH($A726,'Исходник'!$T:$T,0),MATCH(C$1,'Исходник'!$1:$1,0)))</f>
        <v/>
      </c>
      <c r="D726" s="1" t="str">
        <f t="array" ref="D726">IFERROR(INDEX('Исходник'!$1:$626,MATCH($A726,'Исходник'!$T:$T,0),MATCH(D$1,'Исходник'!$1:$1,0)))</f>
        <v/>
      </c>
      <c r="E726" s="1" t="str">
        <f t="array" ref="E726">IFERROR(INDEX('Исходник'!$1:$626,MATCH($A726,'Исходник'!$T:$T,0),MATCH(E$1,'Исходник'!$1:$1,0)))</f>
        <v/>
      </c>
      <c r="F726" s="1" t="str">
        <f t="array" ref="F726">IFERROR(INDEX('Исходник'!$1:$626,MATCH($A726,'Исходник'!$T:$T,0),MATCH(F$1,'Исходник'!$1:$1,0)))</f>
        <v/>
      </c>
      <c r="G726" s="1" t="str">
        <f t="array" ref="G726">IFERROR(INDEX('Исходник'!$1:$626,MATCH($A726,'Исходник'!$T:$T,0),MATCH(G$1,'Исходник'!$1:$1,0)))</f>
        <v/>
      </c>
      <c r="H726" s="27">
        <f t="shared" si="1"/>
        <v>0</v>
      </c>
      <c r="I726" s="27" t="str">
        <f t="shared" si="2"/>
        <v/>
      </c>
      <c r="J726" s="1" t="str">
        <f t="array" ref="J726">IFERROR(INDEX('Исходник'!$1:$626,MATCH($A726,'Исходник'!$T:$T,0),MATCH(J$1,'Исходник'!$1:$1,0)))</f>
        <v/>
      </c>
      <c r="K726" s="27" t="str">
        <f t="shared" si="3"/>
        <v/>
      </c>
      <c r="L726" s="1" t="str">
        <f t="array" ref="L726">IFERROR(INDEX('Исходник'!$1:$626,MATCH($A726,'Исходник'!$T:$T,0),MATCH(L$1,'Исходник'!$1:$1,0)))</f>
        <v/>
      </c>
      <c r="M726" s="28">
        <f t="shared" si="4"/>
        <v>0</v>
      </c>
      <c r="N726" s="1" t="str">
        <f t="array" ref="N726">IFERROR(INDEX('Исходник'!$1:$626,MATCH($A726,'Исходник'!$T:$T,0),MATCH(N$1,'Исходник'!$1:$1,0)))</f>
        <v/>
      </c>
      <c r="O726" s="27">
        <f t="shared" si="5"/>
        <v>0</v>
      </c>
      <c r="P726" s="27" t="str">
        <f t="shared" si="6"/>
        <v/>
      </c>
      <c r="Q726" s="1" t="str">
        <f t="array" ref="Q726">IFERROR(INDEX('Исходник'!$1:$626,MATCH($A726,'Исходник'!$T:$T,0),MATCH(Q$1,'Исходник'!$1:$1,0)))</f>
        <v/>
      </c>
      <c r="R726" s="1" t="str">
        <f t="array" ref="R726">IFERROR(INDEX('Исходник'!$1:$626,MATCH($A726,'Исходник'!$T:$T,0),MATCH(R$1,'Исходник'!$1:$1,0)))</f>
        <v/>
      </c>
      <c r="S726" s="27">
        <f t="shared" si="7"/>
        <v>0</v>
      </c>
      <c r="T726" s="27" t="str">
        <f t="shared" si="8"/>
        <v/>
      </c>
      <c r="U726" s="1" t="str">
        <f t="array" ref="U726">IFERROR(INDEX('Исходник'!$1:$626,MATCH($A726,'Исходник'!$T:$T,0),MATCH(U$1,'Исходник'!$1:$1,0)))</f>
        <v/>
      </c>
      <c r="V726" s="27" t="str">
        <f t="shared" si="9"/>
        <v/>
      </c>
      <c r="W726" s="1" t="str">
        <f t="array" ref="W726">IFERROR(INDEX('Исходник'!$1:$626,MATCH($A726,'Исходник'!$T:$T,0),MATCH(W$1,'Исходник'!$1:$1,0)))</f>
        <v/>
      </c>
      <c r="X726" s="28">
        <f t="shared" si="10"/>
        <v>0</v>
      </c>
      <c r="Y726" s="1" t="str">
        <f t="array" ref="Y726">IFERROR(INDEX('Исходник'!$1:$626,MATCH($A726,'Исходник'!$T:$T,0),MATCH(Y$1,'Исходник'!$1:$1,0)))</f>
        <v/>
      </c>
      <c r="Z726" s="27">
        <f t="shared" si="11"/>
        <v>0</v>
      </c>
      <c r="AA726" s="27" t="str">
        <f t="shared" si="12"/>
        <v/>
      </c>
      <c r="AB726" s="1" t="str">
        <f t="array" ref="AB726">IFERROR(INDEX('Исходник'!$1:$626,MATCH($A726,'Исходник'!$T:$T,0),MATCH(AB$1,'Исходник'!$1:$1,0)))</f>
        <v/>
      </c>
      <c r="AC726" s="1" t="str">
        <f t="array" ref="AC726">IFERROR(INDEX('Исходник'!$1:$626,MATCH($A726,'Исходник'!$T:$T,0),MATCH(AC$1,'Исходник'!$1:$1,0)))</f>
        <v/>
      </c>
      <c r="AD726" s="27" t="str">
        <f t="shared" si="13"/>
        <v/>
      </c>
      <c r="AE726" s="1" t="str">
        <f t="array" ref="AE726">IFERROR(INDEX('Исходник'!$1:$626,MATCH($A726,'Исходник'!$T:$T,0),MATCH(AE$1,'Исходник'!$1:$1,0)))</f>
        <v/>
      </c>
      <c r="AF726" s="1" t="str">
        <f t="array" ref="AF726">IFERROR(INDEX('Исходник'!$1:$626,MATCH($A726,'Исходник'!$T:$T,0),MATCH(AF$1,'Исходник'!$1:$1,0)))</f>
        <v/>
      </c>
      <c r="AG726" s="27" t="str">
        <f t="shared" si="14"/>
        <v/>
      </c>
      <c r="AH726" s="1" t="str">
        <f t="array" ref="AH726">IFERROR(INDEX('Исходник'!$1:$626,MATCH($A726,'Исходник'!$T:$T,0),MATCH(AH$1,'Исходник'!$1:$1,0)))</f>
        <v/>
      </c>
      <c r="AI726" s="1" t="str">
        <f t="array" ref="AI726">IFERROR(INDEX('Исходник'!$1:$626,MATCH($A726,'Исходник'!$T:$T,0),MATCH(AI$1,'Исходник'!$1:$1,0)))</f>
        <v/>
      </c>
      <c r="AJ726" s="18">
        <f t="shared" si="15"/>
        <v>0</v>
      </c>
    </row>
    <row r="727" ht="15.75" customHeight="1">
      <c r="A727" s="27"/>
      <c r="B727" s="1" t="str">
        <f t="array" ref="B727">IFERROR(INDEX('Исходник'!$1:$626,MATCH($A727,'Исходник'!$T:$T,0),MATCH(B$1,'Исходник'!$1:$1,0)))</f>
        <v/>
      </c>
      <c r="C727" s="1" t="str">
        <f t="array" ref="C727">IFERROR(INDEX('Исходник'!$1:$626,MATCH($A727,'Исходник'!$T:$T,0),MATCH(C$1,'Исходник'!$1:$1,0)))</f>
        <v/>
      </c>
      <c r="D727" s="1" t="str">
        <f t="array" ref="D727">IFERROR(INDEX('Исходник'!$1:$626,MATCH($A727,'Исходник'!$T:$T,0),MATCH(D$1,'Исходник'!$1:$1,0)))</f>
        <v/>
      </c>
      <c r="E727" s="1" t="str">
        <f t="array" ref="E727">IFERROR(INDEX('Исходник'!$1:$626,MATCH($A727,'Исходник'!$T:$T,0),MATCH(E$1,'Исходник'!$1:$1,0)))</f>
        <v/>
      </c>
      <c r="F727" s="1" t="str">
        <f t="array" ref="F727">IFERROR(INDEX('Исходник'!$1:$626,MATCH($A727,'Исходник'!$T:$T,0),MATCH(F$1,'Исходник'!$1:$1,0)))</f>
        <v/>
      </c>
      <c r="G727" s="1" t="str">
        <f t="array" ref="G727">IFERROR(INDEX('Исходник'!$1:$626,MATCH($A727,'Исходник'!$T:$T,0),MATCH(G$1,'Исходник'!$1:$1,0)))</f>
        <v/>
      </c>
      <c r="H727" s="27">
        <f t="shared" si="1"/>
        <v>0</v>
      </c>
      <c r="I727" s="27" t="str">
        <f t="shared" si="2"/>
        <v/>
      </c>
      <c r="J727" s="1" t="str">
        <f t="array" ref="J727">IFERROR(INDEX('Исходник'!$1:$626,MATCH($A727,'Исходник'!$T:$T,0),MATCH(J$1,'Исходник'!$1:$1,0)))</f>
        <v/>
      </c>
      <c r="K727" s="27" t="str">
        <f t="shared" si="3"/>
        <v/>
      </c>
      <c r="L727" s="1" t="str">
        <f t="array" ref="L727">IFERROR(INDEX('Исходник'!$1:$626,MATCH($A727,'Исходник'!$T:$T,0),MATCH(L$1,'Исходник'!$1:$1,0)))</f>
        <v/>
      </c>
      <c r="M727" s="28">
        <f t="shared" si="4"/>
        <v>0</v>
      </c>
      <c r="N727" s="1" t="str">
        <f t="array" ref="N727">IFERROR(INDEX('Исходник'!$1:$626,MATCH($A727,'Исходник'!$T:$T,0),MATCH(N$1,'Исходник'!$1:$1,0)))</f>
        <v/>
      </c>
      <c r="O727" s="27">
        <f t="shared" si="5"/>
        <v>0</v>
      </c>
      <c r="P727" s="27" t="str">
        <f t="shared" si="6"/>
        <v/>
      </c>
      <c r="Q727" s="1" t="str">
        <f t="array" ref="Q727">IFERROR(INDEX('Исходник'!$1:$626,MATCH($A727,'Исходник'!$T:$T,0),MATCH(Q$1,'Исходник'!$1:$1,0)))</f>
        <v/>
      </c>
      <c r="R727" s="1" t="str">
        <f t="array" ref="R727">IFERROR(INDEX('Исходник'!$1:$626,MATCH($A727,'Исходник'!$T:$T,0),MATCH(R$1,'Исходник'!$1:$1,0)))</f>
        <v/>
      </c>
      <c r="S727" s="27">
        <f t="shared" si="7"/>
        <v>0</v>
      </c>
      <c r="T727" s="27" t="str">
        <f t="shared" si="8"/>
        <v/>
      </c>
      <c r="U727" s="1" t="str">
        <f t="array" ref="U727">IFERROR(INDEX('Исходник'!$1:$626,MATCH($A727,'Исходник'!$T:$T,0),MATCH(U$1,'Исходник'!$1:$1,0)))</f>
        <v/>
      </c>
      <c r="V727" s="27" t="str">
        <f t="shared" si="9"/>
        <v/>
      </c>
      <c r="W727" s="1" t="str">
        <f t="array" ref="W727">IFERROR(INDEX('Исходник'!$1:$626,MATCH($A727,'Исходник'!$T:$T,0),MATCH(W$1,'Исходник'!$1:$1,0)))</f>
        <v/>
      </c>
      <c r="X727" s="28">
        <f t="shared" si="10"/>
        <v>0</v>
      </c>
      <c r="Y727" s="1" t="str">
        <f t="array" ref="Y727">IFERROR(INDEX('Исходник'!$1:$626,MATCH($A727,'Исходник'!$T:$T,0),MATCH(Y$1,'Исходник'!$1:$1,0)))</f>
        <v/>
      </c>
      <c r="Z727" s="27">
        <f t="shared" si="11"/>
        <v>0</v>
      </c>
      <c r="AA727" s="27" t="str">
        <f t="shared" si="12"/>
        <v/>
      </c>
      <c r="AB727" s="1" t="str">
        <f t="array" ref="AB727">IFERROR(INDEX('Исходник'!$1:$626,MATCH($A727,'Исходник'!$T:$T,0),MATCH(AB$1,'Исходник'!$1:$1,0)))</f>
        <v/>
      </c>
      <c r="AC727" s="1" t="str">
        <f t="array" ref="AC727">IFERROR(INDEX('Исходник'!$1:$626,MATCH($A727,'Исходник'!$T:$T,0),MATCH(AC$1,'Исходник'!$1:$1,0)))</f>
        <v/>
      </c>
      <c r="AD727" s="27" t="str">
        <f t="shared" si="13"/>
        <v/>
      </c>
      <c r="AE727" s="1" t="str">
        <f t="array" ref="AE727">IFERROR(INDEX('Исходник'!$1:$626,MATCH($A727,'Исходник'!$T:$T,0),MATCH(AE$1,'Исходник'!$1:$1,0)))</f>
        <v/>
      </c>
      <c r="AF727" s="1" t="str">
        <f t="array" ref="AF727">IFERROR(INDEX('Исходник'!$1:$626,MATCH($A727,'Исходник'!$T:$T,0),MATCH(AF$1,'Исходник'!$1:$1,0)))</f>
        <v/>
      </c>
      <c r="AG727" s="27" t="str">
        <f t="shared" si="14"/>
        <v/>
      </c>
      <c r="AH727" s="1" t="str">
        <f t="array" ref="AH727">IFERROR(INDEX('Исходник'!$1:$626,MATCH($A727,'Исходник'!$T:$T,0),MATCH(AH$1,'Исходник'!$1:$1,0)))</f>
        <v/>
      </c>
      <c r="AI727" s="1" t="str">
        <f t="array" ref="AI727">IFERROR(INDEX('Исходник'!$1:$626,MATCH($A727,'Исходник'!$T:$T,0),MATCH(AI$1,'Исходник'!$1:$1,0)))</f>
        <v/>
      </c>
      <c r="AJ727" s="18">
        <f t="shared" si="15"/>
        <v>0</v>
      </c>
    </row>
    <row r="728" ht="15.75" customHeight="1">
      <c r="A728" s="27"/>
      <c r="B728" s="1" t="str">
        <f t="array" ref="B728">IFERROR(INDEX('Исходник'!$1:$626,MATCH($A728,'Исходник'!$T:$T,0),MATCH(B$1,'Исходник'!$1:$1,0)))</f>
        <v/>
      </c>
      <c r="C728" s="1" t="str">
        <f t="array" ref="C728">IFERROR(INDEX('Исходник'!$1:$626,MATCH($A728,'Исходник'!$T:$T,0),MATCH(C$1,'Исходник'!$1:$1,0)))</f>
        <v/>
      </c>
      <c r="D728" s="1" t="str">
        <f t="array" ref="D728">IFERROR(INDEX('Исходник'!$1:$626,MATCH($A728,'Исходник'!$T:$T,0),MATCH(D$1,'Исходник'!$1:$1,0)))</f>
        <v/>
      </c>
      <c r="E728" s="1" t="str">
        <f t="array" ref="E728">IFERROR(INDEX('Исходник'!$1:$626,MATCH($A728,'Исходник'!$T:$T,0),MATCH(E$1,'Исходник'!$1:$1,0)))</f>
        <v/>
      </c>
      <c r="F728" s="1" t="str">
        <f t="array" ref="F728">IFERROR(INDEX('Исходник'!$1:$626,MATCH($A728,'Исходник'!$T:$T,0),MATCH(F$1,'Исходник'!$1:$1,0)))</f>
        <v/>
      </c>
      <c r="G728" s="1" t="str">
        <f t="array" ref="G728">IFERROR(INDEX('Исходник'!$1:$626,MATCH($A728,'Исходник'!$T:$T,0),MATCH(G$1,'Исходник'!$1:$1,0)))</f>
        <v/>
      </c>
      <c r="H728" s="27">
        <f t="shared" si="1"/>
        <v>0</v>
      </c>
      <c r="I728" s="27" t="str">
        <f t="shared" si="2"/>
        <v/>
      </c>
      <c r="J728" s="1" t="str">
        <f t="array" ref="J728">IFERROR(INDEX('Исходник'!$1:$626,MATCH($A728,'Исходник'!$T:$T,0),MATCH(J$1,'Исходник'!$1:$1,0)))</f>
        <v/>
      </c>
      <c r="K728" s="27" t="str">
        <f t="shared" si="3"/>
        <v/>
      </c>
      <c r="L728" s="1" t="str">
        <f t="array" ref="L728">IFERROR(INDEX('Исходник'!$1:$626,MATCH($A728,'Исходник'!$T:$T,0),MATCH(L$1,'Исходник'!$1:$1,0)))</f>
        <v/>
      </c>
      <c r="M728" s="28">
        <f t="shared" si="4"/>
        <v>0</v>
      </c>
      <c r="N728" s="1" t="str">
        <f t="array" ref="N728">IFERROR(INDEX('Исходник'!$1:$626,MATCH($A728,'Исходник'!$T:$T,0),MATCH(N$1,'Исходник'!$1:$1,0)))</f>
        <v/>
      </c>
      <c r="O728" s="27">
        <f t="shared" si="5"/>
        <v>0</v>
      </c>
      <c r="P728" s="27" t="str">
        <f t="shared" si="6"/>
        <v/>
      </c>
      <c r="Q728" s="1" t="str">
        <f t="array" ref="Q728">IFERROR(INDEX('Исходник'!$1:$626,MATCH($A728,'Исходник'!$T:$T,0),MATCH(Q$1,'Исходник'!$1:$1,0)))</f>
        <v/>
      </c>
      <c r="R728" s="1" t="str">
        <f t="array" ref="R728">IFERROR(INDEX('Исходник'!$1:$626,MATCH($A728,'Исходник'!$T:$T,0),MATCH(R$1,'Исходник'!$1:$1,0)))</f>
        <v/>
      </c>
      <c r="S728" s="27">
        <f t="shared" si="7"/>
        <v>0</v>
      </c>
      <c r="T728" s="27" t="str">
        <f t="shared" si="8"/>
        <v/>
      </c>
      <c r="U728" s="1" t="str">
        <f t="array" ref="U728">IFERROR(INDEX('Исходник'!$1:$626,MATCH($A728,'Исходник'!$T:$T,0),MATCH(U$1,'Исходник'!$1:$1,0)))</f>
        <v/>
      </c>
      <c r="V728" s="27" t="str">
        <f t="shared" si="9"/>
        <v/>
      </c>
      <c r="W728" s="1" t="str">
        <f t="array" ref="W728">IFERROR(INDEX('Исходник'!$1:$626,MATCH($A728,'Исходник'!$T:$T,0),MATCH(W$1,'Исходник'!$1:$1,0)))</f>
        <v/>
      </c>
      <c r="X728" s="28">
        <f t="shared" si="10"/>
        <v>0</v>
      </c>
      <c r="Y728" s="1" t="str">
        <f t="array" ref="Y728">IFERROR(INDEX('Исходник'!$1:$626,MATCH($A728,'Исходник'!$T:$T,0),MATCH(Y$1,'Исходник'!$1:$1,0)))</f>
        <v/>
      </c>
      <c r="Z728" s="27">
        <f t="shared" si="11"/>
        <v>0</v>
      </c>
      <c r="AA728" s="27" t="str">
        <f t="shared" si="12"/>
        <v/>
      </c>
      <c r="AB728" s="1" t="str">
        <f t="array" ref="AB728">IFERROR(INDEX('Исходник'!$1:$626,MATCH($A728,'Исходник'!$T:$T,0),MATCH(AB$1,'Исходник'!$1:$1,0)))</f>
        <v/>
      </c>
      <c r="AC728" s="1" t="str">
        <f t="array" ref="AC728">IFERROR(INDEX('Исходник'!$1:$626,MATCH($A728,'Исходник'!$T:$T,0),MATCH(AC$1,'Исходник'!$1:$1,0)))</f>
        <v/>
      </c>
      <c r="AD728" s="27" t="str">
        <f t="shared" si="13"/>
        <v/>
      </c>
      <c r="AE728" s="1" t="str">
        <f t="array" ref="AE728">IFERROR(INDEX('Исходник'!$1:$626,MATCH($A728,'Исходник'!$T:$T,0),MATCH(AE$1,'Исходник'!$1:$1,0)))</f>
        <v/>
      </c>
      <c r="AF728" s="1" t="str">
        <f t="array" ref="AF728">IFERROR(INDEX('Исходник'!$1:$626,MATCH($A728,'Исходник'!$T:$T,0),MATCH(AF$1,'Исходник'!$1:$1,0)))</f>
        <v/>
      </c>
      <c r="AG728" s="27" t="str">
        <f t="shared" si="14"/>
        <v/>
      </c>
      <c r="AH728" s="1" t="str">
        <f t="array" ref="AH728">IFERROR(INDEX('Исходник'!$1:$626,MATCH($A728,'Исходник'!$T:$T,0),MATCH(AH$1,'Исходник'!$1:$1,0)))</f>
        <v/>
      </c>
      <c r="AI728" s="1" t="str">
        <f t="array" ref="AI728">IFERROR(INDEX('Исходник'!$1:$626,MATCH($A728,'Исходник'!$T:$T,0),MATCH(AI$1,'Исходник'!$1:$1,0)))</f>
        <v/>
      </c>
      <c r="AJ728" s="18">
        <f t="shared" si="15"/>
        <v>0</v>
      </c>
    </row>
    <row r="729" ht="15.75" customHeight="1">
      <c r="A729" s="27"/>
      <c r="B729" s="1" t="str">
        <f t="array" ref="B729">IFERROR(INDEX('Исходник'!$1:$626,MATCH($A729,'Исходник'!$T:$T,0),MATCH(B$1,'Исходник'!$1:$1,0)))</f>
        <v/>
      </c>
      <c r="C729" s="1" t="str">
        <f t="array" ref="C729">IFERROR(INDEX('Исходник'!$1:$626,MATCH($A729,'Исходник'!$T:$T,0),MATCH(C$1,'Исходник'!$1:$1,0)))</f>
        <v/>
      </c>
      <c r="D729" s="1" t="str">
        <f t="array" ref="D729">IFERROR(INDEX('Исходник'!$1:$626,MATCH($A729,'Исходник'!$T:$T,0),MATCH(D$1,'Исходник'!$1:$1,0)))</f>
        <v/>
      </c>
      <c r="E729" s="1" t="str">
        <f t="array" ref="E729">IFERROR(INDEX('Исходник'!$1:$626,MATCH($A729,'Исходник'!$T:$T,0),MATCH(E$1,'Исходник'!$1:$1,0)))</f>
        <v/>
      </c>
      <c r="F729" s="1" t="str">
        <f t="array" ref="F729">IFERROR(INDEX('Исходник'!$1:$626,MATCH($A729,'Исходник'!$T:$T,0),MATCH(F$1,'Исходник'!$1:$1,0)))</f>
        <v/>
      </c>
      <c r="G729" s="1" t="str">
        <f t="array" ref="G729">IFERROR(INDEX('Исходник'!$1:$626,MATCH($A729,'Исходник'!$T:$T,0),MATCH(G$1,'Исходник'!$1:$1,0)))</f>
        <v/>
      </c>
      <c r="H729" s="27">
        <f t="shared" si="1"/>
        <v>0</v>
      </c>
      <c r="I729" s="27" t="str">
        <f t="shared" si="2"/>
        <v/>
      </c>
      <c r="J729" s="1" t="str">
        <f t="array" ref="J729">IFERROR(INDEX('Исходник'!$1:$626,MATCH($A729,'Исходник'!$T:$T,0),MATCH(J$1,'Исходник'!$1:$1,0)))</f>
        <v/>
      </c>
      <c r="K729" s="27" t="str">
        <f t="shared" si="3"/>
        <v/>
      </c>
      <c r="L729" s="1" t="str">
        <f t="array" ref="L729">IFERROR(INDEX('Исходник'!$1:$626,MATCH($A729,'Исходник'!$T:$T,0),MATCH(L$1,'Исходник'!$1:$1,0)))</f>
        <v/>
      </c>
      <c r="M729" s="28">
        <f t="shared" si="4"/>
        <v>0</v>
      </c>
      <c r="N729" s="1" t="str">
        <f t="array" ref="N729">IFERROR(INDEX('Исходник'!$1:$626,MATCH($A729,'Исходник'!$T:$T,0),MATCH(N$1,'Исходник'!$1:$1,0)))</f>
        <v/>
      </c>
      <c r="O729" s="27">
        <f t="shared" si="5"/>
        <v>0</v>
      </c>
      <c r="P729" s="27" t="str">
        <f t="shared" si="6"/>
        <v/>
      </c>
      <c r="Q729" s="1" t="str">
        <f t="array" ref="Q729">IFERROR(INDEX('Исходник'!$1:$626,MATCH($A729,'Исходник'!$T:$T,0),MATCH(Q$1,'Исходник'!$1:$1,0)))</f>
        <v/>
      </c>
      <c r="R729" s="1" t="str">
        <f t="array" ref="R729">IFERROR(INDEX('Исходник'!$1:$626,MATCH($A729,'Исходник'!$T:$T,0),MATCH(R$1,'Исходник'!$1:$1,0)))</f>
        <v/>
      </c>
      <c r="S729" s="27">
        <f t="shared" si="7"/>
        <v>0</v>
      </c>
      <c r="T729" s="27" t="str">
        <f t="shared" si="8"/>
        <v/>
      </c>
      <c r="U729" s="1" t="str">
        <f t="array" ref="U729">IFERROR(INDEX('Исходник'!$1:$626,MATCH($A729,'Исходник'!$T:$T,0),MATCH(U$1,'Исходник'!$1:$1,0)))</f>
        <v/>
      </c>
      <c r="V729" s="27" t="str">
        <f t="shared" si="9"/>
        <v/>
      </c>
      <c r="W729" s="1" t="str">
        <f t="array" ref="W729">IFERROR(INDEX('Исходник'!$1:$626,MATCH($A729,'Исходник'!$T:$T,0),MATCH(W$1,'Исходник'!$1:$1,0)))</f>
        <v/>
      </c>
      <c r="X729" s="28">
        <f t="shared" si="10"/>
        <v>0</v>
      </c>
      <c r="Y729" s="1" t="str">
        <f t="array" ref="Y729">IFERROR(INDEX('Исходник'!$1:$626,MATCH($A729,'Исходник'!$T:$T,0),MATCH(Y$1,'Исходник'!$1:$1,0)))</f>
        <v/>
      </c>
      <c r="Z729" s="27">
        <f t="shared" si="11"/>
        <v>0</v>
      </c>
      <c r="AA729" s="27" t="str">
        <f t="shared" si="12"/>
        <v/>
      </c>
      <c r="AB729" s="1" t="str">
        <f t="array" ref="AB729">IFERROR(INDEX('Исходник'!$1:$626,MATCH($A729,'Исходник'!$T:$T,0),MATCH(AB$1,'Исходник'!$1:$1,0)))</f>
        <v/>
      </c>
      <c r="AC729" s="1" t="str">
        <f t="array" ref="AC729">IFERROR(INDEX('Исходник'!$1:$626,MATCH($A729,'Исходник'!$T:$T,0),MATCH(AC$1,'Исходник'!$1:$1,0)))</f>
        <v/>
      </c>
      <c r="AD729" s="27" t="str">
        <f t="shared" si="13"/>
        <v/>
      </c>
      <c r="AE729" s="1" t="str">
        <f t="array" ref="AE729">IFERROR(INDEX('Исходник'!$1:$626,MATCH($A729,'Исходник'!$T:$T,0),MATCH(AE$1,'Исходник'!$1:$1,0)))</f>
        <v/>
      </c>
      <c r="AF729" s="1" t="str">
        <f t="array" ref="AF729">IFERROR(INDEX('Исходник'!$1:$626,MATCH($A729,'Исходник'!$T:$T,0),MATCH(AF$1,'Исходник'!$1:$1,0)))</f>
        <v/>
      </c>
      <c r="AG729" s="27" t="str">
        <f t="shared" si="14"/>
        <v/>
      </c>
      <c r="AH729" s="1" t="str">
        <f t="array" ref="AH729">IFERROR(INDEX('Исходник'!$1:$626,MATCH($A729,'Исходник'!$T:$T,0),MATCH(AH$1,'Исходник'!$1:$1,0)))</f>
        <v/>
      </c>
      <c r="AI729" s="1" t="str">
        <f t="array" ref="AI729">IFERROR(INDEX('Исходник'!$1:$626,MATCH($A729,'Исходник'!$T:$T,0),MATCH(AI$1,'Исходник'!$1:$1,0)))</f>
        <v/>
      </c>
      <c r="AJ729" s="18">
        <f t="shared" si="15"/>
        <v>0</v>
      </c>
    </row>
    <row r="730" ht="15.75" customHeight="1">
      <c r="A730" s="27"/>
      <c r="B730" s="1" t="str">
        <f t="array" ref="B730">IFERROR(INDEX('Исходник'!$1:$626,MATCH($A730,'Исходник'!$T:$T,0),MATCH(B$1,'Исходник'!$1:$1,0)))</f>
        <v/>
      </c>
      <c r="C730" s="1" t="str">
        <f t="array" ref="C730">IFERROR(INDEX('Исходник'!$1:$626,MATCH($A730,'Исходник'!$T:$T,0),MATCH(C$1,'Исходник'!$1:$1,0)))</f>
        <v/>
      </c>
      <c r="D730" s="1" t="str">
        <f t="array" ref="D730">IFERROR(INDEX('Исходник'!$1:$626,MATCH($A730,'Исходник'!$T:$T,0),MATCH(D$1,'Исходник'!$1:$1,0)))</f>
        <v/>
      </c>
      <c r="E730" s="1" t="str">
        <f t="array" ref="E730">IFERROR(INDEX('Исходник'!$1:$626,MATCH($A730,'Исходник'!$T:$T,0),MATCH(E$1,'Исходник'!$1:$1,0)))</f>
        <v/>
      </c>
      <c r="F730" s="1" t="str">
        <f t="array" ref="F730">IFERROR(INDEX('Исходник'!$1:$626,MATCH($A730,'Исходник'!$T:$T,0),MATCH(F$1,'Исходник'!$1:$1,0)))</f>
        <v/>
      </c>
      <c r="G730" s="1" t="str">
        <f t="array" ref="G730">IFERROR(INDEX('Исходник'!$1:$626,MATCH($A730,'Исходник'!$T:$T,0),MATCH(G$1,'Исходник'!$1:$1,0)))</f>
        <v/>
      </c>
      <c r="H730" s="27">
        <f t="shared" si="1"/>
        <v>0</v>
      </c>
      <c r="I730" s="27" t="str">
        <f t="shared" si="2"/>
        <v/>
      </c>
      <c r="J730" s="1" t="str">
        <f t="array" ref="J730">IFERROR(INDEX('Исходник'!$1:$626,MATCH($A730,'Исходник'!$T:$T,0),MATCH(J$1,'Исходник'!$1:$1,0)))</f>
        <v/>
      </c>
      <c r="K730" s="27" t="str">
        <f t="shared" si="3"/>
        <v/>
      </c>
      <c r="L730" s="1" t="str">
        <f t="array" ref="L730">IFERROR(INDEX('Исходник'!$1:$626,MATCH($A730,'Исходник'!$T:$T,0),MATCH(L$1,'Исходник'!$1:$1,0)))</f>
        <v/>
      </c>
      <c r="M730" s="28">
        <f t="shared" si="4"/>
        <v>0</v>
      </c>
      <c r="N730" s="1" t="str">
        <f t="array" ref="N730">IFERROR(INDEX('Исходник'!$1:$626,MATCH($A730,'Исходник'!$T:$T,0),MATCH(N$1,'Исходник'!$1:$1,0)))</f>
        <v/>
      </c>
      <c r="O730" s="27">
        <f t="shared" si="5"/>
        <v>0</v>
      </c>
      <c r="P730" s="27" t="str">
        <f t="shared" si="6"/>
        <v/>
      </c>
      <c r="Q730" s="1" t="str">
        <f t="array" ref="Q730">IFERROR(INDEX('Исходник'!$1:$626,MATCH($A730,'Исходник'!$T:$T,0),MATCH(Q$1,'Исходник'!$1:$1,0)))</f>
        <v/>
      </c>
      <c r="R730" s="1" t="str">
        <f t="array" ref="R730">IFERROR(INDEX('Исходник'!$1:$626,MATCH($A730,'Исходник'!$T:$T,0),MATCH(R$1,'Исходник'!$1:$1,0)))</f>
        <v/>
      </c>
      <c r="S730" s="27">
        <f t="shared" si="7"/>
        <v>0</v>
      </c>
      <c r="T730" s="27" t="str">
        <f t="shared" si="8"/>
        <v/>
      </c>
      <c r="U730" s="1" t="str">
        <f t="array" ref="U730">IFERROR(INDEX('Исходник'!$1:$626,MATCH($A730,'Исходник'!$T:$T,0),MATCH(U$1,'Исходник'!$1:$1,0)))</f>
        <v/>
      </c>
      <c r="V730" s="27" t="str">
        <f t="shared" si="9"/>
        <v/>
      </c>
      <c r="W730" s="1" t="str">
        <f t="array" ref="W730">IFERROR(INDEX('Исходник'!$1:$626,MATCH($A730,'Исходник'!$T:$T,0),MATCH(W$1,'Исходник'!$1:$1,0)))</f>
        <v/>
      </c>
      <c r="X730" s="28">
        <f t="shared" si="10"/>
        <v>0</v>
      </c>
      <c r="Y730" s="1" t="str">
        <f t="array" ref="Y730">IFERROR(INDEX('Исходник'!$1:$626,MATCH($A730,'Исходник'!$T:$T,0),MATCH(Y$1,'Исходник'!$1:$1,0)))</f>
        <v/>
      </c>
      <c r="Z730" s="27">
        <f t="shared" si="11"/>
        <v>0</v>
      </c>
      <c r="AA730" s="27" t="str">
        <f t="shared" si="12"/>
        <v/>
      </c>
      <c r="AB730" s="1" t="str">
        <f t="array" ref="AB730">IFERROR(INDEX('Исходник'!$1:$626,MATCH($A730,'Исходник'!$T:$T,0),MATCH(AB$1,'Исходник'!$1:$1,0)))</f>
        <v/>
      </c>
      <c r="AC730" s="1" t="str">
        <f t="array" ref="AC730">IFERROR(INDEX('Исходник'!$1:$626,MATCH($A730,'Исходник'!$T:$T,0),MATCH(AC$1,'Исходник'!$1:$1,0)))</f>
        <v/>
      </c>
      <c r="AD730" s="27" t="str">
        <f t="shared" si="13"/>
        <v/>
      </c>
      <c r="AE730" s="1" t="str">
        <f t="array" ref="AE730">IFERROR(INDEX('Исходник'!$1:$626,MATCH($A730,'Исходник'!$T:$T,0),MATCH(AE$1,'Исходник'!$1:$1,0)))</f>
        <v/>
      </c>
      <c r="AF730" s="1" t="str">
        <f t="array" ref="AF730">IFERROR(INDEX('Исходник'!$1:$626,MATCH($A730,'Исходник'!$T:$T,0),MATCH(AF$1,'Исходник'!$1:$1,0)))</f>
        <v/>
      </c>
      <c r="AG730" s="27" t="str">
        <f t="shared" si="14"/>
        <v/>
      </c>
      <c r="AH730" s="1" t="str">
        <f t="array" ref="AH730">IFERROR(INDEX('Исходник'!$1:$626,MATCH($A730,'Исходник'!$T:$T,0),MATCH(AH$1,'Исходник'!$1:$1,0)))</f>
        <v/>
      </c>
      <c r="AI730" s="1" t="str">
        <f t="array" ref="AI730">IFERROR(INDEX('Исходник'!$1:$626,MATCH($A730,'Исходник'!$T:$T,0),MATCH(AI$1,'Исходник'!$1:$1,0)))</f>
        <v/>
      </c>
      <c r="AJ730" s="18">
        <f t="shared" si="15"/>
        <v>0</v>
      </c>
    </row>
    <row r="731" ht="15.75" customHeight="1">
      <c r="A731" s="27"/>
      <c r="B731" s="1" t="str">
        <f t="array" ref="B731">IFERROR(INDEX('Исходник'!$1:$626,MATCH($A731,'Исходник'!$T:$T,0),MATCH(B$1,'Исходник'!$1:$1,0)))</f>
        <v/>
      </c>
      <c r="C731" s="1" t="str">
        <f t="array" ref="C731">IFERROR(INDEX('Исходник'!$1:$626,MATCH($A731,'Исходник'!$T:$T,0),MATCH(C$1,'Исходник'!$1:$1,0)))</f>
        <v/>
      </c>
      <c r="D731" s="1" t="str">
        <f t="array" ref="D731">IFERROR(INDEX('Исходник'!$1:$626,MATCH($A731,'Исходник'!$T:$T,0),MATCH(D$1,'Исходник'!$1:$1,0)))</f>
        <v/>
      </c>
      <c r="E731" s="1" t="str">
        <f t="array" ref="E731">IFERROR(INDEX('Исходник'!$1:$626,MATCH($A731,'Исходник'!$T:$T,0),MATCH(E$1,'Исходник'!$1:$1,0)))</f>
        <v/>
      </c>
      <c r="F731" s="1" t="str">
        <f t="array" ref="F731">IFERROR(INDEX('Исходник'!$1:$626,MATCH($A731,'Исходник'!$T:$T,0),MATCH(F$1,'Исходник'!$1:$1,0)))</f>
        <v/>
      </c>
      <c r="G731" s="1" t="str">
        <f t="array" ref="G731">IFERROR(INDEX('Исходник'!$1:$626,MATCH($A731,'Исходник'!$T:$T,0),MATCH(G$1,'Исходник'!$1:$1,0)))</f>
        <v/>
      </c>
      <c r="H731" s="27">
        <f t="shared" si="1"/>
        <v>0</v>
      </c>
      <c r="I731" s="27" t="str">
        <f t="shared" si="2"/>
        <v/>
      </c>
      <c r="J731" s="1" t="str">
        <f t="array" ref="J731">IFERROR(INDEX('Исходник'!$1:$626,MATCH($A731,'Исходник'!$T:$T,0),MATCH(J$1,'Исходник'!$1:$1,0)))</f>
        <v/>
      </c>
      <c r="K731" s="27" t="str">
        <f t="shared" si="3"/>
        <v/>
      </c>
      <c r="L731" s="1" t="str">
        <f t="array" ref="L731">IFERROR(INDEX('Исходник'!$1:$626,MATCH($A731,'Исходник'!$T:$T,0),MATCH(L$1,'Исходник'!$1:$1,0)))</f>
        <v/>
      </c>
      <c r="M731" s="28">
        <f t="shared" si="4"/>
        <v>0</v>
      </c>
      <c r="N731" s="1" t="str">
        <f t="array" ref="N731">IFERROR(INDEX('Исходник'!$1:$626,MATCH($A731,'Исходник'!$T:$T,0),MATCH(N$1,'Исходник'!$1:$1,0)))</f>
        <v/>
      </c>
      <c r="O731" s="27">
        <f t="shared" si="5"/>
        <v>0</v>
      </c>
      <c r="P731" s="27" t="str">
        <f t="shared" si="6"/>
        <v/>
      </c>
      <c r="Q731" s="1" t="str">
        <f t="array" ref="Q731">IFERROR(INDEX('Исходник'!$1:$626,MATCH($A731,'Исходник'!$T:$T,0),MATCH(Q$1,'Исходник'!$1:$1,0)))</f>
        <v/>
      </c>
      <c r="R731" s="1" t="str">
        <f t="array" ref="R731">IFERROR(INDEX('Исходник'!$1:$626,MATCH($A731,'Исходник'!$T:$T,0),MATCH(R$1,'Исходник'!$1:$1,0)))</f>
        <v/>
      </c>
      <c r="S731" s="27">
        <f t="shared" si="7"/>
        <v>0</v>
      </c>
      <c r="T731" s="27" t="str">
        <f t="shared" si="8"/>
        <v/>
      </c>
      <c r="U731" s="1" t="str">
        <f t="array" ref="U731">IFERROR(INDEX('Исходник'!$1:$626,MATCH($A731,'Исходник'!$T:$T,0),MATCH(U$1,'Исходник'!$1:$1,0)))</f>
        <v/>
      </c>
      <c r="V731" s="27" t="str">
        <f t="shared" si="9"/>
        <v/>
      </c>
      <c r="W731" s="1" t="str">
        <f t="array" ref="W731">IFERROR(INDEX('Исходник'!$1:$626,MATCH($A731,'Исходник'!$T:$T,0),MATCH(W$1,'Исходник'!$1:$1,0)))</f>
        <v/>
      </c>
      <c r="X731" s="28">
        <f t="shared" si="10"/>
        <v>0</v>
      </c>
      <c r="Y731" s="1" t="str">
        <f t="array" ref="Y731">IFERROR(INDEX('Исходник'!$1:$626,MATCH($A731,'Исходник'!$T:$T,0),MATCH(Y$1,'Исходник'!$1:$1,0)))</f>
        <v/>
      </c>
      <c r="Z731" s="27">
        <f t="shared" si="11"/>
        <v>0</v>
      </c>
      <c r="AA731" s="27" t="str">
        <f t="shared" si="12"/>
        <v/>
      </c>
      <c r="AB731" s="1" t="str">
        <f t="array" ref="AB731">IFERROR(INDEX('Исходник'!$1:$626,MATCH($A731,'Исходник'!$T:$T,0),MATCH(AB$1,'Исходник'!$1:$1,0)))</f>
        <v/>
      </c>
      <c r="AC731" s="1" t="str">
        <f t="array" ref="AC731">IFERROR(INDEX('Исходник'!$1:$626,MATCH($A731,'Исходник'!$T:$T,0),MATCH(AC$1,'Исходник'!$1:$1,0)))</f>
        <v/>
      </c>
      <c r="AD731" s="27" t="str">
        <f t="shared" si="13"/>
        <v/>
      </c>
      <c r="AE731" s="1" t="str">
        <f t="array" ref="AE731">IFERROR(INDEX('Исходник'!$1:$626,MATCH($A731,'Исходник'!$T:$T,0),MATCH(AE$1,'Исходник'!$1:$1,0)))</f>
        <v/>
      </c>
      <c r="AF731" s="1" t="str">
        <f t="array" ref="AF731">IFERROR(INDEX('Исходник'!$1:$626,MATCH($A731,'Исходник'!$T:$T,0),MATCH(AF$1,'Исходник'!$1:$1,0)))</f>
        <v/>
      </c>
      <c r="AG731" s="27" t="str">
        <f t="shared" si="14"/>
        <v/>
      </c>
      <c r="AH731" s="1" t="str">
        <f t="array" ref="AH731">IFERROR(INDEX('Исходник'!$1:$626,MATCH($A731,'Исходник'!$T:$T,0),MATCH(AH$1,'Исходник'!$1:$1,0)))</f>
        <v/>
      </c>
      <c r="AI731" s="1" t="str">
        <f t="array" ref="AI731">IFERROR(INDEX('Исходник'!$1:$626,MATCH($A731,'Исходник'!$T:$T,0),MATCH(AI$1,'Исходник'!$1:$1,0)))</f>
        <v/>
      </c>
      <c r="AJ731" s="18">
        <f t="shared" si="15"/>
        <v>0</v>
      </c>
    </row>
    <row r="732" ht="15.75" customHeight="1">
      <c r="A732" s="27"/>
      <c r="B732" s="1" t="str">
        <f t="array" ref="B732">IFERROR(INDEX('Исходник'!$1:$626,MATCH($A732,'Исходник'!$T:$T,0),MATCH(B$1,'Исходник'!$1:$1,0)))</f>
        <v/>
      </c>
      <c r="C732" s="1" t="str">
        <f t="array" ref="C732">IFERROR(INDEX('Исходник'!$1:$626,MATCH($A732,'Исходник'!$T:$T,0),MATCH(C$1,'Исходник'!$1:$1,0)))</f>
        <v/>
      </c>
      <c r="D732" s="1" t="str">
        <f t="array" ref="D732">IFERROR(INDEX('Исходник'!$1:$626,MATCH($A732,'Исходник'!$T:$T,0),MATCH(D$1,'Исходник'!$1:$1,0)))</f>
        <v/>
      </c>
      <c r="E732" s="1" t="str">
        <f t="array" ref="E732">IFERROR(INDEX('Исходник'!$1:$626,MATCH($A732,'Исходник'!$T:$T,0),MATCH(E$1,'Исходник'!$1:$1,0)))</f>
        <v/>
      </c>
      <c r="F732" s="1" t="str">
        <f t="array" ref="F732">IFERROR(INDEX('Исходник'!$1:$626,MATCH($A732,'Исходник'!$T:$T,0),MATCH(F$1,'Исходник'!$1:$1,0)))</f>
        <v/>
      </c>
      <c r="G732" s="1" t="str">
        <f t="array" ref="G732">IFERROR(INDEX('Исходник'!$1:$626,MATCH($A732,'Исходник'!$T:$T,0),MATCH(G$1,'Исходник'!$1:$1,0)))</f>
        <v/>
      </c>
      <c r="H732" s="27">
        <f t="shared" si="1"/>
        <v>0</v>
      </c>
      <c r="I732" s="27" t="str">
        <f t="shared" si="2"/>
        <v/>
      </c>
      <c r="J732" s="1" t="str">
        <f t="array" ref="J732">IFERROR(INDEX('Исходник'!$1:$626,MATCH($A732,'Исходник'!$T:$T,0),MATCH(J$1,'Исходник'!$1:$1,0)))</f>
        <v/>
      </c>
      <c r="K732" s="27" t="str">
        <f t="shared" si="3"/>
        <v/>
      </c>
      <c r="L732" s="1" t="str">
        <f t="array" ref="L732">IFERROR(INDEX('Исходник'!$1:$626,MATCH($A732,'Исходник'!$T:$T,0),MATCH(L$1,'Исходник'!$1:$1,0)))</f>
        <v/>
      </c>
      <c r="M732" s="28">
        <f t="shared" si="4"/>
        <v>0</v>
      </c>
      <c r="N732" s="1" t="str">
        <f t="array" ref="N732">IFERROR(INDEX('Исходник'!$1:$626,MATCH($A732,'Исходник'!$T:$T,0),MATCH(N$1,'Исходник'!$1:$1,0)))</f>
        <v/>
      </c>
      <c r="O732" s="27">
        <f t="shared" si="5"/>
        <v>0</v>
      </c>
      <c r="P732" s="27" t="str">
        <f t="shared" si="6"/>
        <v/>
      </c>
      <c r="Q732" s="1" t="str">
        <f t="array" ref="Q732">IFERROR(INDEX('Исходник'!$1:$626,MATCH($A732,'Исходник'!$T:$T,0),MATCH(Q$1,'Исходник'!$1:$1,0)))</f>
        <v/>
      </c>
      <c r="R732" s="1" t="str">
        <f t="array" ref="R732">IFERROR(INDEX('Исходник'!$1:$626,MATCH($A732,'Исходник'!$T:$T,0),MATCH(R$1,'Исходник'!$1:$1,0)))</f>
        <v/>
      </c>
      <c r="S732" s="27">
        <f t="shared" si="7"/>
        <v>0</v>
      </c>
      <c r="T732" s="27" t="str">
        <f t="shared" si="8"/>
        <v/>
      </c>
      <c r="U732" s="1" t="str">
        <f t="array" ref="U732">IFERROR(INDEX('Исходник'!$1:$626,MATCH($A732,'Исходник'!$T:$T,0),MATCH(U$1,'Исходник'!$1:$1,0)))</f>
        <v/>
      </c>
      <c r="V732" s="27" t="str">
        <f t="shared" si="9"/>
        <v/>
      </c>
      <c r="W732" s="1" t="str">
        <f t="array" ref="W732">IFERROR(INDEX('Исходник'!$1:$626,MATCH($A732,'Исходник'!$T:$T,0),MATCH(W$1,'Исходник'!$1:$1,0)))</f>
        <v/>
      </c>
      <c r="X732" s="28">
        <f t="shared" si="10"/>
        <v>0</v>
      </c>
      <c r="Y732" s="1" t="str">
        <f t="array" ref="Y732">IFERROR(INDEX('Исходник'!$1:$626,MATCH($A732,'Исходник'!$T:$T,0),MATCH(Y$1,'Исходник'!$1:$1,0)))</f>
        <v/>
      </c>
      <c r="Z732" s="27">
        <f t="shared" si="11"/>
        <v>0</v>
      </c>
      <c r="AA732" s="27" t="str">
        <f t="shared" si="12"/>
        <v/>
      </c>
      <c r="AB732" s="1" t="str">
        <f t="array" ref="AB732">IFERROR(INDEX('Исходник'!$1:$626,MATCH($A732,'Исходник'!$T:$T,0),MATCH(AB$1,'Исходник'!$1:$1,0)))</f>
        <v/>
      </c>
      <c r="AC732" s="1" t="str">
        <f t="array" ref="AC732">IFERROR(INDEX('Исходник'!$1:$626,MATCH($A732,'Исходник'!$T:$T,0),MATCH(AC$1,'Исходник'!$1:$1,0)))</f>
        <v/>
      </c>
      <c r="AD732" s="27" t="str">
        <f t="shared" si="13"/>
        <v/>
      </c>
      <c r="AE732" s="1" t="str">
        <f t="array" ref="AE732">IFERROR(INDEX('Исходник'!$1:$626,MATCH($A732,'Исходник'!$T:$T,0),MATCH(AE$1,'Исходник'!$1:$1,0)))</f>
        <v/>
      </c>
      <c r="AF732" s="1" t="str">
        <f t="array" ref="AF732">IFERROR(INDEX('Исходник'!$1:$626,MATCH($A732,'Исходник'!$T:$T,0),MATCH(AF$1,'Исходник'!$1:$1,0)))</f>
        <v/>
      </c>
      <c r="AG732" s="27" t="str">
        <f t="shared" si="14"/>
        <v/>
      </c>
      <c r="AH732" s="1" t="str">
        <f t="array" ref="AH732">IFERROR(INDEX('Исходник'!$1:$626,MATCH($A732,'Исходник'!$T:$T,0),MATCH(AH$1,'Исходник'!$1:$1,0)))</f>
        <v/>
      </c>
      <c r="AI732" s="1" t="str">
        <f t="array" ref="AI732">IFERROR(INDEX('Исходник'!$1:$626,MATCH($A732,'Исходник'!$T:$T,0),MATCH(AI$1,'Исходник'!$1:$1,0)))</f>
        <v/>
      </c>
      <c r="AJ732" s="18">
        <f t="shared" si="15"/>
        <v>0</v>
      </c>
    </row>
    <row r="733" ht="15.75" customHeight="1">
      <c r="A733" s="27"/>
      <c r="B733" s="1" t="str">
        <f t="array" ref="B733">IFERROR(INDEX('Исходник'!$1:$626,MATCH($A733,'Исходник'!$T:$T,0),MATCH(B$1,'Исходник'!$1:$1,0)))</f>
        <v/>
      </c>
      <c r="C733" s="1" t="str">
        <f t="array" ref="C733">IFERROR(INDEX('Исходник'!$1:$626,MATCH($A733,'Исходник'!$T:$T,0),MATCH(C$1,'Исходник'!$1:$1,0)))</f>
        <v/>
      </c>
      <c r="D733" s="1" t="str">
        <f t="array" ref="D733">IFERROR(INDEX('Исходник'!$1:$626,MATCH($A733,'Исходник'!$T:$T,0),MATCH(D$1,'Исходник'!$1:$1,0)))</f>
        <v/>
      </c>
      <c r="E733" s="1" t="str">
        <f t="array" ref="E733">IFERROR(INDEX('Исходник'!$1:$626,MATCH($A733,'Исходник'!$T:$T,0),MATCH(E$1,'Исходник'!$1:$1,0)))</f>
        <v/>
      </c>
      <c r="F733" s="1" t="str">
        <f t="array" ref="F733">IFERROR(INDEX('Исходник'!$1:$626,MATCH($A733,'Исходник'!$T:$T,0),MATCH(F$1,'Исходник'!$1:$1,0)))</f>
        <v/>
      </c>
      <c r="G733" s="1" t="str">
        <f t="array" ref="G733">IFERROR(INDEX('Исходник'!$1:$626,MATCH($A733,'Исходник'!$T:$T,0),MATCH(G$1,'Исходник'!$1:$1,0)))</f>
        <v/>
      </c>
      <c r="H733" s="27">
        <f t="shared" si="1"/>
        <v>0</v>
      </c>
      <c r="I733" s="27" t="str">
        <f t="shared" si="2"/>
        <v/>
      </c>
      <c r="J733" s="1" t="str">
        <f t="array" ref="J733">IFERROR(INDEX('Исходник'!$1:$626,MATCH($A733,'Исходник'!$T:$T,0),MATCH(J$1,'Исходник'!$1:$1,0)))</f>
        <v/>
      </c>
      <c r="K733" s="27" t="str">
        <f t="shared" si="3"/>
        <v/>
      </c>
      <c r="L733" s="1" t="str">
        <f t="array" ref="L733">IFERROR(INDEX('Исходник'!$1:$626,MATCH($A733,'Исходник'!$T:$T,0),MATCH(L$1,'Исходник'!$1:$1,0)))</f>
        <v/>
      </c>
      <c r="M733" s="28">
        <f t="shared" si="4"/>
        <v>0</v>
      </c>
      <c r="N733" s="1" t="str">
        <f t="array" ref="N733">IFERROR(INDEX('Исходник'!$1:$626,MATCH($A733,'Исходник'!$T:$T,0),MATCH(N$1,'Исходник'!$1:$1,0)))</f>
        <v/>
      </c>
      <c r="O733" s="27">
        <f t="shared" si="5"/>
        <v>0</v>
      </c>
      <c r="P733" s="27" t="str">
        <f t="shared" si="6"/>
        <v/>
      </c>
      <c r="Q733" s="1" t="str">
        <f t="array" ref="Q733">IFERROR(INDEX('Исходник'!$1:$626,MATCH($A733,'Исходник'!$T:$T,0),MATCH(Q$1,'Исходник'!$1:$1,0)))</f>
        <v/>
      </c>
      <c r="R733" s="1" t="str">
        <f t="array" ref="R733">IFERROR(INDEX('Исходник'!$1:$626,MATCH($A733,'Исходник'!$T:$T,0),MATCH(R$1,'Исходник'!$1:$1,0)))</f>
        <v/>
      </c>
      <c r="S733" s="27">
        <f t="shared" si="7"/>
        <v>0</v>
      </c>
      <c r="T733" s="27" t="str">
        <f t="shared" si="8"/>
        <v/>
      </c>
      <c r="U733" s="1" t="str">
        <f t="array" ref="U733">IFERROR(INDEX('Исходник'!$1:$626,MATCH($A733,'Исходник'!$T:$T,0),MATCH(U$1,'Исходник'!$1:$1,0)))</f>
        <v/>
      </c>
      <c r="V733" s="27" t="str">
        <f t="shared" si="9"/>
        <v/>
      </c>
      <c r="W733" s="1" t="str">
        <f t="array" ref="W733">IFERROR(INDEX('Исходник'!$1:$626,MATCH($A733,'Исходник'!$T:$T,0),MATCH(W$1,'Исходник'!$1:$1,0)))</f>
        <v/>
      </c>
      <c r="X733" s="28">
        <f t="shared" si="10"/>
        <v>0</v>
      </c>
      <c r="Y733" s="1" t="str">
        <f t="array" ref="Y733">IFERROR(INDEX('Исходник'!$1:$626,MATCH($A733,'Исходник'!$T:$T,0),MATCH(Y$1,'Исходник'!$1:$1,0)))</f>
        <v/>
      </c>
      <c r="Z733" s="27">
        <f t="shared" si="11"/>
        <v>0</v>
      </c>
      <c r="AA733" s="27" t="str">
        <f t="shared" si="12"/>
        <v/>
      </c>
      <c r="AB733" s="1" t="str">
        <f t="array" ref="AB733">IFERROR(INDEX('Исходник'!$1:$626,MATCH($A733,'Исходник'!$T:$T,0),MATCH(AB$1,'Исходник'!$1:$1,0)))</f>
        <v/>
      </c>
      <c r="AC733" s="1" t="str">
        <f t="array" ref="AC733">IFERROR(INDEX('Исходник'!$1:$626,MATCH($A733,'Исходник'!$T:$T,0),MATCH(AC$1,'Исходник'!$1:$1,0)))</f>
        <v/>
      </c>
      <c r="AD733" s="27" t="str">
        <f t="shared" si="13"/>
        <v/>
      </c>
      <c r="AE733" s="1" t="str">
        <f t="array" ref="AE733">IFERROR(INDEX('Исходник'!$1:$626,MATCH($A733,'Исходник'!$T:$T,0),MATCH(AE$1,'Исходник'!$1:$1,0)))</f>
        <v/>
      </c>
      <c r="AF733" s="1" t="str">
        <f t="array" ref="AF733">IFERROR(INDEX('Исходник'!$1:$626,MATCH($A733,'Исходник'!$T:$T,0),MATCH(AF$1,'Исходник'!$1:$1,0)))</f>
        <v/>
      </c>
      <c r="AG733" s="27" t="str">
        <f t="shared" si="14"/>
        <v/>
      </c>
      <c r="AH733" s="1" t="str">
        <f t="array" ref="AH733">IFERROR(INDEX('Исходник'!$1:$626,MATCH($A733,'Исходник'!$T:$T,0),MATCH(AH$1,'Исходник'!$1:$1,0)))</f>
        <v/>
      </c>
      <c r="AI733" s="1" t="str">
        <f t="array" ref="AI733">IFERROR(INDEX('Исходник'!$1:$626,MATCH($A733,'Исходник'!$T:$T,0),MATCH(AI$1,'Исходник'!$1:$1,0)))</f>
        <v/>
      </c>
      <c r="AJ733" s="18">
        <f t="shared" si="15"/>
        <v>0</v>
      </c>
    </row>
    <row r="734" ht="15.75" customHeight="1">
      <c r="A734" s="27"/>
      <c r="B734" s="1" t="str">
        <f t="array" ref="B734">IFERROR(INDEX('Исходник'!$1:$626,MATCH($A734,'Исходник'!$T:$T,0),MATCH(B$1,'Исходник'!$1:$1,0)))</f>
        <v/>
      </c>
      <c r="C734" s="1" t="str">
        <f t="array" ref="C734">IFERROR(INDEX('Исходник'!$1:$626,MATCH($A734,'Исходник'!$T:$T,0),MATCH(C$1,'Исходник'!$1:$1,0)))</f>
        <v/>
      </c>
      <c r="D734" s="1" t="str">
        <f t="array" ref="D734">IFERROR(INDEX('Исходник'!$1:$626,MATCH($A734,'Исходник'!$T:$T,0),MATCH(D$1,'Исходник'!$1:$1,0)))</f>
        <v/>
      </c>
      <c r="E734" s="1" t="str">
        <f t="array" ref="E734">IFERROR(INDEX('Исходник'!$1:$626,MATCH($A734,'Исходник'!$T:$T,0),MATCH(E$1,'Исходник'!$1:$1,0)))</f>
        <v/>
      </c>
      <c r="F734" s="1" t="str">
        <f t="array" ref="F734">IFERROR(INDEX('Исходник'!$1:$626,MATCH($A734,'Исходник'!$T:$T,0),MATCH(F$1,'Исходник'!$1:$1,0)))</f>
        <v/>
      </c>
      <c r="G734" s="1" t="str">
        <f t="array" ref="G734">IFERROR(INDEX('Исходник'!$1:$626,MATCH($A734,'Исходник'!$T:$T,0),MATCH(G$1,'Исходник'!$1:$1,0)))</f>
        <v/>
      </c>
      <c r="H734" s="27">
        <f t="shared" si="1"/>
        <v>0</v>
      </c>
      <c r="I734" s="27" t="str">
        <f t="shared" si="2"/>
        <v/>
      </c>
      <c r="J734" s="1" t="str">
        <f t="array" ref="J734">IFERROR(INDEX('Исходник'!$1:$626,MATCH($A734,'Исходник'!$T:$T,0),MATCH(J$1,'Исходник'!$1:$1,0)))</f>
        <v/>
      </c>
      <c r="K734" s="27" t="str">
        <f t="shared" si="3"/>
        <v/>
      </c>
      <c r="L734" s="1" t="str">
        <f t="array" ref="L734">IFERROR(INDEX('Исходник'!$1:$626,MATCH($A734,'Исходник'!$T:$T,0),MATCH(L$1,'Исходник'!$1:$1,0)))</f>
        <v/>
      </c>
      <c r="M734" s="28">
        <f t="shared" si="4"/>
        <v>0</v>
      </c>
      <c r="N734" s="1" t="str">
        <f t="array" ref="N734">IFERROR(INDEX('Исходник'!$1:$626,MATCH($A734,'Исходник'!$T:$T,0),MATCH(N$1,'Исходник'!$1:$1,0)))</f>
        <v/>
      </c>
      <c r="O734" s="27">
        <f t="shared" si="5"/>
        <v>0</v>
      </c>
      <c r="P734" s="27" t="str">
        <f t="shared" si="6"/>
        <v/>
      </c>
      <c r="Q734" s="1" t="str">
        <f t="array" ref="Q734">IFERROR(INDEX('Исходник'!$1:$626,MATCH($A734,'Исходник'!$T:$T,0),MATCH(Q$1,'Исходник'!$1:$1,0)))</f>
        <v/>
      </c>
      <c r="R734" s="1" t="str">
        <f t="array" ref="R734">IFERROR(INDEX('Исходник'!$1:$626,MATCH($A734,'Исходник'!$T:$T,0),MATCH(R$1,'Исходник'!$1:$1,0)))</f>
        <v/>
      </c>
      <c r="S734" s="27">
        <f t="shared" si="7"/>
        <v>0</v>
      </c>
      <c r="T734" s="27" t="str">
        <f t="shared" si="8"/>
        <v/>
      </c>
      <c r="U734" s="1" t="str">
        <f t="array" ref="U734">IFERROR(INDEX('Исходник'!$1:$626,MATCH($A734,'Исходник'!$T:$T,0),MATCH(U$1,'Исходник'!$1:$1,0)))</f>
        <v/>
      </c>
      <c r="V734" s="27" t="str">
        <f t="shared" si="9"/>
        <v/>
      </c>
      <c r="W734" s="1" t="str">
        <f t="array" ref="W734">IFERROR(INDEX('Исходник'!$1:$626,MATCH($A734,'Исходник'!$T:$T,0),MATCH(W$1,'Исходник'!$1:$1,0)))</f>
        <v/>
      </c>
      <c r="X734" s="28">
        <f t="shared" si="10"/>
        <v>0</v>
      </c>
      <c r="Y734" s="1" t="str">
        <f t="array" ref="Y734">IFERROR(INDEX('Исходник'!$1:$626,MATCH($A734,'Исходник'!$T:$T,0),MATCH(Y$1,'Исходник'!$1:$1,0)))</f>
        <v/>
      </c>
      <c r="Z734" s="27">
        <f t="shared" si="11"/>
        <v>0</v>
      </c>
      <c r="AA734" s="27" t="str">
        <f t="shared" si="12"/>
        <v/>
      </c>
      <c r="AB734" s="1" t="str">
        <f t="array" ref="AB734">IFERROR(INDEX('Исходник'!$1:$626,MATCH($A734,'Исходник'!$T:$T,0),MATCH(AB$1,'Исходник'!$1:$1,0)))</f>
        <v/>
      </c>
      <c r="AC734" s="1" t="str">
        <f t="array" ref="AC734">IFERROR(INDEX('Исходник'!$1:$626,MATCH($A734,'Исходник'!$T:$T,0),MATCH(AC$1,'Исходник'!$1:$1,0)))</f>
        <v/>
      </c>
      <c r="AD734" s="27" t="str">
        <f t="shared" si="13"/>
        <v/>
      </c>
      <c r="AE734" s="1" t="str">
        <f t="array" ref="AE734">IFERROR(INDEX('Исходник'!$1:$626,MATCH($A734,'Исходник'!$T:$T,0),MATCH(AE$1,'Исходник'!$1:$1,0)))</f>
        <v/>
      </c>
      <c r="AF734" s="1" t="str">
        <f t="array" ref="AF734">IFERROR(INDEX('Исходник'!$1:$626,MATCH($A734,'Исходник'!$T:$T,0),MATCH(AF$1,'Исходник'!$1:$1,0)))</f>
        <v/>
      </c>
      <c r="AG734" s="27" t="str">
        <f t="shared" si="14"/>
        <v/>
      </c>
      <c r="AH734" s="1" t="str">
        <f t="array" ref="AH734">IFERROR(INDEX('Исходник'!$1:$626,MATCH($A734,'Исходник'!$T:$T,0),MATCH(AH$1,'Исходник'!$1:$1,0)))</f>
        <v/>
      </c>
      <c r="AI734" s="1" t="str">
        <f t="array" ref="AI734">IFERROR(INDEX('Исходник'!$1:$626,MATCH($A734,'Исходник'!$T:$T,0),MATCH(AI$1,'Исходник'!$1:$1,0)))</f>
        <v/>
      </c>
      <c r="AJ734" s="18">
        <f t="shared" si="15"/>
        <v>0</v>
      </c>
    </row>
    <row r="735" ht="15.75" customHeight="1">
      <c r="A735" s="27"/>
      <c r="B735" s="1" t="str">
        <f t="array" ref="B735">IFERROR(INDEX('Исходник'!$1:$626,MATCH($A735,'Исходник'!$T:$T,0),MATCH(B$1,'Исходник'!$1:$1,0)))</f>
        <v/>
      </c>
      <c r="C735" s="1" t="str">
        <f t="array" ref="C735">IFERROR(INDEX('Исходник'!$1:$626,MATCH($A735,'Исходник'!$T:$T,0),MATCH(C$1,'Исходник'!$1:$1,0)))</f>
        <v/>
      </c>
      <c r="D735" s="1" t="str">
        <f t="array" ref="D735">IFERROR(INDEX('Исходник'!$1:$626,MATCH($A735,'Исходник'!$T:$T,0),MATCH(D$1,'Исходник'!$1:$1,0)))</f>
        <v/>
      </c>
      <c r="E735" s="1" t="str">
        <f t="array" ref="E735">IFERROR(INDEX('Исходник'!$1:$626,MATCH($A735,'Исходник'!$T:$T,0),MATCH(E$1,'Исходник'!$1:$1,0)))</f>
        <v/>
      </c>
      <c r="F735" s="1" t="str">
        <f t="array" ref="F735">IFERROR(INDEX('Исходник'!$1:$626,MATCH($A735,'Исходник'!$T:$T,0),MATCH(F$1,'Исходник'!$1:$1,0)))</f>
        <v/>
      </c>
      <c r="G735" s="1" t="str">
        <f t="array" ref="G735">IFERROR(INDEX('Исходник'!$1:$626,MATCH($A735,'Исходник'!$T:$T,0),MATCH(G$1,'Исходник'!$1:$1,0)))</f>
        <v/>
      </c>
      <c r="H735" s="27">
        <f t="shared" si="1"/>
        <v>0</v>
      </c>
      <c r="I735" s="27" t="str">
        <f t="shared" si="2"/>
        <v/>
      </c>
      <c r="J735" s="1" t="str">
        <f t="array" ref="J735">IFERROR(INDEX('Исходник'!$1:$626,MATCH($A735,'Исходник'!$T:$T,0),MATCH(J$1,'Исходник'!$1:$1,0)))</f>
        <v/>
      </c>
      <c r="K735" s="27" t="str">
        <f t="shared" si="3"/>
        <v/>
      </c>
      <c r="L735" s="1" t="str">
        <f t="array" ref="L735">IFERROR(INDEX('Исходник'!$1:$626,MATCH($A735,'Исходник'!$T:$T,0),MATCH(L$1,'Исходник'!$1:$1,0)))</f>
        <v/>
      </c>
      <c r="M735" s="28">
        <f t="shared" si="4"/>
        <v>0</v>
      </c>
      <c r="N735" s="1" t="str">
        <f t="array" ref="N735">IFERROR(INDEX('Исходник'!$1:$626,MATCH($A735,'Исходник'!$T:$T,0),MATCH(N$1,'Исходник'!$1:$1,0)))</f>
        <v/>
      </c>
      <c r="O735" s="27">
        <f t="shared" si="5"/>
        <v>0</v>
      </c>
      <c r="P735" s="27" t="str">
        <f t="shared" si="6"/>
        <v/>
      </c>
      <c r="Q735" s="1" t="str">
        <f t="array" ref="Q735">IFERROR(INDEX('Исходник'!$1:$626,MATCH($A735,'Исходник'!$T:$T,0),MATCH(Q$1,'Исходник'!$1:$1,0)))</f>
        <v/>
      </c>
      <c r="R735" s="1" t="str">
        <f t="array" ref="R735">IFERROR(INDEX('Исходник'!$1:$626,MATCH($A735,'Исходник'!$T:$T,0),MATCH(R$1,'Исходник'!$1:$1,0)))</f>
        <v/>
      </c>
      <c r="S735" s="27">
        <f t="shared" si="7"/>
        <v>0</v>
      </c>
      <c r="T735" s="27" t="str">
        <f t="shared" si="8"/>
        <v/>
      </c>
      <c r="U735" s="1" t="str">
        <f t="array" ref="U735">IFERROR(INDEX('Исходник'!$1:$626,MATCH($A735,'Исходник'!$T:$T,0),MATCH(U$1,'Исходник'!$1:$1,0)))</f>
        <v/>
      </c>
      <c r="V735" s="27" t="str">
        <f t="shared" si="9"/>
        <v/>
      </c>
      <c r="W735" s="1" t="str">
        <f t="array" ref="W735">IFERROR(INDEX('Исходник'!$1:$626,MATCH($A735,'Исходник'!$T:$T,0),MATCH(W$1,'Исходник'!$1:$1,0)))</f>
        <v/>
      </c>
      <c r="X735" s="28">
        <f t="shared" si="10"/>
        <v>0</v>
      </c>
      <c r="Y735" s="1" t="str">
        <f t="array" ref="Y735">IFERROR(INDEX('Исходник'!$1:$626,MATCH($A735,'Исходник'!$T:$T,0),MATCH(Y$1,'Исходник'!$1:$1,0)))</f>
        <v/>
      </c>
      <c r="Z735" s="27">
        <f t="shared" si="11"/>
        <v>0</v>
      </c>
      <c r="AA735" s="27" t="str">
        <f t="shared" si="12"/>
        <v/>
      </c>
      <c r="AB735" s="1" t="str">
        <f t="array" ref="AB735">IFERROR(INDEX('Исходник'!$1:$626,MATCH($A735,'Исходник'!$T:$T,0),MATCH(AB$1,'Исходник'!$1:$1,0)))</f>
        <v/>
      </c>
      <c r="AC735" s="1" t="str">
        <f t="array" ref="AC735">IFERROR(INDEX('Исходник'!$1:$626,MATCH($A735,'Исходник'!$T:$T,0),MATCH(AC$1,'Исходник'!$1:$1,0)))</f>
        <v/>
      </c>
      <c r="AD735" s="27" t="str">
        <f t="shared" si="13"/>
        <v/>
      </c>
      <c r="AE735" s="1" t="str">
        <f t="array" ref="AE735">IFERROR(INDEX('Исходник'!$1:$626,MATCH($A735,'Исходник'!$T:$T,0),MATCH(AE$1,'Исходник'!$1:$1,0)))</f>
        <v/>
      </c>
      <c r="AF735" s="1" t="str">
        <f t="array" ref="AF735">IFERROR(INDEX('Исходник'!$1:$626,MATCH($A735,'Исходник'!$T:$T,0),MATCH(AF$1,'Исходник'!$1:$1,0)))</f>
        <v/>
      </c>
      <c r="AG735" s="27" t="str">
        <f t="shared" si="14"/>
        <v/>
      </c>
      <c r="AH735" s="1" t="str">
        <f t="array" ref="AH735">IFERROR(INDEX('Исходник'!$1:$626,MATCH($A735,'Исходник'!$T:$T,0),MATCH(AH$1,'Исходник'!$1:$1,0)))</f>
        <v/>
      </c>
      <c r="AI735" s="1" t="str">
        <f t="array" ref="AI735">IFERROR(INDEX('Исходник'!$1:$626,MATCH($A735,'Исходник'!$T:$T,0),MATCH(AI$1,'Исходник'!$1:$1,0)))</f>
        <v/>
      </c>
      <c r="AJ735" s="18">
        <f t="shared" si="15"/>
        <v>0</v>
      </c>
    </row>
    <row r="736" ht="15.75" customHeight="1">
      <c r="A736" s="27"/>
      <c r="B736" s="1" t="str">
        <f t="array" ref="B736">IFERROR(INDEX('Исходник'!$1:$626,MATCH($A736,'Исходник'!$T:$T,0),MATCH(B$1,'Исходник'!$1:$1,0)))</f>
        <v/>
      </c>
      <c r="C736" s="1" t="str">
        <f t="array" ref="C736">IFERROR(INDEX('Исходник'!$1:$626,MATCH($A736,'Исходник'!$T:$T,0),MATCH(C$1,'Исходник'!$1:$1,0)))</f>
        <v/>
      </c>
      <c r="D736" s="1" t="str">
        <f t="array" ref="D736">IFERROR(INDEX('Исходник'!$1:$626,MATCH($A736,'Исходник'!$T:$T,0),MATCH(D$1,'Исходник'!$1:$1,0)))</f>
        <v/>
      </c>
      <c r="E736" s="1" t="str">
        <f t="array" ref="E736">IFERROR(INDEX('Исходник'!$1:$626,MATCH($A736,'Исходник'!$T:$T,0),MATCH(E$1,'Исходник'!$1:$1,0)))</f>
        <v/>
      </c>
      <c r="F736" s="1" t="str">
        <f t="array" ref="F736">IFERROR(INDEX('Исходник'!$1:$626,MATCH($A736,'Исходник'!$T:$T,0),MATCH(F$1,'Исходник'!$1:$1,0)))</f>
        <v/>
      </c>
      <c r="G736" s="1" t="str">
        <f t="array" ref="G736">IFERROR(INDEX('Исходник'!$1:$626,MATCH($A736,'Исходник'!$T:$T,0),MATCH(G$1,'Исходник'!$1:$1,0)))</f>
        <v/>
      </c>
      <c r="H736" s="27">
        <f t="shared" si="1"/>
        <v>0</v>
      </c>
      <c r="I736" s="27" t="str">
        <f t="shared" si="2"/>
        <v/>
      </c>
      <c r="J736" s="1" t="str">
        <f t="array" ref="J736">IFERROR(INDEX('Исходник'!$1:$626,MATCH($A736,'Исходник'!$T:$T,0),MATCH(J$1,'Исходник'!$1:$1,0)))</f>
        <v/>
      </c>
      <c r="K736" s="27" t="str">
        <f t="shared" si="3"/>
        <v/>
      </c>
      <c r="L736" s="1" t="str">
        <f t="array" ref="L736">IFERROR(INDEX('Исходник'!$1:$626,MATCH($A736,'Исходник'!$T:$T,0),MATCH(L$1,'Исходник'!$1:$1,0)))</f>
        <v/>
      </c>
      <c r="M736" s="28">
        <f t="shared" si="4"/>
        <v>0</v>
      </c>
      <c r="N736" s="1" t="str">
        <f t="array" ref="N736">IFERROR(INDEX('Исходник'!$1:$626,MATCH($A736,'Исходник'!$T:$T,0),MATCH(N$1,'Исходник'!$1:$1,0)))</f>
        <v/>
      </c>
      <c r="O736" s="27">
        <f t="shared" si="5"/>
        <v>0</v>
      </c>
      <c r="P736" s="27" t="str">
        <f t="shared" si="6"/>
        <v/>
      </c>
      <c r="Q736" s="1" t="str">
        <f t="array" ref="Q736">IFERROR(INDEX('Исходник'!$1:$626,MATCH($A736,'Исходник'!$T:$T,0),MATCH(Q$1,'Исходник'!$1:$1,0)))</f>
        <v/>
      </c>
      <c r="R736" s="1" t="str">
        <f t="array" ref="R736">IFERROR(INDEX('Исходник'!$1:$626,MATCH($A736,'Исходник'!$T:$T,0),MATCH(R$1,'Исходник'!$1:$1,0)))</f>
        <v/>
      </c>
      <c r="S736" s="27">
        <f t="shared" si="7"/>
        <v>0</v>
      </c>
      <c r="T736" s="27" t="str">
        <f t="shared" si="8"/>
        <v/>
      </c>
      <c r="U736" s="1" t="str">
        <f t="array" ref="U736">IFERROR(INDEX('Исходник'!$1:$626,MATCH($A736,'Исходник'!$T:$T,0),MATCH(U$1,'Исходник'!$1:$1,0)))</f>
        <v/>
      </c>
      <c r="V736" s="27" t="str">
        <f t="shared" si="9"/>
        <v/>
      </c>
      <c r="W736" s="1" t="str">
        <f t="array" ref="W736">IFERROR(INDEX('Исходник'!$1:$626,MATCH($A736,'Исходник'!$T:$T,0),MATCH(W$1,'Исходник'!$1:$1,0)))</f>
        <v/>
      </c>
      <c r="X736" s="28">
        <f t="shared" si="10"/>
        <v>0</v>
      </c>
      <c r="Y736" s="1" t="str">
        <f t="array" ref="Y736">IFERROR(INDEX('Исходник'!$1:$626,MATCH($A736,'Исходник'!$T:$T,0),MATCH(Y$1,'Исходник'!$1:$1,0)))</f>
        <v/>
      </c>
      <c r="Z736" s="27">
        <f t="shared" si="11"/>
        <v>0</v>
      </c>
      <c r="AA736" s="27" t="str">
        <f t="shared" si="12"/>
        <v/>
      </c>
      <c r="AB736" s="1" t="str">
        <f t="array" ref="AB736">IFERROR(INDEX('Исходник'!$1:$626,MATCH($A736,'Исходник'!$T:$T,0),MATCH(AB$1,'Исходник'!$1:$1,0)))</f>
        <v/>
      </c>
      <c r="AC736" s="1" t="str">
        <f t="array" ref="AC736">IFERROR(INDEX('Исходник'!$1:$626,MATCH($A736,'Исходник'!$T:$T,0),MATCH(AC$1,'Исходник'!$1:$1,0)))</f>
        <v/>
      </c>
      <c r="AD736" s="27" t="str">
        <f t="shared" si="13"/>
        <v/>
      </c>
      <c r="AE736" s="1" t="str">
        <f t="array" ref="AE736">IFERROR(INDEX('Исходник'!$1:$626,MATCH($A736,'Исходник'!$T:$T,0),MATCH(AE$1,'Исходник'!$1:$1,0)))</f>
        <v/>
      </c>
      <c r="AF736" s="1" t="str">
        <f t="array" ref="AF736">IFERROR(INDEX('Исходник'!$1:$626,MATCH($A736,'Исходник'!$T:$T,0),MATCH(AF$1,'Исходник'!$1:$1,0)))</f>
        <v/>
      </c>
      <c r="AG736" s="27" t="str">
        <f t="shared" si="14"/>
        <v/>
      </c>
      <c r="AH736" s="1" t="str">
        <f t="array" ref="AH736">IFERROR(INDEX('Исходник'!$1:$626,MATCH($A736,'Исходник'!$T:$T,0),MATCH(AH$1,'Исходник'!$1:$1,0)))</f>
        <v/>
      </c>
      <c r="AI736" s="1" t="str">
        <f t="array" ref="AI736">IFERROR(INDEX('Исходник'!$1:$626,MATCH($A736,'Исходник'!$T:$T,0),MATCH(AI$1,'Исходник'!$1:$1,0)))</f>
        <v/>
      </c>
      <c r="AJ736" s="18">
        <f t="shared" si="15"/>
        <v>0</v>
      </c>
    </row>
    <row r="737" ht="15.75" customHeight="1">
      <c r="A737" s="27"/>
      <c r="B737" s="1" t="str">
        <f t="array" ref="B737">IFERROR(INDEX('Исходник'!$1:$626,MATCH($A737,'Исходник'!$T:$T,0),MATCH(B$1,'Исходник'!$1:$1,0)))</f>
        <v/>
      </c>
      <c r="C737" s="1" t="str">
        <f t="array" ref="C737">IFERROR(INDEX('Исходник'!$1:$626,MATCH($A737,'Исходник'!$T:$T,0),MATCH(C$1,'Исходник'!$1:$1,0)))</f>
        <v/>
      </c>
      <c r="D737" s="1" t="str">
        <f t="array" ref="D737">IFERROR(INDEX('Исходник'!$1:$626,MATCH($A737,'Исходник'!$T:$T,0),MATCH(D$1,'Исходник'!$1:$1,0)))</f>
        <v/>
      </c>
      <c r="E737" s="1" t="str">
        <f t="array" ref="E737">IFERROR(INDEX('Исходник'!$1:$626,MATCH($A737,'Исходник'!$T:$T,0),MATCH(E$1,'Исходник'!$1:$1,0)))</f>
        <v/>
      </c>
      <c r="F737" s="1" t="str">
        <f t="array" ref="F737">IFERROR(INDEX('Исходник'!$1:$626,MATCH($A737,'Исходник'!$T:$T,0),MATCH(F$1,'Исходник'!$1:$1,0)))</f>
        <v/>
      </c>
      <c r="G737" s="1" t="str">
        <f t="array" ref="G737">IFERROR(INDEX('Исходник'!$1:$626,MATCH($A737,'Исходник'!$T:$T,0),MATCH(G$1,'Исходник'!$1:$1,0)))</f>
        <v/>
      </c>
      <c r="H737" s="27">
        <f t="shared" si="1"/>
        <v>0</v>
      </c>
      <c r="I737" s="27" t="str">
        <f t="shared" si="2"/>
        <v/>
      </c>
      <c r="J737" s="1" t="str">
        <f t="array" ref="J737">IFERROR(INDEX('Исходник'!$1:$626,MATCH($A737,'Исходник'!$T:$T,0),MATCH(J$1,'Исходник'!$1:$1,0)))</f>
        <v/>
      </c>
      <c r="K737" s="27" t="str">
        <f t="shared" si="3"/>
        <v/>
      </c>
      <c r="L737" s="1" t="str">
        <f t="array" ref="L737">IFERROR(INDEX('Исходник'!$1:$626,MATCH($A737,'Исходник'!$T:$T,0),MATCH(L$1,'Исходник'!$1:$1,0)))</f>
        <v/>
      </c>
      <c r="M737" s="28">
        <f t="shared" si="4"/>
        <v>0</v>
      </c>
      <c r="N737" s="1" t="str">
        <f t="array" ref="N737">IFERROR(INDEX('Исходник'!$1:$626,MATCH($A737,'Исходник'!$T:$T,0),MATCH(N$1,'Исходник'!$1:$1,0)))</f>
        <v/>
      </c>
      <c r="O737" s="27">
        <f t="shared" si="5"/>
        <v>0</v>
      </c>
      <c r="P737" s="27" t="str">
        <f t="shared" si="6"/>
        <v/>
      </c>
      <c r="Q737" s="1" t="str">
        <f t="array" ref="Q737">IFERROR(INDEX('Исходник'!$1:$626,MATCH($A737,'Исходник'!$T:$T,0),MATCH(Q$1,'Исходник'!$1:$1,0)))</f>
        <v/>
      </c>
      <c r="R737" s="1" t="str">
        <f t="array" ref="R737">IFERROR(INDEX('Исходник'!$1:$626,MATCH($A737,'Исходник'!$T:$T,0),MATCH(R$1,'Исходник'!$1:$1,0)))</f>
        <v/>
      </c>
      <c r="S737" s="27">
        <f t="shared" si="7"/>
        <v>0</v>
      </c>
      <c r="T737" s="27" t="str">
        <f t="shared" si="8"/>
        <v/>
      </c>
      <c r="U737" s="1" t="str">
        <f t="array" ref="U737">IFERROR(INDEX('Исходник'!$1:$626,MATCH($A737,'Исходник'!$T:$T,0),MATCH(U$1,'Исходник'!$1:$1,0)))</f>
        <v/>
      </c>
      <c r="V737" s="27" t="str">
        <f t="shared" si="9"/>
        <v/>
      </c>
      <c r="W737" s="1" t="str">
        <f t="array" ref="W737">IFERROR(INDEX('Исходник'!$1:$626,MATCH($A737,'Исходник'!$T:$T,0),MATCH(W$1,'Исходник'!$1:$1,0)))</f>
        <v/>
      </c>
      <c r="X737" s="28">
        <f t="shared" si="10"/>
        <v>0</v>
      </c>
      <c r="Y737" s="1" t="str">
        <f t="array" ref="Y737">IFERROR(INDEX('Исходник'!$1:$626,MATCH($A737,'Исходник'!$T:$T,0),MATCH(Y$1,'Исходник'!$1:$1,0)))</f>
        <v/>
      </c>
      <c r="Z737" s="27">
        <f t="shared" si="11"/>
        <v>0</v>
      </c>
      <c r="AA737" s="27" t="str">
        <f t="shared" si="12"/>
        <v/>
      </c>
      <c r="AB737" s="1" t="str">
        <f t="array" ref="AB737">IFERROR(INDEX('Исходник'!$1:$626,MATCH($A737,'Исходник'!$T:$T,0),MATCH(AB$1,'Исходник'!$1:$1,0)))</f>
        <v/>
      </c>
      <c r="AC737" s="1" t="str">
        <f t="array" ref="AC737">IFERROR(INDEX('Исходник'!$1:$626,MATCH($A737,'Исходник'!$T:$T,0),MATCH(AC$1,'Исходник'!$1:$1,0)))</f>
        <v/>
      </c>
      <c r="AD737" s="27" t="str">
        <f t="shared" si="13"/>
        <v/>
      </c>
      <c r="AE737" s="1" t="str">
        <f t="array" ref="AE737">IFERROR(INDEX('Исходник'!$1:$626,MATCH($A737,'Исходник'!$T:$T,0),MATCH(AE$1,'Исходник'!$1:$1,0)))</f>
        <v/>
      </c>
      <c r="AF737" s="1" t="str">
        <f t="array" ref="AF737">IFERROR(INDEX('Исходник'!$1:$626,MATCH($A737,'Исходник'!$T:$T,0),MATCH(AF$1,'Исходник'!$1:$1,0)))</f>
        <v/>
      </c>
      <c r="AG737" s="27" t="str">
        <f t="shared" si="14"/>
        <v/>
      </c>
      <c r="AH737" s="1" t="str">
        <f t="array" ref="AH737">IFERROR(INDEX('Исходник'!$1:$626,MATCH($A737,'Исходник'!$T:$T,0),MATCH(AH$1,'Исходник'!$1:$1,0)))</f>
        <v/>
      </c>
      <c r="AI737" s="1" t="str">
        <f t="array" ref="AI737">IFERROR(INDEX('Исходник'!$1:$626,MATCH($A737,'Исходник'!$T:$T,0),MATCH(AI$1,'Исходник'!$1:$1,0)))</f>
        <v/>
      </c>
      <c r="AJ737" s="18">
        <f t="shared" si="15"/>
        <v>0</v>
      </c>
    </row>
    <row r="738" ht="15.75" customHeight="1">
      <c r="A738" s="27"/>
      <c r="B738" s="1" t="str">
        <f t="array" ref="B738">IFERROR(INDEX('Исходник'!$1:$626,MATCH($A738,'Исходник'!$T:$T,0),MATCH(B$1,'Исходник'!$1:$1,0)))</f>
        <v/>
      </c>
      <c r="C738" s="1" t="str">
        <f t="array" ref="C738">IFERROR(INDEX('Исходник'!$1:$626,MATCH($A738,'Исходник'!$T:$T,0),MATCH(C$1,'Исходник'!$1:$1,0)))</f>
        <v/>
      </c>
      <c r="D738" s="1" t="str">
        <f t="array" ref="D738">IFERROR(INDEX('Исходник'!$1:$626,MATCH($A738,'Исходник'!$T:$T,0),MATCH(D$1,'Исходник'!$1:$1,0)))</f>
        <v/>
      </c>
      <c r="E738" s="1" t="str">
        <f t="array" ref="E738">IFERROR(INDEX('Исходник'!$1:$626,MATCH($A738,'Исходник'!$T:$T,0),MATCH(E$1,'Исходник'!$1:$1,0)))</f>
        <v/>
      </c>
      <c r="F738" s="1" t="str">
        <f t="array" ref="F738">IFERROR(INDEX('Исходник'!$1:$626,MATCH($A738,'Исходник'!$T:$T,0),MATCH(F$1,'Исходник'!$1:$1,0)))</f>
        <v/>
      </c>
      <c r="G738" s="1" t="str">
        <f t="array" ref="G738">IFERROR(INDEX('Исходник'!$1:$626,MATCH($A738,'Исходник'!$T:$T,0),MATCH(G$1,'Исходник'!$1:$1,0)))</f>
        <v/>
      </c>
      <c r="H738" s="27">
        <f t="shared" si="1"/>
        <v>0</v>
      </c>
      <c r="I738" s="27" t="str">
        <f t="shared" si="2"/>
        <v/>
      </c>
      <c r="J738" s="1" t="str">
        <f t="array" ref="J738">IFERROR(INDEX('Исходник'!$1:$626,MATCH($A738,'Исходник'!$T:$T,0),MATCH(J$1,'Исходник'!$1:$1,0)))</f>
        <v/>
      </c>
      <c r="K738" s="27" t="str">
        <f t="shared" si="3"/>
        <v/>
      </c>
      <c r="L738" s="1" t="str">
        <f t="array" ref="L738">IFERROR(INDEX('Исходник'!$1:$626,MATCH($A738,'Исходник'!$T:$T,0),MATCH(L$1,'Исходник'!$1:$1,0)))</f>
        <v/>
      </c>
      <c r="M738" s="28">
        <f t="shared" si="4"/>
        <v>0</v>
      </c>
      <c r="N738" s="1" t="str">
        <f t="array" ref="N738">IFERROR(INDEX('Исходник'!$1:$626,MATCH($A738,'Исходник'!$T:$T,0),MATCH(N$1,'Исходник'!$1:$1,0)))</f>
        <v/>
      </c>
      <c r="O738" s="27">
        <f t="shared" si="5"/>
        <v>0</v>
      </c>
      <c r="P738" s="27" t="str">
        <f t="shared" si="6"/>
        <v/>
      </c>
      <c r="Q738" s="1" t="str">
        <f t="array" ref="Q738">IFERROR(INDEX('Исходник'!$1:$626,MATCH($A738,'Исходник'!$T:$T,0),MATCH(Q$1,'Исходник'!$1:$1,0)))</f>
        <v/>
      </c>
      <c r="R738" s="1" t="str">
        <f t="array" ref="R738">IFERROR(INDEX('Исходник'!$1:$626,MATCH($A738,'Исходник'!$T:$T,0),MATCH(R$1,'Исходник'!$1:$1,0)))</f>
        <v/>
      </c>
      <c r="S738" s="27">
        <f t="shared" si="7"/>
        <v>0</v>
      </c>
      <c r="T738" s="27" t="str">
        <f t="shared" si="8"/>
        <v/>
      </c>
      <c r="U738" s="1" t="str">
        <f t="array" ref="U738">IFERROR(INDEX('Исходник'!$1:$626,MATCH($A738,'Исходник'!$T:$T,0),MATCH(U$1,'Исходник'!$1:$1,0)))</f>
        <v/>
      </c>
      <c r="V738" s="27" t="str">
        <f t="shared" si="9"/>
        <v/>
      </c>
      <c r="W738" s="1" t="str">
        <f t="array" ref="W738">IFERROR(INDEX('Исходник'!$1:$626,MATCH($A738,'Исходник'!$T:$T,0),MATCH(W$1,'Исходник'!$1:$1,0)))</f>
        <v/>
      </c>
      <c r="X738" s="28">
        <f t="shared" si="10"/>
        <v>0</v>
      </c>
      <c r="Y738" s="1" t="str">
        <f t="array" ref="Y738">IFERROR(INDEX('Исходник'!$1:$626,MATCH($A738,'Исходник'!$T:$T,0),MATCH(Y$1,'Исходник'!$1:$1,0)))</f>
        <v/>
      </c>
      <c r="Z738" s="27">
        <f t="shared" si="11"/>
        <v>0</v>
      </c>
      <c r="AA738" s="27" t="str">
        <f t="shared" si="12"/>
        <v/>
      </c>
      <c r="AB738" s="1" t="str">
        <f t="array" ref="AB738">IFERROR(INDEX('Исходник'!$1:$626,MATCH($A738,'Исходник'!$T:$T,0),MATCH(AB$1,'Исходник'!$1:$1,0)))</f>
        <v/>
      </c>
      <c r="AC738" s="1" t="str">
        <f t="array" ref="AC738">IFERROR(INDEX('Исходник'!$1:$626,MATCH($A738,'Исходник'!$T:$T,0),MATCH(AC$1,'Исходник'!$1:$1,0)))</f>
        <v/>
      </c>
      <c r="AD738" s="27" t="str">
        <f t="shared" si="13"/>
        <v/>
      </c>
      <c r="AE738" s="1" t="str">
        <f t="array" ref="AE738">IFERROR(INDEX('Исходник'!$1:$626,MATCH($A738,'Исходник'!$T:$T,0),MATCH(AE$1,'Исходник'!$1:$1,0)))</f>
        <v/>
      </c>
      <c r="AF738" s="1" t="str">
        <f t="array" ref="AF738">IFERROR(INDEX('Исходник'!$1:$626,MATCH($A738,'Исходник'!$T:$T,0),MATCH(AF$1,'Исходник'!$1:$1,0)))</f>
        <v/>
      </c>
      <c r="AG738" s="27" t="str">
        <f t="shared" si="14"/>
        <v/>
      </c>
      <c r="AH738" s="1" t="str">
        <f t="array" ref="AH738">IFERROR(INDEX('Исходник'!$1:$626,MATCH($A738,'Исходник'!$T:$T,0),MATCH(AH$1,'Исходник'!$1:$1,0)))</f>
        <v/>
      </c>
      <c r="AI738" s="1" t="str">
        <f t="array" ref="AI738">IFERROR(INDEX('Исходник'!$1:$626,MATCH($A738,'Исходник'!$T:$T,0),MATCH(AI$1,'Исходник'!$1:$1,0)))</f>
        <v/>
      </c>
      <c r="AJ738" s="18">
        <f t="shared" si="15"/>
        <v>0</v>
      </c>
    </row>
    <row r="739" ht="15.75" customHeight="1">
      <c r="A739" s="27"/>
      <c r="B739" s="1" t="str">
        <f t="array" ref="B739">IFERROR(INDEX('Исходник'!$1:$626,MATCH($A739,'Исходник'!$T:$T,0),MATCH(B$1,'Исходник'!$1:$1,0)))</f>
        <v/>
      </c>
      <c r="C739" s="1" t="str">
        <f t="array" ref="C739">IFERROR(INDEX('Исходник'!$1:$626,MATCH($A739,'Исходник'!$T:$T,0),MATCH(C$1,'Исходник'!$1:$1,0)))</f>
        <v/>
      </c>
      <c r="D739" s="1" t="str">
        <f t="array" ref="D739">IFERROR(INDEX('Исходник'!$1:$626,MATCH($A739,'Исходник'!$T:$T,0),MATCH(D$1,'Исходник'!$1:$1,0)))</f>
        <v/>
      </c>
      <c r="E739" s="1" t="str">
        <f t="array" ref="E739">IFERROR(INDEX('Исходник'!$1:$626,MATCH($A739,'Исходник'!$T:$T,0),MATCH(E$1,'Исходник'!$1:$1,0)))</f>
        <v/>
      </c>
      <c r="F739" s="1" t="str">
        <f t="array" ref="F739">IFERROR(INDEX('Исходник'!$1:$626,MATCH($A739,'Исходник'!$T:$T,0),MATCH(F$1,'Исходник'!$1:$1,0)))</f>
        <v/>
      </c>
      <c r="G739" s="1" t="str">
        <f t="array" ref="G739">IFERROR(INDEX('Исходник'!$1:$626,MATCH($A739,'Исходник'!$T:$T,0),MATCH(G$1,'Исходник'!$1:$1,0)))</f>
        <v/>
      </c>
      <c r="H739" s="27">
        <f t="shared" si="1"/>
        <v>0</v>
      </c>
      <c r="I739" s="27" t="str">
        <f t="shared" si="2"/>
        <v/>
      </c>
      <c r="J739" s="1" t="str">
        <f t="array" ref="J739">IFERROR(INDEX('Исходник'!$1:$626,MATCH($A739,'Исходник'!$T:$T,0),MATCH(J$1,'Исходник'!$1:$1,0)))</f>
        <v/>
      </c>
      <c r="K739" s="27" t="str">
        <f t="shared" si="3"/>
        <v/>
      </c>
      <c r="L739" s="1" t="str">
        <f t="array" ref="L739">IFERROR(INDEX('Исходник'!$1:$626,MATCH($A739,'Исходник'!$T:$T,0),MATCH(L$1,'Исходник'!$1:$1,0)))</f>
        <v/>
      </c>
      <c r="M739" s="28">
        <f t="shared" si="4"/>
        <v>0</v>
      </c>
      <c r="N739" s="1" t="str">
        <f t="array" ref="N739">IFERROR(INDEX('Исходник'!$1:$626,MATCH($A739,'Исходник'!$T:$T,0),MATCH(N$1,'Исходник'!$1:$1,0)))</f>
        <v/>
      </c>
      <c r="O739" s="27">
        <f t="shared" si="5"/>
        <v>0</v>
      </c>
      <c r="P739" s="27" t="str">
        <f t="shared" si="6"/>
        <v/>
      </c>
      <c r="Q739" s="1" t="str">
        <f t="array" ref="Q739">IFERROR(INDEX('Исходник'!$1:$626,MATCH($A739,'Исходник'!$T:$T,0),MATCH(Q$1,'Исходник'!$1:$1,0)))</f>
        <v/>
      </c>
      <c r="R739" s="1" t="str">
        <f t="array" ref="R739">IFERROR(INDEX('Исходник'!$1:$626,MATCH($A739,'Исходник'!$T:$T,0),MATCH(R$1,'Исходник'!$1:$1,0)))</f>
        <v/>
      </c>
      <c r="S739" s="27">
        <f t="shared" si="7"/>
        <v>0</v>
      </c>
      <c r="T739" s="27" t="str">
        <f t="shared" si="8"/>
        <v/>
      </c>
      <c r="U739" s="1" t="str">
        <f t="array" ref="U739">IFERROR(INDEX('Исходник'!$1:$626,MATCH($A739,'Исходник'!$T:$T,0),MATCH(U$1,'Исходник'!$1:$1,0)))</f>
        <v/>
      </c>
      <c r="V739" s="27" t="str">
        <f t="shared" si="9"/>
        <v/>
      </c>
      <c r="W739" s="1" t="str">
        <f t="array" ref="W739">IFERROR(INDEX('Исходник'!$1:$626,MATCH($A739,'Исходник'!$T:$T,0),MATCH(W$1,'Исходник'!$1:$1,0)))</f>
        <v/>
      </c>
      <c r="X739" s="28">
        <f t="shared" si="10"/>
        <v>0</v>
      </c>
      <c r="Y739" s="1" t="str">
        <f t="array" ref="Y739">IFERROR(INDEX('Исходник'!$1:$626,MATCH($A739,'Исходник'!$T:$T,0),MATCH(Y$1,'Исходник'!$1:$1,0)))</f>
        <v/>
      </c>
      <c r="Z739" s="27">
        <f t="shared" si="11"/>
        <v>0</v>
      </c>
      <c r="AA739" s="27" t="str">
        <f t="shared" si="12"/>
        <v/>
      </c>
      <c r="AB739" s="1" t="str">
        <f t="array" ref="AB739">IFERROR(INDEX('Исходник'!$1:$626,MATCH($A739,'Исходник'!$T:$T,0),MATCH(AB$1,'Исходник'!$1:$1,0)))</f>
        <v/>
      </c>
      <c r="AC739" s="1" t="str">
        <f t="array" ref="AC739">IFERROR(INDEX('Исходник'!$1:$626,MATCH($A739,'Исходник'!$T:$T,0),MATCH(AC$1,'Исходник'!$1:$1,0)))</f>
        <v/>
      </c>
      <c r="AD739" s="27" t="str">
        <f t="shared" si="13"/>
        <v/>
      </c>
      <c r="AE739" s="1" t="str">
        <f t="array" ref="AE739">IFERROR(INDEX('Исходник'!$1:$626,MATCH($A739,'Исходник'!$T:$T,0),MATCH(AE$1,'Исходник'!$1:$1,0)))</f>
        <v/>
      </c>
      <c r="AF739" s="1" t="str">
        <f t="array" ref="AF739">IFERROR(INDEX('Исходник'!$1:$626,MATCH($A739,'Исходник'!$T:$T,0),MATCH(AF$1,'Исходник'!$1:$1,0)))</f>
        <v/>
      </c>
      <c r="AG739" s="27" t="str">
        <f t="shared" si="14"/>
        <v/>
      </c>
      <c r="AH739" s="1" t="str">
        <f t="array" ref="AH739">IFERROR(INDEX('Исходник'!$1:$626,MATCH($A739,'Исходник'!$T:$T,0),MATCH(AH$1,'Исходник'!$1:$1,0)))</f>
        <v/>
      </c>
      <c r="AI739" s="1" t="str">
        <f t="array" ref="AI739">IFERROR(INDEX('Исходник'!$1:$626,MATCH($A739,'Исходник'!$T:$T,0),MATCH(AI$1,'Исходник'!$1:$1,0)))</f>
        <v/>
      </c>
      <c r="AJ739" s="18">
        <f t="shared" si="15"/>
        <v>0</v>
      </c>
    </row>
    <row r="740" ht="15.75" customHeight="1">
      <c r="A740" s="27"/>
      <c r="B740" s="1" t="str">
        <f t="array" ref="B740">IFERROR(INDEX('Исходник'!$1:$626,MATCH($A740,'Исходник'!$T:$T,0),MATCH(B$1,'Исходник'!$1:$1,0)))</f>
        <v/>
      </c>
      <c r="C740" s="1" t="str">
        <f t="array" ref="C740">IFERROR(INDEX('Исходник'!$1:$626,MATCH($A740,'Исходник'!$T:$T,0),MATCH(C$1,'Исходник'!$1:$1,0)))</f>
        <v/>
      </c>
      <c r="D740" s="1" t="str">
        <f t="array" ref="D740">IFERROR(INDEX('Исходник'!$1:$626,MATCH($A740,'Исходник'!$T:$T,0),MATCH(D$1,'Исходник'!$1:$1,0)))</f>
        <v/>
      </c>
      <c r="E740" s="1" t="str">
        <f t="array" ref="E740">IFERROR(INDEX('Исходник'!$1:$626,MATCH($A740,'Исходник'!$T:$T,0),MATCH(E$1,'Исходник'!$1:$1,0)))</f>
        <v/>
      </c>
      <c r="F740" s="1" t="str">
        <f t="array" ref="F740">IFERROR(INDEX('Исходник'!$1:$626,MATCH($A740,'Исходник'!$T:$T,0),MATCH(F$1,'Исходник'!$1:$1,0)))</f>
        <v/>
      </c>
      <c r="G740" s="1" t="str">
        <f t="array" ref="G740">IFERROR(INDEX('Исходник'!$1:$626,MATCH($A740,'Исходник'!$T:$T,0),MATCH(G$1,'Исходник'!$1:$1,0)))</f>
        <v/>
      </c>
      <c r="H740" s="27">
        <f t="shared" si="1"/>
        <v>0</v>
      </c>
      <c r="I740" s="27" t="str">
        <f t="shared" si="2"/>
        <v/>
      </c>
      <c r="J740" s="1" t="str">
        <f t="array" ref="J740">IFERROR(INDEX('Исходник'!$1:$626,MATCH($A740,'Исходник'!$T:$T,0),MATCH(J$1,'Исходник'!$1:$1,0)))</f>
        <v/>
      </c>
      <c r="K740" s="27" t="str">
        <f t="shared" si="3"/>
        <v/>
      </c>
      <c r="L740" s="1" t="str">
        <f t="array" ref="L740">IFERROR(INDEX('Исходник'!$1:$626,MATCH($A740,'Исходник'!$T:$T,0),MATCH(L$1,'Исходник'!$1:$1,0)))</f>
        <v/>
      </c>
      <c r="M740" s="28">
        <f t="shared" si="4"/>
        <v>0</v>
      </c>
      <c r="N740" s="1" t="str">
        <f t="array" ref="N740">IFERROR(INDEX('Исходник'!$1:$626,MATCH($A740,'Исходник'!$T:$T,0),MATCH(N$1,'Исходник'!$1:$1,0)))</f>
        <v/>
      </c>
      <c r="O740" s="27">
        <f t="shared" si="5"/>
        <v>0</v>
      </c>
      <c r="P740" s="27" t="str">
        <f t="shared" si="6"/>
        <v/>
      </c>
      <c r="Q740" s="1" t="str">
        <f t="array" ref="Q740">IFERROR(INDEX('Исходник'!$1:$626,MATCH($A740,'Исходник'!$T:$T,0),MATCH(Q$1,'Исходник'!$1:$1,0)))</f>
        <v/>
      </c>
      <c r="R740" s="1" t="str">
        <f t="array" ref="R740">IFERROR(INDEX('Исходник'!$1:$626,MATCH($A740,'Исходник'!$T:$T,0),MATCH(R$1,'Исходник'!$1:$1,0)))</f>
        <v/>
      </c>
      <c r="S740" s="27">
        <f t="shared" si="7"/>
        <v>0</v>
      </c>
      <c r="T740" s="27" t="str">
        <f t="shared" si="8"/>
        <v/>
      </c>
      <c r="U740" s="1" t="str">
        <f t="array" ref="U740">IFERROR(INDEX('Исходник'!$1:$626,MATCH($A740,'Исходник'!$T:$T,0),MATCH(U$1,'Исходник'!$1:$1,0)))</f>
        <v/>
      </c>
      <c r="V740" s="27" t="str">
        <f t="shared" si="9"/>
        <v/>
      </c>
      <c r="W740" s="1" t="str">
        <f t="array" ref="W740">IFERROR(INDEX('Исходник'!$1:$626,MATCH($A740,'Исходник'!$T:$T,0),MATCH(W$1,'Исходник'!$1:$1,0)))</f>
        <v/>
      </c>
      <c r="X740" s="28">
        <f t="shared" si="10"/>
        <v>0</v>
      </c>
      <c r="Y740" s="1" t="str">
        <f t="array" ref="Y740">IFERROR(INDEX('Исходник'!$1:$626,MATCH($A740,'Исходник'!$T:$T,0),MATCH(Y$1,'Исходник'!$1:$1,0)))</f>
        <v/>
      </c>
      <c r="Z740" s="27">
        <f t="shared" si="11"/>
        <v>0</v>
      </c>
      <c r="AA740" s="27" t="str">
        <f t="shared" si="12"/>
        <v/>
      </c>
      <c r="AB740" s="1" t="str">
        <f t="array" ref="AB740">IFERROR(INDEX('Исходник'!$1:$626,MATCH($A740,'Исходник'!$T:$T,0),MATCH(AB$1,'Исходник'!$1:$1,0)))</f>
        <v/>
      </c>
      <c r="AC740" s="1" t="str">
        <f t="array" ref="AC740">IFERROR(INDEX('Исходник'!$1:$626,MATCH($A740,'Исходник'!$T:$T,0),MATCH(AC$1,'Исходник'!$1:$1,0)))</f>
        <v/>
      </c>
      <c r="AD740" s="27" t="str">
        <f t="shared" si="13"/>
        <v/>
      </c>
      <c r="AE740" s="1" t="str">
        <f t="array" ref="AE740">IFERROR(INDEX('Исходник'!$1:$626,MATCH($A740,'Исходник'!$T:$T,0),MATCH(AE$1,'Исходник'!$1:$1,0)))</f>
        <v/>
      </c>
      <c r="AF740" s="1" t="str">
        <f t="array" ref="AF740">IFERROR(INDEX('Исходник'!$1:$626,MATCH($A740,'Исходник'!$T:$T,0),MATCH(AF$1,'Исходник'!$1:$1,0)))</f>
        <v/>
      </c>
      <c r="AG740" s="27" t="str">
        <f t="shared" si="14"/>
        <v/>
      </c>
      <c r="AH740" s="1" t="str">
        <f t="array" ref="AH740">IFERROR(INDEX('Исходник'!$1:$626,MATCH($A740,'Исходник'!$T:$T,0),MATCH(AH$1,'Исходник'!$1:$1,0)))</f>
        <v/>
      </c>
      <c r="AI740" s="1" t="str">
        <f t="array" ref="AI740">IFERROR(INDEX('Исходник'!$1:$626,MATCH($A740,'Исходник'!$T:$T,0),MATCH(AI$1,'Исходник'!$1:$1,0)))</f>
        <v/>
      </c>
      <c r="AJ740" s="18">
        <f t="shared" si="15"/>
        <v>0</v>
      </c>
    </row>
    <row r="741" ht="15.75" customHeight="1">
      <c r="A741" s="27"/>
      <c r="B741" s="1" t="str">
        <f t="array" ref="B741">IFERROR(INDEX('Исходник'!$1:$626,MATCH($A741,'Исходник'!$T:$T,0),MATCH(B$1,'Исходник'!$1:$1,0)))</f>
        <v/>
      </c>
      <c r="C741" s="1" t="str">
        <f t="array" ref="C741">IFERROR(INDEX('Исходник'!$1:$626,MATCH($A741,'Исходник'!$T:$T,0),MATCH(C$1,'Исходник'!$1:$1,0)))</f>
        <v/>
      </c>
      <c r="D741" s="1" t="str">
        <f t="array" ref="D741">IFERROR(INDEX('Исходник'!$1:$626,MATCH($A741,'Исходник'!$T:$T,0),MATCH(D$1,'Исходник'!$1:$1,0)))</f>
        <v/>
      </c>
      <c r="E741" s="1" t="str">
        <f t="array" ref="E741">IFERROR(INDEX('Исходник'!$1:$626,MATCH($A741,'Исходник'!$T:$T,0),MATCH(E$1,'Исходник'!$1:$1,0)))</f>
        <v/>
      </c>
      <c r="F741" s="1" t="str">
        <f t="array" ref="F741">IFERROR(INDEX('Исходник'!$1:$626,MATCH($A741,'Исходник'!$T:$T,0),MATCH(F$1,'Исходник'!$1:$1,0)))</f>
        <v/>
      </c>
      <c r="G741" s="1" t="str">
        <f t="array" ref="G741">IFERROR(INDEX('Исходник'!$1:$626,MATCH($A741,'Исходник'!$T:$T,0),MATCH(G$1,'Исходник'!$1:$1,0)))</f>
        <v/>
      </c>
      <c r="H741" s="27">
        <f t="shared" si="1"/>
        <v>0</v>
      </c>
      <c r="I741" s="27" t="str">
        <f t="shared" si="2"/>
        <v/>
      </c>
      <c r="J741" s="1" t="str">
        <f t="array" ref="J741">IFERROR(INDEX('Исходник'!$1:$626,MATCH($A741,'Исходник'!$T:$T,0),MATCH(J$1,'Исходник'!$1:$1,0)))</f>
        <v/>
      </c>
      <c r="K741" s="27" t="str">
        <f t="shared" si="3"/>
        <v/>
      </c>
      <c r="L741" s="1" t="str">
        <f t="array" ref="L741">IFERROR(INDEX('Исходник'!$1:$626,MATCH($A741,'Исходник'!$T:$T,0),MATCH(L$1,'Исходник'!$1:$1,0)))</f>
        <v/>
      </c>
      <c r="M741" s="28">
        <f t="shared" si="4"/>
        <v>0</v>
      </c>
      <c r="N741" s="1" t="str">
        <f t="array" ref="N741">IFERROR(INDEX('Исходник'!$1:$626,MATCH($A741,'Исходник'!$T:$T,0),MATCH(N$1,'Исходник'!$1:$1,0)))</f>
        <v/>
      </c>
      <c r="O741" s="27">
        <f t="shared" si="5"/>
        <v>0</v>
      </c>
      <c r="P741" s="27" t="str">
        <f t="shared" si="6"/>
        <v/>
      </c>
      <c r="Q741" s="1" t="str">
        <f t="array" ref="Q741">IFERROR(INDEX('Исходник'!$1:$626,MATCH($A741,'Исходник'!$T:$T,0),MATCH(Q$1,'Исходник'!$1:$1,0)))</f>
        <v/>
      </c>
      <c r="R741" s="1" t="str">
        <f t="array" ref="R741">IFERROR(INDEX('Исходник'!$1:$626,MATCH($A741,'Исходник'!$T:$T,0),MATCH(R$1,'Исходник'!$1:$1,0)))</f>
        <v/>
      </c>
      <c r="S741" s="27">
        <f t="shared" si="7"/>
        <v>0</v>
      </c>
      <c r="T741" s="27" t="str">
        <f t="shared" si="8"/>
        <v/>
      </c>
      <c r="U741" s="1" t="str">
        <f t="array" ref="U741">IFERROR(INDEX('Исходник'!$1:$626,MATCH($A741,'Исходник'!$T:$T,0),MATCH(U$1,'Исходник'!$1:$1,0)))</f>
        <v/>
      </c>
      <c r="V741" s="27" t="str">
        <f t="shared" si="9"/>
        <v/>
      </c>
      <c r="W741" s="1" t="str">
        <f t="array" ref="W741">IFERROR(INDEX('Исходник'!$1:$626,MATCH($A741,'Исходник'!$T:$T,0),MATCH(W$1,'Исходник'!$1:$1,0)))</f>
        <v/>
      </c>
      <c r="X741" s="28">
        <f t="shared" si="10"/>
        <v>0</v>
      </c>
      <c r="Y741" s="1" t="str">
        <f t="array" ref="Y741">IFERROR(INDEX('Исходник'!$1:$626,MATCH($A741,'Исходник'!$T:$T,0),MATCH(Y$1,'Исходник'!$1:$1,0)))</f>
        <v/>
      </c>
      <c r="Z741" s="27">
        <f t="shared" si="11"/>
        <v>0</v>
      </c>
      <c r="AA741" s="27" t="str">
        <f t="shared" si="12"/>
        <v/>
      </c>
      <c r="AB741" s="1" t="str">
        <f t="array" ref="AB741">IFERROR(INDEX('Исходник'!$1:$626,MATCH($A741,'Исходник'!$T:$T,0),MATCH(AB$1,'Исходник'!$1:$1,0)))</f>
        <v/>
      </c>
      <c r="AC741" s="1" t="str">
        <f t="array" ref="AC741">IFERROR(INDEX('Исходник'!$1:$626,MATCH($A741,'Исходник'!$T:$T,0),MATCH(AC$1,'Исходник'!$1:$1,0)))</f>
        <v/>
      </c>
      <c r="AD741" s="27" t="str">
        <f t="shared" si="13"/>
        <v/>
      </c>
      <c r="AE741" s="1" t="str">
        <f t="array" ref="AE741">IFERROR(INDEX('Исходник'!$1:$626,MATCH($A741,'Исходник'!$T:$T,0),MATCH(AE$1,'Исходник'!$1:$1,0)))</f>
        <v/>
      </c>
      <c r="AF741" s="1" t="str">
        <f t="array" ref="AF741">IFERROR(INDEX('Исходник'!$1:$626,MATCH($A741,'Исходник'!$T:$T,0),MATCH(AF$1,'Исходник'!$1:$1,0)))</f>
        <v/>
      </c>
      <c r="AG741" s="27" t="str">
        <f t="shared" si="14"/>
        <v/>
      </c>
      <c r="AH741" s="1" t="str">
        <f t="array" ref="AH741">IFERROR(INDEX('Исходник'!$1:$626,MATCH($A741,'Исходник'!$T:$T,0),MATCH(AH$1,'Исходник'!$1:$1,0)))</f>
        <v/>
      </c>
      <c r="AI741" s="1" t="str">
        <f t="array" ref="AI741">IFERROR(INDEX('Исходник'!$1:$626,MATCH($A741,'Исходник'!$T:$T,0),MATCH(AI$1,'Исходник'!$1:$1,0)))</f>
        <v/>
      </c>
      <c r="AJ741" s="18">
        <f t="shared" si="15"/>
        <v>0</v>
      </c>
    </row>
    <row r="742" ht="15.75" customHeight="1">
      <c r="A742" s="27"/>
      <c r="B742" s="1" t="str">
        <f t="array" ref="B742">IFERROR(INDEX('Исходник'!$1:$626,MATCH($A742,'Исходник'!$T:$T,0),MATCH(B$1,'Исходник'!$1:$1,0)))</f>
        <v/>
      </c>
      <c r="C742" s="1" t="str">
        <f t="array" ref="C742">IFERROR(INDEX('Исходник'!$1:$626,MATCH($A742,'Исходник'!$T:$T,0),MATCH(C$1,'Исходник'!$1:$1,0)))</f>
        <v/>
      </c>
      <c r="D742" s="1" t="str">
        <f t="array" ref="D742">IFERROR(INDEX('Исходник'!$1:$626,MATCH($A742,'Исходник'!$T:$T,0),MATCH(D$1,'Исходник'!$1:$1,0)))</f>
        <v/>
      </c>
      <c r="E742" s="1" t="str">
        <f t="array" ref="E742">IFERROR(INDEX('Исходник'!$1:$626,MATCH($A742,'Исходник'!$T:$T,0),MATCH(E$1,'Исходник'!$1:$1,0)))</f>
        <v/>
      </c>
      <c r="F742" s="1" t="str">
        <f t="array" ref="F742">IFERROR(INDEX('Исходник'!$1:$626,MATCH($A742,'Исходник'!$T:$T,0),MATCH(F$1,'Исходник'!$1:$1,0)))</f>
        <v/>
      </c>
      <c r="G742" s="1" t="str">
        <f t="array" ref="G742">IFERROR(INDEX('Исходник'!$1:$626,MATCH($A742,'Исходник'!$T:$T,0),MATCH(G$1,'Исходник'!$1:$1,0)))</f>
        <v/>
      </c>
      <c r="H742" s="27">
        <f t="shared" si="1"/>
        <v>0</v>
      </c>
      <c r="I742" s="27" t="str">
        <f t="shared" si="2"/>
        <v/>
      </c>
      <c r="J742" s="1" t="str">
        <f t="array" ref="J742">IFERROR(INDEX('Исходник'!$1:$626,MATCH($A742,'Исходник'!$T:$T,0),MATCH(J$1,'Исходник'!$1:$1,0)))</f>
        <v/>
      </c>
      <c r="K742" s="27" t="str">
        <f t="shared" si="3"/>
        <v/>
      </c>
      <c r="L742" s="1" t="str">
        <f t="array" ref="L742">IFERROR(INDEX('Исходник'!$1:$626,MATCH($A742,'Исходник'!$T:$T,0),MATCH(L$1,'Исходник'!$1:$1,0)))</f>
        <v/>
      </c>
      <c r="M742" s="28">
        <f t="shared" si="4"/>
        <v>0</v>
      </c>
      <c r="N742" s="1" t="str">
        <f t="array" ref="N742">IFERROR(INDEX('Исходник'!$1:$626,MATCH($A742,'Исходник'!$T:$T,0),MATCH(N$1,'Исходник'!$1:$1,0)))</f>
        <v/>
      </c>
      <c r="O742" s="27">
        <f t="shared" si="5"/>
        <v>0</v>
      </c>
      <c r="P742" s="27" t="str">
        <f t="shared" si="6"/>
        <v/>
      </c>
      <c r="Q742" s="1" t="str">
        <f t="array" ref="Q742">IFERROR(INDEX('Исходник'!$1:$626,MATCH($A742,'Исходник'!$T:$T,0),MATCH(Q$1,'Исходник'!$1:$1,0)))</f>
        <v/>
      </c>
      <c r="R742" s="1" t="str">
        <f t="array" ref="R742">IFERROR(INDEX('Исходник'!$1:$626,MATCH($A742,'Исходник'!$T:$T,0),MATCH(R$1,'Исходник'!$1:$1,0)))</f>
        <v/>
      </c>
      <c r="S742" s="27">
        <f t="shared" si="7"/>
        <v>0</v>
      </c>
      <c r="T742" s="27" t="str">
        <f t="shared" si="8"/>
        <v/>
      </c>
      <c r="U742" s="1" t="str">
        <f t="array" ref="U742">IFERROR(INDEX('Исходник'!$1:$626,MATCH($A742,'Исходник'!$T:$T,0),MATCH(U$1,'Исходник'!$1:$1,0)))</f>
        <v/>
      </c>
      <c r="V742" s="27" t="str">
        <f t="shared" si="9"/>
        <v/>
      </c>
      <c r="W742" s="1" t="str">
        <f t="array" ref="W742">IFERROR(INDEX('Исходник'!$1:$626,MATCH($A742,'Исходник'!$T:$T,0),MATCH(W$1,'Исходник'!$1:$1,0)))</f>
        <v/>
      </c>
      <c r="X742" s="28">
        <f t="shared" si="10"/>
        <v>0</v>
      </c>
      <c r="Y742" s="1" t="str">
        <f t="array" ref="Y742">IFERROR(INDEX('Исходник'!$1:$626,MATCH($A742,'Исходник'!$T:$T,0),MATCH(Y$1,'Исходник'!$1:$1,0)))</f>
        <v/>
      </c>
      <c r="Z742" s="27">
        <f t="shared" si="11"/>
        <v>0</v>
      </c>
      <c r="AA742" s="27" t="str">
        <f t="shared" si="12"/>
        <v/>
      </c>
      <c r="AB742" s="1" t="str">
        <f t="array" ref="AB742">IFERROR(INDEX('Исходник'!$1:$626,MATCH($A742,'Исходник'!$T:$T,0),MATCH(AB$1,'Исходник'!$1:$1,0)))</f>
        <v/>
      </c>
      <c r="AC742" s="1" t="str">
        <f t="array" ref="AC742">IFERROR(INDEX('Исходник'!$1:$626,MATCH($A742,'Исходник'!$T:$T,0),MATCH(AC$1,'Исходник'!$1:$1,0)))</f>
        <v/>
      </c>
      <c r="AD742" s="27" t="str">
        <f t="shared" si="13"/>
        <v/>
      </c>
      <c r="AE742" s="1" t="str">
        <f t="array" ref="AE742">IFERROR(INDEX('Исходник'!$1:$626,MATCH($A742,'Исходник'!$T:$T,0),MATCH(AE$1,'Исходник'!$1:$1,0)))</f>
        <v/>
      </c>
      <c r="AF742" s="1" t="str">
        <f t="array" ref="AF742">IFERROR(INDEX('Исходник'!$1:$626,MATCH($A742,'Исходник'!$T:$T,0),MATCH(AF$1,'Исходник'!$1:$1,0)))</f>
        <v/>
      </c>
      <c r="AG742" s="27" t="str">
        <f t="shared" si="14"/>
        <v/>
      </c>
      <c r="AH742" s="1" t="str">
        <f t="array" ref="AH742">IFERROR(INDEX('Исходник'!$1:$626,MATCH($A742,'Исходник'!$T:$T,0),MATCH(AH$1,'Исходник'!$1:$1,0)))</f>
        <v/>
      </c>
      <c r="AI742" s="1" t="str">
        <f t="array" ref="AI742">IFERROR(INDEX('Исходник'!$1:$626,MATCH($A742,'Исходник'!$T:$T,0),MATCH(AI$1,'Исходник'!$1:$1,0)))</f>
        <v/>
      </c>
      <c r="AJ742" s="18">
        <f t="shared" si="15"/>
        <v>0</v>
      </c>
    </row>
    <row r="743" ht="15.75" customHeight="1">
      <c r="A743" s="27"/>
      <c r="B743" s="1" t="str">
        <f t="array" ref="B743">IFERROR(INDEX('Исходник'!$1:$626,MATCH($A743,'Исходник'!$T:$T,0),MATCH(B$1,'Исходник'!$1:$1,0)))</f>
        <v/>
      </c>
      <c r="C743" s="1" t="str">
        <f t="array" ref="C743">IFERROR(INDEX('Исходник'!$1:$626,MATCH($A743,'Исходник'!$T:$T,0),MATCH(C$1,'Исходник'!$1:$1,0)))</f>
        <v/>
      </c>
      <c r="D743" s="1" t="str">
        <f t="array" ref="D743">IFERROR(INDEX('Исходник'!$1:$626,MATCH($A743,'Исходник'!$T:$T,0),MATCH(D$1,'Исходник'!$1:$1,0)))</f>
        <v/>
      </c>
      <c r="E743" s="1" t="str">
        <f t="array" ref="E743">IFERROR(INDEX('Исходник'!$1:$626,MATCH($A743,'Исходник'!$T:$T,0),MATCH(E$1,'Исходник'!$1:$1,0)))</f>
        <v/>
      </c>
      <c r="F743" s="1" t="str">
        <f t="array" ref="F743">IFERROR(INDEX('Исходник'!$1:$626,MATCH($A743,'Исходник'!$T:$T,0),MATCH(F$1,'Исходник'!$1:$1,0)))</f>
        <v/>
      </c>
      <c r="G743" s="1" t="str">
        <f t="array" ref="G743">IFERROR(INDEX('Исходник'!$1:$626,MATCH($A743,'Исходник'!$T:$T,0),MATCH(G$1,'Исходник'!$1:$1,0)))</f>
        <v/>
      </c>
      <c r="H743" s="27">
        <f t="shared" si="1"/>
        <v>0</v>
      </c>
      <c r="I743" s="27" t="str">
        <f t="shared" si="2"/>
        <v/>
      </c>
      <c r="J743" s="1" t="str">
        <f t="array" ref="J743">IFERROR(INDEX('Исходник'!$1:$626,MATCH($A743,'Исходник'!$T:$T,0),MATCH(J$1,'Исходник'!$1:$1,0)))</f>
        <v/>
      </c>
      <c r="K743" s="27" t="str">
        <f t="shared" si="3"/>
        <v/>
      </c>
      <c r="L743" s="1" t="str">
        <f t="array" ref="L743">IFERROR(INDEX('Исходник'!$1:$626,MATCH($A743,'Исходник'!$T:$T,0),MATCH(L$1,'Исходник'!$1:$1,0)))</f>
        <v/>
      </c>
      <c r="M743" s="28">
        <f t="shared" si="4"/>
        <v>0</v>
      </c>
      <c r="N743" s="1" t="str">
        <f t="array" ref="N743">IFERROR(INDEX('Исходник'!$1:$626,MATCH($A743,'Исходник'!$T:$T,0),MATCH(N$1,'Исходник'!$1:$1,0)))</f>
        <v/>
      </c>
      <c r="O743" s="27">
        <f t="shared" si="5"/>
        <v>0</v>
      </c>
      <c r="P743" s="27" t="str">
        <f t="shared" si="6"/>
        <v/>
      </c>
      <c r="Q743" s="1" t="str">
        <f t="array" ref="Q743">IFERROR(INDEX('Исходник'!$1:$626,MATCH($A743,'Исходник'!$T:$T,0),MATCH(Q$1,'Исходник'!$1:$1,0)))</f>
        <v/>
      </c>
      <c r="R743" s="1" t="str">
        <f t="array" ref="R743">IFERROR(INDEX('Исходник'!$1:$626,MATCH($A743,'Исходник'!$T:$T,0),MATCH(R$1,'Исходник'!$1:$1,0)))</f>
        <v/>
      </c>
      <c r="S743" s="27">
        <f t="shared" si="7"/>
        <v>0</v>
      </c>
      <c r="T743" s="27" t="str">
        <f t="shared" si="8"/>
        <v/>
      </c>
      <c r="U743" s="1" t="str">
        <f t="array" ref="U743">IFERROR(INDEX('Исходник'!$1:$626,MATCH($A743,'Исходник'!$T:$T,0),MATCH(U$1,'Исходник'!$1:$1,0)))</f>
        <v/>
      </c>
      <c r="V743" s="27" t="str">
        <f t="shared" si="9"/>
        <v/>
      </c>
      <c r="W743" s="1" t="str">
        <f t="array" ref="W743">IFERROR(INDEX('Исходник'!$1:$626,MATCH($A743,'Исходник'!$T:$T,0),MATCH(W$1,'Исходник'!$1:$1,0)))</f>
        <v/>
      </c>
      <c r="X743" s="28">
        <f t="shared" si="10"/>
        <v>0</v>
      </c>
      <c r="Y743" s="1" t="str">
        <f t="array" ref="Y743">IFERROR(INDEX('Исходник'!$1:$626,MATCH($A743,'Исходник'!$T:$T,0),MATCH(Y$1,'Исходник'!$1:$1,0)))</f>
        <v/>
      </c>
      <c r="Z743" s="27">
        <f t="shared" si="11"/>
        <v>0</v>
      </c>
      <c r="AA743" s="27" t="str">
        <f t="shared" si="12"/>
        <v/>
      </c>
      <c r="AB743" s="1" t="str">
        <f t="array" ref="AB743">IFERROR(INDEX('Исходник'!$1:$626,MATCH($A743,'Исходник'!$T:$T,0),MATCH(AB$1,'Исходник'!$1:$1,0)))</f>
        <v/>
      </c>
      <c r="AC743" s="1" t="str">
        <f t="array" ref="AC743">IFERROR(INDEX('Исходник'!$1:$626,MATCH($A743,'Исходник'!$T:$T,0),MATCH(AC$1,'Исходник'!$1:$1,0)))</f>
        <v/>
      </c>
      <c r="AD743" s="27" t="str">
        <f t="shared" si="13"/>
        <v/>
      </c>
      <c r="AE743" s="1" t="str">
        <f t="array" ref="AE743">IFERROR(INDEX('Исходник'!$1:$626,MATCH($A743,'Исходник'!$T:$T,0),MATCH(AE$1,'Исходник'!$1:$1,0)))</f>
        <v/>
      </c>
      <c r="AF743" s="1" t="str">
        <f t="array" ref="AF743">IFERROR(INDEX('Исходник'!$1:$626,MATCH($A743,'Исходник'!$T:$T,0),MATCH(AF$1,'Исходник'!$1:$1,0)))</f>
        <v/>
      </c>
      <c r="AG743" s="27" t="str">
        <f t="shared" si="14"/>
        <v/>
      </c>
      <c r="AH743" s="1" t="str">
        <f t="array" ref="AH743">IFERROR(INDEX('Исходник'!$1:$626,MATCH($A743,'Исходник'!$T:$T,0),MATCH(AH$1,'Исходник'!$1:$1,0)))</f>
        <v/>
      </c>
      <c r="AI743" s="1" t="str">
        <f t="array" ref="AI743">IFERROR(INDEX('Исходник'!$1:$626,MATCH($A743,'Исходник'!$T:$T,0),MATCH(AI$1,'Исходник'!$1:$1,0)))</f>
        <v/>
      </c>
      <c r="AJ743" s="18">
        <f t="shared" si="15"/>
        <v>0</v>
      </c>
    </row>
    <row r="744" ht="15.75" customHeight="1">
      <c r="A744" s="27"/>
      <c r="B744" s="1" t="str">
        <f t="array" ref="B744">IFERROR(INDEX('Исходник'!$1:$626,MATCH($A744,'Исходник'!$T:$T,0),MATCH(B$1,'Исходник'!$1:$1,0)))</f>
        <v/>
      </c>
      <c r="C744" s="1" t="str">
        <f t="array" ref="C744">IFERROR(INDEX('Исходник'!$1:$626,MATCH($A744,'Исходник'!$T:$T,0),MATCH(C$1,'Исходник'!$1:$1,0)))</f>
        <v/>
      </c>
      <c r="D744" s="1" t="str">
        <f t="array" ref="D744">IFERROR(INDEX('Исходник'!$1:$626,MATCH($A744,'Исходник'!$T:$T,0),MATCH(D$1,'Исходник'!$1:$1,0)))</f>
        <v/>
      </c>
      <c r="E744" s="1" t="str">
        <f t="array" ref="E744">IFERROR(INDEX('Исходник'!$1:$626,MATCH($A744,'Исходник'!$T:$T,0),MATCH(E$1,'Исходник'!$1:$1,0)))</f>
        <v/>
      </c>
      <c r="F744" s="1" t="str">
        <f t="array" ref="F744">IFERROR(INDEX('Исходник'!$1:$626,MATCH($A744,'Исходник'!$T:$T,0),MATCH(F$1,'Исходник'!$1:$1,0)))</f>
        <v/>
      </c>
      <c r="G744" s="1" t="str">
        <f t="array" ref="G744">IFERROR(INDEX('Исходник'!$1:$626,MATCH($A744,'Исходник'!$T:$T,0),MATCH(G$1,'Исходник'!$1:$1,0)))</f>
        <v/>
      </c>
      <c r="H744" s="27">
        <f t="shared" si="1"/>
        <v>0</v>
      </c>
      <c r="I744" s="27" t="str">
        <f t="shared" si="2"/>
        <v/>
      </c>
      <c r="J744" s="1" t="str">
        <f t="array" ref="J744">IFERROR(INDEX('Исходник'!$1:$626,MATCH($A744,'Исходник'!$T:$T,0),MATCH(J$1,'Исходник'!$1:$1,0)))</f>
        <v/>
      </c>
      <c r="K744" s="27" t="str">
        <f t="shared" si="3"/>
        <v/>
      </c>
      <c r="L744" s="1" t="str">
        <f t="array" ref="L744">IFERROR(INDEX('Исходник'!$1:$626,MATCH($A744,'Исходник'!$T:$T,0),MATCH(L$1,'Исходник'!$1:$1,0)))</f>
        <v/>
      </c>
      <c r="M744" s="28">
        <f t="shared" si="4"/>
        <v>0</v>
      </c>
      <c r="N744" s="1" t="str">
        <f t="array" ref="N744">IFERROR(INDEX('Исходник'!$1:$626,MATCH($A744,'Исходник'!$T:$T,0),MATCH(N$1,'Исходник'!$1:$1,0)))</f>
        <v/>
      </c>
      <c r="O744" s="27">
        <f t="shared" si="5"/>
        <v>0</v>
      </c>
      <c r="P744" s="27" t="str">
        <f t="shared" si="6"/>
        <v/>
      </c>
      <c r="Q744" s="1" t="str">
        <f t="array" ref="Q744">IFERROR(INDEX('Исходник'!$1:$626,MATCH($A744,'Исходник'!$T:$T,0),MATCH(Q$1,'Исходник'!$1:$1,0)))</f>
        <v/>
      </c>
      <c r="R744" s="1" t="str">
        <f t="array" ref="R744">IFERROR(INDEX('Исходник'!$1:$626,MATCH($A744,'Исходник'!$T:$T,0),MATCH(R$1,'Исходник'!$1:$1,0)))</f>
        <v/>
      </c>
      <c r="S744" s="27">
        <f t="shared" si="7"/>
        <v>0</v>
      </c>
      <c r="T744" s="27" t="str">
        <f t="shared" si="8"/>
        <v/>
      </c>
      <c r="U744" s="1" t="str">
        <f t="array" ref="U744">IFERROR(INDEX('Исходник'!$1:$626,MATCH($A744,'Исходник'!$T:$T,0),MATCH(U$1,'Исходник'!$1:$1,0)))</f>
        <v/>
      </c>
      <c r="V744" s="27" t="str">
        <f t="shared" si="9"/>
        <v/>
      </c>
      <c r="W744" s="1" t="str">
        <f t="array" ref="W744">IFERROR(INDEX('Исходник'!$1:$626,MATCH($A744,'Исходник'!$T:$T,0),MATCH(W$1,'Исходник'!$1:$1,0)))</f>
        <v/>
      </c>
      <c r="X744" s="28">
        <f t="shared" si="10"/>
        <v>0</v>
      </c>
      <c r="Y744" s="1" t="str">
        <f t="array" ref="Y744">IFERROR(INDEX('Исходник'!$1:$626,MATCH($A744,'Исходник'!$T:$T,0),MATCH(Y$1,'Исходник'!$1:$1,0)))</f>
        <v/>
      </c>
      <c r="Z744" s="27">
        <f t="shared" si="11"/>
        <v>0</v>
      </c>
      <c r="AA744" s="27" t="str">
        <f t="shared" si="12"/>
        <v/>
      </c>
      <c r="AB744" s="1" t="str">
        <f t="array" ref="AB744">IFERROR(INDEX('Исходник'!$1:$626,MATCH($A744,'Исходник'!$T:$T,0),MATCH(AB$1,'Исходник'!$1:$1,0)))</f>
        <v/>
      </c>
      <c r="AC744" s="1" t="str">
        <f t="array" ref="AC744">IFERROR(INDEX('Исходник'!$1:$626,MATCH($A744,'Исходник'!$T:$T,0),MATCH(AC$1,'Исходник'!$1:$1,0)))</f>
        <v/>
      </c>
      <c r="AD744" s="27" t="str">
        <f t="shared" si="13"/>
        <v/>
      </c>
      <c r="AE744" s="1" t="str">
        <f t="array" ref="AE744">IFERROR(INDEX('Исходник'!$1:$626,MATCH($A744,'Исходник'!$T:$T,0),MATCH(AE$1,'Исходник'!$1:$1,0)))</f>
        <v/>
      </c>
      <c r="AF744" s="1" t="str">
        <f t="array" ref="AF744">IFERROR(INDEX('Исходник'!$1:$626,MATCH($A744,'Исходник'!$T:$T,0),MATCH(AF$1,'Исходник'!$1:$1,0)))</f>
        <v/>
      </c>
      <c r="AG744" s="27" t="str">
        <f t="shared" si="14"/>
        <v/>
      </c>
      <c r="AH744" s="1" t="str">
        <f t="array" ref="AH744">IFERROR(INDEX('Исходник'!$1:$626,MATCH($A744,'Исходник'!$T:$T,0),MATCH(AH$1,'Исходник'!$1:$1,0)))</f>
        <v/>
      </c>
      <c r="AI744" s="1" t="str">
        <f t="array" ref="AI744">IFERROR(INDEX('Исходник'!$1:$626,MATCH($A744,'Исходник'!$T:$T,0),MATCH(AI$1,'Исходник'!$1:$1,0)))</f>
        <v/>
      </c>
      <c r="AJ744" s="18">
        <f t="shared" si="15"/>
        <v>0</v>
      </c>
    </row>
    <row r="745" ht="15.75" customHeight="1">
      <c r="A745" s="27"/>
      <c r="B745" s="1" t="str">
        <f t="array" ref="B745">IFERROR(INDEX('Исходник'!$1:$626,MATCH($A745,'Исходник'!$T:$T,0),MATCH(B$1,'Исходник'!$1:$1,0)))</f>
        <v/>
      </c>
      <c r="C745" s="1" t="str">
        <f t="array" ref="C745">IFERROR(INDEX('Исходник'!$1:$626,MATCH($A745,'Исходник'!$T:$T,0),MATCH(C$1,'Исходник'!$1:$1,0)))</f>
        <v/>
      </c>
      <c r="D745" s="1" t="str">
        <f t="array" ref="D745">IFERROR(INDEX('Исходник'!$1:$626,MATCH($A745,'Исходник'!$T:$T,0),MATCH(D$1,'Исходник'!$1:$1,0)))</f>
        <v/>
      </c>
      <c r="E745" s="1" t="str">
        <f t="array" ref="E745">IFERROR(INDEX('Исходник'!$1:$626,MATCH($A745,'Исходник'!$T:$T,0),MATCH(E$1,'Исходник'!$1:$1,0)))</f>
        <v/>
      </c>
      <c r="F745" s="1" t="str">
        <f t="array" ref="F745">IFERROR(INDEX('Исходник'!$1:$626,MATCH($A745,'Исходник'!$T:$T,0),MATCH(F$1,'Исходник'!$1:$1,0)))</f>
        <v/>
      </c>
      <c r="G745" s="1" t="str">
        <f t="array" ref="G745">IFERROR(INDEX('Исходник'!$1:$626,MATCH($A745,'Исходник'!$T:$T,0),MATCH(G$1,'Исходник'!$1:$1,0)))</f>
        <v/>
      </c>
      <c r="H745" s="27">
        <f t="shared" si="1"/>
        <v>0</v>
      </c>
      <c r="I745" s="27" t="str">
        <f t="shared" si="2"/>
        <v/>
      </c>
      <c r="J745" s="1" t="str">
        <f t="array" ref="J745">IFERROR(INDEX('Исходник'!$1:$626,MATCH($A745,'Исходник'!$T:$T,0),MATCH(J$1,'Исходник'!$1:$1,0)))</f>
        <v/>
      </c>
      <c r="K745" s="27" t="str">
        <f t="shared" si="3"/>
        <v/>
      </c>
      <c r="L745" s="1" t="str">
        <f t="array" ref="L745">IFERROR(INDEX('Исходник'!$1:$626,MATCH($A745,'Исходник'!$T:$T,0),MATCH(L$1,'Исходник'!$1:$1,0)))</f>
        <v/>
      </c>
      <c r="M745" s="28">
        <f t="shared" si="4"/>
        <v>0</v>
      </c>
      <c r="N745" s="1" t="str">
        <f t="array" ref="N745">IFERROR(INDEX('Исходник'!$1:$626,MATCH($A745,'Исходник'!$T:$T,0),MATCH(N$1,'Исходник'!$1:$1,0)))</f>
        <v/>
      </c>
      <c r="O745" s="27">
        <f t="shared" si="5"/>
        <v>0</v>
      </c>
      <c r="P745" s="27" t="str">
        <f t="shared" si="6"/>
        <v/>
      </c>
      <c r="Q745" s="1" t="str">
        <f t="array" ref="Q745">IFERROR(INDEX('Исходник'!$1:$626,MATCH($A745,'Исходник'!$T:$T,0),MATCH(Q$1,'Исходник'!$1:$1,0)))</f>
        <v/>
      </c>
      <c r="R745" s="1" t="str">
        <f t="array" ref="R745">IFERROR(INDEX('Исходник'!$1:$626,MATCH($A745,'Исходник'!$T:$T,0),MATCH(R$1,'Исходник'!$1:$1,0)))</f>
        <v/>
      </c>
      <c r="S745" s="27">
        <f t="shared" si="7"/>
        <v>0</v>
      </c>
      <c r="T745" s="27" t="str">
        <f t="shared" si="8"/>
        <v/>
      </c>
      <c r="U745" s="1" t="str">
        <f t="array" ref="U745">IFERROR(INDEX('Исходник'!$1:$626,MATCH($A745,'Исходник'!$T:$T,0),MATCH(U$1,'Исходник'!$1:$1,0)))</f>
        <v/>
      </c>
      <c r="V745" s="27" t="str">
        <f t="shared" si="9"/>
        <v/>
      </c>
      <c r="W745" s="1" t="str">
        <f t="array" ref="W745">IFERROR(INDEX('Исходник'!$1:$626,MATCH($A745,'Исходник'!$T:$T,0),MATCH(W$1,'Исходник'!$1:$1,0)))</f>
        <v/>
      </c>
      <c r="X745" s="28">
        <f t="shared" si="10"/>
        <v>0</v>
      </c>
      <c r="Y745" s="1" t="str">
        <f t="array" ref="Y745">IFERROR(INDEX('Исходник'!$1:$626,MATCH($A745,'Исходник'!$T:$T,0),MATCH(Y$1,'Исходник'!$1:$1,0)))</f>
        <v/>
      </c>
      <c r="Z745" s="27">
        <f t="shared" si="11"/>
        <v>0</v>
      </c>
      <c r="AA745" s="27" t="str">
        <f t="shared" si="12"/>
        <v/>
      </c>
      <c r="AB745" s="1" t="str">
        <f t="array" ref="AB745">IFERROR(INDEX('Исходник'!$1:$626,MATCH($A745,'Исходник'!$T:$T,0),MATCH(AB$1,'Исходник'!$1:$1,0)))</f>
        <v/>
      </c>
      <c r="AC745" s="1" t="str">
        <f t="array" ref="AC745">IFERROR(INDEX('Исходник'!$1:$626,MATCH($A745,'Исходник'!$T:$T,0),MATCH(AC$1,'Исходник'!$1:$1,0)))</f>
        <v/>
      </c>
      <c r="AD745" s="27" t="str">
        <f t="shared" si="13"/>
        <v/>
      </c>
      <c r="AE745" s="1" t="str">
        <f t="array" ref="AE745">IFERROR(INDEX('Исходник'!$1:$626,MATCH($A745,'Исходник'!$T:$T,0),MATCH(AE$1,'Исходник'!$1:$1,0)))</f>
        <v/>
      </c>
      <c r="AF745" s="1" t="str">
        <f t="array" ref="AF745">IFERROR(INDEX('Исходник'!$1:$626,MATCH($A745,'Исходник'!$T:$T,0),MATCH(AF$1,'Исходник'!$1:$1,0)))</f>
        <v/>
      </c>
      <c r="AG745" s="27" t="str">
        <f t="shared" si="14"/>
        <v/>
      </c>
      <c r="AH745" s="1" t="str">
        <f t="array" ref="AH745">IFERROR(INDEX('Исходник'!$1:$626,MATCH($A745,'Исходник'!$T:$T,0),MATCH(AH$1,'Исходник'!$1:$1,0)))</f>
        <v/>
      </c>
      <c r="AI745" s="1" t="str">
        <f t="array" ref="AI745">IFERROR(INDEX('Исходник'!$1:$626,MATCH($A745,'Исходник'!$T:$T,0),MATCH(AI$1,'Исходник'!$1:$1,0)))</f>
        <v/>
      </c>
      <c r="AJ745" s="18">
        <f t="shared" si="15"/>
        <v>0</v>
      </c>
    </row>
    <row r="746" ht="15.75" customHeight="1">
      <c r="A746" s="27"/>
      <c r="B746" s="1" t="str">
        <f t="array" ref="B746">IFERROR(INDEX('Исходник'!$1:$626,MATCH($A746,'Исходник'!$T:$T,0),MATCH(B$1,'Исходник'!$1:$1,0)))</f>
        <v/>
      </c>
      <c r="C746" s="1" t="str">
        <f t="array" ref="C746">IFERROR(INDEX('Исходник'!$1:$626,MATCH($A746,'Исходник'!$T:$T,0),MATCH(C$1,'Исходник'!$1:$1,0)))</f>
        <v/>
      </c>
      <c r="D746" s="1" t="str">
        <f t="array" ref="D746">IFERROR(INDEX('Исходник'!$1:$626,MATCH($A746,'Исходник'!$T:$T,0),MATCH(D$1,'Исходник'!$1:$1,0)))</f>
        <v/>
      </c>
      <c r="E746" s="1" t="str">
        <f t="array" ref="E746">IFERROR(INDEX('Исходник'!$1:$626,MATCH($A746,'Исходник'!$T:$T,0),MATCH(E$1,'Исходник'!$1:$1,0)))</f>
        <v/>
      </c>
      <c r="F746" s="1" t="str">
        <f t="array" ref="F746">IFERROR(INDEX('Исходник'!$1:$626,MATCH($A746,'Исходник'!$T:$T,0),MATCH(F$1,'Исходник'!$1:$1,0)))</f>
        <v/>
      </c>
      <c r="G746" s="1" t="str">
        <f t="array" ref="G746">IFERROR(INDEX('Исходник'!$1:$626,MATCH($A746,'Исходник'!$T:$T,0),MATCH(G$1,'Исходник'!$1:$1,0)))</f>
        <v/>
      </c>
      <c r="H746" s="27">
        <f t="shared" si="1"/>
        <v>0</v>
      </c>
      <c r="I746" s="27" t="str">
        <f t="shared" si="2"/>
        <v/>
      </c>
      <c r="J746" s="1" t="str">
        <f t="array" ref="J746">IFERROR(INDEX('Исходник'!$1:$626,MATCH($A746,'Исходник'!$T:$T,0),MATCH(J$1,'Исходник'!$1:$1,0)))</f>
        <v/>
      </c>
      <c r="K746" s="27" t="str">
        <f t="shared" si="3"/>
        <v/>
      </c>
      <c r="L746" s="1" t="str">
        <f t="array" ref="L746">IFERROR(INDEX('Исходник'!$1:$626,MATCH($A746,'Исходник'!$T:$T,0),MATCH(L$1,'Исходник'!$1:$1,0)))</f>
        <v/>
      </c>
      <c r="M746" s="28">
        <f t="shared" si="4"/>
        <v>0</v>
      </c>
      <c r="N746" s="1" t="str">
        <f t="array" ref="N746">IFERROR(INDEX('Исходник'!$1:$626,MATCH($A746,'Исходник'!$T:$T,0),MATCH(N$1,'Исходник'!$1:$1,0)))</f>
        <v/>
      </c>
      <c r="O746" s="27">
        <f t="shared" si="5"/>
        <v>0</v>
      </c>
      <c r="P746" s="27" t="str">
        <f t="shared" si="6"/>
        <v/>
      </c>
      <c r="Q746" s="1" t="str">
        <f t="array" ref="Q746">IFERROR(INDEX('Исходник'!$1:$626,MATCH($A746,'Исходник'!$T:$T,0),MATCH(Q$1,'Исходник'!$1:$1,0)))</f>
        <v/>
      </c>
      <c r="R746" s="1" t="str">
        <f t="array" ref="R746">IFERROR(INDEX('Исходник'!$1:$626,MATCH($A746,'Исходник'!$T:$T,0),MATCH(R$1,'Исходник'!$1:$1,0)))</f>
        <v/>
      </c>
      <c r="S746" s="27">
        <f t="shared" si="7"/>
        <v>0</v>
      </c>
      <c r="T746" s="27" t="str">
        <f t="shared" si="8"/>
        <v/>
      </c>
      <c r="U746" s="1" t="str">
        <f t="array" ref="U746">IFERROR(INDEX('Исходник'!$1:$626,MATCH($A746,'Исходник'!$T:$T,0),MATCH(U$1,'Исходник'!$1:$1,0)))</f>
        <v/>
      </c>
      <c r="V746" s="27" t="str">
        <f t="shared" si="9"/>
        <v/>
      </c>
      <c r="W746" s="1" t="str">
        <f t="array" ref="W746">IFERROR(INDEX('Исходник'!$1:$626,MATCH($A746,'Исходник'!$T:$T,0),MATCH(W$1,'Исходник'!$1:$1,0)))</f>
        <v/>
      </c>
      <c r="X746" s="28">
        <f t="shared" si="10"/>
        <v>0</v>
      </c>
      <c r="Y746" s="1" t="str">
        <f t="array" ref="Y746">IFERROR(INDEX('Исходник'!$1:$626,MATCH($A746,'Исходник'!$T:$T,0),MATCH(Y$1,'Исходник'!$1:$1,0)))</f>
        <v/>
      </c>
      <c r="Z746" s="27">
        <f t="shared" si="11"/>
        <v>0</v>
      </c>
      <c r="AA746" s="27" t="str">
        <f t="shared" si="12"/>
        <v/>
      </c>
      <c r="AB746" s="1" t="str">
        <f t="array" ref="AB746">IFERROR(INDEX('Исходник'!$1:$626,MATCH($A746,'Исходник'!$T:$T,0),MATCH(AB$1,'Исходник'!$1:$1,0)))</f>
        <v/>
      </c>
      <c r="AC746" s="1" t="str">
        <f t="array" ref="AC746">IFERROR(INDEX('Исходник'!$1:$626,MATCH($A746,'Исходник'!$T:$T,0),MATCH(AC$1,'Исходник'!$1:$1,0)))</f>
        <v/>
      </c>
      <c r="AD746" s="27" t="str">
        <f t="shared" si="13"/>
        <v/>
      </c>
      <c r="AE746" s="1" t="str">
        <f t="array" ref="AE746">IFERROR(INDEX('Исходник'!$1:$626,MATCH($A746,'Исходник'!$T:$T,0),MATCH(AE$1,'Исходник'!$1:$1,0)))</f>
        <v/>
      </c>
      <c r="AF746" s="1" t="str">
        <f t="array" ref="AF746">IFERROR(INDEX('Исходник'!$1:$626,MATCH($A746,'Исходник'!$T:$T,0),MATCH(AF$1,'Исходник'!$1:$1,0)))</f>
        <v/>
      </c>
      <c r="AG746" s="27" t="str">
        <f t="shared" si="14"/>
        <v/>
      </c>
      <c r="AH746" s="1" t="str">
        <f t="array" ref="AH746">IFERROR(INDEX('Исходник'!$1:$626,MATCH($A746,'Исходник'!$T:$T,0),MATCH(AH$1,'Исходник'!$1:$1,0)))</f>
        <v/>
      </c>
      <c r="AI746" s="1" t="str">
        <f t="array" ref="AI746">IFERROR(INDEX('Исходник'!$1:$626,MATCH($A746,'Исходник'!$T:$T,0),MATCH(AI$1,'Исходник'!$1:$1,0)))</f>
        <v/>
      </c>
      <c r="AJ746" s="18">
        <f t="shared" si="15"/>
        <v>0</v>
      </c>
    </row>
    <row r="747" ht="15.75" customHeight="1">
      <c r="A747" s="27"/>
      <c r="B747" s="1" t="str">
        <f t="array" ref="B747">IFERROR(INDEX('Исходник'!$1:$626,MATCH($A747,'Исходник'!$T:$T,0),MATCH(B$1,'Исходник'!$1:$1,0)))</f>
        <v/>
      </c>
      <c r="C747" s="1" t="str">
        <f t="array" ref="C747">IFERROR(INDEX('Исходник'!$1:$626,MATCH($A747,'Исходник'!$T:$T,0),MATCH(C$1,'Исходник'!$1:$1,0)))</f>
        <v/>
      </c>
      <c r="D747" s="1" t="str">
        <f t="array" ref="D747">IFERROR(INDEX('Исходник'!$1:$626,MATCH($A747,'Исходник'!$T:$T,0),MATCH(D$1,'Исходник'!$1:$1,0)))</f>
        <v/>
      </c>
      <c r="E747" s="1" t="str">
        <f t="array" ref="E747">IFERROR(INDEX('Исходник'!$1:$626,MATCH($A747,'Исходник'!$T:$T,0),MATCH(E$1,'Исходник'!$1:$1,0)))</f>
        <v/>
      </c>
      <c r="F747" s="1" t="str">
        <f t="array" ref="F747">IFERROR(INDEX('Исходник'!$1:$626,MATCH($A747,'Исходник'!$T:$T,0),MATCH(F$1,'Исходник'!$1:$1,0)))</f>
        <v/>
      </c>
      <c r="G747" s="1" t="str">
        <f t="array" ref="G747">IFERROR(INDEX('Исходник'!$1:$626,MATCH($A747,'Исходник'!$T:$T,0),MATCH(G$1,'Исходник'!$1:$1,0)))</f>
        <v/>
      </c>
      <c r="H747" s="27">
        <f t="shared" si="1"/>
        <v>0</v>
      </c>
      <c r="I747" s="27" t="str">
        <f t="shared" si="2"/>
        <v/>
      </c>
      <c r="J747" s="1" t="str">
        <f t="array" ref="J747">IFERROR(INDEX('Исходник'!$1:$626,MATCH($A747,'Исходник'!$T:$T,0),MATCH(J$1,'Исходник'!$1:$1,0)))</f>
        <v/>
      </c>
      <c r="K747" s="27" t="str">
        <f t="shared" si="3"/>
        <v/>
      </c>
      <c r="L747" s="1" t="str">
        <f t="array" ref="L747">IFERROR(INDEX('Исходник'!$1:$626,MATCH($A747,'Исходник'!$T:$T,0),MATCH(L$1,'Исходник'!$1:$1,0)))</f>
        <v/>
      </c>
      <c r="M747" s="28">
        <f t="shared" si="4"/>
        <v>0</v>
      </c>
      <c r="N747" s="1" t="str">
        <f t="array" ref="N747">IFERROR(INDEX('Исходник'!$1:$626,MATCH($A747,'Исходник'!$T:$T,0),MATCH(N$1,'Исходник'!$1:$1,0)))</f>
        <v/>
      </c>
      <c r="O747" s="27">
        <f t="shared" si="5"/>
        <v>0</v>
      </c>
      <c r="P747" s="27" t="str">
        <f t="shared" si="6"/>
        <v/>
      </c>
      <c r="Q747" s="1" t="str">
        <f t="array" ref="Q747">IFERROR(INDEX('Исходник'!$1:$626,MATCH($A747,'Исходник'!$T:$T,0),MATCH(Q$1,'Исходник'!$1:$1,0)))</f>
        <v/>
      </c>
      <c r="R747" s="1" t="str">
        <f t="array" ref="R747">IFERROR(INDEX('Исходник'!$1:$626,MATCH($A747,'Исходник'!$T:$T,0),MATCH(R$1,'Исходник'!$1:$1,0)))</f>
        <v/>
      </c>
      <c r="S747" s="27">
        <f t="shared" si="7"/>
        <v>0</v>
      </c>
      <c r="T747" s="27" t="str">
        <f t="shared" si="8"/>
        <v/>
      </c>
      <c r="U747" s="1" t="str">
        <f t="array" ref="U747">IFERROR(INDEX('Исходник'!$1:$626,MATCH($A747,'Исходник'!$T:$T,0),MATCH(U$1,'Исходник'!$1:$1,0)))</f>
        <v/>
      </c>
      <c r="V747" s="27" t="str">
        <f t="shared" si="9"/>
        <v/>
      </c>
      <c r="W747" s="1" t="str">
        <f t="array" ref="W747">IFERROR(INDEX('Исходник'!$1:$626,MATCH($A747,'Исходник'!$T:$T,0),MATCH(W$1,'Исходник'!$1:$1,0)))</f>
        <v/>
      </c>
      <c r="X747" s="28">
        <f t="shared" si="10"/>
        <v>0</v>
      </c>
      <c r="Y747" s="1" t="str">
        <f t="array" ref="Y747">IFERROR(INDEX('Исходник'!$1:$626,MATCH($A747,'Исходник'!$T:$T,0),MATCH(Y$1,'Исходник'!$1:$1,0)))</f>
        <v/>
      </c>
      <c r="Z747" s="27">
        <f t="shared" si="11"/>
        <v>0</v>
      </c>
      <c r="AA747" s="27" t="str">
        <f t="shared" si="12"/>
        <v/>
      </c>
      <c r="AB747" s="1" t="str">
        <f t="array" ref="AB747">IFERROR(INDEX('Исходник'!$1:$626,MATCH($A747,'Исходник'!$T:$T,0),MATCH(AB$1,'Исходник'!$1:$1,0)))</f>
        <v/>
      </c>
      <c r="AC747" s="1" t="str">
        <f t="array" ref="AC747">IFERROR(INDEX('Исходник'!$1:$626,MATCH($A747,'Исходник'!$T:$T,0),MATCH(AC$1,'Исходник'!$1:$1,0)))</f>
        <v/>
      </c>
      <c r="AD747" s="27" t="str">
        <f t="shared" si="13"/>
        <v/>
      </c>
      <c r="AE747" s="1" t="str">
        <f t="array" ref="AE747">IFERROR(INDEX('Исходник'!$1:$626,MATCH($A747,'Исходник'!$T:$T,0),MATCH(AE$1,'Исходник'!$1:$1,0)))</f>
        <v/>
      </c>
      <c r="AF747" s="1" t="str">
        <f t="array" ref="AF747">IFERROR(INDEX('Исходник'!$1:$626,MATCH($A747,'Исходник'!$T:$T,0),MATCH(AF$1,'Исходник'!$1:$1,0)))</f>
        <v/>
      </c>
      <c r="AG747" s="27" t="str">
        <f t="shared" si="14"/>
        <v/>
      </c>
      <c r="AH747" s="1" t="str">
        <f t="array" ref="AH747">IFERROR(INDEX('Исходник'!$1:$626,MATCH($A747,'Исходник'!$T:$T,0),MATCH(AH$1,'Исходник'!$1:$1,0)))</f>
        <v/>
      </c>
      <c r="AI747" s="1" t="str">
        <f t="array" ref="AI747">IFERROR(INDEX('Исходник'!$1:$626,MATCH($A747,'Исходник'!$T:$T,0),MATCH(AI$1,'Исходник'!$1:$1,0)))</f>
        <v/>
      </c>
      <c r="AJ747" s="18">
        <f t="shared" si="15"/>
        <v>0</v>
      </c>
    </row>
    <row r="748" ht="15.75" customHeight="1">
      <c r="A748" s="27"/>
      <c r="B748" s="1" t="str">
        <f t="array" ref="B748">IFERROR(INDEX('Исходник'!$1:$626,MATCH($A748,'Исходник'!$T:$T,0),MATCH(B$1,'Исходник'!$1:$1,0)))</f>
        <v/>
      </c>
      <c r="C748" s="1" t="str">
        <f t="array" ref="C748">IFERROR(INDEX('Исходник'!$1:$626,MATCH($A748,'Исходник'!$T:$T,0),MATCH(C$1,'Исходник'!$1:$1,0)))</f>
        <v/>
      </c>
      <c r="D748" s="1" t="str">
        <f t="array" ref="D748">IFERROR(INDEX('Исходник'!$1:$626,MATCH($A748,'Исходник'!$T:$T,0),MATCH(D$1,'Исходник'!$1:$1,0)))</f>
        <v/>
      </c>
      <c r="E748" s="1" t="str">
        <f t="array" ref="E748">IFERROR(INDEX('Исходник'!$1:$626,MATCH($A748,'Исходник'!$T:$T,0),MATCH(E$1,'Исходник'!$1:$1,0)))</f>
        <v/>
      </c>
      <c r="F748" s="1" t="str">
        <f t="array" ref="F748">IFERROR(INDEX('Исходник'!$1:$626,MATCH($A748,'Исходник'!$T:$T,0),MATCH(F$1,'Исходник'!$1:$1,0)))</f>
        <v/>
      </c>
      <c r="G748" s="1" t="str">
        <f t="array" ref="G748">IFERROR(INDEX('Исходник'!$1:$626,MATCH($A748,'Исходник'!$T:$T,0),MATCH(G$1,'Исходник'!$1:$1,0)))</f>
        <v/>
      </c>
      <c r="H748" s="27">
        <f t="shared" si="1"/>
        <v>0</v>
      </c>
      <c r="I748" s="27" t="str">
        <f t="shared" si="2"/>
        <v/>
      </c>
      <c r="J748" s="1" t="str">
        <f t="array" ref="J748">IFERROR(INDEX('Исходник'!$1:$626,MATCH($A748,'Исходник'!$T:$T,0),MATCH(J$1,'Исходник'!$1:$1,0)))</f>
        <v/>
      </c>
      <c r="K748" s="27" t="str">
        <f t="shared" si="3"/>
        <v/>
      </c>
      <c r="L748" s="1" t="str">
        <f t="array" ref="L748">IFERROR(INDEX('Исходник'!$1:$626,MATCH($A748,'Исходник'!$T:$T,0),MATCH(L$1,'Исходник'!$1:$1,0)))</f>
        <v/>
      </c>
      <c r="M748" s="28">
        <f t="shared" si="4"/>
        <v>0</v>
      </c>
      <c r="N748" s="1" t="str">
        <f t="array" ref="N748">IFERROR(INDEX('Исходник'!$1:$626,MATCH($A748,'Исходник'!$T:$T,0),MATCH(N$1,'Исходник'!$1:$1,0)))</f>
        <v/>
      </c>
      <c r="O748" s="27">
        <f t="shared" si="5"/>
        <v>0</v>
      </c>
      <c r="P748" s="27" t="str">
        <f t="shared" si="6"/>
        <v/>
      </c>
      <c r="Q748" s="1" t="str">
        <f t="array" ref="Q748">IFERROR(INDEX('Исходник'!$1:$626,MATCH($A748,'Исходник'!$T:$T,0),MATCH(Q$1,'Исходник'!$1:$1,0)))</f>
        <v/>
      </c>
      <c r="R748" s="1" t="str">
        <f t="array" ref="R748">IFERROR(INDEX('Исходник'!$1:$626,MATCH($A748,'Исходник'!$T:$T,0),MATCH(R$1,'Исходник'!$1:$1,0)))</f>
        <v/>
      </c>
      <c r="S748" s="27">
        <f t="shared" si="7"/>
        <v>0</v>
      </c>
      <c r="T748" s="27" t="str">
        <f t="shared" si="8"/>
        <v/>
      </c>
      <c r="U748" s="1" t="str">
        <f t="array" ref="U748">IFERROR(INDEX('Исходник'!$1:$626,MATCH($A748,'Исходник'!$T:$T,0),MATCH(U$1,'Исходник'!$1:$1,0)))</f>
        <v/>
      </c>
      <c r="V748" s="27" t="str">
        <f t="shared" si="9"/>
        <v/>
      </c>
      <c r="W748" s="1" t="str">
        <f t="array" ref="W748">IFERROR(INDEX('Исходник'!$1:$626,MATCH($A748,'Исходник'!$T:$T,0),MATCH(W$1,'Исходник'!$1:$1,0)))</f>
        <v/>
      </c>
      <c r="X748" s="28">
        <f t="shared" si="10"/>
        <v>0</v>
      </c>
      <c r="Y748" s="1" t="str">
        <f t="array" ref="Y748">IFERROR(INDEX('Исходник'!$1:$626,MATCH($A748,'Исходник'!$T:$T,0),MATCH(Y$1,'Исходник'!$1:$1,0)))</f>
        <v/>
      </c>
      <c r="Z748" s="27">
        <f t="shared" si="11"/>
        <v>0</v>
      </c>
      <c r="AA748" s="27" t="str">
        <f t="shared" si="12"/>
        <v/>
      </c>
      <c r="AB748" s="1" t="str">
        <f t="array" ref="AB748">IFERROR(INDEX('Исходник'!$1:$626,MATCH($A748,'Исходник'!$T:$T,0),MATCH(AB$1,'Исходник'!$1:$1,0)))</f>
        <v/>
      </c>
      <c r="AC748" s="1" t="str">
        <f t="array" ref="AC748">IFERROR(INDEX('Исходник'!$1:$626,MATCH($A748,'Исходник'!$T:$T,0),MATCH(AC$1,'Исходник'!$1:$1,0)))</f>
        <v/>
      </c>
      <c r="AD748" s="27" t="str">
        <f t="shared" si="13"/>
        <v/>
      </c>
      <c r="AE748" s="1" t="str">
        <f t="array" ref="AE748">IFERROR(INDEX('Исходник'!$1:$626,MATCH($A748,'Исходник'!$T:$T,0),MATCH(AE$1,'Исходник'!$1:$1,0)))</f>
        <v/>
      </c>
      <c r="AF748" s="1" t="str">
        <f t="array" ref="AF748">IFERROR(INDEX('Исходник'!$1:$626,MATCH($A748,'Исходник'!$T:$T,0),MATCH(AF$1,'Исходник'!$1:$1,0)))</f>
        <v/>
      </c>
      <c r="AG748" s="27" t="str">
        <f t="shared" si="14"/>
        <v/>
      </c>
      <c r="AH748" s="1" t="str">
        <f t="array" ref="AH748">IFERROR(INDEX('Исходник'!$1:$626,MATCH($A748,'Исходник'!$T:$T,0),MATCH(AH$1,'Исходник'!$1:$1,0)))</f>
        <v/>
      </c>
      <c r="AI748" s="1" t="str">
        <f t="array" ref="AI748">IFERROR(INDEX('Исходник'!$1:$626,MATCH($A748,'Исходник'!$T:$T,0),MATCH(AI$1,'Исходник'!$1:$1,0)))</f>
        <v/>
      </c>
      <c r="AJ748" s="18">
        <f t="shared" si="15"/>
        <v>0</v>
      </c>
    </row>
    <row r="749" ht="15.75" customHeight="1">
      <c r="A749" s="27"/>
      <c r="B749" s="1" t="str">
        <f t="array" ref="B749">IFERROR(INDEX('Исходник'!$1:$626,MATCH($A749,'Исходник'!$T:$T,0),MATCH(B$1,'Исходник'!$1:$1,0)))</f>
        <v/>
      </c>
      <c r="C749" s="1" t="str">
        <f t="array" ref="C749">IFERROR(INDEX('Исходник'!$1:$626,MATCH($A749,'Исходник'!$T:$T,0),MATCH(C$1,'Исходник'!$1:$1,0)))</f>
        <v/>
      </c>
      <c r="D749" s="1" t="str">
        <f t="array" ref="D749">IFERROR(INDEX('Исходник'!$1:$626,MATCH($A749,'Исходник'!$T:$T,0),MATCH(D$1,'Исходник'!$1:$1,0)))</f>
        <v/>
      </c>
      <c r="E749" s="1" t="str">
        <f t="array" ref="E749">IFERROR(INDEX('Исходник'!$1:$626,MATCH($A749,'Исходник'!$T:$T,0),MATCH(E$1,'Исходник'!$1:$1,0)))</f>
        <v/>
      </c>
      <c r="F749" s="1" t="str">
        <f t="array" ref="F749">IFERROR(INDEX('Исходник'!$1:$626,MATCH($A749,'Исходник'!$T:$T,0),MATCH(F$1,'Исходник'!$1:$1,0)))</f>
        <v/>
      </c>
      <c r="G749" s="1" t="str">
        <f t="array" ref="G749">IFERROR(INDEX('Исходник'!$1:$626,MATCH($A749,'Исходник'!$T:$T,0),MATCH(G$1,'Исходник'!$1:$1,0)))</f>
        <v/>
      </c>
      <c r="H749" s="27">
        <f t="shared" si="1"/>
        <v>0</v>
      </c>
      <c r="I749" s="27" t="str">
        <f t="shared" si="2"/>
        <v/>
      </c>
      <c r="J749" s="1" t="str">
        <f t="array" ref="J749">IFERROR(INDEX('Исходник'!$1:$626,MATCH($A749,'Исходник'!$T:$T,0),MATCH(J$1,'Исходник'!$1:$1,0)))</f>
        <v/>
      </c>
      <c r="K749" s="27" t="str">
        <f t="shared" si="3"/>
        <v/>
      </c>
      <c r="L749" s="1" t="str">
        <f t="array" ref="L749">IFERROR(INDEX('Исходник'!$1:$626,MATCH($A749,'Исходник'!$T:$T,0),MATCH(L$1,'Исходник'!$1:$1,0)))</f>
        <v/>
      </c>
      <c r="M749" s="28">
        <f t="shared" si="4"/>
        <v>0</v>
      </c>
      <c r="N749" s="1" t="str">
        <f t="array" ref="N749">IFERROR(INDEX('Исходник'!$1:$626,MATCH($A749,'Исходник'!$T:$T,0),MATCH(N$1,'Исходник'!$1:$1,0)))</f>
        <v/>
      </c>
      <c r="O749" s="27">
        <f t="shared" si="5"/>
        <v>0</v>
      </c>
      <c r="P749" s="27" t="str">
        <f t="shared" si="6"/>
        <v/>
      </c>
      <c r="Q749" s="1" t="str">
        <f t="array" ref="Q749">IFERROR(INDEX('Исходник'!$1:$626,MATCH($A749,'Исходник'!$T:$T,0),MATCH(Q$1,'Исходник'!$1:$1,0)))</f>
        <v/>
      </c>
      <c r="R749" s="1" t="str">
        <f t="array" ref="R749">IFERROR(INDEX('Исходник'!$1:$626,MATCH($A749,'Исходник'!$T:$T,0),MATCH(R$1,'Исходник'!$1:$1,0)))</f>
        <v/>
      </c>
      <c r="S749" s="27">
        <f t="shared" si="7"/>
        <v>0</v>
      </c>
      <c r="T749" s="27" t="str">
        <f t="shared" si="8"/>
        <v/>
      </c>
      <c r="U749" s="1" t="str">
        <f t="array" ref="U749">IFERROR(INDEX('Исходник'!$1:$626,MATCH($A749,'Исходник'!$T:$T,0),MATCH(U$1,'Исходник'!$1:$1,0)))</f>
        <v/>
      </c>
      <c r="V749" s="27" t="str">
        <f t="shared" si="9"/>
        <v/>
      </c>
      <c r="W749" s="1" t="str">
        <f t="array" ref="W749">IFERROR(INDEX('Исходник'!$1:$626,MATCH($A749,'Исходник'!$T:$T,0),MATCH(W$1,'Исходник'!$1:$1,0)))</f>
        <v/>
      </c>
      <c r="X749" s="28">
        <f t="shared" si="10"/>
        <v>0</v>
      </c>
      <c r="Y749" s="1" t="str">
        <f t="array" ref="Y749">IFERROR(INDEX('Исходник'!$1:$626,MATCH($A749,'Исходник'!$T:$T,0),MATCH(Y$1,'Исходник'!$1:$1,0)))</f>
        <v/>
      </c>
      <c r="Z749" s="27">
        <f t="shared" si="11"/>
        <v>0</v>
      </c>
      <c r="AA749" s="27" t="str">
        <f t="shared" si="12"/>
        <v/>
      </c>
      <c r="AB749" s="1" t="str">
        <f t="array" ref="AB749">IFERROR(INDEX('Исходник'!$1:$626,MATCH($A749,'Исходник'!$T:$T,0),MATCH(AB$1,'Исходник'!$1:$1,0)))</f>
        <v/>
      </c>
      <c r="AC749" s="1" t="str">
        <f t="array" ref="AC749">IFERROR(INDEX('Исходник'!$1:$626,MATCH($A749,'Исходник'!$T:$T,0),MATCH(AC$1,'Исходник'!$1:$1,0)))</f>
        <v/>
      </c>
      <c r="AD749" s="27" t="str">
        <f t="shared" si="13"/>
        <v/>
      </c>
      <c r="AE749" s="1" t="str">
        <f t="array" ref="AE749">IFERROR(INDEX('Исходник'!$1:$626,MATCH($A749,'Исходник'!$T:$T,0),MATCH(AE$1,'Исходник'!$1:$1,0)))</f>
        <v/>
      </c>
      <c r="AF749" s="1" t="str">
        <f t="array" ref="AF749">IFERROR(INDEX('Исходник'!$1:$626,MATCH($A749,'Исходник'!$T:$T,0),MATCH(AF$1,'Исходник'!$1:$1,0)))</f>
        <v/>
      </c>
      <c r="AG749" s="27" t="str">
        <f t="shared" si="14"/>
        <v/>
      </c>
      <c r="AH749" s="1" t="str">
        <f t="array" ref="AH749">IFERROR(INDEX('Исходник'!$1:$626,MATCH($A749,'Исходник'!$T:$T,0),MATCH(AH$1,'Исходник'!$1:$1,0)))</f>
        <v/>
      </c>
      <c r="AI749" s="1" t="str">
        <f t="array" ref="AI749">IFERROR(INDEX('Исходник'!$1:$626,MATCH($A749,'Исходник'!$T:$T,0),MATCH(AI$1,'Исходник'!$1:$1,0)))</f>
        <v/>
      </c>
      <c r="AJ749" s="18">
        <f t="shared" si="15"/>
        <v>0</v>
      </c>
    </row>
    <row r="750" ht="15.75" customHeight="1">
      <c r="A750" s="27"/>
      <c r="B750" s="1" t="str">
        <f t="array" ref="B750">IFERROR(INDEX('Исходник'!$1:$626,MATCH($A750,'Исходник'!$T:$T,0),MATCH(B$1,'Исходник'!$1:$1,0)))</f>
        <v/>
      </c>
      <c r="C750" s="1" t="str">
        <f t="array" ref="C750">IFERROR(INDEX('Исходник'!$1:$626,MATCH($A750,'Исходник'!$T:$T,0),MATCH(C$1,'Исходник'!$1:$1,0)))</f>
        <v/>
      </c>
      <c r="D750" s="1" t="str">
        <f t="array" ref="D750">IFERROR(INDEX('Исходник'!$1:$626,MATCH($A750,'Исходник'!$T:$T,0),MATCH(D$1,'Исходник'!$1:$1,0)))</f>
        <v/>
      </c>
      <c r="E750" s="1" t="str">
        <f t="array" ref="E750">IFERROR(INDEX('Исходник'!$1:$626,MATCH($A750,'Исходник'!$T:$T,0),MATCH(E$1,'Исходник'!$1:$1,0)))</f>
        <v/>
      </c>
      <c r="F750" s="1" t="str">
        <f t="array" ref="F750">IFERROR(INDEX('Исходник'!$1:$626,MATCH($A750,'Исходник'!$T:$T,0),MATCH(F$1,'Исходник'!$1:$1,0)))</f>
        <v/>
      </c>
      <c r="G750" s="1" t="str">
        <f t="array" ref="G750">IFERROR(INDEX('Исходник'!$1:$626,MATCH($A750,'Исходник'!$T:$T,0),MATCH(G$1,'Исходник'!$1:$1,0)))</f>
        <v/>
      </c>
      <c r="H750" s="27">
        <f t="shared" si="1"/>
        <v>0</v>
      </c>
      <c r="I750" s="27" t="str">
        <f t="shared" si="2"/>
        <v/>
      </c>
      <c r="J750" s="1" t="str">
        <f t="array" ref="J750">IFERROR(INDEX('Исходник'!$1:$626,MATCH($A750,'Исходник'!$T:$T,0),MATCH(J$1,'Исходник'!$1:$1,0)))</f>
        <v/>
      </c>
      <c r="K750" s="27" t="str">
        <f t="shared" si="3"/>
        <v/>
      </c>
      <c r="L750" s="1" t="str">
        <f t="array" ref="L750">IFERROR(INDEX('Исходник'!$1:$626,MATCH($A750,'Исходник'!$T:$T,0),MATCH(L$1,'Исходник'!$1:$1,0)))</f>
        <v/>
      </c>
      <c r="M750" s="28">
        <f t="shared" si="4"/>
        <v>0</v>
      </c>
      <c r="N750" s="1" t="str">
        <f t="array" ref="N750">IFERROR(INDEX('Исходник'!$1:$626,MATCH($A750,'Исходник'!$T:$T,0),MATCH(N$1,'Исходник'!$1:$1,0)))</f>
        <v/>
      </c>
      <c r="O750" s="27">
        <f t="shared" si="5"/>
        <v>0</v>
      </c>
      <c r="P750" s="27" t="str">
        <f t="shared" si="6"/>
        <v/>
      </c>
      <c r="Q750" s="1" t="str">
        <f t="array" ref="Q750">IFERROR(INDEX('Исходник'!$1:$626,MATCH($A750,'Исходник'!$T:$T,0),MATCH(Q$1,'Исходник'!$1:$1,0)))</f>
        <v/>
      </c>
      <c r="R750" s="1" t="str">
        <f t="array" ref="R750">IFERROR(INDEX('Исходник'!$1:$626,MATCH($A750,'Исходник'!$T:$T,0),MATCH(R$1,'Исходник'!$1:$1,0)))</f>
        <v/>
      </c>
      <c r="S750" s="27">
        <f t="shared" si="7"/>
        <v>0</v>
      </c>
      <c r="T750" s="27" t="str">
        <f t="shared" si="8"/>
        <v/>
      </c>
      <c r="U750" s="1" t="str">
        <f t="array" ref="U750">IFERROR(INDEX('Исходник'!$1:$626,MATCH($A750,'Исходник'!$T:$T,0),MATCH(U$1,'Исходник'!$1:$1,0)))</f>
        <v/>
      </c>
      <c r="V750" s="27" t="str">
        <f t="shared" si="9"/>
        <v/>
      </c>
      <c r="W750" s="1" t="str">
        <f t="array" ref="W750">IFERROR(INDEX('Исходник'!$1:$626,MATCH($A750,'Исходник'!$T:$T,0),MATCH(W$1,'Исходник'!$1:$1,0)))</f>
        <v/>
      </c>
      <c r="X750" s="28">
        <f t="shared" si="10"/>
        <v>0</v>
      </c>
      <c r="Y750" s="1" t="str">
        <f t="array" ref="Y750">IFERROR(INDEX('Исходник'!$1:$626,MATCH($A750,'Исходник'!$T:$T,0),MATCH(Y$1,'Исходник'!$1:$1,0)))</f>
        <v/>
      </c>
      <c r="Z750" s="27">
        <f t="shared" si="11"/>
        <v>0</v>
      </c>
      <c r="AA750" s="27" t="str">
        <f t="shared" si="12"/>
        <v/>
      </c>
      <c r="AB750" s="1" t="str">
        <f t="array" ref="AB750">IFERROR(INDEX('Исходник'!$1:$626,MATCH($A750,'Исходник'!$T:$T,0),MATCH(AB$1,'Исходник'!$1:$1,0)))</f>
        <v/>
      </c>
      <c r="AC750" s="1" t="str">
        <f t="array" ref="AC750">IFERROR(INDEX('Исходник'!$1:$626,MATCH($A750,'Исходник'!$T:$T,0),MATCH(AC$1,'Исходник'!$1:$1,0)))</f>
        <v/>
      </c>
      <c r="AD750" s="27" t="str">
        <f t="shared" si="13"/>
        <v/>
      </c>
      <c r="AE750" s="1" t="str">
        <f t="array" ref="AE750">IFERROR(INDEX('Исходник'!$1:$626,MATCH($A750,'Исходник'!$T:$T,0),MATCH(AE$1,'Исходник'!$1:$1,0)))</f>
        <v/>
      </c>
      <c r="AF750" s="1" t="str">
        <f t="array" ref="AF750">IFERROR(INDEX('Исходник'!$1:$626,MATCH($A750,'Исходник'!$T:$T,0),MATCH(AF$1,'Исходник'!$1:$1,0)))</f>
        <v/>
      </c>
      <c r="AG750" s="27" t="str">
        <f t="shared" si="14"/>
        <v/>
      </c>
      <c r="AH750" s="1" t="str">
        <f t="array" ref="AH750">IFERROR(INDEX('Исходник'!$1:$626,MATCH($A750,'Исходник'!$T:$T,0),MATCH(AH$1,'Исходник'!$1:$1,0)))</f>
        <v/>
      </c>
      <c r="AI750" s="1" t="str">
        <f t="array" ref="AI750">IFERROR(INDEX('Исходник'!$1:$626,MATCH($A750,'Исходник'!$T:$T,0),MATCH(AI$1,'Исходник'!$1:$1,0)))</f>
        <v/>
      </c>
      <c r="AJ750" s="18">
        <f t="shared" si="15"/>
        <v>0</v>
      </c>
    </row>
    <row r="751" ht="15.75" customHeight="1">
      <c r="A751" s="27"/>
      <c r="B751" s="1" t="str">
        <f t="array" ref="B751">IFERROR(INDEX('Исходник'!$1:$626,MATCH($A751,'Исходник'!$T:$T,0),MATCH(B$1,'Исходник'!$1:$1,0)))</f>
        <v/>
      </c>
      <c r="C751" s="1" t="str">
        <f t="array" ref="C751">IFERROR(INDEX('Исходник'!$1:$626,MATCH($A751,'Исходник'!$T:$T,0),MATCH(C$1,'Исходник'!$1:$1,0)))</f>
        <v/>
      </c>
      <c r="D751" s="1" t="str">
        <f t="array" ref="D751">IFERROR(INDEX('Исходник'!$1:$626,MATCH($A751,'Исходник'!$T:$T,0),MATCH(D$1,'Исходник'!$1:$1,0)))</f>
        <v/>
      </c>
      <c r="E751" s="1" t="str">
        <f t="array" ref="E751">IFERROR(INDEX('Исходник'!$1:$626,MATCH($A751,'Исходник'!$T:$T,0),MATCH(E$1,'Исходник'!$1:$1,0)))</f>
        <v/>
      </c>
      <c r="F751" s="1" t="str">
        <f t="array" ref="F751">IFERROR(INDEX('Исходник'!$1:$626,MATCH($A751,'Исходник'!$T:$T,0),MATCH(F$1,'Исходник'!$1:$1,0)))</f>
        <v/>
      </c>
      <c r="G751" s="1" t="str">
        <f t="array" ref="G751">IFERROR(INDEX('Исходник'!$1:$626,MATCH($A751,'Исходник'!$T:$T,0),MATCH(G$1,'Исходник'!$1:$1,0)))</f>
        <v/>
      </c>
      <c r="H751" s="27">
        <f t="shared" si="1"/>
        <v>0</v>
      </c>
      <c r="I751" s="27" t="str">
        <f t="shared" si="2"/>
        <v/>
      </c>
      <c r="J751" s="1" t="str">
        <f t="array" ref="J751">IFERROR(INDEX('Исходник'!$1:$626,MATCH($A751,'Исходник'!$T:$T,0),MATCH(J$1,'Исходник'!$1:$1,0)))</f>
        <v/>
      </c>
      <c r="K751" s="27" t="str">
        <f t="shared" si="3"/>
        <v/>
      </c>
      <c r="L751" s="1" t="str">
        <f t="array" ref="L751">IFERROR(INDEX('Исходник'!$1:$626,MATCH($A751,'Исходник'!$T:$T,0),MATCH(L$1,'Исходник'!$1:$1,0)))</f>
        <v/>
      </c>
      <c r="M751" s="28">
        <f t="shared" si="4"/>
        <v>0</v>
      </c>
      <c r="N751" s="1" t="str">
        <f t="array" ref="N751">IFERROR(INDEX('Исходник'!$1:$626,MATCH($A751,'Исходник'!$T:$T,0),MATCH(N$1,'Исходник'!$1:$1,0)))</f>
        <v/>
      </c>
      <c r="O751" s="27">
        <f t="shared" si="5"/>
        <v>0</v>
      </c>
      <c r="P751" s="27" t="str">
        <f t="shared" si="6"/>
        <v/>
      </c>
      <c r="Q751" s="1" t="str">
        <f t="array" ref="Q751">IFERROR(INDEX('Исходник'!$1:$626,MATCH($A751,'Исходник'!$T:$T,0),MATCH(Q$1,'Исходник'!$1:$1,0)))</f>
        <v/>
      </c>
      <c r="R751" s="1" t="str">
        <f t="array" ref="R751">IFERROR(INDEX('Исходник'!$1:$626,MATCH($A751,'Исходник'!$T:$T,0),MATCH(R$1,'Исходник'!$1:$1,0)))</f>
        <v/>
      </c>
      <c r="S751" s="27">
        <f t="shared" si="7"/>
        <v>0</v>
      </c>
      <c r="T751" s="27" t="str">
        <f t="shared" si="8"/>
        <v/>
      </c>
      <c r="U751" s="1" t="str">
        <f t="array" ref="U751">IFERROR(INDEX('Исходник'!$1:$626,MATCH($A751,'Исходник'!$T:$T,0),MATCH(U$1,'Исходник'!$1:$1,0)))</f>
        <v/>
      </c>
      <c r="V751" s="27" t="str">
        <f t="shared" si="9"/>
        <v/>
      </c>
      <c r="W751" s="1" t="str">
        <f t="array" ref="W751">IFERROR(INDEX('Исходник'!$1:$626,MATCH($A751,'Исходник'!$T:$T,0),MATCH(W$1,'Исходник'!$1:$1,0)))</f>
        <v/>
      </c>
      <c r="X751" s="28">
        <f t="shared" si="10"/>
        <v>0</v>
      </c>
      <c r="Y751" s="1" t="str">
        <f t="array" ref="Y751">IFERROR(INDEX('Исходник'!$1:$626,MATCH($A751,'Исходник'!$T:$T,0),MATCH(Y$1,'Исходник'!$1:$1,0)))</f>
        <v/>
      </c>
      <c r="Z751" s="27">
        <f t="shared" si="11"/>
        <v>0</v>
      </c>
      <c r="AA751" s="27" t="str">
        <f t="shared" si="12"/>
        <v/>
      </c>
      <c r="AB751" s="1" t="str">
        <f t="array" ref="AB751">IFERROR(INDEX('Исходник'!$1:$626,MATCH($A751,'Исходник'!$T:$T,0),MATCH(AB$1,'Исходник'!$1:$1,0)))</f>
        <v/>
      </c>
      <c r="AC751" s="1" t="str">
        <f t="array" ref="AC751">IFERROR(INDEX('Исходник'!$1:$626,MATCH($A751,'Исходник'!$T:$T,0),MATCH(AC$1,'Исходник'!$1:$1,0)))</f>
        <v/>
      </c>
      <c r="AD751" s="27" t="str">
        <f t="shared" si="13"/>
        <v/>
      </c>
      <c r="AE751" s="1" t="str">
        <f t="array" ref="AE751">IFERROR(INDEX('Исходник'!$1:$626,MATCH($A751,'Исходник'!$T:$T,0),MATCH(AE$1,'Исходник'!$1:$1,0)))</f>
        <v/>
      </c>
      <c r="AF751" s="1" t="str">
        <f t="array" ref="AF751">IFERROR(INDEX('Исходник'!$1:$626,MATCH($A751,'Исходник'!$T:$T,0),MATCH(AF$1,'Исходник'!$1:$1,0)))</f>
        <v/>
      </c>
      <c r="AG751" s="27" t="str">
        <f t="shared" si="14"/>
        <v/>
      </c>
      <c r="AH751" s="1" t="str">
        <f t="array" ref="AH751">IFERROR(INDEX('Исходник'!$1:$626,MATCH($A751,'Исходник'!$T:$T,0),MATCH(AH$1,'Исходник'!$1:$1,0)))</f>
        <v/>
      </c>
      <c r="AI751" s="1" t="str">
        <f t="array" ref="AI751">IFERROR(INDEX('Исходник'!$1:$626,MATCH($A751,'Исходник'!$T:$T,0),MATCH(AI$1,'Исходник'!$1:$1,0)))</f>
        <v/>
      </c>
      <c r="AJ751" s="18">
        <f t="shared" si="15"/>
        <v>0</v>
      </c>
    </row>
    <row r="752" ht="15.75" customHeight="1">
      <c r="A752" s="27"/>
      <c r="B752" s="1" t="str">
        <f t="array" ref="B752">IFERROR(INDEX('Исходник'!$1:$626,MATCH($A752,'Исходник'!$T:$T,0),MATCH(B$1,'Исходник'!$1:$1,0)))</f>
        <v/>
      </c>
      <c r="C752" s="1" t="str">
        <f t="array" ref="C752">IFERROR(INDEX('Исходник'!$1:$626,MATCH($A752,'Исходник'!$T:$T,0),MATCH(C$1,'Исходник'!$1:$1,0)))</f>
        <v/>
      </c>
      <c r="D752" s="1" t="str">
        <f t="array" ref="D752">IFERROR(INDEX('Исходник'!$1:$626,MATCH($A752,'Исходник'!$T:$T,0),MATCH(D$1,'Исходник'!$1:$1,0)))</f>
        <v/>
      </c>
      <c r="E752" s="1" t="str">
        <f t="array" ref="E752">IFERROR(INDEX('Исходник'!$1:$626,MATCH($A752,'Исходник'!$T:$T,0),MATCH(E$1,'Исходник'!$1:$1,0)))</f>
        <v/>
      </c>
      <c r="F752" s="1" t="str">
        <f t="array" ref="F752">IFERROR(INDEX('Исходник'!$1:$626,MATCH($A752,'Исходник'!$T:$T,0),MATCH(F$1,'Исходник'!$1:$1,0)))</f>
        <v/>
      </c>
      <c r="G752" s="1" t="str">
        <f t="array" ref="G752">IFERROR(INDEX('Исходник'!$1:$626,MATCH($A752,'Исходник'!$T:$T,0),MATCH(G$1,'Исходник'!$1:$1,0)))</f>
        <v/>
      </c>
      <c r="H752" s="27">
        <f t="shared" si="1"/>
        <v>0</v>
      </c>
      <c r="I752" s="27" t="str">
        <f t="shared" si="2"/>
        <v/>
      </c>
      <c r="J752" s="1" t="str">
        <f t="array" ref="J752">IFERROR(INDEX('Исходник'!$1:$626,MATCH($A752,'Исходник'!$T:$T,0),MATCH(J$1,'Исходник'!$1:$1,0)))</f>
        <v/>
      </c>
      <c r="K752" s="27" t="str">
        <f t="shared" si="3"/>
        <v/>
      </c>
      <c r="L752" s="1" t="str">
        <f t="array" ref="L752">IFERROR(INDEX('Исходник'!$1:$626,MATCH($A752,'Исходник'!$T:$T,0),MATCH(L$1,'Исходник'!$1:$1,0)))</f>
        <v/>
      </c>
      <c r="M752" s="28">
        <f t="shared" si="4"/>
        <v>0</v>
      </c>
      <c r="N752" s="1" t="str">
        <f t="array" ref="N752">IFERROR(INDEX('Исходник'!$1:$626,MATCH($A752,'Исходник'!$T:$T,0),MATCH(N$1,'Исходник'!$1:$1,0)))</f>
        <v/>
      </c>
      <c r="O752" s="27">
        <f t="shared" si="5"/>
        <v>0</v>
      </c>
      <c r="P752" s="27" t="str">
        <f t="shared" si="6"/>
        <v/>
      </c>
      <c r="Q752" s="1" t="str">
        <f t="array" ref="Q752">IFERROR(INDEX('Исходник'!$1:$626,MATCH($A752,'Исходник'!$T:$T,0),MATCH(Q$1,'Исходник'!$1:$1,0)))</f>
        <v/>
      </c>
      <c r="R752" s="1" t="str">
        <f t="array" ref="R752">IFERROR(INDEX('Исходник'!$1:$626,MATCH($A752,'Исходник'!$T:$T,0),MATCH(R$1,'Исходник'!$1:$1,0)))</f>
        <v/>
      </c>
      <c r="S752" s="27">
        <f t="shared" si="7"/>
        <v>0</v>
      </c>
      <c r="T752" s="27" t="str">
        <f t="shared" si="8"/>
        <v/>
      </c>
      <c r="U752" s="1" t="str">
        <f t="array" ref="U752">IFERROR(INDEX('Исходник'!$1:$626,MATCH($A752,'Исходник'!$T:$T,0),MATCH(U$1,'Исходник'!$1:$1,0)))</f>
        <v/>
      </c>
      <c r="V752" s="27" t="str">
        <f t="shared" si="9"/>
        <v/>
      </c>
      <c r="W752" s="1" t="str">
        <f t="array" ref="W752">IFERROR(INDEX('Исходник'!$1:$626,MATCH($A752,'Исходник'!$T:$T,0),MATCH(W$1,'Исходник'!$1:$1,0)))</f>
        <v/>
      </c>
      <c r="X752" s="28">
        <f t="shared" si="10"/>
        <v>0</v>
      </c>
      <c r="Y752" s="1" t="str">
        <f t="array" ref="Y752">IFERROR(INDEX('Исходник'!$1:$626,MATCH($A752,'Исходник'!$T:$T,0),MATCH(Y$1,'Исходник'!$1:$1,0)))</f>
        <v/>
      </c>
      <c r="Z752" s="27">
        <f t="shared" si="11"/>
        <v>0</v>
      </c>
      <c r="AA752" s="27" t="str">
        <f t="shared" si="12"/>
        <v/>
      </c>
      <c r="AB752" s="1" t="str">
        <f t="array" ref="AB752">IFERROR(INDEX('Исходник'!$1:$626,MATCH($A752,'Исходник'!$T:$T,0),MATCH(AB$1,'Исходник'!$1:$1,0)))</f>
        <v/>
      </c>
      <c r="AC752" s="1" t="str">
        <f t="array" ref="AC752">IFERROR(INDEX('Исходник'!$1:$626,MATCH($A752,'Исходник'!$T:$T,0),MATCH(AC$1,'Исходник'!$1:$1,0)))</f>
        <v/>
      </c>
      <c r="AD752" s="27" t="str">
        <f t="shared" si="13"/>
        <v/>
      </c>
      <c r="AE752" s="1" t="str">
        <f t="array" ref="AE752">IFERROR(INDEX('Исходник'!$1:$626,MATCH($A752,'Исходник'!$T:$T,0),MATCH(AE$1,'Исходник'!$1:$1,0)))</f>
        <v/>
      </c>
      <c r="AF752" s="1" t="str">
        <f t="array" ref="AF752">IFERROR(INDEX('Исходник'!$1:$626,MATCH($A752,'Исходник'!$T:$T,0),MATCH(AF$1,'Исходник'!$1:$1,0)))</f>
        <v/>
      </c>
      <c r="AG752" s="27" t="str">
        <f t="shared" si="14"/>
        <v/>
      </c>
      <c r="AH752" s="1" t="str">
        <f t="array" ref="AH752">IFERROR(INDEX('Исходник'!$1:$626,MATCH($A752,'Исходник'!$T:$T,0),MATCH(AH$1,'Исходник'!$1:$1,0)))</f>
        <v/>
      </c>
      <c r="AI752" s="1" t="str">
        <f t="array" ref="AI752">IFERROR(INDEX('Исходник'!$1:$626,MATCH($A752,'Исходник'!$T:$T,0),MATCH(AI$1,'Исходник'!$1:$1,0)))</f>
        <v/>
      </c>
      <c r="AJ752" s="18">
        <f t="shared" si="15"/>
        <v>0</v>
      </c>
    </row>
    <row r="753" ht="15.75" customHeight="1">
      <c r="A753" s="27"/>
      <c r="B753" s="1" t="str">
        <f t="array" ref="B753">IFERROR(INDEX('Исходник'!$1:$626,MATCH($A753,'Исходник'!$T:$T,0),MATCH(B$1,'Исходник'!$1:$1,0)))</f>
        <v/>
      </c>
      <c r="C753" s="1" t="str">
        <f t="array" ref="C753">IFERROR(INDEX('Исходник'!$1:$626,MATCH($A753,'Исходник'!$T:$T,0),MATCH(C$1,'Исходник'!$1:$1,0)))</f>
        <v/>
      </c>
      <c r="D753" s="1" t="str">
        <f t="array" ref="D753">IFERROR(INDEX('Исходник'!$1:$626,MATCH($A753,'Исходник'!$T:$T,0),MATCH(D$1,'Исходник'!$1:$1,0)))</f>
        <v/>
      </c>
      <c r="E753" s="1" t="str">
        <f t="array" ref="E753">IFERROR(INDEX('Исходник'!$1:$626,MATCH($A753,'Исходник'!$T:$T,0),MATCH(E$1,'Исходник'!$1:$1,0)))</f>
        <v/>
      </c>
      <c r="F753" s="1" t="str">
        <f t="array" ref="F753">IFERROR(INDEX('Исходник'!$1:$626,MATCH($A753,'Исходник'!$T:$T,0),MATCH(F$1,'Исходник'!$1:$1,0)))</f>
        <v/>
      </c>
      <c r="G753" s="1" t="str">
        <f t="array" ref="G753">IFERROR(INDEX('Исходник'!$1:$626,MATCH($A753,'Исходник'!$T:$T,0),MATCH(G$1,'Исходник'!$1:$1,0)))</f>
        <v/>
      </c>
      <c r="H753" s="27">
        <f t="shared" si="1"/>
        <v>0</v>
      </c>
      <c r="I753" s="27" t="str">
        <f t="shared" si="2"/>
        <v/>
      </c>
      <c r="J753" s="1" t="str">
        <f t="array" ref="J753">IFERROR(INDEX('Исходник'!$1:$626,MATCH($A753,'Исходник'!$T:$T,0),MATCH(J$1,'Исходник'!$1:$1,0)))</f>
        <v/>
      </c>
      <c r="K753" s="27" t="str">
        <f t="shared" si="3"/>
        <v/>
      </c>
      <c r="L753" s="1" t="str">
        <f t="array" ref="L753">IFERROR(INDEX('Исходник'!$1:$626,MATCH($A753,'Исходник'!$T:$T,0),MATCH(L$1,'Исходник'!$1:$1,0)))</f>
        <v/>
      </c>
      <c r="M753" s="28">
        <f t="shared" si="4"/>
        <v>0</v>
      </c>
      <c r="N753" s="1" t="str">
        <f t="array" ref="N753">IFERROR(INDEX('Исходник'!$1:$626,MATCH($A753,'Исходник'!$T:$T,0),MATCH(N$1,'Исходник'!$1:$1,0)))</f>
        <v/>
      </c>
      <c r="O753" s="27">
        <f t="shared" si="5"/>
        <v>0</v>
      </c>
      <c r="P753" s="27" t="str">
        <f t="shared" si="6"/>
        <v/>
      </c>
      <c r="Q753" s="1" t="str">
        <f t="array" ref="Q753">IFERROR(INDEX('Исходник'!$1:$626,MATCH($A753,'Исходник'!$T:$T,0),MATCH(Q$1,'Исходник'!$1:$1,0)))</f>
        <v/>
      </c>
      <c r="R753" s="1" t="str">
        <f t="array" ref="R753">IFERROR(INDEX('Исходник'!$1:$626,MATCH($A753,'Исходник'!$T:$T,0),MATCH(R$1,'Исходник'!$1:$1,0)))</f>
        <v/>
      </c>
      <c r="S753" s="27">
        <f t="shared" si="7"/>
        <v>0</v>
      </c>
      <c r="T753" s="27" t="str">
        <f t="shared" si="8"/>
        <v/>
      </c>
      <c r="U753" s="1" t="str">
        <f t="array" ref="U753">IFERROR(INDEX('Исходник'!$1:$626,MATCH($A753,'Исходник'!$T:$T,0),MATCH(U$1,'Исходник'!$1:$1,0)))</f>
        <v/>
      </c>
      <c r="V753" s="27" t="str">
        <f t="shared" si="9"/>
        <v/>
      </c>
      <c r="W753" s="1" t="str">
        <f t="array" ref="W753">IFERROR(INDEX('Исходник'!$1:$626,MATCH($A753,'Исходник'!$T:$T,0),MATCH(W$1,'Исходник'!$1:$1,0)))</f>
        <v/>
      </c>
      <c r="X753" s="28">
        <f t="shared" si="10"/>
        <v>0</v>
      </c>
      <c r="Y753" s="1" t="str">
        <f t="array" ref="Y753">IFERROR(INDEX('Исходник'!$1:$626,MATCH($A753,'Исходник'!$T:$T,0),MATCH(Y$1,'Исходник'!$1:$1,0)))</f>
        <v/>
      </c>
      <c r="Z753" s="27">
        <f t="shared" si="11"/>
        <v>0</v>
      </c>
      <c r="AA753" s="27" t="str">
        <f t="shared" si="12"/>
        <v/>
      </c>
      <c r="AB753" s="1" t="str">
        <f t="array" ref="AB753">IFERROR(INDEX('Исходник'!$1:$626,MATCH($A753,'Исходник'!$T:$T,0),MATCH(AB$1,'Исходник'!$1:$1,0)))</f>
        <v/>
      </c>
      <c r="AC753" s="1" t="str">
        <f t="array" ref="AC753">IFERROR(INDEX('Исходник'!$1:$626,MATCH($A753,'Исходник'!$T:$T,0),MATCH(AC$1,'Исходник'!$1:$1,0)))</f>
        <v/>
      </c>
      <c r="AD753" s="27" t="str">
        <f t="shared" si="13"/>
        <v/>
      </c>
      <c r="AE753" s="1" t="str">
        <f t="array" ref="AE753">IFERROR(INDEX('Исходник'!$1:$626,MATCH($A753,'Исходник'!$T:$T,0),MATCH(AE$1,'Исходник'!$1:$1,0)))</f>
        <v/>
      </c>
      <c r="AF753" s="1" t="str">
        <f t="array" ref="AF753">IFERROR(INDEX('Исходник'!$1:$626,MATCH($A753,'Исходник'!$T:$T,0),MATCH(AF$1,'Исходник'!$1:$1,0)))</f>
        <v/>
      </c>
      <c r="AG753" s="27" t="str">
        <f t="shared" si="14"/>
        <v/>
      </c>
      <c r="AH753" s="1" t="str">
        <f t="array" ref="AH753">IFERROR(INDEX('Исходник'!$1:$626,MATCH($A753,'Исходник'!$T:$T,0),MATCH(AH$1,'Исходник'!$1:$1,0)))</f>
        <v/>
      </c>
      <c r="AI753" s="1" t="str">
        <f t="array" ref="AI753">IFERROR(INDEX('Исходник'!$1:$626,MATCH($A753,'Исходник'!$T:$T,0),MATCH(AI$1,'Исходник'!$1:$1,0)))</f>
        <v/>
      </c>
      <c r="AJ753" s="18">
        <f t="shared" si="15"/>
        <v>0</v>
      </c>
    </row>
    <row r="754" ht="15.75" customHeight="1">
      <c r="A754" s="27"/>
      <c r="B754" s="1" t="str">
        <f t="array" ref="B754">IFERROR(INDEX('Исходник'!$1:$626,MATCH($A754,'Исходник'!$T:$T,0),MATCH(B$1,'Исходник'!$1:$1,0)))</f>
        <v/>
      </c>
      <c r="C754" s="1" t="str">
        <f t="array" ref="C754">IFERROR(INDEX('Исходник'!$1:$626,MATCH($A754,'Исходник'!$T:$T,0),MATCH(C$1,'Исходник'!$1:$1,0)))</f>
        <v/>
      </c>
      <c r="D754" s="1" t="str">
        <f t="array" ref="D754">IFERROR(INDEX('Исходник'!$1:$626,MATCH($A754,'Исходник'!$T:$T,0),MATCH(D$1,'Исходник'!$1:$1,0)))</f>
        <v/>
      </c>
      <c r="E754" s="1" t="str">
        <f t="array" ref="E754">IFERROR(INDEX('Исходник'!$1:$626,MATCH($A754,'Исходник'!$T:$T,0),MATCH(E$1,'Исходник'!$1:$1,0)))</f>
        <v/>
      </c>
      <c r="F754" s="1" t="str">
        <f t="array" ref="F754">IFERROR(INDEX('Исходник'!$1:$626,MATCH($A754,'Исходник'!$T:$T,0),MATCH(F$1,'Исходник'!$1:$1,0)))</f>
        <v/>
      </c>
      <c r="G754" s="1" t="str">
        <f t="array" ref="G754">IFERROR(INDEX('Исходник'!$1:$626,MATCH($A754,'Исходник'!$T:$T,0),MATCH(G$1,'Исходник'!$1:$1,0)))</f>
        <v/>
      </c>
      <c r="H754" s="27">
        <f t="shared" si="1"/>
        <v>0</v>
      </c>
      <c r="I754" s="27" t="str">
        <f t="shared" si="2"/>
        <v/>
      </c>
      <c r="J754" s="1" t="str">
        <f t="array" ref="J754">IFERROR(INDEX('Исходник'!$1:$626,MATCH($A754,'Исходник'!$T:$T,0),MATCH(J$1,'Исходник'!$1:$1,0)))</f>
        <v/>
      </c>
      <c r="K754" s="27" t="str">
        <f t="shared" si="3"/>
        <v/>
      </c>
      <c r="L754" s="1" t="str">
        <f t="array" ref="L754">IFERROR(INDEX('Исходник'!$1:$626,MATCH($A754,'Исходник'!$T:$T,0),MATCH(L$1,'Исходник'!$1:$1,0)))</f>
        <v/>
      </c>
      <c r="M754" s="28">
        <f t="shared" si="4"/>
        <v>0</v>
      </c>
      <c r="N754" s="1" t="str">
        <f t="array" ref="N754">IFERROR(INDEX('Исходник'!$1:$626,MATCH($A754,'Исходник'!$T:$T,0),MATCH(N$1,'Исходник'!$1:$1,0)))</f>
        <v/>
      </c>
      <c r="O754" s="27">
        <f t="shared" si="5"/>
        <v>0</v>
      </c>
      <c r="P754" s="27" t="str">
        <f t="shared" si="6"/>
        <v/>
      </c>
      <c r="Q754" s="1" t="str">
        <f t="array" ref="Q754">IFERROR(INDEX('Исходник'!$1:$626,MATCH($A754,'Исходник'!$T:$T,0),MATCH(Q$1,'Исходник'!$1:$1,0)))</f>
        <v/>
      </c>
      <c r="R754" s="1" t="str">
        <f t="array" ref="R754">IFERROR(INDEX('Исходник'!$1:$626,MATCH($A754,'Исходник'!$T:$T,0),MATCH(R$1,'Исходник'!$1:$1,0)))</f>
        <v/>
      </c>
      <c r="S754" s="27">
        <f t="shared" si="7"/>
        <v>0</v>
      </c>
      <c r="T754" s="27" t="str">
        <f t="shared" si="8"/>
        <v/>
      </c>
      <c r="U754" s="1" t="str">
        <f t="array" ref="U754">IFERROR(INDEX('Исходник'!$1:$626,MATCH($A754,'Исходник'!$T:$T,0),MATCH(U$1,'Исходник'!$1:$1,0)))</f>
        <v/>
      </c>
      <c r="V754" s="27" t="str">
        <f t="shared" si="9"/>
        <v/>
      </c>
      <c r="W754" s="1" t="str">
        <f t="array" ref="W754">IFERROR(INDEX('Исходник'!$1:$626,MATCH($A754,'Исходник'!$T:$T,0),MATCH(W$1,'Исходник'!$1:$1,0)))</f>
        <v/>
      </c>
      <c r="X754" s="28">
        <f t="shared" si="10"/>
        <v>0</v>
      </c>
      <c r="Y754" s="1" t="str">
        <f t="array" ref="Y754">IFERROR(INDEX('Исходник'!$1:$626,MATCH($A754,'Исходник'!$T:$T,0),MATCH(Y$1,'Исходник'!$1:$1,0)))</f>
        <v/>
      </c>
      <c r="Z754" s="27">
        <f t="shared" si="11"/>
        <v>0</v>
      </c>
      <c r="AA754" s="27" t="str">
        <f t="shared" si="12"/>
        <v/>
      </c>
      <c r="AB754" s="1" t="str">
        <f t="array" ref="AB754">IFERROR(INDEX('Исходник'!$1:$626,MATCH($A754,'Исходник'!$T:$T,0),MATCH(AB$1,'Исходник'!$1:$1,0)))</f>
        <v/>
      </c>
      <c r="AC754" s="1" t="str">
        <f t="array" ref="AC754">IFERROR(INDEX('Исходник'!$1:$626,MATCH($A754,'Исходник'!$T:$T,0),MATCH(AC$1,'Исходник'!$1:$1,0)))</f>
        <v/>
      </c>
      <c r="AD754" s="27" t="str">
        <f t="shared" si="13"/>
        <v/>
      </c>
      <c r="AE754" s="1" t="str">
        <f t="array" ref="AE754">IFERROR(INDEX('Исходник'!$1:$626,MATCH($A754,'Исходник'!$T:$T,0),MATCH(AE$1,'Исходник'!$1:$1,0)))</f>
        <v/>
      </c>
      <c r="AF754" s="1" t="str">
        <f t="array" ref="AF754">IFERROR(INDEX('Исходник'!$1:$626,MATCH($A754,'Исходник'!$T:$T,0),MATCH(AF$1,'Исходник'!$1:$1,0)))</f>
        <v/>
      </c>
      <c r="AG754" s="27" t="str">
        <f t="shared" si="14"/>
        <v/>
      </c>
      <c r="AH754" s="1" t="str">
        <f t="array" ref="AH754">IFERROR(INDEX('Исходник'!$1:$626,MATCH($A754,'Исходник'!$T:$T,0),MATCH(AH$1,'Исходник'!$1:$1,0)))</f>
        <v/>
      </c>
      <c r="AI754" s="1" t="str">
        <f t="array" ref="AI754">IFERROR(INDEX('Исходник'!$1:$626,MATCH($A754,'Исходник'!$T:$T,0),MATCH(AI$1,'Исходник'!$1:$1,0)))</f>
        <v/>
      </c>
      <c r="AJ754" s="18">
        <f t="shared" si="15"/>
        <v>0</v>
      </c>
    </row>
    <row r="755" ht="15.75" customHeight="1">
      <c r="A755" s="27"/>
      <c r="B755" s="1" t="str">
        <f t="array" ref="B755">IFERROR(INDEX('Исходник'!$1:$626,MATCH($A755,'Исходник'!$T:$T,0),MATCH(B$1,'Исходник'!$1:$1,0)))</f>
        <v/>
      </c>
      <c r="C755" s="1" t="str">
        <f t="array" ref="C755">IFERROR(INDEX('Исходник'!$1:$626,MATCH($A755,'Исходник'!$T:$T,0),MATCH(C$1,'Исходник'!$1:$1,0)))</f>
        <v/>
      </c>
      <c r="D755" s="1" t="str">
        <f t="array" ref="D755">IFERROR(INDEX('Исходник'!$1:$626,MATCH($A755,'Исходник'!$T:$T,0),MATCH(D$1,'Исходник'!$1:$1,0)))</f>
        <v/>
      </c>
      <c r="E755" s="1" t="str">
        <f t="array" ref="E755">IFERROR(INDEX('Исходник'!$1:$626,MATCH($A755,'Исходник'!$T:$T,0),MATCH(E$1,'Исходник'!$1:$1,0)))</f>
        <v/>
      </c>
      <c r="F755" s="1" t="str">
        <f t="array" ref="F755">IFERROR(INDEX('Исходник'!$1:$626,MATCH($A755,'Исходник'!$T:$T,0),MATCH(F$1,'Исходник'!$1:$1,0)))</f>
        <v/>
      </c>
      <c r="G755" s="1" t="str">
        <f t="array" ref="G755">IFERROR(INDEX('Исходник'!$1:$626,MATCH($A755,'Исходник'!$T:$T,0),MATCH(G$1,'Исходник'!$1:$1,0)))</f>
        <v/>
      </c>
      <c r="H755" s="27">
        <f t="shared" si="1"/>
        <v>0</v>
      </c>
      <c r="I755" s="27" t="str">
        <f t="shared" si="2"/>
        <v/>
      </c>
      <c r="J755" s="1" t="str">
        <f t="array" ref="J755">IFERROR(INDEX('Исходник'!$1:$626,MATCH($A755,'Исходник'!$T:$T,0),MATCH(J$1,'Исходник'!$1:$1,0)))</f>
        <v/>
      </c>
      <c r="K755" s="27" t="str">
        <f t="shared" si="3"/>
        <v/>
      </c>
      <c r="L755" s="1" t="str">
        <f t="array" ref="L755">IFERROR(INDEX('Исходник'!$1:$626,MATCH($A755,'Исходник'!$T:$T,0),MATCH(L$1,'Исходник'!$1:$1,0)))</f>
        <v/>
      </c>
      <c r="M755" s="28">
        <f t="shared" si="4"/>
        <v>0</v>
      </c>
      <c r="N755" s="1" t="str">
        <f t="array" ref="N755">IFERROR(INDEX('Исходник'!$1:$626,MATCH($A755,'Исходник'!$T:$T,0),MATCH(N$1,'Исходник'!$1:$1,0)))</f>
        <v/>
      </c>
      <c r="O755" s="27">
        <f t="shared" si="5"/>
        <v>0</v>
      </c>
      <c r="P755" s="27" t="str">
        <f t="shared" si="6"/>
        <v/>
      </c>
      <c r="Q755" s="1" t="str">
        <f t="array" ref="Q755">IFERROR(INDEX('Исходник'!$1:$626,MATCH($A755,'Исходник'!$T:$T,0),MATCH(Q$1,'Исходник'!$1:$1,0)))</f>
        <v/>
      </c>
      <c r="R755" s="1" t="str">
        <f t="array" ref="R755">IFERROR(INDEX('Исходник'!$1:$626,MATCH($A755,'Исходник'!$T:$T,0),MATCH(R$1,'Исходник'!$1:$1,0)))</f>
        <v/>
      </c>
      <c r="S755" s="27">
        <f t="shared" si="7"/>
        <v>0</v>
      </c>
      <c r="T755" s="27" t="str">
        <f t="shared" si="8"/>
        <v/>
      </c>
      <c r="U755" s="1" t="str">
        <f t="array" ref="U755">IFERROR(INDEX('Исходник'!$1:$626,MATCH($A755,'Исходник'!$T:$T,0),MATCH(U$1,'Исходник'!$1:$1,0)))</f>
        <v/>
      </c>
      <c r="V755" s="27" t="str">
        <f t="shared" si="9"/>
        <v/>
      </c>
      <c r="W755" s="1" t="str">
        <f t="array" ref="W755">IFERROR(INDEX('Исходник'!$1:$626,MATCH($A755,'Исходник'!$T:$T,0),MATCH(W$1,'Исходник'!$1:$1,0)))</f>
        <v/>
      </c>
      <c r="X755" s="28">
        <f t="shared" si="10"/>
        <v>0</v>
      </c>
      <c r="Y755" s="1" t="str">
        <f t="array" ref="Y755">IFERROR(INDEX('Исходник'!$1:$626,MATCH($A755,'Исходник'!$T:$T,0),MATCH(Y$1,'Исходник'!$1:$1,0)))</f>
        <v/>
      </c>
      <c r="Z755" s="27">
        <f t="shared" si="11"/>
        <v>0</v>
      </c>
      <c r="AA755" s="27" t="str">
        <f t="shared" si="12"/>
        <v/>
      </c>
      <c r="AB755" s="1" t="str">
        <f t="array" ref="AB755">IFERROR(INDEX('Исходник'!$1:$626,MATCH($A755,'Исходник'!$T:$T,0),MATCH(AB$1,'Исходник'!$1:$1,0)))</f>
        <v/>
      </c>
      <c r="AC755" s="1" t="str">
        <f t="array" ref="AC755">IFERROR(INDEX('Исходник'!$1:$626,MATCH($A755,'Исходник'!$T:$T,0),MATCH(AC$1,'Исходник'!$1:$1,0)))</f>
        <v/>
      </c>
      <c r="AD755" s="27" t="str">
        <f t="shared" si="13"/>
        <v/>
      </c>
      <c r="AE755" s="1" t="str">
        <f t="array" ref="AE755">IFERROR(INDEX('Исходник'!$1:$626,MATCH($A755,'Исходник'!$T:$T,0),MATCH(AE$1,'Исходник'!$1:$1,0)))</f>
        <v/>
      </c>
      <c r="AF755" s="1" t="str">
        <f t="array" ref="AF755">IFERROR(INDEX('Исходник'!$1:$626,MATCH($A755,'Исходник'!$T:$T,0),MATCH(AF$1,'Исходник'!$1:$1,0)))</f>
        <v/>
      </c>
      <c r="AG755" s="27" t="str">
        <f t="shared" si="14"/>
        <v/>
      </c>
      <c r="AH755" s="1" t="str">
        <f t="array" ref="AH755">IFERROR(INDEX('Исходник'!$1:$626,MATCH($A755,'Исходник'!$T:$T,0),MATCH(AH$1,'Исходник'!$1:$1,0)))</f>
        <v/>
      </c>
      <c r="AI755" s="1" t="str">
        <f t="array" ref="AI755">IFERROR(INDEX('Исходник'!$1:$626,MATCH($A755,'Исходник'!$T:$T,0),MATCH(AI$1,'Исходник'!$1:$1,0)))</f>
        <v/>
      </c>
      <c r="AJ755" s="18">
        <f t="shared" si="15"/>
        <v>0</v>
      </c>
    </row>
    <row r="756" ht="15.75" customHeight="1">
      <c r="A756" s="27"/>
      <c r="B756" s="1" t="str">
        <f t="array" ref="B756">IFERROR(INDEX('Исходник'!$1:$626,MATCH($A756,'Исходник'!$T:$T,0),MATCH(B$1,'Исходник'!$1:$1,0)))</f>
        <v/>
      </c>
      <c r="C756" s="1" t="str">
        <f t="array" ref="C756">IFERROR(INDEX('Исходник'!$1:$626,MATCH($A756,'Исходник'!$T:$T,0),MATCH(C$1,'Исходник'!$1:$1,0)))</f>
        <v/>
      </c>
      <c r="D756" s="1" t="str">
        <f t="array" ref="D756">IFERROR(INDEX('Исходник'!$1:$626,MATCH($A756,'Исходник'!$T:$T,0),MATCH(D$1,'Исходник'!$1:$1,0)))</f>
        <v/>
      </c>
      <c r="E756" s="1" t="str">
        <f t="array" ref="E756">IFERROR(INDEX('Исходник'!$1:$626,MATCH($A756,'Исходник'!$T:$T,0),MATCH(E$1,'Исходник'!$1:$1,0)))</f>
        <v/>
      </c>
      <c r="F756" s="1" t="str">
        <f t="array" ref="F756">IFERROR(INDEX('Исходник'!$1:$626,MATCH($A756,'Исходник'!$T:$T,0),MATCH(F$1,'Исходник'!$1:$1,0)))</f>
        <v/>
      </c>
      <c r="G756" s="1" t="str">
        <f t="array" ref="G756">IFERROR(INDEX('Исходник'!$1:$626,MATCH($A756,'Исходник'!$T:$T,0),MATCH(G$1,'Исходник'!$1:$1,0)))</f>
        <v/>
      </c>
      <c r="H756" s="27">
        <f t="shared" si="1"/>
        <v>0</v>
      </c>
      <c r="I756" s="27" t="str">
        <f t="shared" si="2"/>
        <v/>
      </c>
      <c r="J756" s="1" t="str">
        <f t="array" ref="J756">IFERROR(INDEX('Исходник'!$1:$626,MATCH($A756,'Исходник'!$T:$T,0),MATCH(J$1,'Исходник'!$1:$1,0)))</f>
        <v/>
      </c>
      <c r="K756" s="27" t="str">
        <f t="shared" si="3"/>
        <v/>
      </c>
      <c r="L756" s="1" t="str">
        <f t="array" ref="L756">IFERROR(INDEX('Исходник'!$1:$626,MATCH($A756,'Исходник'!$T:$T,0),MATCH(L$1,'Исходник'!$1:$1,0)))</f>
        <v/>
      </c>
      <c r="M756" s="28">
        <f t="shared" si="4"/>
        <v>0</v>
      </c>
      <c r="N756" s="1" t="str">
        <f t="array" ref="N756">IFERROR(INDEX('Исходник'!$1:$626,MATCH($A756,'Исходник'!$T:$T,0),MATCH(N$1,'Исходник'!$1:$1,0)))</f>
        <v/>
      </c>
      <c r="O756" s="27">
        <f t="shared" si="5"/>
        <v>0</v>
      </c>
      <c r="P756" s="27" t="str">
        <f t="shared" si="6"/>
        <v/>
      </c>
      <c r="Q756" s="1" t="str">
        <f t="array" ref="Q756">IFERROR(INDEX('Исходник'!$1:$626,MATCH($A756,'Исходник'!$T:$T,0),MATCH(Q$1,'Исходник'!$1:$1,0)))</f>
        <v/>
      </c>
      <c r="R756" s="1" t="str">
        <f t="array" ref="R756">IFERROR(INDEX('Исходник'!$1:$626,MATCH($A756,'Исходник'!$T:$T,0),MATCH(R$1,'Исходник'!$1:$1,0)))</f>
        <v/>
      </c>
      <c r="S756" s="27">
        <f t="shared" si="7"/>
        <v>0</v>
      </c>
      <c r="T756" s="27" t="str">
        <f t="shared" si="8"/>
        <v/>
      </c>
      <c r="U756" s="1" t="str">
        <f t="array" ref="U756">IFERROR(INDEX('Исходник'!$1:$626,MATCH($A756,'Исходник'!$T:$T,0),MATCH(U$1,'Исходник'!$1:$1,0)))</f>
        <v/>
      </c>
      <c r="V756" s="27" t="str">
        <f t="shared" si="9"/>
        <v/>
      </c>
      <c r="W756" s="1" t="str">
        <f t="array" ref="W756">IFERROR(INDEX('Исходник'!$1:$626,MATCH($A756,'Исходник'!$T:$T,0),MATCH(W$1,'Исходник'!$1:$1,0)))</f>
        <v/>
      </c>
      <c r="X756" s="28">
        <f t="shared" si="10"/>
        <v>0</v>
      </c>
      <c r="Y756" s="1" t="str">
        <f t="array" ref="Y756">IFERROR(INDEX('Исходник'!$1:$626,MATCH($A756,'Исходник'!$T:$T,0),MATCH(Y$1,'Исходник'!$1:$1,0)))</f>
        <v/>
      </c>
      <c r="Z756" s="27">
        <f t="shared" si="11"/>
        <v>0</v>
      </c>
      <c r="AA756" s="27" t="str">
        <f t="shared" si="12"/>
        <v/>
      </c>
      <c r="AB756" s="1" t="str">
        <f t="array" ref="AB756">IFERROR(INDEX('Исходник'!$1:$626,MATCH($A756,'Исходник'!$T:$T,0),MATCH(AB$1,'Исходник'!$1:$1,0)))</f>
        <v/>
      </c>
      <c r="AC756" s="1" t="str">
        <f t="array" ref="AC756">IFERROR(INDEX('Исходник'!$1:$626,MATCH($A756,'Исходник'!$T:$T,0),MATCH(AC$1,'Исходник'!$1:$1,0)))</f>
        <v/>
      </c>
      <c r="AD756" s="27" t="str">
        <f t="shared" si="13"/>
        <v/>
      </c>
      <c r="AE756" s="1" t="str">
        <f t="array" ref="AE756">IFERROR(INDEX('Исходник'!$1:$626,MATCH($A756,'Исходник'!$T:$T,0),MATCH(AE$1,'Исходник'!$1:$1,0)))</f>
        <v/>
      </c>
      <c r="AF756" s="1" t="str">
        <f t="array" ref="AF756">IFERROR(INDEX('Исходник'!$1:$626,MATCH($A756,'Исходник'!$T:$T,0),MATCH(AF$1,'Исходник'!$1:$1,0)))</f>
        <v/>
      </c>
      <c r="AG756" s="27" t="str">
        <f t="shared" si="14"/>
        <v/>
      </c>
      <c r="AH756" s="1" t="str">
        <f t="array" ref="AH756">IFERROR(INDEX('Исходник'!$1:$626,MATCH($A756,'Исходник'!$T:$T,0),MATCH(AH$1,'Исходник'!$1:$1,0)))</f>
        <v/>
      </c>
      <c r="AI756" s="1" t="str">
        <f t="array" ref="AI756">IFERROR(INDEX('Исходник'!$1:$626,MATCH($A756,'Исходник'!$T:$T,0),MATCH(AI$1,'Исходник'!$1:$1,0)))</f>
        <v/>
      </c>
      <c r="AJ756" s="18">
        <f t="shared" si="15"/>
        <v>0</v>
      </c>
    </row>
    <row r="757" ht="15.75" customHeight="1">
      <c r="A757" s="27"/>
      <c r="B757" s="1" t="str">
        <f t="array" ref="B757">IFERROR(INDEX('Исходник'!$1:$626,MATCH($A757,'Исходник'!$T:$T,0),MATCH(B$1,'Исходник'!$1:$1,0)))</f>
        <v/>
      </c>
      <c r="C757" s="1" t="str">
        <f t="array" ref="C757">IFERROR(INDEX('Исходник'!$1:$626,MATCH($A757,'Исходник'!$T:$T,0),MATCH(C$1,'Исходник'!$1:$1,0)))</f>
        <v/>
      </c>
      <c r="D757" s="1" t="str">
        <f t="array" ref="D757">IFERROR(INDEX('Исходник'!$1:$626,MATCH($A757,'Исходник'!$T:$T,0),MATCH(D$1,'Исходник'!$1:$1,0)))</f>
        <v/>
      </c>
      <c r="E757" s="1" t="str">
        <f t="array" ref="E757">IFERROR(INDEX('Исходник'!$1:$626,MATCH($A757,'Исходник'!$T:$T,0),MATCH(E$1,'Исходник'!$1:$1,0)))</f>
        <v/>
      </c>
      <c r="F757" s="1" t="str">
        <f t="array" ref="F757">IFERROR(INDEX('Исходник'!$1:$626,MATCH($A757,'Исходник'!$T:$T,0),MATCH(F$1,'Исходник'!$1:$1,0)))</f>
        <v/>
      </c>
      <c r="G757" s="1" t="str">
        <f t="array" ref="G757">IFERROR(INDEX('Исходник'!$1:$626,MATCH($A757,'Исходник'!$T:$T,0),MATCH(G$1,'Исходник'!$1:$1,0)))</f>
        <v/>
      </c>
      <c r="H757" s="27">
        <f t="shared" si="1"/>
        <v>0</v>
      </c>
      <c r="I757" s="27" t="str">
        <f t="shared" si="2"/>
        <v/>
      </c>
      <c r="J757" s="1" t="str">
        <f t="array" ref="J757">IFERROR(INDEX('Исходник'!$1:$626,MATCH($A757,'Исходник'!$T:$T,0),MATCH(J$1,'Исходник'!$1:$1,0)))</f>
        <v/>
      </c>
      <c r="K757" s="27" t="str">
        <f t="shared" si="3"/>
        <v/>
      </c>
      <c r="L757" s="1" t="str">
        <f t="array" ref="L757">IFERROR(INDEX('Исходник'!$1:$626,MATCH($A757,'Исходник'!$T:$T,0),MATCH(L$1,'Исходник'!$1:$1,0)))</f>
        <v/>
      </c>
      <c r="M757" s="28">
        <f t="shared" si="4"/>
        <v>0</v>
      </c>
      <c r="N757" s="1" t="str">
        <f t="array" ref="N757">IFERROR(INDEX('Исходник'!$1:$626,MATCH($A757,'Исходник'!$T:$T,0),MATCH(N$1,'Исходник'!$1:$1,0)))</f>
        <v/>
      </c>
      <c r="O757" s="27">
        <f t="shared" si="5"/>
        <v>0</v>
      </c>
      <c r="P757" s="27" t="str">
        <f t="shared" si="6"/>
        <v/>
      </c>
      <c r="Q757" s="1" t="str">
        <f t="array" ref="Q757">IFERROR(INDEX('Исходник'!$1:$626,MATCH($A757,'Исходник'!$T:$T,0),MATCH(Q$1,'Исходник'!$1:$1,0)))</f>
        <v/>
      </c>
      <c r="R757" s="1" t="str">
        <f t="array" ref="R757">IFERROR(INDEX('Исходник'!$1:$626,MATCH($A757,'Исходник'!$T:$T,0),MATCH(R$1,'Исходник'!$1:$1,0)))</f>
        <v/>
      </c>
      <c r="S757" s="27">
        <f t="shared" si="7"/>
        <v>0</v>
      </c>
      <c r="T757" s="27" t="str">
        <f t="shared" si="8"/>
        <v/>
      </c>
      <c r="U757" s="1" t="str">
        <f t="array" ref="U757">IFERROR(INDEX('Исходник'!$1:$626,MATCH($A757,'Исходник'!$T:$T,0),MATCH(U$1,'Исходник'!$1:$1,0)))</f>
        <v/>
      </c>
      <c r="V757" s="27" t="str">
        <f t="shared" si="9"/>
        <v/>
      </c>
      <c r="W757" s="1" t="str">
        <f t="array" ref="W757">IFERROR(INDEX('Исходник'!$1:$626,MATCH($A757,'Исходник'!$T:$T,0),MATCH(W$1,'Исходник'!$1:$1,0)))</f>
        <v/>
      </c>
      <c r="X757" s="28">
        <f t="shared" si="10"/>
        <v>0</v>
      </c>
      <c r="Y757" s="1" t="str">
        <f t="array" ref="Y757">IFERROR(INDEX('Исходник'!$1:$626,MATCH($A757,'Исходник'!$T:$T,0),MATCH(Y$1,'Исходник'!$1:$1,0)))</f>
        <v/>
      </c>
      <c r="Z757" s="27">
        <f t="shared" si="11"/>
        <v>0</v>
      </c>
      <c r="AA757" s="27" t="str">
        <f t="shared" si="12"/>
        <v/>
      </c>
      <c r="AB757" s="1" t="str">
        <f t="array" ref="AB757">IFERROR(INDEX('Исходник'!$1:$626,MATCH($A757,'Исходник'!$T:$T,0),MATCH(AB$1,'Исходник'!$1:$1,0)))</f>
        <v/>
      </c>
      <c r="AC757" s="1" t="str">
        <f t="array" ref="AC757">IFERROR(INDEX('Исходник'!$1:$626,MATCH($A757,'Исходник'!$T:$T,0),MATCH(AC$1,'Исходник'!$1:$1,0)))</f>
        <v/>
      </c>
      <c r="AD757" s="27" t="str">
        <f t="shared" si="13"/>
        <v/>
      </c>
      <c r="AE757" s="1" t="str">
        <f t="array" ref="AE757">IFERROR(INDEX('Исходник'!$1:$626,MATCH($A757,'Исходник'!$T:$T,0),MATCH(AE$1,'Исходник'!$1:$1,0)))</f>
        <v/>
      </c>
      <c r="AF757" s="1" t="str">
        <f t="array" ref="AF757">IFERROR(INDEX('Исходник'!$1:$626,MATCH($A757,'Исходник'!$T:$T,0),MATCH(AF$1,'Исходник'!$1:$1,0)))</f>
        <v/>
      </c>
      <c r="AG757" s="27" t="str">
        <f t="shared" si="14"/>
        <v/>
      </c>
      <c r="AH757" s="1" t="str">
        <f t="array" ref="AH757">IFERROR(INDEX('Исходник'!$1:$626,MATCH($A757,'Исходник'!$T:$T,0),MATCH(AH$1,'Исходник'!$1:$1,0)))</f>
        <v/>
      </c>
      <c r="AI757" s="1" t="str">
        <f t="array" ref="AI757">IFERROR(INDEX('Исходник'!$1:$626,MATCH($A757,'Исходник'!$T:$T,0),MATCH(AI$1,'Исходник'!$1:$1,0)))</f>
        <v/>
      </c>
      <c r="AJ757" s="18">
        <f t="shared" si="15"/>
        <v>0</v>
      </c>
    </row>
    <row r="758" ht="15.75" customHeight="1">
      <c r="A758" s="27"/>
      <c r="B758" s="1" t="str">
        <f t="array" ref="B758">IFERROR(INDEX('Исходник'!$1:$626,MATCH($A758,'Исходник'!$T:$T,0),MATCH(B$1,'Исходник'!$1:$1,0)))</f>
        <v/>
      </c>
      <c r="C758" s="1" t="str">
        <f t="array" ref="C758">IFERROR(INDEX('Исходник'!$1:$626,MATCH($A758,'Исходник'!$T:$T,0),MATCH(C$1,'Исходник'!$1:$1,0)))</f>
        <v/>
      </c>
      <c r="D758" s="1" t="str">
        <f t="array" ref="D758">IFERROR(INDEX('Исходник'!$1:$626,MATCH($A758,'Исходник'!$T:$T,0),MATCH(D$1,'Исходник'!$1:$1,0)))</f>
        <v/>
      </c>
      <c r="E758" s="1" t="str">
        <f t="array" ref="E758">IFERROR(INDEX('Исходник'!$1:$626,MATCH($A758,'Исходник'!$T:$T,0),MATCH(E$1,'Исходник'!$1:$1,0)))</f>
        <v/>
      </c>
      <c r="F758" s="1" t="str">
        <f t="array" ref="F758">IFERROR(INDEX('Исходник'!$1:$626,MATCH($A758,'Исходник'!$T:$T,0),MATCH(F$1,'Исходник'!$1:$1,0)))</f>
        <v/>
      </c>
      <c r="G758" s="1" t="str">
        <f t="array" ref="G758">IFERROR(INDEX('Исходник'!$1:$626,MATCH($A758,'Исходник'!$T:$T,0),MATCH(G$1,'Исходник'!$1:$1,0)))</f>
        <v/>
      </c>
      <c r="H758" s="27">
        <f t="shared" si="1"/>
        <v>0</v>
      </c>
      <c r="I758" s="27" t="str">
        <f t="shared" si="2"/>
        <v/>
      </c>
      <c r="J758" s="1" t="str">
        <f t="array" ref="J758">IFERROR(INDEX('Исходник'!$1:$626,MATCH($A758,'Исходник'!$T:$T,0),MATCH(J$1,'Исходник'!$1:$1,0)))</f>
        <v/>
      </c>
      <c r="K758" s="27" t="str">
        <f t="shared" si="3"/>
        <v/>
      </c>
      <c r="L758" s="1" t="str">
        <f t="array" ref="L758">IFERROR(INDEX('Исходник'!$1:$626,MATCH($A758,'Исходник'!$T:$T,0),MATCH(L$1,'Исходник'!$1:$1,0)))</f>
        <v/>
      </c>
      <c r="M758" s="28">
        <f t="shared" si="4"/>
        <v>0</v>
      </c>
      <c r="N758" s="1" t="str">
        <f t="array" ref="N758">IFERROR(INDEX('Исходник'!$1:$626,MATCH($A758,'Исходник'!$T:$T,0),MATCH(N$1,'Исходник'!$1:$1,0)))</f>
        <v/>
      </c>
      <c r="O758" s="27">
        <f t="shared" si="5"/>
        <v>0</v>
      </c>
      <c r="P758" s="27" t="str">
        <f t="shared" si="6"/>
        <v/>
      </c>
      <c r="Q758" s="1" t="str">
        <f t="array" ref="Q758">IFERROR(INDEX('Исходник'!$1:$626,MATCH($A758,'Исходник'!$T:$T,0),MATCH(Q$1,'Исходник'!$1:$1,0)))</f>
        <v/>
      </c>
      <c r="R758" s="1" t="str">
        <f t="array" ref="R758">IFERROR(INDEX('Исходник'!$1:$626,MATCH($A758,'Исходник'!$T:$T,0),MATCH(R$1,'Исходник'!$1:$1,0)))</f>
        <v/>
      </c>
      <c r="S758" s="27">
        <f t="shared" si="7"/>
        <v>0</v>
      </c>
      <c r="T758" s="27" t="str">
        <f t="shared" si="8"/>
        <v/>
      </c>
      <c r="U758" s="1" t="str">
        <f t="array" ref="U758">IFERROR(INDEX('Исходник'!$1:$626,MATCH($A758,'Исходник'!$T:$T,0),MATCH(U$1,'Исходник'!$1:$1,0)))</f>
        <v/>
      </c>
      <c r="V758" s="27" t="str">
        <f t="shared" si="9"/>
        <v/>
      </c>
      <c r="W758" s="1" t="str">
        <f t="array" ref="W758">IFERROR(INDEX('Исходник'!$1:$626,MATCH($A758,'Исходник'!$T:$T,0),MATCH(W$1,'Исходник'!$1:$1,0)))</f>
        <v/>
      </c>
      <c r="X758" s="28">
        <f t="shared" si="10"/>
        <v>0</v>
      </c>
      <c r="Y758" s="1" t="str">
        <f t="array" ref="Y758">IFERROR(INDEX('Исходник'!$1:$626,MATCH($A758,'Исходник'!$T:$T,0),MATCH(Y$1,'Исходник'!$1:$1,0)))</f>
        <v/>
      </c>
      <c r="Z758" s="27">
        <f t="shared" si="11"/>
        <v>0</v>
      </c>
      <c r="AA758" s="27" t="str">
        <f t="shared" si="12"/>
        <v/>
      </c>
      <c r="AB758" s="1" t="str">
        <f t="array" ref="AB758">IFERROR(INDEX('Исходник'!$1:$626,MATCH($A758,'Исходник'!$T:$T,0),MATCH(AB$1,'Исходник'!$1:$1,0)))</f>
        <v/>
      </c>
      <c r="AC758" s="1" t="str">
        <f t="array" ref="AC758">IFERROR(INDEX('Исходник'!$1:$626,MATCH($A758,'Исходник'!$T:$T,0),MATCH(AC$1,'Исходник'!$1:$1,0)))</f>
        <v/>
      </c>
      <c r="AD758" s="27" t="str">
        <f t="shared" si="13"/>
        <v/>
      </c>
      <c r="AE758" s="1" t="str">
        <f t="array" ref="AE758">IFERROR(INDEX('Исходник'!$1:$626,MATCH($A758,'Исходник'!$T:$T,0),MATCH(AE$1,'Исходник'!$1:$1,0)))</f>
        <v/>
      </c>
      <c r="AF758" s="1" t="str">
        <f t="array" ref="AF758">IFERROR(INDEX('Исходник'!$1:$626,MATCH($A758,'Исходник'!$T:$T,0),MATCH(AF$1,'Исходник'!$1:$1,0)))</f>
        <v/>
      </c>
      <c r="AG758" s="27" t="str">
        <f t="shared" si="14"/>
        <v/>
      </c>
      <c r="AH758" s="1" t="str">
        <f t="array" ref="AH758">IFERROR(INDEX('Исходник'!$1:$626,MATCH($A758,'Исходник'!$T:$T,0),MATCH(AH$1,'Исходник'!$1:$1,0)))</f>
        <v/>
      </c>
      <c r="AI758" s="1" t="str">
        <f t="array" ref="AI758">IFERROR(INDEX('Исходник'!$1:$626,MATCH($A758,'Исходник'!$T:$T,0),MATCH(AI$1,'Исходник'!$1:$1,0)))</f>
        <v/>
      </c>
      <c r="AJ758" s="18">
        <f t="shared" si="15"/>
        <v>0</v>
      </c>
    </row>
    <row r="759" ht="15.75" customHeight="1">
      <c r="A759" s="27"/>
      <c r="B759" s="1" t="str">
        <f t="array" ref="B759">IFERROR(INDEX('Исходник'!$1:$626,MATCH($A759,'Исходник'!$T:$T,0),MATCH(B$1,'Исходник'!$1:$1,0)))</f>
        <v/>
      </c>
      <c r="C759" s="1" t="str">
        <f t="array" ref="C759">IFERROR(INDEX('Исходник'!$1:$626,MATCH($A759,'Исходник'!$T:$T,0),MATCH(C$1,'Исходник'!$1:$1,0)))</f>
        <v/>
      </c>
      <c r="D759" s="1" t="str">
        <f t="array" ref="D759">IFERROR(INDEX('Исходник'!$1:$626,MATCH($A759,'Исходник'!$T:$T,0),MATCH(D$1,'Исходник'!$1:$1,0)))</f>
        <v/>
      </c>
      <c r="E759" s="1" t="str">
        <f t="array" ref="E759">IFERROR(INDEX('Исходник'!$1:$626,MATCH($A759,'Исходник'!$T:$T,0),MATCH(E$1,'Исходник'!$1:$1,0)))</f>
        <v/>
      </c>
      <c r="F759" s="1" t="str">
        <f t="array" ref="F759">IFERROR(INDEX('Исходник'!$1:$626,MATCH($A759,'Исходник'!$T:$T,0),MATCH(F$1,'Исходник'!$1:$1,0)))</f>
        <v/>
      </c>
      <c r="G759" s="1" t="str">
        <f t="array" ref="G759">IFERROR(INDEX('Исходник'!$1:$626,MATCH($A759,'Исходник'!$T:$T,0),MATCH(G$1,'Исходник'!$1:$1,0)))</f>
        <v/>
      </c>
      <c r="H759" s="27">
        <f t="shared" si="1"/>
        <v>0</v>
      </c>
      <c r="I759" s="27" t="str">
        <f t="shared" si="2"/>
        <v/>
      </c>
      <c r="J759" s="1" t="str">
        <f t="array" ref="J759">IFERROR(INDEX('Исходник'!$1:$626,MATCH($A759,'Исходник'!$T:$T,0),MATCH(J$1,'Исходник'!$1:$1,0)))</f>
        <v/>
      </c>
      <c r="K759" s="27" t="str">
        <f t="shared" si="3"/>
        <v/>
      </c>
      <c r="L759" s="1" t="str">
        <f t="array" ref="L759">IFERROR(INDEX('Исходник'!$1:$626,MATCH($A759,'Исходник'!$T:$T,0),MATCH(L$1,'Исходник'!$1:$1,0)))</f>
        <v/>
      </c>
      <c r="M759" s="28">
        <f t="shared" si="4"/>
        <v>0</v>
      </c>
      <c r="N759" s="1" t="str">
        <f t="array" ref="N759">IFERROR(INDEX('Исходник'!$1:$626,MATCH($A759,'Исходник'!$T:$T,0),MATCH(N$1,'Исходник'!$1:$1,0)))</f>
        <v/>
      </c>
      <c r="O759" s="27">
        <f t="shared" si="5"/>
        <v>0</v>
      </c>
      <c r="P759" s="27" t="str">
        <f t="shared" si="6"/>
        <v/>
      </c>
      <c r="Q759" s="1" t="str">
        <f t="array" ref="Q759">IFERROR(INDEX('Исходник'!$1:$626,MATCH($A759,'Исходник'!$T:$T,0),MATCH(Q$1,'Исходник'!$1:$1,0)))</f>
        <v/>
      </c>
      <c r="R759" s="1" t="str">
        <f t="array" ref="R759">IFERROR(INDEX('Исходник'!$1:$626,MATCH($A759,'Исходник'!$T:$T,0),MATCH(R$1,'Исходник'!$1:$1,0)))</f>
        <v/>
      </c>
      <c r="S759" s="27">
        <f t="shared" si="7"/>
        <v>0</v>
      </c>
      <c r="T759" s="27" t="str">
        <f t="shared" si="8"/>
        <v/>
      </c>
      <c r="U759" s="1" t="str">
        <f t="array" ref="U759">IFERROR(INDEX('Исходник'!$1:$626,MATCH($A759,'Исходник'!$T:$T,0),MATCH(U$1,'Исходник'!$1:$1,0)))</f>
        <v/>
      </c>
      <c r="V759" s="27" t="str">
        <f t="shared" si="9"/>
        <v/>
      </c>
      <c r="W759" s="1" t="str">
        <f t="array" ref="W759">IFERROR(INDEX('Исходник'!$1:$626,MATCH($A759,'Исходник'!$T:$T,0),MATCH(W$1,'Исходник'!$1:$1,0)))</f>
        <v/>
      </c>
      <c r="X759" s="28">
        <f t="shared" si="10"/>
        <v>0</v>
      </c>
      <c r="Y759" s="1" t="str">
        <f t="array" ref="Y759">IFERROR(INDEX('Исходник'!$1:$626,MATCH($A759,'Исходник'!$T:$T,0),MATCH(Y$1,'Исходник'!$1:$1,0)))</f>
        <v/>
      </c>
      <c r="Z759" s="27">
        <f t="shared" si="11"/>
        <v>0</v>
      </c>
      <c r="AA759" s="27" t="str">
        <f t="shared" si="12"/>
        <v/>
      </c>
      <c r="AB759" s="1" t="str">
        <f t="array" ref="AB759">IFERROR(INDEX('Исходник'!$1:$626,MATCH($A759,'Исходник'!$T:$T,0),MATCH(AB$1,'Исходник'!$1:$1,0)))</f>
        <v/>
      </c>
      <c r="AC759" s="1" t="str">
        <f t="array" ref="AC759">IFERROR(INDEX('Исходник'!$1:$626,MATCH($A759,'Исходник'!$T:$T,0),MATCH(AC$1,'Исходник'!$1:$1,0)))</f>
        <v/>
      </c>
      <c r="AD759" s="27" t="str">
        <f t="shared" si="13"/>
        <v/>
      </c>
      <c r="AE759" s="1" t="str">
        <f t="array" ref="AE759">IFERROR(INDEX('Исходник'!$1:$626,MATCH($A759,'Исходник'!$T:$T,0),MATCH(AE$1,'Исходник'!$1:$1,0)))</f>
        <v/>
      </c>
      <c r="AF759" s="1" t="str">
        <f t="array" ref="AF759">IFERROR(INDEX('Исходник'!$1:$626,MATCH($A759,'Исходник'!$T:$T,0),MATCH(AF$1,'Исходник'!$1:$1,0)))</f>
        <v/>
      </c>
      <c r="AG759" s="27" t="str">
        <f t="shared" si="14"/>
        <v/>
      </c>
      <c r="AH759" s="1" t="str">
        <f t="array" ref="AH759">IFERROR(INDEX('Исходник'!$1:$626,MATCH($A759,'Исходник'!$T:$T,0),MATCH(AH$1,'Исходник'!$1:$1,0)))</f>
        <v/>
      </c>
      <c r="AI759" s="1" t="str">
        <f t="array" ref="AI759">IFERROR(INDEX('Исходник'!$1:$626,MATCH($A759,'Исходник'!$T:$T,0),MATCH(AI$1,'Исходник'!$1:$1,0)))</f>
        <v/>
      </c>
      <c r="AJ759" s="18">
        <f t="shared" si="15"/>
        <v>0</v>
      </c>
    </row>
    <row r="760" ht="15.75" customHeight="1">
      <c r="A760" s="27"/>
      <c r="B760" s="1" t="str">
        <f t="array" ref="B760">IFERROR(INDEX('Исходник'!$1:$626,MATCH($A760,'Исходник'!$T:$T,0),MATCH(B$1,'Исходник'!$1:$1,0)))</f>
        <v/>
      </c>
      <c r="C760" s="1" t="str">
        <f t="array" ref="C760">IFERROR(INDEX('Исходник'!$1:$626,MATCH($A760,'Исходник'!$T:$T,0),MATCH(C$1,'Исходник'!$1:$1,0)))</f>
        <v/>
      </c>
      <c r="D760" s="1" t="str">
        <f t="array" ref="D760">IFERROR(INDEX('Исходник'!$1:$626,MATCH($A760,'Исходник'!$T:$T,0),MATCH(D$1,'Исходник'!$1:$1,0)))</f>
        <v/>
      </c>
      <c r="E760" s="1" t="str">
        <f t="array" ref="E760">IFERROR(INDEX('Исходник'!$1:$626,MATCH($A760,'Исходник'!$T:$T,0),MATCH(E$1,'Исходник'!$1:$1,0)))</f>
        <v/>
      </c>
      <c r="F760" s="1" t="str">
        <f t="array" ref="F760">IFERROR(INDEX('Исходник'!$1:$626,MATCH($A760,'Исходник'!$T:$T,0),MATCH(F$1,'Исходник'!$1:$1,0)))</f>
        <v/>
      </c>
      <c r="G760" s="1" t="str">
        <f t="array" ref="G760">IFERROR(INDEX('Исходник'!$1:$626,MATCH($A760,'Исходник'!$T:$T,0),MATCH(G$1,'Исходник'!$1:$1,0)))</f>
        <v/>
      </c>
      <c r="H760" s="27">
        <f t="shared" si="1"/>
        <v>0</v>
      </c>
      <c r="I760" s="27" t="str">
        <f t="shared" si="2"/>
        <v/>
      </c>
      <c r="J760" s="1" t="str">
        <f t="array" ref="J760">IFERROR(INDEX('Исходник'!$1:$626,MATCH($A760,'Исходник'!$T:$T,0),MATCH(J$1,'Исходник'!$1:$1,0)))</f>
        <v/>
      </c>
      <c r="K760" s="27" t="str">
        <f t="shared" si="3"/>
        <v/>
      </c>
      <c r="L760" s="1" t="str">
        <f t="array" ref="L760">IFERROR(INDEX('Исходник'!$1:$626,MATCH($A760,'Исходник'!$T:$T,0),MATCH(L$1,'Исходник'!$1:$1,0)))</f>
        <v/>
      </c>
      <c r="M760" s="28">
        <f t="shared" si="4"/>
        <v>0</v>
      </c>
      <c r="N760" s="1" t="str">
        <f t="array" ref="N760">IFERROR(INDEX('Исходник'!$1:$626,MATCH($A760,'Исходник'!$T:$T,0),MATCH(N$1,'Исходник'!$1:$1,0)))</f>
        <v/>
      </c>
      <c r="O760" s="27">
        <f t="shared" si="5"/>
        <v>0</v>
      </c>
      <c r="P760" s="27" t="str">
        <f t="shared" si="6"/>
        <v/>
      </c>
      <c r="Q760" s="1" t="str">
        <f t="array" ref="Q760">IFERROR(INDEX('Исходник'!$1:$626,MATCH($A760,'Исходник'!$T:$T,0),MATCH(Q$1,'Исходник'!$1:$1,0)))</f>
        <v/>
      </c>
      <c r="R760" s="1" t="str">
        <f t="array" ref="R760">IFERROR(INDEX('Исходник'!$1:$626,MATCH($A760,'Исходник'!$T:$T,0),MATCH(R$1,'Исходник'!$1:$1,0)))</f>
        <v/>
      </c>
      <c r="S760" s="27">
        <f t="shared" si="7"/>
        <v>0</v>
      </c>
      <c r="T760" s="27" t="str">
        <f t="shared" si="8"/>
        <v/>
      </c>
      <c r="U760" s="1" t="str">
        <f t="array" ref="U760">IFERROR(INDEX('Исходник'!$1:$626,MATCH($A760,'Исходник'!$T:$T,0),MATCH(U$1,'Исходник'!$1:$1,0)))</f>
        <v/>
      </c>
      <c r="V760" s="27" t="str">
        <f t="shared" si="9"/>
        <v/>
      </c>
      <c r="W760" s="1" t="str">
        <f t="array" ref="W760">IFERROR(INDEX('Исходник'!$1:$626,MATCH($A760,'Исходник'!$T:$T,0),MATCH(W$1,'Исходник'!$1:$1,0)))</f>
        <v/>
      </c>
      <c r="X760" s="28">
        <f t="shared" si="10"/>
        <v>0</v>
      </c>
      <c r="Y760" s="1" t="str">
        <f t="array" ref="Y760">IFERROR(INDEX('Исходник'!$1:$626,MATCH($A760,'Исходник'!$T:$T,0),MATCH(Y$1,'Исходник'!$1:$1,0)))</f>
        <v/>
      </c>
      <c r="Z760" s="27">
        <f t="shared" si="11"/>
        <v>0</v>
      </c>
      <c r="AA760" s="27" t="str">
        <f t="shared" si="12"/>
        <v/>
      </c>
      <c r="AB760" s="1" t="str">
        <f t="array" ref="AB760">IFERROR(INDEX('Исходник'!$1:$626,MATCH($A760,'Исходник'!$T:$T,0),MATCH(AB$1,'Исходник'!$1:$1,0)))</f>
        <v/>
      </c>
      <c r="AC760" s="1" t="str">
        <f t="array" ref="AC760">IFERROR(INDEX('Исходник'!$1:$626,MATCH($A760,'Исходник'!$T:$T,0),MATCH(AC$1,'Исходник'!$1:$1,0)))</f>
        <v/>
      </c>
      <c r="AD760" s="27" t="str">
        <f t="shared" si="13"/>
        <v/>
      </c>
      <c r="AE760" s="1" t="str">
        <f t="array" ref="AE760">IFERROR(INDEX('Исходник'!$1:$626,MATCH($A760,'Исходник'!$T:$T,0),MATCH(AE$1,'Исходник'!$1:$1,0)))</f>
        <v/>
      </c>
      <c r="AF760" s="1" t="str">
        <f t="array" ref="AF760">IFERROR(INDEX('Исходник'!$1:$626,MATCH($A760,'Исходник'!$T:$T,0),MATCH(AF$1,'Исходник'!$1:$1,0)))</f>
        <v/>
      </c>
      <c r="AG760" s="27" t="str">
        <f t="shared" si="14"/>
        <v/>
      </c>
      <c r="AH760" s="1" t="str">
        <f t="array" ref="AH760">IFERROR(INDEX('Исходник'!$1:$626,MATCH($A760,'Исходник'!$T:$T,0),MATCH(AH$1,'Исходник'!$1:$1,0)))</f>
        <v/>
      </c>
      <c r="AI760" s="1" t="str">
        <f t="array" ref="AI760">IFERROR(INDEX('Исходник'!$1:$626,MATCH($A760,'Исходник'!$T:$T,0),MATCH(AI$1,'Исходник'!$1:$1,0)))</f>
        <v/>
      </c>
      <c r="AJ760" s="18">
        <f t="shared" si="15"/>
        <v>0</v>
      </c>
    </row>
    <row r="761" ht="15.75" customHeight="1">
      <c r="A761" s="27"/>
      <c r="B761" s="1" t="str">
        <f t="array" ref="B761">IFERROR(INDEX('Исходник'!$1:$626,MATCH($A761,'Исходник'!$T:$T,0),MATCH(B$1,'Исходник'!$1:$1,0)))</f>
        <v/>
      </c>
      <c r="C761" s="1" t="str">
        <f t="array" ref="C761">IFERROR(INDEX('Исходник'!$1:$626,MATCH($A761,'Исходник'!$T:$T,0),MATCH(C$1,'Исходник'!$1:$1,0)))</f>
        <v/>
      </c>
      <c r="D761" s="1" t="str">
        <f t="array" ref="D761">IFERROR(INDEX('Исходник'!$1:$626,MATCH($A761,'Исходник'!$T:$T,0),MATCH(D$1,'Исходник'!$1:$1,0)))</f>
        <v/>
      </c>
      <c r="E761" s="1" t="str">
        <f t="array" ref="E761">IFERROR(INDEX('Исходник'!$1:$626,MATCH($A761,'Исходник'!$T:$T,0),MATCH(E$1,'Исходник'!$1:$1,0)))</f>
        <v/>
      </c>
      <c r="F761" s="1" t="str">
        <f t="array" ref="F761">IFERROR(INDEX('Исходник'!$1:$626,MATCH($A761,'Исходник'!$T:$T,0),MATCH(F$1,'Исходник'!$1:$1,0)))</f>
        <v/>
      </c>
      <c r="G761" s="1" t="str">
        <f t="array" ref="G761">IFERROR(INDEX('Исходник'!$1:$626,MATCH($A761,'Исходник'!$T:$T,0),MATCH(G$1,'Исходник'!$1:$1,0)))</f>
        <v/>
      </c>
      <c r="H761" s="27">
        <f t="shared" si="1"/>
        <v>0</v>
      </c>
      <c r="I761" s="27" t="str">
        <f t="shared" si="2"/>
        <v/>
      </c>
      <c r="J761" s="1" t="str">
        <f t="array" ref="J761">IFERROR(INDEX('Исходник'!$1:$626,MATCH($A761,'Исходник'!$T:$T,0),MATCH(J$1,'Исходник'!$1:$1,0)))</f>
        <v/>
      </c>
      <c r="K761" s="27" t="str">
        <f t="shared" si="3"/>
        <v/>
      </c>
      <c r="L761" s="1" t="str">
        <f t="array" ref="L761">IFERROR(INDEX('Исходник'!$1:$626,MATCH($A761,'Исходник'!$T:$T,0),MATCH(L$1,'Исходник'!$1:$1,0)))</f>
        <v/>
      </c>
      <c r="M761" s="28">
        <f t="shared" si="4"/>
        <v>0</v>
      </c>
      <c r="N761" s="1" t="str">
        <f t="array" ref="N761">IFERROR(INDEX('Исходник'!$1:$626,MATCH($A761,'Исходник'!$T:$T,0),MATCH(N$1,'Исходник'!$1:$1,0)))</f>
        <v/>
      </c>
      <c r="O761" s="27">
        <f t="shared" si="5"/>
        <v>0</v>
      </c>
      <c r="P761" s="27" t="str">
        <f t="shared" si="6"/>
        <v/>
      </c>
      <c r="Q761" s="1" t="str">
        <f t="array" ref="Q761">IFERROR(INDEX('Исходник'!$1:$626,MATCH($A761,'Исходник'!$T:$T,0),MATCH(Q$1,'Исходник'!$1:$1,0)))</f>
        <v/>
      </c>
      <c r="R761" s="1" t="str">
        <f t="array" ref="R761">IFERROR(INDEX('Исходник'!$1:$626,MATCH($A761,'Исходник'!$T:$T,0),MATCH(R$1,'Исходник'!$1:$1,0)))</f>
        <v/>
      </c>
      <c r="S761" s="27">
        <f t="shared" si="7"/>
        <v>0</v>
      </c>
      <c r="T761" s="27" t="str">
        <f t="shared" si="8"/>
        <v/>
      </c>
      <c r="U761" s="1" t="str">
        <f t="array" ref="U761">IFERROR(INDEX('Исходник'!$1:$626,MATCH($A761,'Исходник'!$T:$T,0),MATCH(U$1,'Исходник'!$1:$1,0)))</f>
        <v/>
      </c>
      <c r="V761" s="27" t="str">
        <f t="shared" si="9"/>
        <v/>
      </c>
      <c r="W761" s="1" t="str">
        <f t="array" ref="W761">IFERROR(INDEX('Исходник'!$1:$626,MATCH($A761,'Исходник'!$T:$T,0),MATCH(W$1,'Исходник'!$1:$1,0)))</f>
        <v/>
      </c>
      <c r="X761" s="28">
        <f t="shared" si="10"/>
        <v>0</v>
      </c>
      <c r="Y761" s="1" t="str">
        <f t="array" ref="Y761">IFERROR(INDEX('Исходник'!$1:$626,MATCH($A761,'Исходник'!$T:$T,0),MATCH(Y$1,'Исходник'!$1:$1,0)))</f>
        <v/>
      </c>
      <c r="Z761" s="27">
        <f t="shared" si="11"/>
        <v>0</v>
      </c>
      <c r="AA761" s="27" t="str">
        <f t="shared" si="12"/>
        <v/>
      </c>
      <c r="AB761" s="1" t="str">
        <f t="array" ref="AB761">IFERROR(INDEX('Исходник'!$1:$626,MATCH($A761,'Исходник'!$T:$T,0),MATCH(AB$1,'Исходник'!$1:$1,0)))</f>
        <v/>
      </c>
      <c r="AC761" s="1" t="str">
        <f t="array" ref="AC761">IFERROR(INDEX('Исходник'!$1:$626,MATCH($A761,'Исходник'!$T:$T,0),MATCH(AC$1,'Исходник'!$1:$1,0)))</f>
        <v/>
      </c>
      <c r="AD761" s="27" t="str">
        <f t="shared" si="13"/>
        <v/>
      </c>
      <c r="AE761" s="1" t="str">
        <f t="array" ref="AE761">IFERROR(INDEX('Исходник'!$1:$626,MATCH($A761,'Исходник'!$T:$T,0),MATCH(AE$1,'Исходник'!$1:$1,0)))</f>
        <v/>
      </c>
      <c r="AF761" s="1" t="str">
        <f t="array" ref="AF761">IFERROR(INDEX('Исходник'!$1:$626,MATCH($A761,'Исходник'!$T:$T,0),MATCH(AF$1,'Исходник'!$1:$1,0)))</f>
        <v/>
      </c>
      <c r="AG761" s="27" t="str">
        <f t="shared" si="14"/>
        <v/>
      </c>
      <c r="AH761" s="1" t="str">
        <f t="array" ref="AH761">IFERROR(INDEX('Исходник'!$1:$626,MATCH($A761,'Исходник'!$T:$T,0),MATCH(AH$1,'Исходник'!$1:$1,0)))</f>
        <v/>
      </c>
      <c r="AI761" s="1" t="str">
        <f t="array" ref="AI761">IFERROR(INDEX('Исходник'!$1:$626,MATCH($A761,'Исходник'!$T:$T,0),MATCH(AI$1,'Исходник'!$1:$1,0)))</f>
        <v/>
      </c>
      <c r="AJ761" s="18">
        <f t="shared" si="15"/>
        <v>0</v>
      </c>
    </row>
    <row r="762" ht="15.75" customHeight="1">
      <c r="A762" s="27"/>
      <c r="B762" s="1" t="str">
        <f t="array" ref="B762">IFERROR(INDEX('Исходник'!$1:$626,MATCH($A762,'Исходник'!$T:$T,0),MATCH(B$1,'Исходник'!$1:$1,0)))</f>
        <v/>
      </c>
      <c r="C762" s="1" t="str">
        <f t="array" ref="C762">IFERROR(INDEX('Исходник'!$1:$626,MATCH($A762,'Исходник'!$T:$T,0),MATCH(C$1,'Исходник'!$1:$1,0)))</f>
        <v/>
      </c>
      <c r="D762" s="1" t="str">
        <f t="array" ref="D762">IFERROR(INDEX('Исходник'!$1:$626,MATCH($A762,'Исходник'!$T:$T,0),MATCH(D$1,'Исходник'!$1:$1,0)))</f>
        <v/>
      </c>
      <c r="E762" s="1" t="str">
        <f t="array" ref="E762">IFERROR(INDEX('Исходник'!$1:$626,MATCH($A762,'Исходник'!$T:$T,0),MATCH(E$1,'Исходник'!$1:$1,0)))</f>
        <v/>
      </c>
      <c r="F762" s="1" t="str">
        <f t="array" ref="F762">IFERROR(INDEX('Исходник'!$1:$626,MATCH($A762,'Исходник'!$T:$T,0),MATCH(F$1,'Исходник'!$1:$1,0)))</f>
        <v/>
      </c>
      <c r="G762" s="1" t="str">
        <f t="array" ref="G762">IFERROR(INDEX('Исходник'!$1:$626,MATCH($A762,'Исходник'!$T:$T,0),MATCH(G$1,'Исходник'!$1:$1,0)))</f>
        <v/>
      </c>
      <c r="H762" s="27">
        <f t="shared" si="1"/>
        <v>0</v>
      </c>
      <c r="I762" s="27" t="str">
        <f t="shared" si="2"/>
        <v/>
      </c>
      <c r="J762" s="1" t="str">
        <f t="array" ref="J762">IFERROR(INDEX('Исходник'!$1:$626,MATCH($A762,'Исходник'!$T:$T,0),MATCH(J$1,'Исходник'!$1:$1,0)))</f>
        <v/>
      </c>
      <c r="K762" s="27" t="str">
        <f t="shared" si="3"/>
        <v/>
      </c>
      <c r="L762" s="1" t="str">
        <f t="array" ref="L762">IFERROR(INDEX('Исходник'!$1:$626,MATCH($A762,'Исходник'!$T:$T,0),MATCH(L$1,'Исходник'!$1:$1,0)))</f>
        <v/>
      </c>
      <c r="M762" s="28">
        <f t="shared" si="4"/>
        <v>0</v>
      </c>
      <c r="N762" s="1" t="str">
        <f t="array" ref="N762">IFERROR(INDEX('Исходник'!$1:$626,MATCH($A762,'Исходник'!$T:$T,0),MATCH(N$1,'Исходник'!$1:$1,0)))</f>
        <v/>
      </c>
      <c r="O762" s="27">
        <f t="shared" si="5"/>
        <v>0</v>
      </c>
      <c r="P762" s="27" t="str">
        <f t="shared" si="6"/>
        <v/>
      </c>
      <c r="Q762" s="1" t="str">
        <f t="array" ref="Q762">IFERROR(INDEX('Исходник'!$1:$626,MATCH($A762,'Исходник'!$T:$T,0),MATCH(Q$1,'Исходник'!$1:$1,0)))</f>
        <v/>
      </c>
      <c r="R762" s="1" t="str">
        <f t="array" ref="R762">IFERROR(INDEX('Исходник'!$1:$626,MATCH($A762,'Исходник'!$T:$T,0),MATCH(R$1,'Исходник'!$1:$1,0)))</f>
        <v/>
      </c>
      <c r="S762" s="27">
        <f t="shared" si="7"/>
        <v>0</v>
      </c>
      <c r="T762" s="27" t="str">
        <f t="shared" si="8"/>
        <v/>
      </c>
      <c r="U762" s="1" t="str">
        <f t="array" ref="U762">IFERROR(INDEX('Исходник'!$1:$626,MATCH($A762,'Исходник'!$T:$T,0),MATCH(U$1,'Исходник'!$1:$1,0)))</f>
        <v/>
      </c>
      <c r="V762" s="27" t="str">
        <f t="shared" si="9"/>
        <v/>
      </c>
      <c r="W762" s="1" t="str">
        <f t="array" ref="W762">IFERROR(INDEX('Исходник'!$1:$626,MATCH($A762,'Исходник'!$T:$T,0),MATCH(W$1,'Исходник'!$1:$1,0)))</f>
        <v/>
      </c>
      <c r="X762" s="28">
        <f t="shared" si="10"/>
        <v>0</v>
      </c>
      <c r="Y762" s="1" t="str">
        <f t="array" ref="Y762">IFERROR(INDEX('Исходник'!$1:$626,MATCH($A762,'Исходник'!$T:$T,0),MATCH(Y$1,'Исходник'!$1:$1,0)))</f>
        <v/>
      </c>
      <c r="Z762" s="27">
        <f t="shared" si="11"/>
        <v>0</v>
      </c>
      <c r="AA762" s="27" t="str">
        <f t="shared" si="12"/>
        <v/>
      </c>
      <c r="AB762" s="1" t="str">
        <f t="array" ref="AB762">IFERROR(INDEX('Исходник'!$1:$626,MATCH($A762,'Исходник'!$T:$T,0),MATCH(AB$1,'Исходник'!$1:$1,0)))</f>
        <v/>
      </c>
      <c r="AC762" s="1" t="str">
        <f t="array" ref="AC762">IFERROR(INDEX('Исходник'!$1:$626,MATCH($A762,'Исходник'!$T:$T,0),MATCH(AC$1,'Исходник'!$1:$1,0)))</f>
        <v/>
      </c>
      <c r="AD762" s="27" t="str">
        <f t="shared" si="13"/>
        <v/>
      </c>
      <c r="AE762" s="1" t="str">
        <f t="array" ref="AE762">IFERROR(INDEX('Исходник'!$1:$626,MATCH($A762,'Исходник'!$T:$T,0),MATCH(AE$1,'Исходник'!$1:$1,0)))</f>
        <v/>
      </c>
      <c r="AF762" s="1" t="str">
        <f t="array" ref="AF762">IFERROR(INDEX('Исходник'!$1:$626,MATCH($A762,'Исходник'!$T:$T,0),MATCH(AF$1,'Исходник'!$1:$1,0)))</f>
        <v/>
      </c>
      <c r="AG762" s="27" t="str">
        <f t="shared" si="14"/>
        <v/>
      </c>
      <c r="AH762" s="1" t="str">
        <f t="array" ref="AH762">IFERROR(INDEX('Исходник'!$1:$626,MATCH($A762,'Исходник'!$T:$T,0),MATCH(AH$1,'Исходник'!$1:$1,0)))</f>
        <v/>
      </c>
      <c r="AI762" s="1" t="str">
        <f t="array" ref="AI762">IFERROR(INDEX('Исходник'!$1:$626,MATCH($A762,'Исходник'!$T:$T,0),MATCH(AI$1,'Исходник'!$1:$1,0)))</f>
        <v/>
      </c>
      <c r="AJ762" s="18">
        <f t="shared" si="15"/>
        <v>0</v>
      </c>
    </row>
    <row r="763" ht="15.75" customHeight="1">
      <c r="A763" s="27"/>
      <c r="B763" s="1" t="str">
        <f t="array" ref="B763">IFERROR(INDEX('Исходник'!$1:$626,MATCH($A763,'Исходник'!$T:$T,0),MATCH(B$1,'Исходник'!$1:$1,0)))</f>
        <v/>
      </c>
      <c r="C763" s="1" t="str">
        <f t="array" ref="C763">IFERROR(INDEX('Исходник'!$1:$626,MATCH($A763,'Исходник'!$T:$T,0),MATCH(C$1,'Исходник'!$1:$1,0)))</f>
        <v/>
      </c>
      <c r="D763" s="1" t="str">
        <f t="array" ref="D763">IFERROR(INDEX('Исходник'!$1:$626,MATCH($A763,'Исходник'!$T:$T,0),MATCH(D$1,'Исходник'!$1:$1,0)))</f>
        <v/>
      </c>
      <c r="E763" s="1" t="str">
        <f t="array" ref="E763">IFERROR(INDEX('Исходник'!$1:$626,MATCH($A763,'Исходник'!$T:$T,0),MATCH(E$1,'Исходник'!$1:$1,0)))</f>
        <v/>
      </c>
      <c r="F763" s="1" t="str">
        <f t="array" ref="F763">IFERROR(INDEX('Исходник'!$1:$626,MATCH($A763,'Исходник'!$T:$T,0),MATCH(F$1,'Исходник'!$1:$1,0)))</f>
        <v/>
      </c>
      <c r="G763" s="1" t="str">
        <f t="array" ref="G763">IFERROR(INDEX('Исходник'!$1:$626,MATCH($A763,'Исходник'!$T:$T,0),MATCH(G$1,'Исходник'!$1:$1,0)))</f>
        <v/>
      </c>
      <c r="H763" s="27">
        <f t="shared" si="1"/>
        <v>0</v>
      </c>
      <c r="I763" s="27" t="str">
        <f t="shared" si="2"/>
        <v/>
      </c>
      <c r="J763" s="1" t="str">
        <f t="array" ref="J763">IFERROR(INDEX('Исходник'!$1:$626,MATCH($A763,'Исходник'!$T:$T,0),MATCH(J$1,'Исходник'!$1:$1,0)))</f>
        <v/>
      </c>
      <c r="K763" s="27" t="str">
        <f t="shared" si="3"/>
        <v/>
      </c>
      <c r="L763" s="1" t="str">
        <f t="array" ref="L763">IFERROR(INDEX('Исходник'!$1:$626,MATCH($A763,'Исходник'!$T:$T,0),MATCH(L$1,'Исходник'!$1:$1,0)))</f>
        <v/>
      </c>
      <c r="M763" s="28">
        <f t="shared" si="4"/>
        <v>0</v>
      </c>
      <c r="N763" s="1" t="str">
        <f t="array" ref="N763">IFERROR(INDEX('Исходник'!$1:$626,MATCH($A763,'Исходник'!$T:$T,0),MATCH(N$1,'Исходник'!$1:$1,0)))</f>
        <v/>
      </c>
      <c r="O763" s="27">
        <f t="shared" si="5"/>
        <v>0</v>
      </c>
      <c r="P763" s="27" t="str">
        <f t="shared" si="6"/>
        <v/>
      </c>
      <c r="Q763" s="1" t="str">
        <f t="array" ref="Q763">IFERROR(INDEX('Исходник'!$1:$626,MATCH($A763,'Исходник'!$T:$T,0),MATCH(Q$1,'Исходник'!$1:$1,0)))</f>
        <v/>
      </c>
      <c r="R763" s="1" t="str">
        <f t="array" ref="R763">IFERROR(INDEX('Исходник'!$1:$626,MATCH($A763,'Исходник'!$T:$T,0),MATCH(R$1,'Исходник'!$1:$1,0)))</f>
        <v/>
      </c>
      <c r="S763" s="27">
        <f t="shared" si="7"/>
        <v>0</v>
      </c>
      <c r="T763" s="27" t="str">
        <f t="shared" si="8"/>
        <v/>
      </c>
      <c r="U763" s="1" t="str">
        <f t="array" ref="U763">IFERROR(INDEX('Исходник'!$1:$626,MATCH($A763,'Исходник'!$T:$T,0),MATCH(U$1,'Исходник'!$1:$1,0)))</f>
        <v/>
      </c>
      <c r="V763" s="27" t="str">
        <f t="shared" si="9"/>
        <v/>
      </c>
      <c r="W763" s="1" t="str">
        <f t="array" ref="W763">IFERROR(INDEX('Исходник'!$1:$626,MATCH($A763,'Исходник'!$T:$T,0),MATCH(W$1,'Исходник'!$1:$1,0)))</f>
        <v/>
      </c>
      <c r="X763" s="28">
        <f t="shared" si="10"/>
        <v>0</v>
      </c>
      <c r="Y763" s="1" t="str">
        <f t="array" ref="Y763">IFERROR(INDEX('Исходник'!$1:$626,MATCH($A763,'Исходник'!$T:$T,0),MATCH(Y$1,'Исходник'!$1:$1,0)))</f>
        <v/>
      </c>
      <c r="Z763" s="27">
        <f t="shared" si="11"/>
        <v>0</v>
      </c>
      <c r="AA763" s="27" t="str">
        <f t="shared" si="12"/>
        <v/>
      </c>
      <c r="AB763" s="1" t="str">
        <f t="array" ref="AB763">IFERROR(INDEX('Исходник'!$1:$626,MATCH($A763,'Исходник'!$T:$T,0),MATCH(AB$1,'Исходник'!$1:$1,0)))</f>
        <v/>
      </c>
      <c r="AC763" s="1" t="str">
        <f t="array" ref="AC763">IFERROR(INDEX('Исходник'!$1:$626,MATCH($A763,'Исходник'!$T:$T,0),MATCH(AC$1,'Исходник'!$1:$1,0)))</f>
        <v/>
      </c>
      <c r="AD763" s="27" t="str">
        <f t="shared" si="13"/>
        <v/>
      </c>
      <c r="AE763" s="1" t="str">
        <f t="array" ref="AE763">IFERROR(INDEX('Исходник'!$1:$626,MATCH($A763,'Исходник'!$T:$T,0),MATCH(AE$1,'Исходник'!$1:$1,0)))</f>
        <v/>
      </c>
      <c r="AF763" s="1" t="str">
        <f t="array" ref="AF763">IFERROR(INDEX('Исходник'!$1:$626,MATCH($A763,'Исходник'!$T:$T,0),MATCH(AF$1,'Исходник'!$1:$1,0)))</f>
        <v/>
      </c>
      <c r="AG763" s="27" t="str">
        <f t="shared" si="14"/>
        <v/>
      </c>
      <c r="AH763" s="1" t="str">
        <f t="array" ref="AH763">IFERROR(INDEX('Исходник'!$1:$626,MATCH($A763,'Исходник'!$T:$T,0),MATCH(AH$1,'Исходник'!$1:$1,0)))</f>
        <v/>
      </c>
      <c r="AI763" s="1" t="str">
        <f t="array" ref="AI763">IFERROR(INDEX('Исходник'!$1:$626,MATCH($A763,'Исходник'!$T:$T,0),MATCH(AI$1,'Исходник'!$1:$1,0)))</f>
        <v/>
      </c>
      <c r="AJ763" s="18">
        <f t="shared" si="15"/>
        <v>0</v>
      </c>
    </row>
    <row r="764" ht="15.75" customHeight="1">
      <c r="A764" s="27"/>
      <c r="B764" s="1" t="str">
        <f t="array" ref="B764">IFERROR(INDEX('Исходник'!$1:$626,MATCH($A764,'Исходник'!$T:$T,0),MATCH(B$1,'Исходник'!$1:$1,0)))</f>
        <v/>
      </c>
      <c r="C764" s="1" t="str">
        <f t="array" ref="C764">IFERROR(INDEX('Исходник'!$1:$626,MATCH($A764,'Исходник'!$T:$T,0),MATCH(C$1,'Исходник'!$1:$1,0)))</f>
        <v/>
      </c>
      <c r="D764" s="1" t="str">
        <f t="array" ref="D764">IFERROR(INDEX('Исходник'!$1:$626,MATCH($A764,'Исходник'!$T:$T,0),MATCH(D$1,'Исходник'!$1:$1,0)))</f>
        <v/>
      </c>
      <c r="E764" s="1" t="str">
        <f t="array" ref="E764">IFERROR(INDEX('Исходник'!$1:$626,MATCH($A764,'Исходник'!$T:$T,0),MATCH(E$1,'Исходник'!$1:$1,0)))</f>
        <v/>
      </c>
      <c r="F764" s="1" t="str">
        <f t="array" ref="F764">IFERROR(INDEX('Исходник'!$1:$626,MATCH($A764,'Исходник'!$T:$T,0),MATCH(F$1,'Исходник'!$1:$1,0)))</f>
        <v/>
      </c>
      <c r="G764" s="1" t="str">
        <f t="array" ref="G764">IFERROR(INDEX('Исходник'!$1:$626,MATCH($A764,'Исходник'!$T:$T,0),MATCH(G$1,'Исходник'!$1:$1,0)))</f>
        <v/>
      </c>
      <c r="H764" s="27">
        <f t="shared" si="1"/>
        <v>0</v>
      </c>
      <c r="I764" s="27" t="str">
        <f t="shared" si="2"/>
        <v/>
      </c>
      <c r="J764" s="1" t="str">
        <f t="array" ref="J764">IFERROR(INDEX('Исходник'!$1:$626,MATCH($A764,'Исходник'!$T:$T,0),MATCH(J$1,'Исходник'!$1:$1,0)))</f>
        <v/>
      </c>
      <c r="K764" s="27" t="str">
        <f t="shared" si="3"/>
        <v/>
      </c>
      <c r="L764" s="1" t="str">
        <f t="array" ref="L764">IFERROR(INDEX('Исходник'!$1:$626,MATCH($A764,'Исходник'!$T:$T,0),MATCH(L$1,'Исходник'!$1:$1,0)))</f>
        <v/>
      </c>
      <c r="M764" s="28">
        <f t="shared" si="4"/>
        <v>0</v>
      </c>
      <c r="N764" s="1" t="str">
        <f t="array" ref="N764">IFERROR(INDEX('Исходник'!$1:$626,MATCH($A764,'Исходник'!$T:$T,0),MATCH(N$1,'Исходник'!$1:$1,0)))</f>
        <v/>
      </c>
      <c r="O764" s="27">
        <f t="shared" si="5"/>
        <v>0</v>
      </c>
      <c r="P764" s="27" t="str">
        <f t="shared" si="6"/>
        <v/>
      </c>
      <c r="Q764" s="1" t="str">
        <f t="array" ref="Q764">IFERROR(INDEX('Исходник'!$1:$626,MATCH($A764,'Исходник'!$T:$T,0),MATCH(Q$1,'Исходник'!$1:$1,0)))</f>
        <v/>
      </c>
      <c r="R764" s="1" t="str">
        <f t="array" ref="R764">IFERROR(INDEX('Исходник'!$1:$626,MATCH($A764,'Исходник'!$T:$T,0),MATCH(R$1,'Исходник'!$1:$1,0)))</f>
        <v/>
      </c>
      <c r="S764" s="27">
        <f t="shared" si="7"/>
        <v>0</v>
      </c>
      <c r="T764" s="27" t="str">
        <f t="shared" si="8"/>
        <v/>
      </c>
      <c r="U764" s="1" t="str">
        <f t="array" ref="U764">IFERROR(INDEX('Исходник'!$1:$626,MATCH($A764,'Исходник'!$T:$T,0),MATCH(U$1,'Исходник'!$1:$1,0)))</f>
        <v/>
      </c>
      <c r="V764" s="27" t="str">
        <f t="shared" si="9"/>
        <v/>
      </c>
      <c r="W764" s="1" t="str">
        <f t="array" ref="W764">IFERROR(INDEX('Исходник'!$1:$626,MATCH($A764,'Исходник'!$T:$T,0),MATCH(W$1,'Исходник'!$1:$1,0)))</f>
        <v/>
      </c>
      <c r="X764" s="28">
        <f t="shared" si="10"/>
        <v>0</v>
      </c>
      <c r="Y764" s="1" t="str">
        <f t="array" ref="Y764">IFERROR(INDEX('Исходник'!$1:$626,MATCH($A764,'Исходник'!$T:$T,0),MATCH(Y$1,'Исходник'!$1:$1,0)))</f>
        <v/>
      </c>
      <c r="Z764" s="27">
        <f t="shared" si="11"/>
        <v>0</v>
      </c>
      <c r="AA764" s="27" t="str">
        <f t="shared" si="12"/>
        <v/>
      </c>
      <c r="AB764" s="1" t="str">
        <f t="array" ref="AB764">IFERROR(INDEX('Исходник'!$1:$626,MATCH($A764,'Исходник'!$T:$T,0),MATCH(AB$1,'Исходник'!$1:$1,0)))</f>
        <v/>
      </c>
      <c r="AC764" s="1" t="str">
        <f t="array" ref="AC764">IFERROR(INDEX('Исходник'!$1:$626,MATCH($A764,'Исходник'!$T:$T,0),MATCH(AC$1,'Исходник'!$1:$1,0)))</f>
        <v/>
      </c>
      <c r="AD764" s="27" t="str">
        <f t="shared" si="13"/>
        <v/>
      </c>
      <c r="AE764" s="1" t="str">
        <f t="array" ref="AE764">IFERROR(INDEX('Исходник'!$1:$626,MATCH($A764,'Исходник'!$T:$T,0),MATCH(AE$1,'Исходник'!$1:$1,0)))</f>
        <v/>
      </c>
      <c r="AF764" s="1" t="str">
        <f t="array" ref="AF764">IFERROR(INDEX('Исходник'!$1:$626,MATCH($A764,'Исходник'!$T:$T,0),MATCH(AF$1,'Исходник'!$1:$1,0)))</f>
        <v/>
      </c>
      <c r="AG764" s="27" t="str">
        <f t="shared" si="14"/>
        <v/>
      </c>
      <c r="AH764" s="1" t="str">
        <f t="array" ref="AH764">IFERROR(INDEX('Исходник'!$1:$626,MATCH($A764,'Исходник'!$T:$T,0),MATCH(AH$1,'Исходник'!$1:$1,0)))</f>
        <v/>
      </c>
      <c r="AI764" s="1" t="str">
        <f t="array" ref="AI764">IFERROR(INDEX('Исходник'!$1:$626,MATCH($A764,'Исходник'!$T:$T,0),MATCH(AI$1,'Исходник'!$1:$1,0)))</f>
        <v/>
      </c>
      <c r="AJ764" s="18">
        <f t="shared" si="15"/>
        <v>0</v>
      </c>
    </row>
    <row r="765" ht="15.75" customHeight="1">
      <c r="A765" s="27"/>
      <c r="B765" s="1" t="str">
        <f t="array" ref="B765">IFERROR(INDEX('Исходник'!$1:$626,MATCH($A765,'Исходник'!$T:$T,0),MATCH(B$1,'Исходник'!$1:$1,0)))</f>
        <v/>
      </c>
      <c r="C765" s="1" t="str">
        <f t="array" ref="C765">IFERROR(INDEX('Исходник'!$1:$626,MATCH($A765,'Исходник'!$T:$T,0),MATCH(C$1,'Исходник'!$1:$1,0)))</f>
        <v/>
      </c>
      <c r="D765" s="1" t="str">
        <f t="array" ref="D765">IFERROR(INDEX('Исходник'!$1:$626,MATCH($A765,'Исходник'!$T:$T,0),MATCH(D$1,'Исходник'!$1:$1,0)))</f>
        <v/>
      </c>
      <c r="E765" s="1" t="str">
        <f t="array" ref="E765">IFERROR(INDEX('Исходник'!$1:$626,MATCH($A765,'Исходник'!$T:$T,0),MATCH(E$1,'Исходник'!$1:$1,0)))</f>
        <v/>
      </c>
      <c r="F765" s="1" t="str">
        <f t="array" ref="F765">IFERROR(INDEX('Исходник'!$1:$626,MATCH($A765,'Исходник'!$T:$T,0),MATCH(F$1,'Исходник'!$1:$1,0)))</f>
        <v/>
      </c>
      <c r="G765" s="1" t="str">
        <f t="array" ref="G765">IFERROR(INDEX('Исходник'!$1:$626,MATCH($A765,'Исходник'!$T:$T,0),MATCH(G$1,'Исходник'!$1:$1,0)))</f>
        <v/>
      </c>
      <c r="H765" s="27">
        <f t="shared" si="1"/>
        <v>0</v>
      </c>
      <c r="I765" s="27" t="str">
        <f t="shared" si="2"/>
        <v/>
      </c>
      <c r="J765" s="1" t="str">
        <f t="array" ref="J765">IFERROR(INDEX('Исходник'!$1:$626,MATCH($A765,'Исходник'!$T:$T,0),MATCH(J$1,'Исходник'!$1:$1,0)))</f>
        <v/>
      </c>
      <c r="K765" s="27" t="str">
        <f t="shared" si="3"/>
        <v/>
      </c>
      <c r="L765" s="1" t="str">
        <f t="array" ref="L765">IFERROR(INDEX('Исходник'!$1:$626,MATCH($A765,'Исходник'!$T:$T,0),MATCH(L$1,'Исходник'!$1:$1,0)))</f>
        <v/>
      </c>
      <c r="M765" s="28">
        <f t="shared" si="4"/>
        <v>0</v>
      </c>
      <c r="N765" s="1" t="str">
        <f t="array" ref="N765">IFERROR(INDEX('Исходник'!$1:$626,MATCH($A765,'Исходник'!$T:$T,0),MATCH(N$1,'Исходник'!$1:$1,0)))</f>
        <v/>
      </c>
      <c r="O765" s="27">
        <f t="shared" si="5"/>
        <v>0</v>
      </c>
      <c r="P765" s="27" t="str">
        <f t="shared" si="6"/>
        <v/>
      </c>
      <c r="Q765" s="1" t="str">
        <f t="array" ref="Q765">IFERROR(INDEX('Исходник'!$1:$626,MATCH($A765,'Исходник'!$T:$T,0),MATCH(Q$1,'Исходник'!$1:$1,0)))</f>
        <v/>
      </c>
      <c r="R765" s="1" t="str">
        <f t="array" ref="R765">IFERROR(INDEX('Исходник'!$1:$626,MATCH($A765,'Исходник'!$T:$T,0),MATCH(R$1,'Исходник'!$1:$1,0)))</f>
        <v/>
      </c>
      <c r="S765" s="27">
        <f t="shared" si="7"/>
        <v>0</v>
      </c>
      <c r="T765" s="27" t="str">
        <f t="shared" si="8"/>
        <v/>
      </c>
      <c r="U765" s="1" t="str">
        <f t="array" ref="U765">IFERROR(INDEX('Исходник'!$1:$626,MATCH($A765,'Исходник'!$T:$T,0),MATCH(U$1,'Исходник'!$1:$1,0)))</f>
        <v/>
      </c>
      <c r="V765" s="27" t="str">
        <f t="shared" si="9"/>
        <v/>
      </c>
      <c r="W765" s="1" t="str">
        <f t="array" ref="W765">IFERROR(INDEX('Исходник'!$1:$626,MATCH($A765,'Исходник'!$T:$T,0),MATCH(W$1,'Исходник'!$1:$1,0)))</f>
        <v/>
      </c>
      <c r="X765" s="28">
        <f t="shared" si="10"/>
        <v>0</v>
      </c>
      <c r="Y765" s="1" t="str">
        <f t="array" ref="Y765">IFERROR(INDEX('Исходник'!$1:$626,MATCH($A765,'Исходник'!$T:$T,0),MATCH(Y$1,'Исходник'!$1:$1,0)))</f>
        <v/>
      </c>
      <c r="Z765" s="27">
        <f t="shared" si="11"/>
        <v>0</v>
      </c>
      <c r="AA765" s="27" t="str">
        <f t="shared" si="12"/>
        <v/>
      </c>
      <c r="AB765" s="1" t="str">
        <f t="array" ref="AB765">IFERROR(INDEX('Исходник'!$1:$626,MATCH($A765,'Исходник'!$T:$T,0),MATCH(AB$1,'Исходник'!$1:$1,0)))</f>
        <v/>
      </c>
      <c r="AC765" s="1" t="str">
        <f t="array" ref="AC765">IFERROR(INDEX('Исходник'!$1:$626,MATCH($A765,'Исходник'!$T:$T,0),MATCH(AC$1,'Исходник'!$1:$1,0)))</f>
        <v/>
      </c>
      <c r="AD765" s="27" t="str">
        <f t="shared" si="13"/>
        <v/>
      </c>
      <c r="AE765" s="1" t="str">
        <f t="array" ref="AE765">IFERROR(INDEX('Исходник'!$1:$626,MATCH($A765,'Исходник'!$T:$T,0),MATCH(AE$1,'Исходник'!$1:$1,0)))</f>
        <v/>
      </c>
      <c r="AF765" s="1" t="str">
        <f t="array" ref="AF765">IFERROR(INDEX('Исходник'!$1:$626,MATCH($A765,'Исходник'!$T:$T,0),MATCH(AF$1,'Исходник'!$1:$1,0)))</f>
        <v/>
      </c>
      <c r="AG765" s="27" t="str">
        <f t="shared" si="14"/>
        <v/>
      </c>
      <c r="AH765" s="1" t="str">
        <f t="array" ref="AH765">IFERROR(INDEX('Исходник'!$1:$626,MATCH($A765,'Исходник'!$T:$T,0),MATCH(AH$1,'Исходник'!$1:$1,0)))</f>
        <v/>
      </c>
      <c r="AI765" s="1" t="str">
        <f t="array" ref="AI765">IFERROR(INDEX('Исходник'!$1:$626,MATCH($A765,'Исходник'!$T:$T,0),MATCH(AI$1,'Исходник'!$1:$1,0)))</f>
        <v/>
      </c>
      <c r="AJ765" s="18">
        <f t="shared" si="15"/>
        <v>0</v>
      </c>
    </row>
    <row r="766" ht="15.75" customHeight="1">
      <c r="A766" s="27"/>
      <c r="B766" s="1" t="str">
        <f t="array" ref="B766">IFERROR(INDEX('Исходник'!$1:$626,MATCH($A766,'Исходник'!$T:$T,0),MATCH(B$1,'Исходник'!$1:$1,0)))</f>
        <v/>
      </c>
      <c r="C766" s="1" t="str">
        <f t="array" ref="C766">IFERROR(INDEX('Исходник'!$1:$626,MATCH($A766,'Исходник'!$T:$T,0),MATCH(C$1,'Исходник'!$1:$1,0)))</f>
        <v/>
      </c>
      <c r="D766" s="1" t="str">
        <f t="array" ref="D766">IFERROR(INDEX('Исходник'!$1:$626,MATCH($A766,'Исходник'!$T:$T,0),MATCH(D$1,'Исходник'!$1:$1,0)))</f>
        <v/>
      </c>
      <c r="E766" s="1" t="str">
        <f t="array" ref="E766">IFERROR(INDEX('Исходник'!$1:$626,MATCH($A766,'Исходник'!$T:$T,0),MATCH(E$1,'Исходник'!$1:$1,0)))</f>
        <v/>
      </c>
      <c r="F766" s="1" t="str">
        <f t="array" ref="F766">IFERROR(INDEX('Исходник'!$1:$626,MATCH($A766,'Исходник'!$T:$T,0),MATCH(F$1,'Исходник'!$1:$1,0)))</f>
        <v/>
      </c>
      <c r="G766" s="1" t="str">
        <f t="array" ref="G766">IFERROR(INDEX('Исходник'!$1:$626,MATCH($A766,'Исходник'!$T:$T,0),MATCH(G$1,'Исходник'!$1:$1,0)))</f>
        <v/>
      </c>
      <c r="H766" s="27">
        <f t="shared" si="1"/>
        <v>0</v>
      </c>
      <c r="I766" s="27" t="str">
        <f t="shared" si="2"/>
        <v/>
      </c>
      <c r="J766" s="1" t="str">
        <f t="array" ref="J766">IFERROR(INDEX('Исходник'!$1:$626,MATCH($A766,'Исходник'!$T:$T,0),MATCH(J$1,'Исходник'!$1:$1,0)))</f>
        <v/>
      </c>
      <c r="K766" s="27" t="str">
        <f t="shared" si="3"/>
        <v/>
      </c>
      <c r="L766" s="1" t="str">
        <f t="array" ref="L766">IFERROR(INDEX('Исходник'!$1:$626,MATCH($A766,'Исходник'!$T:$T,0),MATCH(L$1,'Исходник'!$1:$1,0)))</f>
        <v/>
      </c>
      <c r="M766" s="28">
        <f t="shared" si="4"/>
        <v>0</v>
      </c>
      <c r="N766" s="1" t="str">
        <f t="array" ref="N766">IFERROR(INDEX('Исходник'!$1:$626,MATCH($A766,'Исходник'!$T:$T,0),MATCH(N$1,'Исходник'!$1:$1,0)))</f>
        <v/>
      </c>
      <c r="O766" s="27">
        <f t="shared" si="5"/>
        <v>0</v>
      </c>
      <c r="P766" s="27" t="str">
        <f t="shared" si="6"/>
        <v/>
      </c>
      <c r="Q766" s="1" t="str">
        <f t="array" ref="Q766">IFERROR(INDEX('Исходник'!$1:$626,MATCH($A766,'Исходник'!$T:$T,0),MATCH(Q$1,'Исходник'!$1:$1,0)))</f>
        <v/>
      </c>
      <c r="R766" s="1" t="str">
        <f t="array" ref="R766">IFERROR(INDEX('Исходник'!$1:$626,MATCH($A766,'Исходник'!$T:$T,0),MATCH(R$1,'Исходник'!$1:$1,0)))</f>
        <v/>
      </c>
      <c r="S766" s="27">
        <f t="shared" si="7"/>
        <v>0</v>
      </c>
      <c r="T766" s="27" t="str">
        <f t="shared" si="8"/>
        <v/>
      </c>
      <c r="U766" s="1" t="str">
        <f t="array" ref="U766">IFERROR(INDEX('Исходник'!$1:$626,MATCH($A766,'Исходник'!$T:$T,0),MATCH(U$1,'Исходник'!$1:$1,0)))</f>
        <v/>
      </c>
      <c r="V766" s="27" t="str">
        <f t="shared" si="9"/>
        <v/>
      </c>
      <c r="W766" s="1" t="str">
        <f t="array" ref="W766">IFERROR(INDEX('Исходник'!$1:$626,MATCH($A766,'Исходник'!$T:$T,0),MATCH(W$1,'Исходник'!$1:$1,0)))</f>
        <v/>
      </c>
      <c r="X766" s="28">
        <f t="shared" si="10"/>
        <v>0</v>
      </c>
      <c r="Y766" s="1" t="str">
        <f t="array" ref="Y766">IFERROR(INDEX('Исходник'!$1:$626,MATCH($A766,'Исходник'!$T:$T,0),MATCH(Y$1,'Исходник'!$1:$1,0)))</f>
        <v/>
      </c>
      <c r="Z766" s="27">
        <f t="shared" si="11"/>
        <v>0</v>
      </c>
      <c r="AA766" s="27" t="str">
        <f t="shared" si="12"/>
        <v/>
      </c>
      <c r="AB766" s="1" t="str">
        <f t="array" ref="AB766">IFERROR(INDEX('Исходник'!$1:$626,MATCH($A766,'Исходник'!$T:$T,0),MATCH(AB$1,'Исходник'!$1:$1,0)))</f>
        <v/>
      </c>
      <c r="AC766" s="1" t="str">
        <f t="array" ref="AC766">IFERROR(INDEX('Исходник'!$1:$626,MATCH($A766,'Исходник'!$T:$T,0),MATCH(AC$1,'Исходник'!$1:$1,0)))</f>
        <v/>
      </c>
      <c r="AD766" s="27" t="str">
        <f t="shared" si="13"/>
        <v/>
      </c>
      <c r="AE766" s="1" t="str">
        <f t="array" ref="AE766">IFERROR(INDEX('Исходник'!$1:$626,MATCH($A766,'Исходник'!$T:$T,0),MATCH(AE$1,'Исходник'!$1:$1,0)))</f>
        <v/>
      </c>
      <c r="AF766" s="1" t="str">
        <f t="array" ref="AF766">IFERROR(INDEX('Исходник'!$1:$626,MATCH($A766,'Исходник'!$T:$T,0),MATCH(AF$1,'Исходник'!$1:$1,0)))</f>
        <v/>
      </c>
      <c r="AG766" s="27" t="str">
        <f t="shared" si="14"/>
        <v/>
      </c>
      <c r="AH766" s="1" t="str">
        <f t="array" ref="AH766">IFERROR(INDEX('Исходник'!$1:$626,MATCH($A766,'Исходник'!$T:$T,0),MATCH(AH$1,'Исходник'!$1:$1,0)))</f>
        <v/>
      </c>
      <c r="AI766" s="1" t="str">
        <f t="array" ref="AI766">IFERROR(INDEX('Исходник'!$1:$626,MATCH($A766,'Исходник'!$T:$T,0),MATCH(AI$1,'Исходник'!$1:$1,0)))</f>
        <v/>
      </c>
      <c r="AJ766" s="18">
        <f t="shared" si="15"/>
        <v>0</v>
      </c>
    </row>
    <row r="767" ht="15.75" customHeight="1">
      <c r="A767" s="27"/>
      <c r="B767" s="1" t="str">
        <f t="array" ref="B767">IFERROR(INDEX('Исходник'!$1:$626,MATCH($A767,'Исходник'!$T:$T,0),MATCH(B$1,'Исходник'!$1:$1,0)))</f>
        <v/>
      </c>
      <c r="C767" s="1" t="str">
        <f t="array" ref="C767">IFERROR(INDEX('Исходник'!$1:$626,MATCH($A767,'Исходник'!$T:$T,0),MATCH(C$1,'Исходник'!$1:$1,0)))</f>
        <v/>
      </c>
      <c r="D767" s="1" t="str">
        <f t="array" ref="D767">IFERROR(INDEX('Исходник'!$1:$626,MATCH($A767,'Исходник'!$T:$T,0),MATCH(D$1,'Исходник'!$1:$1,0)))</f>
        <v/>
      </c>
      <c r="E767" s="1" t="str">
        <f t="array" ref="E767">IFERROR(INDEX('Исходник'!$1:$626,MATCH($A767,'Исходник'!$T:$T,0),MATCH(E$1,'Исходник'!$1:$1,0)))</f>
        <v/>
      </c>
      <c r="F767" s="1" t="str">
        <f t="array" ref="F767">IFERROR(INDEX('Исходник'!$1:$626,MATCH($A767,'Исходник'!$T:$T,0),MATCH(F$1,'Исходник'!$1:$1,0)))</f>
        <v/>
      </c>
      <c r="G767" s="1" t="str">
        <f t="array" ref="G767">IFERROR(INDEX('Исходник'!$1:$626,MATCH($A767,'Исходник'!$T:$T,0),MATCH(G$1,'Исходник'!$1:$1,0)))</f>
        <v/>
      </c>
      <c r="H767" s="27">
        <f t="shared" si="1"/>
        <v>0</v>
      </c>
      <c r="I767" s="27" t="str">
        <f t="shared" si="2"/>
        <v/>
      </c>
      <c r="J767" s="1" t="str">
        <f t="array" ref="J767">IFERROR(INDEX('Исходник'!$1:$626,MATCH($A767,'Исходник'!$T:$T,0),MATCH(J$1,'Исходник'!$1:$1,0)))</f>
        <v/>
      </c>
      <c r="K767" s="27" t="str">
        <f t="shared" si="3"/>
        <v/>
      </c>
      <c r="L767" s="1" t="str">
        <f t="array" ref="L767">IFERROR(INDEX('Исходник'!$1:$626,MATCH($A767,'Исходник'!$T:$T,0),MATCH(L$1,'Исходник'!$1:$1,0)))</f>
        <v/>
      </c>
      <c r="M767" s="28">
        <f t="shared" si="4"/>
        <v>0</v>
      </c>
      <c r="N767" s="1" t="str">
        <f t="array" ref="N767">IFERROR(INDEX('Исходник'!$1:$626,MATCH($A767,'Исходник'!$T:$T,0),MATCH(N$1,'Исходник'!$1:$1,0)))</f>
        <v/>
      </c>
      <c r="O767" s="27">
        <f t="shared" si="5"/>
        <v>0</v>
      </c>
      <c r="P767" s="27" t="str">
        <f t="shared" si="6"/>
        <v/>
      </c>
      <c r="Q767" s="1" t="str">
        <f t="array" ref="Q767">IFERROR(INDEX('Исходник'!$1:$626,MATCH($A767,'Исходник'!$T:$T,0),MATCH(Q$1,'Исходник'!$1:$1,0)))</f>
        <v/>
      </c>
      <c r="R767" s="1" t="str">
        <f t="array" ref="R767">IFERROR(INDEX('Исходник'!$1:$626,MATCH($A767,'Исходник'!$T:$T,0),MATCH(R$1,'Исходник'!$1:$1,0)))</f>
        <v/>
      </c>
      <c r="S767" s="27">
        <f t="shared" si="7"/>
        <v>0</v>
      </c>
      <c r="T767" s="27" t="str">
        <f t="shared" si="8"/>
        <v/>
      </c>
      <c r="U767" s="1" t="str">
        <f t="array" ref="U767">IFERROR(INDEX('Исходник'!$1:$626,MATCH($A767,'Исходник'!$T:$T,0),MATCH(U$1,'Исходник'!$1:$1,0)))</f>
        <v/>
      </c>
      <c r="V767" s="27" t="str">
        <f t="shared" si="9"/>
        <v/>
      </c>
      <c r="W767" s="1" t="str">
        <f t="array" ref="W767">IFERROR(INDEX('Исходник'!$1:$626,MATCH($A767,'Исходник'!$T:$T,0),MATCH(W$1,'Исходник'!$1:$1,0)))</f>
        <v/>
      </c>
      <c r="X767" s="28">
        <f t="shared" si="10"/>
        <v>0</v>
      </c>
      <c r="Y767" s="1" t="str">
        <f t="array" ref="Y767">IFERROR(INDEX('Исходник'!$1:$626,MATCH($A767,'Исходник'!$T:$T,0),MATCH(Y$1,'Исходник'!$1:$1,0)))</f>
        <v/>
      </c>
      <c r="Z767" s="27">
        <f t="shared" si="11"/>
        <v>0</v>
      </c>
      <c r="AA767" s="27" t="str">
        <f t="shared" si="12"/>
        <v/>
      </c>
      <c r="AB767" s="1" t="str">
        <f t="array" ref="AB767">IFERROR(INDEX('Исходник'!$1:$626,MATCH($A767,'Исходник'!$T:$T,0),MATCH(AB$1,'Исходник'!$1:$1,0)))</f>
        <v/>
      </c>
      <c r="AC767" s="1" t="str">
        <f t="array" ref="AC767">IFERROR(INDEX('Исходник'!$1:$626,MATCH($A767,'Исходник'!$T:$T,0),MATCH(AC$1,'Исходник'!$1:$1,0)))</f>
        <v/>
      </c>
      <c r="AD767" s="27" t="str">
        <f t="shared" si="13"/>
        <v/>
      </c>
      <c r="AE767" s="1" t="str">
        <f t="array" ref="AE767">IFERROR(INDEX('Исходник'!$1:$626,MATCH($A767,'Исходник'!$T:$T,0),MATCH(AE$1,'Исходник'!$1:$1,0)))</f>
        <v/>
      </c>
      <c r="AF767" s="1" t="str">
        <f t="array" ref="AF767">IFERROR(INDEX('Исходник'!$1:$626,MATCH($A767,'Исходник'!$T:$T,0),MATCH(AF$1,'Исходник'!$1:$1,0)))</f>
        <v/>
      </c>
      <c r="AG767" s="27" t="str">
        <f t="shared" si="14"/>
        <v/>
      </c>
      <c r="AH767" s="1" t="str">
        <f t="array" ref="AH767">IFERROR(INDEX('Исходник'!$1:$626,MATCH($A767,'Исходник'!$T:$T,0),MATCH(AH$1,'Исходник'!$1:$1,0)))</f>
        <v/>
      </c>
      <c r="AI767" s="1" t="str">
        <f t="array" ref="AI767">IFERROR(INDEX('Исходник'!$1:$626,MATCH($A767,'Исходник'!$T:$T,0),MATCH(AI$1,'Исходник'!$1:$1,0)))</f>
        <v/>
      </c>
      <c r="AJ767" s="18">
        <f t="shared" si="15"/>
        <v>0</v>
      </c>
    </row>
    <row r="768" ht="15.75" customHeight="1">
      <c r="A768" s="27"/>
      <c r="B768" s="1" t="str">
        <f t="array" ref="B768">IFERROR(INDEX('Исходник'!$1:$626,MATCH($A768,'Исходник'!$T:$T,0),MATCH(B$1,'Исходник'!$1:$1,0)))</f>
        <v/>
      </c>
      <c r="C768" s="1" t="str">
        <f t="array" ref="C768">IFERROR(INDEX('Исходник'!$1:$626,MATCH($A768,'Исходник'!$T:$T,0),MATCH(C$1,'Исходник'!$1:$1,0)))</f>
        <v/>
      </c>
      <c r="D768" s="1" t="str">
        <f t="array" ref="D768">IFERROR(INDEX('Исходник'!$1:$626,MATCH($A768,'Исходник'!$T:$T,0),MATCH(D$1,'Исходник'!$1:$1,0)))</f>
        <v/>
      </c>
      <c r="E768" s="1" t="str">
        <f t="array" ref="E768">IFERROR(INDEX('Исходник'!$1:$626,MATCH($A768,'Исходник'!$T:$T,0),MATCH(E$1,'Исходник'!$1:$1,0)))</f>
        <v/>
      </c>
      <c r="F768" s="1" t="str">
        <f t="array" ref="F768">IFERROR(INDEX('Исходник'!$1:$626,MATCH($A768,'Исходник'!$T:$T,0),MATCH(F$1,'Исходник'!$1:$1,0)))</f>
        <v/>
      </c>
      <c r="G768" s="1" t="str">
        <f t="array" ref="G768">IFERROR(INDEX('Исходник'!$1:$626,MATCH($A768,'Исходник'!$T:$T,0),MATCH(G$1,'Исходник'!$1:$1,0)))</f>
        <v/>
      </c>
      <c r="H768" s="27">
        <f t="shared" si="1"/>
        <v>0</v>
      </c>
      <c r="I768" s="27" t="str">
        <f t="shared" si="2"/>
        <v/>
      </c>
      <c r="J768" s="1" t="str">
        <f t="array" ref="J768">IFERROR(INDEX('Исходник'!$1:$626,MATCH($A768,'Исходник'!$T:$T,0),MATCH(J$1,'Исходник'!$1:$1,0)))</f>
        <v/>
      </c>
      <c r="K768" s="27" t="str">
        <f t="shared" si="3"/>
        <v/>
      </c>
      <c r="L768" s="1" t="str">
        <f t="array" ref="L768">IFERROR(INDEX('Исходник'!$1:$626,MATCH($A768,'Исходник'!$T:$T,0),MATCH(L$1,'Исходник'!$1:$1,0)))</f>
        <v/>
      </c>
      <c r="M768" s="28">
        <f t="shared" si="4"/>
        <v>0</v>
      </c>
      <c r="N768" s="1" t="str">
        <f t="array" ref="N768">IFERROR(INDEX('Исходник'!$1:$626,MATCH($A768,'Исходник'!$T:$T,0),MATCH(N$1,'Исходник'!$1:$1,0)))</f>
        <v/>
      </c>
      <c r="O768" s="27">
        <f t="shared" si="5"/>
        <v>0</v>
      </c>
      <c r="P768" s="27" t="str">
        <f t="shared" si="6"/>
        <v/>
      </c>
      <c r="Q768" s="1" t="str">
        <f t="array" ref="Q768">IFERROR(INDEX('Исходник'!$1:$626,MATCH($A768,'Исходник'!$T:$T,0),MATCH(Q$1,'Исходник'!$1:$1,0)))</f>
        <v/>
      </c>
      <c r="R768" s="1" t="str">
        <f t="array" ref="R768">IFERROR(INDEX('Исходник'!$1:$626,MATCH($A768,'Исходник'!$T:$T,0),MATCH(R$1,'Исходник'!$1:$1,0)))</f>
        <v/>
      </c>
      <c r="S768" s="27">
        <f t="shared" si="7"/>
        <v>0</v>
      </c>
      <c r="T768" s="27" t="str">
        <f t="shared" si="8"/>
        <v/>
      </c>
      <c r="U768" s="1" t="str">
        <f t="array" ref="U768">IFERROR(INDEX('Исходник'!$1:$626,MATCH($A768,'Исходник'!$T:$T,0),MATCH(U$1,'Исходник'!$1:$1,0)))</f>
        <v/>
      </c>
      <c r="V768" s="27" t="str">
        <f t="shared" si="9"/>
        <v/>
      </c>
      <c r="W768" s="1" t="str">
        <f t="array" ref="W768">IFERROR(INDEX('Исходник'!$1:$626,MATCH($A768,'Исходник'!$T:$T,0),MATCH(W$1,'Исходник'!$1:$1,0)))</f>
        <v/>
      </c>
      <c r="X768" s="28">
        <f t="shared" si="10"/>
        <v>0</v>
      </c>
      <c r="Y768" s="1" t="str">
        <f t="array" ref="Y768">IFERROR(INDEX('Исходник'!$1:$626,MATCH($A768,'Исходник'!$T:$T,0),MATCH(Y$1,'Исходник'!$1:$1,0)))</f>
        <v/>
      </c>
      <c r="Z768" s="27">
        <f t="shared" si="11"/>
        <v>0</v>
      </c>
      <c r="AA768" s="27" t="str">
        <f t="shared" si="12"/>
        <v/>
      </c>
      <c r="AB768" s="1" t="str">
        <f t="array" ref="AB768">IFERROR(INDEX('Исходник'!$1:$626,MATCH($A768,'Исходник'!$T:$T,0),MATCH(AB$1,'Исходник'!$1:$1,0)))</f>
        <v/>
      </c>
      <c r="AC768" s="1" t="str">
        <f t="array" ref="AC768">IFERROR(INDEX('Исходник'!$1:$626,MATCH($A768,'Исходник'!$T:$T,0),MATCH(AC$1,'Исходник'!$1:$1,0)))</f>
        <v/>
      </c>
      <c r="AD768" s="27" t="str">
        <f t="shared" si="13"/>
        <v/>
      </c>
      <c r="AE768" s="1" t="str">
        <f t="array" ref="AE768">IFERROR(INDEX('Исходник'!$1:$626,MATCH($A768,'Исходник'!$T:$T,0),MATCH(AE$1,'Исходник'!$1:$1,0)))</f>
        <v/>
      </c>
      <c r="AF768" s="1" t="str">
        <f t="array" ref="AF768">IFERROR(INDEX('Исходник'!$1:$626,MATCH($A768,'Исходник'!$T:$T,0),MATCH(AF$1,'Исходник'!$1:$1,0)))</f>
        <v/>
      </c>
      <c r="AG768" s="27" t="str">
        <f t="shared" si="14"/>
        <v/>
      </c>
      <c r="AH768" s="1" t="str">
        <f t="array" ref="AH768">IFERROR(INDEX('Исходник'!$1:$626,MATCH($A768,'Исходник'!$T:$T,0),MATCH(AH$1,'Исходник'!$1:$1,0)))</f>
        <v/>
      </c>
      <c r="AI768" s="1" t="str">
        <f t="array" ref="AI768">IFERROR(INDEX('Исходник'!$1:$626,MATCH($A768,'Исходник'!$T:$T,0),MATCH(AI$1,'Исходник'!$1:$1,0)))</f>
        <v/>
      </c>
      <c r="AJ768" s="18">
        <f t="shared" si="15"/>
        <v>0</v>
      </c>
    </row>
    <row r="769" ht="15.75" customHeight="1">
      <c r="A769" s="27"/>
      <c r="B769" s="1" t="str">
        <f t="array" ref="B769">IFERROR(INDEX('Исходник'!$1:$626,MATCH($A769,'Исходник'!$T:$T,0),MATCH(B$1,'Исходник'!$1:$1,0)))</f>
        <v/>
      </c>
      <c r="C769" s="1" t="str">
        <f t="array" ref="C769">IFERROR(INDEX('Исходник'!$1:$626,MATCH($A769,'Исходник'!$T:$T,0),MATCH(C$1,'Исходник'!$1:$1,0)))</f>
        <v/>
      </c>
      <c r="D769" s="1" t="str">
        <f t="array" ref="D769">IFERROR(INDEX('Исходник'!$1:$626,MATCH($A769,'Исходник'!$T:$T,0),MATCH(D$1,'Исходник'!$1:$1,0)))</f>
        <v/>
      </c>
      <c r="E769" s="1" t="str">
        <f t="array" ref="E769">IFERROR(INDEX('Исходник'!$1:$626,MATCH($A769,'Исходник'!$T:$T,0),MATCH(E$1,'Исходник'!$1:$1,0)))</f>
        <v/>
      </c>
      <c r="F769" s="1" t="str">
        <f t="array" ref="F769">IFERROR(INDEX('Исходник'!$1:$626,MATCH($A769,'Исходник'!$T:$T,0),MATCH(F$1,'Исходник'!$1:$1,0)))</f>
        <v/>
      </c>
      <c r="G769" s="1" t="str">
        <f t="array" ref="G769">IFERROR(INDEX('Исходник'!$1:$626,MATCH($A769,'Исходник'!$T:$T,0),MATCH(G$1,'Исходник'!$1:$1,0)))</f>
        <v/>
      </c>
      <c r="H769" s="27">
        <f t="shared" si="1"/>
        <v>0</v>
      </c>
      <c r="I769" s="27" t="str">
        <f t="shared" si="2"/>
        <v/>
      </c>
      <c r="J769" s="1" t="str">
        <f t="array" ref="J769">IFERROR(INDEX('Исходник'!$1:$626,MATCH($A769,'Исходник'!$T:$T,0),MATCH(J$1,'Исходник'!$1:$1,0)))</f>
        <v/>
      </c>
      <c r="K769" s="27" t="str">
        <f t="shared" si="3"/>
        <v/>
      </c>
      <c r="L769" s="1" t="str">
        <f t="array" ref="L769">IFERROR(INDEX('Исходник'!$1:$626,MATCH($A769,'Исходник'!$T:$T,0),MATCH(L$1,'Исходник'!$1:$1,0)))</f>
        <v/>
      </c>
      <c r="M769" s="28">
        <f t="shared" si="4"/>
        <v>0</v>
      </c>
      <c r="N769" s="1" t="str">
        <f t="array" ref="N769">IFERROR(INDEX('Исходник'!$1:$626,MATCH($A769,'Исходник'!$T:$T,0),MATCH(N$1,'Исходник'!$1:$1,0)))</f>
        <v/>
      </c>
      <c r="O769" s="27">
        <f t="shared" si="5"/>
        <v>0</v>
      </c>
      <c r="P769" s="27" t="str">
        <f t="shared" si="6"/>
        <v/>
      </c>
      <c r="Q769" s="1" t="str">
        <f t="array" ref="Q769">IFERROR(INDEX('Исходник'!$1:$626,MATCH($A769,'Исходник'!$T:$T,0),MATCH(Q$1,'Исходник'!$1:$1,0)))</f>
        <v/>
      </c>
      <c r="R769" s="1" t="str">
        <f t="array" ref="R769">IFERROR(INDEX('Исходник'!$1:$626,MATCH($A769,'Исходник'!$T:$T,0),MATCH(R$1,'Исходник'!$1:$1,0)))</f>
        <v/>
      </c>
      <c r="S769" s="27">
        <f t="shared" si="7"/>
        <v>0</v>
      </c>
      <c r="T769" s="27" t="str">
        <f t="shared" si="8"/>
        <v/>
      </c>
      <c r="U769" s="1" t="str">
        <f t="array" ref="U769">IFERROR(INDEX('Исходник'!$1:$626,MATCH($A769,'Исходник'!$T:$T,0),MATCH(U$1,'Исходник'!$1:$1,0)))</f>
        <v/>
      </c>
      <c r="V769" s="27" t="str">
        <f t="shared" si="9"/>
        <v/>
      </c>
      <c r="W769" s="1" t="str">
        <f t="array" ref="W769">IFERROR(INDEX('Исходник'!$1:$626,MATCH($A769,'Исходник'!$T:$T,0),MATCH(W$1,'Исходник'!$1:$1,0)))</f>
        <v/>
      </c>
      <c r="X769" s="28">
        <f t="shared" si="10"/>
        <v>0</v>
      </c>
      <c r="Y769" s="1" t="str">
        <f t="array" ref="Y769">IFERROR(INDEX('Исходник'!$1:$626,MATCH($A769,'Исходник'!$T:$T,0),MATCH(Y$1,'Исходник'!$1:$1,0)))</f>
        <v/>
      </c>
      <c r="Z769" s="27">
        <f t="shared" si="11"/>
        <v>0</v>
      </c>
      <c r="AA769" s="27" t="str">
        <f t="shared" si="12"/>
        <v/>
      </c>
      <c r="AB769" s="1" t="str">
        <f t="array" ref="AB769">IFERROR(INDEX('Исходник'!$1:$626,MATCH($A769,'Исходник'!$T:$T,0),MATCH(AB$1,'Исходник'!$1:$1,0)))</f>
        <v/>
      </c>
      <c r="AC769" s="1" t="str">
        <f t="array" ref="AC769">IFERROR(INDEX('Исходник'!$1:$626,MATCH($A769,'Исходник'!$T:$T,0),MATCH(AC$1,'Исходник'!$1:$1,0)))</f>
        <v/>
      </c>
      <c r="AD769" s="27" t="str">
        <f t="shared" si="13"/>
        <v/>
      </c>
      <c r="AE769" s="1" t="str">
        <f t="array" ref="AE769">IFERROR(INDEX('Исходник'!$1:$626,MATCH($A769,'Исходник'!$T:$T,0),MATCH(AE$1,'Исходник'!$1:$1,0)))</f>
        <v/>
      </c>
      <c r="AF769" s="1" t="str">
        <f t="array" ref="AF769">IFERROR(INDEX('Исходник'!$1:$626,MATCH($A769,'Исходник'!$T:$T,0),MATCH(AF$1,'Исходник'!$1:$1,0)))</f>
        <v/>
      </c>
      <c r="AG769" s="27" t="str">
        <f t="shared" si="14"/>
        <v/>
      </c>
      <c r="AH769" s="1" t="str">
        <f t="array" ref="AH769">IFERROR(INDEX('Исходник'!$1:$626,MATCH($A769,'Исходник'!$T:$T,0),MATCH(AH$1,'Исходник'!$1:$1,0)))</f>
        <v/>
      </c>
      <c r="AI769" s="1" t="str">
        <f t="array" ref="AI769">IFERROR(INDEX('Исходник'!$1:$626,MATCH($A769,'Исходник'!$T:$T,0),MATCH(AI$1,'Исходник'!$1:$1,0)))</f>
        <v/>
      </c>
      <c r="AJ769" s="18">
        <f t="shared" si="15"/>
        <v>0</v>
      </c>
    </row>
    <row r="770" ht="15.75" customHeight="1">
      <c r="A770" s="27"/>
      <c r="B770" s="1" t="str">
        <f t="array" ref="B770">IFERROR(INDEX('Исходник'!$1:$626,MATCH($A770,'Исходник'!$T:$T,0),MATCH(B$1,'Исходник'!$1:$1,0)))</f>
        <v/>
      </c>
      <c r="C770" s="1" t="str">
        <f t="array" ref="C770">IFERROR(INDEX('Исходник'!$1:$626,MATCH($A770,'Исходник'!$T:$T,0),MATCH(C$1,'Исходник'!$1:$1,0)))</f>
        <v/>
      </c>
      <c r="D770" s="1" t="str">
        <f t="array" ref="D770">IFERROR(INDEX('Исходник'!$1:$626,MATCH($A770,'Исходник'!$T:$T,0),MATCH(D$1,'Исходник'!$1:$1,0)))</f>
        <v/>
      </c>
      <c r="E770" s="1" t="str">
        <f t="array" ref="E770">IFERROR(INDEX('Исходник'!$1:$626,MATCH($A770,'Исходник'!$T:$T,0),MATCH(E$1,'Исходник'!$1:$1,0)))</f>
        <v/>
      </c>
      <c r="F770" s="1" t="str">
        <f t="array" ref="F770">IFERROR(INDEX('Исходник'!$1:$626,MATCH($A770,'Исходник'!$T:$T,0),MATCH(F$1,'Исходник'!$1:$1,0)))</f>
        <v/>
      </c>
      <c r="G770" s="1" t="str">
        <f t="array" ref="G770">IFERROR(INDEX('Исходник'!$1:$626,MATCH($A770,'Исходник'!$T:$T,0),MATCH(G$1,'Исходник'!$1:$1,0)))</f>
        <v/>
      </c>
      <c r="H770" s="27">
        <f t="shared" si="1"/>
        <v>0</v>
      </c>
      <c r="I770" s="27" t="str">
        <f t="shared" si="2"/>
        <v/>
      </c>
      <c r="J770" s="1" t="str">
        <f t="array" ref="J770">IFERROR(INDEX('Исходник'!$1:$626,MATCH($A770,'Исходник'!$T:$T,0),MATCH(J$1,'Исходник'!$1:$1,0)))</f>
        <v/>
      </c>
      <c r="K770" s="27" t="str">
        <f t="shared" si="3"/>
        <v/>
      </c>
      <c r="L770" s="1" t="str">
        <f t="array" ref="L770">IFERROR(INDEX('Исходник'!$1:$626,MATCH($A770,'Исходник'!$T:$T,0),MATCH(L$1,'Исходник'!$1:$1,0)))</f>
        <v/>
      </c>
      <c r="M770" s="28">
        <f t="shared" si="4"/>
        <v>0</v>
      </c>
      <c r="N770" s="1" t="str">
        <f t="array" ref="N770">IFERROR(INDEX('Исходник'!$1:$626,MATCH($A770,'Исходник'!$T:$T,0),MATCH(N$1,'Исходник'!$1:$1,0)))</f>
        <v/>
      </c>
      <c r="O770" s="27">
        <f t="shared" si="5"/>
        <v>0</v>
      </c>
      <c r="P770" s="27" t="str">
        <f t="shared" si="6"/>
        <v/>
      </c>
      <c r="Q770" s="1" t="str">
        <f t="array" ref="Q770">IFERROR(INDEX('Исходник'!$1:$626,MATCH($A770,'Исходник'!$T:$T,0),MATCH(Q$1,'Исходник'!$1:$1,0)))</f>
        <v/>
      </c>
      <c r="R770" s="1" t="str">
        <f t="array" ref="R770">IFERROR(INDEX('Исходник'!$1:$626,MATCH($A770,'Исходник'!$T:$T,0),MATCH(R$1,'Исходник'!$1:$1,0)))</f>
        <v/>
      </c>
      <c r="S770" s="27">
        <f t="shared" si="7"/>
        <v>0</v>
      </c>
      <c r="T770" s="27" t="str">
        <f t="shared" si="8"/>
        <v/>
      </c>
      <c r="U770" s="1" t="str">
        <f t="array" ref="U770">IFERROR(INDEX('Исходник'!$1:$626,MATCH($A770,'Исходник'!$T:$T,0),MATCH(U$1,'Исходник'!$1:$1,0)))</f>
        <v/>
      </c>
      <c r="V770" s="27" t="str">
        <f t="shared" si="9"/>
        <v/>
      </c>
      <c r="W770" s="1" t="str">
        <f t="array" ref="W770">IFERROR(INDEX('Исходник'!$1:$626,MATCH($A770,'Исходник'!$T:$T,0),MATCH(W$1,'Исходник'!$1:$1,0)))</f>
        <v/>
      </c>
      <c r="X770" s="28">
        <f t="shared" si="10"/>
        <v>0</v>
      </c>
      <c r="Y770" s="1" t="str">
        <f t="array" ref="Y770">IFERROR(INDEX('Исходник'!$1:$626,MATCH($A770,'Исходник'!$T:$T,0),MATCH(Y$1,'Исходник'!$1:$1,0)))</f>
        <v/>
      </c>
      <c r="Z770" s="27">
        <f t="shared" si="11"/>
        <v>0</v>
      </c>
      <c r="AA770" s="27" t="str">
        <f t="shared" si="12"/>
        <v/>
      </c>
      <c r="AB770" s="1" t="str">
        <f t="array" ref="AB770">IFERROR(INDEX('Исходник'!$1:$626,MATCH($A770,'Исходник'!$T:$T,0),MATCH(AB$1,'Исходник'!$1:$1,0)))</f>
        <v/>
      </c>
      <c r="AC770" s="1" t="str">
        <f t="array" ref="AC770">IFERROR(INDEX('Исходник'!$1:$626,MATCH($A770,'Исходник'!$T:$T,0),MATCH(AC$1,'Исходник'!$1:$1,0)))</f>
        <v/>
      </c>
      <c r="AD770" s="27" t="str">
        <f t="shared" si="13"/>
        <v/>
      </c>
      <c r="AE770" s="1" t="str">
        <f t="array" ref="AE770">IFERROR(INDEX('Исходник'!$1:$626,MATCH($A770,'Исходник'!$T:$T,0),MATCH(AE$1,'Исходник'!$1:$1,0)))</f>
        <v/>
      </c>
      <c r="AF770" s="1" t="str">
        <f t="array" ref="AF770">IFERROR(INDEX('Исходник'!$1:$626,MATCH($A770,'Исходник'!$T:$T,0),MATCH(AF$1,'Исходник'!$1:$1,0)))</f>
        <v/>
      </c>
      <c r="AG770" s="27" t="str">
        <f t="shared" si="14"/>
        <v/>
      </c>
      <c r="AH770" s="1" t="str">
        <f t="array" ref="AH770">IFERROR(INDEX('Исходник'!$1:$626,MATCH($A770,'Исходник'!$T:$T,0),MATCH(AH$1,'Исходник'!$1:$1,0)))</f>
        <v/>
      </c>
      <c r="AI770" s="1" t="str">
        <f t="array" ref="AI770">IFERROR(INDEX('Исходник'!$1:$626,MATCH($A770,'Исходник'!$T:$T,0),MATCH(AI$1,'Исходник'!$1:$1,0)))</f>
        <v/>
      </c>
      <c r="AJ770" s="18">
        <f t="shared" si="15"/>
        <v>0</v>
      </c>
    </row>
    <row r="771" ht="15.75" customHeight="1">
      <c r="A771" s="27"/>
      <c r="B771" s="1" t="str">
        <f t="array" ref="B771">IFERROR(INDEX('Исходник'!$1:$626,MATCH($A771,'Исходник'!$T:$T,0),MATCH(B$1,'Исходник'!$1:$1,0)))</f>
        <v/>
      </c>
      <c r="C771" s="1" t="str">
        <f t="array" ref="C771">IFERROR(INDEX('Исходник'!$1:$626,MATCH($A771,'Исходник'!$T:$T,0),MATCH(C$1,'Исходник'!$1:$1,0)))</f>
        <v/>
      </c>
      <c r="D771" s="1" t="str">
        <f t="array" ref="D771">IFERROR(INDEX('Исходник'!$1:$626,MATCH($A771,'Исходник'!$T:$T,0),MATCH(D$1,'Исходник'!$1:$1,0)))</f>
        <v/>
      </c>
      <c r="E771" s="1" t="str">
        <f t="array" ref="E771">IFERROR(INDEX('Исходник'!$1:$626,MATCH($A771,'Исходник'!$T:$T,0),MATCH(E$1,'Исходник'!$1:$1,0)))</f>
        <v/>
      </c>
      <c r="F771" s="1" t="str">
        <f t="array" ref="F771">IFERROR(INDEX('Исходник'!$1:$626,MATCH($A771,'Исходник'!$T:$T,0),MATCH(F$1,'Исходник'!$1:$1,0)))</f>
        <v/>
      </c>
      <c r="G771" s="1" t="str">
        <f t="array" ref="G771">IFERROR(INDEX('Исходник'!$1:$626,MATCH($A771,'Исходник'!$T:$T,0),MATCH(G$1,'Исходник'!$1:$1,0)))</f>
        <v/>
      </c>
      <c r="H771" s="27">
        <f t="shared" si="1"/>
        <v>0</v>
      </c>
      <c r="I771" s="27" t="str">
        <f t="shared" si="2"/>
        <v/>
      </c>
      <c r="J771" s="1" t="str">
        <f t="array" ref="J771">IFERROR(INDEX('Исходник'!$1:$626,MATCH($A771,'Исходник'!$T:$T,0),MATCH(J$1,'Исходник'!$1:$1,0)))</f>
        <v/>
      </c>
      <c r="K771" s="27" t="str">
        <f t="shared" si="3"/>
        <v/>
      </c>
      <c r="L771" s="1" t="str">
        <f t="array" ref="L771">IFERROR(INDEX('Исходник'!$1:$626,MATCH($A771,'Исходник'!$T:$T,0),MATCH(L$1,'Исходник'!$1:$1,0)))</f>
        <v/>
      </c>
      <c r="M771" s="28">
        <f t="shared" si="4"/>
        <v>0</v>
      </c>
      <c r="N771" s="1" t="str">
        <f t="array" ref="N771">IFERROR(INDEX('Исходник'!$1:$626,MATCH($A771,'Исходник'!$T:$T,0),MATCH(N$1,'Исходник'!$1:$1,0)))</f>
        <v/>
      </c>
      <c r="O771" s="27">
        <f t="shared" si="5"/>
        <v>0</v>
      </c>
      <c r="P771" s="27" t="str">
        <f t="shared" si="6"/>
        <v/>
      </c>
      <c r="Q771" s="1" t="str">
        <f t="array" ref="Q771">IFERROR(INDEX('Исходник'!$1:$626,MATCH($A771,'Исходник'!$T:$T,0),MATCH(Q$1,'Исходник'!$1:$1,0)))</f>
        <v/>
      </c>
      <c r="R771" s="1" t="str">
        <f t="array" ref="R771">IFERROR(INDEX('Исходник'!$1:$626,MATCH($A771,'Исходник'!$T:$T,0),MATCH(R$1,'Исходник'!$1:$1,0)))</f>
        <v/>
      </c>
      <c r="S771" s="27">
        <f t="shared" si="7"/>
        <v>0</v>
      </c>
      <c r="T771" s="27" t="str">
        <f t="shared" si="8"/>
        <v/>
      </c>
      <c r="U771" s="1" t="str">
        <f t="array" ref="U771">IFERROR(INDEX('Исходник'!$1:$626,MATCH($A771,'Исходник'!$T:$T,0),MATCH(U$1,'Исходник'!$1:$1,0)))</f>
        <v/>
      </c>
      <c r="V771" s="27" t="str">
        <f t="shared" si="9"/>
        <v/>
      </c>
      <c r="W771" s="1" t="str">
        <f t="array" ref="W771">IFERROR(INDEX('Исходник'!$1:$626,MATCH($A771,'Исходник'!$T:$T,0),MATCH(W$1,'Исходник'!$1:$1,0)))</f>
        <v/>
      </c>
      <c r="X771" s="28">
        <f t="shared" si="10"/>
        <v>0</v>
      </c>
      <c r="Y771" s="1" t="str">
        <f t="array" ref="Y771">IFERROR(INDEX('Исходник'!$1:$626,MATCH($A771,'Исходник'!$T:$T,0),MATCH(Y$1,'Исходник'!$1:$1,0)))</f>
        <v/>
      </c>
      <c r="Z771" s="27">
        <f t="shared" si="11"/>
        <v>0</v>
      </c>
      <c r="AA771" s="27" t="str">
        <f t="shared" si="12"/>
        <v/>
      </c>
      <c r="AB771" s="1" t="str">
        <f t="array" ref="AB771">IFERROR(INDEX('Исходник'!$1:$626,MATCH($A771,'Исходник'!$T:$T,0),MATCH(AB$1,'Исходник'!$1:$1,0)))</f>
        <v/>
      </c>
      <c r="AC771" s="1" t="str">
        <f t="array" ref="AC771">IFERROR(INDEX('Исходник'!$1:$626,MATCH($A771,'Исходник'!$T:$T,0),MATCH(AC$1,'Исходник'!$1:$1,0)))</f>
        <v/>
      </c>
      <c r="AD771" s="27" t="str">
        <f t="shared" si="13"/>
        <v/>
      </c>
      <c r="AE771" s="1" t="str">
        <f t="array" ref="AE771">IFERROR(INDEX('Исходник'!$1:$626,MATCH($A771,'Исходник'!$T:$T,0),MATCH(AE$1,'Исходник'!$1:$1,0)))</f>
        <v/>
      </c>
      <c r="AF771" s="1" t="str">
        <f t="array" ref="AF771">IFERROR(INDEX('Исходник'!$1:$626,MATCH($A771,'Исходник'!$T:$T,0),MATCH(AF$1,'Исходник'!$1:$1,0)))</f>
        <v/>
      </c>
      <c r="AG771" s="27" t="str">
        <f t="shared" si="14"/>
        <v/>
      </c>
      <c r="AH771" s="1" t="str">
        <f t="array" ref="AH771">IFERROR(INDEX('Исходник'!$1:$626,MATCH($A771,'Исходник'!$T:$T,0),MATCH(AH$1,'Исходник'!$1:$1,0)))</f>
        <v/>
      </c>
      <c r="AI771" s="1" t="str">
        <f t="array" ref="AI771">IFERROR(INDEX('Исходник'!$1:$626,MATCH($A771,'Исходник'!$T:$T,0),MATCH(AI$1,'Исходник'!$1:$1,0)))</f>
        <v/>
      </c>
      <c r="AJ771" s="18">
        <f t="shared" si="15"/>
        <v>0</v>
      </c>
    </row>
    <row r="772" ht="15.75" customHeight="1">
      <c r="A772" s="27"/>
      <c r="B772" s="1" t="str">
        <f t="array" ref="B772">IFERROR(INDEX('Исходник'!$1:$626,MATCH($A772,'Исходник'!$T:$T,0),MATCH(B$1,'Исходник'!$1:$1,0)))</f>
        <v/>
      </c>
      <c r="C772" s="1" t="str">
        <f t="array" ref="C772">IFERROR(INDEX('Исходник'!$1:$626,MATCH($A772,'Исходник'!$T:$T,0),MATCH(C$1,'Исходник'!$1:$1,0)))</f>
        <v/>
      </c>
      <c r="D772" s="1" t="str">
        <f t="array" ref="D772">IFERROR(INDEX('Исходник'!$1:$626,MATCH($A772,'Исходник'!$T:$T,0),MATCH(D$1,'Исходник'!$1:$1,0)))</f>
        <v/>
      </c>
      <c r="E772" s="1" t="str">
        <f t="array" ref="E772">IFERROR(INDEX('Исходник'!$1:$626,MATCH($A772,'Исходник'!$T:$T,0),MATCH(E$1,'Исходник'!$1:$1,0)))</f>
        <v/>
      </c>
      <c r="F772" s="1" t="str">
        <f t="array" ref="F772">IFERROR(INDEX('Исходник'!$1:$626,MATCH($A772,'Исходник'!$T:$T,0),MATCH(F$1,'Исходник'!$1:$1,0)))</f>
        <v/>
      </c>
      <c r="G772" s="1" t="str">
        <f t="array" ref="G772">IFERROR(INDEX('Исходник'!$1:$626,MATCH($A772,'Исходник'!$T:$T,0),MATCH(G$1,'Исходник'!$1:$1,0)))</f>
        <v/>
      </c>
      <c r="H772" s="27">
        <f t="shared" si="1"/>
        <v>0</v>
      </c>
      <c r="I772" s="27" t="str">
        <f t="shared" si="2"/>
        <v/>
      </c>
      <c r="J772" s="1" t="str">
        <f t="array" ref="J772">IFERROR(INDEX('Исходник'!$1:$626,MATCH($A772,'Исходник'!$T:$T,0),MATCH(J$1,'Исходник'!$1:$1,0)))</f>
        <v/>
      </c>
      <c r="K772" s="27" t="str">
        <f t="shared" si="3"/>
        <v/>
      </c>
      <c r="L772" s="1" t="str">
        <f t="array" ref="L772">IFERROR(INDEX('Исходник'!$1:$626,MATCH($A772,'Исходник'!$T:$T,0),MATCH(L$1,'Исходник'!$1:$1,0)))</f>
        <v/>
      </c>
      <c r="M772" s="28">
        <f t="shared" si="4"/>
        <v>0</v>
      </c>
      <c r="N772" s="1" t="str">
        <f t="array" ref="N772">IFERROR(INDEX('Исходник'!$1:$626,MATCH($A772,'Исходник'!$T:$T,0),MATCH(N$1,'Исходник'!$1:$1,0)))</f>
        <v/>
      </c>
      <c r="O772" s="27">
        <f t="shared" si="5"/>
        <v>0</v>
      </c>
      <c r="P772" s="27" t="str">
        <f t="shared" si="6"/>
        <v/>
      </c>
      <c r="Q772" s="1" t="str">
        <f t="array" ref="Q772">IFERROR(INDEX('Исходник'!$1:$626,MATCH($A772,'Исходник'!$T:$T,0),MATCH(Q$1,'Исходник'!$1:$1,0)))</f>
        <v/>
      </c>
      <c r="R772" s="1" t="str">
        <f t="array" ref="R772">IFERROR(INDEX('Исходник'!$1:$626,MATCH($A772,'Исходник'!$T:$T,0),MATCH(R$1,'Исходник'!$1:$1,0)))</f>
        <v/>
      </c>
      <c r="S772" s="27">
        <f t="shared" si="7"/>
        <v>0</v>
      </c>
      <c r="T772" s="27" t="str">
        <f t="shared" si="8"/>
        <v/>
      </c>
      <c r="U772" s="1" t="str">
        <f t="array" ref="U772">IFERROR(INDEX('Исходник'!$1:$626,MATCH($A772,'Исходник'!$T:$T,0),MATCH(U$1,'Исходник'!$1:$1,0)))</f>
        <v/>
      </c>
      <c r="V772" s="27" t="str">
        <f t="shared" si="9"/>
        <v/>
      </c>
      <c r="W772" s="1" t="str">
        <f t="array" ref="W772">IFERROR(INDEX('Исходник'!$1:$626,MATCH($A772,'Исходник'!$T:$T,0),MATCH(W$1,'Исходник'!$1:$1,0)))</f>
        <v/>
      </c>
      <c r="X772" s="28">
        <f t="shared" si="10"/>
        <v>0</v>
      </c>
      <c r="Y772" s="1" t="str">
        <f t="array" ref="Y772">IFERROR(INDEX('Исходник'!$1:$626,MATCH($A772,'Исходник'!$T:$T,0),MATCH(Y$1,'Исходник'!$1:$1,0)))</f>
        <v/>
      </c>
      <c r="Z772" s="27">
        <f t="shared" si="11"/>
        <v>0</v>
      </c>
      <c r="AA772" s="27" t="str">
        <f t="shared" si="12"/>
        <v/>
      </c>
      <c r="AB772" s="1" t="str">
        <f t="array" ref="AB772">IFERROR(INDEX('Исходник'!$1:$626,MATCH($A772,'Исходник'!$T:$T,0),MATCH(AB$1,'Исходник'!$1:$1,0)))</f>
        <v/>
      </c>
      <c r="AC772" s="1" t="str">
        <f t="array" ref="AC772">IFERROR(INDEX('Исходник'!$1:$626,MATCH($A772,'Исходник'!$T:$T,0),MATCH(AC$1,'Исходник'!$1:$1,0)))</f>
        <v/>
      </c>
      <c r="AD772" s="27" t="str">
        <f t="shared" si="13"/>
        <v/>
      </c>
      <c r="AE772" s="1" t="str">
        <f t="array" ref="AE772">IFERROR(INDEX('Исходник'!$1:$626,MATCH($A772,'Исходник'!$T:$T,0),MATCH(AE$1,'Исходник'!$1:$1,0)))</f>
        <v/>
      </c>
      <c r="AF772" s="1" t="str">
        <f t="array" ref="AF772">IFERROR(INDEX('Исходник'!$1:$626,MATCH($A772,'Исходник'!$T:$T,0),MATCH(AF$1,'Исходник'!$1:$1,0)))</f>
        <v/>
      </c>
      <c r="AG772" s="27" t="str">
        <f t="shared" si="14"/>
        <v/>
      </c>
      <c r="AH772" s="1" t="str">
        <f t="array" ref="AH772">IFERROR(INDEX('Исходник'!$1:$626,MATCH($A772,'Исходник'!$T:$T,0),MATCH(AH$1,'Исходник'!$1:$1,0)))</f>
        <v/>
      </c>
      <c r="AI772" s="1" t="str">
        <f t="array" ref="AI772">IFERROR(INDEX('Исходник'!$1:$626,MATCH($A772,'Исходник'!$T:$T,0),MATCH(AI$1,'Исходник'!$1:$1,0)))</f>
        <v/>
      </c>
      <c r="AJ772" s="18">
        <f t="shared" si="15"/>
        <v>0</v>
      </c>
    </row>
    <row r="773" ht="15.75" customHeight="1">
      <c r="A773" s="27"/>
      <c r="B773" s="1" t="str">
        <f t="array" ref="B773">IFERROR(INDEX('Исходник'!$1:$626,MATCH($A773,'Исходник'!$T:$T,0),MATCH(B$1,'Исходник'!$1:$1,0)))</f>
        <v/>
      </c>
      <c r="C773" s="1" t="str">
        <f t="array" ref="C773">IFERROR(INDEX('Исходник'!$1:$626,MATCH($A773,'Исходник'!$T:$T,0),MATCH(C$1,'Исходник'!$1:$1,0)))</f>
        <v/>
      </c>
      <c r="D773" s="1" t="str">
        <f t="array" ref="D773">IFERROR(INDEX('Исходник'!$1:$626,MATCH($A773,'Исходник'!$T:$T,0),MATCH(D$1,'Исходник'!$1:$1,0)))</f>
        <v/>
      </c>
      <c r="E773" s="1" t="str">
        <f t="array" ref="E773">IFERROR(INDEX('Исходник'!$1:$626,MATCH($A773,'Исходник'!$T:$T,0),MATCH(E$1,'Исходник'!$1:$1,0)))</f>
        <v/>
      </c>
      <c r="F773" s="1" t="str">
        <f t="array" ref="F773">IFERROR(INDEX('Исходник'!$1:$626,MATCH($A773,'Исходник'!$T:$T,0),MATCH(F$1,'Исходник'!$1:$1,0)))</f>
        <v/>
      </c>
      <c r="G773" s="1" t="str">
        <f t="array" ref="G773">IFERROR(INDEX('Исходник'!$1:$626,MATCH($A773,'Исходник'!$T:$T,0),MATCH(G$1,'Исходник'!$1:$1,0)))</f>
        <v/>
      </c>
      <c r="H773" s="27">
        <f t="shared" si="1"/>
        <v>0</v>
      </c>
      <c r="I773" s="27" t="str">
        <f t="shared" si="2"/>
        <v/>
      </c>
      <c r="J773" s="1" t="str">
        <f t="array" ref="J773">IFERROR(INDEX('Исходник'!$1:$626,MATCH($A773,'Исходник'!$T:$T,0),MATCH(J$1,'Исходник'!$1:$1,0)))</f>
        <v/>
      </c>
      <c r="K773" s="27" t="str">
        <f t="shared" si="3"/>
        <v/>
      </c>
      <c r="L773" s="1" t="str">
        <f t="array" ref="L773">IFERROR(INDEX('Исходник'!$1:$626,MATCH($A773,'Исходник'!$T:$T,0),MATCH(L$1,'Исходник'!$1:$1,0)))</f>
        <v/>
      </c>
      <c r="M773" s="28">
        <f t="shared" si="4"/>
        <v>0</v>
      </c>
      <c r="N773" s="1" t="str">
        <f t="array" ref="N773">IFERROR(INDEX('Исходник'!$1:$626,MATCH($A773,'Исходник'!$T:$T,0),MATCH(N$1,'Исходник'!$1:$1,0)))</f>
        <v/>
      </c>
      <c r="O773" s="27">
        <f t="shared" si="5"/>
        <v>0</v>
      </c>
      <c r="P773" s="27" t="str">
        <f t="shared" si="6"/>
        <v/>
      </c>
      <c r="Q773" s="1" t="str">
        <f t="array" ref="Q773">IFERROR(INDEX('Исходник'!$1:$626,MATCH($A773,'Исходник'!$T:$T,0),MATCH(Q$1,'Исходник'!$1:$1,0)))</f>
        <v/>
      </c>
      <c r="R773" s="1" t="str">
        <f t="array" ref="R773">IFERROR(INDEX('Исходник'!$1:$626,MATCH($A773,'Исходник'!$T:$T,0),MATCH(R$1,'Исходник'!$1:$1,0)))</f>
        <v/>
      </c>
      <c r="S773" s="27">
        <f t="shared" si="7"/>
        <v>0</v>
      </c>
      <c r="T773" s="27" t="str">
        <f t="shared" si="8"/>
        <v/>
      </c>
      <c r="U773" s="1" t="str">
        <f t="array" ref="U773">IFERROR(INDEX('Исходник'!$1:$626,MATCH($A773,'Исходник'!$T:$T,0),MATCH(U$1,'Исходник'!$1:$1,0)))</f>
        <v/>
      </c>
      <c r="V773" s="27" t="str">
        <f t="shared" si="9"/>
        <v/>
      </c>
      <c r="W773" s="1" t="str">
        <f t="array" ref="W773">IFERROR(INDEX('Исходник'!$1:$626,MATCH($A773,'Исходник'!$T:$T,0),MATCH(W$1,'Исходник'!$1:$1,0)))</f>
        <v/>
      </c>
      <c r="X773" s="28">
        <f t="shared" si="10"/>
        <v>0</v>
      </c>
      <c r="Y773" s="1" t="str">
        <f t="array" ref="Y773">IFERROR(INDEX('Исходник'!$1:$626,MATCH($A773,'Исходник'!$T:$T,0),MATCH(Y$1,'Исходник'!$1:$1,0)))</f>
        <v/>
      </c>
      <c r="Z773" s="27">
        <f t="shared" si="11"/>
        <v>0</v>
      </c>
      <c r="AA773" s="27" t="str">
        <f t="shared" si="12"/>
        <v/>
      </c>
      <c r="AB773" s="1" t="str">
        <f t="array" ref="AB773">IFERROR(INDEX('Исходник'!$1:$626,MATCH($A773,'Исходник'!$T:$T,0),MATCH(AB$1,'Исходник'!$1:$1,0)))</f>
        <v/>
      </c>
      <c r="AC773" s="1" t="str">
        <f t="array" ref="AC773">IFERROR(INDEX('Исходник'!$1:$626,MATCH($A773,'Исходник'!$T:$T,0),MATCH(AC$1,'Исходник'!$1:$1,0)))</f>
        <v/>
      </c>
      <c r="AD773" s="27" t="str">
        <f t="shared" si="13"/>
        <v/>
      </c>
      <c r="AE773" s="1" t="str">
        <f t="array" ref="AE773">IFERROR(INDEX('Исходник'!$1:$626,MATCH($A773,'Исходник'!$T:$T,0),MATCH(AE$1,'Исходник'!$1:$1,0)))</f>
        <v/>
      </c>
      <c r="AF773" s="1" t="str">
        <f t="array" ref="AF773">IFERROR(INDEX('Исходник'!$1:$626,MATCH($A773,'Исходник'!$T:$T,0),MATCH(AF$1,'Исходник'!$1:$1,0)))</f>
        <v/>
      </c>
      <c r="AG773" s="27" t="str">
        <f t="shared" si="14"/>
        <v/>
      </c>
      <c r="AH773" s="1" t="str">
        <f t="array" ref="AH773">IFERROR(INDEX('Исходник'!$1:$626,MATCH($A773,'Исходник'!$T:$T,0),MATCH(AH$1,'Исходник'!$1:$1,0)))</f>
        <v/>
      </c>
      <c r="AI773" s="1" t="str">
        <f t="array" ref="AI773">IFERROR(INDEX('Исходник'!$1:$626,MATCH($A773,'Исходник'!$T:$T,0),MATCH(AI$1,'Исходник'!$1:$1,0)))</f>
        <v/>
      </c>
      <c r="AJ773" s="18">
        <f t="shared" si="15"/>
        <v>0</v>
      </c>
    </row>
    <row r="774" ht="15.75" customHeight="1">
      <c r="A774" s="27"/>
      <c r="B774" s="1" t="str">
        <f t="array" ref="B774">IFERROR(INDEX('Исходник'!$1:$626,MATCH($A774,'Исходник'!$T:$T,0),MATCH(B$1,'Исходник'!$1:$1,0)))</f>
        <v/>
      </c>
      <c r="C774" s="1" t="str">
        <f t="array" ref="C774">IFERROR(INDEX('Исходник'!$1:$626,MATCH($A774,'Исходник'!$T:$T,0),MATCH(C$1,'Исходник'!$1:$1,0)))</f>
        <v/>
      </c>
      <c r="D774" s="1" t="str">
        <f t="array" ref="D774">IFERROR(INDEX('Исходник'!$1:$626,MATCH($A774,'Исходник'!$T:$T,0),MATCH(D$1,'Исходник'!$1:$1,0)))</f>
        <v/>
      </c>
      <c r="E774" s="1" t="str">
        <f t="array" ref="E774">IFERROR(INDEX('Исходник'!$1:$626,MATCH($A774,'Исходник'!$T:$T,0),MATCH(E$1,'Исходник'!$1:$1,0)))</f>
        <v/>
      </c>
      <c r="F774" s="1" t="str">
        <f t="array" ref="F774">IFERROR(INDEX('Исходник'!$1:$626,MATCH($A774,'Исходник'!$T:$T,0),MATCH(F$1,'Исходник'!$1:$1,0)))</f>
        <v/>
      </c>
      <c r="G774" s="1" t="str">
        <f t="array" ref="G774">IFERROR(INDEX('Исходник'!$1:$626,MATCH($A774,'Исходник'!$T:$T,0),MATCH(G$1,'Исходник'!$1:$1,0)))</f>
        <v/>
      </c>
      <c r="H774" s="27">
        <f t="shared" si="1"/>
        <v>0</v>
      </c>
      <c r="I774" s="27" t="str">
        <f t="shared" si="2"/>
        <v/>
      </c>
      <c r="J774" s="1" t="str">
        <f t="array" ref="J774">IFERROR(INDEX('Исходник'!$1:$626,MATCH($A774,'Исходник'!$T:$T,0),MATCH(J$1,'Исходник'!$1:$1,0)))</f>
        <v/>
      </c>
      <c r="K774" s="27" t="str">
        <f t="shared" si="3"/>
        <v/>
      </c>
      <c r="L774" s="1" t="str">
        <f t="array" ref="L774">IFERROR(INDEX('Исходник'!$1:$626,MATCH($A774,'Исходник'!$T:$T,0),MATCH(L$1,'Исходник'!$1:$1,0)))</f>
        <v/>
      </c>
      <c r="M774" s="28">
        <f t="shared" si="4"/>
        <v>0</v>
      </c>
      <c r="N774" s="1" t="str">
        <f t="array" ref="N774">IFERROR(INDEX('Исходник'!$1:$626,MATCH($A774,'Исходник'!$T:$T,0),MATCH(N$1,'Исходник'!$1:$1,0)))</f>
        <v/>
      </c>
      <c r="O774" s="27">
        <f t="shared" si="5"/>
        <v>0</v>
      </c>
      <c r="P774" s="27" t="str">
        <f t="shared" si="6"/>
        <v/>
      </c>
      <c r="Q774" s="1" t="str">
        <f t="array" ref="Q774">IFERROR(INDEX('Исходник'!$1:$626,MATCH($A774,'Исходник'!$T:$T,0),MATCH(Q$1,'Исходник'!$1:$1,0)))</f>
        <v/>
      </c>
      <c r="R774" s="1" t="str">
        <f t="array" ref="R774">IFERROR(INDEX('Исходник'!$1:$626,MATCH($A774,'Исходник'!$T:$T,0),MATCH(R$1,'Исходник'!$1:$1,0)))</f>
        <v/>
      </c>
      <c r="S774" s="27">
        <f t="shared" si="7"/>
        <v>0</v>
      </c>
      <c r="T774" s="27" t="str">
        <f t="shared" si="8"/>
        <v/>
      </c>
      <c r="U774" s="1" t="str">
        <f t="array" ref="U774">IFERROR(INDEX('Исходник'!$1:$626,MATCH($A774,'Исходник'!$T:$T,0),MATCH(U$1,'Исходник'!$1:$1,0)))</f>
        <v/>
      </c>
      <c r="V774" s="27" t="str">
        <f t="shared" si="9"/>
        <v/>
      </c>
      <c r="W774" s="1" t="str">
        <f t="array" ref="W774">IFERROR(INDEX('Исходник'!$1:$626,MATCH($A774,'Исходник'!$T:$T,0),MATCH(W$1,'Исходник'!$1:$1,0)))</f>
        <v/>
      </c>
      <c r="X774" s="28">
        <f t="shared" si="10"/>
        <v>0</v>
      </c>
      <c r="Y774" s="1" t="str">
        <f t="array" ref="Y774">IFERROR(INDEX('Исходник'!$1:$626,MATCH($A774,'Исходник'!$T:$T,0),MATCH(Y$1,'Исходник'!$1:$1,0)))</f>
        <v/>
      </c>
      <c r="Z774" s="27">
        <f t="shared" si="11"/>
        <v>0</v>
      </c>
      <c r="AA774" s="27" t="str">
        <f t="shared" si="12"/>
        <v/>
      </c>
      <c r="AB774" s="1" t="str">
        <f t="array" ref="AB774">IFERROR(INDEX('Исходник'!$1:$626,MATCH($A774,'Исходник'!$T:$T,0),MATCH(AB$1,'Исходник'!$1:$1,0)))</f>
        <v/>
      </c>
      <c r="AC774" s="1" t="str">
        <f t="array" ref="AC774">IFERROR(INDEX('Исходник'!$1:$626,MATCH($A774,'Исходник'!$T:$T,0),MATCH(AC$1,'Исходник'!$1:$1,0)))</f>
        <v/>
      </c>
      <c r="AD774" s="27" t="str">
        <f t="shared" si="13"/>
        <v/>
      </c>
      <c r="AE774" s="1" t="str">
        <f t="array" ref="AE774">IFERROR(INDEX('Исходник'!$1:$626,MATCH($A774,'Исходник'!$T:$T,0),MATCH(AE$1,'Исходник'!$1:$1,0)))</f>
        <v/>
      </c>
      <c r="AF774" s="1" t="str">
        <f t="array" ref="AF774">IFERROR(INDEX('Исходник'!$1:$626,MATCH($A774,'Исходник'!$T:$T,0),MATCH(AF$1,'Исходник'!$1:$1,0)))</f>
        <v/>
      </c>
      <c r="AG774" s="27" t="str">
        <f t="shared" si="14"/>
        <v/>
      </c>
      <c r="AH774" s="1" t="str">
        <f t="array" ref="AH774">IFERROR(INDEX('Исходник'!$1:$626,MATCH($A774,'Исходник'!$T:$T,0),MATCH(AH$1,'Исходник'!$1:$1,0)))</f>
        <v/>
      </c>
      <c r="AI774" s="1" t="str">
        <f t="array" ref="AI774">IFERROR(INDEX('Исходник'!$1:$626,MATCH($A774,'Исходник'!$T:$T,0),MATCH(AI$1,'Исходник'!$1:$1,0)))</f>
        <v/>
      </c>
      <c r="AJ774" s="18">
        <f t="shared" si="15"/>
        <v>0</v>
      </c>
    </row>
    <row r="775" ht="15.75" customHeight="1">
      <c r="A775" s="27"/>
      <c r="B775" s="1" t="str">
        <f t="array" ref="B775">IFERROR(INDEX('Исходник'!$1:$626,MATCH($A775,'Исходник'!$T:$T,0),MATCH(B$1,'Исходник'!$1:$1,0)))</f>
        <v/>
      </c>
      <c r="C775" s="1" t="str">
        <f t="array" ref="C775">IFERROR(INDEX('Исходник'!$1:$626,MATCH($A775,'Исходник'!$T:$T,0),MATCH(C$1,'Исходник'!$1:$1,0)))</f>
        <v/>
      </c>
      <c r="D775" s="1" t="str">
        <f t="array" ref="D775">IFERROR(INDEX('Исходник'!$1:$626,MATCH($A775,'Исходник'!$T:$T,0),MATCH(D$1,'Исходник'!$1:$1,0)))</f>
        <v/>
      </c>
      <c r="E775" s="1" t="str">
        <f t="array" ref="E775">IFERROR(INDEX('Исходник'!$1:$626,MATCH($A775,'Исходник'!$T:$T,0),MATCH(E$1,'Исходник'!$1:$1,0)))</f>
        <v/>
      </c>
      <c r="F775" s="1" t="str">
        <f t="array" ref="F775">IFERROR(INDEX('Исходник'!$1:$626,MATCH($A775,'Исходник'!$T:$T,0),MATCH(F$1,'Исходник'!$1:$1,0)))</f>
        <v/>
      </c>
      <c r="G775" s="1" t="str">
        <f t="array" ref="G775">IFERROR(INDEX('Исходник'!$1:$626,MATCH($A775,'Исходник'!$T:$T,0),MATCH(G$1,'Исходник'!$1:$1,0)))</f>
        <v/>
      </c>
      <c r="H775" s="27">
        <f t="shared" si="1"/>
        <v>0</v>
      </c>
      <c r="I775" s="27" t="str">
        <f t="shared" si="2"/>
        <v/>
      </c>
      <c r="J775" s="1" t="str">
        <f t="array" ref="J775">IFERROR(INDEX('Исходник'!$1:$626,MATCH($A775,'Исходник'!$T:$T,0),MATCH(J$1,'Исходник'!$1:$1,0)))</f>
        <v/>
      </c>
      <c r="K775" s="27" t="str">
        <f t="shared" si="3"/>
        <v/>
      </c>
      <c r="L775" s="1" t="str">
        <f t="array" ref="L775">IFERROR(INDEX('Исходник'!$1:$626,MATCH($A775,'Исходник'!$T:$T,0),MATCH(L$1,'Исходник'!$1:$1,0)))</f>
        <v/>
      </c>
      <c r="M775" s="28">
        <f t="shared" si="4"/>
        <v>0</v>
      </c>
      <c r="N775" s="1" t="str">
        <f t="array" ref="N775">IFERROR(INDEX('Исходник'!$1:$626,MATCH($A775,'Исходник'!$T:$T,0),MATCH(N$1,'Исходник'!$1:$1,0)))</f>
        <v/>
      </c>
      <c r="O775" s="27">
        <f t="shared" si="5"/>
        <v>0</v>
      </c>
      <c r="P775" s="27" t="str">
        <f t="shared" si="6"/>
        <v/>
      </c>
      <c r="Q775" s="1" t="str">
        <f t="array" ref="Q775">IFERROR(INDEX('Исходник'!$1:$626,MATCH($A775,'Исходник'!$T:$T,0),MATCH(Q$1,'Исходник'!$1:$1,0)))</f>
        <v/>
      </c>
      <c r="R775" s="1" t="str">
        <f t="array" ref="R775">IFERROR(INDEX('Исходник'!$1:$626,MATCH($A775,'Исходник'!$T:$T,0),MATCH(R$1,'Исходник'!$1:$1,0)))</f>
        <v/>
      </c>
      <c r="S775" s="27">
        <f t="shared" si="7"/>
        <v>0</v>
      </c>
      <c r="T775" s="27" t="str">
        <f t="shared" si="8"/>
        <v/>
      </c>
      <c r="U775" s="1" t="str">
        <f t="array" ref="U775">IFERROR(INDEX('Исходник'!$1:$626,MATCH($A775,'Исходник'!$T:$T,0),MATCH(U$1,'Исходник'!$1:$1,0)))</f>
        <v/>
      </c>
      <c r="V775" s="27" t="str">
        <f t="shared" si="9"/>
        <v/>
      </c>
      <c r="W775" s="1" t="str">
        <f t="array" ref="W775">IFERROR(INDEX('Исходник'!$1:$626,MATCH($A775,'Исходник'!$T:$T,0),MATCH(W$1,'Исходник'!$1:$1,0)))</f>
        <v/>
      </c>
      <c r="X775" s="28">
        <f t="shared" si="10"/>
        <v>0</v>
      </c>
      <c r="Y775" s="1" t="str">
        <f t="array" ref="Y775">IFERROR(INDEX('Исходник'!$1:$626,MATCH($A775,'Исходник'!$T:$T,0),MATCH(Y$1,'Исходник'!$1:$1,0)))</f>
        <v/>
      </c>
      <c r="Z775" s="27">
        <f t="shared" si="11"/>
        <v>0</v>
      </c>
      <c r="AA775" s="27" t="str">
        <f t="shared" si="12"/>
        <v/>
      </c>
      <c r="AB775" s="1" t="str">
        <f t="array" ref="AB775">IFERROR(INDEX('Исходник'!$1:$626,MATCH($A775,'Исходник'!$T:$T,0),MATCH(AB$1,'Исходник'!$1:$1,0)))</f>
        <v/>
      </c>
      <c r="AC775" s="1" t="str">
        <f t="array" ref="AC775">IFERROR(INDEX('Исходник'!$1:$626,MATCH($A775,'Исходник'!$T:$T,0),MATCH(AC$1,'Исходник'!$1:$1,0)))</f>
        <v/>
      </c>
      <c r="AD775" s="27" t="str">
        <f t="shared" si="13"/>
        <v/>
      </c>
      <c r="AE775" s="1" t="str">
        <f t="array" ref="AE775">IFERROR(INDEX('Исходник'!$1:$626,MATCH($A775,'Исходник'!$T:$T,0),MATCH(AE$1,'Исходник'!$1:$1,0)))</f>
        <v/>
      </c>
      <c r="AF775" s="1" t="str">
        <f t="array" ref="AF775">IFERROR(INDEX('Исходник'!$1:$626,MATCH($A775,'Исходник'!$T:$T,0),MATCH(AF$1,'Исходник'!$1:$1,0)))</f>
        <v/>
      </c>
      <c r="AG775" s="27" t="str">
        <f t="shared" si="14"/>
        <v/>
      </c>
      <c r="AH775" s="1" t="str">
        <f t="array" ref="AH775">IFERROR(INDEX('Исходник'!$1:$626,MATCH($A775,'Исходник'!$T:$T,0),MATCH(AH$1,'Исходник'!$1:$1,0)))</f>
        <v/>
      </c>
      <c r="AI775" s="1" t="str">
        <f t="array" ref="AI775">IFERROR(INDEX('Исходник'!$1:$626,MATCH($A775,'Исходник'!$T:$T,0),MATCH(AI$1,'Исходник'!$1:$1,0)))</f>
        <v/>
      </c>
      <c r="AJ775" s="18">
        <f t="shared" si="15"/>
        <v>0</v>
      </c>
    </row>
    <row r="776" ht="15.75" customHeight="1">
      <c r="A776" s="27"/>
      <c r="B776" s="1" t="str">
        <f t="array" ref="B776">IFERROR(INDEX('Исходник'!$1:$626,MATCH($A776,'Исходник'!$T:$T,0),MATCH(B$1,'Исходник'!$1:$1,0)))</f>
        <v/>
      </c>
      <c r="C776" s="1" t="str">
        <f t="array" ref="C776">IFERROR(INDEX('Исходник'!$1:$626,MATCH($A776,'Исходник'!$T:$T,0),MATCH(C$1,'Исходник'!$1:$1,0)))</f>
        <v/>
      </c>
      <c r="D776" s="1" t="str">
        <f t="array" ref="D776">IFERROR(INDEX('Исходник'!$1:$626,MATCH($A776,'Исходник'!$T:$T,0),MATCH(D$1,'Исходник'!$1:$1,0)))</f>
        <v/>
      </c>
      <c r="E776" s="1" t="str">
        <f t="array" ref="E776">IFERROR(INDEX('Исходник'!$1:$626,MATCH($A776,'Исходник'!$T:$T,0),MATCH(E$1,'Исходник'!$1:$1,0)))</f>
        <v/>
      </c>
      <c r="F776" s="1" t="str">
        <f t="array" ref="F776">IFERROR(INDEX('Исходник'!$1:$626,MATCH($A776,'Исходник'!$T:$T,0),MATCH(F$1,'Исходник'!$1:$1,0)))</f>
        <v/>
      </c>
      <c r="G776" s="1" t="str">
        <f t="array" ref="G776">IFERROR(INDEX('Исходник'!$1:$626,MATCH($A776,'Исходник'!$T:$T,0),MATCH(G$1,'Исходник'!$1:$1,0)))</f>
        <v/>
      </c>
      <c r="H776" s="27">
        <f t="shared" si="1"/>
        <v>0</v>
      </c>
      <c r="I776" s="27" t="str">
        <f t="shared" si="2"/>
        <v/>
      </c>
      <c r="J776" s="1" t="str">
        <f t="array" ref="J776">IFERROR(INDEX('Исходник'!$1:$626,MATCH($A776,'Исходник'!$T:$T,0),MATCH(J$1,'Исходник'!$1:$1,0)))</f>
        <v/>
      </c>
      <c r="K776" s="27" t="str">
        <f t="shared" si="3"/>
        <v/>
      </c>
      <c r="L776" s="1" t="str">
        <f t="array" ref="L776">IFERROR(INDEX('Исходник'!$1:$626,MATCH($A776,'Исходник'!$T:$T,0),MATCH(L$1,'Исходник'!$1:$1,0)))</f>
        <v/>
      </c>
      <c r="M776" s="28">
        <f t="shared" si="4"/>
        <v>0</v>
      </c>
      <c r="N776" s="1" t="str">
        <f t="array" ref="N776">IFERROR(INDEX('Исходник'!$1:$626,MATCH($A776,'Исходник'!$T:$T,0),MATCH(N$1,'Исходник'!$1:$1,0)))</f>
        <v/>
      </c>
      <c r="O776" s="27">
        <f t="shared" si="5"/>
        <v>0</v>
      </c>
      <c r="P776" s="27" t="str">
        <f t="shared" si="6"/>
        <v/>
      </c>
      <c r="Q776" s="1" t="str">
        <f t="array" ref="Q776">IFERROR(INDEX('Исходник'!$1:$626,MATCH($A776,'Исходник'!$T:$T,0),MATCH(Q$1,'Исходник'!$1:$1,0)))</f>
        <v/>
      </c>
      <c r="R776" s="1" t="str">
        <f t="array" ref="R776">IFERROR(INDEX('Исходник'!$1:$626,MATCH($A776,'Исходник'!$T:$T,0),MATCH(R$1,'Исходник'!$1:$1,0)))</f>
        <v/>
      </c>
      <c r="S776" s="27">
        <f t="shared" si="7"/>
        <v>0</v>
      </c>
      <c r="T776" s="27" t="str">
        <f t="shared" si="8"/>
        <v/>
      </c>
      <c r="U776" s="1" t="str">
        <f t="array" ref="U776">IFERROR(INDEX('Исходник'!$1:$626,MATCH($A776,'Исходник'!$T:$T,0),MATCH(U$1,'Исходник'!$1:$1,0)))</f>
        <v/>
      </c>
      <c r="V776" s="27" t="str">
        <f t="shared" si="9"/>
        <v/>
      </c>
      <c r="W776" s="1" t="str">
        <f t="array" ref="W776">IFERROR(INDEX('Исходник'!$1:$626,MATCH($A776,'Исходник'!$T:$T,0),MATCH(W$1,'Исходник'!$1:$1,0)))</f>
        <v/>
      </c>
      <c r="X776" s="28">
        <f t="shared" si="10"/>
        <v>0</v>
      </c>
      <c r="Y776" s="1" t="str">
        <f t="array" ref="Y776">IFERROR(INDEX('Исходник'!$1:$626,MATCH($A776,'Исходник'!$T:$T,0),MATCH(Y$1,'Исходник'!$1:$1,0)))</f>
        <v/>
      </c>
      <c r="Z776" s="27">
        <f t="shared" si="11"/>
        <v>0</v>
      </c>
      <c r="AA776" s="27" t="str">
        <f t="shared" si="12"/>
        <v/>
      </c>
      <c r="AB776" s="1" t="str">
        <f t="array" ref="AB776">IFERROR(INDEX('Исходник'!$1:$626,MATCH($A776,'Исходник'!$T:$T,0),MATCH(AB$1,'Исходник'!$1:$1,0)))</f>
        <v/>
      </c>
      <c r="AC776" s="1" t="str">
        <f t="array" ref="AC776">IFERROR(INDEX('Исходник'!$1:$626,MATCH($A776,'Исходник'!$T:$T,0),MATCH(AC$1,'Исходник'!$1:$1,0)))</f>
        <v/>
      </c>
      <c r="AD776" s="27" t="str">
        <f t="shared" si="13"/>
        <v/>
      </c>
      <c r="AE776" s="1" t="str">
        <f t="array" ref="AE776">IFERROR(INDEX('Исходник'!$1:$626,MATCH($A776,'Исходник'!$T:$T,0),MATCH(AE$1,'Исходник'!$1:$1,0)))</f>
        <v/>
      </c>
      <c r="AF776" s="1" t="str">
        <f t="array" ref="AF776">IFERROR(INDEX('Исходник'!$1:$626,MATCH($A776,'Исходник'!$T:$T,0),MATCH(AF$1,'Исходник'!$1:$1,0)))</f>
        <v/>
      </c>
      <c r="AG776" s="27" t="str">
        <f t="shared" si="14"/>
        <v/>
      </c>
      <c r="AH776" s="1" t="str">
        <f t="array" ref="AH776">IFERROR(INDEX('Исходник'!$1:$626,MATCH($A776,'Исходник'!$T:$T,0),MATCH(AH$1,'Исходник'!$1:$1,0)))</f>
        <v/>
      </c>
      <c r="AI776" s="1" t="str">
        <f t="array" ref="AI776">IFERROR(INDEX('Исходник'!$1:$626,MATCH($A776,'Исходник'!$T:$T,0),MATCH(AI$1,'Исходник'!$1:$1,0)))</f>
        <v/>
      </c>
      <c r="AJ776" s="18">
        <f t="shared" si="15"/>
        <v>0</v>
      </c>
    </row>
    <row r="777" ht="15.75" customHeight="1">
      <c r="A777" s="27"/>
      <c r="B777" s="1" t="str">
        <f t="array" ref="B777">IFERROR(INDEX('Исходник'!$1:$626,MATCH($A777,'Исходник'!$T:$T,0),MATCH(B$1,'Исходник'!$1:$1,0)))</f>
        <v/>
      </c>
      <c r="C777" s="1" t="str">
        <f t="array" ref="C777">IFERROR(INDEX('Исходник'!$1:$626,MATCH($A777,'Исходник'!$T:$T,0),MATCH(C$1,'Исходник'!$1:$1,0)))</f>
        <v/>
      </c>
      <c r="D777" s="1" t="str">
        <f t="array" ref="D777">IFERROR(INDEX('Исходник'!$1:$626,MATCH($A777,'Исходник'!$T:$T,0),MATCH(D$1,'Исходник'!$1:$1,0)))</f>
        <v/>
      </c>
      <c r="E777" s="1" t="str">
        <f t="array" ref="E777">IFERROR(INDEX('Исходник'!$1:$626,MATCH($A777,'Исходник'!$T:$T,0),MATCH(E$1,'Исходник'!$1:$1,0)))</f>
        <v/>
      </c>
      <c r="F777" s="1" t="str">
        <f t="array" ref="F777">IFERROR(INDEX('Исходник'!$1:$626,MATCH($A777,'Исходник'!$T:$T,0),MATCH(F$1,'Исходник'!$1:$1,0)))</f>
        <v/>
      </c>
      <c r="G777" s="1" t="str">
        <f t="array" ref="G777">IFERROR(INDEX('Исходник'!$1:$626,MATCH($A777,'Исходник'!$T:$T,0),MATCH(G$1,'Исходник'!$1:$1,0)))</f>
        <v/>
      </c>
      <c r="H777" s="27">
        <f t="shared" si="1"/>
        <v>0</v>
      </c>
      <c r="I777" s="27" t="str">
        <f t="shared" si="2"/>
        <v/>
      </c>
      <c r="J777" s="1" t="str">
        <f t="array" ref="J777">IFERROR(INDEX('Исходник'!$1:$626,MATCH($A777,'Исходник'!$T:$T,0),MATCH(J$1,'Исходник'!$1:$1,0)))</f>
        <v/>
      </c>
      <c r="K777" s="27" t="str">
        <f t="shared" si="3"/>
        <v/>
      </c>
      <c r="L777" s="1" t="str">
        <f t="array" ref="L777">IFERROR(INDEX('Исходник'!$1:$626,MATCH($A777,'Исходник'!$T:$T,0),MATCH(L$1,'Исходник'!$1:$1,0)))</f>
        <v/>
      </c>
      <c r="M777" s="28">
        <f t="shared" si="4"/>
        <v>0</v>
      </c>
      <c r="N777" s="1" t="str">
        <f t="array" ref="N777">IFERROR(INDEX('Исходник'!$1:$626,MATCH($A777,'Исходник'!$T:$T,0),MATCH(N$1,'Исходник'!$1:$1,0)))</f>
        <v/>
      </c>
      <c r="O777" s="27">
        <f t="shared" si="5"/>
        <v>0</v>
      </c>
      <c r="P777" s="27" t="str">
        <f t="shared" si="6"/>
        <v/>
      </c>
      <c r="Q777" s="1" t="str">
        <f t="array" ref="Q777">IFERROR(INDEX('Исходник'!$1:$626,MATCH($A777,'Исходник'!$T:$T,0),MATCH(Q$1,'Исходник'!$1:$1,0)))</f>
        <v/>
      </c>
      <c r="R777" s="1" t="str">
        <f t="array" ref="R777">IFERROR(INDEX('Исходник'!$1:$626,MATCH($A777,'Исходник'!$T:$T,0),MATCH(R$1,'Исходник'!$1:$1,0)))</f>
        <v/>
      </c>
      <c r="S777" s="27">
        <f t="shared" si="7"/>
        <v>0</v>
      </c>
      <c r="T777" s="27" t="str">
        <f t="shared" si="8"/>
        <v/>
      </c>
      <c r="U777" s="1" t="str">
        <f t="array" ref="U777">IFERROR(INDEX('Исходник'!$1:$626,MATCH($A777,'Исходник'!$T:$T,0),MATCH(U$1,'Исходник'!$1:$1,0)))</f>
        <v/>
      </c>
      <c r="V777" s="27" t="str">
        <f t="shared" si="9"/>
        <v/>
      </c>
      <c r="W777" s="1" t="str">
        <f t="array" ref="W777">IFERROR(INDEX('Исходник'!$1:$626,MATCH($A777,'Исходник'!$T:$T,0),MATCH(W$1,'Исходник'!$1:$1,0)))</f>
        <v/>
      </c>
      <c r="X777" s="28">
        <f t="shared" si="10"/>
        <v>0</v>
      </c>
      <c r="Y777" s="1" t="str">
        <f t="array" ref="Y777">IFERROR(INDEX('Исходник'!$1:$626,MATCH($A777,'Исходник'!$T:$T,0),MATCH(Y$1,'Исходник'!$1:$1,0)))</f>
        <v/>
      </c>
      <c r="Z777" s="27">
        <f t="shared" si="11"/>
        <v>0</v>
      </c>
      <c r="AA777" s="27" t="str">
        <f t="shared" si="12"/>
        <v/>
      </c>
      <c r="AB777" s="1" t="str">
        <f t="array" ref="AB777">IFERROR(INDEX('Исходник'!$1:$626,MATCH($A777,'Исходник'!$T:$T,0),MATCH(AB$1,'Исходник'!$1:$1,0)))</f>
        <v/>
      </c>
      <c r="AC777" s="1" t="str">
        <f t="array" ref="AC777">IFERROR(INDEX('Исходник'!$1:$626,MATCH($A777,'Исходник'!$T:$T,0),MATCH(AC$1,'Исходник'!$1:$1,0)))</f>
        <v/>
      </c>
      <c r="AD777" s="27" t="str">
        <f t="shared" si="13"/>
        <v/>
      </c>
      <c r="AE777" s="1" t="str">
        <f t="array" ref="AE777">IFERROR(INDEX('Исходник'!$1:$626,MATCH($A777,'Исходник'!$T:$T,0),MATCH(AE$1,'Исходник'!$1:$1,0)))</f>
        <v/>
      </c>
      <c r="AF777" s="1" t="str">
        <f t="array" ref="AF777">IFERROR(INDEX('Исходник'!$1:$626,MATCH($A777,'Исходник'!$T:$T,0),MATCH(AF$1,'Исходник'!$1:$1,0)))</f>
        <v/>
      </c>
      <c r="AG777" s="27" t="str">
        <f t="shared" si="14"/>
        <v/>
      </c>
      <c r="AH777" s="1" t="str">
        <f t="array" ref="AH777">IFERROR(INDEX('Исходник'!$1:$626,MATCH($A777,'Исходник'!$T:$T,0),MATCH(AH$1,'Исходник'!$1:$1,0)))</f>
        <v/>
      </c>
      <c r="AI777" s="1" t="str">
        <f t="array" ref="AI777">IFERROR(INDEX('Исходник'!$1:$626,MATCH($A777,'Исходник'!$T:$T,0),MATCH(AI$1,'Исходник'!$1:$1,0)))</f>
        <v/>
      </c>
      <c r="AJ777" s="18">
        <f t="shared" si="15"/>
        <v>0</v>
      </c>
    </row>
    <row r="778" ht="15.75" customHeight="1">
      <c r="A778" s="27"/>
      <c r="B778" s="1" t="str">
        <f t="array" ref="B778">IFERROR(INDEX('Исходник'!$1:$626,MATCH($A778,'Исходник'!$T:$T,0),MATCH(B$1,'Исходник'!$1:$1,0)))</f>
        <v/>
      </c>
      <c r="C778" s="1" t="str">
        <f t="array" ref="C778">IFERROR(INDEX('Исходник'!$1:$626,MATCH($A778,'Исходник'!$T:$T,0),MATCH(C$1,'Исходник'!$1:$1,0)))</f>
        <v/>
      </c>
      <c r="D778" s="1" t="str">
        <f t="array" ref="D778">IFERROR(INDEX('Исходник'!$1:$626,MATCH($A778,'Исходник'!$T:$T,0),MATCH(D$1,'Исходник'!$1:$1,0)))</f>
        <v/>
      </c>
      <c r="E778" s="1" t="str">
        <f t="array" ref="E778">IFERROR(INDEX('Исходник'!$1:$626,MATCH($A778,'Исходник'!$T:$T,0),MATCH(E$1,'Исходник'!$1:$1,0)))</f>
        <v/>
      </c>
      <c r="F778" s="1" t="str">
        <f t="array" ref="F778">IFERROR(INDEX('Исходник'!$1:$626,MATCH($A778,'Исходник'!$T:$T,0),MATCH(F$1,'Исходник'!$1:$1,0)))</f>
        <v/>
      </c>
      <c r="G778" s="1" t="str">
        <f t="array" ref="G778">IFERROR(INDEX('Исходник'!$1:$626,MATCH($A778,'Исходник'!$T:$T,0),MATCH(G$1,'Исходник'!$1:$1,0)))</f>
        <v/>
      </c>
      <c r="H778" s="27">
        <f t="shared" si="1"/>
        <v>0</v>
      </c>
      <c r="I778" s="27" t="str">
        <f t="shared" si="2"/>
        <v/>
      </c>
      <c r="J778" s="1" t="str">
        <f t="array" ref="J778">IFERROR(INDEX('Исходник'!$1:$626,MATCH($A778,'Исходник'!$T:$T,0),MATCH(J$1,'Исходник'!$1:$1,0)))</f>
        <v/>
      </c>
      <c r="K778" s="27" t="str">
        <f t="shared" si="3"/>
        <v/>
      </c>
      <c r="L778" s="1" t="str">
        <f t="array" ref="L778">IFERROR(INDEX('Исходник'!$1:$626,MATCH($A778,'Исходник'!$T:$T,0),MATCH(L$1,'Исходник'!$1:$1,0)))</f>
        <v/>
      </c>
      <c r="M778" s="28">
        <f t="shared" si="4"/>
        <v>0</v>
      </c>
      <c r="N778" s="1" t="str">
        <f t="array" ref="N778">IFERROR(INDEX('Исходник'!$1:$626,MATCH($A778,'Исходник'!$T:$T,0),MATCH(N$1,'Исходник'!$1:$1,0)))</f>
        <v/>
      </c>
      <c r="O778" s="27">
        <f t="shared" si="5"/>
        <v>0</v>
      </c>
      <c r="P778" s="27" t="str">
        <f t="shared" si="6"/>
        <v/>
      </c>
      <c r="Q778" s="1" t="str">
        <f t="array" ref="Q778">IFERROR(INDEX('Исходник'!$1:$626,MATCH($A778,'Исходник'!$T:$T,0),MATCH(Q$1,'Исходник'!$1:$1,0)))</f>
        <v/>
      </c>
      <c r="R778" s="1" t="str">
        <f t="array" ref="R778">IFERROR(INDEX('Исходник'!$1:$626,MATCH($A778,'Исходник'!$T:$T,0),MATCH(R$1,'Исходник'!$1:$1,0)))</f>
        <v/>
      </c>
      <c r="S778" s="27">
        <f t="shared" si="7"/>
        <v>0</v>
      </c>
      <c r="T778" s="27" t="str">
        <f t="shared" si="8"/>
        <v/>
      </c>
      <c r="U778" s="1" t="str">
        <f t="array" ref="U778">IFERROR(INDEX('Исходник'!$1:$626,MATCH($A778,'Исходник'!$T:$T,0),MATCH(U$1,'Исходник'!$1:$1,0)))</f>
        <v/>
      </c>
      <c r="V778" s="27" t="str">
        <f t="shared" si="9"/>
        <v/>
      </c>
      <c r="W778" s="1" t="str">
        <f t="array" ref="W778">IFERROR(INDEX('Исходник'!$1:$626,MATCH($A778,'Исходник'!$T:$T,0),MATCH(W$1,'Исходник'!$1:$1,0)))</f>
        <v/>
      </c>
      <c r="X778" s="28">
        <f t="shared" si="10"/>
        <v>0</v>
      </c>
      <c r="Y778" s="1" t="str">
        <f t="array" ref="Y778">IFERROR(INDEX('Исходник'!$1:$626,MATCH($A778,'Исходник'!$T:$T,0),MATCH(Y$1,'Исходник'!$1:$1,0)))</f>
        <v/>
      </c>
      <c r="Z778" s="27">
        <f t="shared" si="11"/>
        <v>0</v>
      </c>
      <c r="AA778" s="27" t="str">
        <f t="shared" si="12"/>
        <v/>
      </c>
      <c r="AB778" s="1" t="str">
        <f t="array" ref="AB778">IFERROR(INDEX('Исходник'!$1:$626,MATCH($A778,'Исходник'!$T:$T,0),MATCH(AB$1,'Исходник'!$1:$1,0)))</f>
        <v/>
      </c>
      <c r="AC778" s="1" t="str">
        <f t="array" ref="AC778">IFERROR(INDEX('Исходник'!$1:$626,MATCH($A778,'Исходник'!$T:$T,0),MATCH(AC$1,'Исходник'!$1:$1,0)))</f>
        <v/>
      </c>
      <c r="AD778" s="27" t="str">
        <f t="shared" si="13"/>
        <v/>
      </c>
      <c r="AE778" s="1" t="str">
        <f t="array" ref="AE778">IFERROR(INDEX('Исходник'!$1:$626,MATCH($A778,'Исходник'!$T:$T,0),MATCH(AE$1,'Исходник'!$1:$1,0)))</f>
        <v/>
      </c>
      <c r="AF778" s="1" t="str">
        <f t="array" ref="AF778">IFERROR(INDEX('Исходник'!$1:$626,MATCH($A778,'Исходник'!$T:$T,0),MATCH(AF$1,'Исходник'!$1:$1,0)))</f>
        <v/>
      </c>
      <c r="AG778" s="27" t="str">
        <f t="shared" si="14"/>
        <v/>
      </c>
      <c r="AH778" s="1" t="str">
        <f t="array" ref="AH778">IFERROR(INDEX('Исходник'!$1:$626,MATCH($A778,'Исходник'!$T:$T,0),MATCH(AH$1,'Исходник'!$1:$1,0)))</f>
        <v/>
      </c>
      <c r="AI778" s="1" t="str">
        <f t="array" ref="AI778">IFERROR(INDEX('Исходник'!$1:$626,MATCH($A778,'Исходник'!$T:$T,0),MATCH(AI$1,'Исходник'!$1:$1,0)))</f>
        <v/>
      </c>
      <c r="AJ778" s="18">
        <f t="shared" si="15"/>
        <v>0</v>
      </c>
    </row>
    <row r="779" ht="15.75" customHeight="1">
      <c r="A779" s="27"/>
      <c r="B779" s="1" t="str">
        <f t="array" ref="B779">IFERROR(INDEX('Исходник'!$1:$626,MATCH($A779,'Исходник'!$T:$T,0),MATCH(B$1,'Исходник'!$1:$1,0)))</f>
        <v/>
      </c>
      <c r="C779" s="1" t="str">
        <f t="array" ref="C779">IFERROR(INDEX('Исходник'!$1:$626,MATCH($A779,'Исходник'!$T:$T,0),MATCH(C$1,'Исходник'!$1:$1,0)))</f>
        <v/>
      </c>
      <c r="D779" s="1" t="str">
        <f t="array" ref="D779">IFERROR(INDEX('Исходник'!$1:$626,MATCH($A779,'Исходник'!$T:$T,0),MATCH(D$1,'Исходник'!$1:$1,0)))</f>
        <v/>
      </c>
      <c r="E779" s="1" t="str">
        <f t="array" ref="E779">IFERROR(INDEX('Исходник'!$1:$626,MATCH($A779,'Исходник'!$T:$T,0),MATCH(E$1,'Исходник'!$1:$1,0)))</f>
        <v/>
      </c>
      <c r="F779" s="1" t="str">
        <f t="array" ref="F779">IFERROR(INDEX('Исходник'!$1:$626,MATCH($A779,'Исходник'!$T:$T,0),MATCH(F$1,'Исходник'!$1:$1,0)))</f>
        <v/>
      </c>
      <c r="G779" s="1" t="str">
        <f t="array" ref="G779">IFERROR(INDEX('Исходник'!$1:$626,MATCH($A779,'Исходник'!$T:$T,0),MATCH(G$1,'Исходник'!$1:$1,0)))</f>
        <v/>
      </c>
      <c r="H779" s="27">
        <f t="shared" si="1"/>
        <v>0</v>
      </c>
      <c r="I779" s="27" t="str">
        <f t="shared" si="2"/>
        <v/>
      </c>
      <c r="J779" s="1" t="str">
        <f t="array" ref="J779">IFERROR(INDEX('Исходник'!$1:$626,MATCH($A779,'Исходник'!$T:$T,0),MATCH(J$1,'Исходник'!$1:$1,0)))</f>
        <v/>
      </c>
      <c r="K779" s="27" t="str">
        <f t="shared" si="3"/>
        <v/>
      </c>
      <c r="L779" s="1" t="str">
        <f t="array" ref="L779">IFERROR(INDEX('Исходник'!$1:$626,MATCH($A779,'Исходник'!$T:$T,0),MATCH(L$1,'Исходник'!$1:$1,0)))</f>
        <v/>
      </c>
      <c r="M779" s="28">
        <f t="shared" si="4"/>
        <v>0</v>
      </c>
      <c r="N779" s="1" t="str">
        <f t="array" ref="N779">IFERROR(INDEX('Исходник'!$1:$626,MATCH($A779,'Исходник'!$T:$T,0),MATCH(N$1,'Исходник'!$1:$1,0)))</f>
        <v/>
      </c>
      <c r="O779" s="27">
        <f t="shared" si="5"/>
        <v>0</v>
      </c>
      <c r="P779" s="27" t="str">
        <f t="shared" si="6"/>
        <v/>
      </c>
      <c r="Q779" s="1" t="str">
        <f t="array" ref="Q779">IFERROR(INDEX('Исходник'!$1:$626,MATCH($A779,'Исходник'!$T:$T,0),MATCH(Q$1,'Исходник'!$1:$1,0)))</f>
        <v/>
      </c>
      <c r="R779" s="1" t="str">
        <f t="array" ref="R779">IFERROR(INDEX('Исходник'!$1:$626,MATCH($A779,'Исходник'!$T:$T,0),MATCH(R$1,'Исходник'!$1:$1,0)))</f>
        <v/>
      </c>
      <c r="S779" s="27">
        <f t="shared" si="7"/>
        <v>0</v>
      </c>
      <c r="T779" s="27" t="str">
        <f t="shared" si="8"/>
        <v/>
      </c>
      <c r="U779" s="1" t="str">
        <f t="array" ref="U779">IFERROR(INDEX('Исходник'!$1:$626,MATCH($A779,'Исходник'!$T:$T,0),MATCH(U$1,'Исходник'!$1:$1,0)))</f>
        <v/>
      </c>
      <c r="V779" s="27" t="str">
        <f t="shared" si="9"/>
        <v/>
      </c>
      <c r="W779" s="1" t="str">
        <f t="array" ref="W779">IFERROR(INDEX('Исходник'!$1:$626,MATCH($A779,'Исходник'!$T:$T,0),MATCH(W$1,'Исходник'!$1:$1,0)))</f>
        <v/>
      </c>
      <c r="X779" s="28">
        <f t="shared" si="10"/>
        <v>0</v>
      </c>
      <c r="Y779" s="1" t="str">
        <f t="array" ref="Y779">IFERROR(INDEX('Исходник'!$1:$626,MATCH($A779,'Исходник'!$T:$T,0),MATCH(Y$1,'Исходник'!$1:$1,0)))</f>
        <v/>
      </c>
      <c r="Z779" s="27">
        <f t="shared" si="11"/>
        <v>0</v>
      </c>
      <c r="AA779" s="27" t="str">
        <f t="shared" si="12"/>
        <v/>
      </c>
      <c r="AB779" s="1" t="str">
        <f t="array" ref="AB779">IFERROR(INDEX('Исходник'!$1:$626,MATCH($A779,'Исходник'!$T:$T,0),MATCH(AB$1,'Исходник'!$1:$1,0)))</f>
        <v/>
      </c>
      <c r="AC779" s="1" t="str">
        <f t="array" ref="AC779">IFERROR(INDEX('Исходник'!$1:$626,MATCH($A779,'Исходник'!$T:$T,0),MATCH(AC$1,'Исходник'!$1:$1,0)))</f>
        <v/>
      </c>
      <c r="AD779" s="27" t="str">
        <f t="shared" si="13"/>
        <v/>
      </c>
      <c r="AE779" s="1" t="str">
        <f t="array" ref="AE779">IFERROR(INDEX('Исходник'!$1:$626,MATCH($A779,'Исходник'!$T:$T,0),MATCH(AE$1,'Исходник'!$1:$1,0)))</f>
        <v/>
      </c>
      <c r="AF779" s="1" t="str">
        <f t="array" ref="AF779">IFERROR(INDEX('Исходник'!$1:$626,MATCH($A779,'Исходник'!$T:$T,0),MATCH(AF$1,'Исходник'!$1:$1,0)))</f>
        <v/>
      </c>
      <c r="AG779" s="27" t="str">
        <f t="shared" si="14"/>
        <v/>
      </c>
      <c r="AH779" s="1" t="str">
        <f t="array" ref="AH779">IFERROR(INDEX('Исходник'!$1:$626,MATCH($A779,'Исходник'!$T:$T,0),MATCH(AH$1,'Исходник'!$1:$1,0)))</f>
        <v/>
      </c>
      <c r="AI779" s="1" t="str">
        <f t="array" ref="AI779">IFERROR(INDEX('Исходник'!$1:$626,MATCH($A779,'Исходник'!$T:$T,0),MATCH(AI$1,'Исходник'!$1:$1,0)))</f>
        <v/>
      </c>
      <c r="AJ779" s="18">
        <f t="shared" si="15"/>
        <v>0</v>
      </c>
    </row>
    <row r="780" ht="15.75" customHeight="1">
      <c r="A780" s="27"/>
      <c r="B780" s="1" t="str">
        <f t="array" ref="B780">IFERROR(INDEX('Исходник'!$1:$626,MATCH($A780,'Исходник'!$T:$T,0),MATCH(B$1,'Исходник'!$1:$1,0)))</f>
        <v/>
      </c>
      <c r="C780" s="1" t="str">
        <f t="array" ref="C780">IFERROR(INDEX('Исходник'!$1:$626,MATCH($A780,'Исходник'!$T:$T,0),MATCH(C$1,'Исходник'!$1:$1,0)))</f>
        <v/>
      </c>
      <c r="D780" s="1" t="str">
        <f t="array" ref="D780">IFERROR(INDEX('Исходник'!$1:$626,MATCH($A780,'Исходник'!$T:$T,0),MATCH(D$1,'Исходник'!$1:$1,0)))</f>
        <v/>
      </c>
      <c r="E780" s="1" t="str">
        <f t="array" ref="E780">IFERROR(INDEX('Исходник'!$1:$626,MATCH($A780,'Исходник'!$T:$T,0),MATCH(E$1,'Исходник'!$1:$1,0)))</f>
        <v/>
      </c>
      <c r="F780" s="1" t="str">
        <f t="array" ref="F780">IFERROR(INDEX('Исходник'!$1:$626,MATCH($A780,'Исходник'!$T:$T,0),MATCH(F$1,'Исходник'!$1:$1,0)))</f>
        <v/>
      </c>
      <c r="G780" s="1" t="str">
        <f t="array" ref="G780">IFERROR(INDEX('Исходник'!$1:$626,MATCH($A780,'Исходник'!$T:$T,0),MATCH(G$1,'Исходник'!$1:$1,0)))</f>
        <v/>
      </c>
      <c r="H780" s="27">
        <f t="shared" si="1"/>
        <v>0</v>
      </c>
      <c r="I780" s="27" t="str">
        <f t="shared" si="2"/>
        <v/>
      </c>
      <c r="J780" s="1" t="str">
        <f t="array" ref="J780">IFERROR(INDEX('Исходник'!$1:$626,MATCH($A780,'Исходник'!$T:$T,0),MATCH(J$1,'Исходник'!$1:$1,0)))</f>
        <v/>
      </c>
      <c r="K780" s="27" t="str">
        <f t="shared" si="3"/>
        <v/>
      </c>
      <c r="L780" s="1" t="str">
        <f t="array" ref="L780">IFERROR(INDEX('Исходник'!$1:$626,MATCH($A780,'Исходник'!$T:$T,0),MATCH(L$1,'Исходник'!$1:$1,0)))</f>
        <v/>
      </c>
      <c r="M780" s="28">
        <f t="shared" si="4"/>
        <v>0</v>
      </c>
      <c r="N780" s="1" t="str">
        <f t="array" ref="N780">IFERROR(INDEX('Исходник'!$1:$626,MATCH($A780,'Исходник'!$T:$T,0),MATCH(N$1,'Исходник'!$1:$1,0)))</f>
        <v/>
      </c>
      <c r="O780" s="27">
        <f t="shared" si="5"/>
        <v>0</v>
      </c>
      <c r="P780" s="27" t="str">
        <f t="shared" si="6"/>
        <v/>
      </c>
      <c r="Q780" s="1" t="str">
        <f t="array" ref="Q780">IFERROR(INDEX('Исходник'!$1:$626,MATCH($A780,'Исходник'!$T:$T,0),MATCH(Q$1,'Исходник'!$1:$1,0)))</f>
        <v/>
      </c>
      <c r="R780" s="1" t="str">
        <f t="array" ref="R780">IFERROR(INDEX('Исходник'!$1:$626,MATCH($A780,'Исходник'!$T:$T,0),MATCH(R$1,'Исходник'!$1:$1,0)))</f>
        <v/>
      </c>
      <c r="S780" s="27">
        <f t="shared" si="7"/>
        <v>0</v>
      </c>
      <c r="T780" s="27" t="str">
        <f t="shared" si="8"/>
        <v/>
      </c>
      <c r="U780" s="1" t="str">
        <f t="array" ref="U780">IFERROR(INDEX('Исходник'!$1:$626,MATCH($A780,'Исходник'!$T:$T,0),MATCH(U$1,'Исходник'!$1:$1,0)))</f>
        <v/>
      </c>
      <c r="V780" s="27" t="str">
        <f t="shared" si="9"/>
        <v/>
      </c>
      <c r="W780" s="1" t="str">
        <f t="array" ref="W780">IFERROR(INDEX('Исходник'!$1:$626,MATCH($A780,'Исходник'!$T:$T,0),MATCH(W$1,'Исходник'!$1:$1,0)))</f>
        <v/>
      </c>
      <c r="X780" s="28">
        <f t="shared" si="10"/>
        <v>0</v>
      </c>
      <c r="Y780" s="1" t="str">
        <f t="array" ref="Y780">IFERROR(INDEX('Исходник'!$1:$626,MATCH($A780,'Исходник'!$T:$T,0),MATCH(Y$1,'Исходник'!$1:$1,0)))</f>
        <v/>
      </c>
      <c r="Z780" s="27">
        <f t="shared" si="11"/>
        <v>0</v>
      </c>
      <c r="AA780" s="27" t="str">
        <f t="shared" si="12"/>
        <v/>
      </c>
      <c r="AB780" s="1" t="str">
        <f t="array" ref="AB780">IFERROR(INDEX('Исходник'!$1:$626,MATCH($A780,'Исходник'!$T:$T,0),MATCH(AB$1,'Исходник'!$1:$1,0)))</f>
        <v/>
      </c>
      <c r="AC780" s="1" t="str">
        <f t="array" ref="AC780">IFERROR(INDEX('Исходник'!$1:$626,MATCH($A780,'Исходник'!$T:$T,0),MATCH(AC$1,'Исходник'!$1:$1,0)))</f>
        <v/>
      </c>
      <c r="AD780" s="27" t="str">
        <f t="shared" si="13"/>
        <v/>
      </c>
      <c r="AE780" s="1" t="str">
        <f t="array" ref="AE780">IFERROR(INDEX('Исходник'!$1:$626,MATCH($A780,'Исходник'!$T:$T,0),MATCH(AE$1,'Исходник'!$1:$1,0)))</f>
        <v/>
      </c>
      <c r="AF780" s="1" t="str">
        <f t="array" ref="AF780">IFERROR(INDEX('Исходник'!$1:$626,MATCH($A780,'Исходник'!$T:$T,0),MATCH(AF$1,'Исходник'!$1:$1,0)))</f>
        <v/>
      </c>
      <c r="AG780" s="27" t="str">
        <f t="shared" si="14"/>
        <v/>
      </c>
      <c r="AH780" s="1" t="str">
        <f t="array" ref="AH780">IFERROR(INDEX('Исходник'!$1:$626,MATCH($A780,'Исходник'!$T:$T,0),MATCH(AH$1,'Исходник'!$1:$1,0)))</f>
        <v/>
      </c>
      <c r="AI780" s="1" t="str">
        <f t="array" ref="AI780">IFERROR(INDEX('Исходник'!$1:$626,MATCH($A780,'Исходник'!$T:$T,0),MATCH(AI$1,'Исходник'!$1:$1,0)))</f>
        <v/>
      </c>
      <c r="AJ780" s="18">
        <f t="shared" si="15"/>
        <v>0</v>
      </c>
    </row>
    <row r="781" ht="15.75" customHeight="1">
      <c r="A781" s="27"/>
      <c r="B781" s="1" t="str">
        <f t="array" ref="B781">IFERROR(INDEX('Исходник'!$1:$626,MATCH($A781,'Исходник'!$T:$T,0),MATCH(B$1,'Исходник'!$1:$1,0)))</f>
        <v/>
      </c>
      <c r="C781" s="1" t="str">
        <f t="array" ref="C781">IFERROR(INDEX('Исходник'!$1:$626,MATCH($A781,'Исходник'!$T:$T,0),MATCH(C$1,'Исходник'!$1:$1,0)))</f>
        <v/>
      </c>
      <c r="D781" s="1" t="str">
        <f t="array" ref="D781">IFERROR(INDEX('Исходник'!$1:$626,MATCH($A781,'Исходник'!$T:$T,0),MATCH(D$1,'Исходник'!$1:$1,0)))</f>
        <v/>
      </c>
      <c r="E781" s="1" t="str">
        <f t="array" ref="E781">IFERROR(INDEX('Исходник'!$1:$626,MATCH($A781,'Исходник'!$T:$T,0),MATCH(E$1,'Исходник'!$1:$1,0)))</f>
        <v/>
      </c>
      <c r="F781" s="1" t="str">
        <f t="array" ref="F781">IFERROR(INDEX('Исходник'!$1:$626,MATCH($A781,'Исходник'!$T:$T,0),MATCH(F$1,'Исходник'!$1:$1,0)))</f>
        <v/>
      </c>
      <c r="G781" s="1" t="str">
        <f t="array" ref="G781">IFERROR(INDEX('Исходник'!$1:$626,MATCH($A781,'Исходник'!$T:$T,0),MATCH(G$1,'Исходник'!$1:$1,0)))</f>
        <v/>
      </c>
      <c r="H781" s="27">
        <f t="shared" si="1"/>
        <v>0</v>
      </c>
      <c r="I781" s="27" t="str">
        <f t="shared" si="2"/>
        <v/>
      </c>
      <c r="J781" s="1" t="str">
        <f t="array" ref="J781">IFERROR(INDEX('Исходник'!$1:$626,MATCH($A781,'Исходник'!$T:$T,0),MATCH(J$1,'Исходник'!$1:$1,0)))</f>
        <v/>
      </c>
      <c r="K781" s="27" t="str">
        <f t="shared" si="3"/>
        <v/>
      </c>
      <c r="L781" s="1" t="str">
        <f t="array" ref="L781">IFERROR(INDEX('Исходник'!$1:$626,MATCH($A781,'Исходник'!$T:$T,0),MATCH(L$1,'Исходник'!$1:$1,0)))</f>
        <v/>
      </c>
      <c r="M781" s="28">
        <f t="shared" si="4"/>
        <v>0</v>
      </c>
      <c r="N781" s="1" t="str">
        <f t="array" ref="N781">IFERROR(INDEX('Исходник'!$1:$626,MATCH($A781,'Исходник'!$T:$T,0),MATCH(N$1,'Исходник'!$1:$1,0)))</f>
        <v/>
      </c>
      <c r="O781" s="27">
        <f t="shared" si="5"/>
        <v>0</v>
      </c>
      <c r="P781" s="27" t="str">
        <f t="shared" si="6"/>
        <v/>
      </c>
      <c r="Q781" s="1" t="str">
        <f t="array" ref="Q781">IFERROR(INDEX('Исходник'!$1:$626,MATCH($A781,'Исходник'!$T:$T,0),MATCH(Q$1,'Исходник'!$1:$1,0)))</f>
        <v/>
      </c>
      <c r="R781" s="1" t="str">
        <f t="array" ref="R781">IFERROR(INDEX('Исходник'!$1:$626,MATCH($A781,'Исходник'!$T:$T,0),MATCH(R$1,'Исходник'!$1:$1,0)))</f>
        <v/>
      </c>
      <c r="S781" s="27">
        <f t="shared" si="7"/>
        <v>0</v>
      </c>
      <c r="T781" s="27" t="str">
        <f t="shared" si="8"/>
        <v/>
      </c>
      <c r="U781" s="1" t="str">
        <f t="array" ref="U781">IFERROR(INDEX('Исходник'!$1:$626,MATCH($A781,'Исходник'!$T:$T,0),MATCH(U$1,'Исходник'!$1:$1,0)))</f>
        <v/>
      </c>
      <c r="V781" s="27" t="str">
        <f t="shared" si="9"/>
        <v/>
      </c>
      <c r="W781" s="1" t="str">
        <f t="array" ref="W781">IFERROR(INDEX('Исходник'!$1:$626,MATCH($A781,'Исходник'!$T:$T,0),MATCH(W$1,'Исходник'!$1:$1,0)))</f>
        <v/>
      </c>
      <c r="X781" s="28">
        <f t="shared" si="10"/>
        <v>0</v>
      </c>
      <c r="Y781" s="1" t="str">
        <f t="array" ref="Y781">IFERROR(INDEX('Исходник'!$1:$626,MATCH($A781,'Исходник'!$T:$T,0),MATCH(Y$1,'Исходник'!$1:$1,0)))</f>
        <v/>
      </c>
      <c r="Z781" s="27">
        <f t="shared" si="11"/>
        <v>0</v>
      </c>
      <c r="AA781" s="27" t="str">
        <f t="shared" si="12"/>
        <v/>
      </c>
      <c r="AB781" s="1" t="str">
        <f t="array" ref="AB781">IFERROR(INDEX('Исходник'!$1:$626,MATCH($A781,'Исходник'!$T:$T,0),MATCH(AB$1,'Исходник'!$1:$1,0)))</f>
        <v/>
      </c>
      <c r="AC781" s="1" t="str">
        <f t="array" ref="AC781">IFERROR(INDEX('Исходник'!$1:$626,MATCH($A781,'Исходник'!$T:$T,0),MATCH(AC$1,'Исходник'!$1:$1,0)))</f>
        <v/>
      </c>
      <c r="AD781" s="27" t="str">
        <f t="shared" si="13"/>
        <v/>
      </c>
      <c r="AE781" s="1" t="str">
        <f t="array" ref="AE781">IFERROR(INDEX('Исходник'!$1:$626,MATCH($A781,'Исходник'!$T:$T,0),MATCH(AE$1,'Исходник'!$1:$1,0)))</f>
        <v/>
      </c>
      <c r="AF781" s="1" t="str">
        <f t="array" ref="AF781">IFERROR(INDEX('Исходник'!$1:$626,MATCH($A781,'Исходник'!$T:$T,0),MATCH(AF$1,'Исходник'!$1:$1,0)))</f>
        <v/>
      </c>
      <c r="AG781" s="27" t="str">
        <f t="shared" si="14"/>
        <v/>
      </c>
      <c r="AH781" s="1" t="str">
        <f t="array" ref="AH781">IFERROR(INDEX('Исходник'!$1:$626,MATCH($A781,'Исходник'!$T:$T,0),MATCH(AH$1,'Исходник'!$1:$1,0)))</f>
        <v/>
      </c>
      <c r="AI781" s="1" t="str">
        <f t="array" ref="AI781">IFERROR(INDEX('Исходник'!$1:$626,MATCH($A781,'Исходник'!$T:$T,0),MATCH(AI$1,'Исходник'!$1:$1,0)))</f>
        <v/>
      </c>
      <c r="AJ781" s="18">
        <f t="shared" si="15"/>
        <v>0</v>
      </c>
    </row>
    <row r="782" ht="15.75" customHeight="1">
      <c r="A782" s="27"/>
      <c r="B782" s="1" t="str">
        <f t="array" ref="B782">IFERROR(INDEX('Исходник'!$1:$626,MATCH($A782,'Исходник'!$T:$T,0),MATCH(B$1,'Исходник'!$1:$1,0)))</f>
        <v/>
      </c>
      <c r="C782" s="1" t="str">
        <f t="array" ref="C782">IFERROR(INDEX('Исходник'!$1:$626,MATCH($A782,'Исходник'!$T:$T,0),MATCH(C$1,'Исходник'!$1:$1,0)))</f>
        <v/>
      </c>
      <c r="D782" s="1" t="str">
        <f t="array" ref="D782">IFERROR(INDEX('Исходник'!$1:$626,MATCH($A782,'Исходник'!$T:$T,0),MATCH(D$1,'Исходник'!$1:$1,0)))</f>
        <v/>
      </c>
      <c r="E782" s="1" t="str">
        <f t="array" ref="E782">IFERROR(INDEX('Исходник'!$1:$626,MATCH($A782,'Исходник'!$T:$T,0),MATCH(E$1,'Исходник'!$1:$1,0)))</f>
        <v/>
      </c>
      <c r="F782" s="1" t="str">
        <f t="array" ref="F782">IFERROR(INDEX('Исходник'!$1:$626,MATCH($A782,'Исходник'!$T:$T,0),MATCH(F$1,'Исходник'!$1:$1,0)))</f>
        <v/>
      </c>
      <c r="G782" s="1" t="str">
        <f t="array" ref="G782">IFERROR(INDEX('Исходник'!$1:$626,MATCH($A782,'Исходник'!$T:$T,0),MATCH(G$1,'Исходник'!$1:$1,0)))</f>
        <v/>
      </c>
      <c r="H782" s="27">
        <f t="shared" si="1"/>
        <v>0</v>
      </c>
      <c r="I782" s="27" t="str">
        <f t="shared" si="2"/>
        <v/>
      </c>
      <c r="J782" s="1" t="str">
        <f t="array" ref="J782">IFERROR(INDEX('Исходник'!$1:$626,MATCH($A782,'Исходник'!$T:$T,0),MATCH(J$1,'Исходник'!$1:$1,0)))</f>
        <v/>
      </c>
      <c r="K782" s="27" t="str">
        <f t="shared" si="3"/>
        <v/>
      </c>
      <c r="L782" s="1" t="str">
        <f t="array" ref="L782">IFERROR(INDEX('Исходник'!$1:$626,MATCH($A782,'Исходник'!$T:$T,0),MATCH(L$1,'Исходник'!$1:$1,0)))</f>
        <v/>
      </c>
      <c r="M782" s="28">
        <f t="shared" si="4"/>
        <v>0</v>
      </c>
      <c r="N782" s="1" t="str">
        <f t="array" ref="N782">IFERROR(INDEX('Исходник'!$1:$626,MATCH($A782,'Исходник'!$T:$T,0),MATCH(N$1,'Исходник'!$1:$1,0)))</f>
        <v/>
      </c>
      <c r="O782" s="27">
        <f t="shared" si="5"/>
        <v>0</v>
      </c>
      <c r="P782" s="27" t="str">
        <f t="shared" si="6"/>
        <v/>
      </c>
      <c r="Q782" s="1" t="str">
        <f t="array" ref="Q782">IFERROR(INDEX('Исходник'!$1:$626,MATCH($A782,'Исходник'!$T:$T,0),MATCH(Q$1,'Исходник'!$1:$1,0)))</f>
        <v/>
      </c>
      <c r="R782" s="1" t="str">
        <f t="array" ref="R782">IFERROR(INDEX('Исходник'!$1:$626,MATCH($A782,'Исходник'!$T:$T,0),MATCH(R$1,'Исходник'!$1:$1,0)))</f>
        <v/>
      </c>
      <c r="S782" s="27">
        <f t="shared" si="7"/>
        <v>0</v>
      </c>
      <c r="T782" s="27" t="str">
        <f t="shared" si="8"/>
        <v/>
      </c>
      <c r="U782" s="1" t="str">
        <f t="array" ref="U782">IFERROR(INDEX('Исходник'!$1:$626,MATCH($A782,'Исходник'!$T:$T,0),MATCH(U$1,'Исходник'!$1:$1,0)))</f>
        <v/>
      </c>
      <c r="V782" s="27" t="str">
        <f t="shared" si="9"/>
        <v/>
      </c>
      <c r="W782" s="1" t="str">
        <f t="array" ref="W782">IFERROR(INDEX('Исходник'!$1:$626,MATCH($A782,'Исходник'!$T:$T,0),MATCH(W$1,'Исходник'!$1:$1,0)))</f>
        <v/>
      </c>
      <c r="X782" s="28">
        <f t="shared" si="10"/>
        <v>0</v>
      </c>
      <c r="Y782" s="1" t="str">
        <f t="array" ref="Y782">IFERROR(INDEX('Исходник'!$1:$626,MATCH($A782,'Исходник'!$T:$T,0),MATCH(Y$1,'Исходник'!$1:$1,0)))</f>
        <v/>
      </c>
      <c r="Z782" s="27">
        <f t="shared" si="11"/>
        <v>0</v>
      </c>
      <c r="AA782" s="27" t="str">
        <f t="shared" si="12"/>
        <v/>
      </c>
      <c r="AB782" s="1" t="str">
        <f t="array" ref="AB782">IFERROR(INDEX('Исходник'!$1:$626,MATCH($A782,'Исходник'!$T:$T,0),MATCH(AB$1,'Исходник'!$1:$1,0)))</f>
        <v/>
      </c>
      <c r="AC782" s="1" t="str">
        <f t="array" ref="AC782">IFERROR(INDEX('Исходник'!$1:$626,MATCH($A782,'Исходник'!$T:$T,0),MATCH(AC$1,'Исходник'!$1:$1,0)))</f>
        <v/>
      </c>
      <c r="AD782" s="27" t="str">
        <f t="shared" si="13"/>
        <v/>
      </c>
      <c r="AE782" s="1" t="str">
        <f t="array" ref="AE782">IFERROR(INDEX('Исходник'!$1:$626,MATCH($A782,'Исходник'!$T:$T,0),MATCH(AE$1,'Исходник'!$1:$1,0)))</f>
        <v/>
      </c>
      <c r="AF782" s="1" t="str">
        <f t="array" ref="AF782">IFERROR(INDEX('Исходник'!$1:$626,MATCH($A782,'Исходник'!$T:$T,0),MATCH(AF$1,'Исходник'!$1:$1,0)))</f>
        <v/>
      </c>
      <c r="AG782" s="27" t="str">
        <f t="shared" si="14"/>
        <v/>
      </c>
      <c r="AH782" s="1" t="str">
        <f t="array" ref="AH782">IFERROR(INDEX('Исходник'!$1:$626,MATCH($A782,'Исходник'!$T:$T,0),MATCH(AH$1,'Исходник'!$1:$1,0)))</f>
        <v/>
      </c>
      <c r="AI782" s="1" t="str">
        <f t="array" ref="AI782">IFERROR(INDEX('Исходник'!$1:$626,MATCH($A782,'Исходник'!$T:$T,0),MATCH(AI$1,'Исходник'!$1:$1,0)))</f>
        <v/>
      </c>
      <c r="AJ782" s="18">
        <f t="shared" si="15"/>
        <v>0</v>
      </c>
    </row>
    <row r="783" ht="15.75" customHeight="1">
      <c r="A783" s="27"/>
      <c r="B783" s="1" t="str">
        <f t="array" ref="B783">IFERROR(INDEX('Исходник'!$1:$626,MATCH($A783,'Исходник'!$T:$T,0),MATCH(B$1,'Исходник'!$1:$1,0)))</f>
        <v/>
      </c>
      <c r="C783" s="1" t="str">
        <f t="array" ref="C783">IFERROR(INDEX('Исходник'!$1:$626,MATCH($A783,'Исходник'!$T:$T,0),MATCH(C$1,'Исходник'!$1:$1,0)))</f>
        <v/>
      </c>
      <c r="D783" s="1" t="str">
        <f t="array" ref="D783">IFERROR(INDEX('Исходник'!$1:$626,MATCH($A783,'Исходник'!$T:$T,0),MATCH(D$1,'Исходник'!$1:$1,0)))</f>
        <v/>
      </c>
      <c r="E783" s="1" t="str">
        <f t="array" ref="E783">IFERROR(INDEX('Исходник'!$1:$626,MATCH($A783,'Исходник'!$T:$T,0),MATCH(E$1,'Исходник'!$1:$1,0)))</f>
        <v/>
      </c>
      <c r="F783" s="1" t="str">
        <f t="array" ref="F783">IFERROR(INDEX('Исходник'!$1:$626,MATCH($A783,'Исходник'!$T:$T,0),MATCH(F$1,'Исходник'!$1:$1,0)))</f>
        <v/>
      </c>
      <c r="G783" s="1" t="str">
        <f t="array" ref="G783">IFERROR(INDEX('Исходник'!$1:$626,MATCH($A783,'Исходник'!$T:$T,0),MATCH(G$1,'Исходник'!$1:$1,0)))</f>
        <v/>
      </c>
      <c r="H783" s="27">
        <f t="shared" si="1"/>
        <v>0</v>
      </c>
      <c r="I783" s="27" t="str">
        <f t="shared" si="2"/>
        <v/>
      </c>
      <c r="J783" s="1" t="str">
        <f t="array" ref="J783">IFERROR(INDEX('Исходник'!$1:$626,MATCH($A783,'Исходник'!$T:$T,0),MATCH(J$1,'Исходник'!$1:$1,0)))</f>
        <v/>
      </c>
      <c r="K783" s="27" t="str">
        <f t="shared" si="3"/>
        <v/>
      </c>
      <c r="L783" s="1" t="str">
        <f t="array" ref="L783">IFERROR(INDEX('Исходник'!$1:$626,MATCH($A783,'Исходник'!$T:$T,0),MATCH(L$1,'Исходник'!$1:$1,0)))</f>
        <v/>
      </c>
      <c r="M783" s="28">
        <f t="shared" si="4"/>
        <v>0</v>
      </c>
      <c r="N783" s="1" t="str">
        <f t="array" ref="N783">IFERROR(INDEX('Исходник'!$1:$626,MATCH($A783,'Исходник'!$T:$T,0),MATCH(N$1,'Исходник'!$1:$1,0)))</f>
        <v/>
      </c>
      <c r="O783" s="27">
        <f t="shared" si="5"/>
        <v>0</v>
      </c>
      <c r="P783" s="27" t="str">
        <f t="shared" si="6"/>
        <v/>
      </c>
      <c r="Q783" s="1" t="str">
        <f t="array" ref="Q783">IFERROR(INDEX('Исходник'!$1:$626,MATCH($A783,'Исходник'!$T:$T,0),MATCH(Q$1,'Исходник'!$1:$1,0)))</f>
        <v/>
      </c>
      <c r="R783" s="1" t="str">
        <f t="array" ref="R783">IFERROR(INDEX('Исходник'!$1:$626,MATCH($A783,'Исходник'!$T:$T,0),MATCH(R$1,'Исходник'!$1:$1,0)))</f>
        <v/>
      </c>
      <c r="S783" s="27">
        <f t="shared" si="7"/>
        <v>0</v>
      </c>
      <c r="T783" s="27" t="str">
        <f t="shared" si="8"/>
        <v/>
      </c>
      <c r="U783" s="1" t="str">
        <f t="array" ref="U783">IFERROR(INDEX('Исходник'!$1:$626,MATCH($A783,'Исходник'!$T:$T,0),MATCH(U$1,'Исходник'!$1:$1,0)))</f>
        <v/>
      </c>
      <c r="V783" s="27" t="str">
        <f t="shared" si="9"/>
        <v/>
      </c>
      <c r="W783" s="1" t="str">
        <f t="array" ref="W783">IFERROR(INDEX('Исходник'!$1:$626,MATCH($A783,'Исходник'!$T:$T,0),MATCH(W$1,'Исходник'!$1:$1,0)))</f>
        <v/>
      </c>
      <c r="X783" s="28">
        <f t="shared" si="10"/>
        <v>0</v>
      </c>
      <c r="Y783" s="1" t="str">
        <f t="array" ref="Y783">IFERROR(INDEX('Исходник'!$1:$626,MATCH($A783,'Исходник'!$T:$T,0),MATCH(Y$1,'Исходник'!$1:$1,0)))</f>
        <v/>
      </c>
      <c r="Z783" s="27">
        <f t="shared" si="11"/>
        <v>0</v>
      </c>
      <c r="AA783" s="27" t="str">
        <f t="shared" si="12"/>
        <v/>
      </c>
      <c r="AB783" s="1" t="str">
        <f t="array" ref="AB783">IFERROR(INDEX('Исходник'!$1:$626,MATCH($A783,'Исходник'!$T:$T,0),MATCH(AB$1,'Исходник'!$1:$1,0)))</f>
        <v/>
      </c>
      <c r="AC783" s="1" t="str">
        <f t="array" ref="AC783">IFERROR(INDEX('Исходник'!$1:$626,MATCH($A783,'Исходник'!$T:$T,0),MATCH(AC$1,'Исходник'!$1:$1,0)))</f>
        <v/>
      </c>
      <c r="AD783" s="27" t="str">
        <f t="shared" si="13"/>
        <v/>
      </c>
      <c r="AE783" s="1" t="str">
        <f t="array" ref="AE783">IFERROR(INDEX('Исходник'!$1:$626,MATCH($A783,'Исходник'!$T:$T,0),MATCH(AE$1,'Исходник'!$1:$1,0)))</f>
        <v/>
      </c>
      <c r="AF783" s="1" t="str">
        <f t="array" ref="AF783">IFERROR(INDEX('Исходник'!$1:$626,MATCH($A783,'Исходник'!$T:$T,0),MATCH(AF$1,'Исходник'!$1:$1,0)))</f>
        <v/>
      </c>
      <c r="AG783" s="27" t="str">
        <f t="shared" si="14"/>
        <v/>
      </c>
      <c r="AH783" s="1" t="str">
        <f t="array" ref="AH783">IFERROR(INDEX('Исходник'!$1:$626,MATCH($A783,'Исходник'!$T:$T,0),MATCH(AH$1,'Исходник'!$1:$1,0)))</f>
        <v/>
      </c>
      <c r="AI783" s="1" t="str">
        <f t="array" ref="AI783">IFERROR(INDEX('Исходник'!$1:$626,MATCH($A783,'Исходник'!$T:$T,0),MATCH(AI$1,'Исходник'!$1:$1,0)))</f>
        <v/>
      </c>
      <c r="AJ783" s="18">
        <f t="shared" si="15"/>
        <v>0</v>
      </c>
    </row>
    <row r="784" ht="15.75" customHeight="1">
      <c r="A784" s="27"/>
      <c r="B784" s="1" t="str">
        <f t="array" ref="B784">IFERROR(INDEX('Исходник'!$1:$626,MATCH($A784,'Исходник'!$T:$T,0),MATCH(B$1,'Исходник'!$1:$1,0)))</f>
        <v/>
      </c>
      <c r="C784" s="1" t="str">
        <f t="array" ref="C784">IFERROR(INDEX('Исходник'!$1:$626,MATCH($A784,'Исходник'!$T:$T,0),MATCH(C$1,'Исходник'!$1:$1,0)))</f>
        <v/>
      </c>
      <c r="D784" s="1" t="str">
        <f t="array" ref="D784">IFERROR(INDEX('Исходник'!$1:$626,MATCH($A784,'Исходник'!$T:$T,0),MATCH(D$1,'Исходник'!$1:$1,0)))</f>
        <v/>
      </c>
      <c r="E784" s="1" t="str">
        <f t="array" ref="E784">IFERROR(INDEX('Исходник'!$1:$626,MATCH($A784,'Исходник'!$T:$T,0),MATCH(E$1,'Исходник'!$1:$1,0)))</f>
        <v/>
      </c>
      <c r="F784" s="1" t="str">
        <f t="array" ref="F784">IFERROR(INDEX('Исходник'!$1:$626,MATCH($A784,'Исходник'!$T:$T,0),MATCH(F$1,'Исходник'!$1:$1,0)))</f>
        <v/>
      </c>
      <c r="G784" s="1" t="str">
        <f t="array" ref="G784">IFERROR(INDEX('Исходник'!$1:$626,MATCH($A784,'Исходник'!$T:$T,0),MATCH(G$1,'Исходник'!$1:$1,0)))</f>
        <v/>
      </c>
      <c r="H784" s="27">
        <f t="shared" si="1"/>
        <v>0</v>
      </c>
      <c r="I784" s="27" t="str">
        <f t="shared" si="2"/>
        <v/>
      </c>
      <c r="J784" s="1" t="str">
        <f t="array" ref="J784">IFERROR(INDEX('Исходник'!$1:$626,MATCH($A784,'Исходник'!$T:$T,0),MATCH(J$1,'Исходник'!$1:$1,0)))</f>
        <v/>
      </c>
      <c r="K784" s="27" t="str">
        <f t="shared" si="3"/>
        <v/>
      </c>
      <c r="L784" s="1" t="str">
        <f t="array" ref="L784">IFERROR(INDEX('Исходник'!$1:$626,MATCH($A784,'Исходник'!$T:$T,0),MATCH(L$1,'Исходник'!$1:$1,0)))</f>
        <v/>
      </c>
      <c r="M784" s="28">
        <f t="shared" si="4"/>
        <v>0</v>
      </c>
      <c r="N784" s="1" t="str">
        <f t="array" ref="N784">IFERROR(INDEX('Исходник'!$1:$626,MATCH($A784,'Исходник'!$T:$T,0),MATCH(N$1,'Исходник'!$1:$1,0)))</f>
        <v/>
      </c>
      <c r="O784" s="27">
        <f t="shared" si="5"/>
        <v>0</v>
      </c>
      <c r="P784" s="27" t="str">
        <f t="shared" si="6"/>
        <v/>
      </c>
      <c r="Q784" s="1" t="str">
        <f t="array" ref="Q784">IFERROR(INDEX('Исходник'!$1:$626,MATCH($A784,'Исходник'!$T:$T,0),MATCH(Q$1,'Исходник'!$1:$1,0)))</f>
        <v/>
      </c>
      <c r="R784" s="1" t="str">
        <f t="array" ref="R784">IFERROR(INDEX('Исходник'!$1:$626,MATCH($A784,'Исходник'!$T:$T,0),MATCH(R$1,'Исходник'!$1:$1,0)))</f>
        <v/>
      </c>
      <c r="S784" s="27">
        <f t="shared" si="7"/>
        <v>0</v>
      </c>
      <c r="T784" s="27" t="str">
        <f t="shared" si="8"/>
        <v/>
      </c>
      <c r="U784" s="1" t="str">
        <f t="array" ref="U784">IFERROR(INDEX('Исходник'!$1:$626,MATCH($A784,'Исходник'!$T:$T,0),MATCH(U$1,'Исходник'!$1:$1,0)))</f>
        <v/>
      </c>
      <c r="V784" s="27" t="str">
        <f t="shared" si="9"/>
        <v/>
      </c>
      <c r="W784" s="1" t="str">
        <f t="array" ref="W784">IFERROR(INDEX('Исходник'!$1:$626,MATCH($A784,'Исходник'!$T:$T,0),MATCH(W$1,'Исходник'!$1:$1,0)))</f>
        <v/>
      </c>
      <c r="X784" s="28">
        <f t="shared" si="10"/>
        <v>0</v>
      </c>
      <c r="Y784" s="1" t="str">
        <f t="array" ref="Y784">IFERROR(INDEX('Исходник'!$1:$626,MATCH($A784,'Исходник'!$T:$T,0),MATCH(Y$1,'Исходник'!$1:$1,0)))</f>
        <v/>
      </c>
      <c r="Z784" s="27">
        <f t="shared" si="11"/>
        <v>0</v>
      </c>
      <c r="AA784" s="27" t="str">
        <f t="shared" si="12"/>
        <v/>
      </c>
      <c r="AB784" s="1" t="str">
        <f t="array" ref="AB784">IFERROR(INDEX('Исходник'!$1:$626,MATCH($A784,'Исходник'!$T:$T,0),MATCH(AB$1,'Исходник'!$1:$1,0)))</f>
        <v/>
      </c>
      <c r="AC784" s="1" t="str">
        <f t="array" ref="AC784">IFERROR(INDEX('Исходник'!$1:$626,MATCH($A784,'Исходник'!$T:$T,0),MATCH(AC$1,'Исходник'!$1:$1,0)))</f>
        <v/>
      </c>
      <c r="AD784" s="27" t="str">
        <f t="shared" si="13"/>
        <v/>
      </c>
      <c r="AE784" s="1" t="str">
        <f t="array" ref="AE784">IFERROR(INDEX('Исходник'!$1:$626,MATCH($A784,'Исходник'!$T:$T,0),MATCH(AE$1,'Исходник'!$1:$1,0)))</f>
        <v/>
      </c>
      <c r="AF784" s="1" t="str">
        <f t="array" ref="AF784">IFERROR(INDEX('Исходник'!$1:$626,MATCH($A784,'Исходник'!$T:$T,0),MATCH(AF$1,'Исходник'!$1:$1,0)))</f>
        <v/>
      </c>
      <c r="AG784" s="27" t="str">
        <f t="shared" si="14"/>
        <v/>
      </c>
      <c r="AH784" s="1" t="str">
        <f t="array" ref="AH784">IFERROR(INDEX('Исходник'!$1:$626,MATCH($A784,'Исходник'!$T:$T,0),MATCH(AH$1,'Исходник'!$1:$1,0)))</f>
        <v/>
      </c>
      <c r="AI784" s="1" t="str">
        <f t="array" ref="AI784">IFERROR(INDEX('Исходник'!$1:$626,MATCH($A784,'Исходник'!$T:$T,0),MATCH(AI$1,'Исходник'!$1:$1,0)))</f>
        <v/>
      </c>
      <c r="AJ784" s="18">
        <f t="shared" si="15"/>
        <v>0</v>
      </c>
    </row>
    <row r="785" ht="15.75" customHeight="1">
      <c r="A785" s="27"/>
      <c r="B785" s="1" t="str">
        <f t="array" ref="B785">IFERROR(INDEX('Исходник'!$1:$626,MATCH($A785,'Исходник'!$T:$T,0),MATCH(B$1,'Исходник'!$1:$1,0)))</f>
        <v/>
      </c>
      <c r="C785" s="1" t="str">
        <f t="array" ref="C785">IFERROR(INDEX('Исходник'!$1:$626,MATCH($A785,'Исходник'!$T:$T,0),MATCH(C$1,'Исходник'!$1:$1,0)))</f>
        <v/>
      </c>
      <c r="D785" s="1" t="str">
        <f t="array" ref="D785">IFERROR(INDEX('Исходник'!$1:$626,MATCH($A785,'Исходник'!$T:$T,0),MATCH(D$1,'Исходник'!$1:$1,0)))</f>
        <v/>
      </c>
      <c r="E785" s="1" t="str">
        <f t="array" ref="E785">IFERROR(INDEX('Исходник'!$1:$626,MATCH($A785,'Исходник'!$T:$T,0),MATCH(E$1,'Исходник'!$1:$1,0)))</f>
        <v/>
      </c>
      <c r="F785" s="1" t="str">
        <f t="array" ref="F785">IFERROR(INDEX('Исходник'!$1:$626,MATCH($A785,'Исходник'!$T:$T,0),MATCH(F$1,'Исходник'!$1:$1,0)))</f>
        <v/>
      </c>
      <c r="G785" s="1" t="str">
        <f t="array" ref="G785">IFERROR(INDEX('Исходник'!$1:$626,MATCH($A785,'Исходник'!$T:$T,0),MATCH(G$1,'Исходник'!$1:$1,0)))</f>
        <v/>
      </c>
      <c r="H785" s="27">
        <f t="shared" si="1"/>
        <v>0</v>
      </c>
      <c r="I785" s="27" t="str">
        <f t="shared" si="2"/>
        <v/>
      </c>
      <c r="J785" s="1" t="str">
        <f t="array" ref="J785">IFERROR(INDEX('Исходник'!$1:$626,MATCH($A785,'Исходник'!$T:$T,0),MATCH(J$1,'Исходник'!$1:$1,0)))</f>
        <v/>
      </c>
      <c r="K785" s="27" t="str">
        <f t="shared" si="3"/>
        <v/>
      </c>
      <c r="L785" s="1" t="str">
        <f t="array" ref="L785">IFERROR(INDEX('Исходник'!$1:$626,MATCH($A785,'Исходник'!$T:$T,0),MATCH(L$1,'Исходник'!$1:$1,0)))</f>
        <v/>
      </c>
      <c r="M785" s="28">
        <f t="shared" si="4"/>
        <v>0</v>
      </c>
      <c r="N785" s="1" t="str">
        <f t="array" ref="N785">IFERROR(INDEX('Исходник'!$1:$626,MATCH($A785,'Исходник'!$T:$T,0),MATCH(N$1,'Исходник'!$1:$1,0)))</f>
        <v/>
      </c>
      <c r="O785" s="27">
        <f t="shared" si="5"/>
        <v>0</v>
      </c>
      <c r="P785" s="27" t="str">
        <f t="shared" si="6"/>
        <v/>
      </c>
      <c r="Q785" s="1" t="str">
        <f t="array" ref="Q785">IFERROR(INDEX('Исходник'!$1:$626,MATCH($A785,'Исходник'!$T:$T,0),MATCH(Q$1,'Исходник'!$1:$1,0)))</f>
        <v/>
      </c>
      <c r="R785" s="1" t="str">
        <f t="array" ref="R785">IFERROR(INDEX('Исходник'!$1:$626,MATCH($A785,'Исходник'!$T:$T,0),MATCH(R$1,'Исходник'!$1:$1,0)))</f>
        <v/>
      </c>
      <c r="S785" s="27">
        <f t="shared" si="7"/>
        <v>0</v>
      </c>
      <c r="T785" s="27" t="str">
        <f t="shared" si="8"/>
        <v/>
      </c>
      <c r="U785" s="1" t="str">
        <f t="array" ref="U785">IFERROR(INDEX('Исходник'!$1:$626,MATCH($A785,'Исходник'!$T:$T,0),MATCH(U$1,'Исходник'!$1:$1,0)))</f>
        <v/>
      </c>
      <c r="V785" s="27" t="str">
        <f t="shared" si="9"/>
        <v/>
      </c>
      <c r="W785" s="1" t="str">
        <f t="array" ref="W785">IFERROR(INDEX('Исходник'!$1:$626,MATCH($A785,'Исходник'!$T:$T,0),MATCH(W$1,'Исходник'!$1:$1,0)))</f>
        <v/>
      </c>
      <c r="X785" s="28">
        <f t="shared" si="10"/>
        <v>0</v>
      </c>
      <c r="Y785" s="1" t="str">
        <f t="array" ref="Y785">IFERROR(INDEX('Исходник'!$1:$626,MATCH($A785,'Исходник'!$T:$T,0),MATCH(Y$1,'Исходник'!$1:$1,0)))</f>
        <v/>
      </c>
      <c r="Z785" s="27">
        <f t="shared" si="11"/>
        <v>0</v>
      </c>
      <c r="AA785" s="27" t="str">
        <f t="shared" si="12"/>
        <v/>
      </c>
      <c r="AB785" s="1" t="str">
        <f t="array" ref="AB785">IFERROR(INDEX('Исходник'!$1:$626,MATCH($A785,'Исходник'!$T:$T,0),MATCH(AB$1,'Исходник'!$1:$1,0)))</f>
        <v/>
      </c>
      <c r="AC785" s="1" t="str">
        <f t="array" ref="AC785">IFERROR(INDEX('Исходник'!$1:$626,MATCH($A785,'Исходник'!$T:$T,0),MATCH(AC$1,'Исходник'!$1:$1,0)))</f>
        <v/>
      </c>
      <c r="AD785" s="27" t="str">
        <f t="shared" si="13"/>
        <v/>
      </c>
      <c r="AE785" s="1" t="str">
        <f t="array" ref="AE785">IFERROR(INDEX('Исходник'!$1:$626,MATCH($A785,'Исходник'!$T:$T,0),MATCH(AE$1,'Исходник'!$1:$1,0)))</f>
        <v/>
      </c>
      <c r="AF785" s="1" t="str">
        <f t="array" ref="AF785">IFERROR(INDEX('Исходник'!$1:$626,MATCH($A785,'Исходник'!$T:$T,0),MATCH(AF$1,'Исходник'!$1:$1,0)))</f>
        <v/>
      </c>
      <c r="AG785" s="27" t="str">
        <f t="shared" si="14"/>
        <v/>
      </c>
      <c r="AH785" s="1" t="str">
        <f t="array" ref="AH785">IFERROR(INDEX('Исходник'!$1:$626,MATCH($A785,'Исходник'!$T:$T,0),MATCH(AH$1,'Исходник'!$1:$1,0)))</f>
        <v/>
      </c>
      <c r="AI785" s="1" t="str">
        <f t="array" ref="AI785">IFERROR(INDEX('Исходник'!$1:$626,MATCH($A785,'Исходник'!$T:$T,0),MATCH(AI$1,'Исходник'!$1:$1,0)))</f>
        <v/>
      </c>
      <c r="AJ785" s="18">
        <f t="shared" si="15"/>
        <v>0</v>
      </c>
    </row>
    <row r="786" ht="15.75" customHeight="1">
      <c r="A786" s="27"/>
      <c r="B786" s="1" t="str">
        <f t="array" ref="B786">IFERROR(INDEX('Исходник'!$1:$626,MATCH($A786,'Исходник'!$T:$T,0),MATCH(B$1,'Исходник'!$1:$1,0)))</f>
        <v/>
      </c>
      <c r="C786" s="1" t="str">
        <f t="array" ref="C786">IFERROR(INDEX('Исходник'!$1:$626,MATCH($A786,'Исходник'!$T:$T,0),MATCH(C$1,'Исходник'!$1:$1,0)))</f>
        <v/>
      </c>
      <c r="D786" s="1" t="str">
        <f t="array" ref="D786">IFERROR(INDEX('Исходник'!$1:$626,MATCH($A786,'Исходник'!$T:$T,0),MATCH(D$1,'Исходник'!$1:$1,0)))</f>
        <v/>
      </c>
      <c r="E786" s="1" t="str">
        <f t="array" ref="E786">IFERROR(INDEX('Исходник'!$1:$626,MATCH($A786,'Исходник'!$T:$T,0),MATCH(E$1,'Исходник'!$1:$1,0)))</f>
        <v/>
      </c>
      <c r="F786" s="1" t="str">
        <f t="array" ref="F786">IFERROR(INDEX('Исходник'!$1:$626,MATCH($A786,'Исходник'!$T:$T,0),MATCH(F$1,'Исходник'!$1:$1,0)))</f>
        <v/>
      </c>
      <c r="G786" s="1" t="str">
        <f t="array" ref="G786">IFERROR(INDEX('Исходник'!$1:$626,MATCH($A786,'Исходник'!$T:$T,0),MATCH(G$1,'Исходник'!$1:$1,0)))</f>
        <v/>
      </c>
      <c r="H786" s="27">
        <f t="shared" si="1"/>
        <v>0</v>
      </c>
      <c r="I786" s="27" t="str">
        <f t="shared" si="2"/>
        <v/>
      </c>
      <c r="J786" s="1" t="str">
        <f t="array" ref="J786">IFERROR(INDEX('Исходник'!$1:$626,MATCH($A786,'Исходник'!$T:$T,0),MATCH(J$1,'Исходник'!$1:$1,0)))</f>
        <v/>
      </c>
      <c r="K786" s="27" t="str">
        <f t="shared" si="3"/>
        <v/>
      </c>
      <c r="L786" s="1" t="str">
        <f t="array" ref="L786">IFERROR(INDEX('Исходник'!$1:$626,MATCH($A786,'Исходник'!$T:$T,0),MATCH(L$1,'Исходник'!$1:$1,0)))</f>
        <v/>
      </c>
      <c r="M786" s="28">
        <f t="shared" si="4"/>
        <v>0</v>
      </c>
      <c r="N786" s="1" t="str">
        <f t="array" ref="N786">IFERROR(INDEX('Исходник'!$1:$626,MATCH($A786,'Исходник'!$T:$T,0),MATCH(N$1,'Исходник'!$1:$1,0)))</f>
        <v/>
      </c>
      <c r="O786" s="27">
        <f t="shared" si="5"/>
        <v>0</v>
      </c>
      <c r="P786" s="27" t="str">
        <f t="shared" si="6"/>
        <v/>
      </c>
      <c r="Q786" s="1" t="str">
        <f t="array" ref="Q786">IFERROR(INDEX('Исходник'!$1:$626,MATCH($A786,'Исходник'!$T:$T,0),MATCH(Q$1,'Исходник'!$1:$1,0)))</f>
        <v/>
      </c>
      <c r="R786" s="1" t="str">
        <f t="array" ref="R786">IFERROR(INDEX('Исходник'!$1:$626,MATCH($A786,'Исходник'!$T:$T,0),MATCH(R$1,'Исходник'!$1:$1,0)))</f>
        <v/>
      </c>
      <c r="S786" s="27">
        <f t="shared" si="7"/>
        <v>0</v>
      </c>
      <c r="T786" s="27" t="str">
        <f t="shared" si="8"/>
        <v/>
      </c>
      <c r="U786" s="1" t="str">
        <f t="array" ref="U786">IFERROR(INDEX('Исходник'!$1:$626,MATCH($A786,'Исходник'!$T:$T,0),MATCH(U$1,'Исходник'!$1:$1,0)))</f>
        <v/>
      </c>
      <c r="V786" s="27" t="str">
        <f t="shared" si="9"/>
        <v/>
      </c>
      <c r="W786" s="1" t="str">
        <f t="array" ref="W786">IFERROR(INDEX('Исходник'!$1:$626,MATCH($A786,'Исходник'!$T:$T,0),MATCH(W$1,'Исходник'!$1:$1,0)))</f>
        <v/>
      </c>
      <c r="X786" s="28">
        <f t="shared" si="10"/>
        <v>0</v>
      </c>
      <c r="Y786" s="1" t="str">
        <f t="array" ref="Y786">IFERROR(INDEX('Исходник'!$1:$626,MATCH($A786,'Исходник'!$T:$T,0),MATCH(Y$1,'Исходник'!$1:$1,0)))</f>
        <v/>
      </c>
      <c r="Z786" s="27">
        <f t="shared" si="11"/>
        <v>0</v>
      </c>
      <c r="AA786" s="27" t="str">
        <f t="shared" si="12"/>
        <v/>
      </c>
      <c r="AB786" s="1" t="str">
        <f t="array" ref="AB786">IFERROR(INDEX('Исходник'!$1:$626,MATCH($A786,'Исходник'!$T:$T,0),MATCH(AB$1,'Исходник'!$1:$1,0)))</f>
        <v/>
      </c>
      <c r="AC786" s="1" t="str">
        <f t="array" ref="AC786">IFERROR(INDEX('Исходник'!$1:$626,MATCH($A786,'Исходник'!$T:$T,0),MATCH(AC$1,'Исходник'!$1:$1,0)))</f>
        <v/>
      </c>
      <c r="AD786" s="27" t="str">
        <f t="shared" si="13"/>
        <v/>
      </c>
      <c r="AE786" s="1" t="str">
        <f t="array" ref="AE786">IFERROR(INDEX('Исходник'!$1:$626,MATCH($A786,'Исходник'!$T:$T,0),MATCH(AE$1,'Исходник'!$1:$1,0)))</f>
        <v/>
      </c>
      <c r="AF786" s="1" t="str">
        <f t="array" ref="AF786">IFERROR(INDEX('Исходник'!$1:$626,MATCH($A786,'Исходник'!$T:$T,0),MATCH(AF$1,'Исходник'!$1:$1,0)))</f>
        <v/>
      </c>
      <c r="AG786" s="27" t="str">
        <f t="shared" si="14"/>
        <v/>
      </c>
      <c r="AH786" s="1" t="str">
        <f t="array" ref="AH786">IFERROR(INDEX('Исходник'!$1:$626,MATCH($A786,'Исходник'!$T:$T,0),MATCH(AH$1,'Исходник'!$1:$1,0)))</f>
        <v/>
      </c>
      <c r="AI786" s="1" t="str">
        <f t="array" ref="AI786">IFERROR(INDEX('Исходник'!$1:$626,MATCH($A786,'Исходник'!$T:$T,0),MATCH(AI$1,'Исходник'!$1:$1,0)))</f>
        <v/>
      </c>
      <c r="AJ786" s="18">
        <f t="shared" si="15"/>
        <v>0</v>
      </c>
    </row>
    <row r="787" ht="15.75" customHeight="1">
      <c r="A787" s="27"/>
      <c r="B787" s="1" t="str">
        <f t="array" ref="B787">IFERROR(INDEX('Исходник'!$1:$626,MATCH($A787,'Исходник'!$T:$T,0),MATCH(B$1,'Исходник'!$1:$1,0)))</f>
        <v/>
      </c>
      <c r="C787" s="1" t="str">
        <f t="array" ref="C787">IFERROR(INDEX('Исходник'!$1:$626,MATCH($A787,'Исходник'!$T:$T,0),MATCH(C$1,'Исходник'!$1:$1,0)))</f>
        <v/>
      </c>
      <c r="D787" s="1" t="str">
        <f t="array" ref="D787">IFERROR(INDEX('Исходник'!$1:$626,MATCH($A787,'Исходник'!$T:$T,0),MATCH(D$1,'Исходник'!$1:$1,0)))</f>
        <v/>
      </c>
      <c r="E787" s="1" t="str">
        <f t="array" ref="E787">IFERROR(INDEX('Исходник'!$1:$626,MATCH($A787,'Исходник'!$T:$T,0),MATCH(E$1,'Исходник'!$1:$1,0)))</f>
        <v/>
      </c>
      <c r="F787" s="1" t="str">
        <f t="array" ref="F787">IFERROR(INDEX('Исходник'!$1:$626,MATCH($A787,'Исходник'!$T:$T,0),MATCH(F$1,'Исходник'!$1:$1,0)))</f>
        <v/>
      </c>
      <c r="G787" s="1" t="str">
        <f t="array" ref="G787">IFERROR(INDEX('Исходник'!$1:$626,MATCH($A787,'Исходник'!$T:$T,0),MATCH(G$1,'Исходник'!$1:$1,0)))</f>
        <v/>
      </c>
      <c r="H787" s="27">
        <f t="shared" si="1"/>
        <v>0</v>
      </c>
      <c r="I787" s="27" t="str">
        <f t="shared" si="2"/>
        <v/>
      </c>
      <c r="J787" s="1" t="str">
        <f t="array" ref="J787">IFERROR(INDEX('Исходник'!$1:$626,MATCH($A787,'Исходник'!$T:$T,0),MATCH(J$1,'Исходник'!$1:$1,0)))</f>
        <v/>
      </c>
      <c r="K787" s="27" t="str">
        <f t="shared" si="3"/>
        <v/>
      </c>
      <c r="L787" s="1" t="str">
        <f t="array" ref="L787">IFERROR(INDEX('Исходник'!$1:$626,MATCH($A787,'Исходник'!$T:$T,0),MATCH(L$1,'Исходник'!$1:$1,0)))</f>
        <v/>
      </c>
      <c r="M787" s="28">
        <f t="shared" si="4"/>
        <v>0</v>
      </c>
      <c r="N787" s="1" t="str">
        <f t="array" ref="N787">IFERROR(INDEX('Исходник'!$1:$626,MATCH($A787,'Исходник'!$T:$T,0),MATCH(N$1,'Исходник'!$1:$1,0)))</f>
        <v/>
      </c>
      <c r="O787" s="27">
        <f t="shared" si="5"/>
        <v>0</v>
      </c>
      <c r="P787" s="27" t="str">
        <f t="shared" si="6"/>
        <v/>
      </c>
      <c r="Q787" s="1" t="str">
        <f t="array" ref="Q787">IFERROR(INDEX('Исходник'!$1:$626,MATCH($A787,'Исходник'!$T:$T,0),MATCH(Q$1,'Исходник'!$1:$1,0)))</f>
        <v/>
      </c>
      <c r="R787" s="1" t="str">
        <f t="array" ref="R787">IFERROR(INDEX('Исходник'!$1:$626,MATCH($A787,'Исходник'!$T:$T,0),MATCH(R$1,'Исходник'!$1:$1,0)))</f>
        <v/>
      </c>
      <c r="S787" s="27">
        <f t="shared" si="7"/>
        <v>0</v>
      </c>
      <c r="T787" s="27" t="str">
        <f t="shared" si="8"/>
        <v/>
      </c>
      <c r="U787" s="1" t="str">
        <f t="array" ref="U787">IFERROR(INDEX('Исходник'!$1:$626,MATCH($A787,'Исходник'!$T:$T,0),MATCH(U$1,'Исходник'!$1:$1,0)))</f>
        <v/>
      </c>
      <c r="V787" s="27" t="str">
        <f t="shared" si="9"/>
        <v/>
      </c>
      <c r="W787" s="1" t="str">
        <f t="array" ref="W787">IFERROR(INDEX('Исходник'!$1:$626,MATCH($A787,'Исходник'!$T:$T,0),MATCH(W$1,'Исходник'!$1:$1,0)))</f>
        <v/>
      </c>
      <c r="X787" s="28">
        <f t="shared" si="10"/>
        <v>0</v>
      </c>
      <c r="Y787" s="1" t="str">
        <f t="array" ref="Y787">IFERROR(INDEX('Исходник'!$1:$626,MATCH($A787,'Исходник'!$T:$T,0),MATCH(Y$1,'Исходник'!$1:$1,0)))</f>
        <v/>
      </c>
      <c r="Z787" s="27">
        <f t="shared" si="11"/>
        <v>0</v>
      </c>
      <c r="AA787" s="27" t="str">
        <f t="shared" si="12"/>
        <v/>
      </c>
      <c r="AB787" s="1" t="str">
        <f t="array" ref="AB787">IFERROR(INDEX('Исходник'!$1:$626,MATCH($A787,'Исходник'!$T:$T,0),MATCH(AB$1,'Исходник'!$1:$1,0)))</f>
        <v/>
      </c>
      <c r="AC787" s="1" t="str">
        <f t="array" ref="AC787">IFERROR(INDEX('Исходник'!$1:$626,MATCH($A787,'Исходник'!$T:$T,0),MATCH(AC$1,'Исходник'!$1:$1,0)))</f>
        <v/>
      </c>
      <c r="AD787" s="27" t="str">
        <f t="shared" si="13"/>
        <v/>
      </c>
      <c r="AE787" s="1" t="str">
        <f t="array" ref="AE787">IFERROR(INDEX('Исходник'!$1:$626,MATCH($A787,'Исходник'!$T:$T,0),MATCH(AE$1,'Исходник'!$1:$1,0)))</f>
        <v/>
      </c>
      <c r="AF787" s="1" t="str">
        <f t="array" ref="AF787">IFERROR(INDEX('Исходник'!$1:$626,MATCH($A787,'Исходник'!$T:$T,0),MATCH(AF$1,'Исходник'!$1:$1,0)))</f>
        <v/>
      </c>
      <c r="AG787" s="27" t="str">
        <f t="shared" si="14"/>
        <v/>
      </c>
      <c r="AH787" s="1" t="str">
        <f t="array" ref="AH787">IFERROR(INDEX('Исходник'!$1:$626,MATCH($A787,'Исходник'!$T:$T,0),MATCH(AH$1,'Исходник'!$1:$1,0)))</f>
        <v/>
      </c>
      <c r="AI787" s="1" t="str">
        <f t="array" ref="AI787">IFERROR(INDEX('Исходник'!$1:$626,MATCH($A787,'Исходник'!$T:$T,0),MATCH(AI$1,'Исходник'!$1:$1,0)))</f>
        <v/>
      </c>
      <c r="AJ787" s="18">
        <f t="shared" si="15"/>
        <v>0</v>
      </c>
    </row>
    <row r="788" ht="15.75" customHeight="1">
      <c r="A788" s="27"/>
      <c r="B788" s="1" t="str">
        <f t="array" ref="B788">IFERROR(INDEX('Исходник'!$1:$626,MATCH($A788,'Исходник'!$T:$T,0),MATCH(B$1,'Исходник'!$1:$1,0)))</f>
        <v/>
      </c>
      <c r="C788" s="1" t="str">
        <f t="array" ref="C788">IFERROR(INDEX('Исходник'!$1:$626,MATCH($A788,'Исходник'!$T:$T,0),MATCH(C$1,'Исходник'!$1:$1,0)))</f>
        <v/>
      </c>
      <c r="D788" s="1" t="str">
        <f t="array" ref="D788">IFERROR(INDEX('Исходник'!$1:$626,MATCH($A788,'Исходник'!$T:$T,0),MATCH(D$1,'Исходник'!$1:$1,0)))</f>
        <v/>
      </c>
      <c r="E788" s="1" t="str">
        <f t="array" ref="E788">IFERROR(INDEX('Исходник'!$1:$626,MATCH($A788,'Исходник'!$T:$T,0),MATCH(E$1,'Исходник'!$1:$1,0)))</f>
        <v/>
      </c>
      <c r="F788" s="1" t="str">
        <f t="array" ref="F788">IFERROR(INDEX('Исходник'!$1:$626,MATCH($A788,'Исходник'!$T:$T,0),MATCH(F$1,'Исходник'!$1:$1,0)))</f>
        <v/>
      </c>
      <c r="G788" s="1" t="str">
        <f t="array" ref="G788">IFERROR(INDEX('Исходник'!$1:$626,MATCH($A788,'Исходник'!$T:$T,0),MATCH(G$1,'Исходник'!$1:$1,0)))</f>
        <v/>
      </c>
      <c r="H788" s="27">
        <f t="shared" si="1"/>
        <v>0</v>
      </c>
      <c r="I788" s="27" t="str">
        <f t="shared" si="2"/>
        <v/>
      </c>
      <c r="J788" s="1" t="str">
        <f t="array" ref="J788">IFERROR(INDEX('Исходник'!$1:$626,MATCH($A788,'Исходник'!$T:$T,0),MATCH(J$1,'Исходник'!$1:$1,0)))</f>
        <v/>
      </c>
      <c r="K788" s="27" t="str">
        <f t="shared" si="3"/>
        <v/>
      </c>
      <c r="L788" s="1" t="str">
        <f t="array" ref="L788">IFERROR(INDEX('Исходник'!$1:$626,MATCH($A788,'Исходник'!$T:$T,0),MATCH(L$1,'Исходник'!$1:$1,0)))</f>
        <v/>
      </c>
      <c r="M788" s="28">
        <f t="shared" si="4"/>
        <v>0</v>
      </c>
      <c r="N788" s="1" t="str">
        <f t="array" ref="N788">IFERROR(INDEX('Исходник'!$1:$626,MATCH($A788,'Исходник'!$T:$T,0),MATCH(N$1,'Исходник'!$1:$1,0)))</f>
        <v/>
      </c>
      <c r="O788" s="27">
        <f t="shared" si="5"/>
        <v>0</v>
      </c>
      <c r="P788" s="27" t="str">
        <f t="shared" si="6"/>
        <v/>
      </c>
      <c r="Q788" s="1" t="str">
        <f t="array" ref="Q788">IFERROR(INDEX('Исходник'!$1:$626,MATCH($A788,'Исходник'!$T:$T,0),MATCH(Q$1,'Исходник'!$1:$1,0)))</f>
        <v/>
      </c>
      <c r="R788" s="1" t="str">
        <f t="array" ref="R788">IFERROR(INDEX('Исходник'!$1:$626,MATCH($A788,'Исходник'!$T:$T,0),MATCH(R$1,'Исходник'!$1:$1,0)))</f>
        <v/>
      </c>
      <c r="S788" s="27">
        <f t="shared" si="7"/>
        <v>0</v>
      </c>
      <c r="T788" s="27" t="str">
        <f t="shared" si="8"/>
        <v/>
      </c>
      <c r="U788" s="1" t="str">
        <f t="array" ref="U788">IFERROR(INDEX('Исходник'!$1:$626,MATCH($A788,'Исходник'!$T:$T,0),MATCH(U$1,'Исходник'!$1:$1,0)))</f>
        <v/>
      </c>
      <c r="V788" s="27" t="str">
        <f t="shared" si="9"/>
        <v/>
      </c>
      <c r="W788" s="1" t="str">
        <f t="array" ref="W788">IFERROR(INDEX('Исходник'!$1:$626,MATCH($A788,'Исходник'!$T:$T,0),MATCH(W$1,'Исходник'!$1:$1,0)))</f>
        <v/>
      </c>
      <c r="X788" s="28">
        <f t="shared" si="10"/>
        <v>0</v>
      </c>
      <c r="Y788" s="1" t="str">
        <f t="array" ref="Y788">IFERROR(INDEX('Исходник'!$1:$626,MATCH($A788,'Исходник'!$T:$T,0),MATCH(Y$1,'Исходник'!$1:$1,0)))</f>
        <v/>
      </c>
      <c r="Z788" s="27">
        <f t="shared" si="11"/>
        <v>0</v>
      </c>
      <c r="AA788" s="27" t="str">
        <f t="shared" si="12"/>
        <v/>
      </c>
      <c r="AB788" s="1" t="str">
        <f t="array" ref="AB788">IFERROR(INDEX('Исходник'!$1:$626,MATCH($A788,'Исходник'!$T:$T,0),MATCH(AB$1,'Исходник'!$1:$1,0)))</f>
        <v/>
      </c>
      <c r="AC788" s="1" t="str">
        <f t="array" ref="AC788">IFERROR(INDEX('Исходник'!$1:$626,MATCH($A788,'Исходник'!$T:$T,0),MATCH(AC$1,'Исходник'!$1:$1,0)))</f>
        <v/>
      </c>
      <c r="AD788" s="27" t="str">
        <f t="shared" si="13"/>
        <v/>
      </c>
      <c r="AE788" s="1" t="str">
        <f t="array" ref="AE788">IFERROR(INDEX('Исходник'!$1:$626,MATCH($A788,'Исходник'!$T:$T,0),MATCH(AE$1,'Исходник'!$1:$1,0)))</f>
        <v/>
      </c>
      <c r="AF788" s="1" t="str">
        <f t="array" ref="AF788">IFERROR(INDEX('Исходник'!$1:$626,MATCH($A788,'Исходник'!$T:$T,0),MATCH(AF$1,'Исходник'!$1:$1,0)))</f>
        <v/>
      </c>
      <c r="AG788" s="27" t="str">
        <f t="shared" si="14"/>
        <v/>
      </c>
      <c r="AH788" s="1" t="str">
        <f t="array" ref="AH788">IFERROR(INDEX('Исходник'!$1:$626,MATCH($A788,'Исходник'!$T:$T,0),MATCH(AH$1,'Исходник'!$1:$1,0)))</f>
        <v/>
      </c>
      <c r="AI788" s="1" t="str">
        <f t="array" ref="AI788">IFERROR(INDEX('Исходник'!$1:$626,MATCH($A788,'Исходник'!$T:$T,0),MATCH(AI$1,'Исходник'!$1:$1,0)))</f>
        <v/>
      </c>
      <c r="AJ788" s="18">
        <f t="shared" si="15"/>
        <v>0</v>
      </c>
    </row>
    <row r="789" ht="15.75" customHeight="1">
      <c r="A789" s="27"/>
      <c r="B789" s="1" t="str">
        <f t="array" ref="B789">IFERROR(INDEX('Исходник'!$1:$626,MATCH($A789,'Исходник'!$T:$T,0),MATCH(B$1,'Исходник'!$1:$1,0)))</f>
        <v/>
      </c>
      <c r="C789" s="1" t="str">
        <f t="array" ref="C789">IFERROR(INDEX('Исходник'!$1:$626,MATCH($A789,'Исходник'!$T:$T,0),MATCH(C$1,'Исходник'!$1:$1,0)))</f>
        <v/>
      </c>
      <c r="D789" s="1" t="str">
        <f t="array" ref="D789">IFERROR(INDEX('Исходник'!$1:$626,MATCH($A789,'Исходник'!$T:$T,0),MATCH(D$1,'Исходник'!$1:$1,0)))</f>
        <v/>
      </c>
      <c r="E789" s="1" t="str">
        <f t="array" ref="E789">IFERROR(INDEX('Исходник'!$1:$626,MATCH($A789,'Исходник'!$T:$T,0),MATCH(E$1,'Исходник'!$1:$1,0)))</f>
        <v/>
      </c>
      <c r="F789" s="1" t="str">
        <f t="array" ref="F789">IFERROR(INDEX('Исходник'!$1:$626,MATCH($A789,'Исходник'!$T:$T,0),MATCH(F$1,'Исходник'!$1:$1,0)))</f>
        <v/>
      </c>
      <c r="G789" s="1" t="str">
        <f t="array" ref="G789">IFERROR(INDEX('Исходник'!$1:$626,MATCH($A789,'Исходник'!$T:$T,0),MATCH(G$1,'Исходник'!$1:$1,0)))</f>
        <v/>
      </c>
      <c r="H789" s="27">
        <f t="shared" si="1"/>
        <v>0</v>
      </c>
      <c r="I789" s="27" t="str">
        <f t="shared" si="2"/>
        <v/>
      </c>
      <c r="J789" s="1" t="str">
        <f t="array" ref="J789">IFERROR(INDEX('Исходник'!$1:$626,MATCH($A789,'Исходник'!$T:$T,0),MATCH(J$1,'Исходник'!$1:$1,0)))</f>
        <v/>
      </c>
      <c r="K789" s="27" t="str">
        <f t="shared" si="3"/>
        <v/>
      </c>
      <c r="L789" s="1" t="str">
        <f t="array" ref="L789">IFERROR(INDEX('Исходник'!$1:$626,MATCH($A789,'Исходник'!$T:$T,0),MATCH(L$1,'Исходник'!$1:$1,0)))</f>
        <v/>
      </c>
      <c r="M789" s="28">
        <f t="shared" si="4"/>
        <v>0</v>
      </c>
      <c r="N789" s="1" t="str">
        <f t="array" ref="N789">IFERROR(INDEX('Исходник'!$1:$626,MATCH($A789,'Исходник'!$T:$T,0),MATCH(N$1,'Исходник'!$1:$1,0)))</f>
        <v/>
      </c>
      <c r="O789" s="27">
        <f t="shared" si="5"/>
        <v>0</v>
      </c>
      <c r="P789" s="27" t="str">
        <f t="shared" si="6"/>
        <v/>
      </c>
      <c r="Q789" s="1" t="str">
        <f t="array" ref="Q789">IFERROR(INDEX('Исходник'!$1:$626,MATCH($A789,'Исходник'!$T:$T,0),MATCH(Q$1,'Исходник'!$1:$1,0)))</f>
        <v/>
      </c>
      <c r="R789" s="1" t="str">
        <f t="array" ref="R789">IFERROR(INDEX('Исходник'!$1:$626,MATCH($A789,'Исходник'!$T:$T,0),MATCH(R$1,'Исходник'!$1:$1,0)))</f>
        <v/>
      </c>
      <c r="S789" s="27">
        <f t="shared" si="7"/>
        <v>0</v>
      </c>
      <c r="T789" s="27" t="str">
        <f t="shared" si="8"/>
        <v/>
      </c>
      <c r="U789" s="1" t="str">
        <f t="array" ref="U789">IFERROR(INDEX('Исходник'!$1:$626,MATCH($A789,'Исходник'!$T:$T,0),MATCH(U$1,'Исходник'!$1:$1,0)))</f>
        <v/>
      </c>
      <c r="V789" s="27" t="str">
        <f t="shared" si="9"/>
        <v/>
      </c>
      <c r="W789" s="1" t="str">
        <f t="array" ref="W789">IFERROR(INDEX('Исходник'!$1:$626,MATCH($A789,'Исходник'!$T:$T,0),MATCH(W$1,'Исходник'!$1:$1,0)))</f>
        <v/>
      </c>
      <c r="X789" s="28">
        <f t="shared" si="10"/>
        <v>0</v>
      </c>
      <c r="Y789" s="1" t="str">
        <f t="array" ref="Y789">IFERROR(INDEX('Исходник'!$1:$626,MATCH($A789,'Исходник'!$T:$T,0),MATCH(Y$1,'Исходник'!$1:$1,0)))</f>
        <v/>
      </c>
      <c r="Z789" s="27">
        <f t="shared" si="11"/>
        <v>0</v>
      </c>
      <c r="AA789" s="27" t="str">
        <f t="shared" si="12"/>
        <v/>
      </c>
      <c r="AB789" s="1" t="str">
        <f t="array" ref="AB789">IFERROR(INDEX('Исходник'!$1:$626,MATCH($A789,'Исходник'!$T:$T,0),MATCH(AB$1,'Исходник'!$1:$1,0)))</f>
        <v/>
      </c>
      <c r="AC789" s="1" t="str">
        <f t="array" ref="AC789">IFERROR(INDEX('Исходник'!$1:$626,MATCH($A789,'Исходник'!$T:$T,0),MATCH(AC$1,'Исходник'!$1:$1,0)))</f>
        <v/>
      </c>
      <c r="AD789" s="27" t="str">
        <f t="shared" si="13"/>
        <v/>
      </c>
      <c r="AE789" s="1" t="str">
        <f t="array" ref="AE789">IFERROR(INDEX('Исходник'!$1:$626,MATCH($A789,'Исходник'!$T:$T,0),MATCH(AE$1,'Исходник'!$1:$1,0)))</f>
        <v/>
      </c>
      <c r="AF789" s="1" t="str">
        <f t="array" ref="AF789">IFERROR(INDEX('Исходник'!$1:$626,MATCH($A789,'Исходник'!$T:$T,0),MATCH(AF$1,'Исходник'!$1:$1,0)))</f>
        <v/>
      </c>
      <c r="AG789" s="27" t="str">
        <f t="shared" si="14"/>
        <v/>
      </c>
      <c r="AH789" s="1" t="str">
        <f t="array" ref="AH789">IFERROR(INDEX('Исходник'!$1:$626,MATCH($A789,'Исходник'!$T:$T,0),MATCH(AH$1,'Исходник'!$1:$1,0)))</f>
        <v/>
      </c>
      <c r="AI789" s="1" t="str">
        <f t="array" ref="AI789">IFERROR(INDEX('Исходник'!$1:$626,MATCH($A789,'Исходник'!$T:$T,0),MATCH(AI$1,'Исходник'!$1:$1,0)))</f>
        <v/>
      </c>
      <c r="AJ789" s="18">
        <f t="shared" si="15"/>
        <v>0</v>
      </c>
    </row>
    <row r="790" ht="15.75" customHeight="1">
      <c r="A790" s="27"/>
      <c r="B790" s="1" t="str">
        <f t="array" ref="B790">IFERROR(INDEX('Исходник'!$1:$626,MATCH($A790,'Исходник'!$T:$T,0),MATCH(B$1,'Исходник'!$1:$1,0)))</f>
        <v/>
      </c>
      <c r="C790" s="1" t="str">
        <f t="array" ref="C790">IFERROR(INDEX('Исходник'!$1:$626,MATCH($A790,'Исходник'!$T:$T,0),MATCH(C$1,'Исходник'!$1:$1,0)))</f>
        <v/>
      </c>
      <c r="D790" s="1" t="str">
        <f t="array" ref="D790">IFERROR(INDEX('Исходник'!$1:$626,MATCH($A790,'Исходник'!$T:$T,0),MATCH(D$1,'Исходник'!$1:$1,0)))</f>
        <v/>
      </c>
      <c r="E790" s="1" t="str">
        <f t="array" ref="E790">IFERROR(INDEX('Исходник'!$1:$626,MATCH($A790,'Исходник'!$T:$T,0),MATCH(E$1,'Исходник'!$1:$1,0)))</f>
        <v/>
      </c>
      <c r="F790" s="1" t="str">
        <f t="array" ref="F790">IFERROR(INDEX('Исходник'!$1:$626,MATCH($A790,'Исходник'!$T:$T,0),MATCH(F$1,'Исходник'!$1:$1,0)))</f>
        <v/>
      </c>
      <c r="G790" s="1" t="str">
        <f t="array" ref="G790">IFERROR(INDEX('Исходник'!$1:$626,MATCH($A790,'Исходник'!$T:$T,0),MATCH(G$1,'Исходник'!$1:$1,0)))</f>
        <v/>
      </c>
      <c r="H790" s="27">
        <f t="shared" si="1"/>
        <v>0</v>
      </c>
      <c r="I790" s="27" t="str">
        <f t="shared" si="2"/>
        <v/>
      </c>
      <c r="J790" s="1" t="str">
        <f t="array" ref="J790">IFERROR(INDEX('Исходник'!$1:$626,MATCH($A790,'Исходник'!$T:$T,0),MATCH(J$1,'Исходник'!$1:$1,0)))</f>
        <v/>
      </c>
      <c r="K790" s="27" t="str">
        <f t="shared" si="3"/>
        <v/>
      </c>
      <c r="L790" s="1" t="str">
        <f t="array" ref="L790">IFERROR(INDEX('Исходник'!$1:$626,MATCH($A790,'Исходник'!$T:$T,0),MATCH(L$1,'Исходник'!$1:$1,0)))</f>
        <v/>
      </c>
      <c r="M790" s="28">
        <f t="shared" si="4"/>
        <v>0</v>
      </c>
      <c r="N790" s="1" t="str">
        <f t="array" ref="N790">IFERROR(INDEX('Исходник'!$1:$626,MATCH($A790,'Исходник'!$T:$T,0),MATCH(N$1,'Исходник'!$1:$1,0)))</f>
        <v/>
      </c>
      <c r="O790" s="27">
        <f t="shared" si="5"/>
        <v>0</v>
      </c>
      <c r="P790" s="27" t="str">
        <f t="shared" si="6"/>
        <v/>
      </c>
      <c r="Q790" s="1" t="str">
        <f t="array" ref="Q790">IFERROR(INDEX('Исходник'!$1:$626,MATCH($A790,'Исходник'!$T:$T,0),MATCH(Q$1,'Исходник'!$1:$1,0)))</f>
        <v/>
      </c>
      <c r="R790" s="1" t="str">
        <f t="array" ref="R790">IFERROR(INDEX('Исходник'!$1:$626,MATCH($A790,'Исходник'!$T:$T,0),MATCH(R$1,'Исходник'!$1:$1,0)))</f>
        <v/>
      </c>
      <c r="S790" s="27">
        <f t="shared" si="7"/>
        <v>0</v>
      </c>
      <c r="T790" s="27" t="str">
        <f t="shared" si="8"/>
        <v/>
      </c>
      <c r="U790" s="1" t="str">
        <f t="array" ref="U790">IFERROR(INDEX('Исходник'!$1:$626,MATCH($A790,'Исходник'!$T:$T,0),MATCH(U$1,'Исходник'!$1:$1,0)))</f>
        <v/>
      </c>
      <c r="V790" s="27" t="str">
        <f t="shared" si="9"/>
        <v/>
      </c>
      <c r="W790" s="1" t="str">
        <f t="array" ref="W790">IFERROR(INDEX('Исходник'!$1:$626,MATCH($A790,'Исходник'!$T:$T,0),MATCH(W$1,'Исходник'!$1:$1,0)))</f>
        <v/>
      </c>
      <c r="X790" s="28">
        <f t="shared" si="10"/>
        <v>0</v>
      </c>
      <c r="Y790" s="1" t="str">
        <f t="array" ref="Y790">IFERROR(INDEX('Исходник'!$1:$626,MATCH($A790,'Исходник'!$T:$T,0),MATCH(Y$1,'Исходник'!$1:$1,0)))</f>
        <v/>
      </c>
      <c r="Z790" s="27">
        <f t="shared" si="11"/>
        <v>0</v>
      </c>
      <c r="AA790" s="27" t="str">
        <f t="shared" si="12"/>
        <v/>
      </c>
      <c r="AB790" s="1" t="str">
        <f t="array" ref="AB790">IFERROR(INDEX('Исходник'!$1:$626,MATCH($A790,'Исходник'!$T:$T,0),MATCH(AB$1,'Исходник'!$1:$1,0)))</f>
        <v/>
      </c>
      <c r="AC790" s="1" t="str">
        <f t="array" ref="AC790">IFERROR(INDEX('Исходник'!$1:$626,MATCH($A790,'Исходник'!$T:$T,0),MATCH(AC$1,'Исходник'!$1:$1,0)))</f>
        <v/>
      </c>
      <c r="AD790" s="27" t="str">
        <f t="shared" si="13"/>
        <v/>
      </c>
      <c r="AE790" s="1" t="str">
        <f t="array" ref="AE790">IFERROR(INDEX('Исходник'!$1:$626,MATCH($A790,'Исходник'!$T:$T,0),MATCH(AE$1,'Исходник'!$1:$1,0)))</f>
        <v/>
      </c>
      <c r="AF790" s="1" t="str">
        <f t="array" ref="AF790">IFERROR(INDEX('Исходник'!$1:$626,MATCH($A790,'Исходник'!$T:$T,0),MATCH(AF$1,'Исходник'!$1:$1,0)))</f>
        <v/>
      </c>
      <c r="AG790" s="27" t="str">
        <f t="shared" si="14"/>
        <v/>
      </c>
      <c r="AH790" s="1" t="str">
        <f t="array" ref="AH790">IFERROR(INDEX('Исходник'!$1:$626,MATCH($A790,'Исходник'!$T:$T,0),MATCH(AH$1,'Исходник'!$1:$1,0)))</f>
        <v/>
      </c>
      <c r="AI790" s="1" t="str">
        <f t="array" ref="AI790">IFERROR(INDEX('Исходник'!$1:$626,MATCH($A790,'Исходник'!$T:$T,0),MATCH(AI$1,'Исходник'!$1:$1,0)))</f>
        <v/>
      </c>
      <c r="AJ790" s="18">
        <f t="shared" si="15"/>
        <v>0</v>
      </c>
    </row>
    <row r="791" ht="15.75" customHeight="1">
      <c r="A791" s="27"/>
      <c r="B791" s="1" t="str">
        <f t="array" ref="B791">IFERROR(INDEX('Исходник'!$1:$626,MATCH($A791,'Исходник'!$T:$T,0),MATCH(B$1,'Исходник'!$1:$1,0)))</f>
        <v/>
      </c>
      <c r="C791" s="1" t="str">
        <f t="array" ref="C791">IFERROR(INDEX('Исходник'!$1:$626,MATCH($A791,'Исходник'!$T:$T,0),MATCH(C$1,'Исходник'!$1:$1,0)))</f>
        <v/>
      </c>
      <c r="D791" s="1" t="str">
        <f t="array" ref="D791">IFERROR(INDEX('Исходник'!$1:$626,MATCH($A791,'Исходник'!$T:$T,0),MATCH(D$1,'Исходник'!$1:$1,0)))</f>
        <v/>
      </c>
      <c r="E791" s="1" t="str">
        <f t="array" ref="E791">IFERROR(INDEX('Исходник'!$1:$626,MATCH($A791,'Исходник'!$T:$T,0),MATCH(E$1,'Исходник'!$1:$1,0)))</f>
        <v/>
      </c>
      <c r="F791" s="1" t="str">
        <f t="array" ref="F791">IFERROR(INDEX('Исходник'!$1:$626,MATCH($A791,'Исходник'!$T:$T,0),MATCH(F$1,'Исходник'!$1:$1,0)))</f>
        <v/>
      </c>
      <c r="G791" s="1" t="str">
        <f t="array" ref="G791">IFERROR(INDEX('Исходник'!$1:$626,MATCH($A791,'Исходник'!$T:$T,0),MATCH(G$1,'Исходник'!$1:$1,0)))</f>
        <v/>
      </c>
      <c r="H791" s="27">
        <f t="shared" si="1"/>
        <v>0</v>
      </c>
      <c r="I791" s="27" t="str">
        <f t="shared" si="2"/>
        <v/>
      </c>
      <c r="J791" s="1" t="str">
        <f t="array" ref="J791">IFERROR(INDEX('Исходник'!$1:$626,MATCH($A791,'Исходник'!$T:$T,0),MATCH(J$1,'Исходник'!$1:$1,0)))</f>
        <v/>
      </c>
      <c r="K791" s="27" t="str">
        <f t="shared" si="3"/>
        <v/>
      </c>
      <c r="L791" s="1" t="str">
        <f t="array" ref="L791">IFERROR(INDEX('Исходник'!$1:$626,MATCH($A791,'Исходник'!$T:$T,0),MATCH(L$1,'Исходник'!$1:$1,0)))</f>
        <v/>
      </c>
      <c r="M791" s="28">
        <f t="shared" si="4"/>
        <v>0</v>
      </c>
      <c r="N791" s="1" t="str">
        <f t="array" ref="N791">IFERROR(INDEX('Исходник'!$1:$626,MATCH($A791,'Исходник'!$T:$T,0),MATCH(N$1,'Исходник'!$1:$1,0)))</f>
        <v/>
      </c>
      <c r="O791" s="27">
        <f t="shared" si="5"/>
        <v>0</v>
      </c>
      <c r="P791" s="27" t="str">
        <f t="shared" si="6"/>
        <v/>
      </c>
      <c r="Q791" s="1" t="str">
        <f t="array" ref="Q791">IFERROR(INDEX('Исходник'!$1:$626,MATCH($A791,'Исходник'!$T:$T,0),MATCH(Q$1,'Исходник'!$1:$1,0)))</f>
        <v/>
      </c>
      <c r="R791" s="1" t="str">
        <f t="array" ref="R791">IFERROR(INDEX('Исходник'!$1:$626,MATCH($A791,'Исходник'!$T:$T,0),MATCH(R$1,'Исходник'!$1:$1,0)))</f>
        <v/>
      </c>
      <c r="S791" s="27">
        <f t="shared" si="7"/>
        <v>0</v>
      </c>
      <c r="T791" s="27" t="str">
        <f t="shared" si="8"/>
        <v/>
      </c>
      <c r="U791" s="1" t="str">
        <f t="array" ref="U791">IFERROR(INDEX('Исходник'!$1:$626,MATCH($A791,'Исходник'!$T:$T,0),MATCH(U$1,'Исходник'!$1:$1,0)))</f>
        <v/>
      </c>
      <c r="V791" s="27" t="str">
        <f t="shared" si="9"/>
        <v/>
      </c>
      <c r="W791" s="1" t="str">
        <f t="array" ref="W791">IFERROR(INDEX('Исходник'!$1:$626,MATCH($A791,'Исходник'!$T:$T,0),MATCH(W$1,'Исходник'!$1:$1,0)))</f>
        <v/>
      </c>
      <c r="X791" s="28">
        <f t="shared" si="10"/>
        <v>0</v>
      </c>
      <c r="Y791" s="1" t="str">
        <f t="array" ref="Y791">IFERROR(INDEX('Исходник'!$1:$626,MATCH($A791,'Исходник'!$T:$T,0),MATCH(Y$1,'Исходник'!$1:$1,0)))</f>
        <v/>
      </c>
      <c r="Z791" s="27">
        <f t="shared" si="11"/>
        <v>0</v>
      </c>
      <c r="AA791" s="27" t="str">
        <f t="shared" si="12"/>
        <v/>
      </c>
      <c r="AB791" s="1" t="str">
        <f t="array" ref="AB791">IFERROR(INDEX('Исходник'!$1:$626,MATCH($A791,'Исходник'!$T:$T,0),MATCH(AB$1,'Исходник'!$1:$1,0)))</f>
        <v/>
      </c>
      <c r="AC791" s="1" t="str">
        <f t="array" ref="AC791">IFERROR(INDEX('Исходник'!$1:$626,MATCH($A791,'Исходник'!$T:$T,0),MATCH(AC$1,'Исходник'!$1:$1,0)))</f>
        <v/>
      </c>
      <c r="AD791" s="27" t="str">
        <f t="shared" si="13"/>
        <v/>
      </c>
      <c r="AE791" s="1" t="str">
        <f t="array" ref="AE791">IFERROR(INDEX('Исходник'!$1:$626,MATCH($A791,'Исходник'!$T:$T,0),MATCH(AE$1,'Исходник'!$1:$1,0)))</f>
        <v/>
      </c>
      <c r="AF791" s="1" t="str">
        <f t="array" ref="AF791">IFERROR(INDEX('Исходник'!$1:$626,MATCH($A791,'Исходник'!$T:$T,0),MATCH(AF$1,'Исходник'!$1:$1,0)))</f>
        <v/>
      </c>
      <c r="AG791" s="27" t="str">
        <f t="shared" si="14"/>
        <v/>
      </c>
      <c r="AH791" s="1" t="str">
        <f t="array" ref="AH791">IFERROR(INDEX('Исходник'!$1:$626,MATCH($A791,'Исходник'!$T:$T,0),MATCH(AH$1,'Исходник'!$1:$1,0)))</f>
        <v/>
      </c>
      <c r="AI791" s="1" t="str">
        <f t="array" ref="AI791">IFERROR(INDEX('Исходник'!$1:$626,MATCH($A791,'Исходник'!$T:$T,0),MATCH(AI$1,'Исходник'!$1:$1,0)))</f>
        <v/>
      </c>
      <c r="AJ791" s="18">
        <f t="shared" si="15"/>
        <v>0</v>
      </c>
    </row>
    <row r="792" ht="15.75" customHeight="1">
      <c r="A792" s="27"/>
      <c r="B792" s="1" t="str">
        <f t="array" ref="B792">IFERROR(INDEX('Исходник'!$1:$626,MATCH($A792,'Исходник'!$T:$T,0),MATCH(B$1,'Исходник'!$1:$1,0)))</f>
        <v/>
      </c>
      <c r="C792" s="1" t="str">
        <f t="array" ref="C792">IFERROR(INDEX('Исходник'!$1:$626,MATCH($A792,'Исходник'!$T:$T,0),MATCH(C$1,'Исходник'!$1:$1,0)))</f>
        <v/>
      </c>
      <c r="D792" s="1" t="str">
        <f t="array" ref="D792">IFERROR(INDEX('Исходник'!$1:$626,MATCH($A792,'Исходник'!$T:$T,0),MATCH(D$1,'Исходник'!$1:$1,0)))</f>
        <v/>
      </c>
      <c r="E792" s="1" t="str">
        <f t="array" ref="E792">IFERROR(INDEX('Исходник'!$1:$626,MATCH($A792,'Исходник'!$T:$T,0),MATCH(E$1,'Исходник'!$1:$1,0)))</f>
        <v/>
      </c>
      <c r="F792" s="1" t="str">
        <f t="array" ref="F792">IFERROR(INDEX('Исходник'!$1:$626,MATCH($A792,'Исходник'!$T:$T,0),MATCH(F$1,'Исходник'!$1:$1,0)))</f>
        <v/>
      </c>
      <c r="G792" s="1" t="str">
        <f t="array" ref="G792">IFERROR(INDEX('Исходник'!$1:$626,MATCH($A792,'Исходник'!$T:$T,0),MATCH(G$1,'Исходник'!$1:$1,0)))</f>
        <v/>
      </c>
      <c r="H792" s="27">
        <f t="shared" si="1"/>
        <v>0</v>
      </c>
      <c r="I792" s="27" t="str">
        <f t="shared" si="2"/>
        <v/>
      </c>
      <c r="J792" s="1" t="str">
        <f t="array" ref="J792">IFERROR(INDEX('Исходник'!$1:$626,MATCH($A792,'Исходник'!$T:$T,0),MATCH(J$1,'Исходник'!$1:$1,0)))</f>
        <v/>
      </c>
      <c r="K792" s="27" t="str">
        <f t="shared" si="3"/>
        <v/>
      </c>
      <c r="L792" s="1" t="str">
        <f t="array" ref="L792">IFERROR(INDEX('Исходник'!$1:$626,MATCH($A792,'Исходник'!$T:$T,0),MATCH(L$1,'Исходник'!$1:$1,0)))</f>
        <v/>
      </c>
      <c r="M792" s="28">
        <f t="shared" si="4"/>
        <v>0</v>
      </c>
      <c r="N792" s="1" t="str">
        <f t="array" ref="N792">IFERROR(INDEX('Исходник'!$1:$626,MATCH($A792,'Исходник'!$T:$T,0),MATCH(N$1,'Исходник'!$1:$1,0)))</f>
        <v/>
      </c>
      <c r="O792" s="27">
        <f t="shared" si="5"/>
        <v>0</v>
      </c>
      <c r="P792" s="27" t="str">
        <f t="shared" si="6"/>
        <v/>
      </c>
      <c r="Q792" s="1" t="str">
        <f t="array" ref="Q792">IFERROR(INDEX('Исходник'!$1:$626,MATCH($A792,'Исходник'!$T:$T,0),MATCH(Q$1,'Исходник'!$1:$1,0)))</f>
        <v/>
      </c>
      <c r="R792" s="1" t="str">
        <f t="array" ref="R792">IFERROR(INDEX('Исходник'!$1:$626,MATCH($A792,'Исходник'!$T:$T,0),MATCH(R$1,'Исходник'!$1:$1,0)))</f>
        <v/>
      </c>
      <c r="S792" s="27">
        <f t="shared" si="7"/>
        <v>0</v>
      </c>
      <c r="T792" s="27" t="str">
        <f t="shared" si="8"/>
        <v/>
      </c>
      <c r="U792" s="1" t="str">
        <f t="array" ref="U792">IFERROR(INDEX('Исходник'!$1:$626,MATCH($A792,'Исходник'!$T:$T,0),MATCH(U$1,'Исходник'!$1:$1,0)))</f>
        <v/>
      </c>
      <c r="V792" s="27" t="str">
        <f t="shared" si="9"/>
        <v/>
      </c>
      <c r="W792" s="1" t="str">
        <f t="array" ref="W792">IFERROR(INDEX('Исходник'!$1:$626,MATCH($A792,'Исходник'!$T:$T,0),MATCH(W$1,'Исходник'!$1:$1,0)))</f>
        <v/>
      </c>
      <c r="X792" s="28">
        <f t="shared" si="10"/>
        <v>0</v>
      </c>
      <c r="Y792" s="1" t="str">
        <f t="array" ref="Y792">IFERROR(INDEX('Исходник'!$1:$626,MATCH($A792,'Исходник'!$T:$T,0),MATCH(Y$1,'Исходник'!$1:$1,0)))</f>
        <v/>
      </c>
      <c r="Z792" s="27">
        <f t="shared" si="11"/>
        <v>0</v>
      </c>
      <c r="AA792" s="27" t="str">
        <f t="shared" si="12"/>
        <v/>
      </c>
      <c r="AB792" s="1" t="str">
        <f t="array" ref="AB792">IFERROR(INDEX('Исходник'!$1:$626,MATCH($A792,'Исходник'!$T:$T,0),MATCH(AB$1,'Исходник'!$1:$1,0)))</f>
        <v/>
      </c>
      <c r="AC792" s="1" t="str">
        <f t="array" ref="AC792">IFERROR(INDEX('Исходник'!$1:$626,MATCH($A792,'Исходник'!$T:$T,0),MATCH(AC$1,'Исходник'!$1:$1,0)))</f>
        <v/>
      </c>
      <c r="AD792" s="27" t="str">
        <f t="shared" si="13"/>
        <v/>
      </c>
      <c r="AE792" s="1" t="str">
        <f t="array" ref="AE792">IFERROR(INDEX('Исходник'!$1:$626,MATCH($A792,'Исходник'!$T:$T,0),MATCH(AE$1,'Исходник'!$1:$1,0)))</f>
        <v/>
      </c>
      <c r="AF792" s="1" t="str">
        <f t="array" ref="AF792">IFERROR(INDEX('Исходник'!$1:$626,MATCH($A792,'Исходник'!$T:$T,0),MATCH(AF$1,'Исходник'!$1:$1,0)))</f>
        <v/>
      </c>
      <c r="AG792" s="27" t="str">
        <f t="shared" si="14"/>
        <v/>
      </c>
      <c r="AH792" s="1" t="str">
        <f t="array" ref="AH792">IFERROR(INDEX('Исходник'!$1:$626,MATCH($A792,'Исходник'!$T:$T,0),MATCH(AH$1,'Исходник'!$1:$1,0)))</f>
        <v/>
      </c>
      <c r="AI792" s="1" t="str">
        <f t="array" ref="AI792">IFERROR(INDEX('Исходник'!$1:$626,MATCH($A792,'Исходник'!$T:$T,0),MATCH(AI$1,'Исходник'!$1:$1,0)))</f>
        <v/>
      </c>
      <c r="AJ792" s="18">
        <f t="shared" si="15"/>
        <v>0</v>
      </c>
    </row>
    <row r="793" ht="15.75" customHeight="1">
      <c r="A793" s="27"/>
      <c r="B793" s="1" t="str">
        <f t="array" ref="B793">IFERROR(INDEX('Исходник'!$1:$626,MATCH($A793,'Исходник'!$T:$T,0),MATCH(B$1,'Исходник'!$1:$1,0)))</f>
        <v/>
      </c>
      <c r="C793" s="1" t="str">
        <f t="array" ref="C793">IFERROR(INDEX('Исходник'!$1:$626,MATCH($A793,'Исходник'!$T:$T,0),MATCH(C$1,'Исходник'!$1:$1,0)))</f>
        <v/>
      </c>
      <c r="D793" s="1" t="str">
        <f t="array" ref="D793">IFERROR(INDEX('Исходник'!$1:$626,MATCH($A793,'Исходник'!$T:$T,0),MATCH(D$1,'Исходник'!$1:$1,0)))</f>
        <v/>
      </c>
      <c r="E793" s="1" t="str">
        <f t="array" ref="E793">IFERROR(INDEX('Исходник'!$1:$626,MATCH($A793,'Исходник'!$T:$T,0),MATCH(E$1,'Исходник'!$1:$1,0)))</f>
        <v/>
      </c>
      <c r="F793" s="1" t="str">
        <f t="array" ref="F793">IFERROR(INDEX('Исходник'!$1:$626,MATCH($A793,'Исходник'!$T:$T,0),MATCH(F$1,'Исходник'!$1:$1,0)))</f>
        <v/>
      </c>
      <c r="G793" s="1" t="str">
        <f t="array" ref="G793">IFERROR(INDEX('Исходник'!$1:$626,MATCH($A793,'Исходник'!$T:$T,0),MATCH(G$1,'Исходник'!$1:$1,0)))</f>
        <v/>
      </c>
      <c r="H793" s="27">
        <f t="shared" si="1"/>
        <v>0</v>
      </c>
      <c r="I793" s="27" t="str">
        <f t="shared" si="2"/>
        <v/>
      </c>
      <c r="J793" s="1" t="str">
        <f t="array" ref="J793">IFERROR(INDEX('Исходник'!$1:$626,MATCH($A793,'Исходник'!$T:$T,0),MATCH(J$1,'Исходник'!$1:$1,0)))</f>
        <v/>
      </c>
      <c r="K793" s="27" t="str">
        <f t="shared" si="3"/>
        <v/>
      </c>
      <c r="L793" s="1" t="str">
        <f t="array" ref="L793">IFERROR(INDEX('Исходник'!$1:$626,MATCH($A793,'Исходник'!$T:$T,0),MATCH(L$1,'Исходник'!$1:$1,0)))</f>
        <v/>
      </c>
      <c r="M793" s="28">
        <f t="shared" si="4"/>
        <v>0</v>
      </c>
      <c r="N793" s="1" t="str">
        <f t="array" ref="N793">IFERROR(INDEX('Исходник'!$1:$626,MATCH($A793,'Исходник'!$T:$T,0),MATCH(N$1,'Исходник'!$1:$1,0)))</f>
        <v/>
      </c>
      <c r="O793" s="27">
        <f t="shared" si="5"/>
        <v>0</v>
      </c>
      <c r="P793" s="27" t="str">
        <f t="shared" si="6"/>
        <v/>
      </c>
      <c r="Q793" s="1" t="str">
        <f t="array" ref="Q793">IFERROR(INDEX('Исходник'!$1:$626,MATCH($A793,'Исходник'!$T:$T,0),MATCH(Q$1,'Исходник'!$1:$1,0)))</f>
        <v/>
      </c>
      <c r="R793" s="1" t="str">
        <f t="array" ref="R793">IFERROR(INDEX('Исходник'!$1:$626,MATCH($A793,'Исходник'!$T:$T,0),MATCH(R$1,'Исходник'!$1:$1,0)))</f>
        <v/>
      </c>
      <c r="S793" s="27">
        <f t="shared" si="7"/>
        <v>0</v>
      </c>
      <c r="T793" s="27" t="str">
        <f t="shared" si="8"/>
        <v/>
      </c>
      <c r="U793" s="1" t="str">
        <f t="array" ref="U793">IFERROR(INDEX('Исходник'!$1:$626,MATCH($A793,'Исходник'!$T:$T,0),MATCH(U$1,'Исходник'!$1:$1,0)))</f>
        <v/>
      </c>
      <c r="V793" s="27" t="str">
        <f t="shared" si="9"/>
        <v/>
      </c>
      <c r="W793" s="1" t="str">
        <f t="array" ref="W793">IFERROR(INDEX('Исходник'!$1:$626,MATCH($A793,'Исходник'!$T:$T,0),MATCH(W$1,'Исходник'!$1:$1,0)))</f>
        <v/>
      </c>
      <c r="X793" s="28">
        <f t="shared" si="10"/>
        <v>0</v>
      </c>
      <c r="Y793" s="1" t="str">
        <f t="array" ref="Y793">IFERROR(INDEX('Исходник'!$1:$626,MATCH($A793,'Исходник'!$T:$T,0),MATCH(Y$1,'Исходник'!$1:$1,0)))</f>
        <v/>
      </c>
      <c r="Z793" s="27">
        <f t="shared" si="11"/>
        <v>0</v>
      </c>
      <c r="AA793" s="27" t="str">
        <f t="shared" si="12"/>
        <v/>
      </c>
      <c r="AB793" s="1" t="str">
        <f t="array" ref="AB793">IFERROR(INDEX('Исходник'!$1:$626,MATCH($A793,'Исходник'!$T:$T,0),MATCH(AB$1,'Исходник'!$1:$1,0)))</f>
        <v/>
      </c>
      <c r="AC793" s="1" t="str">
        <f t="array" ref="AC793">IFERROR(INDEX('Исходник'!$1:$626,MATCH($A793,'Исходник'!$T:$T,0),MATCH(AC$1,'Исходник'!$1:$1,0)))</f>
        <v/>
      </c>
      <c r="AD793" s="27" t="str">
        <f t="shared" si="13"/>
        <v/>
      </c>
      <c r="AE793" s="1" t="str">
        <f t="array" ref="AE793">IFERROR(INDEX('Исходник'!$1:$626,MATCH($A793,'Исходник'!$T:$T,0),MATCH(AE$1,'Исходник'!$1:$1,0)))</f>
        <v/>
      </c>
      <c r="AF793" s="1" t="str">
        <f t="array" ref="AF793">IFERROR(INDEX('Исходник'!$1:$626,MATCH($A793,'Исходник'!$T:$T,0),MATCH(AF$1,'Исходник'!$1:$1,0)))</f>
        <v/>
      </c>
      <c r="AG793" s="27" t="str">
        <f t="shared" si="14"/>
        <v/>
      </c>
      <c r="AH793" s="1" t="str">
        <f t="array" ref="AH793">IFERROR(INDEX('Исходник'!$1:$626,MATCH($A793,'Исходник'!$T:$T,0),MATCH(AH$1,'Исходник'!$1:$1,0)))</f>
        <v/>
      </c>
      <c r="AI793" s="1" t="str">
        <f t="array" ref="AI793">IFERROR(INDEX('Исходник'!$1:$626,MATCH($A793,'Исходник'!$T:$T,0),MATCH(AI$1,'Исходник'!$1:$1,0)))</f>
        <v/>
      </c>
      <c r="AJ793" s="18">
        <f t="shared" si="15"/>
        <v>0</v>
      </c>
    </row>
    <row r="794" ht="15.75" customHeight="1">
      <c r="A794" s="27"/>
      <c r="B794" s="1" t="str">
        <f t="array" ref="B794">IFERROR(INDEX('Исходник'!$1:$626,MATCH($A794,'Исходник'!$T:$T,0),MATCH(B$1,'Исходник'!$1:$1,0)))</f>
        <v/>
      </c>
      <c r="C794" s="1" t="str">
        <f t="array" ref="C794">IFERROR(INDEX('Исходник'!$1:$626,MATCH($A794,'Исходник'!$T:$T,0),MATCH(C$1,'Исходник'!$1:$1,0)))</f>
        <v/>
      </c>
      <c r="D794" s="1" t="str">
        <f t="array" ref="D794">IFERROR(INDEX('Исходник'!$1:$626,MATCH($A794,'Исходник'!$T:$T,0),MATCH(D$1,'Исходник'!$1:$1,0)))</f>
        <v/>
      </c>
      <c r="E794" s="1" t="str">
        <f t="array" ref="E794">IFERROR(INDEX('Исходник'!$1:$626,MATCH($A794,'Исходник'!$T:$T,0),MATCH(E$1,'Исходник'!$1:$1,0)))</f>
        <v/>
      </c>
      <c r="F794" s="1" t="str">
        <f t="array" ref="F794">IFERROR(INDEX('Исходник'!$1:$626,MATCH($A794,'Исходник'!$T:$T,0),MATCH(F$1,'Исходник'!$1:$1,0)))</f>
        <v/>
      </c>
      <c r="G794" s="1" t="str">
        <f t="array" ref="G794">IFERROR(INDEX('Исходник'!$1:$626,MATCH($A794,'Исходник'!$T:$T,0),MATCH(G$1,'Исходник'!$1:$1,0)))</f>
        <v/>
      </c>
      <c r="H794" s="27">
        <f t="shared" si="1"/>
        <v>0</v>
      </c>
      <c r="I794" s="27" t="str">
        <f t="shared" si="2"/>
        <v/>
      </c>
      <c r="J794" s="1" t="str">
        <f t="array" ref="J794">IFERROR(INDEX('Исходник'!$1:$626,MATCH($A794,'Исходник'!$T:$T,0),MATCH(J$1,'Исходник'!$1:$1,0)))</f>
        <v/>
      </c>
      <c r="K794" s="27" t="str">
        <f t="shared" si="3"/>
        <v/>
      </c>
      <c r="L794" s="1" t="str">
        <f t="array" ref="L794">IFERROR(INDEX('Исходник'!$1:$626,MATCH($A794,'Исходник'!$T:$T,0),MATCH(L$1,'Исходник'!$1:$1,0)))</f>
        <v/>
      </c>
      <c r="M794" s="28">
        <f t="shared" si="4"/>
        <v>0</v>
      </c>
      <c r="N794" s="1" t="str">
        <f t="array" ref="N794">IFERROR(INDEX('Исходник'!$1:$626,MATCH($A794,'Исходник'!$T:$T,0),MATCH(N$1,'Исходник'!$1:$1,0)))</f>
        <v/>
      </c>
      <c r="O794" s="27">
        <f t="shared" si="5"/>
        <v>0</v>
      </c>
      <c r="P794" s="27" t="str">
        <f t="shared" si="6"/>
        <v/>
      </c>
      <c r="Q794" s="1" t="str">
        <f t="array" ref="Q794">IFERROR(INDEX('Исходник'!$1:$626,MATCH($A794,'Исходник'!$T:$T,0),MATCH(Q$1,'Исходник'!$1:$1,0)))</f>
        <v/>
      </c>
      <c r="R794" s="1" t="str">
        <f t="array" ref="R794">IFERROR(INDEX('Исходник'!$1:$626,MATCH($A794,'Исходник'!$T:$T,0),MATCH(R$1,'Исходник'!$1:$1,0)))</f>
        <v/>
      </c>
      <c r="S794" s="27">
        <f t="shared" si="7"/>
        <v>0</v>
      </c>
      <c r="T794" s="27" t="str">
        <f t="shared" si="8"/>
        <v/>
      </c>
      <c r="U794" s="1" t="str">
        <f t="array" ref="U794">IFERROR(INDEX('Исходник'!$1:$626,MATCH($A794,'Исходник'!$T:$T,0),MATCH(U$1,'Исходник'!$1:$1,0)))</f>
        <v/>
      </c>
      <c r="V794" s="27" t="str">
        <f t="shared" si="9"/>
        <v/>
      </c>
      <c r="W794" s="1" t="str">
        <f t="array" ref="W794">IFERROR(INDEX('Исходник'!$1:$626,MATCH($A794,'Исходник'!$T:$T,0),MATCH(W$1,'Исходник'!$1:$1,0)))</f>
        <v/>
      </c>
      <c r="X794" s="28">
        <f t="shared" si="10"/>
        <v>0</v>
      </c>
      <c r="Y794" s="1" t="str">
        <f t="array" ref="Y794">IFERROR(INDEX('Исходник'!$1:$626,MATCH($A794,'Исходник'!$T:$T,0),MATCH(Y$1,'Исходник'!$1:$1,0)))</f>
        <v/>
      </c>
      <c r="Z794" s="27">
        <f t="shared" si="11"/>
        <v>0</v>
      </c>
      <c r="AA794" s="27" t="str">
        <f t="shared" si="12"/>
        <v/>
      </c>
      <c r="AB794" s="1" t="str">
        <f t="array" ref="AB794">IFERROR(INDEX('Исходник'!$1:$626,MATCH($A794,'Исходник'!$T:$T,0),MATCH(AB$1,'Исходник'!$1:$1,0)))</f>
        <v/>
      </c>
      <c r="AC794" s="1" t="str">
        <f t="array" ref="AC794">IFERROR(INDEX('Исходник'!$1:$626,MATCH($A794,'Исходник'!$T:$T,0),MATCH(AC$1,'Исходник'!$1:$1,0)))</f>
        <v/>
      </c>
      <c r="AD794" s="27" t="str">
        <f t="shared" si="13"/>
        <v/>
      </c>
      <c r="AE794" s="1" t="str">
        <f t="array" ref="AE794">IFERROR(INDEX('Исходник'!$1:$626,MATCH($A794,'Исходник'!$T:$T,0),MATCH(AE$1,'Исходник'!$1:$1,0)))</f>
        <v/>
      </c>
      <c r="AF794" s="1" t="str">
        <f t="array" ref="AF794">IFERROR(INDEX('Исходник'!$1:$626,MATCH($A794,'Исходник'!$T:$T,0),MATCH(AF$1,'Исходник'!$1:$1,0)))</f>
        <v/>
      </c>
      <c r="AG794" s="27" t="str">
        <f t="shared" si="14"/>
        <v/>
      </c>
      <c r="AH794" s="1" t="str">
        <f t="array" ref="AH794">IFERROR(INDEX('Исходник'!$1:$626,MATCH($A794,'Исходник'!$T:$T,0),MATCH(AH$1,'Исходник'!$1:$1,0)))</f>
        <v/>
      </c>
      <c r="AI794" s="1" t="str">
        <f t="array" ref="AI794">IFERROR(INDEX('Исходник'!$1:$626,MATCH($A794,'Исходник'!$T:$T,0),MATCH(AI$1,'Исходник'!$1:$1,0)))</f>
        <v/>
      </c>
      <c r="AJ794" s="18">
        <f t="shared" si="15"/>
        <v>0</v>
      </c>
    </row>
    <row r="795" ht="15.75" customHeight="1">
      <c r="A795" s="27"/>
      <c r="B795" s="1" t="str">
        <f t="array" ref="B795">IFERROR(INDEX('Исходник'!$1:$626,MATCH($A795,'Исходник'!$T:$T,0),MATCH(B$1,'Исходник'!$1:$1,0)))</f>
        <v/>
      </c>
      <c r="C795" s="1" t="str">
        <f t="array" ref="C795">IFERROR(INDEX('Исходник'!$1:$626,MATCH($A795,'Исходник'!$T:$T,0),MATCH(C$1,'Исходник'!$1:$1,0)))</f>
        <v/>
      </c>
      <c r="D795" s="1" t="str">
        <f t="array" ref="D795">IFERROR(INDEX('Исходник'!$1:$626,MATCH($A795,'Исходник'!$T:$T,0),MATCH(D$1,'Исходник'!$1:$1,0)))</f>
        <v/>
      </c>
      <c r="E795" s="1" t="str">
        <f t="array" ref="E795">IFERROR(INDEX('Исходник'!$1:$626,MATCH($A795,'Исходник'!$T:$T,0),MATCH(E$1,'Исходник'!$1:$1,0)))</f>
        <v/>
      </c>
      <c r="F795" s="1" t="str">
        <f t="array" ref="F795">IFERROR(INDEX('Исходник'!$1:$626,MATCH($A795,'Исходник'!$T:$T,0),MATCH(F$1,'Исходник'!$1:$1,0)))</f>
        <v/>
      </c>
      <c r="G795" s="1" t="str">
        <f t="array" ref="G795">IFERROR(INDEX('Исходник'!$1:$626,MATCH($A795,'Исходник'!$T:$T,0),MATCH(G$1,'Исходник'!$1:$1,0)))</f>
        <v/>
      </c>
      <c r="H795" s="27">
        <f t="shared" si="1"/>
        <v>0</v>
      </c>
      <c r="I795" s="27" t="str">
        <f t="shared" si="2"/>
        <v/>
      </c>
      <c r="J795" s="1" t="str">
        <f t="array" ref="J795">IFERROR(INDEX('Исходник'!$1:$626,MATCH($A795,'Исходник'!$T:$T,0),MATCH(J$1,'Исходник'!$1:$1,0)))</f>
        <v/>
      </c>
      <c r="K795" s="27" t="str">
        <f t="shared" si="3"/>
        <v/>
      </c>
      <c r="L795" s="1" t="str">
        <f t="array" ref="L795">IFERROR(INDEX('Исходник'!$1:$626,MATCH($A795,'Исходник'!$T:$T,0),MATCH(L$1,'Исходник'!$1:$1,0)))</f>
        <v/>
      </c>
      <c r="M795" s="28">
        <f t="shared" si="4"/>
        <v>0</v>
      </c>
      <c r="N795" s="1" t="str">
        <f t="array" ref="N795">IFERROR(INDEX('Исходник'!$1:$626,MATCH($A795,'Исходник'!$T:$T,0),MATCH(N$1,'Исходник'!$1:$1,0)))</f>
        <v/>
      </c>
      <c r="O795" s="27">
        <f t="shared" si="5"/>
        <v>0</v>
      </c>
      <c r="P795" s="27" t="str">
        <f t="shared" si="6"/>
        <v/>
      </c>
      <c r="Q795" s="1" t="str">
        <f t="array" ref="Q795">IFERROR(INDEX('Исходник'!$1:$626,MATCH($A795,'Исходник'!$T:$T,0),MATCH(Q$1,'Исходник'!$1:$1,0)))</f>
        <v/>
      </c>
      <c r="R795" s="1" t="str">
        <f t="array" ref="R795">IFERROR(INDEX('Исходник'!$1:$626,MATCH($A795,'Исходник'!$T:$T,0),MATCH(R$1,'Исходник'!$1:$1,0)))</f>
        <v/>
      </c>
      <c r="S795" s="27">
        <f t="shared" si="7"/>
        <v>0</v>
      </c>
      <c r="T795" s="27" t="str">
        <f t="shared" si="8"/>
        <v/>
      </c>
      <c r="U795" s="1" t="str">
        <f t="array" ref="U795">IFERROR(INDEX('Исходник'!$1:$626,MATCH($A795,'Исходник'!$T:$T,0),MATCH(U$1,'Исходник'!$1:$1,0)))</f>
        <v/>
      </c>
      <c r="V795" s="27" t="str">
        <f t="shared" si="9"/>
        <v/>
      </c>
      <c r="W795" s="1" t="str">
        <f t="array" ref="W795">IFERROR(INDEX('Исходник'!$1:$626,MATCH($A795,'Исходник'!$T:$T,0),MATCH(W$1,'Исходник'!$1:$1,0)))</f>
        <v/>
      </c>
      <c r="X795" s="28">
        <f t="shared" si="10"/>
        <v>0</v>
      </c>
      <c r="Y795" s="1" t="str">
        <f t="array" ref="Y795">IFERROR(INDEX('Исходник'!$1:$626,MATCH($A795,'Исходник'!$T:$T,0),MATCH(Y$1,'Исходник'!$1:$1,0)))</f>
        <v/>
      </c>
      <c r="Z795" s="27">
        <f t="shared" si="11"/>
        <v>0</v>
      </c>
      <c r="AA795" s="27" t="str">
        <f t="shared" si="12"/>
        <v/>
      </c>
      <c r="AB795" s="1" t="str">
        <f t="array" ref="AB795">IFERROR(INDEX('Исходник'!$1:$626,MATCH($A795,'Исходник'!$T:$T,0),MATCH(AB$1,'Исходник'!$1:$1,0)))</f>
        <v/>
      </c>
      <c r="AC795" s="1" t="str">
        <f t="array" ref="AC795">IFERROR(INDEX('Исходник'!$1:$626,MATCH($A795,'Исходник'!$T:$T,0),MATCH(AC$1,'Исходник'!$1:$1,0)))</f>
        <v/>
      </c>
      <c r="AD795" s="27" t="str">
        <f t="shared" si="13"/>
        <v/>
      </c>
      <c r="AE795" s="1" t="str">
        <f t="array" ref="AE795">IFERROR(INDEX('Исходник'!$1:$626,MATCH($A795,'Исходник'!$T:$T,0),MATCH(AE$1,'Исходник'!$1:$1,0)))</f>
        <v/>
      </c>
      <c r="AF795" s="1" t="str">
        <f t="array" ref="AF795">IFERROR(INDEX('Исходник'!$1:$626,MATCH($A795,'Исходник'!$T:$T,0),MATCH(AF$1,'Исходник'!$1:$1,0)))</f>
        <v/>
      </c>
      <c r="AG795" s="27" t="str">
        <f t="shared" si="14"/>
        <v/>
      </c>
      <c r="AH795" s="1" t="str">
        <f t="array" ref="AH795">IFERROR(INDEX('Исходник'!$1:$626,MATCH($A795,'Исходник'!$T:$T,0),MATCH(AH$1,'Исходник'!$1:$1,0)))</f>
        <v/>
      </c>
      <c r="AI795" s="1" t="str">
        <f t="array" ref="AI795">IFERROR(INDEX('Исходник'!$1:$626,MATCH($A795,'Исходник'!$T:$T,0),MATCH(AI$1,'Исходник'!$1:$1,0)))</f>
        <v/>
      </c>
      <c r="AJ795" s="18">
        <f t="shared" si="15"/>
        <v>0</v>
      </c>
    </row>
    <row r="796" ht="15.75" customHeight="1">
      <c r="A796" s="27"/>
      <c r="B796" s="1" t="str">
        <f t="array" ref="B796">IFERROR(INDEX('Исходник'!$1:$626,MATCH($A796,'Исходник'!$T:$T,0),MATCH(B$1,'Исходник'!$1:$1,0)))</f>
        <v/>
      </c>
      <c r="C796" s="1" t="str">
        <f t="array" ref="C796">IFERROR(INDEX('Исходник'!$1:$626,MATCH($A796,'Исходник'!$T:$T,0),MATCH(C$1,'Исходник'!$1:$1,0)))</f>
        <v/>
      </c>
      <c r="D796" s="1" t="str">
        <f t="array" ref="D796">IFERROR(INDEX('Исходник'!$1:$626,MATCH($A796,'Исходник'!$T:$T,0),MATCH(D$1,'Исходник'!$1:$1,0)))</f>
        <v/>
      </c>
      <c r="E796" s="1" t="str">
        <f t="array" ref="E796">IFERROR(INDEX('Исходник'!$1:$626,MATCH($A796,'Исходник'!$T:$T,0),MATCH(E$1,'Исходник'!$1:$1,0)))</f>
        <v/>
      </c>
      <c r="F796" s="1" t="str">
        <f t="array" ref="F796">IFERROR(INDEX('Исходник'!$1:$626,MATCH($A796,'Исходник'!$T:$T,0),MATCH(F$1,'Исходник'!$1:$1,0)))</f>
        <v/>
      </c>
      <c r="G796" s="1" t="str">
        <f t="array" ref="G796">IFERROR(INDEX('Исходник'!$1:$626,MATCH($A796,'Исходник'!$T:$T,0),MATCH(G$1,'Исходник'!$1:$1,0)))</f>
        <v/>
      </c>
      <c r="H796" s="27">
        <f t="shared" si="1"/>
        <v>0</v>
      </c>
      <c r="I796" s="27" t="str">
        <f t="shared" si="2"/>
        <v/>
      </c>
      <c r="J796" s="1" t="str">
        <f t="array" ref="J796">IFERROR(INDEX('Исходник'!$1:$626,MATCH($A796,'Исходник'!$T:$T,0),MATCH(J$1,'Исходник'!$1:$1,0)))</f>
        <v/>
      </c>
      <c r="K796" s="27" t="str">
        <f t="shared" si="3"/>
        <v/>
      </c>
      <c r="L796" s="1" t="str">
        <f t="array" ref="L796">IFERROR(INDEX('Исходник'!$1:$626,MATCH($A796,'Исходник'!$T:$T,0),MATCH(L$1,'Исходник'!$1:$1,0)))</f>
        <v/>
      </c>
      <c r="M796" s="28">
        <f t="shared" si="4"/>
        <v>0</v>
      </c>
      <c r="N796" s="1" t="str">
        <f t="array" ref="N796">IFERROR(INDEX('Исходник'!$1:$626,MATCH($A796,'Исходник'!$T:$T,0),MATCH(N$1,'Исходник'!$1:$1,0)))</f>
        <v/>
      </c>
      <c r="O796" s="27">
        <f t="shared" si="5"/>
        <v>0</v>
      </c>
      <c r="P796" s="27" t="str">
        <f t="shared" si="6"/>
        <v/>
      </c>
      <c r="Q796" s="1" t="str">
        <f t="array" ref="Q796">IFERROR(INDEX('Исходник'!$1:$626,MATCH($A796,'Исходник'!$T:$T,0),MATCH(Q$1,'Исходник'!$1:$1,0)))</f>
        <v/>
      </c>
      <c r="R796" s="1" t="str">
        <f t="array" ref="R796">IFERROR(INDEX('Исходник'!$1:$626,MATCH($A796,'Исходник'!$T:$T,0),MATCH(R$1,'Исходник'!$1:$1,0)))</f>
        <v/>
      </c>
      <c r="S796" s="27">
        <f t="shared" si="7"/>
        <v>0</v>
      </c>
      <c r="T796" s="27" t="str">
        <f t="shared" si="8"/>
        <v/>
      </c>
      <c r="U796" s="1" t="str">
        <f t="array" ref="U796">IFERROR(INDEX('Исходник'!$1:$626,MATCH($A796,'Исходник'!$T:$T,0),MATCH(U$1,'Исходник'!$1:$1,0)))</f>
        <v/>
      </c>
      <c r="V796" s="27" t="str">
        <f t="shared" si="9"/>
        <v/>
      </c>
      <c r="W796" s="1" t="str">
        <f t="array" ref="W796">IFERROR(INDEX('Исходник'!$1:$626,MATCH($A796,'Исходник'!$T:$T,0),MATCH(W$1,'Исходник'!$1:$1,0)))</f>
        <v/>
      </c>
      <c r="X796" s="28">
        <f t="shared" si="10"/>
        <v>0</v>
      </c>
      <c r="Y796" s="1" t="str">
        <f t="array" ref="Y796">IFERROR(INDEX('Исходник'!$1:$626,MATCH($A796,'Исходник'!$T:$T,0),MATCH(Y$1,'Исходник'!$1:$1,0)))</f>
        <v/>
      </c>
      <c r="Z796" s="27">
        <f t="shared" si="11"/>
        <v>0</v>
      </c>
      <c r="AA796" s="27" t="str">
        <f t="shared" si="12"/>
        <v/>
      </c>
      <c r="AB796" s="1" t="str">
        <f t="array" ref="AB796">IFERROR(INDEX('Исходник'!$1:$626,MATCH($A796,'Исходник'!$T:$T,0),MATCH(AB$1,'Исходник'!$1:$1,0)))</f>
        <v/>
      </c>
      <c r="AC796" s="1" t="str">
        <f t="array" ref="AC796">IFERROR(INDEX('Исходник'!$1:$626,MATCH($A796,'Исходник'!$T:$T,0),MATCH(AC$1,'Исходник'!$1:$1,0)))</f>
        <v/>
      </c>
      <c r="AD796" s="27" t="str">
        <f t="shared" si="13"/>
        <v/>
      </c>
      <c r="AE796" s="1" t="str">
        <f t="array" ref="AE796">IFERROR(INDEX('Исходник'!$1:$626,MATCH($A796,'Исходник'!$T:$T,0),MATCH(AE$1,'Исходник'!$1:$1,0)))</f>
        <v/>
      </c>
      <c r="AF796" s="1" t="str">
        <f t="array" ref="AF796">IFERROR(INDEX('Исходник'!$1:$626,MATCH($A796,'Исходник'!$T:$T,0),MATCH(AF$1,'Исходник'!$1:$1,0)))</f>
        <v/>
      </c>
      <c r="AG796" s="27" t="str">
        <f t="shared" si="14"/>
        <v/>
      </c>
      <c r="AH796" s="1" t="str">
        <f t="array" ref="AH796">IFERROR(INDEX('Исходник'!$1:$626,MATCH($A796,'Исходник'!$T:$T,0),MATCH(AH$1,'Исходник'!$1:$1,0)))</f>
        <v/>
      </c>
      <c r="AI796" s="1" t="str">
        <f t="array" ref="AI796">IFERROR(INDEX('Исходник'!$1:$626,MATCH($A796,'Исходник'!$T:$T,0),MATCH(AI$1,'Исходник'!$1:$1,0)))</f>
        <v/>
      </c>
      <c r="AJ796" s="18">
        <f t="shared" si="15"/>
        <v>0</v>
      </c>
    </row>
    <row r="797" ht="15.75" customHeight="1">
      <c r="A797" s="27"/>
      <c r="B797" s="1" t="str">
        <f t="array" ref="B797">IFERROR(INDEX('Исходник'!$1:$626,MATCH($A797,'Исходник'!$T:$T,0),MATCH(B$1,'Исходник'!$1:$1,0)))</f>
        <v/>
      </c>
      <c r="C797" s="1" t="str">
        <f t="array" ref="C797">IFERROR(INDEX('Исходник'!$1:$626,MATCH($A797,'Исходник'!$T:$T,0),MATCH(C$1,'Исходник'!$1:$1,0)))</f>
        <v/>
      </c>
      <c r="D797" s="1" t="str">
        <f t="array" ref="D797">IFERROR(INDEX('Исходник'!$1:$626,MATCH($A797,'Исходник'!$T:$T,0),MATCH(D$1,'Исходник'!$1:$1,0)))</f>
        <v/>
      </c>
      <c r="E797" s="1" t="str">
        <f t="array" ref="E797">IFERROR(INDEX('Исходник'!$1:$626,MATCH($A797,'Исходник'!$T:$T,0),MATCH(E$1,'Исходник'!$1:$1,0)))</f>
        <v/>
      </c>
      <c r="F797" s="1" t="str">
        <f t="array" ref="F797">IFERROR(INDEX('Исходник'!$1:$626,MATCH($A797,'Исходник'!$T:$T,0),MATCH(F$1,'Исходник'!$1:$1,0)))</f>
        <v/>
      </c>
      <c r="G797" s="1" t="str">
        <f t="array" ref="G797">IFERROR(INDEX('Исходник'!$1:$626,MATCH($A797,'Исходник'!$T:$T,0),MATCH(G$1,'Исходник'!$1:$1,0)))</f>
        <v/>
      </c>
      <c r="H797" s="27">
        <f t="shared" si="1"/>
        <v>0</v>
      </c>
      <c r="I797" s="27" t="str">
        <f t="shared" si="2"/>
        <v/>
      </c>
      <c r="J797" s="1" t="str">
        <f t="array" ref="J797">IFERROR(INDEX('Исходник'!$1:$626,MATCH($A797,'Исходник'!$T:$T,0),MATCH(J$1,'Исходник'!$1:$1,0)))</f>
        <v/>
      </c>
      <c r="K797" s="27" t="str">
        <f t="shared" si="3"/>
        <v/>
      </c>
      <c r="L797" s="1" t="str">
        <f t="array" ref="L797">IFERROR(INDEX('Исходник'!$1:$626,MATCH($A797,'Исходник'!$T:$T,0),MATCH(L$1,'Исходник'!$1:$1,0)))</f>
        <v/>
      </c>
      <c r="M797" s="28">
        <f t="shared" si="4"/>
        <v>0</v>
      </c>
      <c r="N797" s="1" t="str">
        <f t="array" ref="N797">IFERROR(INDEX('Исходник'!$1:$626,MATCH($A797,'Исходник'!$T:$T,0),MATCH(N$1,'Исходник'!$1:$1,0)))</f>
        <v/>
      </c>
      <c r="O797" s="27">
        <f t="shared" si="5"/>
        <v>0</v>
      </c>
      <c r="P797" s="27" t="str">
        <f t="shared" si="6"/>
        <v/>
      </c>
      <c r="Q797" s="1" t="str">
        <f t="array" ref="Q797">IFERROR(INDEX('Исходник'!$1:$626,MATCH($A797,'Исходник'!$T:$T,0),MATCH(Q$1,'Исходник'!$1:$1,0)))</f>
        <v/>
      </c>
      <c r="R797" s="1" t="str">
        <f t="array" ref="R797">IFERROR(INDEX('Исходник'!$1:$626,MATCH($A797,'Исходник'!$T:$T,0),MATCH(R$1,'Исходник'!$1:$1,0)))</f>
        <v/>
      </c>
      <c r="S797" s="27">
        <f t="shared" si="7"/>
        <v>0</v>
      </c>
      <c r="T797" s="27" t="str">
        <f t="shared" si="8"/>
        <v/>
      </c>
      <c r="U797" s="1" t="str">
        <f t="array" ref="U797">IFERROR(INDEX('Исходник'!$1:$626,MATCH($A797,'Исходник'!$T:$T,0),MATCH(U$1,'Исходник'!$1:$1,0)))</f>
        <v/>
      </c>
      <c r="V797" s="27" t="str">
        <f t="shared" si="9"/>
        <v/>
      </c>
      <c r="W797" s="1" t="str">
        <f t="array" ref="W797">IFERROR(INDEX('Исходник'!$1:$626,MATCH($A797,'Исходник'!$T:$T,0),MATCH(W$1,'Исходник'!$1:$1,0)))</f>
        <v/>
      </c>
      <c r="X797" s="28">
        <f t="shared" si="10"/>
        <v>0</v>
      </c>
      <c r="Y797" s="1" t="str">
        <f t="array" ref="Y797">IFERROR(INDEX('Исходник'!$1:$626,MATCH($A797,'Исходник'!$T:$T,0),MATCH(Y$1,'Исходник'!$1:$1,0)))</f>
        <v/>
      </c>
      <c r="Z797" s="27">
        <f t="shared" si="11"/>
        <v>0</v>
      </c>
      <c r="AA797" s="27" t="str">
        <f t="shared" si="12"/>
        <v/>
      </c>
      <c r="AB797" s="1" t="str">
        <f t="array" ref="AB797">IFERROR(INDEX('Исходник'!$1:$626,MATCH($A797,'Исходник'!$T:$T,0),MATCH(AB$1,'Исходник'!$1:$1,0)))</f>
        <v/>
      </c>
      <c r="AC797" s="1" t="str">
        <f t="array" ref="AC797">IFERROR(INDEX('Исходник'!$1:$626,MATCH($A797,'Исходник'!$T:$T,0),MATCH(AC$1,'Исходник'!$1:$1,0)))</f>
        <v/>
      </c>
      <c r="AD797" s="27" t="str">
        <f t="shared" si="13"/>
        <v/>
      </c>
      <c r="AE797" s="1" t="str">
        <f t="array" ref="AE797">IFERROR(INDEX('Исходник'!$1:$626,MATCH($A797,'Исходник'!$T:$T,0),MATCH(AE$1,'Исходник'!$1:$1,0)))</f>
        <v/>
      </c>
      <c r="AF797" s="1" t="str">
        <f t="array" ref="AF797">IFERROR(INDEX('Исходник'!$1:$626,MATCH($A797,'Исходник'!$T:$T,0),MATCH(AF$1,'Исходник'!$1:$1,0)))</f>
        <v/>
      </c>
      <c r="AG797" s="27" t="str">
        <f t="shared" si="14"/>
        <v/>
      </c>
      <c r="AH797" s="1" t="str">
        <f t="array" ref="AH797">IFERROR(INDEX('Исходник'!$1:$626,MATCH($A797,'Исходник'!$T:$T,0),MATCH(AH$1,'Исходник'!$1:$1,0)))</f>
        <v/>
      </c>
      <c r="AI797" s="1" t="str">
        <f t="array" ref="AI797">IFERROR(INDEX('Исходник'!$1:$626,MATCH($A797,'Исходник'!$T:$T,0),MATCH(AI$1,'Исходник'!$1:$1,0)))</f>
        <v/>
      </c>
      <c r="AJ797" s="18">
        <f t="shared" si="15"/>
        <v>0</v>
      </c>
    </row>
    <row r="798" ht="15.75" customHeight="1">
      <c r="A798" s="27"/>
      <c r="B798" s="1" t="str">
        <f t="array" ref="B798">IFERROR(INDEX('Исходник'!$1:$626,MATCH($A798,'Исходник'!$T:$T,0),MATCH(B$1,'Исходник'!$1:$1,0)))</f>
        <v/>
      </c>
      <c r="C798" s="1" t="str">
        <f t="array" ref="C798">IFERROR(INDEX('Исходник'!$1:$626,MATCH($A798,'Исходник'!$T:$T,0),MATCH(C$1,'Исходник'!$1:$1,0)))</f>
        <v/>
      </c>
      <c r="D798" s="1" t="str">
        <f t="array" ref="D798">IFERROR(INDEX('Исходник'!$1:$626,MATCH($A798,'Исходник'!$T:$T,0),MATCH(D$1,'Исходник'!$1:$1,0)))</f>
        <v/>
      </c>
      <c r="E798" s="1" t="str">
        <f t="array" ref="E798">IFERROR(INDEX('Исходник'!$1:$626,MATCH($A798,'Исходник'!$T:$T,0),MATCH(E$1,'Исходник'!$1:$1,0)))</f>
        <v/>
      </c>
      <c r="F798" s="1" t="str">
        <f t="array" ref="F798">IFERROR(INDEX('Исходник'!$1:$626,MATCH($A798,'Исходник'!$T:$T,0),MATCH(F$1,'Исходник'!$1:$1,0)))</f>
        <v/>
      </c>
      <c r="G798" s="1" t="str">
        <f t="array" ref="G798">IFERROR(INDEX('Исходник'!$1:$626,MATCH($A798,'Исходник'!$T:$T,0),MATCH(G$1,'Исходник'!$1:$1,0)))</f>
        <v/>
      </c>
      <c r="H798" s="27">
        <f t="shared" si="1"/>
        <v>0</v>
      </c>
      <c r="I798" s="27" t="str">
        <f t="shared" si="2"/>
        <v/>
      </c>
      <c r="J798" s="1" t="str">
        <f t="array" ref="J798">IFERROR(INDEX('Исходник'!$1:$626,MATCH($A798,'Исходник'!$T:$T,0),MATCH(J$1,'Исходник'!$1:$1,0)))</f>
        <v/>
      </c>
      <c r="K798" s="27" t="str">
        <f t="shared" si="3"/>
        <v/>
      </c>
      <c r="L798" s="1" t="str">
        <f t="array" ref="L798">IFERROR(INDEX('Исходник'!$1:$626,MATCH($A798,'Исходник'!$T:$T,0),MATCH(L$1,'Исходник'!$1:$1,0)))</f>
        <v/>
      </c>
      <c r="M798" s="28">
        <f t="shared" si="4"/>
        <v>0</v>
      </c>
      <c r="N798" s="1" t="str">
        <f t="array" ref="N798">IFERROR(INDEX('Исходник'!$1:$626,MATCH($A798,'Исходник'!$T:$T,0),MATCH(N$1,'Исходник'!$1:$1,0)))</f>
        <v/>
      </c>
      <c r="O798" s="27">
        <f t="shared" si="5"/>
        <v>0</v>
      </c>
      <c r="P798" s="27" t="str">
        <f t="shared" si="6"/>
        <v/>
      </c>
      <c r="Q798" s="1" t="str">
        <f t="array" ref="Q798">IFERROR(INDEX('Исходник'!$1:$626,MATCH($A798,'Исходник'!$T:$T,0),MATCH(Q$1,'Исходник'!$1:$1,0)))</f>
        <v/>
      </c>
      <c r="R798" s="1" t="str">
        <f t="array" ref="R798">IFERROR(INDEX('Исходник'!$1:$626,MATCH($A798,'Исходник'!$T:$T,0),MATCH(R$1,'Исходник'!$1:$1,0)))</f>
        <v/>
      </c>
      <c r="S798" s="27">
        <f t="shared" si="7"/>
        <v>0</v>
      </c>
      <c r="T798" s="27" t="str">
        <f t="shared" si="8"/>
        <v/>
      </c>
      <c r="U798" s="1" t="str">
        <f t="array" ref="U798">IFERROR(INDEX('Исходник'!$1:$626,MATCH($A798,'Исходник'!$T:$T,0),MATCH(U$1,'Исходник'!$1:$1,0)))</f>
        <v/>
      </c>
      <c r="V798" s="27" t="str">
        <f t="shared" si="9"/>
        <v/>
      </c>
      <c r="W798" s="1" t="str">
        <f t="array" ref="W798">IFERROR(INDEX('Исходник'!$1:$626,MATCH($A798,'Исходник'!$T:$T,0),MATCH(W$1,'Исходник'!$1:$1,0)))</f>
        <v/>
      </c>
      <c r="X798" s="28">
        <f t="shared" si="10"/>
        <v>0</v>
      </c>
      <c r="Y798" s="1" t="str">
        <f t="array" ref="Y798">IFERROR(INDEX('Исходник'!$1:$626,MATCH($A798,'Исходник'!$T:$T,0),MATCH(Y$1,'Исходник'!$1:$1,0)))</f>
        <v/>
      </c>
      <c r="Z798" s="27">
        <f t="shared" si="11"/>
        <v>0</v>
      </c>
      <c r="AA798" s="27" t="str">
        <f t="shared" si="12"/>
        <v/>
      </c>
      <c r="AB798" s="1" t="str">
        <f t="array" ref="AB798">IFERROR(INDEX('Исходник'!$1:$626,MATCH($A798,'Исходник'!$T:$T,0),MATCH(AB$1,'Исходник'!$1:$1,0)))</f>
        <v/>
      </c>
      <c r="AC798" s="1" t="str">
        <f t="array" ref="AC798">IFERROR(INDEX('Исходник'!$1:$626,MATCH($A798,'Исходник'!$T:$T,0),MATCH(AC$1,'Исходник'!$1:$1,0)))</f>
        <v/>
      </c>
      <c r="AD798" s="27" t="str">
        <f t="shared" si="13"/>
        <v/>
      </c>
      <c r="AE798" s="1" t="str">
        <f t="array" ref="AE798">IFERROR(INDEX('Исходник'!$1:$626,MATCH($A798,'Исходник'!$T:$T,0),MATCH(AE$1,'Исходник'!$1:$1,0)))</f>
        <v/>
      </c>
      <c r="AF798" s="1" t="str">
        <f t="array" ref="AF798">IFERROR(INDEX('Исходник'!$1:$626,MATCH($A798,'Исходник'!$T:$T,0),MATCH(AF$1,'Исходник'!$1:$1,0)))</f>
        <v/>
      </c>
      <c r="AG798" s="27" t="str">
        <f t="shared" si="14"/>
        <v/>
      </c>
      <c r="AH798" s="1" t="str">
        <f t="array" ref="AH798">IFERROR(INDEX('Исходник'!$1:$626,MATCH($A798,'Исходник'!$T:$T,0),MATCH(AH$1,'Исходник'!$1:$1,0)))</f>
        <v/>
      </c>
      <c r="AI798" s="1" t="str">
        <f t="array" ref="AI798">IFERROR(INDEX('Исходник'!$1:$626,MATCH($A798,'Исходник'!$T:$T,0),MATCH(AI$1,'Исходник'!$1:$1,0)))</f>
        <v/>
      </c>
      <c r="AJ798" s="18">
        <f t="shared" si="15"/>
        <v>0</v>
      </c>
    </row>
    <row r="799" ht="15.75" customHeight="1">
      <c r="A799" s="27"/>
      <c r="B799" s="1" t="str">
        <f t="array" ref="B799">IFERROR(INDEX('Исходник'!$1:$626,MATCH($A799,'Исходник'!$T:$T,0),MATCH(B$1,'Исходник'!$1:$1,0)))</f>
        <v/>
      </c>
      <c r="C799" s="1" t="str">
        <f t="array" ref="C799">IFERROR(INDEX('Исходник'!$1:$626,MATCH($A799,'Исходник'!$T:$T,0),MATCH(C$1,'Исходник'!$1:$1,0)))</f>
        <v/>
      </c>
      <c r="D799" s="1" t="str">
        <f t="array" ref="D799">IFERROR(INDEX('Исходник'!$1:$626,MATCH($A799,'Исходник'!$T:$T,0),MATCH(D$1,'Исходник'!$1:$1,0)))</f>
        <v/>
      </c>
      <c r="E799" s="1" t="str">
        <f t="array" ref="E799">IFERROR(INDEX('Исходник'!$1:$626,MATCH($A799,'Исходник'!$T:$T,0),MATCH(E$1,'Исходник'!$1:$1,0)))</f>
        <v/>
      </c>
      <c r="F799" s="1" t="str">
        <f t="array" ref="F799">IFERROR(INDEX('Исходник'!$1:$626,MATCH($A799,'Исходник'!$T:$T,0),MATCH(F$1,'Исходник'!$1:$1,0)))</f>
        <v/>
      </c>
      <c r="G799" s="1" t="str">
        <f t="array" ref="G799">IFERROR(INDEX('Исходник'!$1:$626,MATCH($A799,'Исходник'!$T:$T,0),MATCH(G$1,'Исходник'!$1:$1,0)))</f>
        <v/>
      </c>
      <c r="H799" s="27">
        <f t="shared" si="1"/>
        <v>0</v>
      </c>
      <c r="I799" s="27" t="str">
        <f t="shared" si="2"/>
        <v/>
      </c>
      <c r="J799" s="1" t="str">
        <f t="array" ref="J799">IFERROR(INDEX('Исходник'!$1:$626,MATCH($A799,'Исходник'!$T:$T,0),MATCH(J$1,'Исходник'!$1:$1,0)))</f>
        <v/>
      </c>
      <c r="K799" s="27" t="str">
        <f t="shared" si="3"/>
        <v/>
      </c>
      <c r="L799" s="1" t="str">
        <f t="array" ref="L799">IFERROR(INDEX('Исходник'!$1:$626,MATCH($A799,'Исходник'!$T:$T,0),MATCH(L$1,'Исходник'!$1:$1,0)))</f>
        <v/>
      </c>
      <c r="M799" s="28">
        <f t="shared" si="4"/>
        <v>0</v>
      </c>
      <c r="N799" s="1" t="str">
        <f t="array" ref="N799">IFERROR(INDEX('Исходник'!$1:$626,MATCH($A799,'Исходник'!$T:$T,0),MATCH(N$1,'Исходник'!$1:$1,0)))</f>
        <v/>
      </c>
      <c r="O799" s="27">
        <f t="shared" si="5"/>
        <v>0</v>
      </c>
      <c r="P799" s="27" t="str">
        <f t="shared" si="6"/>
        <v/>
      </c>
      <c r="Q799" s="1" t="str">
        <f t="array" ref="Q799">IFERROR(INDEX('Исходник'!$1:$626,MATCH($A799,'Исходник'!$T:$T,0),MATCH(Q$1,'Исходник'!$1:$1,0)))</f>
        <v/>
      </c>
      <c r="R799" s="1" t="str">
        <f t="array" ref="R799">IFERROR(INDEX('Исходник'!$1:$626,MATCH($A799,'Исходник'!$T:$T,0),MATCH(R$1,'Исходник'!$1:$1,0)))</f>
        <v/>
      </c>
      <c r="S799" s="27">
        <f t="shared" si="7"/>
        <v>0</v>
      </c>
      <c r="T799" s="27" t="str">
        <f t="shared" si="8"/>
        <v/>
      </c>
      <c r="U799" s="1" t="str">
        <f t="array" ref="U799">IFERROR(INDEX('Исходник'!$1:$626,MATCH($A799,'Исходник'!$T:$T,0),MATCH(U$1,'Исходник'!$1:$1,0)))</f>
        <v/>
      </c>
      <c r="V799" s="27" t="str">
        <f t="shared" si="9"/>
        <v/>
      </c>
      <c r="W799" s="1" t="str">
        <f t="array" ref="W799">IFERROR(INDEX('Исходник'!$1:$626,MATCH($A799,'Исходник'!$T:$T,0),MATCH(W$1,'Исходник'!$1:$1,0)))</f>
        <v/>
      </c>
      <c r="X799" s="28">
        <f t="shared" si="10"/>
        <v>0</v>
      </c>
      <c r="Y799" s="1" t="str">
        <f t="array" ref="Y799">IFERROR(INDEX('Исходник'!$1:$626,MATCH($A799,'Исходник'!$T:$T,0),MATCH(Y$1,'Исходник'!$1:$1,0)))</f>
        <v/>
      </c>
      <c r="Z799" s="27">
        <f t="shared" si="11"/>
        <v>0</v>
      </c>
      <c r="AA799" s="27" t="str">
        <f t="shared" si="12"/>
        <v/>
      </c>
      <c r="AB799" s="1" t="str">
        <f t="array" ref="AB799">IFERROR(INDEX('Исходник'!$1:$626,MATCH($A799,'Исходник'!$T:$T,0),MATCH(AB$1,'Исходник'!$1:$1,0)))</f>
        <v/>
      </c>
      <c r="AC799" s="1" t="str">
        <f t="array" ref="AC799">IFERROR(INDEX('Исходник'!$1:$626,MATCH($A799,'Исходник'!$T:$T,0),MATCH(AC$1,'Исходник'!$1:$1,0)))</f>
        <v/>
      </c>
      <c r="AD799" s="27" t="str">
        <f t="shared" si="13"/>
        <v/>
      </c>
      <c r="AE799" s="1" t="str">
        <f t="array" ref="AE799">IFERROR(INDEX('Исходник'!$1:$626,MATCH($A799,'Исходник'!$T:$T,0),MATCH(AE$1,'Исходник'!$1:$1,0)))</f>
        <v/>
      </c>
      <c r="AF799" s="1" t="str">
        <f t="array" ref="AF799">IFERROR(INDEX('Исходник'!$1:$626,MATCH($A799,'Исходник'!$T:$T,0),MATCH(AF$1,'Исходник'!$1:$1,0)))</f>
        <v/>
      </c>
      <c r="AG799" s="27" t="str">
        <f t="shared" si="14"/>
        <v/>
      </c>
      <c r="AH799" s="1" t="str">
        <f t="array" ref="AH799">IFERROR(INDEX('Исходник'!$1:$626,MATCH($A799,'Исходник'!$T:$T,0),MATCH(AH$1,'Исходник'!$1:$1,0)))</f>
        <v/>
      </c>
      <c r="AI799" s="1" t="str">
        <f t="array" ref="AI799">IFERROR(INDEX('Исходник'!$1:$626,MATCH($A799,'Исходник'!$T:$T,0),MATCH(AI$1,'Исходник'!$1:$1,0)))</f>
        <v/>
      </c>
      <c r="AJ799" s="18">
        <f t="shared" si="15"/>
        <v>0</v>
      </c>
    </row>
    <row r="800" ht="15.75" customHeight="1">
      <c r="A800" s="27"/>
      <c r="B800" s="1" t="str">
        <f t="array" ref="B800">IFERROR(INDEX('Исходник'!$1:$626,MATCH($A800,'Исходник'!$T:$T,0),MATCH(B$1,'Исходник'!$1:$1,0)))</f>
        <v/>
      </c>
      <c r="C800" s="1" t="str">
        <f t="array" ref="C800">IFERROR(INDEX('Исходник'!$1:$626,MATCH($A800,'Исходник'!$T:$T,0),MATCH(C$1,'Исходник'!$1:$1,0)))</f>
        <v/>
      </c>
      <c r="D800" s="1" t="str">
        <f t="array" ref="D800">IFERROR(INDEX('Исходник'!$1:$626,MATCH($A800,'Исходник'!$T:$T,0),MATCH(D$1,'Исходник'!$1:$1,0)))</f>
        <v/>
      </c>
      <c r="E800" s="1" t="str">
        <f t="array" ref="E800">IFERROR(INDEX('Исходник'!$1:$626,MATCH($A800,'Исходник'!$T:$T,0),MATCH(E$1,'Исходник'!$1:$1,0)))</f>
        <v/>
      </c>
      <c r="F800" s="1" t="str">
        <f t="array" ref="F800">IFERROR(INDEX('Исходник'!$1:$626,MATCH($A800,'Исходник'!$T:$T,0),MATCH(F$1,'Исходник'!$1:$1,0)))</f>
        <v/>
      </c>
      <c r="G800" s="1" t="str">
        <f t="array" ref="G800">IFERROR(INDEX('Исходник'!$1:$626,MATCH($A800,'Исходник'!$T:$T,0),MATCH(G$1,'Исходник'!$1:$1,0)))</f>
        <v/>
      </c>
      <c r="H800" s="27">
        <f t="shared" si="1"/>
        <v>0</v>
      </c>
      <c r="I800" s="27" t="str">
        <f t="shared" si="2"/>
        <v/>
      </c>
      <c r="J800" s="1" t="str">
        <f t="array" ref="J800">IFERROR(INDEX('Исходник'!$1:$626,MATCH($A800,'Исходник'!$T:$T,0),MATCH(J$1,'Исходник'!$1:$1,0)))</f>
        <v/>
      </c>
      <c r="K800" s="27" t="str">
        <f t="shared" si="3"/>
        <v/>
      </c>
      <c r="L800" s="1" t="str">
        <f t="array" ref="L800">IFERROR(INDEX('Исходник'!$1:$626,MATCH($A800,'Исходник'!$T:$T,0),MATCH(L$1,'Исходник'!$1:$1,0)))</f>
        <v/>
      </c>
      <c r="M800" s="28">
        <f t="shared" si="4"/>
        <v>0</v>
      </c>
      <c r="N800" s="1" t="str">
        <f t="array" ref="N800">IFERROR(INDEX('Исходник'!$1:$626,MATCH($A800,'Исходник'!$T:$T,0),MATCH(N$1,'Исходник'!$1:$1,0)))</f>
        <v/>
      </c>
      <c r="O800" s="27">
        <f t="shared" si="5"/>
        <v>0</v>
      </c>
      <c r="P800" s="27" t="str">
        <f t="shared" si="6"/>
        <v/>
      </c>
      <c r="Q800" s="1" t="str">
        <f t="array" ref="Q800">IFERROR(INDEX('Исходник'!$1:$626,MATCH($A800,'Исходник'!$T:$T,0),MATCH(Q$1,'Исходник'!$1:$1,0)))</f>
        <v/>
      </c>
      <c r="R800" s="1" t="str">
        <f t="array" ref="R800">IFERROR(INDEX('Исходник'!$1:$626,MATCH($A800,'Исходник'!$T:$T,0),MATCH(R$1,'Исходник'!$1:$1,0)))</f>
        <v/>
      </c>
      <c r="S800" s="27">
        <f t="shared" si="7"/>
        <v>0</v>
      </c>
      <c r="T800" s="27" t="str">
        <f t="shared" si="8"/>
        <v/>
      </c>
      <c r="U800" s="1" t="str">
        <f t="array" ref="U800">IFERROR(INDEX('Исходник'!$1:$626,MATCH($A800,'Исходник'!$T:$T,0),MATCH(U$1,'Исходник'!$1:$1,0)))</f>
        <v/>
      </c>
      <c r="V800" s="27" t="str">
        <f t="shared" si="9"/>
        <v/>
      </c>
      <c r="W800" s="1" t="str">
        <f t="array" ref="W800">IFERROR(INDEX('Исходник'!$1:$626,MATCH($A800,'Исходник'!$T:$T,0),MATCH(W$1,'Исходник'!$1:$1,0)))</f>
        <v/>
      </c>
      <c r="X800" s="28">
        <f t="shared" si="10"/>
        <v>0</v>
      </c>
      <c r="Y800" s="1" t="str">
        <f t="array" ref="Y800">IFERROR(INDEX('Исходник'!$1:$626,MATCH($A800,'Исходник'!$T:$T,0),MATCH(Y$1,'Исходник'!$1:$1,0)))</f>
        <v/>
      </c>
      <c r="Z800" s="27">
        <f t="shared" si="11"/>
        <v>0</v>
      </c>
      <c r="AA800" s="27" t="str">
        <f t="shared" si="12"/>
        <v/>
      </c>
      <c r="AB800" s="1" t="str">
        <f t="array" ref="AB800">IFERROR(INDEX('Исходник'!$1:$626,MATCH($A800,'Исходник'!$T:$T,0),MATCH(AB$1,'Исходник'!$1:$1,0)))</f>
        <v/>
      </c>
      <c r="AC800" s="1" t="str">
        <f t="array" ref="AC800">IFERROR(INDEX('Исходник'!$1:$626,MATCH($A800,'Исходник'!$T:$T,0),MATCH(AC$1,'Исходник'!$1:$1,0)))</f>
        <v/>
      </c>
      <c r="AD800" s="27" t="str">
        <f t="shared" si="13"/>
        <v/>
      </c>
      <c r="AE800" s="1" t="str">
        <f t="array" ref="AE800">IFERROR(INDEX('Исходник'!$1:$626,MATCH($A800,'Исходник'!$T:$T,0),MATCH(AE$1,'Исходник'!$1:$1,0)))</f>
        <v/>
      </c>
      <c r="AF800" s="1" t="str">
        <f t="array" ref="AF800">IFERROR(INDEX('Исходник'!$1:$626,MATCH($A800,'Исходник'!$T:$T,0),MATCH(AF$1,'Исходник'!$1:$1,0)))</f>
        <v/>
      </c>
      <c r="AG800" s="27" t="str">
        <f t="shared" si="14"/>
        <v/>
      </c>
      <c r="AH800" s="1" t="str">
        <f t="array" ref="AH800">IFERROR(INDEX('Исходник'!$1:$626,MATCH($A800,'Исходник'!$T:$T,0),MATCH(AH$1,'Исходник'!$1:$1,0)))</f>
        <v/>
      </c>
      <c r="AI800" s="1" t="str">
        <f t="array" ref="AI800">IFERROR(INDEX('Исходник'!$1:$626,MATCH($A800,'Исходник'!$T:$T,0),MATCH(AI$1,'Исходник'!$1:$1,0)))</f>
        <v/>
      </c>
      <c r="AJ800" s="18">
        <f t="shared" si="15"/>
        <v>0</v>
      </c>
    </row>
    <row r="801" ht="15.75" customHeight="1">
      <c r="A801" s="27"/>
      <c r="B801" s="1" t="str">
        <f t="array" ref="B801">IFERROR(INDEX('Исходник'!$1:$626,MATCH($A801,'Исходник'!$T:$T,0),MATCH(B$1,'Исходник'!$1:$1,0)))</f>
        <v/>
      </c>
      <c r="C801" s="1" t="str">
        <f t="array" ref="C801">IFERROR(INDEX('Исходник'!$1:$626,MATCH($A801,'Исходник'!$T:$T,0),MATCH(C$1,'Исходник'!$1:$1,0)))</f>
        <v/>
      </c>
      <c r="D801" s="1" t="str">
        <f t="array" ref="D801">IFERROR(INDEX('Исходник'!$1:$626,MATCH($A801,'Исходник'!$T:$T,0),MATCH(D$1,'Исходник'!$1:$1,0)))</f>
        <v/>
      </c>
      <c r="E801" s="1" t="str">
        <f t="array" ref="E801">IFERROR(INDEX('Исходник'!$1:$626,MATCH($A801,'Исходник'!$T:$T,0),MATCH(E$1,'Исходник'!$1:$1,0)))</f>
        <v/>
      </c>
      <c r="F801" s="1" t="str">
        <f t="array" ref="F801">IFERROR(INDEX('Исходник'!$1:$626,MATCH($A801,'Исходник'!$T:$T,0),MATCH(F$1,'Исходник'!$1:$1,0)))</f>
        <v/>
      </c>
      <c r="G801" s="1" t="str">
        <f t="array" ref="G801">IFERROR(INDEX('Исходник'!$1:$626,MATCH($A801,'Исходник'!$T:$T,0),MATCH(G$1,'Исходник'!$1:$1,0)))</f>
        <v/>
      </c>
      <c r="H801" s="27">
        <f t="shared" si="1"/>
        <v>0</v>
      </c>
      <c r="I801" s="27" t="str">
        <f t="shared" si="2"/>
        <v/>
      </c>
      <c r="J801" s="1" t="str">
        <f t="array" ref="J801">IFERROR(INDEX('Исходник'!$1:$626,MATCH($A801,'Исходник'!$T:$T,0),MATCH(J$1,'Исходник'!$1:$1,0)))</f>
        <v/>
      </c>
      <c r="K801" s="27" t="str">
        <f t="shared" si="3"/>
        <v/>
      </c>
      <c r="L801" s="1" t="str">
        <f t="array" ref="L801">IFERROR(INDEX('Исходник'!$1:$626,MATCH($A801,'Исходник'!$T:$T,0),MATCH(L$1,'Исходник'!$1:$1,0)))</f>
        <v/>
      </c>
      <c r="M801" s="28">
        <f t="shared" si="4"/>
        <v>0</v>
      </c>
      <c r="N801" s="1" t="str">
        <f t="array" ref="N801">IFERROR(INDEX('Исходник'!$1:$626,MATCH($A801,'Исходник'!$T:$T,0),MATCH(N$1,'Исходник'!$1:$1,0)))</f>
        <v/>
      </c>
      <c r="O801" s="27">
        <f t="shared" si="5"/>
        <v>0</v>
      </c>
      <c r="P801" s="27" t="str">
        <f t="shared" si="6"/>
        <v/>
      </c>
      <c r="Q801" s="1" t="str">
        <f t="array" ref="Q801">IFERROR(INDEX('Исходник'!$1:$626,MATCH($A801,'Исходник'!$T:$T,0),MATCH(Q$1,'Исходник'!$1:$1,0)))</f>
        <v/>
      </c>
      <c r="R801" s="1" t="str">
        <f t="array" ref="R801">IFERROR(INDEX('Исходник'!$1:$626,MATCH($A801,'Исходник'!$T:$T,0),MATCH(R$1,'Исходник'!$1:$1,0)))</f>
        <v/>
      </c>
      <c r="S801" s="27">
        <f t="shared" si="7"/>
        <v>0</v>
      </c>
      <c r="T801" s="27" t="str">
        <f t="shared" si="8"/>
        <v/>
      </c>
      <c r="U801" s="1" t="str">
        <f t="array" ref="U801">IFERROR(INDEX('Исходник'!$1:$626,MATCH($A801,'Исходник'!$T:$T,0),MATCH(U$1,'Исходник'!$1:$1,0)))</f>
        <v/>
      </c>
      <c r="V801" s="27" t="str">
        <f t="shared" si="9"/>
        <v/>
      </c>
      <c r="W801" s="1" t="str">
        <f t="array" ref="W801">IFERROR(INDEX('Исходник'!$1:$626,MATCH($A801,'Исходник'!$T:$T,0),MATCH(W$1,'Исходник'!$1:$1,0)))</f>
        <v/>
      </c>
      <c r="X801" s="28">
        <f t="shared" si="10"/>
        <v>0</v>
      </c>
      <c r="Y801" s="1" t="str">
        <f t="array" ref="Y801">IFERROR(INDEX('Исходник'!$1:$626,MATCH($A801,'Исходник'!$T:$T,0),MATCH(Y$1,'Исходник'!$1:$1,0)))</f>
        <v/>
      </c>
      <c r="Z801" s="27">
        <f t="shared" si="11"/>
        <v>0</v>
      </c>
      <c r="AA801" s="27" t="str">
        <f t="shared" si="12"/>
        <v/>
      </c>
      <c r="AB801" s="1" t="str">
        <f t="array" ref="AB801">IFERROR(INDEX('Исходник'!$1:$626,MATCH($A801,'Исходник'!$T:$T,0),MATCH(AB$1,'Исходник'!$1:$1,0)))</f>
        <v/>
      </c>
      <c r="AC801" s="1" t="str">
        <f t="array" ref="AC801">IFERROR(INDEX('Исходник'!$1:$626,MATCH($A801,'Исходник'!$T:$T,0),MATCH(AC$1,'Исходник'!$1:$1,0)))</f>
        <v/>
      </c>
      <c r="AD801" s="27" t="str">
        <f t="shared" si="13"/>
        <v/>
      </c>
      <c r="AE801" s="1" t="str">
        <f t="array" ref="AE801">IFERROR(INDEX('Исходник'!$1:$626,MATCH($A801,'Исходник'!$T:$T,0),MATCH(AE$1,'Исходник'!$1:$1,0)))</f>
        <v/>
      </c>
      <c r="AF801" s="1" t="str">
        <f t="array" ref="AF801">IFERROR(INDEX('Исходник'!$1:$626,MATCH($A801,'Исходник'!$T:$T,0),MATCH(AF$1,'Исходник'!$1:$1,0)))</f>
        <v/>
      </c>
      <c r="AG801" s="27" t="str">
        <f t="shared" si="14"/>
        <v/>
      </c>
      <c r="AH801" s="1" t="str">
        <f t="array" ref="AH801">IFERROR(INDEX('Исходник'!$1:$626,MATCH($A801,'Исходник'!$T:$T,0),MATCH(AH$1,'Исходник'!$1:$1,0)))</f>
        <v/>
      </c>
      <c r="AI801" s="1" t="str">
        <f t="array" ref="AI801">IFERROR(INDEX('Исходник'!$1:$626,MATCH($A801,'Исходник'!$T:$T,0),MATCH(AI$1,'Исходник'!$1:$1,0)))</f>
        <v/>
      </c>
      <c r="AJ801" s="18">
        <f t="shared" si="15"/>
        <v>0</v>
      </c>
    </row>
    <row r="802" ht="15.75" customHeight="1">
      <c r="A802" s="27"/>
      <c r="B802" s="1" t="str">
        <f t="array" ref="B802">IFERROR(INDEX('Исходник'!$1:$626,MATCH($A802,'Исходник'!$T:$T,0),MATCH(B$1,'Исходник'!$1:$1,0)))</f>
        <v/>
      </c>
      <c r="C802" s="1" t="str">
        <f t="array" ref="C802">IFERROR(INDEX('Исходник'!$1:$626,MATCH($A802,'Исходник'!$T:$T,0),MATCH(C$1,'Исходник'!$1:$1,0)))</f>
        <v/>
      </c>
      <c r="D802" s="1" t="str">
        <f t="array" ref="D802">IFERROR(INDEX('Исходник'!$1:$626,MATCH($A802,'Исходник'!$T:$T,0),MATCH(D$1,'Исходник'!$1:$1,0)))</f>
        <v/>
      </c>
      <c r="E802" s="1" t="str">
        <f t="array" ref="E802">IFERROR(INDEX('Исходник'!$1:$626,MATCH($A802,'Исходник'!$T:$T,0),MATCH(E$1,'Исходник'!$1:$1,0)))</f>
        <v/>
      </c>
      <c r="F802" s="1" t="str">
        <f t="array" ref="F802">IFERROR(INDEX('Исходник'!$1:$626,MATCH($A802,'Исходник'!$T:$T,0),MATCH(F$1,'Исходник'!$1:$1,0)))</f>
        <v/>
      </c>
      <c r="G802" s="1" t="str">
        <f t="array" ref="G802">IFERROR(INDEX('Исходник'!$1:$626,MATCH($A802,'Исходник'!$T:$T,0),MATCH(G$1,'Исходник'!$1:$1,0)))</f>
        <v/>
      </c>
      <c r="H802" s="27">
        <f t="shared" si="1"/>
        <v>0</v>
      </c>
      <c r="I802" s="27" t="str">
        <f t="shared" si="2"/>
        <v/>
      </c>
      <c r="J802" s="1" t="str">
        <f t="array" ref="J802">IFERROR(INDEX('Исходник'!$1:$626,MATCH($A802,'Исходник'!$T:$T,0),MATCH(J$1,'Исходник'!$1:$1,0)))</f>
        <v/>
      </c>
      <c r="K802" s="27" t="str">
        <f t="shared" si="3"/>
        <v/>
      </c>
      <c r="L802" s="1" t="str">
        <f t="array" ref="L802">IFERROR(INDEX('Исходник'!$1:$626,MATCH($A802,'Исходник'!$T:$T,0),MATCH(L$1,'Исходник'!$1:$1,0)))</f>
        <v/>
      </c>
      <c r="M802" s="28">
        <f t="shared" si="4"/>
        <v>0</v>
      </c>
      <c r="N802" s="1" t="str">
        <f t="array" ref="N802">IFERROR(INDEX('Исходник'!$1:$626,MATCH($A802,'Исходник'!$T:$T,0),MATCH(N$1,'Исходник'!$1:$1,0)))</f>
        <v/>
      </c>
      <c r="O802" s="27">
        <f t="shared" si="5"/>
        <v>0</v>
      </c>
      <c r="P802" s="27" t="str">
        <f t="shared" si="6"/>
        <v/>
      </c>
      <c r="Q802" s="1" t="str">
        <f t="array" ref="Q802">IFERROR(INDEX('Исходник'!$1:$626,MATCH($A802,'Исходник'!$T:$T,0),MATCH(Q$1,'Исходник'!$1:$1,0)))</f>
        <v/>
      </c>
      <c r="R802" s="1" t="str">
        <f t="array" ref="R802">IFERROR(INDEX('Исходник'!$1:$626,MATCH($A802,'Исходник'!$T:$T,0),MATCH(R$1,'Исходник'!$1:$1,0)))</f>
        <v/>
      </c>
      <c r="S802" s="27">
        <f t="shared" si="7"/>
        <v>0</v>
      </c>
      <c r="T802" s="27" t="str">
        <f t="shared" si="8"/>
        <v/>
      </c>
      <c r="U802" s="1" t="str">
        <f t="array" ref="U802">IFERROR(INDEX('Исходник'!$1:$626,MATCH($A802,'Исходник'!$T:$T,0),MATCH(U$1,'Исходник'!$1:$1,0)))</f>
        <v/>
      </c>
      <c r="V802" s="27" t="str">
        <f t="shared" si="9"/>
        <v/>
      </c>
      <c r="W802" s="1" t="str">
        <f t="array" ref="W802">IFERROR(INDEX('Исходник'!$1:$626,MATCH($A802,'Исходник'!$T:$T,0),MATCH(W$1,'Исходник'!$1:$1,0)))</f>
        <v/>
      </c>
      <c r="X802" s="28">
        <f t="shared" si="10"/>
        <v>0</v>
      </c>
      <c r="Y802" s="1" t="str">
        <f t="array" ref="Y802">IFERROR(INDEX('Исходник'!$1:$626,MATCH($A802,'Исходник'!$T:$T,0),MATCH(Y$1,'Исходник'!$1:$1,0)))</f>
        <v/>
      </c>
      <c r="Z802" s="27">
        <f t="shared" si="11"/>
        <v>0</v>
      </c>
      <c r="AA802" s="27" t="str">
        <f t="shared" si="12"/>
        <v/>
      </c>
      <c r="AB802" s="1" t="str">
        <f t="array" ref="AB802">IFERROR(INDEX('Исходник'!$1:$626,MATCH($A802,'Исходник'!$T:$T,0),MATCH(AB$1,'Исходник'!$1:$1,0)))</f>
        <v/>
      </c>
      <c r="AC802" s="1" t="str">
        <f t="array" ref="AC802">IFERROR(INDEX('Исходник'!$1:$626,MATCH($A802,'Исходник'!$T:$T,0),MATCH(AC$1,'Исходник'!$1:$1,0)))</f>
        <v/>
      </c>
      <c r="AD802" s="27" t="str">
        <f t="shared" si="13"/>
        <v/>
      </c>
      <c r="AE802" s="1" t="str">
        <f t="array" ref="AE802">IFERROR(INDEX('Исходник'!$1:$626,MATCH($A802,'Исходник'!$T:$T,0),MATCH(AE$1,'Исходник'!$1:$1,0)))</f>
        <v/>
      </c>
      <c r="AF802" s="1" t="str">
        <f t="array" ref="AF802">IFERROR(INDEX('Исходник'!$1:$626,MATCH($A802,'Исходник'!$T:$T,0),MATCH(AF$1,'Исходник'!$1:$1,0)))</f>
        <v/>
      </c>
      <c r="AG802" s="27" t="str">
        <f t="shared" si="14"/>
        <v/>
      </c>
      <c r="AH802" s="1" t="str">
        <f t="array" ref="AH802">IFERROR(INDEX('Исходник'!$1:$626,MATCH($A802,'Исходник'!$T:$T,0),MATCH(AH$1,'Исходник'!$1:$1,0)))</f>
        <v/>
      </c>
      <c r="AI802" s="1" t="str">
        <f t="array" ref="AI802">IFERROR(INDEX('Исходник'!$1:$626,MATCH($A802,'Исходник'!$T:$T,0),MATCH(AI$1,'Исходник'!$1:$1,0)))</f>
        <v/>
      </c>
      <c r="AJ802" s="18">
        <f t="shared" si="15"/>
        <v>0</v>
      </c>
    </row>
    <row r="803" ht="15.75" customHeight="1">
      <c r="A803" s="27"/>
      <c r="B803" s="1" t="str">
        <f t="array" ref="B803">IFERROR(INDEX('Исходник'!$1:$626,MATCH($A803,'Исходник'!$T:$T,0),MATCH(B$1,'Исходник'!$1:$1,0)))</f>
        <v/>
      </c>
      <c r="C803" s="1" t="str">
        <f t="array" ref="C803">IFERROR(INDEX('Исходник'!$1:$626,MATCH($A803,'Исходник'!$T:$T,0),MATCH(C$1,'Исходник'!$1:$1,0)))</f>
        <v/>
      </c>
      <c r="D803" s="1" t="str">
        <f t="array" ref="D803">IFERROR(INDEX('Исходник'!$1:$626,MATCH($A803,'Исходник'!$T:$T,0),MATCH(D$1,'Исходник'!$1:$1,0)))</f>
        <v/>
      </c>
      <c r="E803" s="1" t="str">
        <f t="array" ref="E803">IFERROR(INDEX('Исходник'!$1:$626,MATCH($A803,'Исходник'!$T:$T,0),MATCH(E$1,'Исходник'!$1:$1,0)))</f>
        <v/>
      </c>
      <c r="F803" s="1" t="str">
        <f t="array" ref="F803">IFERROR(INDEX('Исходник'!$1:$626,MATCH($A803,'Исходник'!$T:$T,0),MATCH(F$1,'Исходник'!$1:$1,0)))</f>
        <v/>
      </c>
      <c r="G803" s="1" t="str">
        <f t="array" ref="G803">IFERROR(INDEX('Исходник'!$1:$626,MATCH($A803,'Исходник'!$T:$T,0),MATCH(G$1,'Исходник'!$1:$1,0)))</f>
        <v/>
      </c>
      <c r="H803" s="27">
        <f t="shared" si="1"/>
        <v>0</v>
      </c>
      <c r="I803" s="27" t="str">
        <f t="shared" si="2"/>
        <v/>
      </c>
      <c r="J803" s="1" t="str">
        <f t="array" ref="J803">IFERROR(INDEX('Исходник'!$1:$626,MATCH($A803,'Исходник'!$T:$T,0),MATCH(J$1,'Исходник'!$1:$1,0)))</f>
        <v/>
      </c>
      <c r="K803" s="27" t="str">
        <f t="shared" si="3"/>
        <v/>
      </c>
      <c r="L803" s="1" t="str">
        <f t="array" ref="L803">IFERROR(INDEX('Исходник'!$1:$626,MATCH($A803,'Исходник'!$T:$T,0),MATCH(L$1,'Исходник'!$1:$1,0)))</f>
        <v/>
      </c>
      <c r="M803" s="28">
        <f t="shared" si="4"/>
        <v>0</v>
      </c>
      <c r="N803" s="1" t="str">
        <f t="array" ref="N803">IFERROR(INDEX('Исходник'!$1:$626,MATCH($A803,'Исходник'!$T:$T,0),MATCH(N$1,'Исходник'!$1:$1,0)))</f>
        <v/>
      </c>
      <c r="O803" s="27">
        <f t="shared" si="5"/>
        <v>0</v>
      </c>
      <c r="P803" s="27" t="str">
        <f t="shared" si="6"/>
        <v/>
      </c>
      <c r="Q803" s="1" t="str">
        <f t="array" ref="Q803">IFERROR(INDEX('Исходник'!$1:$626,MATCH($A803,'Исходник'!$T:$T,0),MATCH(Q$1,'Исходник'!$1:$1,0)))</f>
        <v/>
      </c>
      <c r="R803" s="1" t="str">
        <f t="array" ref="R803">IFERROR(INDEX('Исходник'!$1:$626,MATCH($A803,'Исходник'!$T:$T,0),MATCH(R$1,'Исходник'!$1:$1,0)))</f>
        <v/>
      </c>
      <c r="S803" s="27">
        <f t="shared" si="7"/>
        <v>0</v>
      </c>
      <c r="T803" s="27" t="str">
        <f t="shared" si="8"/>
        <v/>
      </c>
      <c r="U803" s="1" t="str">
        <f t="array" ref="U803">IFERROR(INDEX('Исходник'!$1:$626,MATCH($A803,'Исходник'!$T:$T,0),MATCH(U$1,'Исходник'!$1:$1,0)))</f>
        <v/>
      </c>
      <c r="V803" s="27" t="str">
        <f t="shared" si="9"/>
        <v/>
      </c>
      <c r="W803" s="1" t="str">
        <f t="array" ref="W803">IFERROR(INDEX('Исходник'!$1:$626,MATCH($A803,'Исходник'!$T:$T,0),MATCH(W$1,'Исходник'!$1:$1,0)))</f>
        <v/>
      </c>
      <c r="X803" s="28">
        <f t="shared" si="10"/>
        <v>0</v>
      </c>
      <c r="Y803" s="1" t="str">
        <f t="array" ref="Y803">IFERROR(INDEX('Исходник'!$1:$626,MATCH($A803,'Исходник'!$T:$T,0),MATCH(Y$1,'Исходник'!$1:$1,0)))</f>
        <v/>
      </c>
      <c r="Z803" s="27">
        <f t="shared" si="11"/>
        <v>0</v>
      </c>
      <c r="AA803" s="27" t="str">
        <f t="shared" si="12"/>
        <v/>
      </c>
      <c r="AB803" s="1" t="str">
        <f t="array" ref="AB803">IFERROR(INDEX('Исходник'!$1:$626,MATCH($A803,'Исходник'!$T:$T,0),MATCH(AB$1,'Исходник'!$1:$1,0)))</f>
        <v/>
      </c>
      <c r="AC803" s="1" t="str">
        <f t="array" ref="AC803">IFERROR(INDEX('Исходник'!$1:$626,MATCH($A803,'Исходник'!$T:$T,0),MATCH(AC$1,'Исходник'!$1:$1,0)))</f>
        <v/>
      </c>
      <c r="AD803" s="27" t="str">
        <f t="shared" si="13"/>
        <v/>
      </c>
      <c r="AE803" s="1" t="str">
        <f t="array" ref="AE803">IFERROR(INDEX('Исходник'!$1:$626,MATCH($A803,'Исходник'!$T:$T,0),MATCH(AE$1,'Исходник'!$1:$1,0)))</f>
        <v/>
      </c>
      <c r="AF803" s="1" t="str">
        <f t="array" ref="AF803">IFERROR(INDEX('Исходник'!$1:$626,MATCH($A803,'Исходник'!$T:$T,0),MATCH(AF$1,'Исходник'!$1:$1,0)))</f>
        <v/>
      </c>
      <c r="AG803" s="27" t="str">
        <f t="shared" si="14"/>
        <v/>
      </c>
      <c r="AH803" s="1" t="str">
        <f t="array" ref="AH803">IFERROR(INDEX('Исходник'!$1:$626,MATCH($A803,'Исходник'!$T:$T,0),MATCH(AH$1,'Исходник'!$1:$1,0)))</f>
        <v/>
      </c>
      <c r="AI803" s="1" t="str">
        <f t="array" ref="AI803">IFERROR(INDEX('Исходник'!$1:$626,MATCH($A803,'Исходник'!$T:$T,0),MATCH(AI$1,'Исходник'!$1:$1,0)))</f>
        <v/>
      </c>
      <c r="AJ803" s="18">
        <f t="shared" si="15"/>
        <v>0</v>
      </c>
    </row>
    <row r="804" ht="15.75" customHeight="1">
      <c r="A804" s="27"/>
      <c r="B804" s="1" t="str">
        <f t="array" ref="B804">IFERROR(INDEX('Исходник'!$1:$626,MATCH($A804,'Исходник'!$T:$T,0),MATCH(B$1,'Исходник'!$1:$1,0)))</f>
        <v/>
      </c>
      <c r="C804" s="1" t="str">
        <f t="array" ref="C804">IFERROR(INDEX('Исходник'!$1:$626,MATCH($A804,'Исходник'!$T:$T,0),MATCH(C$1,'Исходник'!$1:$1,0)))</f>
        <v/>
      </c>
      <c r="D804" s="1" t="str">
        <f t="array" ref="D804">IFERROR(INDEX('Исходник'!$1:$626,MATCH($A804,'Исходник'!$T:$T,0),MATCH(D$1,'Исходник'!$1:$1,0)))</f>
        <v/>
      </c>
      <c r="E804" s="1" t="str">
        <f t="array" ref="E804">IFERROR(INDEX('Исходник'!$1:$626,MATCH($A804,'Исходник'!$T:$T,0),MATCH(E$1,'Исходник'!$1:$1,0)))</f>
        <v/>
      </c>
      <c r="F804" s="1" t="str">
        <f t="array" ref="F804">IFERROR(INDEX('Исходник'!$1:$626,MATCH($A804,'Исходник'!$T:$T,0),MATCH(F$1,'Исходник'!$1:$1,0)))</f>
        <v/>
      </c>
      <c r="G804" s="1" t="str">
        <f t="array" ref="G804">IFERROR(INDEX('Исходник'!$1:$626,MATCH($A804,'Исходник'!$T:$T,0),MATCH(G$1,'Исходник'!$1:$1,0)))</f>
        <v/>
      </c>
      <c r="H804" s="27">
        <f t="shared" si="1"/>
        <v>0</v>
      </c>
      <c r="I804" s="27" t="str">
        <f t="shared" si="2"/>
        <v/>
      </c>
      <c r="J804" s="1" t="str">
        <f t="array" ref="J804">IFERROR(INDEX('Исходник'!$1:$626,MATCH($A804,'Исходник'!$T:$T,0),MATCH(J$1,'Исходник'!$1:$1,0)))</f>
        <v/>
      </c>
      <c r="K804" s="27" t="str">
        <f t="shared" si="3"/>
        <v/>
      </c>
      <c r="L804" s="1" t="str">
        <f t="array" ref="L804">IFERROR(INDEX('Исходник'!$1:$626,MATCH($A804,'Исходник'!$T:$T,0),MATCH(L$1,'Исходник'!$1:$1,0)))</f>
        <v/>
      </c>
      <c r="M804" s="28">
        <f t="shared" si="4"/>
        <v>0</v>
      </c>
      <c r="N804" s="1" t="str">
        <f t="array" ref="N804">IFERROR(INDEX('Исходник'!$1:$626,MATCH($A804,'Исходник'!$T:$T,0),MATCH(N$1,'Исходник'!$1:$1,0)))</f>
        <v/>
      </c>
      <c r="O804" s="27">
        <f t="shared" si="5"/>
        <v>0</v>
      </c>
      <c r="P804" s="27" t="str">
        <f t="shared" si="6"/>
        <v/>
      </c>
      <c r="Q804" s="1" t="str">
        <f t="array" ref="Q804">IFERROR(INDEX('Исходник'!$1:$626,MATCH($A804,'Исходник'!$T:$T,0),MATCH(Q$1,'Исходник'!$1:$1,0)))</f>
        <v/>
      </c>
      <c r="R804" s="1" t="str">
        <f t="array" ref="R804">IFERROR(INDEX('Исходник'!$1:$626,MATCH($A804,'Исходник'!$T:$T,0),MATCH(R$1,'Исходник'!$1:$1,0)))</f>
        <v/>
      </c>
      <c r="S804" s="27">
        <f t="shared" si="7"/>
        <v>0</v>
      </c>
      <c r="T804" s="27" t="str">
        <f t="shared" si="8"/>
        <v/>
      </c>
      <c r="U804" s="1" t="str">
        <f t="array" ref="U804">IFERROR(INDEX('Исходник'!$1:$626,MATCH($A804,'Исходник'!$T:$T,0),MATCH(U$1,'Исходник'!$1:$1,0)))</f>
        <v/>
      </c>
      <c r="V804" s="27" t="str">
        <f t="shared" si="9"/>
        <v/>
      </c>
      <c r="W804" s="1" t="str">
        <f t="array" ref="W804">IFERROR(INDEX('Исходник'!$1:$626,MATCH($A804,'Исходник'!$T:$T,0),MATCH(W$1,'Исходник'!$1:$1,0)))</f>
        <v/>
      </c>
      <c r="X804" s="28">
        <f t="shared" si="10"/>
        <v>0</v>
      </c>
      <c r="Y804" s="1" t="str">
        <f t="array" ref="Y804">IFERROR(INDEX('Исходник'!$1:$626,MATCH($A804,'Исходник'!$T:$T,0),MATCH(Y$1,'Исходник'!$1:$1,0)))</f>
        <v/>
      </c>
      <c r="Z804" s="27">
        <f t="shared" si="11"/>
        <v>0</v>
      </c>
      <c r="AA804" s="27" t="str">
        <f t="shared" si="12"/>
        <v/>
      </c>
      <c r="AB804" s="1" t="str">
        <f t="array" ref="AB804">IFERROR(INDEX('Исходник'!$1:$626,MATCH($A804,'Исходник'!$T:$T,0),MATCH(AB$1,'Исходник'!$1:$1,0)))</f>
        <v/>
      </c>
      <c r="AC804" s="1" t="str">
        <f t="array" ref="AC804">IFERROR(INDEX('Исходник'!$1:$626,MATCH($A804,'Исходник'!$T:$T,0),MATCH(AC$1,'Исходник'!$1:$1,0)))</f>
        <v/>
      </c>
      <c r="AD804" s="27" t="str">
        <f t="shared" si="13"/>
        <v/>
      </c>
      <c r="AE804" s="1" t="str">
        <f t="array" ref="AE804">IFERROR(INDEX('Исходник'!$1:$626,MATCH($A804,'Исходник'!$T:$T,0),MATCH(AE$1,'Исходник'!$1:$1,0)))</f>
        <v/>
      </c>
      <c r="AF804" s="1" t="str">
        <f t="array" ref="AF804">IFERROR(INDEX('Исходник'!$1:$626,MATCH($A804,'Исходник'!$T:$T,0),MATCH(AF$1,'Исходник'!$1:$1,0)))</f>
        <v/>
      </c>
      <c r="AG804" s="27" t="str">
        <f t="shared" si="14"/>
        <v/>
      </c>
      <c r="AH804" s="1" t="str">
        <f t="array" ref="AH804">IFERROR(INDEX('Исходник'!$1:$626,MATCH($A804,'Исходник'!$T:$T,0),MATCH(AH$1,'Исходник'!$1:$1,0)))</f>
        <v/>
      </c>
      <c r="AI804" s="1" t="str">
        <f t="array" ref="AI804">IFERROR(INDEX('Исходник'!$1:$626,MATCH($A804,'Исходник'!$T:$T,0),MATCH(AI$1,'Исходник'!$1:$1,0)))</f>
        <v/>
      </c>
      <c r="AJ804" s="18">
        <f t="shared" si="15"/>
        <v>0</v>
      </c>
    </row>
    <row r="805" ht="15.75" customHeight="1">
      <c r="A805" s="27"/>
      <c r="B805" s="1" t="str">
        <f t="array" ref="B805">IFERROR(INDEX('Исходник'!$1:$626,MATCH($A805,'Исходник'!$T:$T,0),MATCH(B$1,'Исходник'!$1:$1,0)))</f>
        <v/>
      </c>
      <c r="C805" s="1" t="str">
        <f t="array" ref="C805">IFERROR(INDEX('Исходник'!$1:$626,MATCH($A805,'Исходник'!$T:$T,0),MATCH(C$1,'Исходник'!$1:$1,0)))</f>
        <v/>
      </c>
      <c r="D805" s="1" t="str">
        <f t="array" ref="D805">IFERROR(INDEX('Исходник'!$1:$626,MATCH($A805,'Исходник'!$T:$T,0),MATCH(D$1,'Исходник'!$1:$1,0)))</f>
        <v/>
      </c>
      <c r="E805" s="1" t="str">
        <f t="array" ref="E805">IFERROR(INDEX('Исходник'!$1:$626,MATCH($A805,'Исходник'!$T:$T,0),MATCH(E$1,'Исходник'!$1:$1,0)))</f>
        <v/>
      </c>
      <c r="F805" s="1" t="str">
        <f t="array" ref="F805">IFERROR(INDEX('Исходник'!$1:$626,MATCH($A805,'Исходник'!$T:$T,0),MATCH(F$1,'Исходник'!$1:$1,0)))</f>
        <v/>
      </c>
      <c r="G805" s="1" t="str">
        <f t="array" ref="G805">IFERROR(INDEX('Исходник'!$1:$626,MATCH($A805,'Исходник'!$T:$T,0),MATCH(G$1,'Исходник'!$1:$1,0)))</f>
        <v/>
      </c>
      <c r="H805" s="27">
        <f t="shared" si="1"/>
        <v>0</v>
      </c>
      <c r="I805" s="27" t="str">
        <f t="shared" si="2"/>
        <v/>
      </c>
      <c r="J805" s="1" t="str">
        <f t="array" ref="J805">IFERROR(INDEX('Исходник'!$1:$626,MATCH($A805,'Исходник'!$T:$T,0),MATCH(J$1,'Исходник'!$1:$1,0)))</f>
        <v/>
      </c>
      <c r="K805" s="27" t="str">
        <f t="shared" si="3"/>
        <v/>
      </c>
      <c r="L805" s="1" t="str">
        <f t="array" ref="L805">IFERROR(INDEX('Исходник'!$1:$626,MATCH($A805,'Исходник'!$T:$T,0),MATCH(L$1,'Исходник'!$1:$1,0)))</f>
        <v/>
      </c>
      <c r="M805" s="28">
        <f t="shared" si="4"/>
        <v>0</v>
      </c>
      <c r="N805" s="1" t="str">
        <f t="array" ref="N805">IFERROR(INDEX('Исходник'!$1:$626,MATCH($A805,'Исходник'!$T:$T,0),MATCH(N$1,'Исходник'!$1:$1,0)))</f>
        <v/>
      </c>
      <c r="O805" s="27">
        <f t="shared" si="5"/>
        <v>0</v>
      </c>
      <c r="P805" s="27" t="str">
        <f t="shared" si="6"/>
        <v/>
      </c>
      <c r="Q805" s="1" t="str">
        <f t="array" ref="Q805">IFERROR(INDEX('Исходник'!$1:$626,MATCH($A805,'Исходник'!$T:$T,0),MATCH(Q$1,'Исходник'!$1:$1,0)))</f>
        <v/>
      </c>
      <c r="R805" s="1" t="str">
        <f t="array" ref="R805">IFERROR(INDEX('Исходник'!$1:$626,MATCH($A805,'Исходник'!$T:$T,0),MATCH(R$1,'Исходник'!$1:$1,0)))</f>
        <v/>
      </c>
      <c r="S805" s="27">
        <f t="shared" si="7"/>
        <v>0</v>
      </c>
      <c r="T805" s="27" t="str">
        <f t="shared" si="8"/>
        <v/>
      </c>
      <c r="U805" s="1" t="str">
        <f t="array" ref="U805">IFERROR(INDEX('Исходник'!$1:$626,MATCH($A805,'Исходник'!$T:$T,0),MATCH(U$1,'Исходник'!$1:$1,0)))</f>
        <v/>
      </c>
      <c r="V805" s="27" t="str">
        <f t="shared" si="9"/>
        <v/>
      </c>
      <c r="W805" s="1" t="str">
        <f t="array" ref="W805">IFERROR(INDEX('Исходник'!$1:$626,MATCH($A805,'Исходник'!$T:$T,0),MATCH(W$1,'Исходник'!$1:$1,0)))</f>
        <v/>
      </c>
      <c r="X805" s="28">
        <f t="shared" si="10"/>
        <v>0</v>
      </c>
      <c r="Y805" s="1" t="str">
        <f t="array" ref="Y805">IFERROR(INDEX('Исходник'!$1:$626,MATCH($A805,'Исходник'!$T:$T,0),MATCH(Y$1,'Исходник'!$1:$1,0)))</f>
        <v/>
      </c>
      <c r="Z805" s="27">
        <f t="shared" si="11"/>
        <v>0</v>
      </c>
      <c r="AA805" s="27" t="str">
        <f t="shared" si="12"/>
        <v/>
      </c>
      <c r="AB805" s="1" t="str">
        <f t="array" ref="AB805">IFERROR(INDEX('Исходник'!$1:$626,MATCH($A805,'Исходник'!$T:$T,0),MATCH(AB$1,'Исходник'!$1:$1,0)))</f>
        <v/>
      </c>
      <c r="AC805" s="1" t="str">
        <f t="array" ref="AC805">IFERROR(INDEX('Исходник'!$1:$626,MATCH($A805,'Исходник'!$T:$T,0),MATCH(AC$1,'Исходник'!$1:$1,0)))</f>
        <v/>
      </c>
      <c r="AD805" s="27" t="str">
        <f t="shared" si="13"/>
        <v/>
      </c>
      <c r="AE805" s="1" t="str">
        <f t="array" ref="AE805">IFERROR(INDEX('Исходник'!$1:$626,MATCH($A805,'Исходник'!$T:$T,0),MATCH(AE$1,'Исходник'!$1:$1,0)))</f>
        <v/>
      </c>
      <c r="AF805" s="1" t="str">
        <f t="array" ref="AF805">IFERROR(INDEX('Исходник'!$1:$626,MATCH($A805,'Исходник'!$T:$T,0),MATCH(AF$1,'Исходник'!$1:$1,0)))</f>
        <v/>
      </c>
      <c r="AG805" s="27" t="str">
        <f t="shared" si="14"/>
        <v/>
      </c>
      <c r="AH805" s="1" t="str">
        <f t="array" ref="AH805">IFERROR(INDEX('Исходник'!$1:$626,MATCH($A805,'Исходник'!$T:$T,0),MATCH(AH$1,'Исходник'!$1:$1,0)))</f>
        <v/>
      </c>
      <c r="AI805" s="1" t="str">
        <f t="array" ref="AI805">IFERROR(INDEX('Исходник'!$1:$626,MATCH($A805,'Исходник'!$T:$T,0),MATCH(AI$1,'Исходник'!$1:$1,0)))</f>
        <v/>
      </c>
      <c r="AJ805" s="18">
        <f t="shared" si="15"/>
        <v>0</v>
      </c>
    </row>
    <row r="806" ht="15.75" customHeight="1">
      <c r="A806" s="27"/>
      <c r="B806" s="1" t="str">
        <f t="array" ref="B806">IFERROR(INDEX('Исходник'!$1:$626,MATCH($A806,'Исходник'!$T:$T,0),MATCH(B$1,'Исходник'!$1:$1,0)))</f>
        <v/>
      </c>
      <c r="C806" s="1" t="str">
        <f t="array" ref="C806">IFERROR(INDEX('Исходник'!$1:$626,MATCH($A806,'Исходник'!$T:$T,0),MATCH(C$1,'Исходник'!$1:$1,0)))</f>
        <v/>
      </c>
      <c r="D806" s="1" t="str">
        <f t="array" ref="D806">IFERROR(INDEX('Исходник'!$1:$626,MATCH($A806,'Исходник'!$T:$T,0),MATCH(D$1,'Исходник'!$1:$1,0)))</f>
        <v/>
      </c>
      <c r="E806" s="1" t="str">
        <f t="array" ref="E806">IFERROR(INDEX('Исходник'!$1:$626,MATCH($A806,'Исходник'!$T:$T,0),MATCH(E$1,'Исходник'!$1:$1,0)))</f>
        <v/>
      </c>
      <c r="F806" s="1" t="str">
        <f t="array" ref="F806">IFERROR(INDEX('Исходник'!$1:$626,MATCH($A806,'Исходник'!$T:$T,0),MATCH(F$1,'Исходник'!$1:$1,0)))</f>
        <v/>
      </c>
      <c r="G806" s="1" t="str">
        <f t="array" ref="G806">IFERROR(INDEX('Исходник'!$1:$626,MATCH($A806,'Исходник'!$T:$T,0),MATCH(G$1,'Исходник'!$1:$1,0)))</f>
        <v/>
      </c>
      <c r="H806" s="27">
        <f t="shared" si="1"/>
        <v>0</v>
      </c>
      <c r="I806" s="27" t="str">
        <f t="shared" si="2"/>
        <v/>
      </c>
      <c r="J806" s="1" t="str">
        <f t="array" ref="J806">IFERROR(INDEX('Исходник'!$1:$626,MATCH($A806,'Исходник'!$T:$T,0),MATCH(J$1,'Исходник'!$1:$1,0)))</f>
        <v/>
      </c>
      <c r="K806" s="27" t="str">
        <f t="shared" si="3"/>
        <v/>
      </c>
      <c r="L806" s="1" t="str">
        <f t="array" ref="L806">IFERROR(INDEX('Исходник'!$1:$626,MATCH($A806,'Исходник'!$T:$T,0),MATCH(L$1,'Исходник'!$1:$1,0)))</f>
        <v/>
      </c>
      <c r="M806" s="28">
        <f t="shared" si="4"/>
        <v>0</v>
      </c>
      <c r="N806" s="1" t="str">
        <f t="array" ref="N806">IFERROR(INDEX('Исходник'!$1:$626,MATCH($A806,'Исходник'!$T:$T,0),MATCH(N$1,'Исходник'!$1:$1,0)))</f>
        <v/>
      </c>
      <c r="O806" s="27">
        <f t="shared" si="5"/>
        <v>0</v>
      </c>
      <c r="P806" s="27" t="str">
        <f t="shared" si="6"/>
        <v/>
      </c>
      <c r="Q806" s="1" t="str">
        <f t="array" ref="Q806">IFERROR(INDEX('Исходник'!$1:$626,MATCH($A806,'Исходник'!$T:$T,0),MATCH(Q$1,'Исходник'!$1:$1,0)))</f>
        <v/>
      </c>
      <c r="R806" s="1" t="str">
        <f t="array" ref="R806">IFERROR(INDEX('Исходник'!$1:$626,MATCH($A806,'Исходник'!$T:$T,0),MATCH(R$1,'Исходник'!$1:$1,0)))</f>
        <v/>
      </c>
      <c r="S806" s="27">
        <f t="shared" si="7"/>
        <v>0</v>
      </c>
      <c r="T806" s="27" t="str">
        <f t="shared" si="8"/>
        <v/>
      </c>
      <c r="U806" s="1" t="str">
        <f t="array" ref="U806">IFERROR(INDEX('Исходник'!$1:$626,MATCH($A806,'Исходник'!$T:$T,0),MATCH(U$1,'Исходник'!$1:$1,0)))</f>
        <v/>
      </c>
      <c r="V806" s="27" t="str">
        <f t="shared" si="9"/>
        <v/>
      </c>
      <c r="W806" s="1" t="str">
        <f t="array" ref="W806">IFERROR(INDEX('Исходник'!$1:$626,MATCH($A806,'Исходник'!$T:$T,0),MATCH(W$1,'Исходник'!$1:$1,0)))</f>
        <v/>
      </c>
      <c r="X806" s="28">
        <f t="shared" si="10"/>
        <v>0</v>
      </c>
      <c r="Y806" s="1" t="str">
        <f t="array" ref="Y806">IFERROR(INDEX('Исходник'!$1:$626,MATCH($A806,'Исходник'!$T:$T,0),MATCH(Y$1,'Исходник'!$1:$1,0)))</f>
        <v/>
      </c>
      <c r="Z806" s="27">
        <f t="shared" si="11"/>
        <v>0</v>
      </c>
      <c r="AA806" s="27" t="str">
        <f t="shared" si="12"/>
        <v/>
      </c>
      <c r="AB806" s="1" t="str">
        <f t="array" ref="AB806">IFERROR(INDEX('Исходник'!$1:$626,MATCH($A806,'Исходник'!$T:$T,0),MATCH(AB$1,'Исходник'!$1:$1,0)))</f>
        <v/>
      </c>
      <c r="AC806" s="1" t="str">
        <f t="array" ref="AC806">IFERROR(INDEX('Исходник'!$1:$626,MATCH($A806,'Исходник'!$T:$T,0),MATCH(AC$1,'Исходник'!$1:$1,0)))</f>
        <v/>
      </c>
      <c r="AD806" s="27" t="str">
        <f t="shared" si="13"/>
        <v/>
      </c>
      <c r="AE806" s="1" t="str">
        <f t="array" ref="AE806">IFERROR(INDEX('Исходник'!$1:$626,MATCH($A806,'Исходник'!$T:$T,0),MATCH(AE$1,'Исходник'!$1:$1,0)))</f>
        <v/>
      </c>
      <c r="AF806" s="1" t="str">
        <f t="array" ref="AF806">IFERROR(INDEX('Исходник'!$1:$626,MATCH($A806,'Исходник'!$T:$T,0),MATCH(AF$1,'Исходник'!$1:$1,0)))</f>
        <v/>
      </c>
      <c r="AG806" s="27" t="str">
        <f t="shared" si="14"/>
        <v/>
      </c>
      <c r="AH806" s="1" t="str">
        <f t="array" ref="AH806">IFERROR(INDEX('Исходник'!$1:$626,MATCH($A806,'Исходник'!$T:$T,0),MATCH(AH$1,'Исходник'!$1:$1,0)))</f>
        <v/>
      </c>
      <c r="AI806" s="1" t="str">
        <f t="array" ref="AI806">IFERROR(INDEX('Исходник'!$1:$626,MATCH($A806,'Исходник'!$T:$T,0),MATCH(AI$1,'Исходник'!$1:$1,0)))</f>
        <v/>
      </c>
      <c r="AJ806" s="18">
        <f t="shared" si="15"/>
        <v>0</v>
      </c>
    </row>
    <row r="807" ht="15.75" customHeight="1">
      <c r="A807" s="27"/>
      <c r="B807" s="1" t="str">
        <f t="array" ref="B807">IFERROR(INDEX('Исходник'!$1:$626,MATCH($A807,'Исходник'!$T:$T,0),MATCH(B$1,'Исходник'!$1:$1,0)))</f>
        <v/>
      </c>
      <c r="C807" s="1" t="str">
        <f t="array" ref="C807">IFERROR(INDEX('Исходник'!$1:$626,MATCH($A807,'Исходник'!$T:$T,0),MATCH(C$1,'Исходник'!$1:$1,0)))</f>
        <v/>
      </c>
      <c r="D807" s="1" t="str">
        <f t="array" ref="D807">IFERROR(INDEX('Исходник'!$1:$626,MATCH($A807,'Исходник'!$T:$T,0),MATCH(D$1,'Исходник'!$1:$1,0)))</f>
        <v/>
      </c>
      <c r="E807" s="1" t="str">
        <f t="array" ref="E807">IFERROR(INDEX('Исходник'!$1:$626,MATCH($A807,'Исходник'!$T:$T,0),MATCH(E$1,'Исходник'!$1:$1,0)))</f>
        <v/>
      </c>
      <c r="F807" s="1" t="str">
        <f t="array" ref="F807">IFERROR(INDEX('Исходник'!$1:$626,MATCH($A807,'Исходник'!$T:$T,0),MATCH(F$1,'Исходник'!$1:$1,0)))</f>
        <v/>
      </c>
      <c r="G807" s="1" t="str">
        <f t="array" ref="G807">IFERROR(INDEX('Исходник'!$1:$626,MATCH($A807,'Исходник'!$T:$T,0),MATCH(G$1,'Исходник'!$1:$1,0)))</f>
        <v/>
      </c>
      <c r="H807" s="27">
        <f t="shared" si="1"/>
        <v>0</v>
      </c>
      <c r="I807" s="27" t="str">
        <f t="shared" si="2"/>
        <v/>
      </c>
      <c r="J807" s="1" t="str">
        <f t="array" ref="J807">IFERROR(INDEX('Исходник'!$1:$626,MATCH($A807,'Исходник'!$T:$T,0),MATCH(J$1,'Исходник'!$1:$1,0)))</f>
        <v/>
      </c>
      <c r="K807" s="27" t="str">
        <f t="shared" si="3"/>
        <v/>
      </c>
      <c r="L807" s="1" t="str">
        <f t="array" ref="L807">IFERROR(INDEX('Исходник'!$1:$626,MATCH($A807,'Исходник'!$T:$T,0),MATCH(L$1,'Исходник'!$1:$1,0)))</f>
        <v/>
      </c>
      <c r="M807" s="28">
        <f t="shared" si="4"/>
        <v>0</v>
      </c>
      <c r="N807" s="1" t="str">
        <f t="array" ref="N807">IFERROR(INDEX('Исходник'!$1:$626,MATCH($A807,'Исходник'!$T:$T,0),MATCH(N$1,'Исходник'!$1:$1,0)))</f>
        <v/>
      </c>
      <c r="O807" s="27">
        <f t="shared" si="5"/>
        <v>0</v>
      </c>
      <c r="P807" s="27" t="str">
        <f t="shared" si="6"/>
        <v/>
      </c>
      <c r="Q807" s="1" t="str">
        <f t="array" ref="Q807">IFERROR(INDEX('Исходник'!$1:$626,MATCH($A807,'Исходник'!$T:$T,0),MATCH(Q$1,'Исходник'!$1:$1,0)))</f>
        <v/>
      </c>
      <c r="R807" s="1" t="str">
        <f t="array" ref="R807">IFERROR(INDEX('Исходник'!$1:$626,MATCH($A807,'Исходник'!$T:$T,0),MATCH(R$1,'Исходник'!$1:$1,0)))</f>
        <v/>
      </c>
      <c r="S807" s="27">
        <f t="shared" si="7"/>
        <v>0</v>
      </c>
      <c r="T807" s="27" t="str">
        <f t="shared" si="8"/>
        <v/>
      </c>
      <c r="U807" s="1" t="str">
        <f t="array" ref="U807">IFERROR(INDEX('Исходник'!$1:$626,MATCH($A807,'Исходник'!$T:$T,0),MATCH(U$1,'Исходник'!$1:$1,0)))</f>
        <v/>
      </c>
      <c r="V807" s="27" t="str">
        <f t="shared" si="9"/>
        <v/>
      </c>
      <c r="W807" s="1" t="str">
        <f t="array" ref="W807">IFERROR(INDEX('Исходник'!$1:$626,MATCH($A807,'Исходник'!$T:$T,0),MATCH(W$1,'Исходник'!$1:$1,0)))</f>
        <v/>
      </c>
      <c r="X807" s="28">
        <f t="shared" si="10"/>
        <v>0</v>
      </c>
      <c r="Y807" s="1" t="str">
        <f t="array" ref="Y807">IFERROR(INDEX('Исходник'!$1:$626,MATCH($A807,'Исходник'!$T:$T,0),MATCH(Y$1,'Исходник'!$1:$1,0)))</f>
        <v/>
      </c>
      <c r="Z807" s="27">
        <f t="shared" si="11"/>
        <v>0</v>
      </c>
      <c r="AA807" s="27" t="str">
        <f t="shared" si="12"/>
        <v/>
      </c>
      <c r="AB807" s="1" t="str">
        <f t="array" ref="AB807">IFERROR(INDEX('Исходник'!$1:$626,MATCH($A807,'Исходник'!$T:$T,0),MATCH(AB$1,'Исходник'!$1:$1,0)))</f>
        <v/>
      </c>
      <c r="AC807" s="1" t="str">
        <f t="array" ref="AC807">IFERROR(INDEX('Исходник'!$1:$626,MATCH($A807,'Исходник'!$T:$T,0),MATCH(AC$1,'Исходник'!$1:$1,0)))</f>
        <v/>
      </c>
      <c r="AD807" s="27" t="str">
        <f t="shared" si="13"/>
        <v/>
      </c>
      <c r="AE807" s="1" t="str">
        <f t="array" ref="AE807">IFERROR(INDEX('Исходник'!$1:$626,MATCH($A807,'Исходник'!$T:$T,0),MATCH(AE$1,'Исходник'!$1:$1,0)))</f>
        <v/>
      </c>
      <c r="AF807" s="1" t="str">
        <f t="array" ref="AF807">IFERROR(INDEX('Исходник'!$1:$626,MATCH($A807,'Исходник'!$T:$T,0),MATCH(AF$1,'Исходник'!$1:$1,0)))</f>
        <v/>
      </c>
      <c r="AG807" s="27" t="str">
        <f t="shared" si="14"/>
        <v/>
      </c>
      <c r="AH807" s="1" t="str">
        <f t="array" ref="AH807">IFERROR(INDEX('Исходник'!$1:$626,MATCH($A807,'Исходник'!$T:$T,0),MATCH(AH$1,'Исходник'!$1:$1,0)))</f>
        <v/>
      </c>
      <c r="AI807" s="1" t="str">
        <f t="array" ref="AI807">IFERROR(INDEX('Исходник'!$1:$626,MATCH($A807,'Исходник'!$T:$T,0),MATCH(AI$1,'Исходник'!$1:$1,0)))</f>
        <v/>
      </c>
      <c r="AJ807" s="18">
        <f t="shared" si="15"/>
        <v>0</v>
      </c>
    </row>
    <row r="808" ht="15.75" customHeight="1">
      <c r="A808" s="27"/>
      <c r="B808" s="1" t="str">
        <f t="array" ref="B808">IFERROR(INDEX('Исходник'!$1:$626,MATCH($A808,'Исходник'!$T:$T,0),MATCH(B$1,'Исходник'!$1:$1,0)))</f>
        <v/>
      </c>
      <c r="C808" s="1" t="str">
        <f t="array" ref="C808">IFERROR(INDEX('Исходник'!$1:$626,MATCH($A808,'Исходник'!$T:$T,0),MATCH(C$1,'Исходник'!$1:$1,0)))</f>
        <v/>
      </c>
      <c r="D808" s="1" t="str">
        <f t="array" ref="D808">IFERROR(INDEX('Исходник'!$1:$626,MATCH($A808,'Исходник'!$T:$T,0),MATCH(D$1,'Исходник'!$1:$1,0)))</f>
        <v/>
      </c>
      <c r="E808" s="1" t="str">
        <f t="array" ref="E808">IFERROR(INDEX('Исходник'!$1:$626,MATCH($A808,'Исходник'!$T:$T,0),MATCH(E$1,'Исходник'!$1:$1,0)))</f>
        <v/>
      </c>
      <c r="F808" s="1" t="str">
        <f t="array" ref="F808">IFERROR(INDEX('Исходник'!$1:$626,MATCH($A808,'Исходник'!$T:$T,0),MATCH(F$1,'Исходник'!$1:$1,0)))</f>
        <v/>
      </c>
      <c r="G808" s="1" t="str">
        <f t="array" ref="G808">IFERROR(INDEX('Исходник'!$1:$626,MATCH($A808,'Исходник'!$T:$T,0),MATCH(G$1,'Исходник'!$1:$1,0)))</f>
        <v/>
      </c>
      <c r="H808" s="27">
        <f t="shared" si="1"/>
        <v>0</v>
      </c>
      <c r="I808" s="27" t="str">
        <f t="shared" si="2"/>
        <v/>
      </c>
      <c r="J808" s="1" t="str">
        <f t="array" ref="J808">IFERROR(INDEX('Исходник'!$1:$626,MATCH($A808,'Исходник'!$T:$T,0),MATCH(J$1,'Исходник'!$1:$1,0)))</f>
        <v/>
      </c>
      <c r="K808" s="27" t="str">
        <f t="shared" si="3"/>
        <v/>
      </c>
      <c r="L808" s="1" t="str">
        <f t="array" ref="L808">IFERROR(INDEX('Исходник'!$1:$626,MATCH($A808,'Исходник'!$T:$T,0),MATCH(L$1,'Исходник'!$1:$1,0)))</f>
        <v/>
      </c>
      <c r="M808" s="28">
        <f t="shared" si="4"/>
        <v>0</v>
      </c>
      <c r="N808" s="1" t="str">
        <f t="array" ref="N808">IFERROR(INDEX('Исходник'!$1:$626,MATCH($A808,'Исходник'!$T:$T,0),MATCH(N$1,'Исходник'!$1:$1,0)))</f>
        <v/>
      </c>
      <c r="O808" s="27">
        <f t="shared" si="5"/>
        <v>0</v>
      </c>
      <c r="P808" s="27" t="str">
        <f t="shared" si="6"/>
        <v/>
      </c>
      <c r="Q808" s="1" t="str">
        <f t="array" ref="Q808">IFERROR(INDEX('Исходник'!$1:$626,MATCH($A808,'Исходник'!$T:$T,0),MATCH(Q$1,'Исходник'!$1:$1,0)))</f>
        <v/>
      </c>
      <c r="R808" s="1" t="str">
        <f t="array" ref="R808">IFERROR(INDEX('Исходник'!$1:$626,MATCH($A808,'Исходник'!$T:$T,0),MATCH(R$1,'Исходник'!$1:$1,0)))</f>
        <v/>
      </c>
      <c r="S808" s="27">
        <f t="shared" si="7"/>
        <v>0</v>
      </c>
      <c r="T808" s="27" t="str">
        <f t="shared" si="8"/>
        <v/>
      </c>
      <c r="U808" s="1" t="str">
        <f t="array" ref="U808">IFERROR(INDEX('Исходник'!$1:$626,MATCH($A808,'Исходник'!$T:$T,0),MATCH(U$1,'Исходник'!$1:$1,0)))</f>
        <v/>
      </c>
      <c r="V808" s="27" t="str">
        <f t="shared" si="9"/>
        <v/>
      </c>
      <c r="W808" s="1" t="str">
        <f t="array" ref="W808">IFERROR(INDEX('Исходник'!$1:$626,MATCH($A808,'Исходник'!$T:$T,0),MATCH(W$1,'Исходник'!$1:$1,0)))</f>
        <v/>
      </c>
      <c r="X808" s="28">
        <f t="shared" si="10"/>
        <v>0</v>
      </c>
      <c r="Y808" s="1" t="str">
        <f t="array" ref="Y808">IFERROR(INDEX('Исходник'!$1:$626,MATCH($A808,'Исходник'!$T:$T,0),MATCH(Y$1,'Исходник'!$1:$1,0)))</f>
        <v/>
      </c>
      <c r="Z808" s="27">
        <f t="shared" si="11"/>
        <v>0</v>
      </c>
      <c r="AA808" s="27" t="str">
        <f t="shared" si="12"/>
        <v/>
      </c>
      <c r="AB808" s="1" t="str">
        <f t="array" ref="AB808">IFERROR(INDEX('Исходник'!$1:$626,MATCH($A808,'Исходник'!$T:$T,0),MATCH(AB$1,'Исходник'!$1:$1,0)))</f>
        <v/>
      </c>
      <c r="AC808" s="1" t="str">
        <f t="array" ref="AC808">IFERROR(INDEX('Исходник'!$1:$626,MATCH($A808,'Исходник'!$T:$T,0),MATCH(AC$1,'Исходник'!$1:$1,0)))</f>
        <v/>
      </c>
      <c r="AD808" s="27" t="str">
        <f t="shared" si="13"/>
        <v/>
      </c>
      <c r="AE808" s="1" t="str">
        <f t="array" ref="AE808">IFERROR(INDEX('Исходник'!$1:$626,MATCH($A808,'Исходник'!$T:$T,0),MATCH(AE$1,'Исходник'!$1:$1,0)))</f>
        <v/>
      </c>
      <c r="AF808" s="1" t="str">
        <f t="array" ref="AF808">IFERROR(INDEX('Исходник'!$1:$626,MATCH($A808,'Исходник'!$T:$T,0),MATCH(AF$1,'Исходник'!$1:$1,0)))</f>
        <v/>
      </c>
      <c r="AG808" s="27" t="str">
        <f t="shared" si="14"/>
        <v/>
      </c>
      <c r="AH808" s="1" t="str">
        <f t="array" ref="AH808">IFERROR(INDEX('Исходник'!$1:$626,MATCH($A808,'Исходник'!$T:$T,0),MATCH(AH$1,'Исходник'!$1:$1,0)))</f>
        <v/>
      </c>
      <c r="AI808" s="1" t="str">
        <f t="array" ref="AI808">IFERROR(INDEX('Исходник'!$1:$626,MATCH($A808,'Исходник'!$T:$T,0),MATCH(AI$1,'Исходник'!$1:$1,0)))</f>
        <v/>
      </c>
      <c r="AJ808" s="18">
        <f t="shared" si="15"/>
        <v>0</v>
      </c>
    </row>
    <row r="809" ht="15.75" customHeight="1">
      <c r="A809" s="27"/>
      <c r="B809" s="1" t="str">
        <f t="array" ref="B809">IFERROR(INDEX('Исходник'!$1:$626,MATCH($A809,'Исходник'!$T:$T,0),MATCH(B$1,'Исходник'!$1:$1,0)))</f>
        <v/>
      </c>
      <c r="C809" s="1" t="str">
        <f t="array" ref="C809">IFERROR(INDEX('Исходник'!$1:$626,MATCH($A809,'Исходник'!$T:$T,0),MATCH(C$1,'Исходник'!$1:$1,0)))</f>
        <v/>
      </c>
      <c r="D809" s="1" t="str">
        <f t="array" ref="D809">IFERROR(INDEX('Исходник'!$1:$626,MATCH($A809,'Исходник'!$T:$T,0),MATCH(D$1,'Исходник'!$1:$1,0)))</f>
        <v/>
      </c>
      <c r="E809" s="1" t="str">
        <f t="array" ref="E809">IFERROR(INDEX('Исходник'!$1:$626,MATCH($A809,'Исходник'!$T:$T,0),MATCH(E$1,'Исходник'!$1:$1,0)))</f>
        <v/>
      </c>
      <c r="F809" s="1" t="str">
        <f t="array" ref="F809">IFERROR(INDEX('Исходник'!$1:$626,MATCH($A809,'Исходник'!$T:$T,0),MATCH(F$1,'Исходник'!$1:$1,0)))</f>
        <v/>
      </c>
      <c r="G809" s="1" t="str">
        <f t="array" ref="G809">IFERROR(INDEX('Исходник'!$1:$626,MATCH($A809,'Исходник'!$T:$T,0),MATCH(G$1,'Исходник'!$1:$1,0)))</f>
        <v/>
      </c>
      <c r="H809" s="27">
        <f t="shared" si="1"/>
        <v>0</v>
      </c>
      <c r="I809" s="27" t="str">
        <f t="shared" si="2"/>
        <v/>
      </c>
      <c r="J809" s="1" t="str">
        <f t="array" ref="J809">IFERROR(INDEX('Исходник'!$1:$626,MATCH($A809,'Исходник'!$T:$T,0),MATCH(J$1,'Исходник'!$1:$1,0)))</f>
        <v/>
      </c>
      <c r="K809" s="27" t="str">
        <f t="shared" si="3"/>
        <v/>
      </c>
      <c r="L809" s="1" t="str">
        <f t="array" ref="L809">IFERROR(INDEX('Исходник'!$1:$626,MATCH($A809,'Исходник'!$T:$T,0),MATCH(L$1,'Исходник'!$1:$1,0)))</f>
        <v/>
      </c>
      <c r="M809" s="28">
        <f t="shared" si="4"/>
        <v>0</v>
      </c>
      <c r="N809" s="1" t="str">
        <f t="array" ref="N809">IFERROR(INDEX('Исходник'!$1:$626,MATCH($A809,'Исходник'!$T:$T,0),MATCH(N$1,'Исходник'!$1:$1,0)))</f>
        <v/>
      </c>
      <c r="O809" s="27">
        <f t="shared" si="5"/>
        <v>0</v>
      </c>
      <c r="P809" s="27" t="str">
        <f t="shared" si="6"/>
        <v/>
      </c>
      <c r="Q809" s="1" t="str">
        <f t="array" ref="Q809">IFERROR(INDEX('Исходник'!$1:$626,MATCH($A809,'Исходник'!$T:$T,0),MATCH(Q$1,'Исходник'!$1:$1,0)))</f>
        <v/>
      </c>
      <c r="R809" s="1" t="str">
        <f t="array" ref="R809">IFERROR(INDEX('Исходник'!$1:$626,MATCH($A809,'Исходник'!$T:$T,0),MATCH(R$1,'Исходник'!$1:$1,0)))</f>
        <v/>
      </c>
      <c r="S809" s="27">
        <f t="shared" si="7"/>
        <v>0</v>
      </c>
      <c r="T809" s="27" t="str">
        <f t="shared" si="8"/>
        <v/>
      </c>
      <c r="U809" s="1" t="str">
        <f t="array" ref="U809">IFERROR(INDEX('Исходник'!$1:$626,MATCH($A809,'Исходник'!$T:$T,0),MATCH(U$1,'Исходник'!$1:$1,0)))</f>
        <v/>
      </c>
      <c r="V809" s="27" t="str">
        <f t="shared" si="9"/>
        <v/>
      </c>
      <c r="W809" s="1" t="str">
        <f t="array" ref="W809">IFERROR(INDEX('Исходник'!$1:$626,MATCH($A809,'Исходник'!$T:$T,0),MATCH(W$1,'Исходник'!$1:$1,0)))</f>
        <v/>
      </c>
      <c r="X809" s="28">
        <f t="shared" si="10"/>
        <v>0</v>
      </c>
      <c r="Y809" s="1" t="str">
        <f t="array" ref="Y809">IFERROR(INDEX('Исходник'!$1:$626,MATCH($A809,'Исходник'!$T:$T,0),MATCH(Y$1,'Исходник'!$1:$1,0)))</f>
        <v/>
      </c>
      <c r="Z809" s="27">
        <f t="shared" si="11"/>
        <v>0</v>
      </c>
      <c r="AA809" s="27" t="str">
        <f t="shared" si="12"/>
        <v/>
      </c>
      <c r="AB809" s="1" t="str">
        <f t="array" ref="AB809">IFERROR(INDEX('Исходник'!$1:$626,MATCH($A809,'Исходник'!$T:$T,0),MATCH(AB$1,'Исходник'!$1:$1,0)))</f>
        <v/>
      </c>
      <c r="AC809" s="1" t="str">
        <f t="array" ref="AC809">IFERROR(INDEX('Исходник'!$1:$626,MATCH($A809,'Исходник'!$T:$T,0),MATCH(AC$1,'Исходник'!$1:$1,0)))</f>
        <v/>
      </c>
      <c r="AD809" s="27" t="str">
        <f t="shared" si="13"/>
        <v/>
      </c>
      <c r="AE809" s="1" t="str">
        <f t="array" ref="AE809">IFERROR(INDEX('Исходник'!$1:$626,MATCH($A809,'Исходник'!$T:$T,0),MATCH(AE$1,'Исходник'!$1:$1,0)))</f>
        <v/>
      </c>
      <c r="AF809" s="1" t="str">
        <f t="array" ref="AF809">IFERROR(INDEX('Исходник'!$1:$626,MATCH($A809,'Исходник'!$T:$T,0),MATCH(AF$1,'Исходник'!$1:$1,0)))</f>
        <v/>
      </c>
      <c r="AG809" s="27" t="str">
        <f t="shared" si="14"/>
        <v/>
      </c>
      <c r="AH809" s="1" t="str">
        <f t="array" ref="AH809">IFERROR(INDEX('Исходник'!$1:$626,MATCH($A809,'Исходник'!$T:$T,0),MATCH(AH$1,'Исходник'!$1:$1,0)))</f>
        <v/>
      </c>
      <c r="AI809" s="1" t="str">
        <f t="array" ref="AI809">IFERROR(INDEX('Исходник'!$1:$626,MATCH($A809,'Исходник'!$T:$T,0),MATCH(AI$1,'Исходник'!$1:$1,0)))</f>
        <v/>
      </c>
      <c r="AJ809" s="18">
        <f t="shared" si="15"/>
        <v>0</v>
      </c>
    </row>
    <row r="810" ht="15.75" customHeight="1">
      <c r="A810" s="27"/>
      <c r="B810" s="1" t="str">
        <f t="array" ref="B810">IFERROR(INDEX('Исходник'!$1:$626,MATCH($A810,'Исходник'!$T:$T,0),MATCH(B$1,'Исходник'!$1:$1,0)))</f>
        <v/>
      </c>
      <c r="C810" s="1" t="str">
        <f t="array" ref="C810">IFERROR(INDEX('Исходник'!$1:$626,MATCH($A810,'Исходник'!$T:$T,0),MATCH(C$1,'Исходник'!$1:$1,0)))</f>
        <v/>
      </c>
      <c r="D810" s="1" t="str">
        <f t="array" ref="D810">IFERROR(INDEX('Исходник'!$1:$626,MATCH($A810,'Исходник'!$T:$T,0),MATCH(D$1,'Исходник'!$1:$1,0)))</f>
        <v/>
      </c>
      <c r="E810" s="1" t="str">
        <f t="array" ref="E810">IFERROR(INDEX('Исходник'!$1:$626,MATCH($A810,'Исходник'!$T:$T,0),MATCH(E$1,'Исходник'!$1:$1,0)))</f>
        <v/>
      </c>
      <c r="F810" s="1" t="str">
        <f t="array" ref="F810">IFERROR(INDEX('Исходник'!$1:$626,MATCH($A810,'Исходник'!$T:$T,0),MATCH(F$1,'Исходник'!$1:$1,0)))</f>
        <v/>
      </c>
      <c r="G810" s="1" t="str">
        <f t="array" ref="G810">IFERROR(INDEX('Исходник'!$1:$626,MATCH($A810,'Исходник'!$T:$T,0),MATCH(G$1,'Исходник'!$1:$1,0)))</f>
        <v/>
      </c>
      <c r="H810" s="27">
        <f t="shared" si="1"/>
        <v>0</v>
      </c>
      <c r="I810" s="27" t="str">
        <f t="shared" si="2"/>
        <v/>
      </c>
      <c r="J810" s="1" t="str">
        <f t="array" ref="J810">IFERROR(INDEX('Исходник'!$1:$626,MATCH($A810,'Исходник'!$T:$T,0),MATCH(J$1,'Исходник'!$1:$1,0)))</f>
        <v/>
      </c>
      <c r="K810" s="27" t="str">
        <f t="shared" si="3"/>
        <v/>
      </c>
      <c r="L810" s="1" t="str">
        <f t="array" ref="L810">IFERROR(INDEX('Исходник'!$1:$626,MATCH($A810,'Исходник'!$T:$T,0),MATCH(L$1,'Исходник'!$1:$1,0)))</f>
        <v/>
      </c>
      <c r="M810" s="28">
        <f t="shared" si="4"/>
        <v>0</v>
      </c>
      <c r="N810" s="1" t="str">
        <f t="array" ref="N810">IFERROR(INDEX('Исходник'!$1:$626,MATCH($A810,'Исходник'!$T:$T,0),MATCH(N$1,'Исходник'!$1:$1,0)))</f>
        <v/>
      </c>
      <c r="O810" s="27">
        <f t="shared" si="5"/>
        <v>0</v>
      </c>
      <c r="P810" s="27" t="str">
        <f t="shared" si="6"/>
        <v/>
      </c>
      <c r="Q810" s="1" t="str">
        <f t="array" ref="Q810">IFERROR(INDEX('Исходник'!$1:$626,MATCH($A810,'Исходник'!$T:$T,0),MATCH(Q$1,'Исходник'!$1:$1,0)))</f>
        <v/>
      </c>
      <c r="R810" s="1" t="str">
        <f t="array" ref="R810">IFERROR(INDEX('Исходник'!$1:$626,MATCH($A810,'Исходник'!$T:$T,0),MATCH(R$1,'Исходник'!$1:$1,0)))</f>
        <v/>
      </c>
      <c r="S810" s="27">
        <f t="shared" si="7"/>
        <v>0</v>
      </c>
      <c r="T810" s="27" t="str">
        <f t="shared" si="8"/>
        <v/>
      </c>
      <c r="U810" s="1" t="str">
        <f t="array" ref="U810">IFERROR(INDEX('Исходник'!$1:$626,MATCH($A810,'Исходник'!$T:$T,0),MATCH(U$1,'Исходник'!$1:$1,0)))</f>
        <v/>
      </c>
      <c r="V810" s="27" t="str">
        <f t="shared" si="9"/>
        <v/>
      </c>
      <c r="W810" s="1" t="str">
        <f t="array" ref="W810">IFERROR(INDEX('Исходник'!$1:$626,MATCH($A810,'Исходник'!$T:$T,0),MATCH(W$1,'Исходник'!$1:$1,0)))</f>
        <v/>
      </c>
      <c r="X810" s="28">
        <f t="shared" si="10"/>
        <v>0</v>
      </c>
      <c r="Y810" s="1" t="str">
        <f t="array" ref="Y810">IFERROR(INDEX('Исходник'!$1:$626,MATCH($A810,'Исходник'!$T:$T,0),MATCH(Y$1,'Исходник'!$1:$1,0)))</f>
        <v/>
      </c>
      <c r="Z810" s="27">
        <f t="shared" si="11"/>
        <v>0</v>
      </c>
      <c r="AA810" s="27" t="str">
        <f t="shared" si="12"/>
        <v/>
      </c>
      <c r="AB810" s="1" t="str">
        <f t="array" ref="AB810">IFERROR(INDEX('Исходник'!$1:$626,MATCH($A810,'Исходник'!$T:$T,0),MATCH(AB$1,'Исходник'!$1:$1,0)))</f>
        <v/>
      </c>
      <c r="AC810" s="1" t="str">
        <f t="array" ref="AC810">IFERROR(INDEX('Исходник'!$1:$626,MATCH($A810,'Исходник'!$T:$T,0),MATCH(AC$1,'Исходник'!$1:$1,0)))</f>
        <v/>
      </c>
      <c r="AD810" s="27" t="str">
        <f t="shared" si="13"/>
        <v/>
      </c>
      <c r="AE810" s="1" t="str">
        <f t="array" ref="AE810">IFERROR(INDEX('Исходник'!$1:$626,MATCH($A810,'Исходник'!$T:$T,0),MATCH(AE$1,'Исходник'!$1:$1,0)))</f>
        <v/>
      </c>
      <c r="AF810" s="1" t="str">
        <f t="array" ref="AF810">IFERROR(INDEX('Исходник'!$1:$626,MATCH($A810,'Исходник'!$T:$T,0),MATCH(AF$1,'Исходник'!$1:$1,0)))</f>
        <v/>
      </c>
      <c r="AG810" s="27" t="str">
        <f t="shared" si="14"/>
        <v/>
      </c>
      <c r="AH810" s="1" t="str">
        <f t="array" ref="AH810">IFERROR(INDEX('Исходник'!$1:$626,MATCH($A810,'Исходник'!$T:$T,0),MATCH(AH$1,'Исходник'!$1:$1,0)))</f>
        <v/>
      </c>
      <c r="AI810" s="1" t="str">
        <f t="array" ref="AI810">IFERROR(INDEX('Исходник'!$1:$626,MATCH($A810,'Исходник'!$T:$T,0),MATCH(AI$1,'Исходник'!$1:$1,0)))</f>
        <v/>
      </c>
      <c r="AJ810" s="18">
        <f t="shared" si="15"/>
        <v>0</v>
      </c>
    </row>
    <row r="811" ht="15.75" customHeight="1">
      <c r="A811" s="27"/>
      <c r="B811" s="1" t="str">
        <f t="array" ref="B811">IFERROR(INDEX('Исходник'!$1:$626,MATCH($A811,'Исходник'!$T:$T,0),MATCH(B$1,'Исходник'!$1:$1,0)))</f>
        <v/>
      </c>
      <c r="C811" s="1" t="str">
        <f t="array" ref="C811">IFERROR(INDEX('Исходник'!$1:$626,MATCH($A811,'Исходник'!$T:$T,0),MATCH(C$1,'Исходник'!$1:$1,0)))</f>
        <v/>
      </c>
      <c r="D811" s="1" t="str">
        <f t="array" ref="D811">IFERROR(INDEX('Исходник'!$1:$626,MATCH($A811,'Исходник'!$T:$T,0),MATCH(D$1,'Исходник'!$1:$1,0)))</f>
        <v/>
      </c>
      <c r="E811" s="1" t="str">
        <f t="array" ref="E811">IFERROR(INDEX('Исходник'!$1:$626,MATCH($A811,'Исходник'!$T:$T,0),MATCH(E$1,'Исходник'!$1:$1,0)))</f>
        <v/>
      </c>
      <c r="F811" s="1" t="str">
        <f t="array" ref="F811">IFERROR(INDEX('Исходник'!$1:$626,MATCH($A811,'Исходник'!$T:$T,0),MATCH(F$1,'Исходник'!$1:$1,0)))</f>
        <v/>
      </c>
      <c r="G811" s="1" t="str">
        <f t="array" ref="G811">IFERROR(INDEX('Исходник'!$1:$626,MATCH($A811,'Исходник'!$T:$T,0),MATCH(G$1,'Исходник'!$1:$1,0)))</f>
        <v/>
      </c>
      <c r="H811" s="27">
        <f t="shared" si="1"/>
        <v>0</v>
      </c>
      <c r="I811" s="27" t="str">
        <f t="shared" si="2"/>
        <v/>
      </c>
      <c r="J811" s="1" t="str">
        <f t="array" ref="J811">IFERROR(INDEX('Исходник'!$1:$626,MATCH($A811,'Исходник'!$T:$T,0),MATCH(J$1,'Исходник'!$1:$1,0)))</f>
        <v/>
      </c>
      <c r="K811" s="27" t="str">
        <f t="shared" si="3"/>
        <v/>
      </c>
      <c r="L811" s="1" t="str">
        <f t="array" ref="L811">IFERROR(INDEX('Исходник'!$1:$626,MATCH($A811,'Исходник'!$T:$T,0),MATCH(L$1,'Исходник'!$1:$1,0)))</f>
        <v/>
      </c>
      <c r="M811" s="28">
        <f t="shared" si="4"/>
        <v>0</v>
      </c>
      <c r="N811" s="1" t="str">
        <f t="array" ref="N811">IFERROR(INDEX('Исходник'!$1:$626,MATCH($A811,'Исходник'!$T:$T,0),MATCH(N$1,'Исходник'!$1:$1,0)))</f>
        <v/>
      </c>
      <c r="O811" s="27">
        <f t="shared" si="5"/>
        <v>0</v>
      </c>
      <c r="P811" s="27" t="str">
        <f t="shared" si="6"/>
        <v/>
      </c>
      <c r="Q811" s="1" t="str">
        <f t="array" ref="Q811">IFERROR(INDEX('Исходник'!$1:$626,MATCH($A811,'Исходник'!$T:$T,0),MATCH(Q$1,'Исходник'!$1:$1,0)))</f>
        <v/>
      </c>
      <c r="R811" s="1" t="str">
        <f t="array" ref="R811">IFERROR(INDEX('Исходник'!$1:$626,MATCH($A811,'Исходник'!$T:$T,0),MATCH(R$1,'Исходник'!$1:$1,0)))</f>
        <v/>
      </c>
      <c r="S811" s="27">
        <f t="shared" si="7"/>
        <v>0</v>
      </c>
      <c r="T811" s="27" t="str">
        <f t="shared" si="8"/>
        <v/>
      </c>
      <c r="U811" s="1" t="str">
        <f t="array" ref="U811">IFERROR(INDEX('Исходник'!$1:$626,MATCH($A811,'Исходник'!$T:$T,0),MATCH(U$1,'Исходник'!$1:$1,0)))</f>
        <v/>
      </c>
      <c r="V811" s="27" t="str">
        <f t="shared" si="9"/>
        <v/>
      </c>
      <c r="W811" s="1" t="str">
        <f t="array" ref="W811">IFERROR(INDEX('Исходник'!$1:$626,MATCH($A811,'Исходник'!$T:$T,0),MATCH(W$1,'Исходник'!$1:$1,0)))</f>
        <v/>
      </c>
      <c r="X811" s="28">
        <f t="shared" si="10"/>
        <v>0</v>
      </c>
      <c r="Y811" s="1" t="str">
        <f t="array" ref="Y811">IFERROR(INDEX('Исходник'!$1:$626,MATCH($A811,'Исходник'!$T:$T,0),MATCH(Y$1,'Исходник'!$1:$1,0)))</f>
        <v/>
      </c>
      <c r="Z811" s="27">
        <f t="shared" si="11"/>
        <v>0</v>
      </c>
      <c r="AA811" s="27" t="str">
        <f t="shared" si="12"/>
        <v/>
      </c>
      <c r="AB811" s="1" t="str">
        <f t="array" ref="AB811">IFERROR(INDEX('Исходник'!$1:$626,MATCH($A811,'Исходник'!$T:$T,0),MATCH(AB$1,'Исходник'!$1:$1,0)))</f>
        <v/>
      </c>
      <c r="AC811" s="1" t="str">
        <f t="array" ref="AC811">IFERROR(INDEX('Исходник'!$1:$626,MATCH($A811,'Исходник'!$T:$T,0),MATCH(AC$1,'Исходник'!$1:$1,0)))</f>
        <v/>
      </c>
      <c r="AD811" s="27" t="str">
        <f t="shared" si="13"/>
        <v/>
      </c>
      <c r="AE811" s="1" t="str">
        <f t="array" ref="AE811">IFERROR(INDEX('Исходник'!$1:$626,MATCH($A811,'Исходник'!$T:$T,0),MATCH(AE$1,'Исходник'!$1:$1,0)))</f>
        <v/>
      </c>
      <c r="AF811" s="1" t="str">
        <f t="array" ref="AF811">IFERROR(INDEX('Исходник'!$1:$626,MATCH($A811,'Исходник'!$T:$T,0),MATCH(AF$1,'Исходник'!$1:$1,0)))</f>
        <v/>
      </c>
      <c r="AG811" s="27" t="str">
        <f t="shared" si="14"/>
        <v/>
      </c>
      <c r="AH811" s="1" t="str">
        <f t="array" ref="AH811">IFERROR(INDEX('Исходник'!$1:$626,MATCH($A811,'Исходник'!$T:$T,0),MATCH(AH$1,'Исходник'!$1:$1,0)))</f>
        <v/>
      </c>
      <c r="AI811" s="1" t="str">
        <f t="array" ref="AI811">IFERROR(INDEX('Исходник'!$1:$626,MATCH($A811,'Исходник'!$T:$T,0),MATCH(AI$1,'Исходник'!$1:$1,0)))</f>
        <v/>
      </c>
      <c r="AJ811" s="18">
        <f t="shared" si="15"/>
        <v>0</v>
      </c>
    </row>
    <row r="812" ht="15.75" customHeight="1">
      <c r="A812" s="27"/>
      <c r="B812" s="1" t="str">
        <f t="array" ref="B812">IFERROR(INDEX('Исходник'!$1:$626,MATCH($A812,'Исходник'!$T:$T,0),MATCH(B$1,'Исходник'!$1:$1,0)))</f>
        <v/>
      </c>
      <c r="C812" s="1" t="str">
        <f t="array" ref="C812">IFERROR(INDEX('Исходник'!$1:$626,MATCH($A812,'Исходник'!$T:$T,0),MATCH(C$1,'Исходник'!$1:$1,0)))</f>
        <v/>
      </c>
      <c r="D812" s="1" t="str">
        <f t="array" ref="D812">IFERROR(INDEX('Исходник'!$1:$626,MATCH($A812,'Исходник'!$T:$T,0),MATCH(D$1,'Исходник'!$1:$1,0)))</f>
        <v/>
      </c>
      <c r="E812" s="1" t="str">
        <f t="array" ref="E812">IFERROR(INDEX('Исходник'!$1:$626,MATCH($A812,'Исходник'!$T:$T,0),MATCH(E$1,'Исходник'!$1:$1,0)))</f>
        <v/>
      </c>
      <c r="F812" s="1" t="str">
        <f t="array" ref="F812">IFERROR(INDEX('Исходник'!$1:$626,MATCH($A812,'Исходник'!$T:$T,0),MATCH(F$1,'Исходник'!$1:$1,0)))</f>
        <v/>
      </c>
      <c r="G812" s="1" t="str">
        <f t="array" ref="G812">IFERROR(INDEX('Исходник'!$1:$626,MATCH($A812,'Исходник'!$T:$T,0),MATCH(G$1,'Исходник'!$1:$1,0)))</f>
        <v/>
      </c>
      <c r="H812" s="27">
        <f t="shared" si="1"/>
        <v>0</v>
      </c>
      <c r="I812" s="27" t="str">
        <f t="shared" si="2"/>
        <v/>
      </c>
      <c r="J812" s="1" t="str">
        <f t="array" ref="J812">IFERROR(INDEX('Исходник'!$1:$626,MATCH($A812,'Исходник'!$T:$T,0),MATCH(J$1,'Исходник'!$1:$1,0)))</f>
        <v/>
      </c>
      <c r="K812" s="27" t="str">
        <f t="shared" si="3"/>
        <v/>
      </c>
      <c r="L812" s="1" t="str">
        <f t="array" ref="L812">IFERROR(INDEX('Исходник'!$1:$626,MATCH($A812,'Исходник'!$T:$T,0),MATCH(L$1,'Исходник'!$1:$1,0)))</f>
        <v/>
      </c>
      <c r="M812" s="28">
        <f t="shared" si="4"/>
        <v>0</v>
      </c>
      <c r="N812" s="1" t="str">
        <f t="array" ref="N812">IFERROR(INDEX('Исходник'!$1:$626,MATCH($A812,'Исходник'!$T:$T,0),MATCH(N$1,'Исходник'!$1:$1,0)))</f>
        <v/>
      </c>
      <c r="O812" s="27">
        <f t="shared" si="5"/>
        <v>0</v>
      </c>
      <c r="P812" s="27" t="str">
        <f t="shared" si="6"/>
        <v/>
      </c>
      <c r="Q812" s="1" t="str">
        <f t="array" ref="Q812">IFERROR(INDEX('Исходник'!$1:$626,MATCH($A812,'Исходник'!$T:$T,0),MATCH(Q$1,'Исходник'!$1:$1,0)))</f>
        <v/>
      </c>
      <c r="R812" s="1" t="str">
        <f t="array" ref="R812">IFERROR(INDEX('Исходник'!$1:$626,MATCH($A812,'Исходник'!$T:$T,0),MATCH(R$1,'Исходник'!$1:$1,0)))</f>
        <v/>
      </c>
      <c r="S812" s="27">
        <f t="shared" si="7"/>
        <v>0</v>
      </c>
      <c r="T812" s="27" t="str">
        <f t="shared" si="8"/>
        <v/>
      </c>
      <c r="U812" s="1" t="str">
        <f t="array" ref="U812">IFERROR(INDEX('Исходник'!$1:$626,MATCH($A812,'Исходник'!$T:$T,0),MATCH(U$1,'Исходник'!$1:$1,0)))</f>
        <v/>
      </c>
      <c r="V812" s="27" t="str">
        <f t="shared" si="9"/>
        <v/>
      </c>
      <c r="W812" s="1" t="str">
        <f t="array" ref="W812">IFERROR(INDEX('Исходник'!$1:$626,MATCH($A812,'Исходник'!$T:$T,0),MATCH(W$1,'Исходник'!$1:$1,0)))</f>
        <v/>
      </c>
      <c r="X812" s="28">
        <f t="shared" si="10"/>
        <v>0</v>
      </c>
      <c r="Y812" s="1" t="str">
        <f t="array" ref="Y812">IFERROR(INDEX('Исходник'!$1:$626,MATCH($A812,'Исходник'!$T:$T,0),MATCH(Y$1,'Исходник'!$1:$1,0)))</f>
        <v/>
      </c>
      <c r="Z812" s="27">
        <f t="shared" si="11"/>
        <v>0</v>
      </c>
      <c r="AA812" s="27" t="str">
        <f t="shared" si="12"/>
        <v/>
      </c>
      <c r="AB812" s="1" t="str">
        <f t="array" ref="AB812">IFERROR(INDEX('Исходник'!$1:$626,MATCH($A812,'Исходник'!$T:$T,0),MATCH(AB$1,'Исходник'!$1:$1,0)))</f>
        <v/>
      </c>
      <c r="AC812" s="1" t="str">
        <f t="array" ref="AC812">IFERROR(INDEX('Исходник'!$1:$626,MATCH($A812,'Исходник'!$T:$T,0),MATCH(AC$1,'Исходник'!$1:$1,0)))</f>
        <v/>
      </c>
      <c r="AD812" s="27" t="str">
        <f t="shared" si="13"/>
        <v/>
      </c>
      <c r="AE812" s="1" t="str">
        <f t="array" ref="AE812">IFERROR(INDEX('Исходник'!$1:$626,MATCH($A812,'Исходник'!$T:$T,0),MATCH(AE$1,'Исходник'!$1:$1,0)))</f>
        <v/>
      </c>
      <c r="AF812" s="1" t="str">
        <f t="array" ref="AF812">IFERROR(INDEX('Исходник'!$1:$626,MATCH($A812,'Исходник'!$T:$T,0),MATCH(AF$1,'Исходник'!$1:$1,0)))</f>
        <v/>
      </c>
      <c r="AG812" s="27" t="str">
        <f t="shared" si="14"/>
        <v/>
      </c>
      <c r="AH812" s="1" t="str">
        <f t="array" ref="AH812">IFERROR(INDEX('Исходник'!$1:$626,MATCH($A812,'Исходник'!$T:$T,0),MATCH(AH$1,'Исходник'!$1:$1,0)))</f>
        <v/>
      </c>
      <c r="AI812" s="1" t="str">
        <f t="array" ref="AI812">IFERROR(INDEX('Исходник'!$1:$626,MATCH($A812,'Исходник'!$T:$T,0),MATCH(AI$1,'Исходник'!$1:$1,0)))</f>
        <v/>
      </c>
      <c r="AJ812" s="18">
        <f t="shared" si="15"/>
        <v>0</v>
      </c>
    </row>
    <row r="813" ht="15.75" customHeight="1">
      <c r="A813" s="27"/>
      <c r="B813" s="1" t="str">
        <f t="array" ref="B813">IFERROR(INDEX('Исходник'!$1:$626,MATCH($A813,'Исходник'!$T:$T,0),MATCH(B$1,'Исходник'!$1:$1,0)))</f>
        <v/>
      </c>
      <c r="C813" s="1" t="str">
        <f t="array" ref="C813">IFERROR(INDEX('Исходник'!$1:$626,MATCH($A813,'Исходник'!$T:$T,0),MATCH(C$1,'Исходник'!$1:$1,0)))</f>
        <v/>
      </c>
      <c r="D813" s="1" t="str">
        <f t="array" ref="D813">IFERROR(INDEX('Исходник'!$1:$626,MATCH($A813,'Исходник'!$T:$T,0),MATCH(D$1,'Исходник'!$1:$1,0)))</f>
        <v/>
      </c>
      <c r="E813" s="1" t="str">
        <f t="array" ref="E813">IFERROR(INDEX('Исходник'!$1:$626,MATCH($A813,'Исходник'!$T:$T,0),MATCH(E$1,'Исходник'!$1:$1,0)))</f>
        <v/>
      </c>
      <c r="F813" s="1" t="str">
        <f t="array" ref="F813">IFERROR(INDEX('Исходник'!$1:$626,MATCH($A813,'Исходник'!$T:$T,0),MATCH(F$1,'Исходник'!$1:$1,0)))</f>
        <v/>
      </c>
      <c r="G813" s="1" t="str">
        <f t="array" ref="G813">IFERROR(INDEX('Исходник'!$1:$626,MATCH($A813,'Исходник'!$T:$T,0),MATCH(G$1,'Исходник'!$1:$1,0)))</f>
        <v/>
      </c>
      <c r="H813" s="27">
        <f t="shared" si="1"/>
        <v>0</v>
      </c>
      <c r="I813" s="27" t="str">
        <f t="shared" si="2"/>
        <v/>
      </c>
      <c r="J813" s="1" t="str">
        <f t="array" ref="J813">IFERROR(INDEX('Исходник'!$1:$626,MATCH($A813,'Исходник'!$T:$T,0),MATCH(J$1,'Исходник'!$1:$1,0)))</f>
        <v/>
      </c>
      <c r="K813" s="27" t="str">
        <f t="shared" si="3"/>
        <v/>
      </c>
      <c r="L813" s="1" t="str">
        <f t="array" ref="L813">IFERROR(INDEX('Исходник'!$1:$626,MATCH($A813,'Исходник'!$T:$T,0),MATCH(L$1,'Исходник'!$1:$1,0)))</f>
        <v/>
      </c>
      <c r="M813" s="28">
        <f t="shared" si="4"/>
        <v>0</v>
      </c>
      <c r="N813" s="1" t="str">
        <f t="array" ref="N813">IFERROR(INDEX('Исходник'!$1:$626,MATCH($A813,'Исходник'!$T:$T,0),MATCH(N$1,'Исходник'!$1:$1,0)))</f>
        <v/>
      </c>
      <c r="O813" s="27">
        <f t="shared" si="5"/>
        <v>0</v>
      </c>
      <c r="P813" s="27" t="str">
        <f t="shared" si="6"/>
        <v/>
      </c>
      <c r="Q813" s="1" t="str">
        <f t="array" ref="Q813">IFERROR(INDEX('Исходник'!$1:$626,MATCH($A813,'Исходник'!$T:$T,0),MATCH(Q$1,'Исходник'!$1:$1,0)))</f>
        <v/>
      </c>
      <c r="R813" s="1" t="str">
        <f t="array" ref="R813">IFERROR(INDEX('Исходник'!$1:$626,MATCH($A813,'Исходник'!$T:$T,0),MATCH(R$1,'Исходник'!$1:$1,0)))</f>
        <v/>
      </c>
      <c r="S813" s="27">
        <f t="shared" si="7"/>
        <v>0</v>
      </c>
      <c r="T813" s="27" t="str">
        <f t="shared" si="8"/>
        <v/>
      </c>
      <c r="U813" s="1" t="str">
        <f t="array" ref="U813">IFERROR(INDEX('Исходник'!$1:$626,MATCH($A813,'Исходник'!$T:$T,0),MATCH(U$1,'Исходник'!$1:$1,0)))</f>
        <v/>
      </c>
      <c r="V813" s="27" t="str">
        <f t="shared" si="9"/>
        <v/>
      </c>
      <c r="W813" s="1" t="str">
        <f t="array" ref="W813">IFERROR(INDEX('Исходник'!$1:$626,MATCH($A813,'Исходник'!$T:$T,0),MATCH(W$1,'Исходник'!$1:$1,0)))</f>
        <v/>
      </c>
      <c r="X813" s="28">
        <f t="shared" si="10"/>
        <v>0</v>
      </c>
      <c r="Y813" s="1" t="str">
        <f t="array" ref="Y813">IFERROR(INDEX('Исходник'!$1:$626,MATCH($A813,'Исходник'!$T:$T,0),MATCH(Y$1,'Исходник'!$1:$1,0)))</f>
        <v/>
      </c>
      <c r="Z813" s="27">
        <f t="shared" si="11"/>
        <v>0</v>
      </c>
      <c r="AA813" s="27" t="str">
        <f t="shared" si="12"/>
        <v/>
      </c>
      <c r="AB813" s="1" t="str">
        <f t="array" ref="AB813">IFERROR(INDEX('Исходник'!$1:$626,MATCH($A813,'Исходник'!$T:$T,0),MATCH(AB$1,'Исходник'!$1:$1,0)))</f>
        <v/>
      </c>
      <c r="AC813" s="1" t="str">
        <f t="array" ref="AC813">IFERROR(INDEX('Исходник'!$1:$626,MATCH($A813,'Исходник'!$T:$T,0),MATCH(AC$1,'Исходник'!$1:$1,0)))</f>
        <v/>
      </c>
      <c r="AD813" s="27" t="str">
        <f t="shared" si="13"/>
        <v/>
      </c>
      <c r="AE813" s="1" t="str">
        <f t="array" ref="AE813">IFERROR(INDEX('Исходник'!$1:$626,MATCH($A813,'Исходник'!$T:$T,0),MATCH(AE$1,'Исходник'!$1:$1,0)))</f>
        <v/>
      </c>
      <c r="AF813" s="1" t="str">
        <f t="array" ref="AF813">IFERROR(INDEX('Исходник'!$1:$626,MATCH($A813,'Исходник'!$T:$T,0),MATCH(AF$1,'Исходник'!$1:$1,0)))</f>
        <v/>
      </c>
      <c r="AG813" s="27" t="str">
        <f t="shared" si="14"/>
        <v/>
      </c>
      <c r="AH813" s="1" t="str">
        <f t="array" ref="AH813">IFERROR(INDEX('Исходник'!$1:$626,MATCH($A813,'Исходник'!$T:$T,0),MATCH(AH$1,'Исходник'!$1:$1,0)))</f>
        <v/>
      </c>
      <c r="AI813" s="1" t="str">
        <f t="array" ref="AI813">IFERROR(INDEX('Исходник'!$1:$626,MATCH($A813,'Исходник'!$T:$T,0),MATCH(AI$1,'Исходник'!$1:$1,0)))</f>
        <v/>
      </c>
      <c r="AJ813" s="18">
        <f t="shared" si="15"/>
        <v>0</v>
      </c>
    </row>
    <row r="814" ht="15.75" customHeight="1">
      <c r="A814" s="27"/>
      <c r="B814" s="1" t="str">
        <f t="array" ref="B814">IFERROR(INDEX('Исходник'!$1:$626,MATCH($A814,'Исходник'!$T:$T,0),MATCH(B$1,'Исходник'!$1:$1,0)))</f>
        <v/>
      </c>
      <c r="C814" s="1" t="str">
        <f t="array" ref="C814">IFERROR(INDEX('Исходник'!$1:$626,MATCH($A814,'Исходник'!$T:$T,0),MATCH(C$1,'Исходник'!$1:$1,0)))</f>
        <v/>
      </c>
      <c r="D814" s="1" t="str">
        <f t="array" ref="D814">IFERROR(INDEX('Исходник'!$1:$626,MATCH($A814,'Исходник'!$T:$T,0),MATCH(D$1,'Исходник'!$1:$1,0)))</f>
        <v/>
      </c>
      <c r="E814" s="1" t="str">
        <f t="array" ref="E814">IFERROR(INDEX('Исходник'!$1:$626,MATCH($A814,'Исходник'!$T:$T,0),MATCH(E$1,'Исходник'!$1:$1,0)))</f>
        <v/>
      </c>
      <c r="F814" s="1" t="str">
        <f t="array" ref="F814">IFERROR(INDEX('Исходник'!$1:$626,MATCH($A814,'Исходник'!$T:$T,0),MATCH(F$1,'Исходник'!$1:$1,0)))</f>
        <v/>
      </c>
      <c r="G814" s="1" t="str">
        <f t="array" ref="G814">IFERROR(INDEX('Исходник'!$1:$626,MATCH($A814,'Исходник'!$T:$T,0),MATCH(G$1,'Исходник'!$1:$1,0)))</f>
        <v/>
      </c>
      <c r="H814" s="27">
        <f t="shared" si="1"/>
        <v>0</v>
      </c>
      <c r="I814" s="27" t="str">
        <f t="shared" si="2"/>
        <v/>
      </c>
      <c r="J814" s="1" t="str">
        <f t="array" ref="J814">IFERROR(INDEX('Исходник'!$1:$626,MATCH($A814,'Исходник'!$T:$T,0),MATCH(J$1,'Исходник'!$1:$1,0)))</f>
        <v/>
      </c>
      <c r="K814" s="27" t="str">
        <f t="shared" si="3"/>
        <v/>
      </c>
      <c r="L814" s="1" t="str">
        <f t="array" ref="L814">IFERROR(INDEX('Исходник'!$1:$626,MATCH($A814,'Исходник'!$T:$T,0),MATCH(L$1,'Исходник'!$1:$1,0)))</f>
        <v/>
      </c>
      <c r="M814" s="28">
        <f t="shared" si="4"/>
        <v>0</v>
      </c>
      <c r="N814" s="1" t="str">
        <f t="array" ref="N814">IFERROR(INDEX('Исходник'!$1:$626,MATCH($A814,'Исходник'!$T:$T,0),MATCH(N$1,'Исходник'!$1:$1,0)))</f>
        <v/>
      </c>
      <c r="O814" s="27">
        <f t="shared" si="5"/>
        <v>0</v>
      </c>
      <c r="P814" s="27" t="str">
        <f t="shared" si="6"/>
        <v/>
      </c>
      <c r="Q814" s="1" t="str">
        <f t="array" ref="Q814">IFERROR(INDEX('Исходник'!$1:$626,MATCH($A814,'Исходник'!$T:$T,0),MATCH(Q$1,'Исходник'!$1:$1,0)))</f>
        <v/>
      </c>
      <c r="R814" s="1" t="str">
        <f t="array" ref="R814">IFERROR(INDEX('Исходник'!$1:$626,MATCH($A814,'Исходник'!$T:$T,0),MATCH(R$1,'Исходник'!$1:$1,0)))</f>
        <v/>
      </c>
      <c r="S814" s="27">
        <f t="shared" si="7"/>
        <v>0</v>
      </c>
      <c r="T814" s="27" t="str">
        <f t="shared" si="8"/>
        <v/>
      </c>
      <c r="U814" s="1" t="str">
        <f t="array" ref="U814">IFERROR(INDEX('Исходник'!$1:$626,MATCH($A814,'Исходник'!$T:$T,0),MATCH(U$1,'Исходник'!$1:$1,0)))</f>
        <v/>
      </c>
      <c r="V814" s="27" t="str">
        <f t="shared" si="9"/>
        <v/>
      </c>
      <c r="W814" s="1" t="str">
        <f t="array" ref="W814">IFERROR(INDEX('Исходник'!$1:$626,MATCH($A814,'Исходник'!$T:$T,0),MATCH(W$1,'Исходник'!$1:$1,0)))</f>
        <v/>
      </c>
      <c r="X814" s="28">
        <f t="shared" si="10"/>
        <v>0</v>
      </c>
      <c r="Y814" s="1" t="str">
        <f t="array" ref="Y814">IFERROR(INDEX('Исходник'!$1:$626,MATCH($A814,'Исходник'!$T:$T,0),MATCH(Y$1,'Исходник'!$1:$1,0)))</f>
        <v/>
      </c>
      <c r="Z814" s="27">
        <f t="shared" si="11"/>
        <v>0</v>
      </c>
      <c r="AA814" s="27" t="str">
        <f t="shared" si="12"/>
        <v/>
      </c>
      <c r="AB814" s="1" t="str">
        <f t="array" ref="AB814">IFERROR(INDEX('Исходник'!$1:$626,MATCH($A814,'Исходник'!$T:$T,0),MATCH(AB$1,'Исходник'!$1:$1,0)))</f>
        <v/>
      </c>
      <c r="AC814" s="1" t="str">
        <f t="array" ref="AC814">IFERROR(INDEX('Исходник'!$1:$626,MATCH($A814,'Исходник'!$T:$T,0),MATCH(AC$1,'Исходник'!$1:$1,0)))</f>
        <v/>
      </c>
      <c r="AD814" s="27" t="str">
        <f t="shared" si="13"/>
        <v/>
      </c>
      <c r="AE814" s="1" t="str">
        <f t="array" ref="AE814">IFERROR(INDEX('Исходник'!$1:$626,MATCH($A814,'Исходник'!$T:$T,0),MATCH(AE$1,'Исходник'!$1:$1,0)))</f>
        <v/>
      </c>
      <c r="AF814" s="1" t="str">
        <f t="array" ref="AF814">IFERROR(INDEX('Исходник'!$1:$626,MATCH($A814,'Исходник'!$T:$T,0),MATCH(AF$1,'Исходник'!$1:$1,0)))</f>
        <v/>
      </c>
      <c r="AG814" s="27" t="str">
        <f t="shared" si="14"/>
        <v/>
      </c>
      <c r="AH814" s="1" t="str">
        <f t="array" ref="AH814">IFERROR(INDEX('Исходник'!$1:$626,MATCH($A814,'Исходник'!$T:$T,0),MATCH(AH$1,'Исходник'!$1:$1,0)))</f>
        <v/>
      </c>
      <c r="AI814" s="1" t="str">
        <f t="array" ref="AI814">IFERROR(INDEX('Исходник'!$1:$626,MATCH($A814,'Исходник'!$T:$T,0),MATCH(AI$1,'Исходник'!$1:$1,0)))</f>
        <v/>
      </c>
      <c r="AJ814" s="18">
        <f t="shared" si="15"/>
        <v>0</v>
      </c>
    </row>
    <row r="815" ht="15.75" customHeight="1">
      <c r="A815" s="27"/>
      <c r="B815" s="1" t="str">
        <f t="array" ref="B815">IFERROR(INDEX('Исходник'!$1:$626,MATCH($A815,'Исходник'!$T:$T,0),MATCH(B$1,'Исходник'!$1:$1,0)))</f>
        <v/>
      </c>
      <c r="C815" s="1" t="str">
        <f t="array" ref="C815">IFERROR(INDEX('Исходник'!$1:$626,MATCH($A815,'Исходник'!$T:$T,0),MATCH(C$1,'Исходник'!$1:$1,0)))</f>
        <v/>
      </c>
      <c r="D815" s="1" t="str">
        <f t="array" ref="D815">IFERROR(INDEX('Исходник'!$1:$626,MATCH($A815,'Исходник'!$T:$T,0),MATCH(D$1,'Исходник'!$1:$1,0)))</f>
        <v/>
      </c>
      <c r="E815" s="1" t="str">
        <f t="array" ref="E815">IFERROR(INDEX('Исходник'!$1:$626,MATCH($A815,'Исходник'!$T:$T,0),MATCH(E$1,'Исходник'!$1:$1,0)))</f>
        <v/>
      </c>
      <c r="F815" s="1" t="str">
        <f t="array" ref="F815">IFERROR(INDEX('Исходник'!$1:$626,MATCH($A815,'Исходник'!$T:$T,0),MATCH(F$1,'Исходник'!$1:$1,0)))</f>
        <v/>
      </c>
      <c r="G815" s="1" t="str">
        <f t="array" ref="G815">IFERROR(INDEX('Исходник'!$1:$626,MATCH($A815,'Исходник'!$T:$T,0),MATCH(G$1,'Исходник'!$1:$1,0)))</f>
        <v/>
      </c>
      <c r="H815" s="27">
        <f t="shared" si="1"/>
        <v>0</v>
      </c>
      <c r="I815" s="27" t="str">
        <f t="shared" si="2"/>
        <v/>
      </c>
      <c r="J815" s="1" t="str">
        <f t="array" ref="J815">IFERROR(INDEX('Исходник'!$1:$626,MATCH($A815,'Исходник'!$T:$T,0),MATCH(J$1,'Исходник'!$1:$1,0)))</f>
        <v/>
      </c>
      <c r="K815" s="27" t="str">
        <f t="shared" si="3"/>
        <v/>
      </c>
      <c r="L815" s="1" t="str">
        <f t="array" ref="L815">IFERROR(INDEX('Исходник'!$1:$626,MATCH($A815,'Исходник'!$T:$T,0),MATCH(L$1,'Исходник'!$1:$1,0)))</f>
        <v/>
      </c>
      <c r="M815" s="28">
        <f t="shared" si="4"/>
        <v>0</v>
      </c>
      <c r="N815" s="1" t="str">
        <f t="array" ref="N815">IFERROR(INDEX('Исходник'!$1:$626,MATCH($A815,'Исходник'!$T:$T,0),MATCH(N$1,'Исходник'!$1:$1,0)))</f>
        <v/>
      </c>
      <c r="O815" s="27">
        <f t="shared" si="5"/>
        <v>0</v>
      </c>
      <c r="P815" s="27" t="str">
        <f t="shared" si="6"/>
        <v/>
      </c>
      <c r="Q815" s="1" t="str">
        <f t="array" ref="Q815">IFERROR(INDEX('Исходник'!$1:$626,MATCH($A815,'Исходник'!$T:$T,0),MATCH(Q$1,'Исходник'!$1:$1,0)))</f>
        <v/>
      </c>
      <c r="R815" s="1" t="str">
        <f t="array" ref="R815">IFERROR(INDEX('Исходник'!$1:$626,MATCH($A815,'Исходник'!$T:$T,0),MATCH(R$1,'Исходник'!$1:$1,0)))</f>
        <v/>
      </c>
      <c r="S815" s="27">
        <f t="shared" si="7"/>
        <v>0</v>
      </c>
      <c r="T815" s="27" t="str">
        <f t="shared" si="8"/>
        <v/>
      </c>
      <c r="U815" s="1" t="str">
        <f t="array" ref="U815">IFERROR(INDEX('Исходник'!$1:$626,MATCH($A815,'Исходник'!$T:$T,0),MATCH(U$1,'Исходник'!$1:$1,0)))</f>
        <v/>
      </c>
      <c r="V815" s="27" t="str">
        <f t="shared" si="9"/>
        <v/>
      </c>
      <c r="W815" s="1" t="str">
        <f t="array" ref="W815">IFERROR(INDEX('Исходник'!$1:$626,MATCH($A815,'Исходник'!$T:$T,0),MATCH(W$1,'Исходник'!$1:$1,0)))</f>
        <v/>
      </c>
      <c r="X815" s="28">
        <f t="shared" si="10"/>
        <v>0</v>
      </c>
      <c r="Y815" s="1" t="str">
        <f t="array" ref="Y815">IFERROR(INDEX('Исходник'!$1:$626,MATCH($A815,'Исходник'!$T:$T,0),MATCH(Y$1,'Исходник'!$1:$1,0)))</f>
        <v/>
      </c>
      <c r="Z815" s="27">
        <f t="shared" si="11"/>
        <v>0</v>
      </c>
      <c r="AA815" s="27" t="str">
        <f t="shared" si="12"/>
        <v/>
      </c>
      <c r="AB815" s="1" t="str">
        <f t="array" ref="AB815">IFERROR(INDEX('Исходник'!$1:$626,MATCH($A815,'Исходник'!$T:$T,0),MATCH(AB$1,'Исходник'!$1:$1,0)))</f>
        <v/>
      </c>
      <c r="AC815" s="1" t="str">
        <f t="array" ref="AC815">IFERROR(INDEX('Исходник'!$1:$626,MATCH($A815,'Исходник'!$T:$T,0),MATCH(AC$1,'Исходник'!$1:$1,0)))</f>
        <v/>
      </c>
      <c r="AD815" s="27" t="str">
        <f t="shared" si="13"/>
        <v/>
      </c>
      <c r="AE815" s="1" t="str">
        <f t="array" ref="AE815">IFERROR(INDEX('Исходник'!$1:$626,MATCH($A815,'Исходник'!$T:$T,0),MATCH(AE$1,'Исходник'!$1:$1,0)))</f>
        <v/>
      </c>
      <c r="AF815" s="1" t="str">
        <f t="array" ref="AF815">IFERROR(INDEX('Исходник'!$1:$626,MATCH($A815,'Исходник'!$T:$T,0),MATCH(AF$1,'Исходник'!$1:$1,0)))</f>
        <v/>
      </c>
      <c r="AG815" s="27" t="str">
        <f t="shared" si="14"/>
        <v/>
      </c>
      <c r="AH815" s="1" t="str">
        <f t="array" ref="AH815">IFERROR(INDEX('Исходник'!$1:$626,MATCH($A815,'Исходник'!$T:$T,0),MATCH(AH$1,'Исходник'!$1:$1,0)))</f>
        <v/>
      </c>
      <c r="AI815" s="1" t="str">
        <f t="array" ref="AI815">IFERROR(INDEX('Исходник'!$1:$626,MATCH($A815,'Исходник'!$T:$T,0),MATCH(AI$1,'Исходник'!$1:$1,0)))</f>
        <v/>
      </c>
      <c r="AJ815" s="18">
        <f t="shared" si="15"/>
        <v>0</v>
      </c>
    </row>
    <row r="816" ht="15.75" customHeight="1">
      <c r="A816" s="27"/>
      <c r="B816" s="1" t="str">
        <f t="array" ref="B816">IFERROR(INDEX('Исходник'!$1:$626,MATCH($A816,'Исходник'!$T:$T,0),MATCH(B$1,'Исходник'!$1:$1,0)))</f>
        <v/>
      </c>
      <c r="C816" s="1" t="str">
        <f t="array" ref="C816">IFERROR(INDEX('Исходник'!$1:$626,MATCH($A816,'Исходник'!$T:$T,0),MATCH(C$1,'Исходник'!$1:$1,0)))</f>
        <v/>
      </c>
      <c r="D816" s="1" t="str">
        <f t="array" ref="D816">IFERROR(INDEX('Исходник'!$1:$626,MATCH($A816,'Исходник'!$T:$T,0),MATCH(D$1,'Исходник'!$1:$1,0)))</f>
        <v/>
      </c>
      <c r="E816" s="1" t="str">
        <f t="array" ref="E816">IFERROR(INDEX('Исходник'!$1:$626,MATCH($A816,'Исходник'!$T:$T,0),MATCH(E$1,'Исходник'!$1:$1,0)))</f>
        <v/>
      </c>
      <c r="F816" s="1" t="str">
        <f t="array" ref="F816">IFERROR(INDEX('Исходник'!$1:$626,MATCH($A816,'Исходник'!$T:$T,0),MATCH(F$1,'Исходник'!$1:$1,0)))</f>
        <v/>
      </c>
      <c r="G816" s="1" t="str">
        <f t="array" ref="G816">IFERROR(INDEX('Исходник'!$1:$626,MATCH($A816,'Исходник'!$T:$T,0),MATCH(G$1,'Исходник'!$1:$1,0)))</f>
        <v/>
      </c>
      <c r="H816" s="27">
        <f t="shared" si="1"/>
        <v>0</v>
      </c>
      <c r="I816" s="27" t="str">
        <f t="shared" si="2"/>
        <v/>
      </c>
      <c r="J816" s="1" t="str">
        <f t="array" ref="J816">IFERROR(INDEX('Исходник'!$1:$626,MATCH($A816,'Исходник'!$T:$T,0),MATCH(J$1,'Исходник'!$1:$1,0)))</f>
        <v/>
      </c>
      <c r="K816" s="27" t="str">
        <f t="shared" si="3"/>
        <v/>
      </c>
      <c r="L816" s="1" t="str">
        <f t="array" ref="L816">IFERROR(INDEX('Исходник'!$1:$626,MATCH($A816,'Исходник'!$T:$T,0),MATCH(L$1,'Исходник'!$1:$1,0)))</f>
        <v/>
      </c>
      <c r="M816" s="28">
        <f t="shared" si="4"/>
        <v>0</v>
      </c>
      <c r="N816" s="1" t="str">
        <f t="array" ref="N816">IFERROR(INDEX('Исходник'!$1:$626,MATCH($A816,'Исходник'!$T:$T,0),MATCH(N$1,'Исходник'!$1:$1,0)))</f>
        <v/>
      </c>
      <c r="O816" s="27">
        <f t="shared" si="5"/>
        <v>0</v>
      </c>
      <c r="P816" s="27" t="str">
        <f t="shared" si="6"/>
        <v/>
      </c>
      <c r="Q816" s="1" t="str">
        <f t="array" ref="Q816">IFERROR(INDEX('Исходник'!$1:$626,MATCH($A816,'Исходник'!$T:$T,0),MATCH(Q$1,'Исходник'!$1:$1,0)))</f>
        <v/>
      </c>
      <c r="R816" s="1" t="str">
        <f t="array" ref="R816">IFERROR(INDEX('Исходник'!$1:$626,MATCH($A816,'Исходник'!$T:$T,0),MATCH(R$1,'Исходник'!$1:$1,0)))</f>
        <v/>
      </c>
      <c r="S816" s="27">
        <f t="shared" si="7"/>
        <v>0</v>
      </c>
      <c r="T816" s="27" t="str">
        <f t="shared" si="8"/>
        <v/>
      </c>
      <c r="U816" s="1" t="str">
        <f t="array" ref="U816">IFERROR(INDEX('Исходник'!$1:$626,MATCH($A816,'Исходник'!$T:$T,0),MATCH(U$1,'Исходник'!$1:$1,0)))</f>
        <v/>
      </c>
      <c r="V816" s="27" t="str">
        <f t="shared" si="9"/>
        <v/>
      </c>
      <c r="W816" s="1" t="str">
        <f t="array" ref="W816">IFERROR(INDEX('Исходник'!$1:$626,MATCH($A816,'Исходник'!$T:$T,0),MATCH(W$1,'Исходник'!$1:$1,0)))</f>
        <v/>
      </c>
      <c r="X816" s="28">
        <f t="shared" si="10"/>
        <v>0</v>
      </c>
      <c r="Y816" s="1" t="str">
        <f t="array" ref="Y816">IFERROR(INDEX('Исходник'!$1:$626,MATCH($A816,'Исходник'!$T:$T,0),MATCH(Y$1,'Исходник'!$1:$1,0)))</f>
        <v/>
      </c>
      <c r="Z816" s="27">
        <f t="shared" si="11"/>
        <v>0</v>
      </c>
      <c r="AA816" s="27" t="str">
        <f t="shared" si="12"/>
        <v/>
      </c>
      <c r="AB816" s="1" t="str">
        <f t="array" ref="AB816">IFERROR(INDEX('Исходник'!$1:$626,MATCH($A816,'Исходник'!$T:$T,0),MATCH(AB$1,'Исходник'!$1:$1,0)))</f>
        <v/>
      </c>
      <c r="AC816" s="1" t="str">
        <f t="array" ref="AC816">IFERROR(INDEX('Исходник'!$1:$626,MATCH($A816,'Исходник'!$T:$T,0),MATCH(AC$1,'Исходник'!$1:$1,0)))</f>
        <v/>
      </c>
      <c r="AD816" s="27" t="str">
        <f t="shared" si="13"/>
        <v/>
      </c>
      <c r="AE816" s="1" t="str">
        <f t="array" ref="AE816">IFERROR(INDEX('Исходник'!$1:$626,MATCH($A816,'Исходник'!$T:$T,0),MATCH(AE$1,'Исходник'!$1:$1,0)))</f>
        <v/>
      </c>
      <c r="AF816" s="1" t="str">
        <f t="array" ref="AF816">IFERROR(INDEX('Исходник'!$1:$626,MATCH($A816,'Исходник'!$T:$T,0),MATCH(AF$1,'Исходник'!$1:$1,0)))</f>
        <v/>
      </c>
      <c r="AG816" s="27" t="str">
        <f t="shared" si="14"/>
        <v/>
      </c>
      <c r="AH816" s="1" t="str">
        <f t="array" ref="AH816">IFERROR(INDEX('Исходник'!$1:$626,MATCH($A816,'Исходник'!$T:$T,0),MATCH(AH$1,'Исходник'!$1:$1,0)))</f>
        <v/>
      </c>
      <c r="AI816" s="1" t="str">
        <f t="array" ref="AI816">IFERROR(INDEX('Исходник'!$1:$626,MATCH($A816,'Исходник'!$T:$T,0),MATCH(AI$1,'Исходник'!$1:$1,0)))</f>
        <v/>
      </c>
      <c r="AJ816" s="18">
        <f t="shared" si="15"/>
        <v>0</v>
      </c>
    </row>
    <row r="817" ht="15.75" customHeight="1">
      <c r="A817" s="27"/>
      <c r="B817" s="1" t="str">
        <f t="array" ref="B817">IFERROR(INDEX('Исходник'!$1:$626,MATCH($A817,'Исходник'!$T:$T,0),MATCH(B$1,'Исходник'!$1:$1,0)))</f>
        <v/>
      </c>
      <c r="C817" s="1" t="str">
        <f t="array" ref="C817">IFERROR(INDEX('Исходник'!$1:$626,MATCH($A817,'Исходник'!$T:$T,0),MATCH(C$1,'Исходник'!$1:$1,0)))</f>
        <v/>
      </c>
      <c r="D817" s="1" t="str">
        <f t="array" ref="D817">IFERROR(INDEX('Исходник'!$1:$626,MATCH($A817,'Исходник'!$T:$T,0),MATCH(D$1,'Исходник'!$1:$1,0)))</f>
        <v/>
      </c>
      <c r="E817" s="1" t="str">
        <f t="array" ref="E817">IFERROR(INDEX('Исходник'!$1:$626,MATCH($A817,'Исходник'!$T:$T,0),MATCH(E$1,'Исходник'!$1:$1,0)))</f>
        <v/>
      </c>
      <c r="F817" s="1" t="str">
        <f t="array" ref="F817">IFERROR(INDEX('Исходник'!$1:$626,MATCH($A817,'Исходник'!$T:$T,0),MATCH(F$1,'Исходник'!$1:$1,0)))</f>
        <v/>
      </c>
      <c r="G817" s="1" t="str">
        <f t="array" ref="G817">IFERROR(INDEX('Исходник'!$1:$626,MATCH($A817,'Исходник'!$T:$T,0),MATCH(G$1,'Исходник'!$1:$1,0)))</f>
        <v/>
      </c>
      <c r="H817" s="27">
        <f t="shared" si="1"/>
        <v>0</v>
      </c>
      <c r="I817" s="27" t="str">
        <f t="shared" si="2"/>
        <v/>
      </c>
      <c r="J817" s="1" t="str">
        <f t="array" ref="J817">IFERROR(INDEX('Исходник'!$1:$626,MATCH($A817,'Исходник'!$T:$T,0),MATCH(J$1,'Исходник'!$1:$1,0)))</f>
        <v/>
      </c>
      <c r="K817" s="27" t="str">
        <f t="shared" si="3"/>
        <v/>
      </c>
      <c r="L817" s="1" t="str">
        <f t="array" ref="L817">IFERROR(INDEX('Исходник'!$1:$626,MATCH($A817,'Исходник'!$T:$T,0),MATCH(L$1,'Исходник'!$1:$1,0)))</f>
        <v/>
      </c>
      <c r="M817" s="28">
        <f t="shared" si="4"/>
        <v>0</v>
      </c>
      <c r="N817" s="1" t="str">
        <f t="array" ref="N817">IFERROR(INDEX('Исходник'!$1:$626,MATCH($A817,'Исходник'!$T:$T,0),MATCH(N$1,'Исходник'!$1:$1,0)))</f>
        <v/>
      </c>
      <c r="O817" s="27">
        <f t="shared" si="5"/>
        <v>0</v>
      </c>
      <c r="P817" s="27" t="str">
        <f t="shared" si="6"/>
        <v/>
      </c>
      <c r="Q817" s="1" t="str">
        <f t="array" ref="Q817">IFERROR(INDEX('Исходник'!$1:$626,MATCH($A817,'Исходник'!$T:$T,0),MATCH(Q$1,'Исходник'!$1:$1,0)))</f>
        <v/>
      </c>
      <c r="R817" s="1" t="str">
        <f t="array" ref="R817">IFERROR(INDEX('Исходник'!$1:$626,MATCH($A817,'Исходник'!$T:$T,0),MATCH(R$1,'Исходник'!$1:$1,0)))</f>
        <v/>
      </c>
      <c r="S817" s="27">
        <f t="shared" si="7"/>
        <v>0</v>
      </c>
      <c r="T817" s="27" t="str">
        <f t="shared" si="8"/>
        <v/>
      </c>
      <c r="U817" s="1" t="str">
        <f t="array" ref="U817">IFERROR(INDEX('Исходник'!$1:$626,MATCH($A817,'Исходник'!$T:$T,0),MATCH(U$1,'Исходник'!$1:$1,0)))</f>
        <v/>
      </c>
      <c r="V817" s="27" t="str">
        <f t="shared" si="9"/>
        <v/>
      </c>
      <c r="W817" s="1" t="str">
        <f t="array" ref="W817">IFERROR(INDEX('Исходник'!$1:$626,MATCH($A817,'Исходник'!$T:$T,0),MATCH(W$1,'Исходник'!$1:$1,0)))</f>
        <v/>
      </c>
      <c r="X817" s="28">
        <f t="shared" si="10"/>
        <v>0</v>
      </c>
      <c r="Y817" s="1" t="str">
        <f t="array" ref="Y817">IFERROR(INDEX('Исходник'!$1:$626,MATCH($A817,'Исходник'!$T:$T,0),MATCH(Y$1,'Исходник'!$1:$1,0)))</f>
        <v/>
      </c>
      <c r="Z817" s="27">
        <f t="shared" si="11"/>
        <v>0</v>
      </c>
      <c r="AA817" s="27" t="str">
        <f t="shared" si="12"/>
        <v/>
      </c>
      <c r="AB817" s="1" t="str">
        <f t="array" ref="AB817">IFERROR(INDEX('Исходник'!$1:$626,MATCH($A817,'Исходник'!$T:$T,0),MATCH(AB$1,'Исходник'!$1:$1,0)))</f>
        <v/>
      </c>
      <c r="AC817" s="1" t="str">
        <f t="array" ref="AC817">IFERROR(INDEX('Исходник'!$1:$626,MATCH($A817,'Исходник'!$T:$T,0),MATCH(AC$1,'Исходник'!$1:$1,0)))</f>
        <v/>
      </c>
      <c r="AD817" s="27" t="str">
        <f t="shared" si="13"/>
        <v/>
      </c>
      <c r="AE817" s="1" t="str">
        <f t="array" ref="AE817">IFERROR(INDEX('Исходник'!$1:$626,MATCH($A817,'Исходник'!$T:$T,0),MATCH(AE$1,'Исходник'!$1:$1,0)))</f>
        <v/>
      </c>
      <c r="AF817" s="1" t="str">
        <f t="array" ref="AF817">IFERROR(INDEX('Исходник'!$1:$626,MATCH($A817,'Исходник'!$T:$T,0),MATCH(AF$1,'Исходник'!$1:$1,0)))</f>
        <v/>
      </c>
      <c r="AG817" s="27" t="str">
        <f t="shared" si="14"/>
        <v/>
      </c>
      <c r="AH817" s="1" t="str">
        <f t="array" ref="AH817">IFERROR(INDEX('Исходник'!$1:$626,MATCH($A817,'Исходник'!$T:$T,0),MATCH(AH$1,'Исходник'!$1:$1,0)))</f>
        <v/>
      </c>
      <c r="AI817" s="1" t="str">
        <f t="array" ref="AI817">IFERROR(INDEX('Исходник'!$1:$626,MATCH($A817,'Исходник'!$T:$T,0),MATCH(AI$1,'Исходник'!$1:$1,0)))</f>
        <v/>
      </c>
      <c r="AJ817" s="18">
        <f t="shared" si="15"/>
        <v>0</v>
      </c>
    </row>
    <row r="818" ht="15.75" customHeight="1">
      <c r="A818" s="27"/>
      <c r="B818" s="1" t="str">
        <f t="array" ref="B818">IFERROR(INDEX('Исходник'!$1:$626,MATCH($A818,'Исходник'!$T:$T,0),MATCH(B$1,'Исходник'!$1:$1,0)))</f>
        <v/>
      </c>
      <c r="C818" s="1" t="str">
        <f t="array" ref="C818">IFERROR(INDEX('Исходник'!$1:$626,MATCH($A818,'Исходник'!$T:$T,0),MATCH(C$1,'Исходник'!$1:$1,0)))</f>
        <v/>
      </c>
      <c r="D818" s="1" t="str">
        <f t="array" ref="D818">IFERROR(INDEX('Исходник'!$1:$626,MATCH($A818,'Исходник'!$T:$T,0),MATCH(D$1,'Исходник'!$1:$1,0)))</f>
        <v/>
      </c>
      <c r="E818" s="1" t="str">
        <f t="array" ref="E818">IFERROR(INDEX('Исходник'!$1:$626,MATCH($A818,'Исходник'!$T:$T,0),MATCH(E$1,'Исходник'!$1:$1,0)))</f>
        <v/>
      </c>
      <c r="F818" s="1" t="str">
        <f t="array" ref="F818">IFERROR(INDEX('Исходник'!$1:$626,MATCH($A818,'Исходник'!$T:$T,0),MATCH(F$1,'Исходник'!$1:$1,0)))</f>
        <v/>
      </c>
      <c r="G818" s="1" t="str">
        <f t="array" ref="G818">IFERROR(INDEX('Исходник'!$1:$626,MATCH($A818,'Исходник'!$T:$T,0),MATCH(G$1,'Исходник'!$1:$1,0)))</f>
        <v/>
      </c>
      <c r="H818" s="27">
        <f t="shared" si="1"/>
        <v>0</v>
      </c>
      <c r="I818" s="27" t="str">
        <f t="shared" si="2"/>
        <v/>
      </c>
      <c r="J818" s="1" t="str">
        <f t="array" ref="J818">IFERROR(INDEX('Исходник'!$1:$626,MATCH($A818,'Исходник'!$T:$T,0),MATCH(J$1,'Исходник'!$1:$1,0)))</f>
        <v/>
      </c>
      <c r="K818" s="27" t="str">
        <f t="shared" si="3"/>
        <v/>
      </c>
      <c r="L818" s="1" t="str">
        <f t="array" ref="L818">IFERROR(INDEX('Исходник'!$1:$626,MATCH($A818,'Исходник'!$T:$T,0),MATCH(L$1,'Исходник'!$1:$1,0)))</f>
        <v/>
      </c>
      <c r="M818" s="28">
        <f t="shared" si="4"/>
        <v>0</v>
      </c>
      <c r="N818" s="1" t="str">
        <f t="array" ref="N818">IFERROR(INDEX('Исходник'!$1:$626,MATCH($A818,'Исходник'!$T:$T,0),MATCH(N$1,'Исходник'!$1:$1,0)))</f>
        <v/>
      </c>
      <c r="O818" s="27">
        <f t="shared" si="5"/>
        <v>0</v>
      </c>
      <c r="P818" s="27" t="str">
        <f t="shared" si="6"/>
        <v/>
      </c>
      <c r="Q818" s="1" t="str">
        <f t="array" ref="Q818">IFERROR(INDEX('Исходник'!$1:$626,MATCH($A818,'Исходник'!$T:$T,0),MATCH(Q$1,'Исходник'!$1:$1,0)))</f>
        <v/>
      </c>
      <c r="R818" s="1" t="str">
        <f t="array" ref="R818">IFERROR(INDEX('Исходник'!$1:$626,MATCH($A818,'Исходник'!$T:$T,0),MATCH(R$1,'Исходник'!$1:$1,0)))</f>
        <v/>
      </c>
      <c r="S818" s="27">
        <f t="shared" si="7"/>
        <v>0</v>
      </c>
      <c r="T818" s="27" t="str">
        <f t="shared" si="8"/>
        <v/>
      </c>
      <c r="U818" s="1" t="str">
        <f t="array" ref="U818">IFERROR(INDEX('Исходник'!$1:$626,MATCH($A818,'Исходник'!$T:$T,0),MATCH(U$1,'Исходник'!$1:$1,0)))</f>
        <v/>
      </c>
      <c r="V818" s="27" t="str">
        <f t="shared" si="9"/>
        <v/>
      </c>
      <c r="W818" s="1" t="str">
        <f t="array" ref="W818">IFERROR(INDEX('Исходник'!$1:$626,MATCH($A818,'Исходник'!$T:$T,0),MATCH(W$1,'Исходник'!$1:$1,0)))</f>
        <v/>
      </c>
      <c r="X818" s="28">
        <f t="shared" si="10"/>
        <v>0</v>
      </c>
      <c r="Y818" s="1" t="str">
        <f t="array" ref="Y818">IFERROR(INDEX('Исходник'!$1:$626,MATCH($A818,'Исходник'!$T:$T,0),MATCH(Y$1,'Исходник'!$1:$1,0)))</f>
        <v/>
      </c>
      <c r="Z818" s="27">
        <f t="shared" si="11"/>
        <v>0</v>
      </c>
      <c r="AA818" s="27" t="str">
        <f t="shared" si="12"/>
        <v/>
      </c>
      <c r="AB818" s="1" t="str">
        <f t="array" ref="AB818">IFERROR(INDEX('Исходник'!$1:$626,MATCH($A818,'Исходник'!$T:$T,0),MATCH(AB$1,'Исходник'!$1:$1,0)))</f>
        <v/>
      </c>
      <c r="AC818" s="1" t="str">
        <f t="array" ref="AC818">IFERROR(INDEX('Исходник'!$1:$626,MATCH($A818,'Исходник'!$T:$T,0),MATCH(AC$1,'Исходник'!$1:$1,0)))</f>
        <v/>
      </c>
      <c r="AD818" s="27" t="str">
        <f t="shared" si="13"/>
        <v/>
      </c>
      <c r="AE818" s="1" t="str">
        <f t="array" ref="AE818">IFERROR(INDEX('Исходник'!$1:$626,MATCH($A818,'Исходник'!$T:$T,0),MATCH(AE$1,'Исходник'!$1:$1,0)))</f>
        <v/>
      </c>
      <c r="AF818" s="1" t="str">
        <f t="array" ref="AF818">IFERROR(INDEX('Исходник'!$1:$626,MATCH($A818,'Исходник'!$T:$T,0),MATCH(AF$1,'Исходник'!$1:$1,0)))</f>
        <v/>
      </c>
      <c r="AG818" s="27" t="str">
        <f t="shared" si="14"/>
        <v/>
      </c>
      <c r="AH818" s="1" t="str">
        <f t="array" ref="AH818">IFERROR(INDEX('Исходник'!$1:$626,MATCH($A818,'Исходник'!$T:$T,0),MATCH(AH$1,'Исходник'!$1:$1,0)))</f>
        <v/>
      </c>
      <c r="AI818" s="1" t="str">
        <f t="array" ref="AI818">IFERROR(INDEX('Исходник'!$1:$626,MATCH($A818,'Исходник'!$T:$T,0),MATCH(AI$1,'Исходник'!$1:$1,0)))</f>
        <v/>
      </c>
      <c r="AJ818" s="18">
        <f t="shared" si="15"/>
        <v>0</v>
      </c>
    </row>
    <row r="819" ht="15.75" customHeight="1">
      <c r="A819" s="27"/>
      <c r="B819" s="1" t="str">
        <f t="array" ref="B819">IFERROR(INDEX('Исходник'!$1:$626,MATCH($A819,'Исходник'!$T:$T,0),MATCH(B$1,'Исходник'!$1:$1,0)))</f>
        <v/>
      </c>
      <c r="C819" s="1" t="str">
        <f t="array" ref="C819">IFERROR(INDEX('Исходник'!$1:$626,MATCH($A819,'Исходник'!$T:$T,0),MATCH(C$1,'Исходник'!$1:$1,0)))</f>
        <v/>
      </c>
      <c r="D819" s="1" t="str">
        <f t="array" ref="D819">IFERROR(INDEX('Исходник'!$1:$626,MATCH($A819,'Исходник'!$T:$T,0),MATCH(D$1,'Исходник'!$1:$1,0)))</f>
        <v/>
      </c>
      <c r="E819" s="1" t="str">
        <f t="array" ref="E819">IFERROR(INDEX('Исходник'!$1:$626,MATCH($A819,'Исходник'!$T:$T,0),MATCH(E$1,'Исходник'!$1:$1,0)))</f>
        <v/>
      </c>
      <c r="F819" s="1" t="str">
        <f t="array" ref="F819">IFERROR(INDEX('Исходник'!$1:$626,MATCH($A819,'Исходник'!$T:$T,0),MATCH(F$1,'Исходник'!$1:$1,0)))</f>
        <v/>
      </c>
      <c r="G819" s="1" t="str">
        <f t="array" ref="G819">IFERROR(INDEX('Исходник'!$1:$626,MATCH($A819,'Исходник'!$T:$T,0),MATCH(G$1,'Исходник'!$1:$1,0)))</f>
        <v/>
      </c>
      <c r="H819" s="27">
        <f t="shared" si="1"/>
        <v>0</v>
      </c>
      <c r="I819" s="27" t="str">
        <f t="shared" si="2"/>
        <v/>
      </c>
      <c r="J819" s="1" t="str">
        <f t="array" ref="J819">IFERROR(INDEX('Исходник'!$1:$626,MATCH($A819,'Исходник'!$T:$T,0),MATCH(J$1,'Исходник'!$1:$1,0)))</f>
        <v/>
      </c>
      <c r="K819" s="27" t="str">
        <f t="shared" si="3"/>
        <v/>
      </c>
      <c r="L819" s="1" t="str">
        <f t="array" ref="L819">IFERROR(INDEX('Исходник'!$1:$626,MATCH($A819,'Исходник'!$T:$T,0),MATCH(L$1,'Исходник'!$1:$1,0)))</f>
        <v/>
      </c>
      <c r="M819" s="28">
        <f t="shared" si="4"/>
        <v>0</v>
      </c>
      <c r="N819" s="1" t="str">
        <f t="array" ref="N819">IFERROR(INDEX('Исходник'!$1:$626,MATCH($A819,'Исходник'!$T:$T,0),MATCH(N$1,'Исходник'!$1:$1,0)))</f>
        <v/>
      </c>
      <c r="O819" s="27">
        <f t="shared" si="5"/>
        <v>0</v>
      </c>
      <c r="P819" s="27" t="str">
        <f t="shared" si="6"/>
        <v/>
      </c>
      <c r="Q819" s="1" t="str">
        <f t="array" ref="Q819">IFERROR(INDEX('Исходник'!$1:$626,MATCH($A819,'Исходник'!$T:$T,0),MATCH(Q$1,'Исходник'!$1:$1,0)))</f>
        <v/>
      </c>
      <c r="R819" s="1" t="str">
        <f t="array" ref="R819">IFERROR(INDEX('Исходник'!$1:$626,MATCH($A819,'Исходник'!$T:$T,0),MATCH(R$1,'Исходник'!$1:$1,0)))</f>
        <v/>
      </c>
      <c r="S819" s="27">
        <f t="shared" si="7"/>
        <v>0</v>
      </c>
      <c r="T819" s="27" t="str">
        <f t="shared" si="8"/>
        <v/>
      </c>
      <c r="U819" s="1" t="str">
        <f t="array" ref="U819">IFERROR(INDEX('Исходник'!$1:$626,MATCH($A819,'Исходник'!$T:$T,0),MATCH(U$1,'Исходник'!$1:$1,0)))</f>
        <v/>
      </c>
      <c r="V819" s="27" t="str">
        <f t="shared" si="9"/>
        <v/>
      </c>
      <c r="W819" s="1" t="str">
        <f t="array" ref="W819">IFERROR(INDEX('Исходник'!$1:$626,MATCH($A819,'Исходник'!$T:$T,0),MATCH(W$1,'Исходник'!$1:$1,0)))</f>
        <v/>
      </c>
      <c r="X819" s="28">
        <f t="shared" si="10"/>
        <v>0</v>
      </c>
      <c r="Y819" s="1" t="str">
        <f t="array" ref="Y819">IFERROR(INDEX('Исходник'!$1:$626,MATCH($A819,'Исходник'!$T:$T,0),MATCH(Y$1,'Исходник'!$1:$1,0)))</f>
        <v/>
      </c>
      <c r="Z819" s="27">
        <f t="shared" si="11"/>
        <v>0</v>
      </c>
      <c r="AA819" s="27" t="str">
        <f t="shared" si="12"/>
        <v/>
      </c>
      <c r="AB819" s="1" t="str">
        <f t="array" ref="AB819">IFERROR(INDEX('Исходник'!$1:$626,MATCH($A819,'Исходник'!$T:$T,0),MATCH(AB$1,'Исходник'!$1:$1,0)))</f>
        <v/>
      </c>
      <c r="AC819" s="1" t="str">
        <f t="array" ref="AC819">IFERROR(INDEX('Исходник'!$1:$626,MATCH($A819,'Исходник'!$T:$T,0),MATCH(AC$1,'Исходник'!$1:$1,0)))</f>
        <v/>
      </c>
      <c r="AD819" s="27" t="str">
        <f t="shared" si="13"/>
        <v/>
      </c>
      <c r="AE819" s="1" t="str">
        <f t="array" ref="AE819">IFERROR(INDEX('Исходник'!$1:$626,MATCH($A819,'Исходник'!$T:$T,0),MATCH(AE$1,'Исходник'!$1:$1,0)))</f>
        <v/>
      </c>
      <c r="AF819" s="1" t="str">
        <f t="array" ref="AF819">IFERROR(INDEX('Исходник'!$1:$626,MATCH($A819,'Исходник'!$T:$T,0),MATCH(AF$1,'Исходник'!$1:$1,0)))</f>
        <v/>
      </c>
      <c r="AG819" s="27" t="str">
        <f t="shared" si="14"/>
        <v/>
      </c>
      <c r="AH819" s="1" t="str">
        <f t="array" ref="AH819">IFERROR(INDEX('Исходник'!$1:$626,MATCH($A819,'Исходник'!$T:$T,0),MATCH(AH$1,'Исходник'!$1:$1,0)))</f>
        <v/>
      </c>
      <c r="AI819" s="1" t="str">
        <f t="array" ref="AI819">IFERROR(INDEX('Исходник'!$1:$626,MATCH($A819,'Исходник'!$T:$T,0),MATCH(AI$1,'Исходник'!$1:$1,0)))</f>
        <v/>
      </c>
      <c r="AJ819" s="18">
        <f t="shared" si="15"/>
        <v>0</v>
      </c>
    </row>
    <row r="820" ht="15.75" customHeight="1">
      <c r="A820" s="27"/>
      <c r="B820" s="1" t="str">
        <f t="array" ref="B820">IFERROR(INDEX('Исходник'!$1:$626,MATCH($A820,'Исходник'!$T:$T,0),MATCH(B$1,'Исходник'!$1:$1,0)))</f>
        <v/>
      </c>
      <c r="C820" s="1" t="str">
        <f t="array" ref="C820">IFERROR(INDEX('Исходник'!$1:$626,MATCH($A820,'Исходник'!$T:$T,0),MATCH(C$1,'Исходник'!$1:$1,0)))</f>
        <v/>
      </c>
      <c r="D820" s="1" t="str">
        <f t="array" ref="D820">IFERROR(INDEX('Исходник'!$1:$626,MATCH($A820,'Исходник'!$T:$T,0),MATCH(D$1,'Исходник'!$1:$1,0)))</f>
        <v/>
      </c>
      <c r="E820" s="1" t="str">
        <f t="array" ref="E820">IFERROR(INDEX('Исходник'!$1:$626,MATCH($A820,'Исходник'!$T:$T,0),MATCH(E$1,'Исходник'!$1:$1,0)))</f>
        <v/>
      </c>
      <c r="F820" s="1" t="str">
        <f t="array" ref="F820">IFERROR(INDEX('Исходник'!$1:$626,MATCH($A820,'Исходник'!$T:$T,0),MATCH(F$1,'Исходник'!$1:$1,0)))</f>
        <v/>
      </c>
      <c r="G820" s="1" t="str">
        <f t="array" ref="G820">IFERROR(INDEX('Исходник'!$1:$626,MATCH($A820,'Исходник'!$T:$T,0),MATCH(G$1,'Исходник'!$1:$1,0)))</f>
        <v/>
      </c>
      <c r="H820" s="27">
        <f t="shared" si="1"/>
        <v>0</v>
      </c>
      <c r="I820" s="27" t="str">
        <f t="shared" si="2"/>
        <v/>
      </c>
      <c r="J820" s="1" t="str">
        <f t="array" ref="J820">IFERROR(INDEX('Исходник'!$1:$626,MATCH($A820,'Исходник'!$T:$T,0),MATCH(J$1,'Исходник'!$1:$1,0)))</f>
        <v/>
      </c>
      <c r="K820" s="27" t="str">
        <f t="shared" si="3"/>
        <v/>
      </c>
      <c r="L820" s="1" t="str">
        <f t="array" ref="L820">IFERROR(INDEX('Исходник'!$1:$626,MATCH($A820,'Исходник'!$T:$T,0),MATCH(L$1,'Исходник'!$1:$1,0)))</f>
        <v/>
      </c>
      <c r="M820" s="28">
        <f t="shared" si="4"/>
        <v>0</v>
      </c>
      <c r="N820" s="1" t="str">
        <f t="array" ref="N820">IFERROR(INDEX('Исходник'!$1:$626,MATCH($A820,'Исходник'!$T:$T,0),MATCH(N$1,'Исходник'!$1:$1,0)))</f>
        <v/>
      </c>
      <c r="O820" s="27">
        <f t="shared" si="5"/>
        <v>0</v>
      </c>
      <c r="P820" s="27" t="str">
        <f t="shared" si="6"/>
        <v/>
      </c>
      <c r="Q820" s="1" t="str">
        <f t="array" ref="Q820">IFERROR(INDEX('Исходник'!$1:$626,MATCH($A820,'Исходник'!$T:$T,0),MATCH(Q$1,'Исходник'!$1:$1,0)))</f>
        <v/>
      </c>
      <c r="R820" s="1" t="str">
        <f t="array" ref="R820">IFERROR(INDEX('Исходник'!$1:$626,MATCH($A820,'Исходник'!$T:$T,0),MATCH(R$1,'Исходник'!$1:$1,0)))</f>
        <v/>
      </c>
      <c r="S820" s="27">
        <f t="shared" si="7"/>
        <v>0</v>
      </c>
      <c r="T820" s="27" t="str">
        <f t="shared" si="8"/>
        <v/>
      </c>
      <c r="U820" s="1" t="str">
        <f t="array" ref="U820">IFERROR(INDEX('Исходник'!$1:$626,MATCH($A820,'Исходник'!$T:$T,0),MATCH(U$1,'Исходник'!$1:$1,0)))</f>
        <v/>
      </c>
      <c r="V820" s="27" t="str">
        <f t="shared" si="9"/>
        <v/>
      </c>
      <c r="W820" s="1" t="str">
        <f t="array" ref="W820">IFERROR(INDEX('Исходник'!$1:$626,MATCH($A820,'Исходник'!$T:$T,0),MATCH(W$1,'Исходник'!$1:$1,0)))</f>
        <v/>
      </c>
      <c r="X820" s="28">
        <f t="shared" si="10"/>
        <v>0</v>
      </c>
      <c r="Y820" s="1" t="str">
        <f t="array" ref="Y820">IFERROR(INDEX('Исходник'!$1:$626,MATCH($A820,'Исходник'!$T:$T,0),MATCH(Y$1,'Исходник'!$1:$1,0)))</f>
        <v/>
      </c>
      <c r="Z820" s="27">
        <f t="shared" si="11"/>
        <v>0</v>
      </c>
      <c r="AA820" s="27" t="str">
        <f t="shared" si="12"/>
        <v/>
      </c>
      <c r="AB820" s="1" t="str">
        <f t="array" ref="AB820">IFERROR(INDEX('Исходник'!$1:$626,MATCH($A820,'Исходник'!$T:$T,0),MATCH(AB$1,'Исходник'!$1:$1,0)))</f>
        <v/>
      </c>
      <c r="AC820" s="1" t="str">
        <f t="array" ref="AC820">IFERROR(INDEX('Исходник'!$1:$626,MATCH($A820,'Исходник'!$T:$T,0),MATCH(AC$1,'Исходник'!$1:$1,0)))</f>
        <v/>
      </c>
      <c r="AD820" s="27" t="str">
        <f t="shared" si="13"/>
        <v/>
      </c>
      <c r="AE820" s="1" t="str">
        <f t="array" ref="AE820">IFERROR(INDEX('Исходник'!$1:$626,MATCH($A820,'Исходник'!$T:$T,0),MATCH(AE$1,'Исходник'!$1:$1,0)))</f>
        <v/>
      </c>
      <c r="AF820" s="1" t="str">
        <f t="array" ref="AF820">IFERROR(INDEX('Исходник'!$1:$626,MATCH($A820,'Исходник'!$T:$T,0),MATCH(AF$1,'Исходник'!$1:$1,0)))</f>
        <v/>
      </c>
      <c r="AG820" s="27" t="str">
        <f t="shared" si="14"/>
        <v/>
      </c>
      <c r="AH820" s="1" t="str">
        <f t="array" ref="AH820">IFERROR(INDEX('Исходник'!$1:$626,MATCH($A820,'Исходник'!$T:$T,0),MATCH(AH$1,'Исходник'!$1:$1,0)))</f>
        <v/>
      </c>
      <c r="AI820" s="1" t="str">
        <f t="array" ref="AI820">IFERROR(INDEX('Исходник'!$1:$626,MATCH($A820,'Исходник'!$T:$T,0),MATCH(AI$1,'Исходник'!$1:$1,0)))</f>
        <v/>
      </c>
      <c r="AJ820" s="18">
        <f t="shared" si="15"/>
        <v>0</v>
      </c>
    </row>
    <row r="821" ht="15.75" customHeight="1">
      <c r="A821" s="27"/>
      <c r="B821" s="1" t="str">
        <f t="array" ref="B821">IFERROR(INDEX('Исходник'!$1:$626,MATCH($A821,'Исходник'!$T:$T,0),MATCH(B$1,'Исходник'!$1:$1,0)))</f>
        <v/>
      </c>
      <c r="C821" s="1" t="str">
        <f t="array" ref="C821">IFERROR(INDEX('Исходник'!$1:$626,MATCH($A821,'Исходник'!$T:$T,0),MATCH(C$1,'Исходник'!$1:$1,0)))</f>
        <v/>
      </c>
      <c r="D821" s="1" t="str">
        <f t="array" ref="D821">IFERROR(INDEX('Исходник'!$1:$626,MATCH($A821,'Исходник'!$T:$T,0),MATCH(D$1,'Исходник'!$1:$1,0)))</f>
        <v/>
      </c>
      <c r="E821" s="1" t="str">
        <f t="array" ref="E821">IFERROR(INDEX('Исходник'!$1:$626,MATCH($A821,'Исходник'!$T:$T,0),MATCH(E$1,'Исходник'!$1:$1,0)))</f>
        <v/>
      </c>
      <c r="F821" s="1" t="str">
        <f t="array" ref="F821">IFERROR(INDEX('Исходник'!$1:$626,MATCH($A821,'Исходник'!$T:$T,0),MATCH(F$1,'Исходник'!$1:$1,0)))</f>
        <v/>
      </c>
      <c r="G821" s="1" t="str">
        <f t="array" ref="G821">IFERROR(INDEX('Исходник'!$1:$626,MATCH($A821,'Исходник'!$T:$T,0),MATCH(G$1,'Исходник'!$1:$1,0)))</f>
        <v/>
      </c>
      <c r="H821" s="27">
        <f t="shared" si="1"/>
        <v>0</v>
      </c>
      <c r="I821" s="27" t="str">
        <f t="shared" si="2"/>
        <v/>
      </c>
      <c r="J821" s="1" t="str">
        <f t="array" ref="J821">IFERROR(INDEX('Исходник'!$1:$626,MATCH($A821,'Исходник'!$T:$T,0),MATCH(J$1,'Исходник'!$1:$1,0)))</f>
        <v/>
      </c>
      <c r="K821" s="27" t="str">
        <f t="shared" si="3"/>
        <v/>
      </c>
      <c r="L821" s="1" t="str">
        <f t="array" ref="L821">IFERROR(INDEX('Исходник'!$1:$626,MATCH($A821,'Исходник'!$T:$T,0),MATCH(L$1,'Исходник'!$1:$1,0)))</f>
        <v/>
      </c>
      <c r="M821" s="28">
        <f t="shared" si="4"/>
        <v>0</v>
      </c>
      <c r="N821" s="1" t="str">
        <f t="array" ref="N821">IFERROR(INDEX('Исходник'!$1:$626,MATCH($A821,'Исходник'!$T:$T,0),MATCH(N$1,'Исходник'!$1:$1,0)))</f>
        <v/>
      </c>
      <c r="O821" s="27">
        <f t="shared" si="5"/>
        <v>0</v>
      </c>
      <c r="P821" s="27" t="str">
        <f t="shared" si="6"/>
        <v/>
      </c>
      <c r="Q821" s="1" t="str">
        <f t="array" ref="Q821">IFERROR(INDEX('Исходник'!$1:$626,MATCH($A821,'Исходник'!$T:$T,0),MATCH(Q$1,'Исходник'!$1:$1,0)))</f>
        <v/>
      </c>
      <c r="R821" s="1" t="str">
        <f t="array" ref="R821">IFERROR(INDEX('Исходник'!$1:$626,MATCH($A821,'Исходник'!$T:$T,0),MATCH(R$1,'Исходник'!$1:$1,0)))</f>
        <v/>
      </c>
      <c r="S821" s="27">
        <f t="shared" si="7"/>
        <v>0</v>
      </c>
      <c r="T821" s="27" t="str">
        <f t="shared" si="8"/>
        <v/>
      </c>
      <c r="U821" s="1" t="str">
        <f t="array" ref="U821">IFERROR(INDEX('Исходник'!$1:$626,MATCH($A821,'Исходник'!$T:$T,0),MATCH(U$1,'Исходник'!$1:$1,0)))</f>
        <v/>
      </c>
      <c r="V821" s="27" t="str">
        <f t="shared" si="9"/>
        <v/>
      </c>
      <c r="W821" s="1" t="str">
        <f t="array" ref="W821">IFERROR(INDEX('Исходник'!$1:$626,MATCH($A821,'Исходник'!$T:$T,0),MATCH(W$1,'Исходник'!$1:$1,0)))</f>
        <v/>
      </c>
      <c r="X821" s="28">
        <f t="shared" si="10"/>
        <v>0</v>
      </c>
      <c r="Y821" s="1" t="str">
        <f t="array" ref="Y821">IFERROR(INDEX('Исходник'!$1:$626,MATCH($A821,'Исходник'!$T:$T,0),MATCH(Y$1,'Исходник'!$1:$1,0)))</f>
        <v/>
      </c>
      <c r="Z821" s="27">
        <f t="shared" si="11"/>
        <v>0</v>
      </c>
      <c r="AA821" s="27" t="str">
        <f t="shared" si="12"/>
        <v/>
      </c>
      <c r="AB821" s="1" t="str">
        <f t="array" ref="AB821">IFERROR(INDEX('Исходник'!$1:$626,MATCH($A821,'Исходник'!$T:$T,0),MATCH(AB$1,'Исходник'!$1:$1,0)))</f>
        <v/>
      </c>
      <c r="AC821" s="1" t="str">
        <f t="array" ref="AC821">IFERROR(INDEX('Исходник'!$1:$626,MATCH($A821,'Исходник'!$T:$T,0),MATCH(AC$1,'Исходник'!$1:$1,0)))</f>
        <v/>
      </c>
      <c r="AD821" s="27" t="str">
        <f t="shared" si="13"/>
        <v/>
      </c>
      <c r="AE821" s="1" t="str">
        <f t="array" ref="AE821">IFERROR(INDEX('Исходник'!$1:$626,MATCH($A821,'Исходник'!$T:$T,0),MATCH(AE$1,'Исходник'!$1:$1,0)))</f>
        <v/>
      </c>
      <c r="AF821" s="1" t="str">
        <f t="array" ref="AF821">IFERROR(INDEX('Исходник'!$1:$626,MATCH($A821,'Исходник'!$T:$T,0),MATCH(AF$1,'Исходник'!$1:$1,0)))</f>
        <v/>
      </c>
      <c r="AG821" s="27" t="str">
        <f t="shared" si="14"/>
        <v/>
      </c>
      <c r="AH821" s="1" t="str">
        <f t="array" ref="AH821">IFERROR(INDEX('Исходник'!$1:$626,MATCH($A821,'Исходник'!$T:$T,0),MATCH(AH$1,'Исходник'!$1:$1,0)))</f>
        <v/>
      </c>
      <c r="AI821" s="1" t="str">
        <f t="array" ref="AI821">IFERROR(INDEX('Исходник'!$1:$626,MATCH($A821,'Исходник'!$T:$T,0),MATCH(AI$1,'Исходник'!$1:$1,0)))</f>
        <v/>
      </c>
      <c r="AJ821" s="18">
        <f t="shared" si="15"/>
        <v>0</v>
      </c>
    </row>
    <row r="822" ht="15.75" customHeight="1">
      <c r="A822" s="27"/>
      <c r="B822" s="1" t="str">
        <f t="array" ref="B822">IFERROR(INDEX('Исходник'!$1:$626,MATCH($A822,'Исходник'!$T:$T,0),MATCH(B$1,'Исходник'!$1:$1,0)))</f>
        <v/>
      </c>
      <c r="C822" s="1" t="str">
        <f t="array" ref="C822">IFERROR(INDEX('Исходник'!$1:$626,MATCH($A822,'Исходник'!$T:$T,0),MATCH(C$1,'Исходник'!$1:$1,0)))</f>
        <v/>
      </c>
      <c r="D822" s="1" t="str">
        <f t="array" ref="D822">IFERROR(INDEX('Исходник'!$1:$626,MATCH($A822,'Исходник'!$T:$T,0),MATCH(D$1,'Исходник'!$1:$1,0)))</f>
        <v/>
      </c>
      <c r="E822" s="1" t="str">
        <f t="array" ref="E822">IFERROR(INDEX('Исходник'!$1:$626,MATCH($A822,'Исходник'!$T:$T,0),MATCH(E$1,'Исходник'!$1:$1,0)))</f>
        <v/>
      </c>
      <c r="F822" s="1" t="str">
        <f t="array" ref="F822">IFERROR(INDEX('Исходник'!$1:$626,MATCH($A822,'Исходник'!$T:$T,0),MATCH(F$1,'Исходник'!$1:$1,0)))</f>
        <v/>
      </c>
      <c r="G822" s="1" t="str">
        <f t="array" ref="G822">IFERROR(INDEX('Исходник'!$1:$626,MATCH($A822,'Исходник'!$T:$T,0),MATCH(G$1,'Исходник'!$1:$1,0)))</f>
        <v/>
      </c>
      <c r="H822" s="27">
        <f t="shared" si="1"/>
        <v>0</v>
      </c>
      <c r="I822" s="27" t="str">
        <f t="shared" si="2"/>
        <v/>
      </c>
      <c r="J822" s="1" t="str">
        <f t="array" ref="J822">IFERROR(INDEX('Исходник'!$1:$626,MATCH($A822,'Исходник'!$T:$T,0),MATCH(J$1,'Исходник'!$1:$1,0)))</f>
        <v/>
      </c>
      <c r="K822" s="27" t="str">
        <f t="shared" si="3"/>
        <v/>
      </c>
      <c r="L822" s="1" t="str">
        <f t="array" ref="L822">IFERROR(INDEX('Исходник'!$1:$626,MATCH($A822,'Исходник'!$T:$T,0),MATCH(L$1,'Исходник'!$1:$1,0)))</f>
        <v/>
      </c>
      <c r="M822" s="28">
        <f t="shared" si="4"/>
        <v>0</v>
      </c>
      <c r="N822" s="1" t="str">
        <f t="array" ref="N822">IFERROR(INDEX('Исходник'!$1:$626,MATCH($A822,'Исходник'!$T:$T,0),MATCH(N$1,'Исходник'!$1:$1,0)))</f>
        <v/>
      </c>
      <c r="O822" s="27">
        <f t="shared" si="5"/>
        <v>0</v>
      </c>
      <c r="P822" s="27" t="str">
        <f t="shared" si="6"/>
        <v/>
      </c>
      <c r="Q822" s="1" t="str">
        <f t="array" ref="Q822">IFERROR(INDEX('Исходник'!$1:$626,MATCH($A822,'Исходник'!$T:$T,0),MATCH(Q$1,'Исходник'!$1:$1,0)))</f>
        <v/>
      </c>
      <c r="R822" s="1" t="str">
        <f t="array" ref="R822">IFERROR(INDEX('Исходник'!$1:$626,MATCH($A822,'Исходник'!$T:$T,0),MATCH(R$1,'Исходник'!$1:$1,0)))</f>
        <v/>
      </c>
      <c r="S822" s="27">
        <f t="shared" si="7"/>
        <v>0</v>
      </c>
      <c r="T822" s="27" t="str">
        <f t="shared" si="8"/>
        <v/>
      </c>
      <c r="U822" s="1" t="str">
        <f t="array" ref="U822">IFERROR(INDEX('Исходник'!$1:$626,MATCH($A822,'Исходник'!$T:$T,0),MATCH(U$1,'Исходник'!$1:$1,0)))</f>
        <v/>
      </c>
      <c r="V822" s="27" t="str">
        <f t="shared" si="9"/>
        <v/>
      </c>
      <c r="W822" s="1" t="str">
        <f t="array" ref="W822">IFERROR(INDEX('Исходник'!$1:$626,MATCH($A822,'Исходник'!$T:$T,0),MATCH(W$1,'Исходник'!$1:$1,0)))</f>
        <v/>
      </c>
      <c r="X822" s="28">
        <f t="shared" si="10"/>
        <v>0</v>
      </c>
      <c r="Y822" s="1" t="str">
        <f t="array" ref="Y822">IFERROR(INDEX('Исходник'!$1:$626,MATCH($A822,'Исходник'!$T:$T,0),MATCH(Y$1,'Исходник'!$1:$1,0)))</f>
        <v/>
      </c>
      <c r="Z822" s="27">
        <f t="shared" si="11"/>
        <v>0</v>
      </c>
      <c r="AA822" s="27" t="str">
        <f t="shared" si="12"/>
        <v/>
      </c>
      <c r="AB822" s="1" t="str">
        <f t="array" ref="AB822">IFERROR(INDEX('Исходник'!$1:$626,MATCH($A822,'Исходник'!$T:$T,0),MATCH(AB$1,'Исходник'!$1:$1,0)))</f>
        <v/>
      </c>
      <c r="AC822" s="1" t="str">
        <f t="array" ref="AC822">IFERROR(INDEX('Исходник'!$1:$626,MATCH($A822,'Исходник'!$T:$T,0),MATCH(AC$1,'Исходник'!$1:$1,0)))</f>
        <v/>
      </c>
      <c r="AD822" s="27" t="str">
        <f t="shared" si="13"/>
        <v/>
      </c>
      <c r="AE822" s="1" t="str">
        <f t="array" ref="AE822">IFERROR(INDEX('Исходник'!$1:$626,MATCH($A822,'Исходник'!$T:$T,0),MATCH(AE$1,'Исходник'!$1:$1,0)))</f>
        <v/>
      </c>
      <c r="AF822" s="1" t="str">
        <f t="array" ref="AF822">IFERROR(INDEX('Исходник'!$1:$626,MATCH($A822,'Исходник'!$T:$T,0),MATCH(AF$1,'Исходник'!$1:$1,0)))</f>
        <v/>
      </c>
      <c r="AG822" s="27" t="str">
        <f t="shared" si="14"/>
        <v/>
      </c>
      <c r="AH822" s="1" t="str">
        <f t="array" ref="AH822">IFERROR(INDEX('Исходник'!$1:$626,MATCH($A822,'Исходник'!$T:$T,0),MATCH(AH$1,'Исходник'!$1:$1,0)))</f>
        <v/>
      </c>
      <c r="AI822" s="1" t="str">
        <f t="array" ref="AI822">IFERROR(INDEX('Исходник'!$1:$626,MATCH($A822,'Исходник'!$T:$T,0),MATCH(AI$1,'Исходник'!$1:$1,0)))</f>
        <v/>
      </c>
      <c r="AJ822" s="18">
        <f t="shared" si="15"/>
        <v>0</v>
      </c>
    </row>
    <row r="823" ht="15.75" customHeight="1">
      <c r="A823" s="27"/>
      <c r="B823" s="1" t="str">
        <f t="array" ref="B823">IFERROR(INDEX('Исходник'!$1:$626,MATCH($A823,'Исходник'!$T:$T,0),MATCH(B$1,'Исходник'!$1:$1,0)))</f>
        <v/>
      </c>
      <c r="C823" s="1" t="str">
        <f t="array" ref="C823">IFERROR(INDEX('Исходник'!$1:$626,MATCH($A823,'Исходник'!$T:$T,0),MATCH(C$1,'Исходник'!$1:$1,0)))</f>
        <v/>
      </c>
      <c r="D823" s="1" t="str">
        <f t="array" ref="D823">IFERROR(INDEX('Исходник'!$1:$626,MATCH($A823,'Исходник'!$T:$T,0),MATCH(D$1,'Исходник'!$1:$1,0)))</f>
        <v/>
      </c>
      <c r="E823" s="1" t="str">
        <f t="array" ref="E823">IFERROR(INDEX('Исходник'!$1:$626,MATCH($A823,'Исходник'!$T:$T,0),MATCH(E$1,'Исходник'!$1:$1,0)))</f>
        <v/>
      </c>
      <c r="F823" s="1" t="str">
        <f t="array" ref="F823">IFERROR(INDEX('Исходник'!$1:$626,MATCH($A823,'Исходник'!$T:$T,0),MATCH(F$1,'Исходник'!$1:$1,0)))</f>
        <v/>
      </c>
      <c r="G823" s="1" t="str">
        <f t="array" ref="G823">IFERROR(INDEX('Исходник'!$1:$626,MATCH($A823,'Исходник'!$T:$T,0),MATCH(G$1,'Исходник'!$1:$1,0)))</f>
        <v/>
      </c>
      <c r="H823" s="27">
        <f t="shared" si="1"/>
        <v>0</v>
      </c>
      <c r="I823" s="27" t="str">
        <f t="shared" si="2"/>
        <v/>
      </c>
      <c r="J823" s="1" t="str">
        <f t="array" ref="J823">IFERROR(INDEX('Исходник'!$1:$626,MATCH($A823,'Исходник'!$T:$T,0),MATCH(J$1,'Исходник'!$1:$1,0)))</f>
        <v/>
      </c>
      <c r="K823" s="27" t="str">
        <f t="shared" si="3"/>
        <v/>
      </c>
      <c r="L823" s="1" t="str">
        <f t="array" ref="L823">IFERROR(INDEX('Исходник'!$1:$626,MATCH($A823,'Исходник'!$T:$T,0),MATCH(L$1,'Исходник'!$1:$1,0)))</f>
        <v/>
      </c>
      <c r="M823" s="28">
        <f t="shared" si="4"/>
        <v>0</v>
      </c>
      <c r="N823" s="1" t="str">
        <f t="array" ref="N823">IFERROR(INDEX('Исходник'!$1:$626,MATCH($A823,'Исходник'!$T:$T,0),MATCH(N$1,'Исходник'!$1:$1,0)))</f>
        <v/>
      </c>
      <c r="O823" s="27">
        <f t="shared" si="5"/>
        <v>0</v>
      </c>
      <c r="P823" s="27" t="str">
        <f t="shared" si="6"/>
        <v/>
      </c>
      <c r="Q823" s="1" t="str">
        <f t="array" ref="Q823">IFERROR(INDEX('Исходник'!$1:$626,MATCH($A823,'Исходник'!$T:$T,0),MATCH(Q$1,'Исходник'!$1:$1,0)))</f>
        <v/>
      </c>
      <c r="R823" s="1" t="str">
        <f t="array" ref="R823">IFERROR(INDEX('Исходник'!$1:$626,MATCH($A823,'Исходник'!$T:$T,0),MATCH(R$1,'Исходник'!$1:$1,0)))</f>
        <v/>
      </c>
      <c r="S823" s="27">
        <f t="shared" si="7"/>
        <v>0</v>
      </c>
      <c r="T823" s="27" t="str">
        <f t="shared" si="8"/>
        <v/>
      </c>
      <c r="U823" s="1" t="str">
        <f t="array" ref="U823">IFERROR(INDEX('Исходник'!$1:$626,MATCH($A823,'Исходник'!$T:$T,0),MATCH(U$1,'Исходник'!$1:$1,0)))</f>
        <v/>
      </c>
      <c r="V823" s="27" t="str">
        <f t="shared" si="9"/>
        <v/>
      </c>
      <c r="W823" s="1" t="str">
        <f t="array" ref="W823">IFERROR(INDEX('Исходник'!$1:$626,MATCH($A823,'Исходник'!$T:$T,0),MATCH(W$1,'Исходник'!$1:$1,0)))</f>
        <v/>
      </c>
      <c r="X823" s="28">
        <f t="shared" si="10"/>
        <v>0</v>
      </c>
      <c r="Y823" s="1" t="str">
        <f t="array" ref="Y823">IFERROR(INDEX('Исходник'!$1:$626,MATCH($A823,'Исходник'!$T:$T,0),MATCH(Y$1,'Исходник'!$1:$1,0)))</f>
        <v/>
      </c>
      <c r="Z823" s="27">
        <f t="shared" si="11"/>
        <v>0</v>
      </c>
      <c r="AA823" s="27" t="str">
        <f t="shared" si="12"/>
        <v/>
      </c>
      <c r="AB823" s="1" t="str">
        <f t="array" ref="AB823">IFERROR(INDEX('Исходник'!$1:$626,MATCH($A823,'Исходник'!$T:$T,0),MATCH(AB$1,'Исходник'!$1:$1,0)))</f>
        <v/>
      </c>
      <c r="AC823" s="1" t="str">
        <f t="array" ref="AC823">IFERROR(INDEX('Исходник'!$1:$626,MATCH($A823,'Исходник'!$T:$T,0),MATCH(AC$1,'Исходник'!$1:$1,0)))</f>
        <v/>
      </c>
      <c r="AD823" s="27" t="str">
        <f t="shared" si="13"/>
        <v/>
      </c>
      <c r="AE823" s="1" t="str">
        <f t="array" ref="AE823">IFERROR(INDEX('Исходник'!$1:$626,MATCH($A823,'Исходник'!$T:$T,0),MATCH(AE$1,'Исходник'!$1:$1,0)))</f>
        <v/>
      </c>
      <c r="AF823" s="1" t="str">
        <f t="array" ref="AF823">IFERROR(INDEX('Исходник'!$1:$626,MATCH($A823,'Исходник'!$T:$T,0),MATCH(AF$1,'Исходник'!$1:$1,0)))</f>
        <v/>
      </c>
      <c r="AG823" s="27" t="str">
        <f t="shared" si="14"/>
        <v/>
      </c>
      <c r="AH823" s="1" t="str">
        <f t="array" ref="AH823">IFERROR(INDEX('Исходник'!$1:$626,MATCH($A823,'Исходник'!$T:$T,0),MATCH(AH$1,'Исходник'!$1:$1,0)))</f>
        <v/>
      </c>
      <c r="AI823" s="1" t="str">
        <f t="array" ref="AI823">IFERROR(INDEX('Исходник'!$1:$626,MATCH($A823,'Исходник'!$T:$T,0),MATCH(AI$1,'Исходник'!$1:$1,0)))</f>
        <v/>
      </c>
      <c r="AJ823" s="18">
        <f t="shared" si="15"/>
        <v>0</v>
      </c>
    </row>
    <row r="824" ht="15.75" customHeight="1">
      <c r="A824" s="27"/>
      <c r="B824" s="1" t="str">
        <f t="array" ref="B824">IFERROR(INDEX('Исходник'!$1:$626,MATCH($A824,'Исходник'!$T:$T,0),MATCH(B$1,'Исходник'!$1:$1,0)))</f>
        <v/>
      </c>
      <c r="C824" s="1" t="str">
        <f t="array" ref="C824">IFERROR(INDEX('Исходник'!$1:$626,MATCH($A824,'Исходник'!$T:$T,0),MATCH(C$1,'Исходник'!$1:$1,0)))</f>
        <v/>
      </c>
      <c r="D824" s="1" t="str">
        <f t="array" ref="D824">IFERROR(INDEX('Исходник'!$1:$626,MATCH($A824,'Исходник'!$T:$T,0),MATCH(D$1,'Исходник'!$1:$1,0)))</f>
        <v/>
      </c>
      <c r="E824" s="1" t="str">
        <f t="array" ref="E824">IFERROR(INDEX('Исходник'!$1:$626,MATCH($A824,'Исходник'!$T:$T,0),MATCH(E$1,'Исходник'!$1:$1,0)))</f>
        <v/>
      </c>
      <c r="F824" s="1" t="str">
        <f t="array" ref="F824">IFERROR(INDEX('Исходник'!$1:$626,MATCH($A824,'Исходник'!$T:$T,0),MATCH(F$1,'Исходник'!$1:$1,0)))</f>
        <v/>
      </c>
      <c r="G824" s="1" t="str">
        <f t="array" ref="G824">IFERROR(INDEX('Исходник'!$1:$626,MATCH($A824,'Исходник'!$T:$T,0),MATCH(G$1,'Исходник'!$1:$1,0)))</f>
        <v/>
      </c>
      <c r="H824" s="27">
        <f t="shared" si="1"/>
        <v>0</v>
      </c>
      <c r="I824" s="27" t="str">
        <f t="shared" si="2"/>
        <v/>
      </c>
      <c r="J824" s="1" t="str">
        <f t="array" ref="J824">IFERROR(INDEX('Исходник'!$1:$626,MATCH($A824,'Исходник'!$T:$T,0),MATCH(J$1,'Исходник'!$1:$1,0)))</f>
        <v/>
      </c>
      <c r="K824" s="27" t="str">
        <f t="shared" si="3"/>
        <v/>
      </c>
      <c r="L824" s="1" t="str">
        <f t="array" ref="L824">IFERROR(INDEX('Исходник'!$1:$626,MATCH($A824,'Исходник'!$T:$T,0),MATCH(L$1,'Исходник'!$1:$1,0)))</f>
        <v/>
      </c>
      <c r="M824" s="28">
        <f t="shared" si="4"/>
        <v>0</v>
      </c>
      <c r="N824" s="1" t="str">
        <f t="array" ref="N824">IFERROR(INDEX('Исходник'!$1:$626,MATCH($A824,'Исходник'!$T:$T,0),MATCH(N$1,'Исходник'!$1:$1,0)))</f>
        <v/>
      </c>
      <c r="O824" s="27">
        <f t="shared" si="5"/>
        <v>0</v>
      </c>
      <c r="P824" s="27" t="str">
        <f t="shared" si="6"/>
        <v/>
      </c>
      <c r="Q824" s="1" t="str">
        <f t="array" ref="Q824">IFERROR(INDEX('Исходник'!$1:$626,MATCH($A824,'Исходник'!$T:$T,0),MATCH(Q$1,'Исходник'!$1:$1,0)))</f>
        <v/>
      </c>
      <c r="R824" s="1" t="str">
        <f t="array" ref="R824">IFERROR(INDEX('Исходник'!$1:$626,MATCH($A824,'Исходник'!$T:$T,0),MATCH(R$1,'Исходник'!$1:$1,0)))</f>
        <v/>
      </c>
      <c r="S824" s="27">
        <f t="shared" si="7"/>
        <v>0</v>
      </c>
      <c r="T824" s="27" t="str">
        <f t="shared" si="8"/>
        <v/>
      </c>
      <c r="U824" s="1" t="str">
        <f t="array" ref="U824">IFERROR(INDEX('Исходник'!$1:$626,MATCH($A824,'Исходник'!$T:$T,0),MATCH(U$1,'Исходник'!$1:$1,0)))</f>
        <v/>
      </c>
      <c r="V824" s="27" t="str">
        <f t="shared" si="9"/>
        <v/>
      </c>
      <c r="W824" s="1" t="str">
        <f t="array" ref="W824">IFERROR(INDEX('Исходник'!$1:$626,MATCH($A824,'Исходник'!$T:$T,0),MATCH(W$1,'Исходник'!$1:$1,0)))</f>
        <v/>
      </c>
      <c r="X824" s="28">
        <f t="shared" si="10"/>
        <v>0</v>
      </c>
      <c r="Y824" s="1" t="str">
        <f t="array" ref="Y824">IFERROR(INDEX('Исходник'!$1:$626,MATCH($A824,'Исходник'!$T:$T,0),MATCH(Y$1,'Исходник'!$1:$1,0)))</f>
        <v/>
      </c>
      <c r="Z824" s="27">
        <f t="shared" si="11"/>
        <v>0</v>
      </c>
      <c r="AA824" s="27" t="str">
        <f t="shared" si="12"/>
        <v/>
      </c>
      <c r="AB824" s="1" t="str">
        <f t="array" ref="AB824">IFERROR(INDEX('Исходник'!$1:$626,MATCH($A824,'Исходник'!$T:$T,0),MATCH(AB$1,'Исходник'!$1:$1,0)))</f>
        <v/>
      </c>
      <c r="AC824" s="1" t="str">
        <f t="array" ref="AC824">IFERROR(INDEX('Исходник'!$1:$626,MATCH($A824,'Исходник'!$T:$T,0),MATCH(AC$1,'Исходник'!$1:$1,0)))</f>
        <v/>
      </c>
      <c r="AD824" s="27" t="str">
        <f t="shared" si="13"/>
        <v/>
      </c>
      <c r="AE824" s="1" t="str">
        <f t="array" ref="AE824">IFERROR(INDEX('Исходник'!$1:$626,MATCH($A824,'Исходник'!$T:$T,0),MATCH(AE$1,'Исходник'!$1:$1,0)))</f>
        <v/>
      </c>
      <c r="AF824" s="1" t="str">
        <f t="array" ref="AF824">IFERROR(INDEX('Исходник'!$1:$626,MATCH($A824,'Исходник'!$T:$T,0),MATCH(AF$1,'Исходник'!$1:$1,0)))</f>
        <v/>
      </c>
      <c r="AG824" s="27" t="str">
        <f t="shared" si="14"/>
        <v/>
      </c>
      <c r="AH824" s="1" t="str">
        <f t="array" ref="AH824">IFERROR(INDEX('Исходник'!$1:$626,MATCH($A824,'Исходник'!$T:$T,0),MATCH(AH$1,'Исходник'!$1:$1,0)))</f>
        <v/>
      </c>
      <c r="AI824" s="1" t="str">
        <f t="array" ref="AI824">IFERROR(INDEX('Исходник'!$1:$626,MATCH($A824,'Исходник'!$T:$T,0),MATCH(AI$1,'Исходник'!$1:$1,0)))</f>
        <v/>
      </c>
      <c r="AJ824" s="18">
        <f t="shared" si="15"/>
        <v>0</v>
      </c>
    </row>
    <row r="825" ht="15.75" customHeight="1">
      <c r="A825" s="27"/>
      <c r="B825" s="1" t="str">
        <f t="array" ref="B825">IFERROR(INDEX('Исходник'!$1:$626,MATCH($A825,'Исходник'!$T:$T,0),MATCH(B$1,'Исходник'!$1:$1,0)))</f>
        <v/>
      </c>
      <c r="C825" s="1" t="str">
        <f t="array" ref="C825">IFERROR(INDEX('Исходник'!$1:$626,MATCH($A825,'Исходник'!$T:$T,0),MATCH(C$1,'Исходник'!$1:$1,0)))</f>
        <v/>
      </c>
      <c r="D825" s="1" t="str">
        <f t="array" ref="D825">IFERROR(INDEX('Исходник'!$1:$626,MATCH($A825,'Исходник'!$T:$T,0),MATCH(D$1,'Исходник'!$1:$1,0)))</f>
        <v/>
      </c>
      <c r="E825" s="1" t="str">
        <f t="array" ref="E825">IFERROR(INDEX('Исходник'!$1:$626,MATCH($A825,'Исходник'!$T:$T,0),MATCH(E$1,'Исходник'!$1:$1,0)))</f>
        <v/>
      </c>
      <c r="F825" s="1" t="str">
        <f t="array" ref="F825">IFERROR(INDEX('Исходник'!$1:$626,MATCH($A825,'Исходник'!$T:$T,0),MATCH(F$1,'Исходник'!$1:$1,0)))</f>
        <v/>
      </c>
      <c r="G825" s="1" t="str">
        <f t="array" ref="G825">IFERROR(INDEX('Исходник'!$1:$626,MATCH($A825,'Исходник'!$T:$T,0),MATCH(G$1,'Исходник'!$1:$1,0)))</f>
        <v/>
      </c>
      <c r="H825" s="27">
        <f t="shared" si="1"/>
        <v>0</v>
      </c>
      <c r="I825" s="27" t="str">
        <f t="shared" si="2"/>
        <v/>
      </c>
      <c r="J825" s="1" t="str">
        <f t="array" ref="J825">IFERROR(INDEX('Исходник'!$1:$626,MATCH($A825,'Исходник'!$T:$T,0),MATCH(J$1,'Исходник'!$1:$1,0)))</f>
        <v/>
      </c>
      <c r="K825" s="27" t="str">
        <f t="shared" si="3"/>
        <v/>
      </c>
      <c r="L825" s="1" t="str">
        <f t="array" ref="L825">IFERROR(INDEX('Исходник'!$1:$626,MATCH($A825,'Исходник'!$T:$T,0),MATCH(L$1,'Исходник'!$1:$1,0)))</f>
        <v/>
      </c>
      <c r="M825" s="28">
        <f t="shared" si="4"/>
        <v>0</v>
      </c>
      <c r="N825" s="1" t="str">
        <f t="array" ref="N825">IFERROR(INDEX('Исходник'!$1:$626,MATCH($A825,'Исходник'!$T:$T,0),MATCH(N$1,'Исходник'!$1:$1,0)))</f>
        <v/>
      </c>
      <c r="O825" s="27">
        <f t="shared" si="5"/>
        <v>0</v>
      </c>
      <c r="P825" s="27" t="str">
        <f t="shared" si="6"/>
        <v/>
      </c>
      <c r="Q825" s="1" t="str">
        <f t="array" ref="Q825">IFERROR(INDEX('Исходник'!$1:$626,MATCH($A825,'Исходник'!$T:$T,0),MATCH(Q$1,'Исходник'!$1:$1,0)))</f>
        <v/>
      </c>
      <c r="R825" s="1" t="str">
        <f t="array" ref="R825">IFERROR(INDEX('Исходник'!$1:$626,MATCH($A825,'Исходник'!$T:$T,0),MATCH(R$1,'Исходник'!$1:$1,0)))</f>
        <v/>
      </c>
      <c r="S825" s="27">
        <f t="shared" si="7"/>
        <v>0</v>
      </c>
      <c r="T825" s="27" t="str">
        <f t="shared" si="8"/>
        <v/>
      </c>
      <c r="U825" s="1" t="str">
        <f t="array" ref="U825">IFERROR(INDEX('Исходник'!$1:$626,MATCH($A825,'Исходник'!$T:$T,0),MATCH(U$1,'Исходник'!$1:$1,0)))</f>
        <v/>
      </c>
      <c r="V825" s="27" t="str">
        <f t="shared" si="9"/>
        <v/>
      </c>
      <c r="W825" s="1" t="str">
        <f t="array" ref="W825">IFERROR(INDEX('Исходник'!$1:$626,MATCH($A825,'Исходник'!$T:$T,0),MATCH(W$1,'Исходник'!$1:$1,0)))</f>
        <v/>
      </c>
      <c r="X825" s="28">
        <f t="shared" si="10"/>
        <v>0</v>
      </c>
      <c r="Y825" s="1" t="str">
        <f t="array" ref="Y825">IFERROR(INDEX('Исходник'!$1:$626,MATCH($A825,'Исходник'!$T:$T,0),MATCH(Y$1,'Исходник'!$1:$1,0)))</f>
        <v/>
      </c>
      <c r="Z825" s="27">
        <f t="shared" si="11"/>
        <v>0</v>
      </c>
      <c r="AA825" s="27" t="str">
        <f t="shared" si="12"/>
        <v/>
      </c>
      <c r="AB825" s="1" t="str">
        <f t="array" ref="AB825">IFERROR(INDEX('Исходник'!$1:$626,MATCH($A825,'Исходник'!$T:$T,0),MATCH(AB$1,'Исходник'!$1:$1,0)))</f>
        <v/>
      </c>
      <c r="AC825" s="1" t="str">
        <f t="array" ref="AC825">IFERROR(INDEX('Исходник'!$1:$626,MATCH($A825,'Исходник'!$T:$T,0),MATCH(AC$1,'Исходник'!$1:$1,0)))</f>
        <v/>
      </c>
      <c r="AD825" s="27" t="str">
        <f t="shared" si="13"/>
        <v/>
      </c>
      <c r="AE825" s="1" t="str">
        <f t="array" ref="AE825">IFERROR(INDEX('Исходник'!$1:$626,MATCH($A825,'Исходник'!$T:$T,0),MATCH(AE$1,'Исходник'!$1:$1,0)))</f>
        <v/>
      </c>
      <c r="AF825" s="1" t="str">
        <f t="array" ref="AF825">IFERROR(INDEX('Исходник'!$1:$626,MATCH($A825,'Исходник'!$T:$T,0),MATCH(AF$1,'Исходник'!$1:$1,0)))</f>
        <v/>
      </c>
      <c r="AG825" s="27" t="str">
        <f t="shared" si="14"/>
        <v/>
      </c>
      <c r="AH825" s="1" t="str">
        <f t="array" ref="AH825">IFERROR(INDEX('Исходник'!$1:$626,MATCH($A825,'Исходник'!$T:$T,0),MATCH(AH$1,'Исходник'!$1:$1,0)))</f>
        <v/>
      </c>
      <c r="AI825" s="1" t="str">
        <f t="array" ref="AI825">IFERROR(INDEX('Исходник'!$1:$626,MATCH($A825,'Исходник'!$T:$T,0),MATCH(AI$1,'Исходник'!$1:$1,0)))</f>
        <v/>
      </c>
      <c r="AJ825" s="18">
        <f t="shared" si="15"/>
        <v>0</v>
      </c>
    </row>
    <row r="826" ht="15.75" customHeight="1">
      <c r="A826" s="27"/>
      <c r="B826" s="1" t="str">
        <f t="array" ref="B826">IFERROR(INDEX('Исходник'!$1:$626,MATCH($A826,'Исходник'!$T:$T,0),MATCH(B$1,'Исходник'!$1:$1,0)))</f>
        <v/>
      </c>
      <c r="C826" s="1" t="str">
        <f t="array" ref="C826">IFERROR(INDEX('Исходник'!$1:$626,MATCH($A826,'Исходник'!$T:$T,0),MATCH(C$1,'Исходник'!$1:$1,0)))</f>
        <v/>
      </c>
      <c r="D826" s="1" t="str">
        <f t="array" ref="D826">IFERROR(INDEX('Исходник'!$1:$626,MATCH($A826,'Исходник'!$T:$T,0),MATCH(D$1,'Исходник'!$1:$1,0)))</f>
        <v/>
      </c>
      <c r="E826" s="1" t="str">
        <f t="array" ref="E826">IFERROR(INDEX('Исходник'!$1:$626,MATCH($A826,'Исходник'!$T:$T,0),MATCH(E$1,'Исходник'!$1:$1,0)))</f>
        <v/>
      </c>
      <c r="F826" s="1" t="str">
        <f t="array" ref="F826">IFERROR(INDEX('Исходник'!$1:$626,MATCH($A826,'Исходник'!$T:$T,0),MATCH(F$1,'Исходник'!$1:$1,0)))</f>
        <v/>
      </c>
      <c r="G826" s="1" t="str">
        <f t="array" ref="G826">IFERROR(INDEX('Исходник'!$1:$626,MATCH($A826,'Исходник'!$T:$T,0),MATCH(G$1,'Исходник'!$1:$1,0)))</f>
        <v/>
      </c>
      <c r="H826" s="27">
        <f t="shared" si="1"/>
        <v>0</v>
      </c>
      <c r="I826" s="27" t="str">
        <f t="shared" si="2"/>
        <v/>
      </c>
      <c r="J826" s="1" t="str">
        <f t="array" ref="J826">IFERROR(INDEX('Исходник'!$1:$626,MATCH($A826,'Исходник'!$T:$T,0),MATCH(J$1,'Исходник'!$1:$1,0)))</f>
        <v/>
      </c>
      <c r="K826" s="27" t="str">
        <f t="shared" si="3"/>
        <v/>
      </c>
      <c r="L826" s="1" t="str">
        <f t="array" ref="L826">IFERROR(INDEX('Исходник'!$1:$626,MATCH($A826,'Исходник'!$T:$T,0),MATCH(L$1,'Исходник'!$1:$1,0)))</f>
        <v/>
      </c>
      <c r="M826" s="28">
        <f t="shared" si="4"/>
        <v>0</v>
      </c>
      <c r="N826" s="1" t="str">
        <f t="array" ref="N826">IFERROR(INDEX('Исходник'!$1:$626,MATCH($A826,'Исходник'!$T:$T,0),MATCH(N$1,'Исходник'!$1:$1,0)))</f>
        <v/>
      </c>
      <c r="O826" s="27">
        <f t="shared" si="5"/>
        <v>0</v>
      </c>
      <c r="P826" s="27" t="str">
        <f t="shared" si="6"/>
        <v/>
      </c>
      <c r="Q826" s="1" t="str">
        <f t="array" ref="Q826">IFERROR(INDEX('Исходник'!$1:$626,MATCH($A826,'Исходник'!$T:$T,0),MATCH(Q$1,'Исходник'!$1:$1,0)))</f>
        <v/>
      </c>
      <c r="R826" s="1" t="str">
        <f t="array" ref="R826">IFERROR(INDEX('Исходник'!$1:$626,MATCH($A826,'Исходник'!$T:$T,0),MATCH(R$1,'Исходник'!$1:$1,0)))</f>
        <v/>
      </c>
      <c r="S826" s="27">
        <f t="shared" si="7"/>
        <v>0</v>
      </c>
      <c r="T826" s="27" t="str">
        <f t="shared" si="8"/>
        <v/>
      </c>
      <c r="U826" s="1" t="str">
        <f t="array" ref="U826">IFERROR(INDEX('Исходник'!$1:$626,MATCH($A826,'Исходник'!$T:$T,0),MATCH(U$1,'Исходник'!$1:$1,0)))</f>
        <v/>
      </c>
      <c r="V826" s="27" t="str">
        <f t="shared" si="9"/>
        <v/>
      </c>
      <c r="W826" s="1" t="str">
        <f t="array" ref="W826">IFERROR(INDEX('Исходник'!$1:$626,MATCH($A826,'Исходник'!$T:$T,0),MATCH(W$1,'Исходник'!$1:$1,0)))</f>
        <v/>
      </c>
      <c r="X826" s="28">
        <f t="shared" si="10"/>
        <v>0</v>
      </c>
      <c r="Y826" s="1" t="str">
        <f t="array" ref="Y826">IFERROR(INDEX('Исходник'!$1:$626,MATCH($A826,'Исходник'!$T:$T,0),MATCH(Y$1,'Исходник'!$1:$1,0)))</f>
        <v/>
      </c>
      <c r="Z826" s="27">
        <f t="shared" si="11"/>
        <v>0</v>
      </c>
      <c r="AA826" s="27" t="str">
        <f t="shared" si="12"/>
        <v/>
      </c>
      <c r="AB826" s="1" t="str">
        <f t="array" ref="AB826">IFERROR(INDEX('Исходник'!$1:$626,MATCH($A826,'Исходник'!$T:$T,0),MATCH(AB$1,'Исходник'!$1:$1,0)))</f>
        <v/>
      </c>
      <c r="AC826" s="1" t="str">
        <f t="array" ref="AC826">IFERROR(INDEX('Исходник'!$1:$626,MATCH($A826,'Исходник'!$T:$T,0),MATCH(AC$1,'Исходник'!$1:$1,0)))</f>
        <v/>
      </c>
      <c r="AD826" s="27" t="str">
        <f t="shared" si="13"/>
        <v/>
      </c>
      <c r="AE826" s="1" t="str">
        <f t="array" ref="AE826">IFERROR(INDEX('Исходник'!$1:$626,MATCH($A826,'Исходник'!$T:$T,0),MATCH(AE$1,'Исходник'!$1:$1,0)))</f>
        <v/>
      </c>
      <c r="AF826" s="1" t="str">
        <f t="array" ref="AF826">IFERROR(INDEX('Исходник'!$1:$626,MATCH($A826,'Исходник'!$T:$T,0),MATCH(AF$1,'Исходник'!$1:$1,0)))</f>
        <v/>
      </c>
      <c r="AG826" s="27" t="str">
        <f t="shared" si="14"/>
        <v/>
      </c>
      <c r="AH826" s="1" t="str">
        <f t="array" ref="AH826">IFERROR(INDEX('Исходник'!$1:$626,MATCH($A826,'Исходник'!$T:$T,0),MATCH(AH$1,'Исходник'!$1:$1,0)))</f>
        <v/>
      </c>
      <c r="AI826" s="1" t="str">
        <f t="array" ref="AI826">IFERROR(INDEX('Исходник'!$1:$626,MATCH($A826,'Исходник'!$T:$T,0),MATCH(AI$1,'Исходник'!$1:$1,0)))</f>
        <v/>
      </c>
      <c r="AJ826" s="18">
        <f t="shared" si="15"/>
        <v>0</v>
      </c>
    </row>
    <row r="827" ht="15.75" customHeight="1">
      <c r="A827" s="27"/>
      <c r="B827" s="1" t="str">
        <f t="array" ref="B827">IFERROR(INDEX('Исходник'!$1:$626,MATCH($A827,'Исходник'!$T:$T,0),MATCH(B$1,'Исходник'!$1:$1,0)))</f>
        <v/>
      </c>
      <c r="C827" s="1" t="str">
        <f t="array" ref="C827">IFERROR(INDEX('Исходник'!$1:$626,MATCH($A827,'Исходник'!$T:$T,0),MATCH(C$1,'Исходник'!$1:$1,0)))</f>
        <v/>
      </c>
      <c r="D827" s="1" t="str">
        <f t="array" ref="D827">IFERROR(INDEX('Исходник'!$1:$626,MATCH($A827,'Исходник'!$T:$T,0),MATCH(D$1,'Исходник'!$1:$1,0)))</f>
        <v/>
      </c>
      <c r="E827" s="1" t="str">
        <f t="array" ref="E827">IFERROR(INDEX('Исходник'!$1:$626,MATCH($A827,'Исходник'!$T:$T,0),MATCH(E$1,'Исходник'!$1:$1,0)))</f>
        <v/>
      </c>
      <c r="F827" s="1" t="str">
        <f t="array" ref="F827">IFERROR(INDEX('Исходник'!$1:$626,MATCH($A827,'Исходник'!$T:$T,0),MATCH(F$1,'Исходник'!$1:$1,0)))</f>
        <v/>
      </c>
      <c r="G827" s="1" t="str">
        <f t="array" ref="G827">IFERROR(INDEX('Исходник'!$1:$626,MATCH($A827,'Исходник'!$T:$T,0),MATCH(G$1,'Исходник'!$1:$1,0)))</f>
        <v/>
      </c>
      <c r="H827" s="27">
        <f t="shared" si="1"/>
        <v>0</v>
      </c>
      <c r="I827" s="27" t="str">
        <f t="shared" si="2"/>
        <v/>
      </c>
      <c r="J827" s="1" t="str">
        <f t="array" ref="J827">IFERROR(INDEX('Исходник'!$1:$626,MATCH($A827,'Исходник'!$T:$T,0),MATCH(J$1,'Исходник'!$1:$1,0)))</f>
        <v/>
      </c>
      <c r="K827" s="27" t="str">
        <f t="shared" si="3"/>
        <v/>
      </c>
      <c r="L827" s="1" t="str">
        <f t="array" ref="L827">IFERROR(INDEX('Исходник'!$1:$626,MATCH($A827,'Исходник'!$T:$T,0),MATCH(L$1,'Исходник'!$1:$1,0)))</f>
        <v/>
      </c>
      <c r="M827" s="28">
        <f t="shared" si="4"/>
        <v>0</v>
      </c>
      <c r="N827" s="1" t="str">
        <f t="array" ref="N827">IFERROR(INDEX('Исходник'!$1:$626,MATCH($A827,'Исходник'!$T:$T,0),MATCH(N$1,'Исходник'!$1:$1,0)))</f>
        <v/>
      </c>
      <c r="O827" s="27">
        <f t="shared" si="5"/>
        <v>0</v>
      </c>
      <c r="P827" s="27" t="str">
        <f t="shared" si="6"/>
        <v/>
      </c>
      <c r="Q827" s="1" t="str">
        <f t="array" ref="Q827">IFERROR(INDEX('Исходник'!$1:$626,MATCH($A827,'Исходник'!$T:$T,0),MATCH(Q$1,'Исходник'!$1:$1,0)))</f>
        <v/>
      </c>
      <c r="R827" s="1" t="str">
        <f t="array" ref="R827">IFERROR(INDEX('Исходник'!$1:$626,MATCH($A827,'Исходник'!$T:$T,0),MATCH(R$1,'Исходник'!$1:$1,0)))</f>
        <v/>
      </c>
      <c r="S827" s="27">
        <f t="shared" si="7"/>
        <v>0</v>
      </c>
      <c r="T827" s="27" t="str">
        <f t="shared" si="8"/>
        <v/>
      </c>
      <c r="U827" s="1" t="str">
        <f t="array" ref="U827">IFERROR(INDEX('Исходник'!$1:$626,MATCH($A827,'Исходник'!$T:$T,0),MATCH(U$1,'Исходник'!$1:$1,0)))</f>
        <v/>
      </c>
      <c r="V827" s="27" t="str">
        <f t="shared" si="9"/>
        <v/>
      </c>
      <c r="W827" s="1" t="str">
        <f t="array" ref="W827">IFERROR(INDEX('Исходник'!$1:$626,MATCH($A827,'Исходник'!$T:$T,0),MATCH(W$1,'Исходник'!$1:$1,0)))</f>
        <v/>
      </c>
      <c r="X827" s="28">
        <f t="shared" si="10"/>
        <v>0</v>
      </c>
      <c r="Y827" s="1" t="str">
        <f t="array" ref="Y827">IFERROR(INDEX('Исходник'!$1:$626,MATCH($A827,'Исходник'!$T:$T,0),MATCH(Y$1,'Исходник'!$1:$1,0)))</f>
        <v/>
      </c>
      <c r="Z827" s="27">
        <f t="shared" si="11"/>
        <v>0</v>
      </c>
      <c r="AA827" s="27" t="str">
        <f t="shared" si="12"/>
        <v/>
      </c>
      <c r="AB827" s="1" t="str">
        <f t="array" ref="AB827">IFERROR(INDEX('Исходник'!$1:$626,MATCH($A827,'Исходник'!$T:$T,0),MATCH(AB$1,'Исходник'!$1:$1,0)))</f>
        <v/>
      </c>
      <c r="AC827" s="1" t="str">
        <f t="array" ref="AC827">IFERROR(INDEX('Исходник'!$1:$626,MATCH($A827,'Исходник'!$T:$T,0),MATCH(AC$1,'Исходник'!$1:$1,0)))</f>
        <v/>
      </c>
      <c r="AD827" s="27" t="str">
        <f t="shared" si="13"/>
        <v/>
      </c>
      <c r="AE827" s="1" t="str">
        <f t="array" ref="AE827">IFERROR(INDEX('Исходник'!$1:$626,MATCH($A827,'Исходник'!$T:$T,0),MATCH(AE$1,'Исходник'!$1:$1,0)))</f>
        <v/>
      </c>
      <c r="AF827" s="1" t="str">
        <f t="array" ref="AF827">IFERROR(INDEX('Исходник'!$1:$626,MATCH($A827,'Исходник'!$T:$T,0),MATCH(AF$1,'Исходник'!$1:$1,0)))</f>
        <v/>
      </c>
      <c r="AG827" s="27" t="str">
        <f t="shared" si="14"/>
        <v/>
      </c>
      <c r="AH827" s="1" t="str">
        <f t="array" ref="AH827">IFERROR(INDEX('Исходник'!$1:$626,MATCH($A827,'Исходник'!$T:$T,0),MATCH(AH$1,'Исходник'!$1:$1,0)))</f>
        <v/>
      </c>
      <c r="AI827" s="1" t="str">
        <f t="array" ref="AI827">IFERROR(INDEX('Исходник'!$1:$626,MATCH($A827,'Исходник'!$T:$T,0),MATCH(AI$1,'Исходник'!$1:$1,0)))</f>
        <v/>
      </c>
      <c r="AJ827" s="18">
        <f t="shared" si="15"/>
        <v>0</v>
      </c>
    </row>
    <row r="828" ht="15.75" customHeight="1">
      <c r="A828" s="27"/>
      <c r="B828" s="1" t="str">
        <f t="array" ref="B828">IFERROR(INDEX('Исходник'!$1:$626,MATCH($A828,'Исходник'!$T:$T,0),MATCH(B$1,'Исходник'!$1:$1,0)))</f>
        <v/>
      </c>
      <c r="C828" s="1" t="str">
        <f t="array" ref="C828">IFERROR(INDEX('Исходник'!$1:$626,MATCH($A828,'Исходник'!$T:$T,0),MATCH(C$1,'Исходник'!$1:$1,0)))</f>
        <v/>
      </c>
      <c r="D828" s="1" t="str">
        <f t="array" ref="D828">IFERROR(INDEX('Исходник'!$1:$626,MATCH($A828,'Исходник'!$T:$T,0),MATCH(D$1,'Исходник'!$1:$1,0)))</f>
        <v/>
      </c>
      <c r="E828" s="1" t="str">
        <f t="array" ref="E828">IFERROR(INDEX('Исходник'!$1:$626,MATCH($A828,'Исходник'!$T:$T,0),MATCH(E$1,'Исходник'!$1:$1,0)))</f>
        <v/>
      </c>
      <c r="F828" s="1" t="str">
        <f t="array" ref="F828">IFERROR(INDEX('Исходник'!$1:$626,MATCH($A828,'Исходник'!$T:$T,0),MATCH(F$1,'Исходник'!$1:$1,0)))</f>
        <v/>
      </c>
      <c r="G828" s="1" t="str">
        <f t="array" ref="G828">IFERROR(INDEX('Исходник'!$1:$626,MATCH($A828,'Исходник'!$T:$T,0),MATCH(G$1,'Исходник'!$1:$1,0)))</f>
        <v/>
      </c>
      <c r="H828" s="27">
        <f t="shared" si="1"/>
        <v>0</v>
      </c>
      <c r="I828" s="27" t="str">
        <f t="shared" si="2"/>
        <v/>
      </c>
      <c r="J828" s="1" t="str">
        <f t="array" ref="J828">IFERROR(INDEX('Исходник'!$1:$626,MATCH($A828,'Исходник'!$T:$T,0),MATCH(J$1,'Исходник'!$1:$1,0)))</f>
        <v/>
      </c>
      <c r="K828" s="27" t="str">
        <f t="shared" si="3"/>
        <v/>
      </c>
      <c r="L828" s="1" t="str">
        <f t="array" ref="L828">IFERROR(INDEX('Исходник'!$1:$626,MATCH($A828,'Исходник'!$T:$T,0),MATCH(L$1,'Исходник'!$1:$1,0)))</f>
        <v/>
      </c>
      <c r="M828" s="28">
        <f t="shared" si="4"/>
        <v>0</v>
      </c>
      <c r="N828" s="1" t="str">
        <f t="array" ref="N828">IFERROR(INDEX('Исходник'!$1:$626,MATCH($A828,'Исходник'!$T:$T,0),MATCH(N$1,'Исходник'!$1:$1,0)))</f>
        <v/>
      </c>
      <c r="O828" s="27">
        <f t="shared" si="5"/>
        <v>0</v>
      </c>
      <c r="P828" s="27" t="str">
        <f t="shared" si="6"/>
        <v/>
      </c>
      <c r="Q828" s="1" t="str">
        <f t="array" ref="Q828">IFERROR(INDEX('Исходник'!$1:$626,MATCH($A828,'Исходник'!$T:$T,0),MATCH(Q$1,'Исходник'!$1:$1,0)))</f>
        <v/>
      </c>
      <c r="R828" s="1" t="str">
        <f t="array" ref="R828">IFERROR(INDEX('Исходник'!$1:$626,MATCH($A828,'Исходник'!$T:$T,0),MATCH(R$1,'Исходник'!$1:$1,0)))</f>
        <v/>
      </c>
      <c r="S828" s="27">
        <f t="shared" si="7"/>
        <v>0</v>
      </c>
      <c r="T828" s="27" t="str">
        <f t="shared" si="8"/>
        <v/>
      </c>
      <c r="U828" s="1" t="str">
        <f t="array" ref="U828">IFERROR(INDEX('Исходник'!$1:$626,MATCH($A828,'Исходник'!$T:$T,0),MATCH(U$1,'Исходник'!$1:$1,0)))</f>
        <v/>
      </c>
      <c r="V828" s="27" t="str">
        <f t="shared" si="9"/>
        <v/>
      </c>
      <c r="W828" s="1" t="str">
        <f t="array" ref="W828">IFERROR(INDEX('Исходник'!$1:$626,MATCH($A828,'Исходник'!$T:$T,0),MATCH(W$1,'Исходник'!$1:$1,0)))</f>
        <v/>
      </c>
      <c r="X828" s="28">
        <f t="shared" si="10"/>
        <v>0</v>
      </c>
      <c r="Y828" s="1" t="str">
        <f t="array" ref="Y828">IFERROR(INDEX('Исходник'!$1:$626,MATCH($A828,'Исходник'!$T:$T,0),MATCH(Y$1,'Исходник'!$1:$1,0)))</f>
        <v/>
      </c>
      <c r="Z828" s="27">
        <f t="shared" si="11"/>
        <v>0</v>
      </c>
      <c r="AA828" s="27" t="str">
        <f t="shared" si="12"/>
        <v/>
      </c>
      <c r="AB828" s="1" t="str">
        <f t="array" ref="AB828">IFERROR(INDEX('Исходник'!$1:$626,MATCH($A828,'Исходник'!$T:$T,0),MATCH(AB$1,'Исходник'!$1:$1,0)))</f>
        <v/>
      </c>
      <c r="AC828" s="1" t="str">
        <f t="array" ref="AC828">IFERROR(INDEX('Исходник'!$1:$626,MATCH($A828,'Исходник'!$T:$T,0),MATCH(AC$1,'Исходник'!$1:$1,0)))</f>
        <v/>
      </c>
      <c r="AD828" s="27" t="str">
        <f t="shared" si="13"/>
        <v/>
      </c>
      <c r="AE828" s="1" t="str">
        <f t="array" ref="AE828">IFERROR(INDEX('Исходник'!$1:$626,MATCH($A828,'Исходник'!$T:$T,0),MATCH(AE$1,'Исходник'!$1:$1,0)))</f>
        <v/>
      </c>
      <c r="AF828" s="1" t="str">
        <f t="array" ref="AF828">IFERROR(INDEX('Исходник'!$1:$626,MATCH($A828,'Исходник'!$T:$T,0),MATCH(AF$1,'Исходник'!$1:$1,0)))</f>
        <v/>
      </c>
      <c r="AG828" s="27" t="str">
        <f t="shared" si="14"/>
        <v/>
      </c>
      <c r="AH828" s="1" t="str">
        <f t="array" ref="AH828">IFERROR(INDEX('Исходник'!$1:$626,MATCH($A828,'Исходник'!$T:$T,0),MATCH(AH$1,'Исходник'!$1:$1,0)))</f>
        <v/>
      </c>
      <c r="AI828" s="1" t="str">
        <f t="array" ref="AI828">IFERROR(INDEX('Исходник'!$1:$626,MATCH($A828,'Исходник'!$T:$T,0),MATCH(AI$1,'Исходник'!$1:$1,0)))</f>
        <v/>
      </c>
      <c r="AJ828" s="18">
        <f t="shared" si="15"/>
        <v>0</v>
      </c>
    </row>
    <row r="829" ht="15.75" customHeight="1">
      <c r="A829" s="27"/>
      <c r="B829" s="1" t="str">
        <f t="array" ref="B829">IFERROR(INDEX('Исходник'!$1:$626,MATCH($A829,'Исходник'!$T:$T,0),MATCH(B$1,'Исходник'!$1:$1,0)))</f>
        <v/>
      </c>
      <c r="C829" s="1" t="str">
        <f t="array" ref="C829">IFERROR(INDEX('Исходник'!$1:$626,MATCH($A829,'Исходник'!$T:$T,0),MATCH(C$1,'Исходник'!$1:$1,0)))</f>
        <v/>
      </c>
      <c r="D829" s="1" t="str">
        <f t="array" ref="D829">IFERROR(INDEX('Исходник'!$1:$626,MATCH($A829,'Исходник'!$T:$T,0),MATCH(D$1,'Исходник'!$1:$1,0)))</f>
        <v/>
      </c>
      <c r="E829" s="1" t="str">
        <f t="array" ref="E829">IFERROR(INDEX('Исходник'!$1:$626,MATCH($A829,'Исходник'!$T:$T,0),MATCH(E$1,'Исходник'!$1:$1,0)))</f>
        <v/>
      </c>
      <c r="F829" s="1" t="str">
        <f t="array" ref="F829">IFERROR(INDEX('Исходник'!$1:$626,MATCH($A829,'Исходник'!$T:$T,0),MATCH(F$1,'Исходник'!$1:$1,0)))</f>
        <v/>
      </c>
      <c r="G829" s="1" t="str">
        <f t="array" ref="G829">IFERROR(INDEX('Исходник'!$1:$626,MATCH($A829,'Исходник'!$T:$T,0),MATCH(G$1,'Исходник'!$1:$1,0)))</f>
        <v/>
      </c>
      <c r="H829" s="27">
        <f t="shared" si="1"/>
        <v>0</v>
      </c>
      <c r="I829" s="27" t="str">
        <f t="shared" si="2"/>
        <v/>
      </c>
      <c r="J829" s="1" t="str">
        <f t="array" ref="J829">IFERROR(INDEX('Исходник'!$1:$626,MATCH($A829,'Исходник'!$T:$T,0),MATCH(J$1,'Исходник'!$1:$1,0)))</f>
        <v/>
      </c>
      <c r="K829" s="27" t="str">
        <f t="shared" si="3"/>
        <v/>
      </c>
      <c r="L829" s="1" t="str">
        <f t="array" ref="L829">IFERROR(INDEX('Исходник'!$1:$626,MATCH($A829,'Исходник'!$T:$T,0),MATCH(L$1,'Исходник'!$1:$1,0)))</f>
        <v/>
      </c>
      <c r="M829" s="28">
        <f t="shared" si="4"/>
        <v>0</v>
      </c>
      <c r="N829" s="1" t="str">
        <f t="array" ref="N829">IFERROR(INDEX('Исходник'!$1:$626,MATCH($A829,'Исходник'!$T:$T,0),MATCH(N$1,'Исходник'!$1:$1,0)))</f>
        <v/>
      </c>
      <c r="O829" s="27">
        <f t="shared" si="5"/>
        <v>0</v>
      </c>
      <c r="P829" s="27" t="str">
        <f t="shared" si="6"/>
        <v/>
      </c>
      <c r="Q829" s="1" t="str">
        <f t="array" ref="Q829">IFERROR(INDEX('Исходник'!$1:$626,MATCH($A829,'Исходник'!$T:$T,0),MATCH(Q$1,'Исходник'!$1:$1,0)))</f>
        <v/>
      </c>
      <c r="R829" s="1" t="str">
        <f t="array" ref="R829">IFERROR(INDEX('Исходник'!$1:$626,MATCH($A829,'Исходник'!$T:$T,0),MATCH(R$1,'Исходник'!$1:$1,0)))</f>
        <v/>
      </c>
      <c r="S829" s="27">
        <f t="shared" si="7"/>
        <v>0</v>
      </c>
      <c r="T829" s="27" t="str">
        <f t="shared" si="8"/>
        <v/>
      </c>
      <c r="U829" s="1" t="str">
        <f t="array" ref="U829">IFERROR(INDEX('Исходник'!$1:$626,MATCH($A829,'Исходник'!$T:$T,0),MATCH(U$1,'Исходник'!$1:$1,0)))</f>
        <v/>
      </c>
      <c r="V829" s="27" t="str">
        <f t="shared" si="9"/>
        <v/>
      </c>
      <c r="W829" s="1" t="str">
        <f t="array" ref="W829">IFERROR(INDEX('Исходник'!$1:$626,MATCH($A829,'Исходник'!$T:$T,0),MATCH(W$1,'Исходник'!$1:$1,0)))</f>
        <v/>
      </c>
      <c r="X829" s="28">
        <f t="shared" si="10"/>
        <v>0</v>
      </c>
      <c r="Y829" s="1" t="str">
        <f t="array" ref="Y829">IFERROR(INDEX('Исходник'!$1:$626,MATCH($A829,'Исходник'!$T:$T,0),MATCH(Y$1,'Исходник'!$1:$1,0)))</f>
        <v/>
      </c>
      <c r="Z829" s="27">
        <f t="shared" si="11"/>
        <v>0</v>
      </c>
      <c r="AA829" s="27" t="str">
        <f t="shared" si="12"/>
        <v/>
      </c>
      <c r="AB829" s="1" t="str">
        <f t="array" ref="AB829">IFERROR(INDEX('Исходник'!$1:$626,MATCH($A829,'Исходник'!$T:$T,0),MATCH(AB$1,'Исходник'!$1:$1,0)))</f>
        <v/>
      </c>
      <c r="AC829" s="1" t="str">
        <f t="array" ref="AC829">IFERROR(INDEX('Исходник'!$1:$626,MATCH($A829,'Исходник'!$T:$T,0),MATCH(AC$1,'Исходник'!$1:$1,0)))</f>
        <v/>
      </c>
      <c r="AD829" s="27" t="str">
        <f t="shared" si="13"/>
        <v/>
      </c>
      <c r="AE829" s="1" t="str">
        <f t="array" ref="AE829">IFERROR(INDEX('Исходник'!$1:$626,MATCH($A829,'Исходник'!$T:$T,0),MATCH(AE$1,'Исходник'!$1:$1,0)))</f>
        <v/>
      </c>
      <c r="AF829" s="1" t="str">
        <f t="array" ref="AF829">IFERROR(INDEX('Исходник'!$1:$626,MATCH($A829,'Исходник'!$T:$T,0),MATCH(AF$1,'Исходник'!$1:$1,0)))</f>
        <v/>
      </c>
      <c r="AG829" s="27" t="str">
        <f t="shared" si="14"/>
        <v/>
      </c>
      <c r="AH829" s="1" t="str">
        <f t="array" ref="AH829">IFERROR(INDEX('Исходник'!$1:$626,MATCH($A829,'Исходник'!$T:$T,0),MATCH(AH$1,'Исходник'!$1:$1,0)))</f>
        <v/>
      </c>
      <c r="AI829" s="1" t="str">
        <f t="array" ref="AI829">IFERROR(INDEX('Исходник'!$1:$626,MATCH($A829,'Исходник'!$T:$T,0),MATCH(AI$1,'Исходник'!$1:$1,0)))</f>
        <v/>
      </c>
      <c r="AJ829" s="18">
        <f t="shared" si="15"/>
        <v>0</v>
      </c>
    </row>
    <row r="830" ht="15.75" customHeight="1">
      <c r="A830" s="27"/>
      <c r="B830" s="1" t="str">
        <f t="array" ref="B830">IFERROR(INDEX('Исходник'!$1:$626,MATCH($A830,'Исходник'!$T:$T,0),MATCH(B$1,'Исходник'!$1:$1,0)))</f>
        <v/>
      </c>
      <c r="C830" s="1" t="str">
        <f t="array" ref="C830">IFERROR(INDEX('Исходник'!$1:$626,MATCH($A830,'Исходник'!$T:$T,0),MATCH(C$1,'Исходник'!$1:$1,0)))</f>
        <v/>
      </c>
      <c r="D830" s="1" t="str">
        <f t="array" ref="D830">IFERROR(INDEX('Исходник'!$1:$626,MATCH($A830,'Исходник'!$T:$T,0),MATCH(D$1,'Исходник'!$1:$1,0)))</f>
        <v/>
      </c>
      <c r="E830" s="1" t="str">
        <f t="array" ref="E830">IFERROR(INDEX('Исходник'!$1:$626,MATCH($A830,'Исходник'!$T:$T,0),MATCH(E$1,'Исходник'!$1:$1,0)))</f>
        <v/>
      </c>
      <c r="F830" s="1" t="str">
        <f t="array" ref="F830">IFERROR(INDEX('Исходник'!$1:$626,MATCH($A830,'Исходник'!$T:$T,0),MATCH(F$1,'Исходник'!$1:$1,0)))</f>
        <v/>
      </c>
      <c r="G830" s="1" t="str">
        <f t="array" ref="G830">IFERROR(INDEX('Исходник'!$1:$626,MATCH($A830,'Исходник'!$T:$T,0),MATCH(G$1,'Исходник'!$1:$1,0)))</f>
        <v/>
      </c>
      <c r="H830" s="27">
        <f t="shared" si="1"/>
        <v>0</v>
      </c>
      <c r="I830" s="27" t="str">
        <f t="shared" si="2"/>
        <v/>
      </c>
      <c r="J830" s="1" t="str">
        <f t="array" ref="J830">IFERROR(INDEX('Исходник'!$1:$626,MATCH($A830,'Исходник'!$T:$T,0),MATCH(J$1,'Исходник'!$1:$1,0)))</f>
        <v/>
      </c>
      <c r="K830" s="27" t="str">
        <f t="shared" si="3"/>
        <v/>
      </c>
      <c r="L830" s="1" t="str">
        <f t="array" ref="L830">IFERROR(INDEX('Исходник'!$1:$626,MATCH($A830,'Исходник'!$T:$T,0),MATCH(L$1,'Исходник'!$1:$1,0)))</f>
        <v/>
      </c>
      <c r="M830" s="28">
        <f t="shared" si="4"/>
        <v>0</v>
      </c>
      <c r="N830" s="1" t="str">
        <f t="array" ref="N830">IFERROR(INDEX('Исходник'!$1:$626,MATCH($A830,'Исходник'!$T:$T,0),MATCH(N$1,'Исходник'!$1:$1,0)))</f>
        <v/>
      </c>
      <c r="O830" s="27">
        <f t="shared" si="5"/>
        <v>0</v>
      </c>
      <c r="P830" s="27" t="str">
        <f t="shared" si="6"/>
        <v/>
      </c>
      <c r="Q830" s="1" t="str">
        <f t="array" ref="Q830">IFERROR(INDEX('Исходник'!$1:$626,MATCH($A830,'Исходник'!$T:$T,0),MATCH(Q$1,'Исходник'!$1:$1,0)))</f>
        <v/>
      </c>
      <c r="R830" s="1" t="str">
        <f t="array" ref="R830">IFERROR(INDEX('Исходник'!$1:$626,MATCH($A830,'Исходник'!$T:$T,0),MATCH(R$1,'Исходник'!$1:$1,0)))</f>
        <v/>
      </c>
      <c r="S830" s="27">
        <f t="shared" si="7"/>
        <v>0</v>
      </c>
      <c r="T830" s="27" t="str">
        <f t="shared" si="8"/>
        <v/>
      </c>
      <c r="U830" s="1" t="str">
        <f t="array" ref="U830">IFERROR(INDEX('Исходник'!$1:$626,MATCH($A830,'Исходник'!$T:$T,0),MATCH(U$1,'Исходник'!$1:$1,0)))</f>
        <v/>
      </c>
      <c r="V830" s="27" t="str">
        <f t="shared" si="9"/>
        <v/>
      </c>
      <c r="W830" s="1" t="str">
        <f t="array" ref="W830">IFERROR(INDEX('Исходник'!$1:$626,MATCH($A830,'Исходник'!$T:$T,0),MATCH(W$1,'Исходник'!$1:$1,0)))</f>
        <v/>
      </c>
      <c r="X830" s="28">
        <f t="shared" si="10"/>
        <v>0</v>
      </c>
      <c r="Y830" s="1" t="str">
        <f t="array" ref="Y830">IFERROR(INDEX('Исходник'!$1:$626,MATCH($A830,'Исходник'!$T:$T,0),MATCH(Y$1,'Исходник'!$1:$1,0)))</f>
        <v/>
      </c>
      <c r="Z830" s="27">
        <f t="shared" si="11"/>
        <v>0</v>
      </c>
      <c r="AA830" s="27" t="str">
        <f t="shared" si="12"/>
        <v/>
      </c>
      <c r="AB830" s="1" t="str">
        <f t="array" ref="AB830">IFERROR(INDEX('Исходник'!$1:$626,MATCH($A830,'Исходник'!$T:$T,0),MATCH(AB$1,'Исходник'!$1:$1,0)))</f>
        <v/>
      </c>
      <c r="AC830" s="1" t="str">
        <f t="array" ref="AC830">IFERROR(INDEX('Исходник'!$1:$626,MATCH($A830,'Исходник'!$T:$T,0),MATCH(AC$1,'Исходник'!$1:$1,0)))</f>
        <v/>
      </c>
      <c r="AD830" s="27" t="str">
        <f t="shared" si="13"/>
        <v/>
      </c>
      <c r="AE830" s="1" t="str">
        <f t="array" ref="AE830">IFERROR(INDEX('Исходник'!$1:$626,MATCH($A830,'Исходник'!$T:$T,0),MATCH(AE$1,'Исходник'!$1:$1,0)))</f>
        <v/>
      </c>
      <c r="AF830" s="1" t="str">
        <f t="array" ref="AF830">IFERROR(INDEX('Исходник'!$1:$626,MATCH($A830,'Исходник'!$T:$T,0),MATCH(AF$1,'Исходник'!$1:$1,0)))</f>
        <v/>
      </c>
      <c r="AG830" s="27" t="str">
        <f t="shared" si="14"/>
        <v/>
      </c>
      <c r="AH830" s="1" t="str">
        <f t="array" ref="AH830">IFERROR(INDEX('Исходник'!$1:$626,MATCH($A830,'Исходник'!$T:$T,0),MATCH(AH$1,'Исходник'!$1:$1,0)))</f>
        <v/>
      </c>
      <c r="AI830" s="1" t="str">
        <f t="array" ref="AI830">IFERROR(INDEX('Исходник'!$1:$626,MATCH($A830,'Исходник'!$T:$T,0),MATCH(AI$1,'Исходник'!$1:$1,0)))</f>
        <v/>
      </c>
      <c r="AJ830" s="18">
        <f t="shared" si="15"/>
        <v>0</v>
      </c>
    </row>
    <row r="831" ht="15.75" customHeight="1">
      <c r="A831" s="27"/>
      <c r="B831" s="1" t="str">
        <f t="array" ref="B831">IFERROR(INDEX('Исходник'!$1:$626,MATCH($A831,'Исходник'!$T:$T,0),MATCH(B$1,'Исходник'!$1:$1,0)))</f>
        <v/>
      </c>
      <c r="C831" s="1" t="str">
        <f t="array" ref="C831">IFERROR(INDEX('Исходник'!$1:$626,MATCH($A831,'Исходник'!$T:$T,0),MATCH(C$1,'Исходник'!$1:$1,0)))</f>
        <v/>
      </c>
      <c r="D831" s="1" t="str">
        <f t="array" ref="D831">IFERROR(INDEX('Исходник'!$1:$626,MATCH($A831,'Исходник'!$T:$T,0),MATCH(D$1,'Исходник'!$1:$1,0)))</f>
        <v/>
      </c>
      <c r="E831" s="1" t="str">
        <f t="array" ref="E831">IFERROR(INDEX('Исходник'!$1:$626,MATCH($A831,'Исходник'!$T:$T,0),MATCH(E$1,'Исходник'!$1:$1,0)))</f>
        <v/>
      </c>
      <c r="F831" s="1" t="str">
        <f t="array" ref="F831">IFERROR(INDEX('Исходник'!$1:$626,MATCH($A831,'Исходник'!$T:$T,0),MATCH(F$1,'Исходник'!$1:$1,0)))</f>
        <v/>
      </c>
      <c r="G831" s="1" t="str">
        <f t="array" ref="G831">IFERROR(INDEX('Исходник'!$1:$626,MATCH($A831,'Исходник'!$T:$T,0),MATCH(G$1,'Исходник'!$1:$1,0)))</f>
        <v/>
      </c>
      <c r="H831" s="27">
        <f t="shared" si="1"/>
        <v>0</v>
      </c>
      <c r="I831" s="27" t="str">
        <f t="shared" si="2"/>
        <v/>
      </c>
      <c r="J831" s="1" t="str">
        <f t="array" ref="J831">IFERROR(INDEX('Исходник'!$1:$626,MATCH($A831,'Исходник'!$T:$T,0),MATCH(J$1,'Исходник'!$1:$1,0)))</f>
        <v/>
      </c>
      <c r="K831" s="27" t="str">
        <f t="shared" si="3"/>
        <v/>
      </c>
      <c r="L831" s="1" t="str">
        <f t="array" ref="L831">IFERROR(INDEX('Исходник'!$1:$626,MATCH($A831,'Исходник'!$T:$T,0),MATCH(L$1,'Исходник'!$1:$1,0)))</f>
        <v/>
      </c>
      <c r="M831" s="28">
        <f t="shared" si="4"/>
        <v>0</v>
      </c>
      <c r="N831" s="1" t="str">
        <f t="array" ref="N831">IFERROR(INDEX('Исходник'!$1:$626,MATCH($A831,'Исходник'!$T:$T,0),MATCH(N$1,'Исходник'!$1:$1,0)))</f>
        <v/>
      </c>
      <c r="O831" s="27">
        <f t="shared" si="5"/>
        <v>0</v>
      </c>
      <c r="P831" s="27" t="str">
        <f t="shared" si="6"/>
        <v/>
      </c>
      <c r="Q831" s="1" t="str">
        <f t="array" ref="Q831">IFERROR(INDEX('Исходник'!$1:$626,MATCH($A831,'Исходник'!$T:$T,0),MATCH(Q$1,'Исходник'!$1:$1,0)))</f>
        <v/>
      </c>
      <c r="R831" s="1" t="str">
        <f t="array" ref="R831">IFERROR(INDEX('Исходник'!$1:$626,MATCH($A831,'Исходник'!$T:$T,0),MATCH(R$1,'Исходник'!$1:$1,0)))</f>
        <v/>
      </c>
      <c r="S831" s="27">
        <f t="shared" si="7"/>
        <v>0</v>
      </c>
      <c r="T831" s="27" t="str">
        <f t="shared" si="8"/>
        <v/>
      </c>
      <c r="U831" s="1" t="str">
        <f t="array" ref="U831">IFERROR(INDEX('Исходник'!$1:$626,MATCH($A831,'Исходник'!$T:$T,0),MATCH(U$1,'Исходник'!$1:$1,0)))</f>
        <v/>
      </c>
      <c r="V831" s="27" t="str">
        <f t="shared" si="9"/>
        <v/>
      </c>
      <c r="W831" s="1" t="str">
        <f t="array" ref="W831">IFERROR(INDEX('Исходник'!$1:$626,MATCH($A831,'Исходник'!$T:$T,0),MATCH(W$1,'Исходник'!$1:$1,0)))</f>
        <v/>
      </c>
      <c r="X831" s="28">
        <f t="shared" si="10"/>
        <v>0</v>
      </c>
      <c r="Y831" s="1" t="str">
        <f t="array" ref="Y831">IFERROR(INDEX('Исходник'!$1:$626,MATCH($A831,'Исходник'!$T:$T,0),MATCH(Y$1,'Исходник'!$1:$1,0)))</f>
        <v/>
      </c>
      <c r="Z831" s="27">
        <f t="shared" si="11"/>
        <v>0</v>
      </c>
      <c r="AA831" s="27" t="str">
        <f t="shared" si="12"/>
        <v/>
      </c>
      <c r="AB831" s="1" t="str">
        <f t="array" ref="AB831">IFERROR(INDEX('Исходник'!$1:$626,MATCH($A831,'Исходник'!$T:$T,0),MATCH(AB$1,'Исходник'!$1:$1,0)))</f>
        <v/>
      </c>
      <c r="AC831" s="1" t="str">
        <f t="array" ref="AC831">IFERROR(INDEX('Исходник'!$1:$626,MATCH($A831,'Исходник'!$T:$T,0),MATCH(AC$1,'Исходник'!$1:$1,0)))</f>
        <v/>
      </c>
      <c r="AD831" s="27" t="str">
        <f t="shared" si="13"/>
        <v/>
      </c>
      <c r="AE831" s="1" t="str">
        <f t="array" ref="AE831">IFERROR(INDEX('Исходник'!$1:$626,MATCH($A831,'Исходник'!$T:$T,0),MATCH(AE$1,'Исходник'!$1:$1,0)))</f>
        <v/>
      </c>
      <c r="AF831" s="1" t="str">
        <f t="array" ref="AF831">IFERROR(INDEX('Исходник'!$1:$626,MATCH($A831,'Исходник'!$T:$T,0),MATCH(AF$1,'Исходник'!$1:$1,0)))</f>
        <v/>
      </c>
      <c r="AG831" s="27" t="str">
        <f t="shared" si="14"/>
        <v/>
      </c>
      <c r="AH831" s="1" t="str">
        <f t="array" ref="AH831">IFERROR(INDEX('Исходник'!$1:$626,MATCH($A831,'Исходник'!$T:$T,0),MATCH(AH$1,'Исходник'!$1:$1,0)))</f>
        <v/>
      </c>
      <c r="AI831" s="1" t="str">
        <f t="array" ref="AI831">IFERROR(INDEX('Исходник'!$1:$626,MATCH($A831,'Исходник'!$T:$T,0),MATCH(AI$1,'Исходник'!$1:$1,0)))</f>
        <v/>
      </c>
      <c r="AJ831" s="18">
        <f t="shared" si="15"/>
        <v>0</v>
      </c>
    </row>
    <row r="832" ht="15.75" customHeight="1">
      <c r="A832" s="27"/>
      <c r="B832" s="1" t="str">
        <f t="array" ref="B832">IFERROR(INDEX('Исходник'!$1:$626,MATCH($A832,'Исходник'!$T:$T,0),MATCH(B$1,'Исходник'!$1:$1,0)))</f>
        <v/>
      </c>
      <c r="C832" s="1" t="str">
        <f t="array" ref="C832">IFERROR(INDEX('Исходник'!$1:$626,MATCH($A832,'Исходник'!$T:$T,0),MATCH(C$1,'Исходник'!$1:$1,0)))</f>
        <v/>
      </c>
      <c r="D832" s="1" t="str">
        <f t="array" ref="D832">IFERROR(INDEX('Исходник'!$1:$626,MATCH($A832,'Исходник'!$T:$T,0),MATCH(D$1,'Исходник'!$1:$1,0)))</f>
        <v/>
      </c>
      <c r="E832" s="1" t="str">
        <f t="array" ref="E832">IFERROR(INDEX('Исходник'!$1:$626,MATCH($A832,'Исходник'!$T:$T,0),MATCH(E$1,'Исходник'!$1:$1,0)))</f>
        <v/>
      </c>
      <c r="F832" s="1" t="str">
        <f t="array" ref="F832">IFERROR(INDEX('Исходник'!$1:$626,MATCH($A832,'Исходник'!$T:$T,0),MATCH(F$1,'Исходник'!$1:$1,0)))</f>
        <v/>
      </c>
      <c r="G832" s="1" t="str">
        <f t="array" ref="G832">IFERROR(INDEX('Исходник'!$1:$626,MATCH($A832,'Исходник'!$T:$T,0),MATCH(G$1,'Исходник'!$1:$1,0)))</f>
        <v/>
      </c>
      <c r="H832" s="27">
        <f t="shared" si="1"/>
        <v>0</v>
      </c>
      <c r="I832" s="27" t="str">
        <f t="shared" si="2"/>
        <v/>
      </c>
      <c r="J832" s="1" t="str">
        <f t="array" ref="J832">IFERROR(INDEX('Исходник'!$1:$626,MATCH($A832,'Исходник'!$T:$T,0),MATCH(J$1,'Исходник'!$1:$1,0)))</f>
        <v/>
      </c>
      <c r="K832" s="27" t="str">
        <f t="shared" si="3"/>
        <v/>
      </c>
      <c r="L832" s="1" t="str">
        <f t="array" ref="L832">IFERROR(INDEX('Исходник'!$1:$626,MATCH($A832,'Исходник'!$T:$T,0),MATCH(L$1,'Исходник'!$1:$1,0)))</f>
        <v/>
      </c>
      <c r="M832" s="28">
        <f t="shared" si="4"/>
        <v>0</v>
      </c>
      <c r="N832" s="1" t="str">
        <f t="array" ref="N832">IFERROR(INDEX('Исходник'!$1:$626,MATCH($A832,'Исходник'!$T:$T,0),MATCH(N$1,'Исходник'!$1:$1,0)))</f>
        <v/>
      </c>
      <c r="O832" s="27">
        <f t="shared" si="5"/>
        <v>0</v>
      </c>
      <c r="P832" s="27" t="str">
        <f t="shared" si="6"/>
        <v/>
      </c>
      <c r="Q832" s="1" t="str">
        <f t="array" ref="Q832">IFERROR(INDEX('Исходник'!$1:$626,MATCH($A832,'Исходник'!$T:$T,0),MATCH(Q$1,'Исходник'!$1:$1,0)))</f>
        <v/>
      </c>
      <c r="R832" s="1" t="str">
        <f t="array" ref="R832">IFERROR(INDEX('Исходник'!$1:$626,MATCH($A832,'Исходник'!$T:$T,0),MATCH(R$1,'Исходник'!$1:$1,0)))</f>
        <v/>
      </c>
      <c r="S832" s="27">
        <f t="shared" si="7"/>
        <v>0</v>
      </c>
      <c r="T832" s="27" t="str">
        <f t="shared" si="8"/>
        <v/>
      </c>
      <c r="U832" s="1" t="str">
        <f t="array" ref="U832">IFERROR(INDEX('Исходник'!$1:$626,MATCH($A832,'Исходник'!$T:$T,0),MATCH(U$1,'Исходник'!$1:$1,0)))</f>
        <v/>
      </c>
      <c r="V832" s="27" t="str">
        <f t="shared" si="9"/>
        <v/>
      </c>
      <c r="W832" s="1" t="str">
        <f t="array" ref="W832">IFERROR(INDEX('Исходник'!$1:$626,MATCH($A832,'Исходник'!$T:$T,0),MATCH(W$1,'Исходник'!$1:$1,0)))</f>
        <v/>
      </c>
      <c r="X832" s="28">
        <f t="shared" si="10"/>
        <v>0</v>
      </c>
      <c r="Y832" s="1" t="str">
        <f t="array" ref="Y832">IFERROR(INDEX('Исходник'!$1:$626,MATCH($A832,'Исходник'!$T:$T,0),MATCH(Y$1,'Исходник'!$1:$1,0)))</f>
        <v/>
      </c>
      <c r="Z832" s="27">
        <f t="shared" si="11"/>
        <v>0</v>
      </c>
      <c r="AA832" s="27" t="str">
        <f t="shared" si="12"/>
        <v/>
      </c>
      <c r="AB832" s="1" t="str">
        <f t="array" ref="AB832">IFERROR(INDEX('Исходник'!$1:$626,MATCH($A832,'Исходник'!$T:$T,0),MATCH(AB$1,'Исходник'!$1:$1,0)))</f>
        <v/>
      </c>
      <c r="AC832" s="1" t="str">
        <f t="array" ref="AC832">IFERROR(INDEX('Исходник'!$1:$626,MATCH($A832,'Исходник'!$T:$T,0),MATCH(AC$1,'Исходник'!$1:$1,0)))</f>
        <v/>
      </c>
      <c r="AD832" s="27" t="str">
        <f t="shared" si="13"/>
        <v/>
      </c>
      <c r="AE832" s="1" t="str">
        <f t="array" ref="AE832">IFERROR(INDEX('Исходник'!$1:$626,MATCH($A832,'Исходник'!$T:$T,0),MATCH(AE$1,'Исходник'!$1:$1,0)))</f>
        <v/>
      </c>
      <c r="AF832" s="1" t="str">
        <f t="array" ref="AF832">IFERROR(INDEX('Исходник'!$1:$626,MATCH($A832,'Исходник'!$T:$T,0),MATCH(AF$1,'Исходник'!$1:$1,0)))</f>
        <v/>
      </c>
      <c r="AG832" s="27" t="str">
        <f t="shared" si="14"/>
        <v/>
      </c>
      <c r="AH832" s="1" t="str">
        <f t="array" ref="AH832">IFERROR(INDEX('Исходник'!$1:$626,MATCH($A832,'Исходник'!$T:$T,0),MATCH(AH$1,'Исходник'!$1:$1,0)))</f>
        <v/>
      </c>
      <c r="AI832" s="1" t="str">
        <f t="array" ref="AI832">IFERROR(INDEX('Исходник'!$1:$626,MATCH($A832,'Исходник'!$T:$T,0),MATCH(AI$1,'Исходник'!$1:$1,0)))</f>
        <v/>
      </c>
      <c r="AJ832" s="18">
        <f t="shared" si="15"/>
        <v>0</v>
      </c>
    </row>
    <row r="833" ht="15.75" customHeight="1">
      <c r="A833" s="27"/>
      <c r="B833" s="1" t="str">
        <f t="array" ref="B833">IFERROR(INDEX('Исходник'!$1:$626,MATCH($A833,'Исходник'!$T:$T,0),MATCH(B$1,'Исходник'!$1:$1,0)))</f>
        <v/>
      </c>
      <c r="C833" s="1" t="str">
        <f t="array" ref="C833">IFERROR(INDEX('Исходник'!$1:$626,MATCH($A833,'Исходник'!$T:$T,0),MATCH(C$1,'Исходник'!$1:$1,0)))</f>
        <v/>
      </c>
      <c r="D833" s="1" t="str">
        <f t="array" ref="D833">IFERROR(INDEX('Исходник'!$1:$626,MATCH($A833,'Исходник'!$T:$T,0),MATCH(D$1,'Исходник'!$1:$1,0)))</f>
        <v/>
      </c>
      <c r="E833" s="1" t="str">
        <f t="array" ref="E833">IFERROR(INDEX('Исходник'!$1:$626,MATCH($A833,'Исходник'!$T:$T,0),MATCH(E$1,'Исходник'!$1:$1,0)))</f>
        <v/>
      </c>
      <c r="F833" s="1" t="str">
        <f t="array" ref="F833">IFERROR(INDEX('Исходник'!$1:$626,MATCH($A833,'Исходник'!$T:$T,0),MATCH(F$1,'Исходник'!$1:$1,0)))</f>
        <v/>
      </c>
      <c r="G833" s="1" t="str">
        <f t="array" ref="G833">IFERROR(INDEX('Исходник'!$1:$626,MATCH($A833,'Исходник'!$T:$T,0),MATCH(G$1,'Исходник'!$1:$1,0)))</f>
        <v/>
      </c>
      <c r="H833" s="27">
        <f t="shared" si="1"/>
        <v>0</v>
      </c>
      <c r="I833" s="27" t="str">
        <f t="shared" si="2"/>
        <v/>
      </c>
      <c r="J833" s="1" t="str">
        <f t="array" ref="J833">IFERROR(INDEX('Исходник'!$1:$626,MATCH($A833,'Исходник'!$T:$T,0),MATCH(J$1,'Исходник'!$1:$1,0)))</f>
        <v/>
      </c>
      <c r="K833" s="27" t="str">
        <f t="shared" si="3"/>
        <v/>
      </c>
      <c r="L833" s="1" t="str">
        <f t="array" ref="L833">IFERROR(INDEX('Исходник'!$1:$626,MATCH($A833,'Исходник'!$T:$T,0),MATCH(L$1,'Исходник'!$1:$1,0)))</f>
        <v/>
      </c>
      <c r="M833" s="28">
        <f t="shared" si="4"/>
        <v>0</v>
      </c>
      <c r="N833" s="1" t="str">
        <f t="array" ref="N833">IFERROR(INDEX('Исходник'!$1:$626,MATCH($A833,'Исходник'!$T:$T,0),MATCH(N$1,'Исходник'!$1:$1,0)))</f>
        <v/>
      </c>
      <c r="O833" s="27">
        <f t="shared" si="5"/>
        <v>0</v>
      </c>
      <c r="P833" s="27" t="str">
        <f t="shared" si="6"/>
        <v/>
      </c>
      <c r="Q833" s="1" t="str">
        <f t="array" ref="Q833">IFERROR(INDEX('Исходник'!$1:$626,MATCH($A833,'Исходник'!$T:$T,0),MATCH(Q$1,'Исходник'!$1:$1,0)))</f>
        <v/>
      </c>
      <c r="R833" s="1" t="str">
        <f t="array" ref="R833">IFERROR(INDEX('Исходник'!$1:$626,MATCH($A833,'Исходник'!$T:$T,0),MATCH(R$1,'Исходник'!$1:$1,0)))</f>
        <v/>
      </c>
      <c r="S833" s="27">
        <f t="shared" si="7"/>
        <v>0</v>
      </c>
      <c r="T833" s="27" t="str">
        <f t="shared" si="8"/>
        <v/>
      </c>
      <c r="U833" s="1" t="str">
        <f t="array" ref="U833">IFERROR(INDEX('Исходник'!$1:$626,MATCH($A833,'Исходник'!$T:$T,0),MATCH(U$1,'Исходник'!$1:$1,0)))</f>
        <v/>
      </c>
      <c r="V833" s="27" t="str">
        <f t="shared" si="9"/>
        <v/>
      </c>
      <c r="W833" s="1" t="str">
        <f t="array" ref="W833">IFERROR(INDEX('Исходник'!$1:$626,MATCH($A833,'Исходник'!$T:$T,0),MATCH(W$1,'Исходник'!$1:$1,0)))</f>
        <v/>
      </c>
      <c r="X833" s="28">
        <f t="shared" si="10"/>
        <v>0</v>
      </c>
      <c r="Y833" s="1" t="str">
        <f t="array" ref="Y833">IFERROR(INDEX('Исходник'!$1:$626,MATCH($A833,'Исходник'!$T:$T,0),MATCH(Y$1,'Исходник'!$1:$1,0)))</f>
        <v/>
      </c>
      <c r="Z833" s="27">
        <f t="shared" si="11"/>
        <v>0</v>
      </c>
      <c r="AA833" s="27" t="str">
        <f t="shared" si="12"/>
        <v/>
      </c>
      <c r="AB833" s="1" t="str">
        <f t="array" ref="AB833">IFERROR(INDEX('Исходник'!$1:$626,MATCH($A833,'Исходник'!$T:$T,0),MATCH(AB$1,'Исходник'!$1:$1,0)))</f>
        <v/>
      </c>
      <c r="AC833" s="1" t="str">
        <f t="array" ref="AC833">IFERROR(INDEX('Исходник'!$1:$626,MATCH($A833,'Исходник'!$T:$T,0),MATCH(AC$1,'Исходник'!$1:$1,0)))</f>
        <v/>
      </c>
      <c r="AD833" s="27" t="str">
        <f t="shared" si="13"/>
        <v/>
      </c>
      <c r="AE833" s="1" t="str">
        <f t="array" ref="AE833">IFERROR(INDEX('Исходник'!$1:$626,MATCH($A833,'Исходник'!$T:$T,0),MATCH(AE$1,'Исходник'!$1:$1,0)))</f>
        <v/>
      </c>
      <c r="AF833" s="1" t="str">
        <f t="array" ref="AF833">IFERROR(INDEX('Исходник'!$1:$626,MATCH($A833,'Исходник'!$T:$T,0),MATCH(AF$1,'Исходник'!$1:$1,0)))</f>
        <v/>
      </c>
      <c r="AG833" s="27" t="str">
        <f t="shared" si="14"/>
        <v/>
      </c>
      <c r="AH833" s="1" t="str">
        <f t="array" ref="AH833">IFERROR(INDEX('Исходник'!$1:$626,MATCH($A833,'Исходник'!$T:$T,0),MATCH(AH$1,'Исходник'!$1:$1,0)))</f>
        <v/>
      </c>
      <c r="AI833" s="1" t="str">
        <f t="array" ref="AI833">IFERROR(INDEX('Исходник'!$1:$626,MATCH($A833,'Исходник'!$T:$T,0),MATCH(AI$1,'Исходник'!$1:$1,0)))</f>
        <v/>
      </c>
      <c r="AJ833" s="18">
        <f t="shared" si="15"/>
        <v>0</v>
      </c>
    </row>
    <row r="834" ht="15.75" customHeight="1">
      <c r="A834" s="27"/>
      <c r="B834" s="1" t="str">
        <f t="array" ref="B834">IFERROR(INDEX('Исходник'!$1:$626,MATCH($A834,'Исходник'!$T:$T,0),MATCH(B$1,'Исходник'!$1:$1,0)))</f>
        <v/>
      </c>
      <c r="C834" s="1" t="str">
        <f t="array" ref="C834">IFERROR(INDEX('Исходник'!$1:$626,MATCH($A834,'Исходник'!$T:$T,0),MATCH(C$1,'Исходник'!$1:$1,0)))</f>
        <v/>
      </c>
      <c r="D834" s="1" t="str">
        <f t="array" ref="D834">IFERROR(INDEX('Исходник'!$1:$626,MATCH($A834,'Исходник'!$T:$T,0),MATCH(D$1,'Исходник'!$1:$1,0)))</f>
        <v/>
      </c>
      <c r="E834" s="1" t="str">
        <f t="array" ref="E834">IFERROR(INDEX('Исходник'!$1:$626,MATCH($A834,'Исходник'!$T:$T,0),MATCH(E$1,'Исходник'!$1:$1,0)))</f>
        <v/>
      </c>
      <c r="F834" s="1" t="str">
        <f t="array" ref="F834">IFERROR(INDEX('Исходник'!$1:$626,MATCH($A834,'Исходник'!$T:$T,0),MATCH(F$1,'Исходник'!$1:$1,0)))</f>
        <v/>
      </c>
      <c r="G834" s="1" t="str">
        <f t="array" ref="G834">IFERROR(INDEX('Исходник'!$1:$626,MATCH($A834,'Исходник'!$T:$T,0),MATCH(G$1,'Исходник'!$1:$1,0)))</f>
        <v/>
      </c>
      <c r="H834" s="27">
        <f t="shared" si="1"/>
        <v>0</v>
      </c>
      <c r="I834" s="27" t="str">
        <f t="shared" si="2"/>
        <v/>
      </c>
      <c r="J834" s="1" t="str">
        <f t="array" ref="J834">IFERROR(INDEX('Исходник'!$1:$626,MATCH($A834,'Исходник'!$T:$T,0),MATCH(J$1,'Исходник'!$1:$1,0)))</f>
        <v/>
      </c>
      <c r="K834" s="27" t="str">
        <f t="shared" si="3"/>
        <v/>
      </c>
      <c r="L834" s="1" t="str">
        <f t="array" ref="L834">IFERROR(INDEX('Исходник'!$1:$626,MATCH($A834,'Исходник'!$T:$T,0),MATCH(L$1,'Исходник'!$1:$1,0)))</f>
        <v/>
      </c>
      <c r="M834" s="28">
        <f t="shared" si="4"/>
        <v>0</v>
      </c>
      <c r="N834" s="1" t="str">
        <f t="array" ref="N834">IFERROR(INDEX('Исходник'!$1:$626,MATCH($A834,'Исходник'!$T:$T,0),MATCH(N$1,'Исходник'!$1:$1,0)))</f>
        <v/>
      </c>
      <c r="O834" s="27">
        <f t="shared" si="5"/>
        <v>0</v>
      </c>
      <c r="P834" s="27" t="str">
        <f t="shared" si="6"/>
        <v/>
      </c>
      <c r="Q834" s="1" t="str">
        <f t="array" ref="Q834">IFERROR(INDEX('Исходник'!$1:$626,MATCH($A834,'Исходник'!$T:$T,0),MATCH(Q$1,'Исходник'!$1:$1,0)))</f>
        <v/>
      </c>
      <c r="R834" s="1" t="str">
        <f t="array" ref="R834">IFERROR(INDEX('Исходник'!$1:$626,MATCH($A834,'Исходник'!$T:$T,0),MATCH(R$1,'Исходник'!$1:$1,0)))</f>
        <v/>
      </c>
      <c r="S834" s="27">
        <f t="shared" si="7"/>
        <v>0</v>
      </c>
      <c r="T834" s="27" t="str">
        <f t="shared" si="8"/>
        <v/>
      </c>
      <c r="U834" s="1" t="str">
        <f t="array" ref="U834">IFERROR(INDEX('Исходник'!$1:$626,MATCH($A834,'Исходник'!$T:$T,0),MATCH(U$1,'Исходник'!$1:$1,0)))</f>
        <v/>
      </c>
      <c r="V834" s="27" t="str">
        <f t="shared" si="9"/>
        <v/>
      </c>
      <c r="W834" s="1" t="str">
        <f t="array" ref="W834">IFERROR(INDEX('Исходник'!$1:$626,MATCH($A834,'Исходник'!$T:$T,0),MATCH(W$1,'Исходник'!$1:$1,0)))</f>
        <v/>
      </c>
      <c r="X834" s="28">
        <f t="shared" si="10"/>
        <v>0</v>
      </c>
      <c r="Y834" s="1" t="str">
        <f t="array" ref="Y834">IFERROR(INDEX('Исходник'!$1:$626,MATCH($A834,'Исходник'!$T:$T,0),MATCH(Y$1,'Исходник'!$1:$1,0)))</f>
        <v/>
      </c>
      <c r="Z834" s="27">
        <f t="shared" si="11"/>
        <v>0</v>
      </c>
      <c r="AA834" s="27" t="str">
        <f t="shared" si="12"/>
        <v/>
      </c>
      <c r="AB834" s="1" t="str">
        <f t="array" ref="AB834">IFERROR(INDEX('Исходник'!$1:$626,MATCH($A834,'Исходник'!$T:$T,0),MATCH(AB$1,'Исходник'!$1:$1,0)))</f>
        <v/>
      </c>
      <c r="AC834" s="1" t="str">
        <f t="array" ref="AC834">IFERROR(INDEX('Исходник'!$1:$626,MATCH($A834,'Исходник'!$T:$T,0),MATCH(AC$1,'Исходник'!$1:$1,0)))</f>
        <v/>
      </c>
      <c r="AD834" s="27" t="str">
        <f t="shared" si="13"/>
        <v/>
      </c>
      <c r="AE834" s="1" t="str">
        <f t="array" ref="AE834">IFERROR(INDEX('Исходник'!$1:$626,MATCH($A834,'Исходник'!$T:$T,0),MATCH(AE$1,'Исходник'!$1:$1,0)))</f>
        <v/>
      </c>
      <c r="AF834" s="1" t="str">
        <f t="array" ref="AF834">IFERROR(INDEX('Исходник'!$1:$626,MATCH($A834,'Исходник'!$T:$T,0),MATCH(AF$1,'Исходник'!$1:$1,0)))</f>
        <v/>
      </c>
      <c r="AG834" s="27" t="str">
        <f t="shared" si="14"/>
        <v/>
      </c>
      <c r="AH834" s="1" t="str">
        <f t="array" ref="AH834">IFERROR(INDEX('Исходник'!$1:$626,MATCH($A834,'Исходник'!$T:$T,0),MATCH(AH$1,'Исходник'!$1:$1,0)))</f>
        <v/>
      </c>
      <c r="AI834" s="1" t="str">
        <f t="array" ref="AI834">IFERROR(INDEX('Исходник'!$1:$626,MATCH($A834,'Исходник'!$T:$T,0),MATCH(AI$1,'Исходник'!$1:$1,0)))</f>
        <v/>
      </c>
      <c r="AJ834" s="18">
        <f t="shared" si="15"/>
        <v>0</v>
      </c>
    </row>
    <row r="835" ht="15.75" customHeight="1">
      <c r="A835" s="27"/>
      <c r="B835" s="1" t="str">
        <f t="array" ref="B835">IFERROR(INDEX('Исходник'!$1:$626,MATCH($A835,'Исходник'!$T:$T,0),MATCH(B$1,'Исходник'!$1:$1,0)))</f>
        <v/>
      </c>
      <c r="C835" s="1" t="str">
        <f t="array" ref="C835">IFERROR(INDEX('Исходник'!$1:$626,MATCH($A835,'Исходник'!$T:$T,0),MATCH(C$1,'Исходник'!$1:$1,0)))</f>
        <v/>
      </c>
      <c r="D835" s="1" t="str">
        <f t="array" ref="D835">IFERROR(INDEX('Исходник'!$1:$626,MATCH($A835,'Исходник'!$T:$T,0),MATCH(D$1,'Исходник'!$1:$1,0)))</f>
        <v/>
      </c>
      <c r="E835" s="1" t="str">
        <f t="array" ref="E835">IFERROR(INDEX('Исходник'!$1:$626,MATCH($A835,'Исходник'!$T:$T,0),MATCH(E$1,'Исходник'!$1:$1,0)))</f>
        <v/>
      </c>
      <c r="F835" s="1" t="str">
        <f t="array" ref="F835">IFERROR(INDEX('Исходник'!$1:$626,MATCH($A835,'Исходник'!$T:$T,0),MATCH(F$1,'Исходник'!$1:$1,0)))</f>
        <v/>
      </c>
      <c r="G835" s="1" t="str">
        <f t="array" ref="G835">IFERROR(INDEX('Исходник'!$1:$626,MATCH($A835,'Исходник'!$T:$T,0),MATCH(G$1,'Исходник'!$1:$1,0)))</f>
        <v/>
      </c>
      <c r="H835" s="27">
        <f t="shared" si="1"/>
        <v>0</v>
      </c>
      <c r="I835" s="27" t="str">
        <f t="shared" si="2"/>
        <v/>
      </c>
      <c r="J835" s="1" t="str">
        <f t="array" ref="J835">IFERROR(INDEX('Исходник'!$1:$626,MATCH($A835,'Исходник'!$T:$T,0),MATCH(J$1,'Исходник'!$1:$1,0)))</f>
        <v/>
      </c>
      <c r="K835" s="27" t="str">
        <f t="shared" si="3"/>
        <v/>
      </c>
      <c r="L835" s="1" t="str">
        <f t="array" ref="L835">IFERROR(INDEX('Исходник'!$1:$626,MATCH($A835,'Исходник'!$T:$T,0),MATCH(L$1,'Исходник'!$1:$1,0)))</f>
        <v/>
      </c>
      <c r="M835" s="28">
        <f t="shared" si="4"/>
        <v>0</v>
      </c>
      <c r="N835" s="1" t="str">
        <f t="array" ref="N835">IFERROR(INDEX('Исходник'!$1:$626,MATCH($A835,'Исходник'!$T:$T,0),MATCH(N$1,'Исходник'!$1:$1,0)))</f>
        <v/>
      </c>
      <c r="O835" s="27">
        <f t="shared" si="5"/>
        <v>0</v>
      </c>
      <c r="P835" s="27" t="str">
        <f t="shared" si="6"/>
        <v/>
      </c>
      <c r="Q835" s="1" t="str">
        <f t="array" ref="Q835">IFERROR(INDEX('Исходник'!$1:$626,MATCH($A835,'Исходник'!$T:$T,0),MATCH(Q$1,'Исходник'!$1:$1,0)))</f>
        <v/>
      </c>
      <c r="R835" s="1" t="str">
        <f t="array" ref="R835">IFERROR(INDEX('Исходник'!$1:$626,MATCH($A835,'Исходник'!$T:$T,0),MATCH(R$1,'Исходник'!$1:$1,0)))</f>
        <v/>
      </c>
      <c r="S835" s="27">
        <f t="shared" si="7"/>
        <v>0</v>
      </c>
      <c r="T835" s="27" t="str">
        <f t="shared" si="8"/>
        <v/>
      </c>
      <c r="U835" s="1" t="str">
        <f t="array" ref="U835">IFERROR(INDEX('Исходник'!$1:$626,MATCH($A835,'Исходник'!$T:$T,0),MATCH(U$1,'Исходник'!$1:$1,0)))</f>
        <v/>
      </c>
      <c r="V835" s="27" t="str">
        <f t="shared" si="9"/>
        <v/>
      </c>
      <c r="W835" s="1" t="str">
        <f t="array" ref="W835">IFERROR(INDEX('Исходник'!$1:$626,MATCH($A835,'Исходник'!$T:$T,0),MATCH(W$1,'Исходник'!$1:$1,0)))</f>
        <v/>
      </c>
      <c r="X835" s="28">
        <f t="shared" si="10"/>
        <v>0</v>
      </c>
      <c r="Y835" s="1" t="str">
        <f t="array" ref="Y835">IFERROR(INDEX('Исходник'!$1:$626,MATCH($A835,'Исходник'!$T:$T,0),MATCH(Y$1,'Исходник'!$1:$1,0)))</f>
        <v/>
      </c>
      <c r="Z835" s="27">
        <f t="shared" si="11"/>
        <v>0</v>
      </c>
      <c r="AA835" s="27" t="str">
        <f t="shared" si="12"/>
        <v/>
      </c>
      <c r="AB835" s="1" t="str">
        <f t="array" ref="AB835">IFERROR(INDEX('Исходник'!$1:$626,MATCH($A835,'Исходник'!$T:$T,0),MATCH(AB$1,'Исходник'!$1:$1,0)))</f>
        <v/>
      </c>
      <c r="AC835" s="1" t="str">
        <f t="array" ref="AC835">IFERROR(INDEX('Исходник'!$1:$626,MATCH($A835,'Исходник'!$T:$T,0),MATCH(AC$1,'Исходник'!$1:$1,0)))</f>
        <v/>
      </c>
      <c r="AD835" s="27" t="str">
        <f t="shared" si="13"/>
        <v/>
      </c>
      <c r="AE835" s="1" t="str">
        <f t="array" ref="AE835">IFERROR(INDEX('Исходник'!$1:$626,MATCH($A835,'Исходник'!$T:$T,0),MATCH(AE$1,'Исходник'!$1:$1,0)))</f>
        <v/>
      </c>
      <c r="AF835" s="1" t="str">
        <f t="array" ref="AF835">IFERROR(INDEX('Исходник'!$1:$626,MATCH($A835,'Исходник'!$T:$T,0),MATCH(AF$1,'Исходник'!$1:$1,0)))</f>
        <v/>
      </c>
      <c r="AG835" s="27" t="str">
        <f t="shared" si="14"/>
        <v/>
      </c>
      <c r="AH835" s="1" t="str">
        <f t="array" ref="AH835">IFERROR(INDEX('Исходник'!$1:$626,MATCH($A835,'Исходник'!$T:$T,0),MATCH(AH$1,'Исходник'!$1:$1,0)))</f>
        <v/>
      </c>
      <c r="AI835" s="1" t="str">
        <f t="array" ref="AI835">IFERROR(INDEX('Исходник'!$1:$626,MATCH($A835,'Исходник'!$T:$T,0),MATCH(AI$1,'Исходник'!$1:$1,0)))</f>
        <v/>
      </c>
      <c r="AJ835" s="18">
        <f t="shared" si="15"/>
        <v>0</v>
      </c>
    </row>
    <row r="836" ht="15.75" customHeight="1">
      <c r="A836" s="27"/>
      <c r="B836" s="1" t="str">
        <f t="array" ref="B836">IFERROR(INDEX('Исходник'!$1:$626,MATCH($A836,'Исходник'!$T:$T,0),MATCH(B$1,'Исходник'!$1:$1,0)))</f>
        <v/>
      </c>
      <c r="C836" s="1" t="str">
        <f t="array" ref="C836">IFERROR(INDEX('Исходник'!$1:$626,MATCH($A836,'Исходник'!$T:$T,0),MATCH(C$1,'Исходник'!$1:$1,0)))</f>
        <v/>
      </c>
      <c r="D836" s="1" t="str">
        <f t="array" ref="D836">IFERROR(INDEX('Исходник'!$1:$626,MATCH($A836,'Исходник'!$T:$T,0),MATCH(D$1,'Исходник'!$1:$1,0)))</f>
        <v/>
      </c>
      <c r="E836" s="1" t="str">
        <f t="array" ref="E836">IFERROR(INDEX('Исходник'!$1:$626,MATCH($A836,'Исходник'!$T:$T,0),MATCH(E$1,'Исходник'!$1:$1,0)))</f>
        <v/>
      </c>
      <c r="F836" s="1" t="str">
        <f t="array" ref="F836">IFERROR(INDEX('Исходник'!$1:$626,MATCH($A836,'Исходник'!$T:$T,0),MATCH(F$1,'Исходник'!$1:$1,0)))</f>
        <v/>
      </c>
      <c r="G836" s="1" t="str">
        <f t="array" ref="G836">IFERROR(INDEX('Исходник'!$1:$626,MATCH($A836,'Исходник'!$T:$T,0),MATCH(G$1,'Исходник'!$1:$1,0)))</f>
        <v/>
      </c>
      <c r="H836" s="27">
        <f t="shared" si="1"/>
        <v>0</v>
      </c>
      <c r="I836" s="27" t="str">
        <f t="shared" si="2"/>
        <v/>
      </c>
      <c r="J836" s="1" t="str">
        <f t="array" ref="J836">IFERROR(INDEX('Исходник'!$1:$626,MATCH($A836,'Исходник'!$T:$T,0),MATCH(J$1,'Исходник'!$1:$1,0)))</f>
        <v/>
      </c>
      <c r="K836" s="27" t="str">
        <f t="shared" si="3"/>
        <v/>
      </c>
      <c r="L836" s="1" t="str">
        <f t="array" ref="L836">IFERROR(INDEX('Исходник'!$1:$626,MATCH($A836,'Исходник'!$T:$T,0),MATCH(L$1,'Исходник'!$1:$1,0)))</f>
        <v/>
      </c>
      <c r="M836" s="28">
        <f t="shared" si="4"/>
        <v>0</v>
      </c>
      <c r="N836" s="1" t="str">
        <f t="array" ref="N836">IFERROR(INDEX('Исходник'!$1:$626,MATCH($A836,'Исходник'!$T:$T,0),MATCH(N$1,'Исходник'!$1:$1,0)))</f>
        <v/>
      </c>
      <c r="O836" s="27">
        <f t="shared" si="5"/>
        <v>0</v>
      </c>
      <c r="P836" s="27" t="str">
        <f t="shared" si="6"/>
        <v/>
      </c>
      <c r="Q836" s="1" t="str">
        <f t="array" ref="Q836">IFERROR(INDEX('Исходник'!$1:$626,MATCH($A836,'Исходник'!$T:$T,0),MATCH(Q$1,'Исходник'!$1:$1,0)))</f>
        <v/>
      </c>
      <c r="R836" s="1" t="str">
        <f t="array" ref="R836">IFERROR(INDEX('Исходник'!$1:$626,MATCH($A836,'Исходник'!$T:$T,0),MATCH(R$1,'Исходник'!$1:$1,0)))</f>
        <v/>
      </c>
      <c r="S836" s="27">
        <f t="shared" si="7"/>
        <v>0</v>
      </c>
      <c r="T836" s="27" t="str">
        <f t="shared" si="8"/>
        <v/>
      </c>
      <c r="U836" s="1" t="str">
        <f t="array" ref="U836">IFERROR(INDEX('Исходник'!$1:$626,MATCH($A836,'Исходник'!$T:$T,0),MATCH(U$1,'Исходник'!$1:$1,0)))</f>
        <v/>
      </c>
      <c r="V836" s="27" t="str">
        <f t="shared" si="9"/>
        <v/>
      </c>
      <c r="W836" s="1" t="str">
        <f t="array" ref="W836">IFERROR(INDEX('Исходник'!$1:$626,MATCH($A836,'Исходник'!$T:$T,0),MATCH(W$1,'Исходник'!$1:$1,0)))</f>
        <v/>
      </c>
      <c r="X836" s="28">
        <f t="shared" si="10"/>
        <v>0</v>
      </c>
      <c r="Y836" s="1" t="str">
        <f t="array" ref="Y836">IFERROR(INDEX('Исходник'!$1:$626,MATCH($A836,'Исходник'!$T:$T,0),MATCH(Y$1,'Исходник'!$1:$1,0)))</f>
        <v/>
      </c>
      <c r="Z836" s="27">
        <f t="shared" si="11"/>
        <v>0</v>
      </c>
      <c r="AA836" s="27" t="str">
        <f t="shared" si="12"/>
        <v/>
      </c>
      <c r="AB836" s="1" t="str">
        <f t="array" ref="AB836">IFERROR(INDEX('Исходник'!$1:$626,MATCH($A836,'Исходник'!$T:$T,0),MATCH(AB$1,'Исходник'!$1:$1,0)))</f>
        <v/>
      </c>
      <c r="AC836" s="1" t="str">
        <f t="array" ref="AC836">IFERROR(INDEX('Исходник'!$1:$626,MATCH($A836,'Исходник'!$T:$T,0),MATCH(AC$1,'Исходник'!$1:$1,0)))</f>
        <v/>
      </c>
      <c r="AD836" s="27" t="str">
        <f t="shared" si="13"/>
        <v/>
      </c>
      <c r="AE836" s="1" t="str">
        <f t="array" ref="AE836">IFERROR(INDEX('Исходник'!$1:$626,MATCH($A836,'Исходник'!$T:$T,0),MATCH(AE$1,'Исходник'!$1:$1,0)))</f>
        <v/>
      </c>
      <c r="AF836" s="1" t="str">
        <f t="array" ref="AF836">IFERROR(INDEX('Исходник'!$1:$626,MATCH($A836,'Исходник'!$T:$T,0),MATCH(AF$1,'Исходник'!$1:$1,0)))</f>
        <v/>
      </c>
      <c r="AG836" s="27" t="str">
        <f t="shared" si="14"/>
        <v/>
      </c>
      <c r="AH836" s="1" t="str">
        <f t="array" ref="AH836">IFERROR(INDEX('Исходник'!$1:$626,MATCH($A836,'Исходник'!$T:$T,0),MATCH(AH$1,'Исходник'!$1:$1,0)))</f>
        <v/>
      </c>
      <c r="AI836" s="1" t="str">
        <f t="array" ref="AI836">IFERROR(INDEX('Исходник'!$1:$626,MATCH($A836,'Исходник'!$T:$T,0),MATCH(AI$1,'Исходник'!$1:$1,0)))</f>
        <v/>
      </c>
      <c r="AJ836" s="18">
        <f t="shared" si="15"/>
        <v>0</v>
      </c>
    </row>
    <row r="837" ht="15.75" customHeight="1">
      <c r="A837" s="27"/>
      <c r="B837" s="1" t="str">
        <f t="array" ref="B837">IFERROR(INDEX('Исходник'!$1:$626,MATCH($A837,'Исходник'!$T:$T,0),MATCH(B$1,'Исходник'!$1:$1,0)))</f>
        <v/>
      </c>
      <c r="C837" s="1" t="str">
        <f t="array" ref="C837">IFERROR(INDEX('Исходник'!$1:$626,MATCH($A837,'Исходник'!$T:$T,0),MATCH(C$1,'Исходник'!$1:$1,0)))</f>
        <v/>
      </c>
      <c r="D837" s="1" t="str">
        <f t="array" ref="D837">IFERROR(INDEX('Исходник'!$1:$626,MATCH($A837,'Исходник'!$T:$T,0),MATCH(D$1,'Исходник'!$1:$1,0)))</f>
        <v/>
      </c>
      <c r="E837" s="1" t="str">
        <f t="array" ref="E837">IFERROR(INDEX('Исходник'!$1:$626,MATCH($A837,'Исходник'!$T:$T,0),MATCH(E$1,'Исходник'!$1:$1,0)))</f>
        <v/>
      </c>
      <c r="F837" s="1" t="str">
        <f t="array" ref="F837">IFERROR(INDEX('Исходник'!$1:$626,MATCH($A837,'Исходник'!$T:$T,0),MATCH(F$1,'Исходник'!$1:$1,0)))</f>
        <v/>
      </c>
      <c r="G837" s="1" t="str">
        <f t="array" ref="G837">IFERROR(INDEX('Исходник'!$1:$626,MATCH($A837,'Исходник'!$T:$T,0),MATCH(G$1,'Исходник'!$1:$1,0)))</f>
        <v/>
      </c>
      <c r="H837" s="27">
        <f t="shared" si="1"/>
        <v>0</v>
      </c>
      <c r="I837" s="27" t="str">
        <f t="shared" si="2"/>
        <v/>
      </c>
      <c r="J837" s="1" t="str">
        <f t="array" ref="J837">IFERROR(INDEX('Исходник'!$1:$626,MATCH($A837,'Исходник'!$T:$T,0),MATCH(J$1,'Исходник'!$1:$1,0)))</f>
        <v/>
      </c>
      <c r="K837" s="27" t="str">
        <f t="shared" si="3"/>
        <v/>
      </c>
      <c r="L837" s="1" t="str">
        <f t="array" ref="L837">IFERROR(INDEX('Исходник'!$1:$626,MATCH($A837,'Исходник'!$T:$T,0),MATCH(L$1,'Исходник'!$1:$1,0)))</f>
        <v/>
      </c>
      <c r="M837" s="28">
        <f t="shared" si="4"/>
        <v>0</v>
      </c>
      <c r="N837" s="1" t="str">
        <f t="array" ref="N837">IFERROR(INDEX('Исходник'!$1:$626,MATCH($A837,'Исходник'!$T:$T,0),MATCH(N$1,'Исходник'!$1:$1,0)))</f>
        <v/>
      </c>
      <c r="O837" s="27">
        <f t="shared" si="5"/>
        <v>0</v>
      </c>
      <c r="P837" s="27" t="str">
        <f t="shared" si="6"/>
        <v/>
      </c>
      <c r="Q837" s="1" t="str">
        <f t="array" ref="Q837">IFERROR(INDEX('Исходник'!$1:$626,MATCH($A837,'Исходник'!$T:$T,0),MATCH(Q$1,'Исходник'!$1:$1,0)))</f>
        <v/>
      </c>
      <c r="R837" s="1" t="str">
        <f t="array" ref="R837">IFERROR(INDEX('Исходник'!$1:$626,MATCH($A837,'Исходник'!$T:$T,0),MATCH(R$1,'Исходник'!$1:$1,0)))</f>
        <v/>
      </c>
      <c r="S837" s="27">
        <f t="shared" si="7"/>
        <v>0</v>
      </c>
      <c r="T837" s="27" t="str">
        <f t="shared" si="8"/>
        <v/>
      </c>
      <c r="U837" s="1" t="str">
        <f t="array" ref="U837">IFERROR(INDEX('Исходник'!$1:$626,MATCH($A837,'Исходник'!$T:$T,0),MATCH(U$1,'Исходник'!$1:$1,0)))</f>
        <v/>
      </c>
      <c r="V837" s="27" t="str">
        <f t="shared" si="9"/>
        <v/>
      </c>
      <c r="W837" s="1" t="str">
        <f t="array" ref="W837">IFERROR(INDEX('Исходник'!$1:$626,MATCH($A837,'Исходник'!$T:$T,0),MATCH(W$1,'Исходник'!$1:$1,0)))</f>
        <v/>
      </c>
      <c r="X837" s="28">
        <f t="shared" si="10"/>
        <v>0</v>
      </c>
      <c r="Y837" s="1" t="str">
        <f t="array" ref="Y837">IFERROR(INDEX('Исходник'!$1:$626,MATCH($A837,'Исходник'!$T:$T,0),MATCH(Y$1,'Исходник'!$1:$1,0)))</f>
        <v/>
      </c>
      <c r="Z837" s="27">
        <f t="shared" si="11"/>
        <v>0</v>
      </c>
      <c r="AA837" s="27" t="str">
        <f t="shared" si="12"/>
        <v/>
      </c>
      <c r="AB837" s="1" t="str">
        <f t="array" ref="AB837">IFERROR(INDEX('Исходник'!$1:$626,MATCH($A837,'Исходник'!$T:$T,0),MATCH(AB$1,'Исходник'!$1:$1,0)))</f>
        <v/>
      </c>
      <c r="AC837" s="1" t="str">
        <f t="array" ref="AC837">IFERROR(INDEX('Исходник'!$1:$626,MATCH($A837,'Исходник'!$T:$T,0),MATCH(AC$1,'Исходник'!$1:$1,0)))</f>
        <v/>
      </c>
      <c r="AD837" s="27" t="str">
        <f t="shared" si="13"/>
        <v/>
      </c>
      <c r="AE837" s="1" t="str">
        <f t="array" ref="AE837">IFERROR(INDEX('Исходник'!$1:$626,MATCH($A837,'Исходник'!$T:$T,0),MATCH(AE$1,'Исходник'!$1:$1,0)))</f>
        <v/>
      </c>
      <c r="AF837" s="1" t="str">
        <f t="array" ref="AF837">IFERROR(INDEX('Исходник'!$1:$626,MATCH($A837,'Исходник'!$T:$T,0),MATCH(AF$1,'Исходник'!$1:$1,0)))</f>
        <v/>
      </c>
      <c r="AG837" s="27" t="str">
        <f t="shared" si="14"/>
        <v/>
      </c>
      <c r="AH837" s="1" t="str">
        <f t="array" ref="AH837">IFERROR(INDEX('Исходник'!$1:$626,MATCH($A837,'Исходник'!$T:$T,0),MATCH(AH$1,'Исходник'!$1:$1,0)))</f>
        <v/>
      </c>
      <c r="AI837" s="1" t="str">
        <f t="array" ref="AI837">IFERROR(INDEX('Исходник'!$1:$626,MATCH($A837,'Исходник'!$T:$T,0),MATCH(AI$1,'Исходник'!$1:$1,0)))</f>
        <v/>
      </c>
      <c r="AJ837" s="18">
        <f t="shared" si="15"/>
        <v>0</v>
      </c>
    </row>
    <row r="838" ht="15.75" customHeight="1">
      <c r="A838" s="27"/>
      <c r="B838" s="1" t="str">
        <f t="array" ref="B838">IFERROR(INDEX('Исходник'!$1:$626,MATCH($A838,'Исходник'!$T:$T,0),MATCH(B$1,'Исходник'!$1:$1,0)))</f>
        <v/>
      </c>
      <c r="C838" s="1" t="str">
        <f t="array" ref="C838">IFERROR(INDEX('Исходник'!$1:$626,MATCH($A838,'Исходник'!$T:$T,0),MATCH(C$1,'Исходник'!$1:$1,0)))</f>
        <v/>
      </c>
      <c r="D838" s="1" t="str">
        <f t="array" ref="D838">IFERROR(INDEX('Исходник'!$1:$626,MATCH($A838,'Исходник'!$T:$T,0),MATCH(D$1,'Исходник'!$1:$1,0)))</f>
        <v/>
      </c>
      <c r="E838" s="1" t="str">
        <f t="array" ref="E838">IFERROR(INDEX('Исходник'!$1:$626,MATCH($A838,'Исходник'!$T:$T,0),MATCH(E$1,'Исходник'!$1:$1,0)))</f>
        <v/>
      </c>
      <c r="F838" s="1" t="str">
        <f t="array" ref="F838">IFERROR(INDEX('Исходник'!$1:$626,MATCH($A838,'Исходник'!$T:$T,0),MATCH(F$1,'Исходник'!$1:$1,0)))</f>
        <v/>
      </c>
      <c r="G838" s="1" t="str">
        <f t="array" ref="G838">IFERROR(INDEX('Исходник'!$1:$626,MATCH($A838,'Исходник'!$T:$T,0),MATCH(G$1,'Исходник'!$1:$1,0)))</f>
        <v/>
      </c>
      <c r="H838" s="27">
        <f t="shared" si="1"/>
        <v>0</v>
      </c>
      <c r="I838" s="27" t="str">
        <f t="shared" si="2"/>
        <v/>
      </c>
      <c r="J838" s="1" t="str">
        <f t="array" ref="J838">IFERROR(INDEX('Исходник'!$1:$626,MATCH($A838,'Исходник'!$T:$T,0),MATCH(J$1,'Исходник'!$1:$1,0)))</f>
        <v/>
      </c>
      <c r="K838" s="27" t="str">
        <f t="shared" si="3"/>
        <v/>
      </c>
      <c r="L838" s="1" t="str">
        <f t="array" ref="L838">IFERROR(INDEX('Исходник'!$1:$626,MATCH($A838,'Исходник'!$T:$T,0),MATCH(L$1,'Исходник'!$1:$1,0)))</f>
        <v/>
      </c>
      <c r="M838" s="28">
        <f t="shared" si="4"/>
        <v>0</v>
      </c>
      <c r="N838" s="1" t="str">
        <f t="array" ref="N838">IFERROR(INDEX('Исходник'!$1:$626,MATCH($A838,'Исходник'!$T:$T,0),MATCH(N$1,'Исходник'!$1:$1,0)))</f>
        <v/>
      </c>
      <c r="O838" s="27">
        <f t="shared" si="5"/>
        <v>0</v>
      </c>
      <c r="P838" s="27" t="str">
        <f t="shared" si="6"/>
        <v/>
      </c>
      <c r="Q838" s="1" t="str">
        <f t="array" ref="Q838">IFERROR(INDEX('Исходник'!$1:$626,MATCH($A838,'Исходник'!$T:$T,0),MATCH(Q$1,'Исходник'!$1:$1,0)))</f>
        <v/>
      </c>
      <c r="R838" s="1" t="str">
        <f t="array" ref="R838">IFERROR(INDEX('Исходник'!$1:$626,MATCH($A838,'Исходник'!$T:$T,0),MATCH(R$1,'Исходник'!$1:$1,0)))</f>
        <v/>
      </c>
      <c r="S838" s="27">
        <f t="shared" si="7"/>
        <v>0</v>
      </c>
      <c r="T838" s="27" t="str">
        <f t="shared" si="8"/>
        <v/>
      </c>
      <c r="U838" s="1" t="str">
        <f t="array" ref="U838">IFERROR(INDEX('Исходник'!$1:$626,MATCH($A838,'Исходник'!$T:$T,0),MATCH(U$1,'Исходник'!$1:$1,0)))</f>
        <v/>
      </c>
      <c r="V838" s="27" t="str">
        <f t="shared" si="9"/>
        <v/>
      </c>
      <c r="W838" s="1" t="str">
        <f t="array" ref="W838">IFERROR(INDEX('Исходник'!$1:$626,MATCH($A838,'Исходник'!$T:$T,0),MATCH(W$1,'Исходник'!$1:$1,0)))</f>
        <v/>
      </c>
      <c r="X838" s="28">
        <f t="shared" si="10"/>
        <v>0</v>
      </c>
      <c r="Y838" s="1" t="str">
        <f t="array" ref="Y838">IFERROR(INDEX('Исходник'!$1:$626,MATCH($A838,'Исходник'!$T:$T,0),MATCH(Y$1,'Исходник'!$1:$1,0)))</f>
        <v/>
      </c>
      <c r="Z838" s="27">
        <f t="shared" si="11"/>
        <v>0</v>
      </c>
      <c r="AA838" s="27" t="str">
        <f t="shared" si="12"/>
        <v/>
      </c>
      <c r="AB838" s="1" t="str">
        <f t="array" ref="AB838">IFERROR(INDEX('Исходник'!$1:$626,MATCH($A838,'Исходник'!$T:$T,0),MATCH(AB$1,'Исходник'!$1:$1,0)))</f>
        <v/>
      </c>
      <c r="AC838" s="1" t="str">
        <f t="array" ref="AC838">IFERROR(INDEX('Исходник'!$1:$626,MATCH($A838,'Исходник'!$T:$T,0),MATCH(AC$1,'Исходник'!$1:$1,0)))</f>
        <v/>
      </c>
      <c r="AD838" s="27" t="str">
        <f t="shared" si="13"/>
        <v/>
      </c>
      <c r="AE838" s="1" t="str">
        <f t="array" ref="AE838">IFERROR(INDEX('Исходник'!$1:$626,MATCH($A838,'Исходник'!$T:$T,0),MATCH(AE$1,'Исходник'!$1:$1,0)))</f>
        <v/>
      </c>
      <c r="AF838" s="1" t="str">
        <f t="array" ref="AF838">IFERROR(INDEX('Исходник'!$1:$626,MATCH($A838,'Исходник'!$T:$T,0),MATCH(AF$1,'Исходник'!$1:$1,0)))</f>
        <v/>
      </c>
      <c r="AG838" s="27" t="str">
        <f t="shared" si="14"/>
        <v/>
      </c>
      <c r="AH838" s="1" t="str">
        <f t="array" ref="AH838">IFERROR(INDEX('Исходник'!$1:$626,MATCH($A838,'Исходник'!$T:$T,0),MATCH(AH$1,'Исходник'!$1:$1,0)))</f>
        <v/>
      </c>
      <c r="AI838" s="1" t="str">
        <f t="array" ref="AI838">IFERROR(INDEX('Исходник'!$1:$626,MATCH($A838,'Исходник'!$T:$T,0),MATCH(AI$1,'Исходник'!$1:$1,0)))</f>
        <v/>
      </c>
      <c r="AJ838" s="18">
        <f t="shared" si="15"/>
        <v>0</v>
      </c>
    </row>
    <row r="839" ht="15.75" customHeight="1">
      <c r="A839" s="27"/>
      <c r="B839" s="1" t="str">
        <f t="array" ref="B839">IFERROR(INDEX('Исходник'!$1:$626,MATCH($A839,'Исходник'!$T:$T,0),MATCH(B$1,'Исходник'!$1:$1,0)))</f>
        <v/>
      </c>
      <c r="C839" s="1" t="str">
        <f t="array" ref="C839">IFERROR(INDEX('Исходник'!$1:$626,MATCH($A839,'Исходник'!$T:$T,0),MATCH(C$1,'Исходник'!$1:$1,0)))</f>
        <v/>
      </c>
      <c r="D839" s="1" t="str">
        <f t="array" ref="D839">IFERROR(INDEX('Исходник'!$1:$626,MATCH($A839,'Исходник'!$T:$T,0),MATCH(D$1,'Исходник'!$1:$1,0)))</f>
        <v/>
      </c>
      <c r="E839" s="1" t="str">
        <f t="array" ref="E839">IFERROR(INDEX('Исходник'!$1:$626,MATCH($A839,'Исходник'!$T:$T,0),MATCH(E$1,'Исходник'!$1:$1,0)))</f>
        <v/>
      </c>
      <c r="F839" s="1" t="str">
        <f t="array" ref="F839">IFERROR(INDEX('Исходник'!$1:$626,MATCH($A839,'Исходник'!$T:$T,0),MATCH(F$1,'Исходник'!$1:$1,0)))</f>
        <v/>
      </c>
      <c r="G839" s="1" t="str">
        <f t="array" ref="G839">IFERROR(INDEX('Исходник'!$1:$626,MATCH($A839,'Исходник'!$T:$T,0),MATCH(G$1,'Исходник'!$1:$1,0)))</f>
        <v/>
      </c>
      <c r="H839" s="27">
        <f t="shared" si="1"/>
        <v>0</v>
      </c>
      <c r="I839" s="27" t="str">
        <f t="shared" si="2"/>
        <v/>
      </c>
      <c r="J839" s="1" t="str">
        <f t="array" ref="J839">IFERROR(INDEX('Исходник'!$1:$626,MATCH($A839,'Исходник'!$T:$T,0),MATCH(J$1,'Исходник'!$1:$1,0)))</f>
        <v/>
      </c>
      <c r="K839" s="27" t="str">
        <f t="shared" si="3"/>
        <v/>
      </c>
      <c r="L839" s="1" t="str">
        <f t="array" ref="L839">IFERROR(INDEX('Исходник'!$1:$626,MATCH($A839,'Исходник'!$T:$T,0),MATCH(L$1,'Исходник'!$1:$1,0)))</f>
        <v/>
      </c>
      <c r="M839" s="28">
        <f t="shared" si="4"/>
        <v>0</v>
      </c>
      <c r="N839" s="1" t="str">
        <f t="array" ref="N839">IFERROR(INDEX('Исходник'!$1:$626,MATCH($A839,'Исходник'!$T:$T,0),MATCH(N$1,'Исходник'!$1:$1,0)))</f>
        <v/>
      </c>
      <c r="O839" s="27">
        <f t="shared" si="5"/>
        <v>0</v>
      </c>
      <c r="P839" s="27" t="str">
        <f t="shared" si="6"/>
        <v/>
      </c>
      <c r="Q839" s="1" t="str">
        <f t="array" ref="Q839">IFERROR(INDEX('Исходник'!$1:$626,MATCH($A839,'Исходник'!$T:$T,0),MATCH(Q$1,'Исходник'!$1:$1,0)))</f>
        <v/>
      </c>
      <c r="R839" s="1" t="str">
        <f t="array" ref="R839">IFERROR(INDEX('Исходник'!$1:$626,MATCH($A839,'Исходник'!$T:$T,0),MATCH(R$1,'Исходник'!$1:$1,0)))</f>
        <v/>
      </c>
      <c r="S839" s="27">
        <f t="shared" si="7"/>
        <v>0</v>
      </c>
      <c r="T839" s="27" t="str">
        <f t="shared" si="8"/>
        <v/>
      </c>
      <c r="U839" s="1" t="str">
        <f t="array" ref="U839">IFERROR(INDEX('Исходник'!$1:$626,MATCH($A839,'Исходник'!$T:$T,0),MATCH(U$1,'Исходник'!$1:$1,0)))</f>
        <v/>
      </c>
      <c r="V839" s="27" t="str">
        <f t="shared" si="9"/>
        <v/>
      </c>
      <c r="W839" s="1" t="str">
        <f t="array" ref="W839">IFERROR(INDEX('Исходник'!$1:$626,MATCH($A839,'Исходник'!$T:$T,0),MATCH(W$1,'Исходник'!$1:$1,0)))</f>
        <v/>
      </c>
      <c r="X839" s="28">
        <f t="shared" si="10"/>
        <v>0</v>
      </c>
      <c r="Y839" s="1" t="str">
        <f t="array" ref="Y839">IFERROR(INDEX('Исходник'!$1:$626,MATCH($A839,'Исходник'!$T:$T,0),MATCH(Y$1,'Исходник'!$1:$1,0)))</f>
        <v/>
      </c>
      <c r="Z839" s="27">
        <f t="shared" si="11"/>
        <v>0</v>
      </c>
      <c r="AA839" s="27" t="str">
        <f t="shared" si="12"/>
        <v/>
      </c>
      <c r="AB839" s="1" t="str">
        <f t="array" ref="AB839">IFERROR(INDEX('Исходник'!$1:$626,MATCH($A839,'Исходник'!$T:$T,0),MATCH(AB$1,'Исходник'!$1:$1,0)))</f>
        <v/>
      </c>
      <c r="AC839" s="1" t="str">
        <f t="array" ref="AC839">IFERROR(INDEX('Исходник'!$1:$626,MATCH($A839,'Исходник'!$T:$T,0),MATCH(AC$1,'Исходник'!$1:$1,0)))</f>
        <v/>
      </c>
      <c r="AD839" s="27" t="str">
        <f t="shared" si="13"/>
        <v/>
      </c>
      <c r="AE839" s="1" t="str">
        <f t="array" ref="AE839">IFERROR(INDEX('Исходник'!$1:$626,MATCH($A839,'Исходник'!$T:$T,0),MATCH(AE$1,'Исходник'!$1:$1,0)))</f>
        <v/>
      </c>
      <c r="AF839" s="1" t="str">
        <f t="array" ref="AF839">IFERROR(INDEX('Исходник'!$1:$626,MATCH($A839,'Исходник'!$T:$T,0),MATCH(AF$1,'Исходник'!$1:$1,0)))</f>
        <v/>
      </c>
      <c r="AG839" s="27" t="str">
        <f t="shared" si="14"/>
        <v/>
      </c>
      <c r="AH839" s="1" t="str">
        <f t="array" ref="AH839">IFERROR(INDEX('Исходник'!$1:$626,MATCH($A839,'Исходник'!$T:$T,0),MATCH(AH$1,'Исходник'!$1:$1,0)))</f>
        <v/>
      </c>
      <c r="AI839" s="1" t="str">
        <f t="array" ref="AI839">IFERROR(INDEX('Исходник'!$1:$626,MATCH($A839,'Исходник'!$T:$T,0),MATCH(AI$1,'Исходник'!$1:$1,0)))</f>
        <v/>
      </c>
      <c r="AJ839" s="18">
        <f t="shared" si="15"/>
        <v>0</v>
      </c>
    </row>
    <row r="840" ht="15.75" customHeight="1">
      <c r="A840" s="27"/>
      <c r="B840" s="1" t="str">
        <f t="array" ref="B840">IFERROR(INDEX('Исходник'!$1:$626,MATCH($A840,'Исходник'!$T:$T,0),MATCH(B$1,'Исходник'!$1:$1,0)))</f>
        <v/>
      </c>
      <c r="C840" s="1" t="str">
        <f t="array" ref="C840">IFERROR(INDEX('Исходник'!$1:$626,MATCH($A840,'Исходник'!$T:$T,0),MATCH(C$1,'Исходник'!$1:$1,0)))</f>
        <v/>
      </c>
      <c r="D840" s="1" t="str">
        <f t="array" ref="D840">IFERROR(INDEX('Исходник'!$1:$626,MATCH($A840,'Исходник'!$T:$T,0),MATCH(D$1,'Исходник'!$1:$1,0)))</f>
        <v/>
      </c>
      <c r="E840" s="1" t="str">
        <f t="array" ref="E840">IFERROR(INDEX('Исходник'!$1:$626,MATCH($A840,'Исходник'!$T:$T,0),MATCH(E$1,'Исходник'!$1:$1,0)))</f>
        <v/>
      </c>
      <c r="F840" s="1" t="str">
        <f t="array" ref="F840">IFERROR(INDEX('Исходник'!$1:$626,MATCH($A840,'Исходник'!$T:$T,0),MATCH(F$1,'Исходник'!$1:$1,0)))</f>
        <v/>
      </c>
      <c r="G840" s="1" t="str">
        <f t="array" ref="G840">IFERROR(INDEX('Исходник'!$1:$626,MATCH($A840,'Исходник'!$T:$T,0),MATCH(G$1,'Исходник'!$1:$1,0)))</f>
        <v/>
      </c>
      <c r="H840" s="27">
        <f t="shared" si="1"/>
        <v>0</v>
      </c>
      <c r="I840" s="27" t="str">
        <f t="shared" si="2"/>
        <v/>
      </c>
      <c r="J840" s="1" t="str">
        <f t="array" ref="J840">IFERROR(INDEX('Исходник'!$1:$626,MATCH($A840,'Исходник'!$T:$T,0),MATCH(J$1,'Исходник'!$1:$1,0)))</f>
        <v/>
      </c>
      <c r="K840" s="27" t="str">
        <f t="shared" si="3"/>
        <v/>
      </c>
      <c r="L840" s="1" t="str">
        <f t="array" ref="L840">IFERROR(INDEX('Исходник'!$1:$626,MATCH($A840,'Исходник'!$T:$T,0),MATCH(L$1,'Исходник'!$1:$1,0)))</f>
        <v/>
      </c>
      <c r="M840" s="28">
        <f t="shared" si="4"/>
        <v>0</v>
      </c>
      <c r="N840" s="1" t="str">
        <f t="array" ref="N840">IFERROR(INDEX('Исходник'!$1:$626,MATCH($A840,'Исходник'!$T:$T,0),MATCH(N$1,'Исходник'!$1:$1,0)))</f>
        <v/>
      </c>
      <c r="O840" s="27">
        <f t="shared" si="5"/>
        <v>0</v>
      </c>
      <c r="P840" s="27" t="str">
        <f t="shared" si="6"/>
        <v/>
      </c>
      <c r="Q840" s="1" t="str">
        <f t="array" ref="Q840">IFERROR(INDEX('Исходник'!$1:$626,MATCH($A840,'Исходник'!$T:$T,0),MATCH(Q$1,'Исходник'!$1:$1,0)))</f>
        <v/>
      </c>
      <c r="R840" s="1" t="str">
        <f t="array" ref="R840">IFERROR(INDEX('Исходник'!$1:$626,MATCH($A840,'Исходник'!$T:$T,0),MATCH(R$1,'Исходник'!$1:$1,0)))</f>
        <v/>
      </c>
      <c r="S840" s="27">
        <f t="shared" si="7"/>
        <v>0</v>
      </c>
      <c r="T840" s="27" t="str">
        <f t="shared" si="8"/>
        <v/>
      </c>
      <c r="U840" s="1" t="str">
        <f t="array" ref="U840">IFERROR(INDEX('Исходник'!$1:$626,MATCH($A840,'Исходник'!$T:$T,0),MATCH(U$1,'Исходник'!$1:$1,0)))</f>
        <v/>
      </c>
      <c r="V840" s="27" t="str">
        <f t="shared" si="9"/>
        <v/>
      </c>
      <c r="W840" s="1" t="str">
        <f t="array" ref="W840">IFERROR(INDEX('Исходник'!$1:$626,MATCH($A840,'Исходник'!$T:$T,0),MATCH(W$1,'Исходник'!$1:$1,0)))</f>
        <v/>
      </c>
      <c r="X840" s="28">
        <f t="shared" si="10"/>
        <v>0</v>
      </c>
      <c r="Y840" s="1" t="str">
        <f t="array" ref="Y840">IFERROR(INDEX('Исходник'!$1:$626,MATCH($A840,'Исходник'!$T:$T,0),MATCH(Y$1,'Исходник'!$1:$1,0)))</f>
        <v/>
      </c>
      <c r="Z840" s="27">
        <f t="shared" si="11"/>
        <v>0</v>
      </c>
      <c r="AA840" s="27" t="str">
        <f t="shared" si="12"/>
        <v/>
      </c>
      <c r="AB840" s="1" t="str">
        <f t="array" ref="AB840">IFERROR(INDEX('Исходник'!$1:$626,MATCH($A840,'Исходник'!$T:$T,0),MATCH(AB$1,'Исходник'!$1:$1,0)))</f>
        <v/>
      </c>
      <c r="AC840" s="1" t="str">
        <f t="array" ref="AC840">IFERROR(INDEX('Исходник'!$1:$626,MATCH($A840,'Исходник'!$T:$T,0),MATCH(AC$1,'Исходник'!$1:$1,0)))</f>
        <v/>
      </c>
      <c r="AD840" s="27" t="str">
        <f t="shared" si="13"/>
        <v/>
      </c>
      <c r="AE840" s="1" t="str">
        <f t="array" ref="AE840">IFERROR(INDEX('Исходник'!$1:$626,MATCH($A840,'Исходник'!$T:$T,0),MATCH(AE$1,'Исходник'!$1:$1,0)))</f>
        <v/>
      </c>
      <c r="AF840" s="1" t="str">
        <f t="array" ref="AF840">IFERROR(INDEX('Исходник'!$1:$626,MATCH($A840,'Исходник'!$T:$T,0),MATCH(AF$1,'Исходник'!$1:$1,0)))</f>
        <v/>
      </c>
      <c r="AG840" s="27" t="str">
        <f t="shared" si="14"/>
        <v/>
      </c>
      <c r="AH840" s="1" t="str">
        <f t="array" ref="AH840">IFERROR(INDEX('Исходник'!$1:$626,MATCH($A840,'Исходник'!$T:$T,0),MATCH(AH$1,'Исходник'!$1:$1,0)))</f>
        <v/>
      </c>
      <c r="AI840" s="1" t="str">
        <f t="array" ref="AI840">IFERROR(INDEX('Исходник'!$1:$626,MATCH($A840,'Исходник'!$T:$T,0),MATCH(AI$1,'Исходник'!$1:$1,0)))</f>
        <v/>
      </c>
      <c r="AJ840" s="18">
        <f t="shared" si="15"/>
        <v>0</v>
      </c>
    </row>
    <row r="841" ht="15.75" customHeight="1">
      <c r="A841" s="27"/>
      <c r="B841" s="1" t="str">
        <f t="array" ref="B841">IFERROR(INDEX('Исходник'!$1:$626,MATCH($A841,'Исходник'!$T:$T,0),MATCH(B$1,'Исходник'!$1:$1,0)))</f>
        <v/>
      </c>
      <c r="C841" s="1" t="str">
        <f t="array" ref="C841">IFERROR(INDEX('Исходник'!$1:$626,MATCH($A841,'Исходник'!$T:$T,0),MATCH(C$1,'Исходник'!$1:$1,0)))</f>
        <v/>
      </c>
      <c r="D841" s="1" t="str">
        <f t="array" ref="D841">IFERROR(INDEX('Исходник'!$1:$626,MATCH($A841,'Исходник'!$T:$T,0),MATCH(D$1,'Исходник'!$1:$1,0)))</f>
        <v/>
      </c>
      <c r="E841" s="1" t="str">
        <f t="array" ref="E841">IFERROR(INDEX('Исходник'!$1:$626,MATCH($A841,'Исходник'!$T:$T,0),MATCH(E$1,'Исходник'!$1:$1,0)))</f>
        <v/>
      </c>
      <c r="F841" s="1" t="str">
        <f t="array" ref="F841">IFERROR(INDEX('Исходник'!$1:$626,MATCH($A841,'Исходник'!$T:$T,0),MATCH(F$1,'Исходник'!$1:$1,0)))</f>
        <v/>
      </c>
      <c r="G841" s="1" t="str">
        <f t="array" ref="G841">IFERROR(INDEX('Исходник'!$1:$626,MATCH($A841,'Исходник'!$T:$T,0),MATCH(G$1,'Исходник'!$1:$1,0)))</f>
        <v/>
      </c>
      <c r="H841" s="27">
        <f t="shared" si="1"/>
        <v>0</v>
      </c>
      <c r="I841" s="27" t="str">
        <f t="shared" si="2"/>
        <v/>
      </c>
      <c r="J841" s="1" t="str">
        <f t="array" ref="J841">IFERROR(INDEX('Исходник'!$1:$626,MATCH($A841,'Исходник'!$T:$T,0),MATCH(J$1,'Исходник'!$1:$1,0)))</f>
        <v/>
      </c>
      <c r="K841" s="27" t="str">
        <f t="shared" si="3"/>
        <v/>
      </c>
      <c r="L841" s="1" t="str">
        <f t="array" ref="L841">IFERROR(INDEX('Исходник'!$1:$626,MATCH($A841,'Исходник'!$T:$T,0),MATCH(L$1,'Исходник'!$1:$1,0)))</f>
        <v/>
      </c>
      <c r="M841" s="28">
        <f t="shared" si="4"/>
        <v>0</v>
      </c>
      <c r="N841" s="1" t="str">
        <f t="array" ref="N841">IFERROR(INDEX('Исходник'!$1:$626,MATCH($A841,'Исходник'!$T:$T,0),MATCH(N$1,'Исходник'!$1:$1,0)))</f>
        <v/>
      </c>
      <c r="O841" s="27">
        <f t="shared" si="5"/>
        <v>0</v>
      </c>
      <c r="P841" s="27" t="str">
        <f t="shared" si="6"/>
        <v/>
      </c>
      <c r="Q841" s="1" t="str">
        <f t="array" ref="Q841">IFERROR(INDEX('Исходник'!$1:$626,MATCH($A841,'Исходник'!$T:$T,0),MATCH(Q$1,'Исходник'!$1:$1,0)))</f>
        <v/>
      </c>
      <c r="R841" s="1" t="str">
        <f t="array" ref="R841">IFERROR(INDEX('Исходник'!$1:$626,MATCH($A841,'Исходник'!$T:$T,0),MATCH(R$1,'Исходник'!$1:$1,0)))</f>
        <v/>
      </c>
      <c r="S841" s="27">
        <f t="shared" si="7"/>
        <v>0</v>
      </c>
      <c r="T841" s="27" t="str">
        <f t="shared" si="8"/>
        <v/>
      </c>
      <c r="U841" s="1" t="str">
        <f t="array" ref="U841">IFERROR(INDEX('Исходник'!$1:$626,MATCH($A841,'Исходник'!$T:$T,0),MATCH(U$1,'Исходник'!$1:$1,0)))</f>
        <v/>
      </c>
      <c r="V841" s="27" t="str">
        <f t="shared" si="9"/>
        <v/>
      </c>
      <c r="W841" s="1" t="str">
        <f t="array" ref="W841">IFERROR(INDEX('Исходник'!$1:$626,MATCH($A841,'Исходник'!$T:$T,0),MATCH(W$1,'Исходник'!$1:$1,0)))</f>
        <v/>
      </c>
      <c r="X841" s="28">
        <f t="shared" si="10"/>
        <v>0</v>
      </c>
      <c r="Y841" s="1" t="str">
        <f t="array" ref="Y841">IFERROR(INDEX('Исходник'!$1:$626,MATCH($A841,'Исходник'!$T:$T,0),MATCH(Y$1,'Исходник'!$1:$1,0)))</f>
        <v/>
      </c>
      <c r="Z841" s="27">
        <f t="shared" si="11"/>
        <v>0</v>
      </c>
      <c r="AA841" s="27" t="str">
        <f t="shared" si="12"/>
        <v/>
      </c>
      <c r="AB841" s="1" t="str">
        <f t="array" ref="AB841">IFERROR(INDEX('Исходник'!$1:$626,MATCH($A841,'Исходник'!$T:$T,0),MATCH(AB$1,'Исходник'!$1:$1,0)))</f>
        <v/>
      </c>
      <c r="AC841" s="1" t="str">
        <f t="array" ref="AC841">IFERROR(INDEX('Исходник'!$1:$626,MATCH($A841,'Исходник'!$T:$T,0),MATCH(AC$1,'Исходник'!$1:$1,0)))</f>
        <v/>
      </c>
      <c r="AD841" s="27" t="str">
        <f t="shared" si="13"/>
        <v/>
      </c>
      <c r="AE841" s="1" t="str">
        <f t="array" ref="AE841">IFERROR(INDEX('Исходник'!$1:$626,MATCH($A841,'Исходник'!$T:$T,0),MATCH(AE$1,'Исходник'!$1:$1,0)))</f>
        <v/>
      </c>
      <c r="AF841" s="1" t="str">
        <f t="array" ref="AF841">IFERROR(INDEX('Исходник'!$1:$626,MATCH($A841,'Исходник'!$T:$T,0),MATCH(AF$1,'Исходник'!$1:$1,0)))</f>
        <v/>
      </c>
      <c r="AG841" s="27" t="str">
        <f t="shared" si="14"/>
        <v/>
      </c>
      <c r="AH841" s="1" t="str">
        <f t="array" ref="AH841">IFERROR(INDEX('Исходник'!$1:$626,MATCH($A841,'Исходник'!$T:$T,0),MATCH(AH$1,'Исходник'!$1:$1,0)))</f>
        <v/>
      </c>
      <c r="AI841" s="1" t="str">
        <f t="array" ref="AI841">IFERROR(INDEX('Исходник'!$1:$626,MATCH($A841,'Исходник'!$T:$T,0),MATCH(AI$1,'Исходник'!$1:$1,0)))</f>
        <v/>
      </c>
      <c r="AJ841" s="18">
        <f t="shared" si="15"/>
        <v>0</v>
      </c>
    </row>
    <row r="842" ht="15.75" customHeight="1">
      <c r="A842" s="27"/>
      <c r="B842" s="1" t="str">
        <f t="array" ref="B842">IFERROR(INDEX('Исходник'!$1:$626,MATCH($A842,'Исходник'!$T:$T,0),MATCH(B$1,'Исходник'!$1:$1,0)))</f>
        <v/>
      </c>
      <c r="C842" s="1" t="str">
        <f t="array" ref="C842">IFERROR(INDEX('Исходник'!$1:$626,MATCH($A842,'Исходник'!$T:$T,0),MATCH(C$1,'Исходник'!$1:$1,0)))</f>
        <v/>
      </c>
      <c r="D842" s="1" t="str">
        <f t="array" ref="D842">IFERROR(INDEX('Исходник'!$1:$626,MATCH($A842,'Исходник'!$T:$T,0),MATCH(D$1,'Исходник'!$1:$1,0)))</f>
        <v/>
      </c>
      <c r="E842" s="1" t="str">
        <f t="array" ref="E842">IFERROR(INDEX('Исходник'!$1:$626,MATCH($A842,'Исходник'!$T:$T,0),MATCH(E$1,'Исходник'!$1:$1,0)))</f>
        <v/>
      </c>
      <c r="F842" s="1" t="str">
        <f t="array" ref="F842">IFERROR(INDEX('Исходник'!$1:$626,MATCH($A842,'Исходник'!$T:$T,0),MATCH(F$1,'Исходник'!$1:$1,0)))</f>
        <v/>
      </c>
      <c r="G842" s="1" t="str">
        <f t="array" ref="G842">IFERROR(INDEX('Исходник'!$1:$626,MATCH($A842,'Исходник'!$T:$T,0),MATCH(G$1,'Исходник'!$1:$1,0)))</f>
        <v/>
      </c>
      <c r="H842" s="27">
        <f t="shared" si="1"/>
        <v>0</v>
      </c>
      <c r="I842" s="27" t="str">
        <f t="shared" si="2"/>
        <v/>
      </c>
      <c r="J842" s="1" t="str">
        <f t="array" ref="J842">IFERROR(INDEX('Исходник'!$1:$626,MATCH($A842,'Исходник'!$T:$T,0),MATCH(J$1,'Исходник'!$1:$1,0)))</f>
        <v/>
      </c>
      <c r="K842" s="27" t="str">
        <f t="shared" si="3"/>
        <v/>
      </c>
      <c r="L842" s="1" t="str">
        <f t="array" ref="L842">IFERROR(INDEX('Исходник'!$1:$626,MATCH($A842,'Исходник'!$T:$T,0),MATCH(L$1,'Исходник'!$1:$1,0)))</f>
        <v/>
      </c>
      <c r="M842" s="28">
        <f t="shared" si="4"/>
        <v>0</v>
      </c>
      <c r="N842" s="1" t="str">
        <f t="array" ref="N842">IFERROR(INDEX('Исходник'!$1:$626,MATCH($A842,'Исходник'!$T:$T,0),MATCH(N$1,'Исходник'!$1:$1,0)))</f>
        <v/>
      </c>
      <c r="O842" s="27">
        <f t="shared" si="5"/>
        <v>0</v>
      </c>
      <c r="P842" s="27" t="str">
        <f t="shared" si="6"/>
        <v/>
      </c>
      <c r="Q842" s="1" t="str">
        <f t="array" ref="Q842">IFERROR(INDEX('Исходник'!$1:$626,MATCH($A842,'Исходник'!$T:$T,0),MATCH(Q$1,'Исходник'!$1:$1,0)))</f>
        <v/>
      </c>
      <c r="R842" s="1" t="str">
        <f t="array" ref="R842">IFERROR(INDEX('Исходник'!$1:$626,MATCH($A842,'Исходник'!$T:$T,0),MATCH(R$1,'Исходник'!$1:$1,0)))</f>
        <v/>
      </c>
      <c r="S842" s="27">
        <f t="shared" si="7"/>
        <v>0</v>
      </c>
      <c r="T842" s="27" t="str">
        <f t="shared" si="8"/>
        <v/>
      </c>
      <c r="U842" s="1" t="str">
        <f t="array" ref="U842">IFERROR(INDEX('Исходник'!$1:$626,MATCH($A842,'Исходник'!$T:$T,0),MATCH(U$1,'Исходник'!$1:$1,0)))</f>
        <v/>
      </c>
      <c r="V842" s="27" t="str">
        <f t="shared" si="9"/>
        <v/>
      </c>
      <c r="W842" s="1" t="str">
        <f t="array" ref="W842">IFERROR(INDEX('Исходник'!$1:$626,MATCH($A842,'Исходник'!$T:$T,0),MATCH(W$1,'Исходник'!$1:$1,0)))</f>
        <v/>
      </c>
      <c r="X842" s="28">
        <f t="shared" si="10"/>
        <v>0</v>
      </c>
      <c r="Y842" s="1" t="str">
        <f t="array" ref="Y842">IFERROR(INDEX('Исходник'!$1:$626,MATCH($A842,'Исходник'!$T:$T,0),MATCH(Y$1,'Исходник'!$1:$1,0)))</f>
        <v/>
      </c>
      <c r="Z842" s="27">
        <f t="shared" si="11"/>
        <v>0</v>
      </c>
      <c r="AA842" s="27" t="str">
        <f t="shared" si="12"/>
        <v/>
      </c>
      <c r="AB842" s="1" t="str">
        <f t="array" ref="AB842">IFERROR(INDEX('Исходник'!$1:$626,MATCH($A842,'Исходник'!$T:$T,0),MATCH(AB$1,'Исходник'!$1:$1,0)))</f>
        <v/>
      </c>
      <c r="AC842" s="1" t="str">
        <f t="array" ref="AC842">IFERROR(INDEX('Исходник'!$1:$626,MATCH($A842,'Исходник'!$T:$T,0),MATCH(AC$1,'Исходник'!$1:$1,0)))</f>
        <v/>
      </c>
      <c r="AD842" s="27" t="str">
        <f t="shared" si="13"/>
        <v/>
      </c>
      <c r="AE842" s="1" t="str">
        <f t="array" ref="AE842">IFERROR(INDEX('Исходник'!$1:$626,MATCH($A842,'Исходник'!$T:$T,0),MATCH(AE$1,'Исходник'!$1:$1,0)))</f>
        <v/>
      </c>
      <c r="AF842" s="1" t="str">
        <f t="array" ref="AF842">IFERROR(INDEX('Исходник'!$1:$626,MATCH($A842,'Исходник'!$T:$T,0),MATCH(AF$1,'Исходник'!$1:$1,0)))</f>
        <v/>
      </c>
      <c r="AG842" s="27" t="str">
        <f t="shared" si="14"/>
        <v/>
      </c>
      <c r="AH842" s="1" t="str">
        <f t="array" ref="AH842">IFERROR(INDEX('Исходник'!$1:$626,MATCH($A842,'Исходник'!$T:$T,0),MATCH(AH$1,'Исходник'!$1:$1,0)))</f>
        <v/>
      </c>
      <c r="AI842" s="1" t="str">
        <f t="array" ref="AI842">IFERROR(INDEX('Исходник'!$1:$626,MATCH($A842,'Исходник'!$T:$T,0),MATCH(AI$1,'Исходник'!$1:$1,0)))</f>
        <v/>
      </c>
      <c r="AJ842" s="18">
        <f t="shared" si="15"/>
        <v>0</v>
      </c>
    </row>
    <row r="843" ht="15.75" customHeight="1">
      <c r="A843" s="27"/>
      <c r="B843" s="1" t="str">
        <f t="array" ref="B843">IFERROR(INDEX('Исходник'!$1:$626,MATCH($A843,'Исходник'!$T:$T,0),MATCH(B$1,'Исходник'!$1:$1,0)))</f>
        <v/>
      </c>
      <c r="C843" s="1" t="str">
        <f t="array" ref="C843">IFERROR(INDEX('Исходник'!$1:$626,MATCH($A843,'Исходник'!$T:$T,0),MATCH(C$1,'Исходник'!$1:$1,0)))</f>
        <v/>
      </c>
      <c r="D843" s="1" t="str">
        <f t="array" ref="D843">IFERROR(INDEX('Исходник'!$1:$626,MATCH($A843,'Исходник'!$T:$T,0),MATCH(D$1,'Исходник'!$1:$1,0)))</f>
        <v/>
      </c>
      <c r="E843" s="1" t="str">
        <f t="array" ref="E843">IFERROR(INDEX('Исходник'!$1:$626,MATCH($A843,'Исходник'!$T:$T,0),MATCH(E$1,'Исходник'!$1:$1,0)))</f>
        <v/>
      </c>
      <c r="F843" s="1" t="str">
        <f t="array" ref="F843">IFERROR(INDEX('Исходник'!$1:$626,MATCH($A843,'Исходник'!$T:$T,0),MATCH(F$1,'Исходник'!$1:$1,0)))</f>
        <v/>
      </c>
      <c r="G843" s="1" t="str">
        <f t="array" ref="G843">IFERROR(INDEX('Исходник'!$1:$626,MATCH($A843,'Исходник'!$T:$T,0),MATCH(G$1,'Исходник'!$1:$1,0)))</f>
        <v/>
      </c>
      <c r="H843" s="27">
        <f t="shared" si="1"/>
        <v>0</v>
      </c>
      <c r="I843" s="27" t="str">
        <f t="shared" si="2"/>
        <v/>
      </c>
      <c r="J843" s="1" t="str">
        <f t="array" ref="J843">IFERROR(INDEX('Исходник'!$1:$626,MATCH($A843,'Исходник'!$T:$T,0),MATCH(J$1,'Исходник'!$1:$1,0)))</f>
        <v/>
      </c>
      <c r="K843" s="27" t="str">
        <f t="shared" si="3"/>
        <v/>
      </c>
      <c r="L843" s="1" t="str">
        <f t="array" ref="L843">IFERROR(INDEX('Исходник'!$1:$626,MATCH($A843,'Исходник'!$T:$T,0),MATCH(L$1,'Исходник'!$1:$1,0)))</f>
        <v/>
      </c>
      <c r="M843" s="28">
        <f t="shared" si="4"/>
        <v>0</v>
      </c>
      <c r="N843" s="1" t="str">
        <f t="array" ref="N843">IFERROR(INDEX('Исходник'!$1:$626,MATCH($A843,'Исходник'!$T:$T,0),MATCH(N$1,'Исходник'!$1:$1,0)))</f>
        <v/>
      </c>
      <c r="O843" s="27">
        <f t="shared" si="5"/>
        <v>0</v>
      </c>
      <c r="P843" s="27" t="str">
        <f t="shared" si="6"/>
        <v/>
      </c>
      <c r="Q843" s="1" t="str">
        <f t="array" ref="Q843">IFERROR(INDEX('Исходник'!$1:$626,MATCH($A843,'Исходник'!$T:$T,0),MATCH(Q$1,'Исходник'!$1:$1,0)))</f>
        <v/>
      </c>
      <c r="R843" s="1" t="str">
        <f t="array" ref="R843">IFERROR(INDEX('Исходник'!$1:$626,MATCH($A843,'Исходник'!$T:$T,0),MATCH(R$1,'Исходник'!$1:$1,0)))</f>
        <v/>
      </c>
      <c r="S843" s="27">
        <f t="shared" si="7"/>
        <v>0</v>
      </c>
      <c r="T843" s="27" t="str">
        <f t="shared" si="8"/>
        <v/>
      </c>
      <c r="U843" s="1" t="str">
        <f t="array" ref="U843">IFERROR(INDEX('Исходник'!$1:$626,MATCH($A843,'Исходник'!$T:$T,0),MATCH(U$1,'Исходник'!$1:$1,0)))</f>
        <v/>
      </c>
      <c r="V843" s="27" t="str">
        <f t="shared" si="9"/>
        <v/>
      </c>
      <c r="W843" s="1" t="str">
        <f t="array" ref="W843">IFERROR(INDEX('Исходник'!$1:$626,MATCH($A843,'Исходник'!$T:$T,0),MATCH(W$1,'Исходник'!$1:$1,0)))</f>
        <v/>
      </c>
      <c r="X843" s="28">
        <f t="shared" si="10"/>
        <v>0</v>
      </c>
      <c r="Y843" s="1" t="str">
        <f t="array" ref="Y843">IFERROR(INDEX('Исходник'!$1:$626,MATCH($A843,'Исходник'!$T:$T,0),MATCH(Y$1,'Исходник'!$1:$1,0)))</f>
        <v/>
      </c>
      <c r="Z843" s="27">
        <f t="shared" si="11"/>
        <v>0</v>
      </c>
      <c r="AA843" s="27" t="str">
        <f t="shared" si="12"/>
        <v/>
      </c>
      <c r="AB843" s="1" t="str">
        <f t="array" ref="AB843">IFERROR(INDEX('Исходник'!$1:$626,MATCH($A843,'Исходник'!$T:$T,0),MATCH(AB$1,'Исходник'!$1:$1,0)))</f>
        <v/>
      </c>
      <c r="AC843" s="1" t="str">
        <f t="array" ref="AC843">IFERROR(INDEX('Исходник'!$1:$626,MATCH($A843,'Исходник'!$T:$T,0),MATCH(AC$1,'Исходник'!$1:$1,0)))</f>
        <v/>
      </c>
      <c r="AD843" s="27" t="str">
        <f t="shared" si="13"/>
        <v/>
      </c>
      <c r="AE843" s="1" t="str">
        <f t="array" ref="AE843">IFERROR(INDEX('Исходник'!$1:$626,MATCH($A843,'Исходник'!$T:$T,0),MATCH(AE$1,'Исходник'!$1:$1,0)))</f>
        <v/>
      </c>
      <c r="AF843" s="1" t="str">
        <f t="array" ref="AF843">IFERROR(INDEX('Исходник'!$1:$626,MATCH($A843,'Исходник'!$T:$T,0),MATCH(AF$1,'Исходник'!$1:$1,0)))</f>
        <v/>
      </c>
      <c r="AG843" s="27" t="str">
        <f t="shared" si="14"/>
        <v/>
      </c>
      <c r="AH843" s="1" t="str">
        <f t="array" ref="AH843">IFERROR(INDEX('Исходник'!$1:$626,MATCH($A843,'Исходник'!$T:$T,0),MATCH(AH$1,'Исходник'!$1:$1,0)))</f>
        <v/>
      </c>
      <c r="AI843" s="1" t="str">
        <f t="array" ref="AI843">IFERROR(INDEX('Исходник'!$1:$626,MATCH($A843,'Исходник'!$T:$T,0),MATCH(AI$1,'Исходник'!$1:$1,0)))</f>
        <v/>
      </c>
      <c r="AJ843" s="18">
        <f t="shared" si="15"/>
        <v>0</v>
      </c>
    </row>
    <row r="844" ht="15.75" customHeight="1">
      <c r="A844" s="27"/>
      <c r="B844" s="1" t="str">
        <f t="array" ref="B844">IFERROR(INDEX('Исходник'!$1:$626,MATCH($A844,'Исходник'!$T:$T,0),MATCH(B$1,'Исходник'!$1:$1,0)))</f>
        <v/>
      </c>
      <c r="C844" s="1" t="str">
        <f t="array" ref="C844">IFERROR(INDEX('Исходник'!$1:$626,MATCH($A844,'Исходник'!$T:$T,0),MATCH(C$1,'Исходник'!$1:$1,0)))</f>
        <v/>
      </c>
      <c r="D844" s="1" t="str">
        <f t="array" ref="D844">IFERROR(INDEX('Исходник'!$1:$626,MATCH($A844,'Исходник'!$T:$T,0),MATCH(D$1,'Исходник'!$1:$1,0)))</f>
        <v/>
      </c>
      <c r="E844" s="1" t="str">
        <f t="array" ref="E844">IFERROR(INDEX('Исходник'!$1:$626,MATCH($A844,'Исходник'!$T:$T,0),MATCH(E$1,'Исходник'!$1:$1,0)))</f>
        <v/>
      </c>
      <c r="F844" s="1" t="str">
        <f t="array" ref="F844">IFERROR(INDEX('Исходник'!$1:$626,MATCH($A844,'Исходник'!$T:$T,0),MATCH(F$1,'Исходник'!$1:$1,0)))</f>
        <v/>
      </c>
      <c r="G844" s="1" t="str">
        <f t="array" ref="G844">IFERROR(INDEX('Исходник'!$1:$626,MATCH($A844,'Исходник'!$T:$T,0),MATCH(G$1,'Исходник'!$1:$1,0)))</f>
        <v/>
      </c>
      <c r="H844" s="27">
        <f t="shared" si="1"/>
        <v>0</v>
      </c>
      <c r="I844" s="27" t="str">
        <f t="shared" si="2"/>
        <v/>
      </c>
      <c r="J844" s="1" t="str">
        <f t="array" ref="J844">IFERROR(INDEX('Исходник'!$1:$626,MATCH($A844,'Исходник'!$T:$T,0),MATCH(J$1,'Исходник'!$1:$1,0)))</f>
        <v/>
      </c>
      <c r="K844" s="27" t="str">
        <f t="shared" si="3"/>
        <v/>
      </c>
      <c r="L844" s="1" t="str">
        <f t="array" ref="L844">IFERROR(INDEX('Исходник'!$1:$626,MATCH($A844,'Исходник'!$T:$T,0),MATCH(L$1,'Исходник'!$1:$1,0)))</f>
        <v/>
      </c>
      <c r="M844" s="28">
        <f t="shared" si="4"/>
        <v>0</v>
      </c>
      <c r="N844" s="1" t="str">
        <f t="array" ref="N844">IFERROR(INDEX('Исходник'!$1:$626,MATCH($A844,'Исходник'!$T:$T,0),MATCH(N$1,'Исходник'!$1:$1,0)))</f>
        <v/>
      </c>
      <c r="O844" s="27">
        <f t="shared" si="5"/>
        <v>0</v>
      </c>
      <c r="P844" s="27" t="str">
        <f t="shared" si="6"/>
        <v/>
      </c>
      <c r="Q844" s="1" t="str">
        <f t="array" ref="Q844">IFERROR(INDEX('Исходник'!$1:$626,MATCH($A844,'Исходник'!$T:$T,0),MATCH(Q$1,'Исходник'!$1:$1,0)))</f>
        <v/>
      </c>
      <c r="R844" s="1" t="str">
        <f t="array" ref="R844">IFERROR(INDEX('Исходник'!$1:$626,MATCH($A844,'Исходник'!$T:$T,0),MATCH(R$1,'Исходник'!$1:$1,0)))</f>
        <v/>
      </c>
      <c r="S844" s="27">
        <f t="shared" si="7"/>
        <v>0</v>
      </c>
      <c r="T844" s="27" t="str">
        <f t="shared" si="8"/>
        <v/>
      </c>
      <c r="U844" s="1" t="str">
        <f t="array" ref="U844">IFERROR(INDEX('Исходник'!$1:$626,MATCH($A844,'Исходник'!$T:$T,0),MATCH(U$1,'Исходник'!$1:$1,0)))</f>
        <v/>
      </c>
      <c r="V844" s="27" t="str">
        <f t="shared" si="9"/>
        <v/>
      </c>
      <c r="W844" s="1" t="str">
        <f t="array" ref="W844">IFERROR(INDEX('Исходник'!$1:$626,MATCH($A844,'Исходник'!$T:$T,0),MATCH(W$1,'Исходник'!$1:$1,0)))</f>
        <v/>
      </c>
      <c r="X844" s="28">
        <f t="shared" si="10"/>
        <v>0</v>
      </c>
      <c r="Y844" s="1" t="str">
        <f t="array" ref="Y844">IFERROR(INDEX('Исходник'!$1:$626,MATCH($A844,'Исходник'!$T:$T,0),MATCH(Y$1,'Исходник'!$1:$1,0)))</f>
        <v/>
      </c>
      <c r="Z844" s="27">
        <f t="shared" si="11"/>
        <v>0</v>
      </c>
      <c r="AA844" s="27" t="str">
        <f t="shared" si="12"/>
        <v/>
      </c>
      <c r="AB844" s="1" t="str">
        <f t="array" ref="AB844">IFERROR(INDEX('Исходник'!$1:$626,MATCH($A844,'Исходник'!$T:$T,0),MATCH(AB$1,'Исходник'!$1:$1,0)))</f>
        <v/>
      </c>
      <c r="AC844" s="1" t="str">
        <f t="array" ref="AC844">IFERROR(INDEX('Исходник'!$1:$626,MATCH($A844,'Исходник'!$T:$T,0),MATCH(AC$1,'Исходник'!$1:$1,0)))</f>
        <v/>
      </c>
      <c r="AD844" s="27" t="str">
        <f t="shared" si="13"/>
        <v/>
      </c>
      <c r="AE844" s="1" t="str">
        <f t="array" ref="AE844">IFERROR(INDEX('Исходник'!$1:$626,MATCH($A844,'Исходник'!$T:$T,0),MATCH(AE$1,'Исходник'!$1:$1,0)))</f>
        <v/>
      </c>
      <c r="AF844" s="1" t="str">
        <f t="array" ref="AF844">IFERROR(INDEX('Исходник'!$1:$626,MATCH($A844,'Исходник'!$T:$T,0),MATCH(AF$1,'Исходник'!$1:$1,0)))</f>
        <v/>
      </c>
      <c r="AG844" s="27" t="str">
        <f t="shared" si="14"/>
        <v/>
      </c>
      <c r="AH844" s="1" t="str">
        <f t="array" ref="AH844">IFERROR(INDEX('Исходник'!$1:$626,MATCH($A844,'Исходник'!$T:$T,0),MATCH(AH$1,'Исходник'!$1:$1,0)))</f>
        <v/>
      </c>
      <c r="AI844" s="1" t="str">
        <f t="array" ref="AI844">IFERROR(INDEX('Исходник'!$1:$626,MATCH($A844,'Исходник'!$T:$T,0),MATCH(AI$1,'Исходник'!$1:$1,0)))</f>
        <v/>
      </c>
      <c r="AJ844" s="18">
        <f t="shared" si="15"/>
        <v>0</v>
      </c>
    </row>
    <row r="845" ht="15.75" customHeight="1">
      <c r="A845" s="27"/>
      <c r="B845" s="1" t="str">
        <f t="array" ref="B845">IFERROR(INDEX('Исходник'!$1:$626,MATCH($A845,'Исходник'!$T:$T,0),MATCH(B$1,'Исходник'!$1:$1,0)))</f>
        <v/>
      </c>
      <c r="C845" s="1" t="str">
        <f t="array" ref="C845">IFERROR(INDEX('Исходник'!$1:$626,MATCH($A845,'Исходник'!$T:$T,0),MATCH(C$1,'Исходник'!$1:$1,0)))</f>
        <v/>
      </c>
      <c r="D845" s="1" t="str">
        <f t="array" ref="D845">IFERROR(INDEX('Исходник'!$1:$626,MATCH($A845,'Исходник'!$T:$T,0),MATCH(D$1,'Исходник'!$1:$1,0)))</f>
        <v/>
      </c>
      <c r="E845" s="1" t="str">
        <f t="array" ref="E845">IFERROR(INDEX('Исходник'!$1:$626,MATCH($A845,'Исходник'!$T:$T,0),MATCH(E$1,'Исходник'!$1:$1,0)))</f>
        <v/>
      </c>
      <c r="F845" s="1" t="str">
        <f t="array" ref="F845">IFERROR(INDEX('Исходник'!$1:$626,MATCH($A845,'Исходник'!$T:$T,0),MATCH(F$1,'Исходник'!$1:$1,0)))</f>
        <v/>
      </c>
      <c r="G845" s="1" t="str">
        <f t="array" ref="G845">IFERROR(INDEX('Исходник'!$1:$626,MATCH($A845,'Исходник'!$T:$T,0),MATCH(G$1,'Исходник'!$1:$1,0)))</f>
        <v/>
      </c>
      <c r="H845" s="27">
        <f t="shared" si="1"/>
        <v>0</v>
      </c>
      <c r="I845" s="27" t="str">
        <f t="shared" si="2"/>
        <v/>
      </c>
      <c r="J845" s="1" t="str">
        <f t="array" ref="J845">IFERROR(INDEX('Исходник'!$1:$626,MATCH($A845,'Исходник'!$T:$T,0),MATCH(J$1,'Исходник'!$1:$1,0)))</f>
        <v/>
      </c>
      <c r="K845" s="27" t="str">
        <f t="shared" si="3"/>
        <v/>
      </c>
      <c r="L845" s="1" t="str">
        <f t="array" ref="L845">IFERROR(INDEX('Исходник'!$1:$626,MATCH($A845,'Исходник'!$T:$T,0),MATCH(L$1,'Исходник'!$1:$1,0)))</f>
        <v/>
      </c>
      <c r="M845" s="28">
        <f t="shared" si="4"/>
        <v>0</v>
      </c>
      <c r="N845" s="1" t="str">
        <f t="array" ref="N845">IFERROR(INDEX('Исходник'!$1:$626,MATCH($A845,'Исходник'!$T:$T,0),MATCH(N$1,'Исходник'!$1:$1,0)))</f>
        <v/>
      </c>
      <c r="O845" s="27">
        <f t="shared" si="5"/>
        <v>0</v>
      </c>
      <c r="P845" s="27" t="str">
        <f t="shared" si="6"/>
        <v/>
      </c>
      <c r="Q845" s="1" t="str">
        <f t="array" ref="Q845">IFERROR(INDEX('Исходник'!$1:$626,MATCH($A845,'Исходник'!$T:$T,0),MATCH(Q$1,'Исходник'!$1:$1,0)))</f>
        <v/>
      </c>
      <c r="R845" s="1" t="str">
        <f t="array" ref="R845">IFERROR(INDEX('Исходник'!$1:$626,MATCH($A845,'Исходник'!$T:$T,0),MATCH(R$1,'Исходник'!$1:$1,0)))</f>
        <v/>
      </c>
      <c r="S845" s="27">
        <f t="shared" si="7"/>
        <v>0</v>
      </c>
      <c r="T845" s="27" t="str">
        <f t="shared" si="8"/>
        <v/>
      </c>
      <c r="U845" s="1" t="str">
        <f t="array" ref="U845">IFERROR(INDEX('Исходник'!$1:$626,MATCH($A845,'Исходник'!$T:$T,0),MATCH(U$1,'Исходник'!$1:$1,0)))</f>
        <v/>
      </c>
      <c r="V845" s="27" t="str">
        <f t="shared" si="9"/>
        <v/>
      </c>
      <c r="W845" s="1" t="str">
        <f t="array" ref="W845">IFERROR(INDEX('Исходник'!$1:$626,MATCH($A845,'Исходник'!$T:$T,0),MATCH(W$1,'Исходник'!$1:$1,0)))</f>
        <v/>
      </c>
      <c r="X845" s="28">
        <f t="shared" si="10"/>
        <v>0</v>
      </c>
      <c r="Y845" s="1" t="str">
        <f t="array" ref="Y845">IFERROR(INDEX('Исходник'!$1:$626,MATCH($A845,'Исходник'!$T:$T,0),MATCH(Y$1,'Исходник'!$1:$1,0)))</f>
        <v/>
      </c>
      <c r="Z845" s="27">
        <f t="shared" si="11"/>
        <v>0</v>
      </c>
      <c r="AA845" s="27" t="str">
        <f t="shared" si="12"/>
        <v/>
      </c>
      <c r="AB845" s="1" t="str">
        <f t="array" ref="AB845">IFERROR(INDEX('Исходник'!$1:$626,MATCH($A845,'Исходник'!$T:$T,0),MATCH(AB$1,'Исходник'!$1:$1,0)))</f>
        <v/>
      </c>
      <c r="AC845" s="1" t="str">
        <f t="array" ref="AC845">IFERROR(INDEX('Исходник'!$1:$626,MATCH($A845,'Исходник'!$T:$T,0),MATCH(AC$1,'Исходник'!$1:$1,0)))</f>
        <v/>
      </c>
      <c r="AD845" s="27" t="str">
        <f t="shared" si="13"/>
        <v/>
      </c>
      <c r="AE845" s="1" t="str">
        <f t="array" ref="AE845">IFERROR(INDEX('Исходник'!$1:$626,MATCH($A845,'Исходник'!$T:$T,0),MATCH(AE$1,'Исходник'!$1:$1,0)))</f>
        <v/>
      </c>
      <c r="AF845" s="1" t="str">
        <f t="array" ref="AF845">IFERROR(INDEX('Исходник'!$1:$626,MATCH($A845,'Исходник'!$T:$T,0),MATCH(AF$1,'Исходник'!$1:$1,0)))</f>
        <v/>
      </c>
      <c r="AG845" s="27" t="str">
        <f t="shared" si="14"/>
        <v/>
      </c>
      <c r="AH845" s="1" t="str">
        <f t="array" ref="AH845">IFERROR(INDEX('Исходник'!$1:$626,MATCH($A845,'Исходник'!$T:$T,0),MATCH(AH$1,'Исходник'!$1:$1,0)))</f>
        <v/>
      </c>
      <c r="AI845" s="1" t="str">
        <f t="array" ref="AI845">IFERROR(INDEX('Исходник'!$1:$626,MATCH($A845,'Исходник'!$T:$T,0),MATCH(AI$1,'Исходник'!$1:$1,0)))</f>
        <v/>
      </c>
      <c r="AJ845" s="18">
        <f t="shared" si="15"/>
        <v>0</v>
      </c>
    </row>
    <row r="846" ht="15.75" customHeight="1">
      <c r="A846" s="27"/>
      <c r="B846" s="1" t="str">
        <f t="array" ref="B846">IFERROR(INDEX('Исходник'!$1:$626,MATCH($A846,'Исходник'!$T:$T,0),MATCH(B$1,'Исходник'!$1:$1,0)))</f>
        <v/>
      </c>
      <c r="C846" s="1" t="str">
        <f t="array" ref="C846">IFERROR(INDEX('Исходник'!$1:$626,MATCH($A846,'Исходник'!$T:$T,0),MATCH(C$1,'Исходник'!$1:$1,0)))</f>
        <v/>
      </c>
      <c r="D846" s="1" t="str">
        <f t="array" ref="D846">IFERROR(INDEX('Исходник'!$1:$626,MATCH($A846,'Исходник'!$T:$T,0),MATCH(D$1,'Исходник'!$1:$1,0)))</f>
        <v/>
      </c>
      <c r="E846" s="1" t="str">
        <f t="array" ref="E846">IFERROR(INDEX('Исходник'!$1:$626,MATCH($A846,'Исходник'!$T:$T,0),MATCH(E$1,'Исходник'!$1:$1,0)))</f>
        <v/>
      </c>
      <c r="F846" s="1" t="str">
        <f t="array" ref="F846">IFERROR(INDEX('Исходник'!$1:$626,MATCH($A846,'Исходник'!$T:$T,0),MATCH(F$1,'Исходник'!$1:$1,0)))</f>
        <v/>
      </c>
      <c r="G846" s="1" t="str">
        <f t="array" ref="G846">IFERROR(INDEX('Исходник'!$1:$626,MATCH($A846,'Исходник'!$T:$T,0),MATCH(G$1,'Исходник'!$1:$1,0)))</f>
        <v/>
      </c>
      <c r="H846" s="27">
        <f t="shared" si="1"/>
        <v>0</v>
      </c>
      <c r="I846" s="27" t="str">
        <f t="shared" si="2"/>
        <v/>
      </c>
      <c r="J846" s="1" t="str">
        <f t="array" ref="J846">IFERROR(INDEX('Исходник'!$1:$626,MATCH($A846,'Исходник'!$T:$T,0),MATCH(J$1,'Исходник'!$1:$1,0)))</f>
        <v/>
      </c>
      <c r="K846" s="27" t="str">
        <f t="shared" si="3"/>
        <v/>
      </c>
      <c r="L846" s="1" t="str">
        <f t="array" ref="L846">IFERROR(INDEX('Исходник'!$1:$626,MATCH($A846,'Исходник'!$T:$T,0),MATCH(L$1,'Исходник'!$1:$1,0)))</f>
        <v/>
      </c>
      <c r="M846" s="28">
        <f t="shared" si="4"/>
        <v>0</v>
      </c>
      <c r="N846" s="1" t="str">
        <f t="array" ref="N846">IFERROR(INDEX('Исходник'!$1:$626,MATCH($A846,'Исходник'!$T:$T,0),MATCH(N$1,'Исходник'!$1:$1,0)))</f>
        <v/>
      </c>
      <c r="O846" s="27">
        <f t="shared" si="5"/>
        <v>0</v>
      </c>
      <c r="P846" s="27" t="str">
        <f t="shared" si="6"/>
        <v/>
      </c>
      <c r="Q846" s="1" t="str">
        <f t="array" ref="Q846">IFERROR(INDEX('Исходник'!$1:$626,MATCH($A846,'Исходник'!$T:$T,0),MATCH(Q$1,'Исходник'!$1:$1,0)))</f>
        <v/>
      </c>
      <c r="R846" s="1" t="str">
        <f t="array" ref="R846">IFERROR(INDEX('Исходник'!$1:$626,MATCH($A846,'Исходник'!$T:$T,0),MATCH(R$1,'Исходник'!$1:$1,0)))</f>
        <v/>
      </c>
      <c r="S846" s="27">
        <f t="shared" si="7"/>
        <v>0</v>
      </c>
      <c r="T846" s="27" t="str">
        <f t="shared" si="8"/>
        <v/>
      </c>
      <c r="U846" s="1" t="str">
        <f t="array" ref="U846">IFERROR(INDEX('Исходник'!$1:$626,MATCH($A846,'Исходник'!$T:$T,0),MATCH(U$1,'Исходник'!$1:$1,0)))</f>
        <v/>
      </c>
      <c r="V846" s="27" t="str">
        <f t="shared" si="9"/>
        <v/>
      </c>
      <c r="W846" s="1" t="str">
        <f t="array" ref="W846">IFERROR(INDEX('Исходник'!$1:$626,MATCH($A846,'Исходник'!$T:$T,0),MATCH(W$1,'Исходник'!$1:$1,0)))</f>
        <v/>
      </c>
      <c r="X846" s="28">
        <f t="shared" si="10"/>
        <v>0</v>
      </c>
      <c r="Y846" s="1" t="str">
        <f t="array" ref="Y846">IFERROR(INDEX('Исходник'!$1:$626,MATCH($A846,'Исходник'!$T:$T,0),MATCH(Y$1,'Исходник'!$1:$1,0)))</f>
        <v/>
      </c>
      <c r="Z846" s="27">
        <f t="shared" si="11"/>
        <v>0</v>
      </c>
      <c r="AA846" s="27" t="str">
        <f t="shared" si="12"/>
        <v/>
      </c>
      <c r="AB846" s="1" t="str">
        <f t="array" ref="AB846">IFERROR(INDEX('Исходник'!$1:$626,MATCH($A846,'Исходник'!$T:$T,0),MATCH(AB$1,'Исходник'!$1:$1,0)))</f>
        <v/>
      </c>
      <c r="AC846" s="1" t="str">
        <f t="array" ref="AC846">IFERROR(INDEX('Исходник'!$1:$626,MATCH($A846,'Исходник'!$T:$T,0),MATCH(AC$1,'Исходник'!$1:$1,0)))</f>
        <v/>
      </c>
      <c r="AD846" s="27" t="str">
        <f t="shared" si="13"/>
        <v/>
      </c>
      <c r="AE846" s="1" t="str">
        <f t="array" ref="AE846">IFERROR(INDEX('Исходник'!$1:$626,MATCH($A846,'Исходник'!$T:$T,0),MATCH(AE$1,'Исходник'!$1:$1,0)))</f>
        <v/>
      </c>
      <c r="AF846" s="1" t="str">
        <f t="array" ref="AF846">IFERROR(INDEX('Исходник'!$1:$626,MATCH($A846,'Исходник'!$T:$T,0),MATCH(AF$1,'Исходник'!$1:$1,0)))</f>
        <v/>
      </c>
      <c r="AG846" s="27" t="str">
        <f t="shared" si="14"/>
        <v/>
      </c>
      <c r="AH846" s="1" t="str">
        <f t="array" ref="AH846">IFERROR(INDEX('Исходник'!$1:$626,MATCH($A846,'Исходник'!$T:$T,0),MATCH(AH$1,'Исходник'!$1:$1,0)))</f>
        <v/>
      </c>
      <c r="AI846" s="1" t="str">
        <f t="array" ref="AI846">IFERROR(INDEX('Исходник'!$1:$626,MATCH($A846,'Исходник'!$T:$T,0),MATCH(AI$1,'Исходник'!$1:$1,0)))</f>
        <v/>
      </c>
      <c r="AJ846" s="18">
        <f t="shared" si="15"/>
        <v>0</v>
      </c>
    </row>
    <row r="847" ht="15.75" customHeight="1">
      <c r="A847" s="27"/>
      <c r="B847" s="1" t="str">
        <f t="array" ref="B847">IFERROR(INDEX('Исходник'!$1:$626,MATCH($A847,'Исходник'!$T:$T,0),MATCH(B$1,'Исходник'!$1:$1,0)))</f>
        <v/>
      </c>
      <c r="C847" s="1" t="str">
        <f t="array" ref="C847">IFERROR(INDEX('Исходник'!$1:$626,MATCH($A847,'Исходник'!$T:$T,0),MATCH(C$1,'Исходник'!$1:$1,0)))</f>
        <v/>
      </c>
      <c r="D847" s="1" t="str">
        <f t="array" ref="D847">IFERROR(INDEX('Исходник'!$1:$626,MATCH($A847,'Исходник'!$T:$T,0),MATCH(D$1,'Исходник'!$1:$1,0)))</f>
        <v/>
      </c>
      <c r="E847" s="1" t="str">
        <f t="array" ref="E847">IFERROR(INDEX('Исходник'!$1:$626,MATCH($A847,'Исходник'!$T:$T,0),MATCH(E$1,'Исходник'!$1:$1,0)))</f>
        <v/>
      </c>
      <c r="F847" s="1" t="str">
        <f t="array" ref="F847">IFERROR(INDEX('Исходник'!$1:$626,MATCH($A847,'Исходник'!$T:$T,0),MATCH(F$1,'Исходник'!$1:$1,0)))</f>
        <v/>
      </c>
      <c r="G847" s="1" t="str">
        <f t="array" ref="G847">IFERROR(INDEX('Исходник'!$1:$626,MATCH($A847,'Исходник'!$T:$T,0),MATCH(G$1,'Исходник'!$1:$1,0)))</f>
        <v/>
      </c>
      <c r="H847" s="27">
        <f t="shared" si="1"/>
        <v>0</v>
      </c>
      <c r="I847" s="27" t="str">
        <f t="shared" si="2"/>
        <v/>
      </c>
      <c r="J847" s="1" t="str">
        <f t="array" ref="J847">IFERROR(INDEX('Исходник'!$1:$626,MATCH($A847,'Исходник'!$T:$T,0),MATCH(J$1,'Исходник'!$1:$1,0)))</f>
        <v/>
      </c>
      <c r="K847" s="27" t="str">
        <f t="shared" si="3"/>
        <v/>
      </c>
      <c r="L847" s="1" t="str">
        <f t="array" ref="L847">IFERROR(INDEX('Исходник'!$1:$626,MATCH($A847,'Исходник'!$T:$T,0),MATCH(L$1,'Исходник'!$1:$1,0)))</f>
        <v/>
      </c>
      <c r="M847" s="28">
        <f t="shared" si="4"/>
        <v>0</v>
      </c>
      <c r="N847" s="1" t="str">
        <f t="array" ref="N847">IFERROR(INDEX('Исходник'!$1:$626,MATCH($A847,'Исходник'!$T:$T,0),MATCH(N$1,'Исходник'!$1:$1,0)))</f>
        <v/>
      </c>
      <c r="O847" s="27">
        <f t="shared" si="5"/>
        <v>0</v>
      </c>
      <c r="P847" s="27" t="str">
        <f t="shared" si="6"/>
        <v/>
      </c>
      <c r="Q847" s="1" t="str">
        <f t="array" ref="Q847">IFERROR(INDEX('Исходник'!$1:$626,MATCH($A847,'Исходник'!$T:$T,0),MATCH(Q$1,'Исходник'!$1:$1,0)))</f>
        <v/>
      </c>
      <c r="R847" s="1" t="str">
        <f t="array" ref="R847">IFERROR(INDEX('Исходник'!$1:$626,MATCH($A847,'Исходник'!$T:$T,0),MATCH(R$1,'Исходник'!$1:$1,0)))</f>
        <v/>
      </c>
      <c r="S847" s="27">
        <f t="shared" si="7"/>
        <v>0</v>
      </c>
      <c r="T847" s="27" t="str">
        <f t="shared" si="8"/>
        <v/>
      </c>
      <c r="U847" s="1" t="str">
        <f t="array" ref="U847">IFERROR(INDEX('Исходник'!$1:$626,MATCH($A847,'Исходник'!$T:$T,0),MATCH(U$1,'Исходник'!$1:$1,0)))</f>
        <v/>
      </c>
      <c r="V847" s="27" t="str">
        <f t="shared" si="9"/>
        <v/>
      </c>
      <c r="W847" s="1" t="str">
        <f t="array" ref="W847">IFERROR(INDEX('Исходник'!$1:$626,MATCH($A847,'Исходник'!$T:$T,0),MATCH(W$1,'Исходник'!$1:$1,0)))</f>
        <v/>
      </c>
      <c r="X847" s="28">
        <f t="shared" si="10"/>
        <v>0</v>
      </c>
      <c r="Y847" s="1" t="str">
        <f t="array" ref="Y847">IFERROR(INDEX('Исходник'!$1:$626,MATCH($A847,'Исходник'!$T:$T,0),MATCH(Y$1,'Исходник'!$1:$1,0)))</f>
        <v/>
      </c>
      <c r="Z847" s="27">
        <f t="shared" si="11"/>
        <v>0</v>
      </c>
      <c r="AA847" s="27" t="str">
        <f t="shared" si="12"/>
        <v/>
      </c>
      <c r="AB847" s="1" t="str">
        <f t="array" ref="AB847">IFERROR(INDEX('Исходник'!$1:$626,MATCH($A847,'Исходник'!$T:$T,0),MATCH(AB$1,'Исходник'!$1:$1,0)))</f>
        <v/>
      </c>
      <c r="AC847" s="1" t="str">
        <f t="array" ref="AC847">IFERROR(INDEX('Исходник'!$1:$626,MATCH($A847,'Исходник'!$T:$T,0),MATCH(AC$1,'Исходник'!$1:$1,0)))</f>
        <v/>
      </c>
      <c r="AD847" s="27" t="str">
        <f t="shared" si="13"/>
        <v/>
      </c>
      <c r="AE847" s="1" t="str">
        <f t="array" ref="AE847">IFERROR(INDEX('Исходник'!$1:$626,MATCH($A847,'Исходник'!$T:$T,0),MATCH(AE$1,'Исходник'!$1:$1,0)))</f>
        <v/>
      </c>
      <c r="AF847" s="1" t="str">
        <f t="array" ref="AF847">IFERROR(INDEX('Исходник'!$1:$626,MATCH($A847,'Исходник'!$T:$T,0),MATCH(AF$1,'Исходник'!$1:$1,0)))</f>
        <v/>
      </c>
      <c r="AG847" s="27" t="str">
        <f t="shared" si="14"/>
        <v/>
      </c>
      <c r="AH847" s="1" t="str">
        <f t="array" ref="AH847">IFERROR(INDEX('Исходник'!$1:$626,MATCH($A847,'Исходник'!$T:$T,0),MATCH(AH$1,'Исходник'!$1:$1,0)))</f>
        <v/>
      </c>
      <c r="AI847" s="1" t="str">
        <f t="array" ref="AI847">IFERROR(INDEX('Исходник'!$1:$626,MATCH($A847,'Исходник'!$T:$T,0),MATCH(AI$1,'Исходник'!$1:$1,0)))</f>
        <v/>
      </c>
      <c r="AJ847" s="18">
        <f t="shared" si="15"/>
        <v>0</v>
      </c>
    </row>
    <row r="848" ht="15.75" customHeight="1">
      <c r="A848" s="27"/>
      <c r="B848" s="1" t="str">
        <f t="array" ref="B848">IFERROR(INDEX('Исходник'!$1:$626,MATCH($A848,'Исходник'!$T:$T,0),MATCH(B$1,'Исходник'!$1:$1,0)))</f>
        <v/>
      </c>
      <c r="C848" s="1" t="str">
        <f t="array" ref="C848">IFERROR(INDEX('Исходник'!$1:$626,MATCH($A848,'Исходник'!$T:$T,0),MATCH(C$1,'Исходник'!$1:$1,0)))</f>
        <v/>
      </c>
      <c r="D848" s="1" t="str">
        <f t="array" ref="D848">IFERROR(INDEX('Исходник'!$1:$626,MATCH($A848,'Исходник'!$T:$T,0),MATCH(D$1,'Исходник'!$1:$1,0)))</f>
        <v/>
      </c>
      <c r="E848" s="1" t="str">
        <f t="array" ref="E848">IFERROR(INDEX('Исходник'!$1:$626,MATCH($A848,'Исходник'!$T:$T,0),MATCH(E$1,'Исходник'!$1:$1,0)))</f>
        <v/>
      </c>
      <c r="F848" s="1" t="str">
        <f t="array" ref="F848">IFERROR(INDEX('Исходник'!$1:$626,MATCH($A848,'Исходник'!$T:$T,0),MATCH(F$1,'Исходник'!$1:$1,0)))</f>
        <v/>
      </c>
      <c r="G848" s="1" t="str">
        <f t="array" ref="G848">IFERROR(INDEX('Исходник'!$1:$626,MATCH($A848,'Исходник'!$T:$T,0),MATCH(G$1,'Исходник'!$1:$1,0)))</f>
        <v/>
      </c>
      <c r="H848" s="27">
        <f t="shared" si="1"/>
        <v>0</v>
      </c>
      <c r="I848" s="27" t="str">
        <f t="shared" si="2"/>
        <v/>
      </c>
      <c r="J848" s="1" t="str">
        <f t="array" ref="J848">IFERROR(INDEX('Исходник'!$1:$626,MATCH($A848,'Исходник'!$T:$T,0),MATCH(J$1,'Исходник'!$1:$1,0)))</f>
        <v/>
      </c>
      <c r="K848" s="27" t="str">
        <f t="shared" si="3"/>
        <v/>
      </c>
      <c r="L848" s="1" t="str">
        <f t="array" ref="L848">IFERROR(INDEX('Исходник'!$1:$626,MATCH($A848,'Исходник'!$T:$T,0),MATCH(L$1,'Исходник'!$1:$1,0)))</f>
        <v/>
      </c>
      <c r="M848" s="28">
        <f t="shared" si="4"/>
        <v>0</v>
      </c>
      <c r="N848" s="1" t="str">
        <f t="array" ref="N848">IFERROR(INDEX('Исходник'!$1:$626,MATCH($A848,'Исходник'!$T:$T,0),MATCH(N$1,'Исходник'!$1:$1,0)))</f>
        <v/>
      </c>
      <c r="O848" s="27">
        <f t="shared" si="5"/>
        <v>0</v>
      </c>
      <c r="P848" s="27" t="str">
        <f t="shared" si="6"/>
        <v/>
      </c>
      <c r="Q848" s="1" t="str">
        <f t="array" ref="Q848">IFERROR(INDEX('Исходник'!$1:$626,MATCH($A848,'Исходник'!$T:$T,0),MATCH(Q$1,'Исходник'!$1:$1,0)))</f>
        <v/>
      </c>
      <c r="R848" s="1" t="str">
        <f t="array" ref="R848">IFERROR(INDEX('Исходник'!$1:$626,MATCH($A848,'Исходник'!$T:$T,0),MATCH(R$1,'Исходник'!$1:$1,0)))</f>
        <v/>
      </c>
      <c r="S848" s="27">
        <f t="shared" si="7"/>
        <v>0</v>
      </c>
      <c r="T848" s="27" t="str">
        <f t="shared" si="8"/>
        <v/>
      </c>
      <c r="U848" s="1" t="str">
        <f t="array" ref="U848">IFERROR(INDEX('Исходник'!$1:$626,MATCH($A848,'Исходник'!$T:$T,0),MATCH(U$1,'Исходник'!$1:$1,0)))</f>
        <v/>
      </c>
      <c r="V848" s="27" t="str">
        <f t="shared" si="9"/>
        <v/>
      </c>
      <c r="W848" s="1" t="str">
        <f t="array" ref="W848">IFERROR(INDEX('Исходник'!$1:$626,MATCH($A848,'Исходник'!$T:$T,0),MATCH(W$1,'Исходник'!$1:$1,0)))</f>
        <v/>
      </c>
      <c r="X848" s="28">
        <f t="shared" si="10"/>
        <v>0</v>
      </c>
      <c r="Y848" s="1" t="str">
        <f t="array" ref="Y848">IFERROR(INDEX('Исходник'!$1:$626,MATCH($A848,'Исходник'!$T:$T,0),MATCH(Y$1,'Исходник'!$1:$1,0)))</f>
        <v/>
      </c>
      <c r="Z848" s="27">
        <f t="shared" si="11"/>
        <v>0</v>
      </c>
      <c r="AA848" s="27" t="str">
        <f t="shared" si="12"/>
        <v/>
      </c>
      <c r="AB848" s="1" t="str">
        <f t="array" ref="AB848">IFERROR(INDEX('Исходник'!$1:$626,MATCH($A848,'Исходник'!$T:$T,0),MATCH(AB$1,'Исходник'!$1:$1,0)))</f>
        <v/>
      </c>
      <c r="AC848" s="1" t="str">
        <f t="array" ref="AC848">IFERROR(INDEX('Исходник'!$1:$626,MATCH($A848,'Исходник'!$T:$T,0),MATCH(AC$1,'Исходник'!$1:$1,0)))</f>
        <v/>
      </c>
      <c r="AD848" s="27" t="str">
        <f t="shared" si="13"/>
        <v/>
      </c>
      <c r="AE848" s="1" t="str">
        <f t="array" ref="AE848">IFERROR(INDEX('Исходник'!$1:$626,MATCH($A848,'Исходник'!$T:$T,0),MATCH(AE$1,'Исходник'!$1:$1,0)))</f>
        <v/>
      </c>
      <c r="AF848" s="1" t="str">
        <f t="array" ref="AF848">IFERROR(INDEX('Исходник'!$1:$626,MATCH($A848,'Исходник'!$T:$T,0),MATCH(AF$1,'Исходник'!$1:$1,0)))</f>
        <v/>
      </c>
      <c r="AG848" s="27" t="str">
        <f t="shared" si="14"/>
        <v/>
      </c>
      <c r="AH848" s="1" t="str">
        <f t="array" ref="AH848">IFERROR(INDEX('Исходник'!$1:$626,MATCH($A848,'Исходник'!$T:$T,0),MATCH(AH$1,'Исходник'!$1:$1,0)))</f>
        <v/>
      </c>
      <c r="AI848" s="1" t="str">
        <f t="array" ref="AI848">IFERROR(INDEX('Исходник'!$1:$626,MATCH($A848,'Исходник'!$T:$T,0),MATCH(AI$1,'Исходник'!$1:$1,0)))</f>
        <v/>
      </c>
      <c r="AJ848" s="18">
        <f t="shared" si="15"/>
        <v>0</v>
      </c>
    </row>
    <row r="849" ht="15.75" customHeight="1">
      <c r="A849" s="27"/>
      <c r="B849" s="1" t="str">
        <f t="array" ref="B849">IFERROR(INDEX('Исходник'!$1:$626,MATCH($A849,'Исходник'!$T:$T,0),MATCH(B$1,'Исходник'!$1:$1,0)))</f>
        <v/>
      </c>
      <c r="C849" s="1" t="str">
        <f t="array" ref="C849">IFERROR(INDEX('Исходник'!$1:$626,MATCH($A849,'Исходник'!$T:$T,0),MATCH(C$1,'Исходник'!$1:$1,0)))</f>
        <v/>
      </c>
      <c r="D849" s="1" t="str">
        <f t="array" ref="D849">IFERROR(INDEX('Исходник'!$1:$626,MATCH($A849,'Исходник'!$T:$T,0),MATCH(D$1,'Исходник'!$1:$1,0)))</f>
        <v/>
      </c>
      <c r="E849" s="1" t="str">
        <f t="array" ref="E849">IFERROR(INDEX('Исходник'!$1:$626,MATCH($A849,'Исходник'!$T:$T,0),MATCH(E$1,'Исходник'!$1:$1,0)))</f>
        <v/>
      </c>
      <c r="F849" s="1" t="str">
        <f t="array" ref="F849">IFERROR(INDEX('Исходник'!$1:$626,MATCH($A849,'Исходник'!$T:$T,0),MATCH(F$1,'Исходник'!$1:$1,0)))</f>
        <v/>
      </c>
      <c r="G849" s="1" t="str">
        <f t="array" ref="G849">IFERROR(INDEX('Исходник'!$1:$626,MATCH($A849,'Исходник'!$T:$T,0),MATCH(G$1,'Исходник'!$1:$1,0)))</f>
        <v/>
      </c>
      <c r="H849" s="27">
        <f t="shared" si="1"/>
        <v>0</v>
      </c>
      <c r="I849" s="27" t="str">
        <f t="shared" si="2"/>
        <v/>
      </c>
      <c r="J849" s="1" t="str">
        <f t="array" ref="J849">IFERROR(INDEX('Исходник'!$1:$626,MATCH($A849,'Исходник'!$T:$T,0),MATCH(J$1,'Исходник'!$1:$1,0)))</f>
        <v/>
      </c>
      <c r="K849" s="27" t="str">
        <f t="shared" si="3"/>
        <v/>
      </c>
      <c r="L849" s="1" t="str">
        <f t="array" ref="L849">IFERROR(INDEX('Исходник'!$1:$626,MATCH($A849,'Исходник'!$T:$T,0),MATCH(L$1,'Исходник'!$1:$1,0)))</f>
        <v/>
      </c>
      <c r="M849" s="28">
        <f t="shared" si="4"/>
        <v>0</v>
      </c>
      <c r="N849" s="1" t="str">
        <f t="array" ref="N849">IFERROR(INDEX('Исходник'!$1:$626,MATCH($A849,'Исходник'!$T:$T,0),MATCH(N$1,'Исходник'!$1:$1,0)))</f>
        <v/>
      </c>
      <c r="O849" s="27">
        <f t="shared" si="5"/>
        <v>0</v>
      </c>
      <c r="P849" s="27" t="str">
        <f t="shared" si="6"/>
        <v/>
      </c>
      <c r="Q849" s="1" t="str">
        <f t="array" ref="Q849">IFERROR(INDEX('Исходник'!$1:$626,MATCH($A849,'Исходник'!$T:$T,0),MATCH(Q$1,'Исходник'!$1:$1,0)))</f>
        <v/>
      </c>
      <c r="R849" s="1" t="str">
        <f t="array" ref="R849">IFERROR(INDEX('Исходник'!$1:$626,MATCH($A849,'Исходник'!$T:$T,0),MATCH(R$1,'Исходник'!$1:$1,0)))</f>
        <v/>
      </c>
      <c r="S849" s="27">
        <f t="shared" si="7"/>
        <v>0</v>
      </c>
      <c r="T849" s="27" t="str">
        <f t="shared" si="8"/>
        <v/>
      </c>
      <c r="U849" s="1" t="str">
        <f t="array" ref="U849">IFERROR(INDEX('Исходник'!$1:$626,MATCH($A849,'Исходник'!$T:$T,0),MATCH(U$1,'Исходник'!$1:$1,0)))</f>
        <v/>
      </c>
      <c r="V849" s="27" t="str">
        <f t="shared" si="9"/>
        <v/>
      </c>
      <c r="W849" s="1" t="str">
        <f t="array" ref="W849">IFERROR(INDEX('Исходник'!$1:$626,MATCH($A849,'Исходник'!$T:$T,0),MATCH(W$1,'Исходник'!$1:$1,0)))</f>
        <v/>
      </c>
      <c r="X849" s="28">
        <f t="shared" si="10"/>
        <v>0</v>
      </c>
      <c r="Y849" s="1" t="str">
        <f t="array" ref="Y849">IFERROR(INDEX('Исходник'!$1:$626,MATCH($A849,'Исходник'!$T:$T,0),MATCH(Y$1,'Исходник'!$1:$1,0)))</f>
        <v/>
      </c>
      <c r="Z849" s="27">
        <f t="shared" si="11"/>
        <v>0</v>
      </c>
      <c r="AA849" s="27" t="str">
        <f t="shared" si="12"/>
        <v/>
      </c>
      <c r="AB849" s="1" t="str">
        <f t="array" ref="AB849">IFERROR(INDEX('Исходник'!$1:$626,MATCH($A849,'Исходник'!$T:$T,0),MATCH(AB$1,'Исходник'!$1:$1,0)))</f>
        <v/>
      </c>
      <c r="AC849" s="1" t="str">
        <f t="array" ref="AC849">IFERROR(INDEX('Исходник'!$1:$626,MATCH($A849,'Исходник'!$T:$T,0),MATCH(AC$1,'Исходник'!$1:$1,0)))</f>
        <v/>
      </c>
      <c r="AD849" s="27" t="str">
        <f t="shared" si="13"/>
        <v/>
      </c>
      <c r="AE849" s="1" t="str">
        <f t="array" ref="AE849">IFERROR(INDEX('Исходник'!$1:$626,MATCH($A849,'Исходник'!$T:$T,0),MATCH(AE$1,'Исходник'!$1:$1,0)))</f>
        <v/>
      </c>
      <c r="AF849" s="1" t="str">
        <f t="array" ref="AF849">IFERROR(INDEX('Исходник'!$1:$626,MATCH($A849,'Исходник'!$T:$T,0),MATCH(AF$1,'Исходник'!$1:$1,0)))</f>
        <v/>
      </c>
      <c r="AG849" s="27" t="str">
        <f t="shared" si="14"/>
        <v/>
      </c>
      <c r="AH849" s="1" t="str">
        <f t="array" ref="AH849">IFERROR(INDEX('Исходник'!$1:$626,MATCH($A849,'Исходник'!$T:$T,0),MATCH(AH$1,'Исходник'!$1:$1,0)))</f>
        <v/>
      </c>
      <c r="AI849" s="1" t="str">
        <f t="array" ref="AI849">IFERROR(INDEX('Исходник'!$1:$626,MATCH($A849,'Исходник'!$T:$T,0),MATCH(AI$1,'Исходник'!$1:$1,0)))</f>
        <v/>
      </c>
      <c r="AJ849" s="18">
        <f t="shared" si="15"/>
        <v>0</v>
      </c>
    </row>
    <row r="850" ht="15.75" customHeight="1">
      <c r="A850" s="27"/>
      <c r="B850" s="1" t="str">
        <f t="array" ref="B850">IFERROR(INDEX('Исходник'!$1:$626,MATCH($A850,'Исходник'!$T:$T,0),MATCH(B$1,'Исходник'!$1:$1,0)))</f>
        <v/>
      </c>
      <c r="C850" s="1" t="str">
        <f t="array" ref="C850">IFERROR(INDEX('Исходник'!$1:$626,MATCH($A850,'Исходник'!$T:$T,0),MATCH(C$1,'Исходник'!$1:$1,0)))</f>
        <v/>
      </c>
      <c r="D850" s="1" t="str">
        <f t="array" ref="D850">IFERROR(INDEX('Исходник'!$1:$626,MATCH($A850,'Исходник'!$T:$T,0),MATCH(D$1,'Исходник'!$1:$1,0)))</f>
        <v/>
      </c>
      <c r="E850" s="1" t="str">
        <f t="array" ref="E850">IFERROR(INDEX('Исходник'!$1:$626,MATCH($A850,'Исходник'!$T:$T,0),MATCH(E$1,'Исходник'!$1:$1,0)))</f>
        <v/>
      </c>
      <c r="F850" s="1" t="str">
        <f t="array" ref="F850">IFERROR(INDEX('Исходник'!$1:$626,MATCH($A850,'Исходник'!$T:$T,0),MATCH(F$1,'Исходник'!$1:$1,0)))</f>
        <v/>
      </c>
      <c r="G850" s="1" t="str">
        <f t="array" ref="G850">IFERROR(INDEX('Исходник'!$1:$626,MATCH($A850,'Исходник'!$T:$T,0),MATCH(G$1,'Исходник'!$1:$1,0)))</f>
        <v/>
      </c>
      <c r="H850" s="27">
        <f t="shared" si="1"/>
        <v>0</v>
      </c>
      <c r="I850" s="27" t="str">
        <f t="shared" si="2"/>
        <v/>
      </c>
      <c r="J850" s="1" t="str">
        <f t="array" ref="J850">IFERROR(INDEX('Исходник'!$1:$626,MATCH($A850,'Исходник'!$T:$T,0),MATCH(J$1,'Исходник'!$1:$1,0)))</f>
        <v/>
      </c>
      <c r="K850" s="27" t="str">
        <f t="shared" si="3"/>
        <v/>
      </c>
      <c r="L850" s="1" t="str">
        <f t="array" ref="L850">IFERROR(INDEX('Исходник'!$1:$626,MATCH($A850,'Исходник'!$T:$T,0),MATCH(L$1,'Исходник'!$1:$1,0)))</f>
        <v/>
      </c>
      <c r="M850" s="28">
        <f t="shared" si="4"/>
        <v>0</v>
      </c>
      <c r="N850" s="1" t="str">
        <f t="array" ref="N850">IFERROR(INDEX('Исходник'!$1:$626,MATCH($A850,'Исходник'!$T:$T,0),MATCH(N$1,'Исходник'!$1:$1,0)))</f>
        <v/>
      </c>
      <c r="O850" s="27">
        <f t="shared" si="5"/>
        <v>0</v>
      </c>
      <c r="P850" s="27" t="str">
        <f t="shared" si="6"/>
        <v/>
      </c>
      <c r="Q850" s="1" t="str">
        <f t="array" ref="Q850">IFERROR(INDEX('Исходник'!$1:$626,MATCH($A850,'Исходник'!$T:$T,0),MATCH(Q$1,'Исходник'!$1:$1,0)))</f>
        <v/>
      </c>
      <c r="R850" s="1" t="str">
        <f t="array" ref="R850">IFERROR(INDEX('Исходник'!$1:$626,MATCH($A850,'Исходник'!$T:$T,0),MATCH(R$1,'Исходник'!$1:$1,0)))</f>
        <v/>
      </c>
      <c r="S850" s="27">
        <f t="shared" si="7"/>
        <v>0</v>
      </c>
      <c r="T850" s="27" t="str">
        <f t="shared" si="8"/>
        <v/>
      </c>
      <c r="U850" s="1" t="str">
        <f t="array" ref="U850">IFERROR(INDEX('Исходник'!$1:$626,MATCH($A850,'Исходник'!$T:$T,0),MATCH(U$1,'Исходник'!$1:$1,0)))</f>
        <v/>
      </c>
      <c r="V850" s="27" t="str">
        <f t="shared" si="9"/>
        <v/>
      </c>
      <c r="W850" s="1" t="str">
        <f t="array" ref="W850">IFERROR(INDEX('Исходник'!$1:$626,MATCH($A850,'Исходник'!$T:$T,0),MATCH(W$1,'Исходник'!$1:$1,0)))</f>
        <v/>
      </c>
      <c r="X850" s="28">
        <f t="shared" si="10"/>
        <v>0</v>
      </c>
      <c r="Y850" s="1" t="str">
        <f t="array" ref="Y850">IFERROR(INDEX('Исходник'!$1:$626,MATCH($A850,'Исходник'!$T:$T,0),MATCH(Y$1,'Исходник'!$1:$1,0)))</f>
        <v/>
      </c>
      <c r="Z850" s="27">
        <f t="shared" si="11"/>
        <v>0</v>
      </c>
      <c r="AA850" s="27" t="str">
        <f t="shared" si="12"/>
        <v/>
      </c>
      <c r="AB850" s="1" t="str">
        <f t="array" ref="AB850">IFERROR(INDEX('Исходник'!$1:$626,MATCH($A850,'Исходник'!$T:$T,0),MATCH(AB$1,'Исходник'!$1:$1,0)))</f>
        <v/>
      </c>
      <c r="AC850" s="1" t="str">
        <f t="array" ref="AC850">IFERROR(INDEX('Исходник'!$1:$626,MATCH($A850,'Исходник'!$T:$T,0),MATCH(AC$1,'Исходник'!$1:$1,0)))</f>
        <v/>
      </c>
      <c r="AD850" s="27" t="str">
        <f t="shared" si="13"/>
        <v/>
      </c>
      <c r="AE850" s="1" t="str">
        <f t="array" ref="AE850">IFERROR(INDEX('Исходник'!$1:$626,MATCH($A850,'Исходник'!$T:$T,0),MATCH(AE$1,'Исходник'!$1:$1,0)))</f>
        <v/>
      </c>
      <c r="AF850" s="1" t="str">
        <f t="array" ref="AF850">IFERROR(INDEX('Исходник'!$1:$626,MATCH($A850,'Исходник'!$T:$T,0),MATCH(AF$1,'Исходник'!$1:$1,0)))</f>
        <v/>
      </c>
      <c r="AG850" s="27" t="str">
        <f t="shared" si="14"/>
        <v/>
      </c>
      <c r="AH850" s="1" t="str">
        <f t="array" ref="AH850">IFERROR(INDEX('Исходник'!$1:$626,MATCH($A850,'Исходник'!$T:$T,0),MATCH(AH$1,'Исходник'!$1:$1,0)))</f>
        <v/>
      </c>
      <c r="AI850" s="1" t="str">
        <f t="array" ref="AI850">IFERROR(INDEX('Исходник'!$1:$626,MATCH($A850,'Исходник'!$T:$T,0),MATCH(AI$1,'Исходник'!$1:$1,0)))</f>
        <v/>
      </c>
      <c r="AJ850" s="18">
        <f t="shared" si="15"/>
        <v>0</v>
      </c>
    </row>
    <row r="851" ht="15.75" customHeight="1">
      <c r="A851" s="27"/>
      <c r="B851" s="1" t="str">
        <f t="array" ref="B851">IFERROR(INDEX('Исходник'!$1:$626,MATCH($A851,'Исходник'!$T:$T,0),MATCH(B$1,'Исходник'!$1:$1,0)))</f>
        <v/>
      </c>
      <c r="C851" s="1" t="str">
        <f t="array" ref="C851">IFERROR(INDEX('Исходник'!$1:$626,MATCH($A851,'Исходник'!$T:$T,0),MATCH(C$1,'Исходник'!$1:$1,0)))</f>
        <v/>
      </c>
      <c r="D851" s="1" t="str">
        <f t="array" ref="D851">IFERROR(INDEX('Исходник'!$1:$626,MATCH($A851,'Исходник'!$T:$T,0),MATCH(D$1,'Исходник'!$1:$1,0)))</f>
        <v/>
      </c>
      <c r="E851" s="1" t="str">
        <f t="array" ref="E851">IFERROR(INDEX('Исходник'!$1:$626,MATCH($A851,'Исходник'!$T:$T,0),MATCH(E$1,'Исходник'!$1:$1,0)))</f>
        <v/>
      </c>
      <c r="F851" s="1" t="str">
        <f t="array" ref="F851">IFERROR(INDEX('Исходник'!$1:$626,MATCH($A851,'Исходник'!$T:$T,0),MATCH(F$1,'Исходник'!$1:$1,0)))</f>
        <v/>
      </c>
      <c r="G851" s="1" t="str">
        <f t="array" ref="G851">IFERROR(INDEX('Исходник'!$1:$626,MATCH($A851,'Исходник'!$T:$T,0),MATCH(G$1,'Исходник'!$1:$1,0)))</f>
        <v/>
      </c>
      <c r="H851" s="27">
        <f t="shared" si="1"/>
        <v>0</v>
      </c>
      <c r="I851" s="27" t="str">
        <f t="shared" si="2"/>
        <v/>
      </c>
      <c r="J851" s="1" t="str">
        <f t="array" ref="J851">IFERROR(INDEX('Исходник'!$1:$626,MATCH($A851,'Исходник'!$T:$T,0),MATCH(J$1,'Исходник'!$1:$1,0)))</f>
        <v/>
      </c>
      <c r="K851" s="27" t="str">
        <f t="shared" si="3"/>
        <v/>
      </c>
      <c r="L851" s="1" t="str">
        <f t="array" ref="L851">IFERROR(INDEX('Исходник'!$1:$626,MATCH($A851,'Исходник'!$T:$T,0),MATCH(L$1,'Исходник'!$1:$1,0)))</f>
        <v/>
      </c>
      <c r="M851" s="28">
        <f t="shared" si="4"/>
        <v>0</v>
      </c>
      <c r="N851" s="1" t="str">
        <f t="array" ref="N851">IFERROR(INDEX('Исходник'!$1:$626,MATCH($A851,'Исходник'!$T:$T,0),MATCH(N$1,'Исходник'!$1:$1,0)))</f>
        <v/>
      </c>
      <c r="O851" s="27">
        <f t="shared" si="5"/>
        <v>0</v>
      </c>
      <c r="P851" s="27" t="str">
        <f t="shared" si="6"/>
        <v/>
      </c>
      <c r="Q851" s="1" t="str">
        <f t="array" ref="Q851">IFERROR(INDEX('Исходник'!$1:$626,MATCH($A851,'Исходник'!$T:$T,0),MATCH(Q$1,'Исходник'!$1:$1,0)))</f>
        <v/>
      </c>
      <c r="R851" s="1" t="str">
        <f t="array" ref="R851">IFERROR(INDEX('Исходник'!$1:$626,MATCH($A851,'Исходник'!$T:$T,0),MATCH(R$1,'Исходник'!$1:$1,0)))</f>
        <v/>
      </c>
      <c r="S851" s="27">
        <f t="shared" si="7"/>
        <v>0</v>
      </c>
      <c r="T851" s="27" t="str">
        <f t="shared" si="8"/>
        <v/>
      </c>
      <c r="U851" s="1" t="str">
        <f t="array" ref="U851">IFERROR(INDEX('Исходник'!$1:$626,MATCH($A851,'Исходник'!$T:$T,0),MATCH(U$1,'Исходник'!$1:$1,0)))</f>
        <v/>
      </c>
      <c r="V851" s="27" t="str">
        <f t="shared" si="9"/>
        <v/>
      </c>
      <c r="W851" s="1" t="str">
        <f t="array" ref="W851">IFERROR(INDEX('Исходник'!$1:$626,MATCH($A851,'Исходник'!$T:$T,0),MATCH(W$1,'Исходник'!$1:$1,0)))</f>
        <v/>
      </c>
      <c r="X851" s="28">
        <f t="shared" si="10"/>
        <v>0</v>
      </c>
      <c r="Y851" s="1" t="str">
        <f t="array" ref="Y851">IFERROR(INDEX('Исходник'!$1:$626,MATCH($A851,'Исходник'!$T:$T,0),MATCH(Y$1,'Исходник'!$1:$1,0)))</f>
        <v/>
      </c>
      <c r="Z851" s="27">
        <f t="shared" si="11"/>
        <v>0</v>
      </c>
      <c r="AA851" s="27" t="str">
        <f t="shared" si="12"/>
        <v/>
      </c>
      <c r="AB851" s="1" t="str">
        <f t="array" ref="AB851">IFERROR(INDEX('Исходник'!$1:$626,MATCH($A851,'Исходник'!$T:$T,0),MATCH(AB$1,'Исходник'!$1:$1,0)))</f>
        <v/>
      </c>
      <c r="AC851" s="1" t="str">
        <f t="array" ref="AC851">IFERROR(INDEX('Исходник'!$1:$626,MATCH($A851,'Исходник'!$T:$T,0),MATCH(AC$1,'Исходник'!$1:$1,0)))</f>
        <v/>
      </c>
      <c r="AD851" s="27" t="str">
        <f t="shared" si="13"/>
        <v/>
      </c>
      <c r="AE851" s="1" t="str">
        <f t="array" ref="AE851">IFERROR(INDEX('Исходник'!$1:$626,MATCH($A851,'Исходник'!$T:$T,0),MATCH(AE$1,'Исходник'!$1:$1,0)))</f>
        <v/>
      </c>
      <c r="AF851" s="1" t="str">
        <f t="array" ref="AF851">IFERROR(INDEX('Исходник'!$1:$626,MATCH($A851,'Исходник'!$T:$T,0),MATCH(AF$1,'Исходник'!$1:$1,0)))</f>
        <v/>
      </c>
      <c r="AG851" s="27" t="str">
        <f t="shared" si="14"/>
        <v/>
      </c>
      <c r="AH851" s="1" t="str">
        <f t="array" ref="AH851">IFERROR(INDEX('Исходник'!$1:$626,MATCH($A851,'Исходник'!$T:$T,0),MATCH(AH$1,'Исходник'!$1:$1,0)))</f>
        <v/>
      </c>
      <c r="AI851" s="1" t="str">
        <f t="array" ref="AI851">IFERROR(INDEX('Исходник'!$1:$626,MATCH($A851,'Исходник'!$T:$T,0),MATCH(AI$1,'Исходник'!$1:$1,0)))</f>
        <v/>
      </c>
      <c r="AJ851" s="18">
        <f t="shared" si="15"/>
        <v>0</v>
      </c>
    </row>
    <row r="852" ht="15.75" customHeight="1">
      <c r="A852" s="27"/>
      <c r="B852" s="1" t="str">
        <f t="array" ref="B852">IFERROR(INDEX('Исходник'!$1:$626,MATCH($A852,'Исходник'!$T:$T,0),MATCH(B$1,'Исходник'!$1:$1,0)))</f>
        <v/>
      </c>
      <c r="C852" s="1" t="str">
        <f t="array" ref="C852">IFERROR(INDEX('Исходник'!$1:$626,MATCH($A852,'Исходник'!$T:$T,0),MATCH(C$1,'Исходник'!$1:$1,0)))</f>
        <v/>
      </c>
      <c r="D852" s="1" t="str">
        <f t="array" ref="D852">IFERROR(INDEX('Исходник'!$1:$626,MATCH($A852,'Исходник'!$T:$T,0),MATCH(D$1,'Исходник'!$1:$1,0)))</f>
        <v/>
      </c>
      <c r="E852" s="1" t="str">
        <f t="array" ref="E852">IFERROR(INDEX('Исходник'!$1:$626,MATCH($A852,'Исходник'!$T:$T,0),MATCH(E$1,'Исходник'!$1:$1,0)))</f>
        <v/>
      </c>
      <c r="F852" s="1" t="str">
        <f t="array" ref="F852">IFERROR(INDEX('Исходник'!$1:$626,MATCH($A852,'Исходник'!$T:$T,0),MATCH(F$1,'Исходник'!$1:$1,0)))</f>
        <v/>
      </c>
      <c r="G852" s="1" t="str">
        <f t="array" ref="G852">IFERROR(INDEX('Исходник'!$1:$626,MATCH($A852,'Исходник'!$T:$T,0),MATCH(G$1,'Исходник'!$1:$1,0)))</f>
        <v/>
      </c>
      <c r="H852" s="27">
        <f t="shared" si="1"/>
        <v>0</v>
      </c>
      <c r="I852" s="27" t="str">
        <f t="shared" si="2"/>
        <v/>
      </c>
      <c r="J852" s="1" t="str">
        <f t="array" ref="J852">IFERROR(INDEX('Исходник'!$1:$626,MATCH($A852,'Исходник'!$T:$T,0),MATCH(J$1,'Исходник'!$1:$1,0)))</f>
        <v/>
      </c>
      <c r="K852" s="27" t="str">
        <f t="shared" si="3"/>
        <v/>
      </c>
      <c r="L852" s="1" t="str">
        <f t="array" ref="L852">IFERROR(INDEX('Исходник'!$1:$626,MATCH($A852,'Исходник'!$T:$T,0),MATCH(L$1,'Исходник'!$1:$1,0)))</f>
        <v/>
      </c>
      <c r="M852" s="28">
        <f t="shared" si="4"/>
        <v>0</v>
      </c>
      <c r="N852" s="1" t="str">
        <f t="array" ref="N852">IFERROR(INDEX('Исходник'!$1:$626,MATCH($A852,'Исходник'!$T:$T,0),MATCH(N$1,'Исходник'!$1:$1,0)))</f>
        <v/>
      </c>
      <c r="O852" s="27">
        <f t="shared" si="5"/>
        <v>0</v>
      </c>
      <c r="P852" s="27" t="str">
        <f t="shared" si="6"/>
        <v/>
      </c>
      <c r="Q852" s="1" t="str">
        <f t="array" ref="Q852">IFERROR(INDEX('Исходник'!$1:$626,MATCH($A852,'Исходник'!$T:$T,0),MATCH(Q$1,'Исходник'!$1:$1,0)))</f>
        <v/>
      </c>
      <c r="R852" s="1" t="str">
        <f t="array" ref="R852">IFERROR(INDEX('Исходник'!$1:$626,MATCH($A852,'Исходник'!$T:$T,0),MATCH(R$1,'Исходник'!$1:$1,0)))</f>
        <v/>
      </c>
      <c r="S852" s="27">
        <f t="shared" si="7"/>
        <v>0</v>
      </c>
      <c r="T852" s="27" t="str">
        <f t="shared" si="8"/>
        <v/>
      </c>
      <c r="U852" s="1" t="str">
        <f t="array" ref="U852">IFERROR(INDEX('Исходник'!$1:$626,MATCH($A852,'Исходник'!$T:$T,0),MATCH(U$1,'Исходник'!$1:$1,0)))</f>
        <v/>
      </c>
      <c r="V852" s="27" t="str">
        <f t="shared" si="9"/>
        <v/>
      </c>
      <c r="W852" s="1" t="str">
        <f t="array" ref="W852">IFERROR(INDEX('Исходник'!$1:$626,MATCH($A852,'Исходник'!$T:$T,0),MATCH(W$1,'Исходник'!$1:$1,0)))</f>
        <v/>
      </c>
      <c r="X852" s="28">
        <f t="shared" si="10"/>
        <v>0</v>
      </c>
      <c r="Y852" s="1" t="str">
        <f t="array" ref="Y852">IFERROR(INDEX('Исходник'!$1:$626,MATCH($A852,'Исходник'!$T:$T,0),MATCH(Y$1,'Исходник'!$1:$1,0)))</f>
        <v/>
      </c>
      <c r="Z852" s="27">
        <f t="shared" si="11"/>
        <v>0</v>
      </c>
      <c r="AA852" s="27" t="str">
        <f t="shared" si="12"/>
        <v/>
      </c>
      <c r="AB852" s="1" t="str">
        <f t="array" ref="AB852">IFERROR(INDEX('Исходник'!$1:$626,MATCH($A852,'Исходник'!$T:$T,0),MATCH(AB$1,'Исходник'!$1:$1,0)))</f>
        <v/>
      </c>
      <c r="AC852" s="1" t="str">
        <f t="array" ref="AC852">IFERROR(INDEX('Исходник'!$1:$626,MATCH($A852,'Исходник'!$T:$T,0),MATCH(AC$1,'Исходник'!$1:$1,0)))</f>
        <v/>
      </c>
      <c r="AD852" s="27" t="str">
        <f t="shared" si="13"/>
        <v/>
      </c>
      <c r="AE852" s="1" t="str">
        <f t="array" ref="AE852">IFERROR(INDEX('Исходник'!$1:$626,MATCH($A852,'Исходник'!$T:$T,0),MATCH(AE$1,'Исходник'!$1:$1,0)))</f>
        <v/>
      </c>
      <c r="AF852" s="1" t="str">
        <f t="array" ref="AF852">IFERROR(INDEX('Исходник'!$1:$626,MATCH($A852,'Исходник'!$T:$T,0),MATCH(AF$1,'Исходник'!$1:$1,0)))</f>
        <v/>
      </c>
      <c r="AG852" s="27" t="str">
        <f t="shared" si="14"/>
        <v/>
      </c>
      <c r="AH852" s="1" t="str">
        <f t="array" ref="AH852">IFERROR(INDEX('Исходник'!$1:$626,MATCH($A852,'Исходник'!$T:$T,0),MATCH(AH$1,'Исходник'!$1:$1,0)))</f>
        <v/>
      </c>
      <c r="AI852" s="1" t="str">
        <f t="array" ref="AI852">IFERROR(INDEX('Исходник'!$1:$626,MATCH($A852,'Исходник'!$T:$T,0),MATCH(AI$1,'Исходник'!$1:$1,0)))</f>
        <v/>
      </c>
      <c r="AJ852" s="18">
        <f t="shared" si="15"/>
        <v>0</v>
      </c>
    </row>
    <row r="853" ht="15.75" customHeight="1">
      <c r="A853" s="27"/>
      <c r="B853" s="1" t="str">
        <f t="array" ref="B853">IFERROR(INDEX('Исходник'!$1:$626,MATCH($A853,'Исходник'!$T:$T,0),MATCH(B$1,'Исходник'!$1:$1,0)))</f>
        <v/>
      </c>
      <c r="C853" s="1" t="str">
        <f t="array" ref="C853">IFERROR(INDEX('Исходник'!$1:$626,MATCH($A853,'Исходник'!$T:$T,0),MATCH(C$1,'Исходник'!$1:$1,0)))</f>
        <v/>
      </c>
      <c r="D853" s="1" t="str">
        <f t="array" ref="D853">IFERROR(INDEX('Исходник'!$1:$626,MATCH($A853,'Исходник'!$T:$T,0),MATCH(D$1,'Исходник'!$1:$1,0)))</f>
        <v/>
      </c>
      <c r="E853" s="1" t="str">
        <f t="array" ref="E853">IFERROR(INDEX('Исходник'!$1:$626,MATCH($A853,'Исходник'!$T:$T,0),MATCH(E$1,'Исходник'!$1:$1,0)))</f>
        <v/>
      </c>
      <c r="F853" s="1" t="str">
        <f t="array" ref="F853">IFERROR(INDEX('Исходник'!$1:$626,MATCH($A853,'Исходник'!$T:$T,0),MATCH(F$1,'Исходник'!$1:$1,0)))</f>
        <v/>
      </c>
      <c r="G853" s="1" t="str">
        <f t="array" ref="G853">IFERROR(INDEX('Исходник'!$1:$626,MATCH($A853,'Исходник'!$T:$T,0),MATCH(G$1,'Исходник'!$1:$1,0)))</f>
        <v/>
      </c>
      <c r="H853" s="27">
        <f t="shared" si="1"/>
        <v>0</v>
      </c>
      <c r="I853" s="27" t="str">
        <f t="shared" si="2"/>
        <v/>
      </c>
      <c r="J853" s="1" t="str">
        <f t="array" ref="J853">IFERROR(INDEX('Исходник'!$1:$626,MATCH($A853,'Исходник'!$T:$T,0),MATCH(J$1,'Исходник'!$1:$1,0)))</f>
        <v/>
      </c>
      <c r="K853" s="27" t="str">
        <f t="shared" si="3"/>
        <v/>
      </c>
      <c r="L853" s="1" t="str">
        <f t="array" ref="L853">IFERROR(INDEX('Исходник'!$1:$626,MATCH($A853,'Исходник'!$T:$T,0),MATCH(L$1,'Исходник'!$1:$1,0)))</f>
        <v/>
      </c>
      <c r="M853" s="28">
        <f t="shared" si="4"/>
        <v>0</v>
      </c>
      <c r="N853" s="1" t="str">
        <f t="array" ref="N853">IFERROR(INDEX('Исходник'!$1:$626,MATCH($A853,'Исходник'!$T:$T,0),MATCH(N$1,'Исходник'!$1:$1,0)))</f>
        <v/>
      </c>
      <c r="O853" s="27">
        <f t="shared" si="5"/>
        <v>0</v>
      </c>
      <c r="P853" s="27" t="str">
        <f t="shared" si="6"/>
        <v/>
      </c>
      <c r="Q853" s="1" t="str">
        <f t="array" ref="Q853">IFERROR(INDEX('Исходник'!$1:$626,MATCH($A853,'Исходник'!$T:$T,0),MATCH(Q$1,'Исходник'!$1:$1,0)))</f>
        <v/>
      </c>
      <c r="R853" s="1" t="str">
        <f t="array" ref="R853">IFERROR(INDEX('Исходник'!$1:$626,MATCH($A853,'Исходник'!$T:$T,0),MATCH(R$1,'Исходник'!$1:$1,0)))</f>
        <v/>
      </c>
      <c r="S853" s="27">
        <f t="shared" si="7"/>
        <v>0</v>
      </c>
      <c r="T853" s="27" t="str">
        <f t="shared" si="8"/>
        <v/>
      </c>
      <c r="U853" s="1" t="str">
        <f t="array" ref="U853">IFERROR(INDEX('Исходник'!$1:$626,MATCH($A853,'Исходник'!$T:$T,0),MATCH(U$1,'Исходник'!$1:$1,0)))</f>
        <v/>
      </c>
      <c r="V853" s="27" t="str">
        <f t="shared" si="9"/>
        <v/>
      </c>
      <c r="W853" s="1" t="str">
        <f t="array" ref="W853">IFERROR(INDEX('Исходник'!$1:$626,MATCH($A853,'Исходник'!$T:$T,0),MATCH(W$1,'Исходник'!$1:$1,0)))</f>
        <v/>
      </c>
      <c r="X853" s="28">
        <f t="shared" si="10"/>
        <v>0</v>
      </c>
      <c r="Y853" s="1" t="str">
        <f t="array" ref="Y853">IFERROR(INDEX('Исходник'!$1:$626,MATCH($A853,'Исходник'!$T:$T,0),MATCH(Y$1,'Исходник'!$1:$1,0)))</f>
        <v/>
      </c>
      <c r="Z853" s="27">
        <f t="shared" si="11"/>
        <v>0</v>
      </c>
      <c r="AA853" s="27" t="str">
        <f t="shared" si="12"/>
        <v/>
      </c>
      <c r="AB853" s="1" t="str">
        <f t="array" ref="AB853">IFERROR(INDEX('Исходник'!$1:$626,MATCH($A853,'Исходник'!$T:$T,0),MATCH(AB$1,'Исходник'!$1:$1,0)))</f>
        <v/>
      </c>
      <c r="AC853" s="1" t="str">
        <f t="array" ref="AC853">IFERROR(INDEX('Исходник'!$1:$626,MATCH($A853,'Исходник'!$T:$T,0),MATCH(AC$1,'Исходник'!$1:$1,0)))</f>
        <v/>
      </c>
      <c r="AD853" s="27" t="str">
        <f t="shared" si="13"/>
        <v/>
      </c>
      <c r="AE853" s="1" t="str">
        <f t="array" ref="AE853">IFERROR(INDEX('Исходник'!$1:$626,MATCH($A853,'Исходник'!$T:$T,0),MATCH(AE$1,'Исходник'!$1:$1,0)))</f>
        <v/>
      </c>
      <c r="AF853" s="1" t="str">
        <f t="array" ref="AF853">IFERROR(INDEX('Исходник'!$1:$626,MATCH($A853,'Исходник'!$T:$T,0),MATCH(AF$1,'Исходник'!$1:$1,0)))</f>
        <v/>
      </c>
      <c r="AG853" s="27" t="str">
        <f t="shared" si="14"/>
        <v/>
      </c>
      <c r="AH853" s="1" t="str">
        <f t="array" ref="AH853">IFERROR(INDEX('Исходник'!$1:$626,MATCH($A853,'Исходник'!$T:$T,0),MATCH(AH$1,'Исходник'!$1:$1,0)))</f>
        <v/>
      </c>
      <c r="AI853" s="1" t="str">
        <f t="array" ref="AI853">IFERROR(INDEX('Исходник'!$1:$626,MATCH($A853,'Исходник'!$T:$T,0),MATCH(AI$1,'Исходник'!$1:$1,0)))</f>
        <v/>
      </c>
      <c r="AJ853" s="18">
        <f t="shared" si="15"/>
        <v>0</v>
      </c>
    </row>
    <row r="854" ht="15.75" customHeight="1">
      <c r="A854" s="27"/>
      <c r="B854" s="1" t="str">
        <f t="array" ref="B854">IFERROR(INDEX('Исходник'!$1:$626,MATCH($A854,'Исходник'!$T:$T,0),MATCH(B$1,'Исходник'!$1:$1,0)))</f>
        <v/>
      </c>
      <c r="C854" s="1" t="str">
        <f t="array" ref="C854">IFERROR(INDEX('Исходник'!$1:$626,MATCH($A854,'Исходник'!$T:$T,0),MATCH(C$1,'Исходник'!$1:$1,0)))</f>
        <v/>
      </c>
      <c r="D854" s="1" t="str">
        <f t="array" ref="D854">IFERROR(INDEX('Исходник'!$1:$626,MATCH($A854,'Исходник'!$T:$T,0),MATCH(D$1,'Исходник'!$1:$1,0)))</f>
        <v/>
      </c>
      <c r="E854" s="1" t="str">
        <f t="array" ref="E854">IFERROR(INDEX('Исходник'!$1:$626,MATCH($A854,'Исходник'!$T:$T,0),MATCH(E$1,'Исходник'!$1:$1,0)))</f>
        <v/>
      </c>
      <c r="F854" s="1" t="str">
        <f t="array" ref="F854">IFERROR(INDEX('Исходник'!$1:$626,MATCH($A854,'Исходник'!$T:$T,0),MATCH(F$1,'Исходник'!$1:$1,0)))</f>
        <v/>
      </c>
      <c r="G854" s="1" t="str">
        <f t="array" ref="G854">IFERROR(INDEX('Исходник'!$1:$626,MATCH($A854,'Исходник'!$T:$T,0),MATCH(G$1,'Исходник'!$1:$1,0)))</f>
        <v/>
      </c>
      <c r="H854" s="27">
        <f t="shared" si="1"/>
        <v>0</v>
      </c>
      <c r="I854" s="27" t="str">
        <f t="shared" si="2"/>
        <v/>
      </c>
      <c r="J854" s="1" t="str">
        <f t="array" ref="J854">IFERROR(INDEX('Исходник'!$1:$626,MATCH($A854,'Исходник'!$T:$T,0),MATCH(J$1,'Исходник'!$1:$1,0)))</f>
        <v/>
      </c>
      <c r="K854" s="27" t="str">
        <f t="shared" si="3"/>
        <v/>
      </c>
      <c r="L854" s="1" t="str">
        <f t="array" ref="L854">IFERROR(INDEX('Исходник'!$1:$626,MATCH($A854,'Исходник'!$T:$T,0),MATCH(L$1,'Исходник'!$1:$1,0)))</f>
        <v/>
      </c>
      <c r="M854" s="28">
        <f t="shared" si="4"/>
        <v>0</v>
      </c>
      <c r="N854" s="1" t="str">
        <f t="array" ref="N854">IFERROR(INDEX('Исходник'!$1:$626,MATCH($A854,'Исходник'!$T:$T,0),MATCH(N$1,'Исходник'!$1:$1,0)))</f>
        <v/>
      </c>
      <c r="O854" s="27">
        <f t="shared" si="5"/>
        <v>0</v>
      </c>
      <c r="P854" s="27" t="str">
        <f t="shared" si="6"/>
        <v/>
      </c>
      <c r="Q854" s="1" t="str">
        <f t="array" ref="Q854">IFERROR(INDEX('Исходник'!$1:$626,MATCH($A854,'Исходник'!$T:$T,0),MATCH(Q$1,'Исходник'!$1:$1,0)))</f>
        <v/>
      </c>
      <c r="R854" s="1" t="str">
        <f t="array" ref="R854">IFERROR(INDEX('Исходник'!$1:$626,MATCH($A854,'Исходник'!$T:$T,0),MATCH(R$1,'Исходник'!$1:$1,0)))</f>
        <v/>
      </c>
      <c r="S854" s="27">
        <f t="shared" si="7"/>
        <v>0</v>
      </c>
      <c r="T854" s="27" t="str">
        <f t="shared" si="8"/>
        <v/>
      </c>
      <c r="U854" s="1" t="str">
        <f t="array" ref="U854">IFERROR(INDEX('Исходник'!$1:$626,MATCH($A854,'Исходник'!$T:$T,0),MATCH(U$1,'Исходник'!$1:$1,0)))</f>
        <v/>
      </c>
      <c r="V854" s="27" t="str">
        <f t="shared" si="9"/>
        <v/>
      </c>
      <c r="W854" s="1" t="str">
        <f t="array" ref="W854">IFERROR(INDEX('Исходник'!$1:$626,MATCH($A854,'Исходник'!$T:$T,0),MATCH(W$1,'Исходник'!$1:$1,0)))</f>
        <v/>
      </c>
      <c r="X854" s="28">
        <f t="shared" si="10"/>
        <v>0</v>
      </c>
      <c r="Y854" s="1" t="str">
        <f t="array" ref="Y854">IFERROR(INDEX('Исходник'!$1:$626,MATCH($A854,'Исходник'!$T:$T,0),MATCH(Y$1,'Исходник'!$1:$1,0)))</f>
        <v/>
      </c>
      <c r="Z854" s="27">
        <f t="shared" si="11"/>
        <v>0</v>
      </c>
      <c r="AA854" s="27" t="str">
        <f t="shared" si="12"/>
        <v/>
      </c>
      <c r="AB854" s="1" t="str">
        <f t="array" ref="AB854">IFERROR(INDEX('Исходник'!$1:$626,MATCH($A854,'Исходник'!$T:$T,0),MATCH(AB$1,'Исходник'!$1:$1,0)))</f>
        <v/>
      </c>
      <c r="AC854" s="1" t="str">
        <f t="array" ref="AC854">IFERROR(INDEX('Исходник'!$1:$626,MATCH($A854,'Исходник'!$T:$T,0),MATCH(AC$1,'Исходник'!$1:$1,0)))</f>
        <v/>
      </c>
      <c r="AD854" s="27" t="str">
        <f t="shared" si="13"/>
        <v/>
      </c>
      <c r="AE854" s="1" t="str">
        <f t="array" ref="AE854">IFERROR(INDEX('Исходник'!$1:$626,MATCH($A854,'Исходник'!$T:$T,0),MATCH(AE$1,'Исходник'!$1:$1,0)))</f>
        <v/>
      </c>
      <c r="AF854" s="1" t="str">
        <f t="array" ref="AF854">IFERROR(INDEX('Исходник'!$1:$626,MATCH($A854,'Исходник'!$T:$T,0),MATCH(AF$1,'Исходник'!$1:$1,0)))</f>
        <v/>
      </c>
      <c r="AG854" s="27" t="str">
        <f t="shared" si="14"/>
        <v/>
      </c>
      <c r="AH854" s="1" t="str">
        <f t="array" ref="AH854">IFERROR(INDEX('Исходник'!$1:$626,MATCH($A854,'Исходник'!$T:$T,0),MATCH(AH$1,'Исходник'!$1:$1,0)))</f>
        <v/>
      </c>
      <c r="AI854" s="1" t="str">
        <f t="array" ref="AI854">IFERROR(INDEX('Исходник'!$1:$626,MATCH($A854,'Исходник'!$T:$T,0),MATCH(AI$1,'Исходник'!$1:$1,0)))</f>
        <v/>
      </c>
      <c r="AJ854" s="18">
        <f t="shared" si="15"/>
        <v>0</v>
      </c>
    </row>
    <row r="855" ht="15.75" customHeight="1">
      <c r="A855" s="27"/>
      <c r="B855" s="1" t="str">
        <f t="array" ref="B855">IFERROR(INDEX('Исходник'!$1:$626,MATCH($A855,'Исходник'!$T:$T,0),MATCH(B$1,'Исходник'!$1:$1,0)))</f>
        <v/>
      </c>
      <c r="C855" s="1" t="str">
        <f t="array" ref="C855">IFERROR(INDEX('Исходник'!$1:$626,MATCH($A855,'Исходник'!$T:$T,0),MATCH(C$1,'Исходник'!$1:$1,0)))</f>
        <v/>
      </c>
      <c r="D855" s="1" t="str">
        <f t="array" ref="D855">IFERROR(INDEX('Исходник'!$1:$626,MATCH($A855,'Исходник'!$T:$T,0),MATCH(D$1,'Исходник'!$1:$1,0)))</f>
        <v/>
      </c>
      <c r="E855" s="1" t="str">
        <f t="array" ref="E855">IFERROR(INDEX('Исходник'!$1:$626,MATCH($A855,'Исходник'!$T:$T,0),MATCH(E$1,'Исходник'!$1:$1,0)))</f>
        <v/>
      </c>
      <c r="F855" s="1" t="str">
        <f t="array" ref="F855">IFERROR(INDEX('Исходник'!$1:$626,MATCH($A855,'Исходник'!$T:$T,0),MATCH(F$1,'Исходник'!$1:$1,0)))</f>
        <v/>
      </c>
      <c r="G855" s="1" t="str">
        <f t="array" ref="G855">IFERROR(INDEX('Исходник'!$1:$626,MATCH($A855,'Исходник'!$T:$T,0),MATCH(G$1,'Исходник'!$1:$1,0)))</f>
        <v/>
      </c>
      <c r="H855" s="27">
        <f t="shared" si="1"/>
        <v>0</v>
      </c>
      <c r="I855" s="27" t="str">
        <f t="shared" si="2"/>
        <v/>
      </c>
      <c r="J855" s="1" t="str">
        <f t="array" ref="J855">IFERROR(INDEX('Исходник'!$1:$626,MATCH($A855,'Исходник'!$T:$T,0),MATCH(J$1,'Исходник'!$1:$1,0)))</f>
        <v/>
      </c>
      <c r="K855" s="27" t="str">
        <f t="shared" si="3"/>
        <v/>
      </c>
      <c r="L855" s="1" t="str">
        <f t="array" ref="L855">IFERROR(INDEX('Исходник'!$1:$626,MATCH($A855,'Исходник'!$T:$T,0),MATCH(L$1,'Исходник'!$1:$1,0)))</f>
        <v/>
      </c>
      <c r="M855" s="28">
        <f t="shared" si="4"/>
        <v>0</v>
      </c>
      <c r="N855" s="1" t="str">
        <f t="array" ref="N855">IFERROR(INDEX('Исходник'!$1:$626,MATCH($A855,'Исходник'!$T:$T,0),MATCH(N$1,'Исходник'!$1:$1,0)))</f>
        <v/>
      </c>
      <c r="O855" s="27">
        <f t="shared" si="5"/>
        <v>0</v>
      </c>
      <c r="P855" s="27" t="str">
        <f t="shared" si="6"/>
        <v/>
      </c>
      <c r="Q855" s="1" t="str">
        <f t="array" ref="Q855">IFERROR(INDEX('Исходник'!$1:$626,MATCH($A855,'Исходник'!$T:$T,0),MATCH(Q$1,'Исходник'!$1:$1,0)))</f>
        <v/>
      </c>
      <c r="R855" s="1" t="str">
        <f t="array" ref="R855">IFERROR(INDEX('Исходник'!$1:$626,MATCH($A855,'Исходник'!$T:$T,0),MATCH(R$1,'Исходник'!$1:$1,0)))</f>
        <v/>
      </c>
      <c r="S855" s="27">
        <f t="shared" si="7"/>
        <v>0</v>
      </c>
      <c r="T855" s="27" t="str">
        <f t="shared" si="8"/>
        <v/>
      </c>
      <c r="U855" s="1" t="str">
        <f t="array" ref="U855">IFERROR(INDEX('Исходник'!$1:$626,MATCH($A855,'Исходник'!$T:$T,0),MATCH(U$1,'Исходник'!$1:$1,0)))</f>
        <v/>
      </c>
      <c r="V855" s="27" t="str">
        <f t="shared" si="9"/>
        <v/>
      </c>
      <c r="W855" s="1" t="str">
        <f t="array" ref="W855">IFERROR(INDEX('Исходник'!$1:$626,MATCH($A855,'Исходник'!$T:$T,0),MATCH(W$1,'Исходник'!$1:$1,0)))</f>
        <v/>
      </c>
      <c r="X855" s="28">
        <f t="shared" si="10"/>
        <v>0</v>
      </c>
      <c r="Y855" s="1" t="str">
        <f t="array" ref="Y855">IFERROR(INDEX('Исходник'!$1:$626,MATCH($A855,'Исходник'!$T:$T,0),MATCH(Y$1,'Исходник'!$1:$1,0)))</f>
        <v/>
      </c>
      <c r="Z855" s="27">
        <f t="shared" si="11"/>
        <v>0</v>
      </c>
      <c r="AA855" s="27" t="str">
        <f t="shared" si="12"/>
        <v/>
      </c>
      <c r="AB855" s="1" t="str">
        <f t="array" ref="AB855">IFERROR(INDEX('Исходник'!$1:$626,MATCH($A855,'Исходник'!$T:$T,0),MATCH(AB$1,'Исходник'!$1:$1,0)))</f>
        <v/>
      </c>
      <c r="AC855" s="1" t="str">
        <f t="array" ref="AC855">IFERROR(INDEX('Исходник'!$1:$626,MATCH($A855,'Исходник'!$T:$T,0),MATCH(AC$1,'Исходник'!$1:$1,0)))</f>
        <v/>
      </c>
      <c r="AD855" s="27" t="str">
        <f t="shared" si="13"/>
        <v/>
      </c>
      <c r="AE855" s="1" t="str">
        <f t="array" ref="AE855">IFERROR(INDEX('Исходник'!$1:$626,MATCH($A855,'Исходник'!$T:$T,0),MATCH(AE$1,'Исходник'!$1:$1,0)))</f>
        <v/>
      </c>
      <c r="AF855" s="1" t="str">
        <f t="array" ref="AF855">IFERROR(INDEX('Исходник'!$1:$626,MATCH($A855,'Исходник'!$T:$T,0),MATCH(AF$1,'Исходник'!$1:$1,0)))</f>
        <v/>
      </c>
      <c r="AG855" s="27" t="str">
        <f t="shared" si="14"/>
        <v/>
      </c>
      <c r="AH855" s="1" t="str">
        <f t="array" ref="AH855">IFERROR(INDEX('Исходник'!$1:$626,MATCH($A855,'Исходник'!$T:$T,0),MATCH(AH$1,'Исходник'!$1:$1,0)))</f>
        <v/>
      </c>
      <c r="AI855" s="1" t="str">
        <f t="array" ref="AI855">IFERROR(INDEX('Исходник'!$1:$626,MATCH($A855,'Исходник'!$T:$T,0),MATCH(AI$1,'Исходник'!$1:$1,0)))</f>
        <v/>
      </c>
      <c r="AJ855" s="18">
        <f t="shared" si="15"/>
        <v>0</v>
      </c>
    </row>
    <row r="856" ht="15.75" customHeight="1">
      <c r="A856" s="27"/>
      <c r="B856" s="1" t="str">
        <f t="array" ref="B856">IFERROR(INDEX('Исходник'!$1:$626,MATCH($A856,'Исходник'!$T:$T,0),MATCH(B$1,'Исходник'!$1:$1,0)))</f>
        <v/>
      </c>
      <c r="C856" s="1" t="str">
        <f t="array" ref="C856">IFERROR(INDEX('Исходник'!$1:$626,MATCH($A856,'Исходник'!$T:$T,0),MATCH(C$1,'Исходник'!$1:$1,0)))</f>
        <v/>
      </c>
      <c r="D856" s="1" t="str">
        <f t="array" ref="D856">IFERROR(INDEX('Исходник'!$1:$626,MATCH($A856,'Исходник'!$T:$T,0),MATCH(D$1,'Исходник'!$1:$1,0)))</f>
        <v/>
      </c>
      <c r="E856" s="1" t="str">
        <f t="array" ref="E856">IFERROR(INDEX('Исходник'!$1:$626,MATCH($A856,'Исходник'!$T:$T,0),MATCH(E$1,'Исходник'!$1:$1,0)))</f>
        <v/>
      </c>
      <c r="F856" s="1" t="str">
        <f t="array" ref="F856">IFERROR(INDEX('Исходник'!$1:$626,MATCH($A856,'Исходник'!$T:$T,0),MATCH(F$1,'Исходник'!$1:$1,0)))</f>
        <v/>
      </c>
      <c r="G856" s="1" t="str">
        <f t="array" ref="G856">IFERROR(INDEX('Исходник'!$1:$626,MATCH($A856,'Исходник'!$T:$T,0),MATCH(G$1,'Исходник'!$1:$1,0)))</f>
        <v/>
      </c>
      <c r="H856" s="27">
        <f t="shared" si="1"/>
        <v>0</v>
      </c>
      <c r="I856" s="27" t="str">
        <f t="shared" si="2"/>
        <v/>
      </c>
      <c r="J856" s="1" t="str">
        <f t="array" ref="J856">IFERROR(INDEX('Исходник'!$1:$626,MATCH($A856,'Исходник'!$T:$T,0),MATCH(J$1,'Исходник'!$1:$1,0)))</f>
        <v/>
      </c>
      <c r="K856" s="27" t="str">
        <f t="shared" si="3"/>
        <v/>
      </c>
      <c r="L856" s="1" t="str">
        <f t="array" ref="L856">IFERROR(INDEX('Исходник'!$1:$626,MATCH($A856,'Исходник'!$T:$T,0),MATCH(L$1,'Исходник'!$1:$1,0)))</f>
        <v/>
      </c>
      <c r="M856" s="28">
        <f t="shared" si="4"/>
        <v>0</v>
      </c>
      <c r="N856" s="1" t="str">
        <f t="array" ref="N856">IFERROR(INDEX('Исходник'!$1:$626,MATCH($A856,'Исходник'!$T:$T,0),MATCH(N$1,'Исходник'!$1:$1,0)))</f>
        <v/>
      </c>
      <c r="O856" s="27">
        <f t="shared" si="5"/>
        <v>0</v>
      </c>
      <c r="P856" s="27" t="str">
        <f t="shared" si="6"/>
        <v/>
      </c>
      <c r="Q856" s="1" t="str">
        <f t="array" ref="Q856">IFERROR(INDEX('Исходник'!$1:$626,MATCH($A856,'Исходник'!$T:$T,0),MATCH(Q$1,'Исходник'!$1:$1,0)))</f>
        <v/>
      </c>
      <c r="R856" s="1" t="str">
        <f t="array" ref="R856">IFERROR(INDEX('Исходник'!$1:$626,MATCH($A856,'Исходник'!$T:$T,0),MATCH(R$1,'Исходник'!$1:$1,0)))</f>
        <v/>
      </c>
      <c r="S856" s="27">
        <f t="shared" si="7"/>
        <v>0</v>
      </c>
      <c r="T856" s="27" t="str">
        <f t="shared" si="8"/>
        <v/>
      </c>
      <c r="U856" s="1" t="str">
        <f t="array" ref="U856">IFERROR(INDEX('Исходник'!$1:$626,MATCH($A856,'Исходник'!$T:$T,0),MATCH(U$1,'Исходник'!$1:$1,0)))</f>
        <v/>
      </c>
      <c r="V856" s="27" t="str">
        <f t="shared" si="9"/>
        <v/>
      </c>
      <c r="W856" s="1" t="str">
        <f t="array" ref="W856">IFERROR(INDEX('Исходник'!$1:$626,MATCH($A856,'Исходник'!$T:$T,0),MATCH(W$1,'Исходник'!$1:$1,0)))</f>
        <v/>
      </c>
      <c r="X856" s="28">
        <f t="shared" si="10"/>
        <v>0</v>
      </c>
      <c r="Y856" s="1" t="str">
        <f t="array" ref="Y856">IFERROR(INDEX('Исходник'!$1:$626,MATCH($A856,'Исходник'!$T:$T,0),MATCH(Y$1,'Исходник'!$1:$1,0)))</f>
        <v/>
      </c>
      <c r="Z856" s="27">
        <f t="shared" si="11"/>
        <v>0</v>
      </c>
      <c r="AA856" s="27" t="str">
        <f t="shared" si="12"/>
        <v/>
      </c>
      <c r="AB856" s="1" t="str">
        <f t="array" ref="AB856">IFERROR(INDEX('Исходник'!$1:$626,MATCH($A856,'Исходник'!$T:$T,0),MATCH(AB$1,'Исходник'!$1:$1,0)))</f>
        <v/>
      </c>
      <c r="AC856" s="1" t="str">
        <f t="array" ref="AC856">IFERROR(INDEX('Исходник'!$1:$626,MATCH($A856,'Исходник'!$T:$T,0),MATCH(AC$1,'Исходник'!$1:$1,0)))</f>
        <v/>
      </c>
      <c r="AD856" s="27" t="str">
        <f t="shared" si="13"/>
        <v/>
      </c>
      <c r="AE856" s="1" t="str">
        <f t="array" ref="AE856">IFERROR(INDEX('Исходник'!$1:$626,MATCH($A856,'Исходник'!$T:$T,0),MATCH(AE$1,'Исходник'!$1:$1,0)))</f>
        <v/>
      </c>
      <c r="AF856" s="1" t="str">
        <f t="array" ref="AF856">IFERROR(INDEX('Исходник'!$1:$626,MATCH($A856,'Исходник'!$T:$T,0),MATCH(AF$1,'Исходник'!$1:$1,0)))</f>
        <v/>
      </c>
      <c r="AG856" s="27" t="str">
        <f t="shared" si="14"/>
        <v/>
      </c>
      <c r="AH856" s="1" t="str">
        <f t="array" ref="AH856">IFERROR(INDEX('Исходник'!$1:$626,MATCH($A856,'Исходник'!$T:$T,0),MATCH(AH$1,'Исходник'!$1:$1,0)))</f>
        <v/>
      </c>
      <c r="AI856" s="1" t="str">
        <f t="array" ref="AI856">IFERROR(INDEX('Исходник'!$1:$626,MATCH($A856,'Исходник'!$T:$T,0),MATCH(AI$1,'Исходник'!$1:$1,0)))</f>
        <v/>
      </c>
      <c r="AJ856" s="18">
        <f t="shared" si="15"/>
        <v>0</v>
      </c>
    </row>
    <row r="857" ht="15.75" customHeight="1">
      <c r="A857" s="27"/>
      <c r="B857" s="1" t="str">
        <f t="array" ref="B857">IFERROR(INDEX('Исходник'!$1:$626,MATCH($A857,'Исходник'!$T:$T,0),MATCH(B$1,'Исходник'!$1:$1,0)))</f>
        <v/>
      </c>
      <c r="C857" s="1" t="str">
        <f t="array" ref="C857">IFERROR(INDEX('Исходник'!$1:$626,MATCH($A857,'Исходник'!$T:$T,0),MATCH(C$1,'Исходник'!$1:$1,0)))</f>
        <v/>
      </c>
      <c r="D857" s="1" t="str">
        <f t="array" ref="D857">IFERROR(INDEX('Исходник'!$1:$626,MATCH($A857,'Исходник'!$T:$T,0),MATCH(D$1,'Исходник'!$1:$1,0)))</f>
        <v/>
      </c>
      <c r="E857" s="1" t="str">
        <f t="array" ref="E857">IFERROR(INDEX('Исходник'!$1:$626,MATCH($A857,'Исходник'!$T:$T,0),MATCH(E$1,'Исходник'!$1:$1,0)))</f>
        <v/>
      </c>
      <c r="F857" s="1" t="str">
        <f t="array" ref="F857">IFERROR(INDEX('Исходник'!$1:$626,MATCH($A857,'Исходник'!$T:$T,0),MATCH(F$1,'Исходник'!$1:$1,0)))</f>
        <v/>
      </c>
      <c r="G857" s="1" t="str">
        <f t="array" ref="G857">IFERROR(INDEX('Исходник'!$1:$626,MATCH($A857,'Исходник'!$T:$T,0),MATCH(G$1,'Исходник'!$1:$1,0)))</f>
        <v/>
      </c>
      <c r="H857" s="27">
        <f t="shared" si="1"/>
        <v>0</v>
      </c>
      <c r="I857" s="27" t="str">
        <f t="shared" si="2"/>
        <v/>
      </c>
      <c r="J857" s="1" t="str">
        <f t="array" ref="J857">IFERROR(INDEX('Исходник'!$1:$626,MATCH($A857,'Исходник'!$T:$T,0),MATCH(J$1,'Исходник'!$1:$1,0)))</f>
        <v/>
      </c>
      <c r="K857" s="27" t="str">
        <f t="shared" si="3"/>
        <v/>
      </c>
      <c r="L857" s="1" t="str">
        <f t="array" ref="L857">IFERROR(INDEX('Исходник'!$1:$626,MATCH($A857,'Исходник'!$T:$T,0),MATCH(L$1,'Исходник'!$1:$1,0)))</f>
        <v/>
      </c>
      <c r="M857" s="28">
        <f t="shared" si="4"/>
        <v>0</v>
      </c>
      <c r="N857" s="1" t="str">
        <f t="array" ref="N857">IFERROR(INDEX('Исходник'!$1:$626,MATCH($A857,'Исходник'!$T:$T,0),MATCH(N$1,'Исходник'!$1:$1,0)))</f>
        <v/>
      </c>
      <c r="O857" s="27">
        <f t="shared" si="5"/>
        <v>0</v>
      </c>
      <c r="P857" s="27" t="str">
        <f t="shared" si="6"/>
        <v/>
      </c>
      <c r="Q857" s="1" t="str">
        <f t="array" ref="Q857">IFERROR(INDEX('Исходник'!$1:$626,MATCH($A857,'Исходник'!$T:$T,0),MATCH(Q$1,'Исходник'!$1:$1,0)))</f>
        <v/>
      </c>
      <c r="R857" s="1" t="str">
        <f t="array" ref="R857">IFERROR(INDEX('Исходник'!$1:$626,MATCH($A857,'Исходник'!$T:$T,0),MATCH(R$1,'Исходник'!$1:$1,0)))</f>
        <v/>
      </c>
      <c r="S857" s="27">
        <f t="shared" si="7"/>
        <v>0</v>
      </c>
      <c r="T857" s="27" t="str">
        <f t="shared" si="8"/>
        <v/>
      </c>
      <c r="U857" s="1" t="str">
        <f t="array" ref="U857">IFERROR(INDEX('Исходник'!$1:$626,MATCH($A857,'Исходник'!$T:$T,0),MATCH(U$1,'Исходник'!$1:$1,0)))</f>
        <v/>
      </c>
      <c r="V857" s="27" t="str">
        <f t="shared" si="9"/>
        <v/>
      </c>
      <c r="W857" s="1" t="str">
        <f t="array" ref="W857">IFERROR(INDEX('Исходник'!$1:$626,MATCH($A857,'Исходник'!$T:$T,0),MATCH(W$1,'Исходник'!$1:$1,0)))</f>
        <v/>
      </c>
      <c r="X857" s="28">
        <f t="shared" si="10"/>
        <v>0</v>
      </c>
      <c r="Y857" s="1" t="str">
        <f t="array" ref="Y857">IFERROR(INDEX('Исходник'!$1:$626,MATCH($A857,'Исходник'!$T:$T,0),MATCH(Y$1,'Исходник'!$1:$1,0)))</f>
        <v/>
      </c>
      <c r="Z857" s="27">
        <f t="shared" si="11"/>
        <v>0</v>
      </c>
      <c r="AA857" s="27" t="str">
        <f t="shared" si="12"/>
        <v/>
      </c>
      <c r="AB857" s="1" t="str">
        <f t="array" ref="AB857">IFERROR(INDEX('Исходник'!$1:$626,MATCH($A857,'Исходник'!$T:$T,0),MATCH(AB$1,'Исходник'!$1:$1,0)))</f>
        <v/>
      </c>
      <c r="AC857" s="1" t="str">
        <f t="array" ref="AC857">IFERROR(INDEX('Исходник'!$1:$626,MATCH($A857,'Исходник'!$T:$T,0),MATCH(AC$1,'Исходник'!$1:$1,0)))</f>
        <v/>
      </c>
      <c r="AD857" s="27" t="str">
        <f t="shared" si="13"/>
        <v/>
      </c>
      <c r="AE857" s="1" t="str">
        <f t="array" ref="AE857">IFERROR(INDEX('Исходник'!$1:$626,MATCH($A857,'Исходник'!$T:$T,0),MATCH(AE$1,'Исходник'!$1:$1,0)))</f>
        <v/>
      </c>
      <c r="AF857" s="1" t="str">
        <f t="array" ref="AF857">IFERROR(INDEX('Исходник'!$1:$626,MATCH($A857,'Исходник'!$T:$T,0),MATCH(AF$1,'Исходник'!$1:$1,0)))</f>
        <v/>
      </c>
      <c r="AG857" s="27" t="str">
        <f t="shared" si="14"/>
        <v/>
      </c>
      <c r="AH857" s="1" t="str">
        <f t="array" ref="AH857">IFERROR(INDEX('Исходник'!$1:$626,MATCH($A857,'Исходник'!$T:$T,0),MATCH(AH$1,'Исходник'!$1:$1,0)))</f>
        <v/>
      </c>
      <c r="AI857" s="1" t="str">
        <f t="array" ref="AI857">IFERROR(INDEX('Исходник'!$1:$626,MATCH($A857,'Исходник'!$T:$T,0),MATCH(AI$1,'Исходник'!$1:$1,0)))</f>
        <v/>
      </c>
      <c r="AJ857" s="18">
        <f t="shared" si="15"/>
        <v>0</v>
      </c>
    </row>
    <row r="858" ht="15.75" customHeight="1">
      <c r="A858" s="27"/>
      <c r="B858" s="1" t="str">
        <f t="array" ref="B858">IFERROR(INDEX('Исходник'!$1:$626,MATCH($A858,'Исходник'!$T:$T,0),MATCH(B$1,'Исходник'!$1:$1,0)))</f>
        <v/>
      </c>
      <c r="C858" s="1" t="str">
        <f t="array" ref="C858">IFERROR(INDEX('Исходник'!$1:$626,MATCH($A858,'Исходник'!$T:$T,0),MATCH(C$1,'Исходник'!$1:$1,0)))</f>
        <v/>
      </c>
      <c r="D858" s="1" t="str">
        <f t="array" ref="D858">IFERROR(INDEX('Исходник'!$1:$626,MATCH($A858,'Исходник'!$T:$T,0),MATCH(D$1,'Исходник'!$1:$1,0)))</f>
        <v/>
      </c>
      <c r="E858" s="1" t="str">
        <f t="array" ref="E858">IFERROR(INDEX('Исходник'!$1:$626,MATCH($A858,'Исходник'!$T:$T,0),MATCH(E$1,'Исходник'!$1:$1,0)))</f>
        <v/>
      </c>
      <c r="F858" s="1" t="str">
        <f t="array" ref="F858">IFERROR(INDEX('Исходник'!$1:$626,MATCH($A858,'Исходник'!$T:$T,0),MATCH(F$1,'Исходник'!$1:$1,0)))</f>
        <v/>
      </c>
      <c r="G858" s="1" t="str">
        <f t="array" ref="G858">IFERROR(INDEX('Исходник'!$1:$626,MATCH($A858,'Исходник'!$T:$T,0),MATCH(G$1,'Исходник'!$1:$1,0)))</f>
        <v/>
      </c>
      <c r="H858" s="27">
        <f t="shared" si="1"/>
        <v>0</v>
      </c>
      <c r="I858" s="27" t="str">
        <f t="shared" si="2"/>
        <v/>
      </c>
      <c r="J858" s="1" t="str">
        <f t="array" ref="J858">IFERROR(INDEX('Исходник'!$1:$626,MATCH($A858,'Исходник'!$T:$T,0),MATCH(J$1,'Исходник'!$1:$1,0)))</f>
        <v/>
      </c>
      <c r="K858" s="27" t="str">
        <f t="shared" si="3"/>
        <v/>
      </c>
      <c r="L858" s="1" t="str">
        <f t="array" ref="L858">IFERROR(INDEX('Исходник'!$1:$626,MATCH($A858,'Исходник'!$T:$T,0),MATCH(L$1,'Исходник'!$1:$1,0)))</f>
        <v/>
      </c>
      <c r="M858" s="28">
        <f t="shared" si="4"/>
        <v>0</v>
      </c>
      <c r="N858" s="1" t="str">
        <f t="array" ref="N858">IFERROR(INDEX('Исходник'!$1:$626,MATCH($A858,'Исходник'!$T:$T,0),MATCH(N$1,'Исходник'!$1:$1,0)))</f>
        <v/>
      </c>
      <c r="O858" s="27">
        <f t="shared" si="5"/>
        <v>0</v>
      </c>
      <c r="P858" s="27" t="str">
        <f t="shared" si="6"/>
        <v/>
      </c>
      <c r="Q858" s="1" t="str">
        <f t="array" ref="Q858">IFERROR(INDEX('Исходник'!$1:$626,MATCH($A858,'Исходник'!$T:$T,0),MATCH(Q$1,'Исходник'!$1:$1,0)))</f>
        <v/>
      </c>
      <c r="R858" s="1" t="str">
        <f t="array" ref="R858">IFERROR(INDEX('Исходник'!$1:$626,MATCH($A858,'Исходник'!$T:$T,0),MATCH(R$1,'Исходник'!$1:$1,0)))</f>
        <v/>
      </c>
      <c r="S858" s="27">
        <f t="shared" si="7"/>
        <v>0</v>
      </c>
      <c r="T858" s="27" t="str">
        <f t="shared" si="8"/>
        <v/>
      </c>
      <c r="U858" s="1" t="str">
        <f t="array" ref="U858">IFERROR(INDEX('Исходник'!$1:$626,MATCH($A858,'Исходник'!$T:$T,0),MATCH(U$1,'Исходник'!$1:$1,0)))</f>
        <v/>
      </c>
      <c r="V858" s="27" t="str">
        <f t="shared" si="9"/>
        <v/>
      </c>
      <c r="W858" s="1" t="str">
        <f t="array" ref="W858">IFERROR(INDEX('Исходник'!$1:$626,MATCH($A858,'Исходник'!$T:$T,0),MATCH(W$1,'Исходник'!$1:$1,0)))</f>
        <v/>
      </c>
      <c r="X858" s="28">
        <f t="shared" si="10"/>
        <v>0</v>
      </c>
      <c r="Y858" s="1" t="str">
        <f t="array" ref="Y858">IFERROR(INDEX('Исходник'!$1:$626,MATCH($A858,'Исходник'!$T:$T,0),MATCH(Y$1,'Исходник'!$1:$1,0)))</f>
        <v/>
      </c>
      <c r="Z858" s="27">
        <f t="shared" si="11"/>
        <v>0</v>
      </c>
      <c r="AA858" s="27" t="str">
        <f t="shared" si="12"/>
        <v/>
      </c>
      <c r="AB858" s="1" t="str">
        <f t="array" ref="AB858">IFERROR(INDEX('Исходник'!$1:$626,MATCH($A858,'Исходник'!$T:$T,0),MATCH(AB$1,'Исходник'!$1:$1,0)))</f>
        <v/>
      </c>
      <c r="AC858" s="1" t="str">
        <f t="array" ref="AC858">IFERROR(INDEX('Исходник'!$1:$626,MATCH($A858,'Исходник'!$T:$T,0),MATCH(AC$1,'Исходник'!$1:$1,0)))</f>
        <v/>
      </c>
      <c r="AD858" s="27" t="str">
        <f t="shared" si="13"/>
        <v/>
      </c>
      <c r="AE858" s="1" t="str">
        <f t="array" ref="AE858">IFERROR(INDEX('Исходник'!$1:$626,MATCH($A858,'Исходник'!$T:$T,0),MATCH(AE$1,'Исходник'!$1:$1,0)))</f>
        <v/>
      </c>
      <c r="AF858" s="1" t="str">
        <f t="array" ref="AF858">IFERROR(INDEX('Исходник'!$1:$626,MATCH($A858,'Исходник'!$T:$T,0),MATCH(AF$1,'Исходник'!$1:$1,0)))</f>
        <v/>
      </c>
      <c r="AG858" s="27" t="str">
        <f t="shared" si="14"/>
        <v/>
      </c>
      <c r="AH858" s="1" t="str">
        <f t="array" ref="AH858">IFERROR(INDEX('Исходник'!$1:$626,MATCH($A858,'Исходник'!$T:$T,0),MATCH(AH$1,'Исходник'!$1:$1,0)))</f>
        <v/>
      </c>
      <c r="AI858" s="1" t="str">
        <f t="array" ref="AI858">IFERROR(INDEX('Исходник'!$1:$626,MATCH($A858,'Исходник'!$T:$T,0),MATCH(AI$1,'Исходник'!$1:$1,0)))</f>
        <v/>
      </c>
      <c r="AJ858" s="18">
        <f t="shared" si="15"/>
        <v>0</v>
      </c>
    </row>
    <row r="859" ht="15.75" customHeight="1">
      <c r="A859" s="27"/>
      <c r="B859" s="1" t="str">
        <f t="array" ref="B859">IFERROR(INDEX('Исходник'!$1:$626,MATCH($A859,'Исходник'!$T:$T,0),MATCH(B$1,'Исходник'!$1:$1,0)))</f>
        <v/>
      </c>
      <c r="C859" s="1" t="str">
        <f t="array" ref="C859">IFERROR(INDEX('Исходник'!$1:$626,MATCH($A859,'Исходник'!$T:$T,0),MATCH(C$1,'Исходник'!$1:$1,0)))</f>
        <v/>
      </c>
      <c r="D859" s="1" t="str">
        <f t="array" ref="D859">IFERROR(INDEX('Исходник'!$1:$626,MATCH($A859,'Исходник'!$T:$T,0),MATCH(D$1,'Исходник'!$1:$1,0)))</f>
        <v/>
      </c>
      <c r="E859" s="1" t="str">
        <f t="array" ref="E859">IFERROR(INDEX('Исходник'!$1:$626,MATCH($A859,'Исходник'!$T:$T,0),MATCH(E$1,'Исходник'!$1:$1,0)))</f>
        <v/>
      </c>
      <c r="F859" s="1" t="str">
        <f t="array" ref="F859">IFERROR(INDEX('Исходник'!$1:$626,MATCH($A859,'Исходник'!$T:$T,0),MATCH(F$1,'Исходник'!$1:$1,0)))</f>
        <v/>
      </c>
      <c r="G859" s="1" t="str">
        <f t="array" ref="G859">IFERROR(INDEX('Исходник'!$1:$626,MATCH($A859,'Исходник'!$T:$T,0),MATCH(G$1,'Исходник'!$1:$1,0)))</f>
        <v/>
      </c>
      <c r="H859" s="27">
        <f t="shared" si="1"/>
        <v>0</v>
      </c>
      <c r="I859" s="27" t="str">
        <f t="shared" si="2"/>
        <v/>
      </c>
      <c r="J859" s="1" t="str">
        <f t="array" ref="J859">IFERROR(INDEX('Исходник'!$1:$626,MATCH($A859,'Исходник'!$T:$T,0),MATCH(J$1,'Исходник'!$1:$1,0)))</f>
        <v/>
      </c>
      <c r="K859" s="27" t="str">
        <f t="shared" si="3"/>
        <v/>
      </c>
      <c r="L859" s="1" t="str">
        <f t="array" ref="L859">IFERROR(INDEX('Исходник'!$1:$626,MATCH($A859,'Исходник'!$T:$T,0),MATCH(L$1,'Исходник'!$1:$1,0)))</f>
        <v/>
      </c>
      <c r="M859" s="28">
        <f t="shared" si="4"/>
        <v>0</v>
      </c>
      <c r="N859" s="1" t="str">
        <f t="array" ref="N859">IFERROR(INDEX('Исходник'!$1:$626,MATCH($A859,'Исходник'!$T:$T,0),MATCH(N$1,'Исходник'!$1:$1,0)))</f>
        <v/>
      </c>
      <c r="O859" s="27">
        <f t="shared" si="5"/>
        <v>0</v>
      </c>
      <c r="P859" s="27" t="str">
        <f t="shared" si="6"/>
        <v/>
      </c>
      <c r="Q859" s="1" t="str">
        <f t="array" ref="Q859">IFERROR(INDEX('Исходник'!$1:$626,MATCH($A859,'Исходник'!$T:$T,0),MATCH(Q$1,'Исходник'!$1:$1,0)))</f>
        <v/>
      </c>
      <c r="R859" s="1" t="str">
        <f t="array" ref="R859">IFERROR(INDEX('Исходник'!$1:$626,MATCH($A859,'Исходник'!$T:$T,0),MATCH(R$1,'Исходник'!$1:$1,0)))</f>
        <v/>
      </c>
      <c r="S859" s="27">
        <f t="shared" si="7"/>
        <v>0</v>
      </c>
      <c r="T859" s="27" t="str">
        <f t="shared" si="8"/>
        <v/>
      </c>
      <c r="U859" s="1" t="str">
        <f t="array" ref="U859">IFERROR(INDEX('Исходник'!$1:$626,MATCH($A859,'Исходник'!$T:$T,0),MATCH(U$1,'Исходник'!$1:$1,0)))</f>
        <v/>
      </c>
      <c r="V859" s="27" t="str">
        <f t="shared" si="9"/>
        <v/>
      </c>
      <c r="W859" s="1" t="str">
        <f t="array" ref="W859">IFERROR(INDEX('Исходник'!$1:$626,MATCH($A859,'Исходник'!$T:$T,0),MATCH(W$1,'Исходник'!$1:$1,0)))</f>
        <v/>
      </c>
      <c r="X859" s="28">
        <f t="shared" si="10"/>
        <v>0</v>
      </c>
      <c r="Y859" s="1" t="str">
        <f t="array" ref="Y859">IFERROR(INDEX('Исходник'!$1:$626,MATCH($A859,'Исходник'!$T:$T,0),MATCH(Y$1,'Исходник'!$1:$1,0)))</f>
        <v/>
      </c>
      <c r="Z859" s="27">
        <f t="shared" si="11"/>
        <v>0</v>
      </c>
      <c r="AA859" s="27" t="str">
        <f t="shared" si="12"/>
        <v/>
      </c>
      <c r="AB859" s="1" t="str">
        <f t="array" ref="AB859">IFERROR(INDEX('Исходник'!$1:$626,MATCH($A859,'Исходник'!$T:$T,0),MATCH(AB$1,'Исходник'!$1:$1,0)))</f>
        <v/>
      </c>
      <c r="AC859" s="1" t="str">
        <f t="array" ref="AC859">IFERROR(INDEX('Исходник'!$1:$626,MATCH($A859,'Исходник'!$T:$T,0),MATCH(AC$1,'Исходник'!$1:$1,0)))</f>
        <v/>
      </c>
      <c r="AD859" s="27" t="str">
        <f t="shared" si="13"/>
        <v/>
      </c>
      <c r="AE859" s="1" t="str">
        <f t="array" ref="AE859">IFERROR(INDEX('Исходник'!$1:$626,MATCH($A859,'Исходник'!$T:$T,0),MATCH(AE$1,'Исходник'!$1:$1,0)))</f>
        <v/>
      </c>
      <c r="AF859" s="1" t="str">
        <f t="array" ref="AF859">IFERROR(INDEX('Исходник'!$1:$626,MATCH($A859,'Исходник'!$T:$T,0),MATCH(AF$1,'Исходник'!$1:$1,0)))</f>
        <v/>
      </c>
      <c r="AG859" s="27" t="str">
        <f t="shared" si="14"/>
        <v/>
      </c>
      <c r="AH859" s="1" t="str">
        <f t="array" ref="AH859">IFERROR(INDEX('Исходник'!$1:$626,MATCH($A859,'Исходник'!$T:$T,0),MATCH(AH$1,'Исходник'!$1:$1,0)))</f>
        <v/>
      </c>
      <c r="AI859" s="1" t="str">
        <f t="array" ref="AI859">IFERROR(INDEX('Исходник'!$1:$626,MATCH($A859,'Исходник'!$T:$T,0),MATCH(AI$1,'Исходник'!$1:$1,0)))</f>
        <v/>
      </c>
      <c r="AJ859" s="18">
        <f t="shared" si="15"/>
        <v>0</v>
      </c>
    </row>
    <row r="860" ht="15.75" customHeight="1">
      <c r="A860" s="27"/>
      <c r="B860" s="1" t="str">
        <f t="array" ref="B860">IFERROR(INDEX('Исходник'!$1:$626,MATCH($A860,'Исходник'!$T:$T,0),MATCH(B$1,'Исходник'!$1:$1,0)))</f>
        <v/>
      </c>
      <c r="C860" s="1" t="str">
        <f t="array" ref="C860">IFERROR(INDEX('Исходник'!$1:$626,MATCH($A860,'Исходник'!$T:$T,0),MATCH(C$1,'Исходник'!$1:$1,0)))</f>
        <v/>
      </c>
      <c r="D860" s="1" t="str">
        <f t="array" ref="D860">IFERROR(INDEX('Исходник'!$1:$626,MATCH($A860,'Исходник'!$T:$T,0),MATCH(D$1,'Исходник'!$1:$1,0)))</f>
        <v/>
      </c>
      <c r="E860" s="1" t="str">
        <f t="array" ref="E860">IFERROR(INDEX('Исходник'!$1:$626,MATCH($A860,'Исходник'!$T:$T,0),MATCH(E$1,'Исходник'!$1:$1,0)))</f>
        <v/>
      </c>
      <c r="F860" s="1" t="str">
        <f t="array" ref="F860">IFERROR(INDEX('Исходник'!$1:$626,MATCH($A860,'Исходник'!$T:$T,0),MATCH(F$1,'Исходник'!$1:$1,0)))</f>
        <v/>
      </c>
      <c r="G860" s="1" t="str">
        <f t="array" ref="G860">IFERROR(INDEX('Исходник'!$1:$626,MATCH($A860,'Исходник'!$T:$T,0),MATCH(G$1,'Исходник'!$1:$1,0)))</f>
        <v/>
      </c>
      <c r="H860" s="27">
        <f t="shared" si="1"/>
        <v>0</v>
      </c>
      <c r="I860" s="27" t="str">
        <f t="shared" si="2"/>
        <v/>
      </c>
      <c r="J860" s="1" t="str">
        <f t="array" ref="J860">IFERROR(INDEX('Исходник'!$1:$626,MATCH($A860,'Исходник'!$T:$T,0),MATCH(J$1,'Исходник'!$1:$1,0)))</f>
        <v/>
      </c>
      <c r="K860" s="27" t="str">
        <f t="shared" si="3"/>
        <v/>
      </c>
      <c r="L860" s="1" t="str">
        <f t="array" ref="L860">IFERROR(INDEX('Исходник'!$1:$626,MATCH($A860,'Исходник'!$T:$T,0),MATCH(L$1,'Исходник'!$1:$1,0)))</f>
        <v/>
      </c>
      <c r="M860" s="28">
        <f t="shared" si="4"/>
        <v>0</v>
      </c>
      <c r="N860" s="1" t="str">
        <f t="array" ref="N860">IFERROR(INDEX('Исходник'!$1:$626,MATCH($A860,'Исходник'!$T:$T,0),MATCH(N$1,'Исходник'!$1:$1,0)))</f>
        <v/>
      </c>
      <c r="O860" s="27">
        <f t="shared" si="5"/>
        <v>0</v>
      </c>
      <c r="P860" s="27" t="str">
        <f t="shared" si="6"/>
        <v/>
      </c>
      <c r="Q860" s="1" t="str">
        <f t="array" ref="Q860">IFERROR(INDEX('Исходник'!$1:$626,MATCH($A860,'Исходник'!$T:$T,0),MATCH(Q$1,'Исходник'!$1:$1,0)))</f>
        <v/>
      </c>
      <c r="R860" s="1" t="str">
        <f t="array" ref="R860">IFERROR(INDEX('Исходник'!$1:$626,MATCH($A860,'Исходник'!$T:$T,0),MATCH(R$1,'Исходник'!$1:$1,0)))</f>
        <v/>
      </c>
      <c r="S860" s="27">
        <f t="shared" si="7"/>
        <v>0</v>
      </c>
      <c r="T860" s="27" t="str">
        <f t="shared" si="8"/>
        <v/>
      </c>
      <c r="U860" s="1" t="str">
        <f t="array" ref="U860">IFERROR(INDEX('Исходник'!$1:$626,MATCH($A860,'Исходник'!$T:$T,0),MATCH(U$1,'Исходник'!$1:$1,0)))</f>
        <v/>
      </c>
      <c r="V860" s="27" t="str">
        <f t="shared" si="9"/>
        <v/>
      </c>
      <c r="W860" s="1" t="str">
        <f t="array" ref="W860">IFERROR(INDEX('Исходник'!$1:$626,MATCH($A860,'Исходник'!$T:$T,0),MATCH(W$1,'Исходник'!$1:$1,0)))</f>
        <v/>
      </c>
      <c r="X860" s="28">
        <f t="shared" si="10"/>
        <v>0</v>
      </c>
      <c r="Y860" s="1" t="str">
        <f t="array" ref="Y860">IFERROR(INDEX('Исходник'!$1:$626,MATCH($A860,'Исходник'!$T:$T,0),MATCH(Y$1,'Исходник'!$1:$1,0)))</f>
        <v/>
      </c>
      <c r="Z860" s="27">
        <f t="shared" si="11"/>
        <v>0</v>
      </c>
      <c r="AA860" s="27" t="str">
        <f t="shared" si="12"/>
        <v/>
      </c>
      <c r="AB860" s="1" t="str">
        <f t="array" ref="AB860">IFERROR(INDEX('Исходник'!$1:$626,MATCH($A860,'Исходник'!$T:$T,0),MATCH(AB$1,'Исходник'!$1:$1,0)))</f>
        <v/>
      </c>
      <c r="AC860" s="1" t="str">
        <f t="array" ref="AC860">IFERROR(INDEX('Исходник'!$1:$626,MATCH($A860,'Исходник'!$T:$T,0),MATCH(AC$1,'Исходник'!$1:$1,0)))</f>
        <v/>
      </c>
      <c r="AD860" s="27" t="str">
        <f t="shared" si="13"/>
        <v/>
      </c>
      <c r="AE860" s="1" t="str">
        <f t="array" ref="AE860">IFERROR(INDEX('Исходник'!$1:$626,MATCH($A860,'Исходник'!$T:$T,0),MATCH(AE$1,'Исходник'!$1:$1,0)))</f>
        <v/>
      </c>
      <c r="AF860" s="1" t="str">
        <f t="array" ref="AF860">IFERROR(INDEX('Исходник'!$1:$626,MATCH($A860,'Исходник'!$T:$T,0),MATCH(AF$1,'Исходник'!$1:$1,0)))</f>
        <v/>
      </c>
      <c r="AG860" s="27" t="str">
        <f t="shared" si="14"/>
        <v/>
      </c>
      <c r="AH860" s="1" t="str">
        <f t="array" ref="AH860">IFERROR(INDEX('Исходник'!$1:$626,MATCH($A860,'Исходник'!$T:$T,0),MATCH(AH$1,'Исходник'!$1:$1,0)))</f>
        <v/>
      </c>
      <c r="AI860" s="1" t="str">
        <f t="array" ref="AI860">IFERROR(INDEX('Исходник'!$1:$626,MATCH($A860,'Исходник'!$T:$T,0),MATCH(AI$1,'Исходник'!$1:$1,0)))</f>
        <v/>
      </c>
      <c r="AJ860" s="18">
        <f t="shared" si="15"/>
        <v>0</v>
      </c>
    </row>
    <row r="861" ht="15.75" customHeight="1">
      <c r="A861" s="27"/>
      <c r="B861" s="1" t="str">
        <f t="array" ref="B861">IFERROR(INDEX('Исходник'!$1:$626,MATCH($A861,'Исходник'!$T:$T,0),MATCH(B$1,'Исходник'!$1:$1,0)))</f>
        <v/>
      </c>
      <c r="C861" s="1" t="str">
        <f t="array" ref="C861">IFERROR(INDEX('Исходник'!$1:$626,MATCH($A861,'Исходник'!$T:$T,0),MATCH(C$1,'Исходник'!$1:$1,0)))</f>
        <v/>
      </c>
      <c r="D861" s="1" t="str">
        <f t="array" ref="D861">IFERROR(INDEX('Исходник'!$1:$626,MATCH($A861,'Исходник'!$T:$T,0),MATCH(D$1,'Исходник'!$1:$1,0)))</f>
        <v/>
      </c>
      <c r="E861" s="1" t="str">
        <f t="array" ref="E861">IFERROR(INDEX('Исходник'!$1:$626,MATCH($A861,'Исходник'!$T:$T,0),MATCH(E$1,'Исходник'!$1:$1,0)))</f>
        <v/>
      </c>
      <c r="F861" s="1" t="str">
        <f t="array" ref="F861">IFERROR(INDEX('Исходник'!$1:$626,MATCH($A861,'Исходник'!$T:$T,0),MATCH(F$1,'Исходник'!$1:$1,0)))</f>
        <v/>
      </c>
      <c r="G861" s="1" t="str">
        <f t="array" ref="G861">IFERROR(INDEX('Исходник'!$1:$626,MATCH($A861,'Исходник'!$T:$T,0),MATCH(G$1,'Исходник'!$1:$1,0)))</f>
        <v/>
      </c>
      <c r="H861" s="27">
        <f t="shared" si="1"/>
        <v>0</v>
      </c>
      <c r="I861" s="27" t="str">
        <f t="shared" si="2"/>
        <v/>
      </c>
      <c r="J861" s="1" t="str">
        <f t="array" ref="J861">IFERROR(INDEX('Исходник'!$1:$626,MATCH($A861,'Исходник'!$T:$T,0),MATCH(J$1,'Исходник'!$1:$1,0)))</f>
        <v/>
      </c>
      <c r="K861" s="27" t="str">
        <f t="shared" si="3"/>
        <v/>
      </c>
      <c r="L861" s="1" t="str">
        <f t="array" ref="L861">IFERROR(INDEX('Исходник'!$1:$626,MATCH($A861,'Исходник'!$T:$T,0),MATCH(L$1,'Исходник'!$1:$1,0)))</f>
        <v/>
      </c>
      <c r="M861" s="28">
        <f t="shared" si="4"/>
        <v>0</v>
      </c>
      <c r="N861" s="1" t="str">
        <f t="array" ref="N861">IFERROR(INDEX('Исходник'!$1:$626,MATCH($A861,'Исходник'!$T:$T,0),MATCH(N$1,'Исходник'!$1:$1,0)))</f>
        <v/>
      </c>
      <c r="O861" s="27">
        <f t="shared" si="5"/>
        <v>0</v>
      </c>
      <c r="P861" s="27" t="str">
        <f t="shared" si="6"/>
        <v/>
      </c>
      <c r="Q861" s="1" t="str">
        <f t="array" ref="Q861">IFERROR(INDEX('Исходник'!$1:$626,MATCH($A861,'Исходник'!$T:$T,0),MATCH(Q$1,'Исходник'!$1:$1,0)))</f>
        <v/>
      </c>
      <c r="R861" s="1" t="str">
        <f t="array" ref="R861">IFERROR(INDEX('Исходник'!$1:$626,MATCH($A861,'Исходник'!$T:$T,0),MATCH(R$1,'Исходник'!$1:$1,0)))</f>
        <v/>
      </c>
      <c r="S861" s="27">
        <f t="shared" si="7"/>
        <v>0</v>
      </c>
      <c r="T861" s="27" t="str">
        <f t="shared" si="8"/>
        <v/>
      </c>
      <c r="U861" s="1" t="str">
        <f t="array" ref="U861">IFERROR(INDEX('Исходник'!$1:$626,MATCH($A861,'Исходник'!$T:$T,0),MATCH(U$1,'Исходник'!$1:$1,0)))</f>
        <v/>
      </c>
      <c r="V861" s="27" t="str">
        <f t="shared" si="9"/>
        <v/>
      </c>
      <c r="W861" s="1" t="str">
        <f t="array" ref="W861">IFERROR(INDEX('Исходник'!$1:$626,MATCH($A861,'Исходник'!$T:$T,0),MATCH(W$1,'Исходник'!$1:$1,0)))</f>
        <v/>
      </c>
      <c r="X861" s="28">
        <f t="shared" si="10"/>
        <v>0</v>
      </c>
      <c r="Y861" s="1" t="str">
        <f t="array" ref="Y861">IFERROR(INDEX('Исходник'!$1:$626,MATCH($A861,'Исходник'!$T:$T,0),MATCH(Y$1,'Исходник'!$1:$1,0)))</f>
        <v/>
      </c>
      <c r="Z861" s="27">
        <f t="shared" si="11"/>
        <v>0</v>
      </c>
      <c r="AA861" s="27" t="str">
        <f t="shared" si="12"/>
        <v/>
      </c>
      <c r="AB861" s="1" t="str">
        <f t="array" ref="AB861">IFERROR(INDEX('Исходник'!$1:$626,MATCH($A861,'Исходник'!$T:$T,0),MATCH(AB$1,'Исходник'!$1:$1,0)))</f>
        <v/>
      </c>
      <c r="AC861" s="1" t="str">
        <f t="array" ref="AC861">IFERROR(INDEX('Исходник'!$1:$626,MATCH($A861,'Исходник'!$T:$T,0),MATCH(AC$1,'Исходник'!$1:$1,0)))</f>
        <v/>
      </c>
      <c r="AD861" s="27" t="str">
        <f t="shared" si="13"/>
        <v/>
      </c>
      <c r="AE861" s="1" t="str">
        <f t="array" ref="AE861">IFERROR(INDEX('Исходник'!$1:$626,MATCH($A861,'Исходник'!$T:$T,0),MATCH(AE$1,'Исходник'!$1:$1,0)))</f>
        <v/>
      </c>
      <c r="AF861" s="1" t="str">
        <f t="array" ref="AF861">IFERROR(INDEX('Исходник'!$1:$626,MATCH($A861,'Исходник'!$T:$T,0),MATCH(AF$1,'Исходник'!$1:$1,0)))</f>
        <v/>
      </c>
      <c r="AG861" s="27" t="str">
        <f t="shared" si="14"/>
        <v/>
      </c>
      <c r="AH861" s="1" t="str">
        <f t="array" ref="AH861">IFERROR(INDEX('Исходник'!$1:$626,MATCH($A861,'Исходник'!$T:$T,0),MATCH(AH$1,'Исходник'!$1:$1,0)))</f>
        <v/>
      </c>
      <c r="AI861" s="1" t="str">
        <f t="array" ref="AI861">IFERROR(INDEX('Исходник'!$1:$626,MATCH($A861,'Исходник'!$T:$T,0),MATCH(AI$1,'Исходник'!$1:$1,0)))</f>
        <v/>
      </c>
      <c r="AJ861" s="18">
        <f t="shared" si="15"/>
        <v>0</v>
      </c>
    </row>
    <row r="862" ht="15.75" customHeight="1">
      <c r="A862" s="27"/>
      <c r="B862" s="1" t="str">
        <f t="array" ref="B862">IFERROR(INDEX('Исходник'!$1:$626,MATCH($A862,'Исходник'!$T:$T,0),MATCH(B$1,'Исходник'!$1:$1,0)))</f>
        <v/>
      </c>
      <c r="C862" s="1" t="str">
        <f t="array" ref="C862">IFERROR(INDEX('Исходник'!$1:$626,MATCH($A862,'Исходник'!$T:$T,0),MATCH(C$1,'Исходник'!$1:$1,0)))</f>
        <v/>
      </c>
      <c r="D862" s="1" t="str">
        <f t="array" ref="D862">IFERROR(INDEX('Исходник'!$1:$626,MATCH($A862,'Исходник'!$T:$T,0),MATCH(D$1,'Исходник'!$1:$1,0)))</f>
        <v/>
      </c>
      <c r="E862" s="1" t="str">
        <f t="array" ref="E862">IFERROR(INDEX('Исходник'!$1:$626,MATCH($A862,'Исходник'!$T:$T,0),MATCH(E$1,'Исходник'!$1:$1,0)))</f>
        <v/>
      </c>
      <c r="F862" s="1" t="str">
        <f t="array" ref="F862">IFERROR(INDEX('Исходник'!$1:$626,MATCH($A862,'Исходник'!$T:$T,0),MATCH(F$1,'Исходник'!$1:$1,0)))</f>
        <v/>
      </c>
      <c r="G862" s="1" t="str">
        <f t="array" ref="G862">IFERROR(INDEX('Исходник'!$1:$626,MATCH($A862,'Исходник'!$T:$T,0),MATCH(G$1,'Исходник'!$1:$1,0)))</f>
        <v/>
      </c>
      <c r="H862" s="27">
        <f t="shared" si="1"/>
        <v>0</v>
      </c>
      <c r="I862" s="27" t="str">
        <f t="shared" si="2"/>
        <v/>
      </c>
      <c r="J862" s="1" t="str">
        <f t="array" ref="J862">IFERROR(INDEX('Исходник'!$1:$626,MATCH($A862,'Исходник'!$T:$T,0),MATCH(J$1,'Исходник'!$1:$1,0)))</f>
        <v/>
      </c>
      <c r="K862" s="27" t="str">
        <f t="shared" si="3"/>
        <v/>
      </c>
      <c r="L862" s="1" t="str">
        <f t="array" ref="L862">IFERROR(INDEX('Исходник'!$1:$626,MATCH($A862,'Исходник'!$T:$T,0),MATCH(L$1,'Исходник'!$1:$1,0)))</f>
        <v/>
      </c>
      <c r="M862" s="28">
        <f t="shared" si="4"/>
        <v>0</v>
      </c>
      <c r="N862" s="1" t="str">
        <f t="array" ref="N862">IFERROR(INDEX('Исходник'!$1:$626,MATCH($A862,'Исходник'!$T:$T,0),MATCH(N$1,'Исходник'!$1:$1,0)))</f>
        <v/>
      </c>
      <c r="O862" s="27">
        <f t="shared" si="5"/>
        <v>0</v>
      </c>
      <c r="P862" s="27" t="str">
        <f t="shared" si="6"/>
        <v/>
      </c>
      <c r="Q862" s="1" t="str">
        <f t="array" ref="Q862">IFERROR(INDEX('Исходник'!$1:$626,MATCH($A862,'Исходник'!$T:$T,0),MATCH(Q$1,'Исходник'!$1:$1,0)))</f>
        <v/>
      </c>
      <c r="R862" s="1" t="str">
        <f t="array" ref="R862">IFERROR(INDEX('Исходник'!$1:$626,MATCH($A862,'Исходник'!$T:$T,0),MATCH(R$1,'Исходник'!$1:$1,0)))</f>
        <v/>
      </c>
      <c r="S862" s="27">
        <f t="shared" si="7"/>
        <v>0</v>
      </c>
      <c r="T862" s="27" t="str">
        <f t="shared" si="8"/>
        <v/>
      </c>
      <c r="U862" s="1" t="str">
        <f t="array" ref="U862">IFERROR(INDEX('Исходник'!$1:$626,MATCH($A862,'Исходник'!$T:$T,0),MATCH(U$1,'Исходник'!$1:$1,0)))</f>
        <v/>
      </c>
      <c r="V862" s="27" t="str">
        <f t="shared" si="9"/>
        <v/>
      </c>
      <c r="W862" s="1" t="str">
        <f t="array" ref="W862">IFERROR(INDEX('Исходник'!$1:$626,MATCH($A862,'Исходник'!$T:$T,0),MATCH(W$1,'Исходник'!$1:$1,0)))</f>
        <v/>
      </c>
      <c r="X862" s="28">
        <f t="shared" si="10"/>
        <v>0</v>
      </c>
      <c r="Y862" s="1" t="str">
        <f t="array" ref="Y862">IFERROR(INDEX('Исходник'!$1:$626,MATCH($A862,'Исходник'!$T:$T,0),MATCH(Y$1,'Исходник'!$1:$1,0)))</f>
        <v/>
      </c>
      <c r="Z862" s="27">
        <f t="shared" si="11"/>
        <v>0</v>
      </c>
      <c r="AA862" s="27" t="str">
        <f t="shared" si="12"/>
        <v/>
      </c>
      <c r="AB862" s="1" t="str">
        <f t="array" ref="AB862">IFERROR(INDEX('Исходник'!$1:$626,MATCH($A862,'Исходник'!$T:$T,0),MATCH(AB$1,'Исходник'!$1:$1,0)))</f>
        <v/>
      </c>
      <c r="AC862" s="1" t="str">
        <f t="array" ref="AC862">IFERROR(INDEX('Исходник'!$1:$626,MATCH($A862,'Исходник'!$T:$T,0),MATCH(AC$1,'Исходник'!$1:$1,0)))</f>
        <v/>
      </c>
      <c r="AD862" s="27" t="str">
        <f t="shared" si="13"/>
        <v/>
      </c>
      <c r="AE862" s="1" t="str">
        <f t="array" ref="AE862">IFERROR(INDEX('Исходник'!$1:$626,MATCH($A862,'Исходник'!$T:$T,0),MATCH(AE$1,'Исходник'!$1:$1,0)))</f>
        <v/>
      </c>
      <c r="AF862" s="1" t="str">
        <f t="array" ref="AF862">IFERROR(INDEX('Исходник'!$1:$626,MATCH($A862,'Исходник'!$T:$T,0),MATCH(AF$1,'Исходник'!$1:$1,0)))</f>
        <v/>
      </c>
      <c r="AG862" s="27" t="str">
        <f t="shared" si="14"/>
        <v/>
      </c>
      <c r="AH862" s="1" t="str">
        <f t="array" ref="AH862">IFERROR(INDEX('Исходник'!$1:$626,MATCH($A862,'Исходник'!$T:$T,0),MATCH(AH$1,'Исходник'!$1:$1,0)))</f>
        <v/>
      </c>
      <c r="AI862" s="1" t="str">
        <f t="array" ref="AI862">IFERROR(INDEX('Исходник'!$1:$626,MATCH($A862,'Исходник'!$T:$T,0),MATCH(AI$1,'Исходник'!$1:$1,0)))</f>
        <v/>
      </c>
      <c r="AJ862" s="18">
        <f t="shared" si="15"/>
        <v>0</v>
      </c>
    </row>
    <row r="863" ht="15.75" customHeight="1">
      <c r="A863" s="27"/>
      <c r="B863" s="1" t="str">
        <f t="array" ref="B863">IFERROR(INDEX('Исходник'!$1:$626,MATCH($A863,'Исходник'!$T:$T,0),MATCH(B$1,'Исходник'!$1:$1,0)))</f>
        <v/>
      </c>
      <c r="C863" s="1" t="str">
        <f t="array" ref="C863">IFERROR(INDEX('Исходник'!$1:$626,MATCH($A863,'Исходник'!$T:$T,0),MATCH(C$1,'Исходник'!$1:$1,0)))</f>
        <v/>
      </c>
      <c r="D863" s="1" t="str">
        <f t="array" ref="D863">IFERROR(INDEX('Исходник'!$1:$626,MATCH($A863,'Исходник'!$T:$T,0),MATCH(D$1,'Исходник'!$1:$1,0)))</f>
        <v/>
      </c>
      <c r="E863" s="1" t="str">
        <f t="array" ref="E863">IFERROR(INDEX('Исходник'!$1:$626,MATCH($A863,'Исходник'!$T:$T,0),MATCH(E$1,'Исходник'!$1:$1,0)))</f>
        <v/>
      </c>
      <c r="F863" s="1" t="str">
        <f t="array" ref="F863">IFERROR(INDEX('Исходник'!$1:$626,MATCH($A863,'Исходник'!$T:$T,0),MATCH(F$1,'Исходник'!$1:$1,0)))</f>
        <v/>
      </c>
      <c r="G863" s="1" t="str">
        <f t="array" ref="G863">IFERROR(INDEX('Исходник'!$1:$626,MATCH($A863,'Исходник'!$T:$T,0),MATCH(G$1,'Исходник'!$1:$1,0)))</f>
        <v/>
      </c>
      <c r="H863" s="27">
        <f t="shared" si="1"/>
        <v>0</v>
      </c>
      <c r="I863" s="27" t="str">
        <f t="shared" si="2"/>
        <v/>
      </c>
      <c r="J863" s="1" t="str">
        <f t="array" ref="J863">IFERROR(INDEX('Исходник'!$1:$626,MATCH($A863,'Исходник'!$T:$T,0),MATCH(J$1,'Исходник'!$1:$1,0)))</f>
        <v/>
      </c>
      <c r="K863" s="27" t="str">
        <f t="shared" si="3"/>
        <v/>
      </c>
      <c r="L863" s="1" t="str">
        <f t="array" ref="L863">IFERROR(INDEX('Исходник'!$1:$626,MATCH($A863,'Исходник'!$T:$T,0),MATCH(L$1,'Исходник'!$1:$1,0)))</f>
        <v/>
      </c>
      <c r="M863" s="28">
        <f t="shared" si="4"/>
        <v>0</v>
      </c>
      <c r="N863" s="1" t="str">
        <f t="array" ref="N863">IFERROR(INDEX('Исходник'!$1:$626,MATCH($A863,'Исходник'!$T:$T,0),MATCH(N$1,'Исходник'!$1:$1,0)))</f>
        <v/>
      </c>
      <c r="O863" s="27">
        <f t="shared" si="5"/>
        <v>0</v>
      </c>
      <c r="P863" s="27" t="str">
        <f t="shared" si="6"/>
        <v/>
      </c>
      <c r="Q863" s="1" t="str">
        <f t="array" ref="Q863">IFERROR(INDEX('Исходник'!$1:$626,MATCH($A863,'Исходник'!$T:$T,0),MATCH(Q$1,'Исходник'!$1:$1,0)))</f>
        <v/>
      </c>
      <c r="R863" s="1" t="str">
        <f t="array" ref="R863">IFERROR(INDEX('Исходник'!$1:$626,MATCH($A863,'Исходник'!$T:$T,0),MATCH(R$1,'Исходник'!$1:$1,0)))</f>
        <v/>
      </c>
      <c r="S863" s="27">
        <f t="shared" si="7"/>
        <v>0</v>
      </c>
      <c r="T863" s="27" t="str">
        <f t="shared" si="8"/>
        <v/>
      </c>
      <c r="U863" s="1" t="str">
        <f t="array" ref="U863">IFERROR(INDEX('Исходник'!$1:$626,MATCH($A863,'Исходник'!$T:$T,0),MATCH(U$1,'Исходник'!$1:$1,0)))</f>
        <v/>
      </c>
      <c r="V863" s="27" t="str">
        <f t="shared" si="9"/>
        <v/>
      </c>
      <c r="W863" s="1" t="str">
        <f t="array" ref="W863">IFERROR(INDEX('Исходник'!$1:$626,MATCH($A863,'Исходник'!$T:$T,0),MATCH(W$1,'Исходник'!$1:$1,0)))</f>
        <v/>
      </c>
      <c r="X863" s="28">
        <f t="shared" si="10"/>
        <v>0</v>
      </c>
      <c r="Y863" s="1" t="str">
        <f t="array" ref="Y863">IFERROR(INDEX('Исходник'!$1:$626,MATCH($A863,'Исходник'!$T:$T,0),MATCH(Y$1,'Исходник'!$1:$1,0)))</f>
        <v/>
      </c>
      <c r="Z863" s="27">
        <f t="shared" si="11"/>
        <v>0</v>
      </c>
      <c r="AA863" s="27" t="str">
        <f t="shared" si="12"/>
        <v/>
      </c>
      <c r="AB863" s="1" t="str">
        <f t="array" ref="AB863">IFERROR(INDEX('Исходник'!$1:$626,MATCH($A863,'Исходник'!$T:$T,0),MATCH(AB$1,'Исходник'!$1:$1,0)))</f>
        <v/>
      </c>
      <c r="AC863" s="1" t="str">
        <f t="array" ref="AC863">IFERROR(INDEX('Исходник'!$1:$626,MATCH($A863,'Исходник'!$T:$T,0),MATCH(AC$1,'Исходник'!$1:$1,0)))</f>
        <v/>
      </c>
      <c r="AD863" s="27" t="str">
        <f t="shared" si="13"/>
        <v/>
      </c>
      <c r="AE863" s="1" t="str">
        <f t="array" ref="AE863">IFERROR(INDEX('Исходник'!$1:$626,MATCH($A863,'Исходник'!$T:$T,0),MATCH(AE$1,'Исходник'!$1:$1,0)))</f>
        <v/>
      </c>
      <c r="AF863" s="1" t="str">
        <f t="array" ref="AF863">IFERROR(INDEX('Исходник'!$1:$626,MATCH($A863,'Исходник'!$T:$T,0),MATCH(AF$1,'Исходник'!$1:$1,0)))</f>
        <v/>
      </c>
      <c r="AG863" s="27" t="str">
        <f t="shared" si="14"/>
        <v/>
      </c>
      <c r="AH863" s="1" t="str">
        <f t="array" ref="AH863">IFERROR(INDEX('Исходник'!$1:$626,MATCH($A863,'Исходник'!$T:$T,0),MATCH(AH$1,'Исходник'!$1:$1,0)))</f>
        <v/>
      </c>
      <c r="AI863" s="1" t="str">
        <f t="array" ref="AI863">IFERROR(INDEX('Исходник'!$1:$626,MATCH($A863,'Исходник'!$T:$T,0),MATCH(AI$1,'Исходник'!$1:$1,0)))</f>
        <v/>
      </c>
      <c r="AJ863" s="18">
        <f t="shared" si="15"/>
        <v>0</v>
      </c>
    </row>
    <row r="864" ht="15.75" customHeight="1">
      <c r="A864" s="27"/>
      <c r="B864" s="1" t="str">
        <f t="array" ref="B864">IFERROR(INDEX('Исходник'!$1:$626,MATCH($A864,'Исходник'!$T:$T,0),MATCH(B$1,'Исходник'!$1:$1,0)))</f>
        <v/>
      </c>
      <c r="C864" s="1" t="str">
        <f t="array" ref="C864">IFERROR(INDEX('Исходник'!$1:$626,MATCH($A864,'Исходник'!$T:$T,0),MATCH(C$1,'Исходник'!$1:$1,0)))</f>
        <v/>
      </c>
      <c r="D864" s="1" t="str">
        <f t="array" ref="D864">IFERROR(INDEX('Исходник'!$1:$626,MATCH($A864,'Исходник'!$T:$T,0),MATCH(D$1,'Исходник'!$1:$1,0)))</f>
        <v/>
      </c>
      <c r="E864" s="1" t="str">
        <f t="array" ref="E864">IFERROR(INDEX('Исходник'!$1:$626,MATCH($A864,'Исходник'!$T:$T,0),MATCH(E$1,'Исходник'!$1:$1,0)))</f>
        <v/>
      </c>
      <c r="F864" s="1" t="str">
        <f t="array" ref="F864">IFERROR(INDEX('Исходник'!$1:$626,MATCH($A864,'Исходник'!$T:$T,0),MATCH(F$1,'Исходник'!$1:$1,0)))</f>
        <v/>
      </c>
      <c r="G864" s="1" t="str">
        <f t="array" ref="G864">IFERROR(INDEX('Исходник'!$1:$626,MATCH($A864,'Исходник'!$T:$T,0),MATCH(G$1,'Исходник'!$1:$1,0)))</f>
        <v/>
      </c>
      <c r="H864" s="27">
        <f t="shared" si="1"/>
        <v>0</v>
      </c>
      <c r="I864" s="27" t="str">
        <f t="shared" si="2"/>
        <v/>
      </c>
      <c r="J864" s="1" t="str">
        <f t="array" ref="J864">IFERROR(INDEX('Исходник'!$1:$626,MATCH($A864,'Исходник'!$T:$T,0),MATCH(J$1,'Исходник'!$1:$1,0)))</f>
        <v/>
      </c>
      <c r="K864" s="27" t="str">
        <f t="shared" si="3"/>
        <v/>
      </c>
      <c r="L864" s="1" t="str">
        <f t="array" ref="L864">IFERROR(INDEX('Исходник'!$1:$626,MATCH($A864,'Исходник'!$T:$T,0),MATCH(L$1,'Исходник'!$1:$1,0)))</f>
        <v/>
      </c>
      <c r="M864" s="28">
        <f t="shared" si="4"/>
        <v>0</v>
      </c>
      <c r="N864" s="1" t="str">
        <f t="array" ref="N864">IFERROR(INDEX('Исходник'!$1:$626,MATCH($A864,'Исходник'!$T:$T,0),MATCH(N$1,'Исходник'!$1:$1,0)))</f>
        <v/>
      </c>
      <c r="O864" s="27">
        <f t="shared" si="5"/>
        <v>0</v>
      </c>
      <c r="P864" s="27" t="str">
        <f t="shared" si="6"/>
        <v/>
      </c>
      <c r="Q864" s="1" t="str">
        <f t="array" ref="Q864">IFERROR(INDEX('Исходник'!$1:$626,MATCH($A864,'Исходник'!$T:$T,0),MATCH(Q$1,'Исходник'!$1:$1,0)))</f>
        <v/>
      </c>
      <c r="R864" s="1" t="str">
        <f t="array" ref="R864">IFERROR(INDEX('Исходник'!$1:$626,MATCH($A864,'Исходник'!$T:$T,0),MATCH(R$1,'Исходник'!$1:$1,0)))</f>
        <v/>
      </c>
      <c r="S864" s="27">
        <f t="shared" si="7"/>
        <v>0</v>
      </c>
      <c r="T864" s="27" t="str">
        <f t="shared" si="8"/>
        <v/>
      </c>
      <c r="U864" s="1" t="str">
        <f t="array" ref="U864">IFERROR(INDEX('Исходник'!$1:$626,MATCH($A864,'Исходник'!$T:$T,0),MATCH(U$1,'Исходник'!$1:$1,0)))</f>
        <v/>
      </c>
      <c r="V864" s="27" t="str">
        <f t="shared" si="9"/>
        <v/>
      </c>
      <c r="W864" s="1" t="str">
        <f t="array" ref="W864">IFERROR(INDEX('Исходник'!$1:$626,MATCH($A864,'Исходник'!$T:$T,0),MATCH(W$1,'Исходник'!$1:$1,0)))</f>
        <v/>
      </c>
      <c r="X864" s="28">
        <f t="shared" si="10"/>
        <v>0</v>
      </c>
      <c r="Y864" s="1" t="str">
        <f t="array" ref="Y864">IFERROR(INDEX('Исходник'!$1:$626,MATCH($A864,'Исходник'!$T:$T,0),MATCH(Y$1,'Исходник'!$1:$1,0)))</f>
        <v/>
      </c>
      <c r="Z864" s="27">
        <f t="shared" si="11"/>
        <v>0</v>
      </c>
      <c r="AA864" s="27" t="str">
        <f t="shared" si="12"/>
        <v/>
      </c>
      <c r="AB864" s="1" t="str">
        <f t="array" ref="AB864">IFERROR(INDEX('Исходник'!$1:$626,MATCH($A864,'Исходник'!$T:$T,0),MATCH(AB$1,'Исходник'!$1:$1,0)))</f>
        <v/>
      </c>
      <c r="AC864" s="1" t="str">
        <f t="array" ref="AC864">IFERROR(INDEX('Исходник'!$1:$626,MATCH($A864,'Исходник'!$T:$T,0),MATCH(AC$1,'Исходник'!$1:$1,0)))</f>
        <v/>
      </c>
      <c r="AD864" s="27" t="str">
        <f t="shared" si="13"/>
        <v/>
      </c>
      <c r="AE864" s="1" t="str">
        <f t="array" ref="AE864">IFERROR(INDEX('Исходник'!$1:$626,MATCH($A864,'Исходник'!$T:$T,0),MATCH(AE$1,'Исходник'!$1:$1,0)))</f>
        <v/>
      </c>
      <c r="AF864" s="1" t="str">
        <f t="array" ref="AF864">IFERROR(INDEX('Исходник'!$1:$626,MATCH($A864,'Исходник'!$T:$T,0),MATCH(AF$1,'Исходник'!$1:$1,0)))</f>
        <v/>
      </c>
      <c r="AG864" s="27" t="str">
        <f t="shared" si="14"/>
        <v/>
      </c>
      <c r="AH864" s="1" t="str">
        <f t="array" ref="AH864">IFERROR(INDEX('Исходник'!$1:$626,MATCH($A864,'Исходник'!$T:$T,0),MATCH(AH$1,'Исходник'!$1:$1,0)))</f>
        <v/>
      </c>
      <c r="AI864" s="1" t="str">
        <f t="array" ref="AI864">IFERROR(INDEX('Исходник'!$1:$626,MATCH($A864,'Исходник'!$T:$T,0),MATCH(AI$1,'Исходник'!$1:$1,0)))</f>
        <v/>
      </c>
      <c r="AJ864" s="18">
        <f t="shared" si="15"/>
        <v>0</v>
      </c>
    </row>
    <row r="865" ht="15.75" customHeight="1">
      <c r="A865" s="27"/>
      <c r="B865" s="1" t="str">
        <f t="array" ref="B865">IFERROR(INDEX('Исходник'!$1:$626,MATCH($A865,'Исходник'!$T:$T,0),MATCH(B$1,'Исходник'!$1:$1,0)))</f>
        <v/>
      </c>
      <c r="C865" s="1" t="str">
        <f t="array" ref="C865">IFERROR(INDEX('Исходник'!$1:$626,MATCH($A865,'Исходник'!$T:$T,0),MATCH(C$1,'Исходник'!$1:$1,0)))</f>
        <v/>
      </c>
      <c r="D865" s="1" t="str">
        <f t="array" ref="D865">IFERROR(INDEX('Исходник'!$1:$626,MATCH($A865,'Исходник'!$T:$T,0),MATCH(D$1,'Исходник'!$1:$1,0)))</f>
        <v/>
      </c>
      <c r="E865" s="1" t="str">
        <f t="array" ref="E865">IFERROR(INDEX('Исходник'!$1:$626,MATCH($A865,'Исходник'!$T:$T,0),MATCH(E$1,'Исходник'!$1:$1,0)))</f>
        <v/>
      </c>
      <c r="F865" s="1" t="str">
        <f t="array" ref="F865">IFERROR(INDEX('Исходник'!$1:$626,MATCH($A865,'Исходник'!$T:$T,0),MATCH(F$1,'Исходник'!$1:$1,0)))</f>
        <v/>
      </c>
      <c r="G865" s="1" t="str">
        <f t="array" ref="G865">IFERROR(INDEX('Исходник'!$1:$626,MATCH($A865,'Исходник'!$T:$T,0),MATCH(G$1,'Исходник'!$1:$1,0)))</f>
        <v/>
      </c>
      <c r="H865" s="27">
        <f t="shared" si="1"/>
        <v>0</v>
      </c>
      <c r="I865" s="27" t="str">
        <f t="shared" si="2"/>
        <v/>
      </c>
      <c r="J865" s="1" t="str">
        <f t="array" ref="J865">IFERROR(INDEX('Исходник'!$1:$626,MATCH($A865,'Исходник'!$T:$T,0),MATCH(J$1,'Исходник'!$1:$1,0)))</f>
        <v/>
      </c>
      <c r="K865" s="27" t="str">
        <f t="shared" si="3"/>
        <v/>
      </c>
      <c r="L865" s="1" t="str">
        <f t="array" ref="L865">IFERROR(INDEX('Исходник'!$1:$626,MATCH($A865,'Исходник'!$T:$T,0),MATCH(L$1,'Исходник'!$1:$1,0)))</f>
        <v/>
      </c>
      <c r="M865" s="28">
        <f t="shared" si="4"/>
        <v>0</v>
      </c>
      <c r="N865" s="1" t="str">
        <f t="array" ref="N865">IFERROR(INDEX('Исходник'!$1:$626,MATCH($A865,'Исходник'!$T:$T,0),MATCH(N$1,'Исходник'!$1:$1,0)))</f>
        <v/>
      </c>
      <c r="O865" s="27">
        <f t="shared" si="5"/>
        <v>0</v>
      </c>
      <c r="P865" s="27" t="str">
        <f t="shared" si="6"/>
        <v/>
      </c>
      <c r="Q865" s="1" t="str">
        <f t="array" ref="Q865">IFERROR(INDEX('Исходник'!$1:$626,MATCH($A865,'Исходник'!$T:$T,0),MATCH(Q$1,'Исходник'!$1:$1,0)))</f>
        <v/>
      </c>
      <c r="R865" s="1" t="str">
        <f t="array" ref="R865">IFERROR(INDEX('Исходник'!$1:$626,MATCH($A865,'Исходник'!$T:$T,0),MATCH(R$1,'Исходник'!$1:$1,0)))</f>
        <v/>
      </c>
      <c r="S865" s="27">
        <f t="shared" si="7"/>
        <v>0</v>
      </c>
      <c r="T865" s="27" t="str">
        <f t="shared" si="8"/>
        <v/>
      </c>
      <c r="U865" s="1" t="str">
        <f t="array" ref="U865">IFERROR(INDEX('Исходник'!$1:$626,MATCH($A865,'Исходник'!$T:$T,0),MATCH(U$1,'Исходник'!$1:$1,0)))</f>
        <v/>
      </c>
      <c r="V865" s="27" t="str">
        <f t="shared" si="9"/>
        <v/>
      </c>
      <c r="W865" s="1" t="str">
        <f t="array" ref="W865">IFERROR(INDEX('Исходник'!$1:$626,MATCH($A865,'Исходник'!$T:$T,0),MATCH(W$1,'Исходник'!$1:$1,0)))</f>
        <v/>
      </c>
      <c r="X865" s="28">
        <f t="shared" si="10"/>
        <v>0</v>
      </c>
      <c r="Y865" s="1" t="str">
        <f t="array" ref="Y865">IFERROR(INDEX('Исходник'!$1:$626,MATCH($A865,'Исходник'!$T:$T,0),MATCH(Y$1,'Исходник'!$1:$1,0)))</f>
        <v/>
      </c>
      <c r="Z865" s="27">
        <f t="shared" si="11"/>
        <v>0</v>
      </c>
      <c r="AA865" s="27" t="str">
        <f t="shared" si="12"/>
        <v/>
      </c>
      <c r="AB865" s="1" t="str">
        <f t="array" ref="AB865">IFERROR(INDEX('Исходник'!$1:$626,MATCH($A865,'Исходник'!$T:$T,0),MATCH(AB$1,'Исходник'!$1:$1,0)))</f>
        <v/>
      </c>
      <c r="AC865" s="1" t="str">
        <f t="array" ref="AC865">IFERROR(INDEX('Исходник'!$1:$626,MATCH($A865,'Исходник'!$T:$T,0),MATCH(AC$1,'Исходник'!$1:$1,0)))</f>
        <v/>
      </c>
      <c r="AD865" s="27" t="str">
        <f t="shared" si="13"/>
        <v/>
      </c>
      <c r="AE865" s="1" t="str">
        <f t="array" ref="AE865">IFERROR(INDEX('Исходник'!$1:$626,MATCH($A865,'Исходник'!$T:$T,0),MATCH(AE$1,'Исходник'!$1:$1,0)))</f>
        <v/>
      </c>
      <c r="AF865" s="1" t="str">
        <f t="array" ref="AF865">IFERROR(INDEX('Исходник'!$1:$626,MATCH($A865,'Исходник'!$T:$T,0),MATCH(AF$1,'Исходник'!$1:$1,0)))</f>
        <v/>
      </c>
      <c r="AG865" s="27" t="str">
        <f t="shared" si="14"/>
        <v/>
      </c>
      <c r="AH865" s="1" t="str">
        <f t="array" ref="AH865">IFERROR(INDEX('Исходник'!$1:$626,MATCH($A865,'Исходник'!$T:$T,0),MATCH(AH$1,'Исходник'!$1:$1,0)))</f>
        <v/>
      </c>
      <c r="AI865" s="1" t="str">
        <f t="array" ref="AI865">IFERROR(INDEX('Исходник'!$1:$626,MATCH($A865,'Исходник'!$T:$T,0),MATCH(AI$1,'Исходник'!$1:$1,0)))</f>
        <v/>
      </c>
      <c r="AJ865" s="18">
        <f t="shared" si="15"/>
        <v>0</v>
      </c>
    </row>
    <row r="866" ht="15.75" customHeight="1">
      <c r="A866" s="27"/>
      <c r="B866" s="1" t="str">
        <f t="array" ref="B866">IFERROR(INDEX('Исходник'!$1:$626,MATCH($A866,'Исходник'!$T:$T,0),MATCH(B$1,'Исходник'!$1:$1,0)))</f>
        <v/>
      </c>
      <c r="C866" s="1" t="str">
        <f t="array" ref="C866">IFERROR(INDEX('Исходник'!$1:$626,MATCH($A866,'Исходник'!$T:$T,0),MATCH(C$1,'Исходник'!$1:$1,0)))</f>
        <v/>
      </c>
      <c r="D866" s="1" t="str">
        <f t="array" ref="D866">IFERROR(INDEX('Исходник'!$1:$626,MATCH($A866,'Исходник'!$T:$T,0),MATCH(D$1,'Исходник'!$1:$1,0)))</f>
        <v/>
      </c>
      <c r="E866" s="1" t="str">
        <f t="array" ref="E866">IFERROR(INDEX('Исходник'!$1:$626,MATCH($A866,'Исходник'!$T:$T,0),MATCH(E$1,'Исходник'!$1:$1,0)))</f>
        <v/>
      </c>
      <c r="F866" s="1" t="str">
        <f t="array" ref="F866">IFERROR(INDEX('Исходник'!$1:$626,MATCH($A866,'Исходник'!$T:$T,0),MATCH(F$1,'Исходник'!$1:$1,0)))</f>
        <v/>
      </c>
      <c r="G866" s="1" t="str">
        <f t="array" ref="G866">IFERROR(INDEX('Исходник'!$1:$626,MATCH($A866,'Исходник'!$T:$T,0),MATCH(G$1,'Исходник'!$1:$1,0)))</f>
        <v/>
      </c>
      <c r="H866" s="27">
        <f t="shared" si="1"/>
        <v>0</v>
      </c>
      <c r="I866" s="27" t="str">
        <f t="shared" si="2"/>
        <v/>
      </c>
      <c r="J866" s="1" t="str">
        <f t="array" ref="J866">IFERROR(INDEX('Исходник'!$1:$626,MATCH($A866,'Исходник'!$T:$T,0),MATCH(J$1,'Исходник'!$1:$1,0)))</f>
        <v/>
      </c>
      <c r="K866" s="27" t="str">
        <f t="shared" si="3"/>
        <v/>
      </c>
      <c r="L866" s="1" t="str">
        <f t="array" ref="L866">IFERROR(INDEX('Исходник'!$1:$626,MATCH($A866,'Исходник'!$T:$T,0),MATCH(L$1,'Исходник'!$1:$1,0)))</f>
        <v/>
      </c>
      <c r="M866" s="28">
        <f t="shared" si="4"/>
        <v>0</v>
      </c>
      <c r="N866" s="1" t="str">
        <f t="array" ref="N866">IFERROR(INDEX('Исходник'!$1:$626,MATCH($A866,'Исходник'!$T:$T,0),MATCH(N$1,'Исходник'!$1:$1,0)))</f>
        <v/>
      </c>
      <c r="O866" s="27">
        <f t="shared" si="5"/>
        <v>0</v>
      </c>
      <c r="P866" s="27" t="str">
        <f t="shared" si="6"/>
        <v/>
      </c>
      <c r="Q866" s="1" t="str">
        <f t="array" ref="Q866">IFERROR(INDEX('Исходник'!$1:$626,MATCH($A866,'Исходник'!$T:$T,0),MATCH(Q$1,'Исходник'!$1:$1,0)))</f>
        <v/>
      </c>
      <c r="R866" s="1" t="str">
        <f t="array" ref="R866">IFERROR(INDEX('Исходник'!$1:$626,MATCH($A866,'Исходник'!$T:$T,0),MATCH(R$1,'Исходник'!$1:$1,0)))</f>
        <v/>
      </c>
      <c r="S866" s="27">
        <f t="shared" si="7"/>
        <v>0</v>
      </c>
      <c r="T866" s="27" t="str">
        <f t="shared" si="8"/>
        <v/>
      </c>
      <c r="U866" s="1" t="str">
        <f t="array" ref="U866">IFERROR(INDEX('Исходник'!$1:$626,MATCH($A866,'Исходник'!$T:$T,0),MATCH(U$1,'Исходник'!$1:$1,0)))</f>
        <v/>
      </c>
      <c r="V866" s="27" t="str">
        <f t="shared" si="9"/>
        <v/>
      </c>
      <c r="W866" s="1" t="str">
        <f t="array" ref="W866">IFERROR(INDEX('Исходник'!$1:$626,MATCH($A866,'Исходник'!$T:$T,0),MATCH(W$1,'Исходник'!$1:$1,0)))</f>
        <v/>
      </c>
      <c r="X866" s="28">
        <f t="shared" si="10"/>
        <v>0</v>
      </c>
      <c r="Y866" s="1" t="str">
        <f t="array" ref="Y866">IFERROR(INDEX('Исходник'!$1:$626,MATCH($A866,'Исходник'!$T:$T,0),MATCH(Y$1,'Исходник'!$1:$1,0)))</f>
        <v/>
      </c>
      <c r="Z866" s="27">
        <f t="shared" si="11"/>
        <v>0</v>
      </c>
      <c r="AA866" s="27" t="str">
        <f t="shared" si="12"/>
        <v/>
      </c>
      <c r="AB866" s="1" t="str">
        <f t="array" ref="AB866">IFERROR(INDEX('Исходник'!$1:$626,MATCH($A866,'Исходник'!$T:$T,0),MATCH(AB$1,'Исходник'!$1:$1,0)))</f>
        <v/>
      </c>
      <c r="AC866" s="1" t="str">
        <f t="array" ref="AC866">IFERROR(INDEX('Исходник'!$1:$626,MATCH($A866,'Исходник'!$T:$T,0),MATCH(AC$1,'Исходник'!$1:$1,0)))</f>
        <v/>
      </c>
      <c r="AD866" s="27" t="str">
        <f t="shared" si="13"/>
        <v/>
      </c>
      <c r="AE866" s="1" t="str">
        <f t="array" ref="AE866">IFERROR(INDEX('Исходник'!$1:$626,MATCH($A866,'Исходник'!$T:$T,0),MATCH(AE$1,'Исходник'!$1:$1,0)))</f>
        <v/>
      </c>
      <c r="AF866" s="1" t="str">
        <f t="array" ref="AF866">IFERROR(INDEX('Исходник'!$1:$626,MATCH($A866,'Исходник'!$T:$T,0),MATCH(AF$1,'Исходник'!$1:$1,0)))</f>
        <v/>
      </c>
      <c r="AG866" s="27" t="str">
        <f t="shared" si="14"/>
        <v/>
      </c>
      <c r="AH866" s="1" t="str">
        <f t="array" ref="AH866">IFERROR(INDEX('Исходник'!$1:$626,MATCH($A866,'Исходник'!$T:$T,0),MATCH(AH$1,'Исходник'!$1:$1,0)))</f>
        <v/>
      </c>
      <c r="AI866" s="1" t="str">
        <f t="array" ref="AI866">IFERROR(INDEX('Исходник'!$1:$626,MATCH($A866,'Исходник'!$T:$T,0),MATCH(AI$1,'Исходник'!$1:$1,0)))</f>
        <v/>
      </c>
      <c r="AJ866" s="18">
        <f t="shared" si="15"/>
        <v>0</v>
      </c>
    </row>
    <row r="867" ht="15.75" customHeight="1">
      <c r="A867" s="27"/>
      <c r="B867" s="1" t="str">
        <f t="array" ref="B867">IFERROR(INDEX('Исходник'!$1:$626,MATCH($A867,'Исходник'!$T:$T,0),MATCH(B$1,'Исходник'!$1:$1,0)))</f>
        <v/>
      </c>
      <c r="C867" s="1" t="str">
        <f t="array" ref="C867">IFERROR(INDEX('Исходник'!$1:$626,MATCH($A867,'Исходник'!$T:$T,0),MATCH(C$1,'Исходник'!$1:$1,0)))</f>
        <v/>
      </c>
      <c r="D867" s="1" t="str">
        <f t="array" ref="D867">IFERROR(INDEX('Исходник'!$1:$626,MATCH($A867,'Исходник'!$T:$T,0),MATCH(D$1,'Исходник'!$1:$1,0)))</f>
        <v/>
      </c>
      <c r="E867" s="1" t="str">
        <f t="array" ref="E867">IFERROR(INDEX('Исходник'!$1:$626,MATCH($A867,'Исходник'!$T:$T,0),MATCH(E$1,'Исходник'!$1:$1,0)))</f>
        <v/>
      </c>
      <c r="F867" s="1" t="str">
        <f t="array" ref="F867">IFERROR(INDEX('Исходник'!$1:$626,MATCH($A867,'Исходник'!$T:$T,0),MATCH(F$1,'Исходник'!$1:$1,0)))</f>
        <v/>
      </c>
      <c r="G867" s="1" t="str">
        <f t="array" ref="G867">IFERROR(INDEX('Исходник'!$1:$626,MATCH($A867,'Исходник'!$T:$T,0),MATCH(G$1,'Исходник'!$1:$1,0)))</f>
        <v/>
      </c>
      <c r="H867" s="27">
        <f t="shared" si="1"/>
        <v>0</v>
      </c>
      <c r="I867" s="27" t="str">
        <f t="shared" si="2"/>
        <v/>
      </c>
      <c r="J867" s="1" t="str">
        <f t="array" ref="J867">IFERROR(INDEX('Исходник'!$1:$626,MATCH($A867,'Исходник'!$T:$T,0),MATCH(J$1,'Исходник'!$1:$1,0)))</f>
        <v/>
      </c>
      <c r="K867" s="27" t="str">
        <f t="shared" si="3"/>
        <v/>
      </c>
      <c r="L867" s="1" t="str">
        <f t="array" ref="L867">IFERROR(INDEX('Исходник'!$1:$626,MATCH($A867,'Исходник'!$T:$T,0),MATCH(L$1,'Исходник'!$1:$1,0)))</f>
        <v/>
      </c>
      <c r="M867" s="28">
        <f t="shared" si="4"/>
        <v>0</v>
      </c>
      <c r="N867" s="1" t="str">
        <f t="array" ref="N867">IFERROR(INDEX('Исходник'!$1:$626,MATCH($A867,'Исходник'!$T:$T,0),MATCH(N$1,'Исходник'!$1:$1,0)))</f>
        <v/>
      </c>
      <c r="O867" s="27">
        <f t="shared" si="5"/>
        <v>0</v>
      </c>
      <c r="P867" s="27" t="str">
        <f t="shared" si="6"/>
        <v/>
      </c>
      <c r="Q867" s="1" t="str">
        <f t="array" ref="Q867">IFERROR(INDEX('Исходник'!$1:$626,MATCH($A867,'Исходник'!$T:$T,0),MATCH(Q$1,'Исходник'!$1:$1,0)))</f>
        <v/>
      </c>
      <c r="R867" s="1" t="str">
        <f t="array" ref="R867">IFERROR(INDEX('Исходник'!$1:$626,MATCH($A867,'Исходник'!$T:$T,0),MATCH(R$1,'Исходник'!$1:$1,0)))</f>
        <v/>
      </c>
      <c r="S867" s="27">
        <f t="shared" si="7"/>
        <v>0</v>
      </c>
      <c r="T867" s="27" t="str">
        <f t="shared" si="8"/>
        <v/>
      </c>
      <c r="U867" s="1" t="str">
        <f t="array" ref="U867">IFERROR(INDEX('Исходник'!$1:$626,MATCH($A867,'Исходник'!$T:$T,0),MATCH(U$1,'Исходник'!$1:$1,0)))</f>
        <v/>
      </c>
      <c r="V867" s="27" t="str">
        <f t="shared" si="9"/>
        <v/>
      </c>
      <c r="W867" s="1" t="str">
        <f t="array" ref="W867">IFERROR(INDEX('Исходник'!$1:$626,MATCH($A867,'Исходник'!$T:$T,0),MATCH(W$1,'Исходник'!$1:$1,0)))</f>
        <v/>
      </c>
      <c r="X867" s="28">
        <f t="shared" si="10"/>
        <v>0</v>
      </c>
      <c r="Y867" s="1" t="str">
        <f t="array" ref="Y867">IFERROR(INDEX('Исходник'!$1:$626,MATCH($A867,'Исходник'!$T:$T,0),MATCH(Y$1,'Исходник'!$1:$1,0)))</f>
        <v/>
      </c>
      <c r="Z867" s="27">
        <f t="shared" si="11"/>
        <v>0</v>
      </c>
      <c r="AA867" s="27" t="str">
        <f t="shared" si="12"/>
        <v/>
      </c>
      <c r="AB867" s="1" t="str">
        <f t="array" ref="AB867">IFERROR(INDEX('Исходник'!$1:$626,MATCH($A867,'Исходник'!$T:$T,0),MATCH(AB$1,'Исходник'!$1:$1,0)))</f>
        <v/>
      </c>
      <c r="AC867" s="1" t="str">
        <f t="array" ref="AC867">IFERROR(INDEX('Исходник'!$1:$626,MATCH($A867,'Исходник'!$T:$T,0),MATCH(AC$1,'Исходник'!$1:$1,0)))</f>
        <v/>
      </c>
      <c r="AD867" s="27" t="str">
        <f t="shared" si="13"/>
        <v/>
      </c>
      <c r="AE867" s="1" t="str">
        <f t="array" ref="AE867">IFERROR(INDEX('Исходник'!$1:$626,MATCH($A867,'Исходник'!$T:$T,0),MATCH(AE$1,'Исходник'!$1:$1,0)))</f>
        <v/>
      </c>
      <c r="AF867" s="1" t="str">
        <f t="array" ref="AF867">IFERROR(INDEX('Исходник'!$1:$626,MATCH($A867,'Исходник'!$T:$T,0),MATCH(AF$1,'Исходник'!$1:$1,0)))</f>
        <v/>
      </c>
      <c r="AG867" s="27" t="str">
        <f t="shared" si="14"/>
        <v/>
      </c>
      <c r="AH867" s="1" t="str">
        <f t="array" ref="AH867">IFERROR(INDEX('Исходник'!$1:$626,MATCH($A867,'Исходник'!$T:$T,0),MATCH(AH$1,'Исходник'!$1:$1,0)))</f>
        <v/>
      </c>
      <c r="AI867" s="1" t="str">
        <f t="array" ref="AI867">IFERROR(INDEX('Исходник'!$1:$626,MATCH($A867,'Исходник'!$T:$T,0),MATCH(AI$1,'Исходник'!$1:$1,0)))</f>
        <v/>
      </c>
      <c r="AJ867" s="18">
        <f t="shared" si="15"/>
        <v>0</v>
      </c>
    </row>
    <row r="868" ht="15.75" customHeight="1">
      <c r="A868" s="27"/>
      <c r="B868" s="1" t="str">
        <f t="array" ref="B868">IFERROR(INDEX('Исходник'!$1:$626,MATCH($A868,'Исходник'!$T:$T,0),MATCH(B$1,'Исходник'!$1:$1,0)))</f>
        <v/>
      </c>
      <c r="C868" s="1" t="str">
        <f t="array" ref="C868">IFERROR(INDEX('Исходник'!$1:$626,MATCH($A868,'Исходник'!$T:$T,0),MATCH(C$1,'Исходник'!$1:$1,0)))</f>
        <v/>
      </c>
      <c r="D868" s="1" t="str">
        <f t="array" ref="D868">IFERROR(INDEX('Исходник'!$1:$626,MATCH($A868,'Исходник'!$T:$T,0),MATCH(D$1,'Исходник'!$1:$1,0)))</f>
        <v/>
      </c>
      <c r="E868" s="1" t="str">
        <f t="array" ref="E868">IFERROR(INDEX('Исходник'!$1:$626,MATCH($A868,'Исходник'!$T:$T,0),MATCH(E$1,'Исходник'!$1:$1,0)))</f>
        <v/>
      </c>
      <c r="F868" s="1" t="str">
        <f t="array" ref="F868">IFERROR(INDEX('Исходник'!$1:$626,MATCH($A868,'Исходник'!$T:$T,0),MATCH(F$1,'Исходник'!$1:$1,0)))</f>
        <v/>
      </c>
      <c r="G868" s="1" t="str">
        <f t="array" ref="G868">IFERROR(INDEX('Исходник'!$1:$626,MATCH($A868,'Исходник'!$T:$T,0),MATCH(G$1,'Исходник'!$1:$1,0)))</f>
        <v/>
      </c>
      <c r="H868" s="27">
        <f t="shared" si="1"/>
        <v>0</v>
      </c>
      <c r="I868" s="27" t="str">
        <f t="shared" si="2"/>
        <v/>
      </c>
      <c r="J868" s="1" t="str">
        <f t="array" ref="J868">IFERROR(INDEX('Исходник'!$1:$626,MATCH($A868,'Исходник'!$T:$T,0),MATCH(J$1,'Исходник'!$1:$1,0)))</f>
        <v/>
      </c>
      <c r="K868" s="27" t="str">
        <f t="shared" si="3"/>
        <v/>
      </c>
      <c r="L868" s="1" t="str">
        <f t="array" ref="L868">IFERROR(INDEX('Исходник'!$1:$626,MATCH($A868,'Исходник'!$T:$T,0),MATCH(L$1,'Исходник'!$1:$1,0)))</f>
        <v/>
      </c>
      <c r="M868" s="28">
        <f t="shared" si="4"/>
        <v>0</v>
      </c>
      <c r="N868" s="1" t="str">
        <f t="array" ref="N868">IFERROR(INDEX('Исходник'!$1:$626,MATCH($A868,'Исходник'!$T:$T,0),MATCH(N$1,'Исходник'!$1:$1,0)))</f>
        <v/>
      </c>
      <c r="O868" s="27">
        <f t="shared" si="5"/>
        <v>0</v>
      </c>
      <c r="P868" s="27" t="str">
        <f t="shared" si="6"/>
        <v/>
      </c>
      <c r="Q868" s="1" t="str">
        <f t="array" ref="Q868">IFERROR(INDEX('Исходник'!$1:$626,MATCH($A868,'Исходник'!$T:$T,0),MATCH(Q$1,'Исходник'!$1:$1,0)))</f>
        <v/>
      </c>
      <c r="R868" s="1" t="str">
        <f t="array" ref="R868">IFERROR(INDEX('Исходник'!$1:$626,MATCH($A868,'Исходник'!$T:$T,0),MATCH(R$1,'Исходник'!$1:$1,0)))</f>
        <v/>
      </c>
      <c r="S868" s="27">
        <f t="shared" si="7"/>
        <v>0</v>
      </c>
      <c r="T868" s="27" t="str">
        <f t="shared" si="8"/>
        <v/>
      </c>
      <c r="U868" s="1" t="str">
        <f t="array" ref="U868">IFERROR(INDEX('Исходник'!$1:$626,MATCH($A868,'Исходник'!$T:$T,0),MATCH(U$1,'Исходник'!$1:$1,0)))</f>
        <v/>
      </c>
      <c r="V868" s="27" t="str">
        <f t="shared" si="9"/>
        <v/>
      </c>
      <c r="W868" s="1" t="str">
        <f t="array" ref="W868">IFERROR(INDEX('Исходник'!$1:$626,MATCH($A868,'Исходник'!$T:$T,0),MATCH(W$1,'Исходник'!$1:$1,0)))</f>
        <v/>
      </c>
      <c r="X868" s="28">
        <f t="shared" si="10"/>
        <v>0</v>
      </c>
      <c r="Y868" s="1" t="str">
        <f t="array" ref="Y868">IFERROR(INDEX('Исходник'!$1:$626,MATCH($A868,'Исходник'!$T:$T,0),MATCH(Y$1,'Исходник'!$1:$1,0)))</f>
        <v/>
      </c>
      <c r="Z868" s="27">
        <f t="shared" si="11"/>
        <v>0</v>
      </c>
      <c r="AA868" s="27" t="str">
        <f t="shared" si="12"/>
        <v/>
      </c>
      <c r="AB868" s="1" t="str">
        <f t="array" ref="AB868">IFERROR(INDEX('Исходник'!$1:$626,MATCH($A868,'Исходник'!$T:$T,0),MATCH(AB$1,'Исходник'!$1:$1,0)))</f>
        <v/>
      </c>
      <c r="AC868" s="1" t="str">
        <f t="array" ref="AC868">IFERROR(INDEX('Исходник'!$1:$626,MATCH($A868,'Исходник'!$T:$T,0),MATCH(AC$1,'Исходник'!$1:$1,0)))</f>
        <v/>
      </c>
      <c r="AD868" s="27" t="str">
        <f t="shared" si="13"/>
        <v/>
      </c>
      <c r="AE868" s="1" t="str">
        <f t="array" ref="AE868">IFERROR(INDEX('Исходник'!$1:$626,MATCH($A868,'Исходник'!$T:$T,0),MATCH(AE$1,'Исходник'!$1:$1,0)))</f>
        <v/>
      </c>
      <c r="AF868" s="1" t="str">
        <f t="array" ref="AF868">IFERROR(INDEX('Исходник'!$1:$626,MATCH($A868,'Исходник'!$T:$T,0),MATCH(AF$1,'Исходник'!$1:$1,0)))</f>
        <v/>
      </c>
      <c r="AG868" s="27" t="str">
        <f t="shared" si="14"/>
        <v/>
      </c>
      <c r="AH868" s="1" t="str">
        <f t="array" ref="AH868">IFERROR(INDEX('Исходник'!$1:$626,MATCH($A868,'Исходник'!$T:$T,0),MATCH(AH$1,'Исходник'!$1:$1,0)))</f>
        <v/>
      </c>
      <c r="AI868" s="1" t="str">
        <f t="array" ref="AI868">IFERROR(INDEX('Исходник'!$1:$626,MATCH($A868,'Исходник'!$T:$T,0),MATCH(AI$1,'Исходник'!$1:$1,0)))</f>
        <v/>
      </c>
      <c r="AJ868" s="18">
        <f t="shared" si="15"/>
        <v>0</v>
      </c>
    </row>
    <row r="869" ht="15.75" customHeight="1">
      <c r="A869" s="27"/>
      <c r="B869" s="1" t="str">
        <f t="array" ref="B869">IFERROR(INDEX('Исходник'!$1:$626,MATCH($A869,'Исходник'!$T:$T,0),MATCH(B$1,'Исходник'!$1:$1,0)))</f>
        <v/>
      </c>
      <c r="C869" s="1" t="str">
        <f t="array" ref="C869">IFERROR(INDEX('Исходник'!$1:$626,MATCH($A869,'Исходник'!$T:$T,0),MATCH(C$1,'Исходник'!$1:$1,0)))</f>
        <v/>
      </c>
      <c r="D869" s="1" t="str">
        <f t="array" ref="D869">IFERROR(INDEX('Исходник'!$1:$626,MATCH($A869,'Исходник'!$T:$T,0),MATCH(D$1,'Исходник'!$1:$1,0)))</f>
        <v/>
      </c>
      <c r="E869" s="1" t="str">
        <f t="array" ref="E869">IFERROR(INDEX('Исходник'!$1:$626,MATCH($A869,'Исходник'!$T:$T,0),MATCH(E$1,'Исходник'!$1:$1,0)))</f>
        <v/>
      </c>
      <c r="F869" s="1" t="str">
        <f t="array" ref="F869">IFERROR(INDEX('Исходник'!$1:$626,MATCH($A869,'Исходник'!$T:$T,0),MATCH(F$1,'Исходник'!$1:$1,0)))</f>
        <v/>
      </c>
      <c r="G869" s="1" t="str">
        <f t="array" ref="G869">IFERROR(INDEX('Исходник'!$1:$626,MATCH($A869,'Исходник'!$T:$T,0),MATCH(G$1,'Исходник'!$1:$1,0)))</f>
        <v/>
      </c>
      <c r="H869" s="27">
        <f t="shared" si="1"/>
        <v>0</v>
      </c>
      <c r="I869" s="27" t="str">
        <f t="shared" si="2"/>
        <v/>
      </c>
      <c r="J869" s="1" t="str">
        <f t="array" ref="J869">IFERROR(INDEX('Исходник'!$1:$626,MATCH($A869,'Исходник'!$T:$T,0),MATCH(J$1,'Исходник'!$1:$1,0)))</f>
        <v/>
      </c>
      <c r="K869" s="27" t="str">
        <f t="shared" si="3"/>
        <v/>
      </c>
      <c r="L869" s="1" t="str">
        <f t="array" ref="L869">IFERROR(INDEX('Исходник'!$1:$626,MATCH($A869,'Исходник'!$T:$T,0),MATCH(L$1,'Исходник'!$1:$1,0)))</f>
        <v/>
      </c>
      <c r="M869" s="28">
        <f t="shared" si="4"/>
        <v>0</v>
      </c>
      <c r="N869" s="1" t="str">
        <f t="array" ref="N869">IFERROR(INDEX('Исходник'!$1:$626,MATCH($A869,'Исходник'!$T:$T,0),MATCH(N$1,'Исходник'!$1:$1,0)))</f>
        <v/>
      </c>
      <c r="O869" s="27">
        <f t="shared" si="5"/>
        <v>0</v>
      </c>
      <c r="P869" s="27" t="str">
        <f t="shared" si="6"/>
        <v/>
      </c>
      <c r="Q869" s="1" t="str">
        <f t="array" ref="Q869">IFERROR(INDEX('Исходник'!$1:$626,MATCH($A869,'Исходник'!$T:$T,0),MATCH(Q$1,'Исходник'!$1:$1,0)))</f>
        <v/>
      </c>
      <c r="R869" s="1" t="str">
        <f t="array" ref="R869">IFERROR(INDEX('Исходник'!$1:$626,MATCH($A869,'Исходник'!$T:$T,0),MATCH(R$1,'Исходник'!$1:$1,0)))</f>
        <v/>
      </c>
      <c r="S869" s="27">
        <f t="shared" si="7"/>
        <v>0</v>
      </c>
      <c r="T869" s="27" t="str">
        <f t="shared" si="8"/>
        <v/>
      </c>
      <c r="U869" s="1" t="str">
        <f t="array" ref="U869">IFERROR(INDEX('Исходник'!$1:$626,MATCH($A869,'Исходник'!$T:$T,0),MATCH(U$1,'Исходник'!$1:$1,0)))</f>
        <v/>
      </c>
      <c r="V869" s="27" t="str">
        <f t="shared" si="9"/>
        <v/>
      </c>
      <c r="W869" s="1" t="str">
        <f t="array" ref="W869">IFERROR(INDEX('Исходник'!$1:$626,MATCH($A869,'Исходник'!$T:$T,0),MATCH(W$1,'Исходник'!$1:$1,0)))</f>
        <v/>
      </c>
      <c r="X869" s="28">
        <f t="shared" si="10"/>
        <v>0</v>
      </c>
      <c r="Y869" s="1" t="str">
        <f t="array" ref="Y869">IFERROR(INDEX('Исходник'!$1:$626,MATCH($A869,'Исходник'!$T:$T,0),MATCH(Y$1,'Исходник'!$1:$1,0)))</f>
        <v/>
      </c>
      <c r="Z869" s="27">
        <f t="shared" si="11"/>
        <v>0</v>
      </c>
      <c r="AA869" s="27" t="str">
        <f t="shared" si="12"/>
        <v/>
      </c>
      <c r="AB869" s="1" t="str">
        <f t="array" ref="AB869">IFERROR(INDEX('Исходник'!$1:$626,MATCH($A869,'Исходник'!$T:$T,0),MATCH(AB$1,'Исходник'!$1:$1,0)))</f>
        <v/>
      </c>
      <c r="AC869" s="1" t="str">
        <f t="array" ref="AC869">IFERROR(INDEX('Исходник'!$1:$626,MATCH($A869,'Исходник'!$T:$T,0),MATCH(AC$1,'Исходник'!$1:$1,0)))</f>
        <v/>
      </c>
      <c r="AD869" s="27" t="str">
        <f t="shared" si="13"/>
        <v/>
      </c>
      <c r="AE869" s="1" t="str">
        <f t="array" ref="AE869">IFERROR(INDEX('Исходник'!$1:$626,MATCH($A869,'Исходник'!$T:$T,0),MATCH(AE$1,'Исходник'!$1:$1,0)))</f>
        <v/>
      </c>
      <c r="AF869" s="1" t="str">
        <f t="array" ref="AF869">IFERROR(INDEX('Исходник'!$1:$626,MATCH($A869,'Исходник'!$T:$T,0),MATCH(AF$1,'Исходник'!$1:$1,0)))</f>
        <v/>
      </c>
      <c r="AG869" s="27" t="str">
        <f t="shared" si="14"/>
        <v/>
      </c>
      <c r="AH869" s="1" t="str">
        <f t="array" ref="AH869">IFERROR(INDEX('Исходник'!$1:$626,MATCH($A869,'Исходник'!$T:$T,0),MATCH(AH$1,'Исходник'!$1:$1,0)))</f>
        <v/>
      </c>
      <c r="AI869" s="1" t="str">
        <f t="array" ref="AI869">IFERROR(INDEX('Исходник'!$1:$626,MATCH($A869,'Исходник'!$T:$T,0),MATCH(AI$1,'Исходник'!$1:$1,0)))</f>
        <v/>
      </c>
      <c r="AJ869" s="18">
        <f t="shared" si="15"/>
        <v>0</v>
      </c>
    </row>
    <row r="870" ht="15.75" customHeight="1">
      <c r="A870" s="27"/>
      <c r="B870" s="1" t="str">
        <f t="array" ref="B870">IFERROR(INDEX('Исходник'!$1:$626,MATCH($A870,'Исходник'!$T:$T,0),MATCH(B$1,'Исходник'!$1:$1,0)))</f>
        <v/>
      </c>
      <c r="C870" s="1" t="str">
        <f t="array" ref="C870">IFERROR(INDEX('Исходник'!$1:$626,MATCH($A870,'Исходник'!$T:$T,0),MATCH(C$1,'Исходник'!$1:$1,0)))</f>
        <v/>
      </c>
      <c r="D870" s="1" t="str">
        <f t="array" ref="D870">IFERROR(INDEX('Исходник'!$1:$626,MATCH($A870,'Исходник'!$T:$T,0),MATCH(D$1,'Исходник'!$1:$1,0)))</f>
        <v/>
      </c>
      <c r="E870" s="1" t="str">
        <f t="array" ref="E870">IFERROR(INDEX('Исходник'!$1:$626,MATCH($A870,'Исходник'!$T:$T,0),MATCH(E$1,'Исходник'!$1:$1,0)))</f>
        <v/>
      </c>
      <c r="F870" s="1" t="str">
        <f t="array" ref="F870">IFERROR(INDEX('Исходник'!$1:$626,MATCH($A870,'Исходник'!$T:$T,0),MATCH(F$1,'Исходник'!$1:$1,0)))</f>
        <v/>
      </c>
      <c r="G870" s="1" t="str">
        <f t="array" ref="G870">IFERROR(INDEX('Исходник'!$1:$626,MATCH($A870,'Исходник'!$T:$T,0),MATCH(G$1,'Исходник'!$1:$1,0)))</f>
        <v/>
      </c>
      <c r="H870" s="27">
        <f t="shared" si="1"/>
        <v>0</v>
      </c>
      <c r="I870" s="27" t="str">
        <f t="shared" si="2"/>
        <v/>
      </c>
      <c r="J870" s="1" t="str">
        <f t="array" ref="J870">IFERROR(INDEX('Исходник'!$1:$626,MATCH($A870,'Исходник'!$T:$T,0),MATCH(J$1,'Исходник'!$1:$1,0)))</f>
        <v/>
      </c>
      <c r="K870" s="27" t="str">
        <f t="shared" si="3"/>
        <v/>
      </c>
      <c r="L870" s="1" t="str">
        <f t="array" ref="L870">IFERROR(INDEX('Исходник'!$1:$626,MATCH($A870,'Исходник'!$T:$T,0),MATCH(L$1,'Исходник'!$1:$1,0)))</f>
        <v/>
      </c>
      <c r="M870" s="28">
        <f t="shared" si="4"/>
        <v>0</v>
      </c>
      <c r="N870" s="1" t="str">
        <f t="array" ref="N870">IFERROR(INDEX('Исходник'!$1:$626,MATCH($A870,'Исходник'!$T:$T,0),MATCH(N$1,'Исходник'!$1:$1,0)))</f>
        <v/>
      </c>
      <c r="O870" s="27">
        <f t="shared" si="5"/>
        <v>0</v>
      </c>
      <c r="P870" s="27" t="str">
        <f t="shared" si="6"/>
        <v/>
      </c>
      <c r="Q870" s="1" t="str">
        <f t="array" ref="Q870">IFERROR(INDEX('Исходник'!$1:$626,MATCH($A870,'Исходник'!$T:$T,0),MATCH(Q$1,'Исходник'!$1:$1,0)))</f>
        <v/>
      </c>
      <c r="R870" s="1" t="str">
        <f t="array" ref="R870">IFERROR(INDEX('Исходник'!$1:$626,MATCH($A870,'Исходник'!$T:$T,0),MATCH(R$1,'Исходник'!$1:$1,0)))</f>
        <v/>
      </c>
      <c r="S870" s="27">
        <f t="shared" si="7"/>
        <v>0</v>
      </c>
      <c r="T870" s="27" t="str">
        <f t="shared" si="8"/>
        <v/>
      </c>
      <c r="U870" s="1" t="str">
        <f t="array" ref="U870">IFERROR(INDEX('Исходник'!$1:$626,MATCH($A870,'Исходник'!$T:$T,0),MATCH(U$1,'Исходник'!$1:$1,0)))</f>
        <v/>
      </c>
      <c r="V870" s="27" t="str">
        <f t="shared" si="9"/>
        <v/>
      </c>
      <c r="W870" s="1" t="str">
        <f t="array" ref="W870">IFERROR(INDEX('Исходник'!$1:$626,MATCH($A870,'Исходник'!$T:$T,0),MATCH(W$1,'Исходник'!$1:$1,0)))</f>
        <v/>
      </c>
      <c r="X870" s="28">
        <f t="shared" si="10"/>
        <v>0</v>
      </c>
      <c r="Y870" s="1" t="str">
        <f t="array" ref="Y870">IFERROR(INDEX('Исходник'!$1:$626,MATCH($A870,'Исходник'!$T:$T,0),MATCH(Y$1,'Исходник'!$1:$1,0)))</f>
        <v/>
      </c>
      <c r="Z870" s="27">
        <f t="shared" si="11"/>
        <v>0</v>
      </c>
      <c r="AA870" s="27" t="str">
        <f t="shared" si="12"/>
        <v/>
      </c>
      <c r="AB870" s="1" t="str">
        <f t="array" ref="AB870">IFERROR(INDEX('Исходник'!$1:$626,MATCH($A870,'Исходник'!$T:$T,0),MATCH(AB$1,'Исходник'!$1:$1,0)))</f>
        <v/>
      </c>
      <c r="AC870" s="1" t="str">
        <f t="array" ref="AC870">IFERROR(INDEX('Исходник'!$1:$626,MATCH($A870,'Исходник'!$T:$T,0),MATCH(AC$1,'Исходник'!$1:$1,0)))</f>
        <v/>
      </c>
      <c r="AD870" s="27" t="str">
        <f t="shared" si="13"/>
        <v/>
      </c>
      <c r="AE870" s="1" t="str">
        <f t="array" ref="AE870">IFERROR(INDEX('Исходник'!$1:$626,MATCH($A870,'Исходник'!$T:$T,0),MATCH(AE$1,'Исходник'!$1:$1,0)))</f>
        <v/>
      </c>
      <c r="AF870" s="1" t="str">
        <f t="array" ref="AF870">IFERROR(INDEX('Исходник'!$1:$626,MATCH($A870,'Исходник'!$T:$T,0),MATCH(AF$1,'Исходник'!$1:$1,0)))</f>
        <v/>
      </c>
      <c r="AG870" s="27" t="str">
        <f t="shared" si="14"/>
        <v/>
      </c>
      <c r="AH870" s="1" t="str">
        <f t="array" ref="AH870">IFERROR(INDEX('Исходник'!$1:$626,MATCH($A870,'Исходник'!$T:$T,0),MATCH(AH$1,'Исходник'!$1:$1,0)))</f>
        <v/>
      </c>
      <c r="AI870" s="1" t="str">
        <f t="array" ref="AI870">IFERROR(INDEX('Исходник'!$1:$626,MATCH($A870,'Исходник'!$T:$T,0),MATCH(AI$1,'Исходник'!$1:$1,0)))</f>
        <v/>
      </c>
      <c r="AJ870" s="18">
        <f t="shared" si="15"/>
        <v>0</v>
      </c>
    </row>
    <row r="871" ht="15.75" customHeight="1">
      <c r="A871" s="27"/>
      <c r="B871" s="1" t="str">
        <f t="array" ref="B871">IFERROR(INDEX('Исходник'!$1:$626,MATCH($A871,'Исходник'!$T:$T,0),MATCH(B$1,'Исходник'!$1:$1,0)))</f>
        <v/>
      </c>
      <c r="C871" s="1" t="str">
        <f t="array" ref="C871">IFERROR(INDEX('Исходник'!$1:$626,MATCH($A871,'Исходник'!$T:$T,0),MATCH(C$1,'Исходник'!$1:$1,0)))</f>
        <v/>
      </c>
      <c r="D871" s="1" t="str">
        <f t="array" ref="D871">IFERROR(INDEX('Исходник'!$1:$626,MATCH($A871,'Исходник'!$T:$T,0),MATCH(D$1,'Исходник'!$1:$1,0)))</f>
        <v/>
      </c>
      <c r="E871" s="1" t="str">
        <f t="array" ref="E871">IFERROR(INDEX('Исходник'!$1:$626,MATCH($A871,'Исходник'!$T:$T,0),MATCH(E$1,'Исходник'!$1:$1,0)))</f>
        <v/>
      </c>
      <c r="F871" s="1" t="str">
        <f t="array" ref="F871">IFERROR(INDEX('Исходник'!$1:$626,MATCH($A871,'Исходник'!$T:$T,0),MATCH(F$1,'Исходник'!$1:$1,0)))</f>
        <v/>
      </c>
      <c r="G871" s="1" t="str">
        <f t="array" ref="G871">IFERROR(INDEX('Исходник'!$1:$626,MATCH($A871,'Исходник'!$T:$T,0),MATCH(G$1,'Исходник'!$1:$1,0)))</f>
        <v/>
      </c>
      <c r="H871" s="27">
        <f t="shared" si="1"/>
        <v>0</v>
      </c>
      <c r="I871" s="27" t="str">
        <f t="shared" si="2"/>
        <v/>
      </c>
      <c r="J871" s="1" t="str">
        <f t="array" ref="J871">IFERROR(INDEX('Исходник'!$1:$626,MATCH($A871,'Исходник'!$T:$T,0),MATCH(J$1,'Исходник'!$1:$1,0)))</f>
        <v/>
      </c>
      <c r="K871" s="27" t="str">
        <f t="shared" si="3"/>
        <v/>
      </c>
      <c r="L871" s="1" t="str">
        <f t="array" ref="L871">IFERROR(INDEX('Исходник'!$1:$626,MATCH($A871,'Исходник'!$T:$T,0),MATCH(L$1,'Исходник'!$1:$1,0)))</f>
        <v/>
      </c>
      <c r="M871" s="28">
        <f t="shared" si="4"/>
        <v>0</v>
      </c>
      <c r="N871" s="1" t="str">
        <f t="array" ref="N871">IFERROR(INDEX('Исходник'!$1:$626,MATCH($A871,'Исходник'!$T:$T,0),MATCH(N$1,'Исходник'!$1:$1,0)))</f>
        <v/>
      </c>
      <c r="O871" s="27">
        <f t="shared" si="5"/>
        <v>0</v>
      </c>
      <c r="P871" s="27" t="str">
        <f t="shared" si="6"/>
        <v/>
      </c>
      <c r="Q871" s="1" t="str">
        <f t="array" ref="Q871">IFERROR(INDEX('Исходник'!$1:$626,MATCH($A871,'Исходник'!$T:$T,0),MATCH(Q$1,'Исходник'!$1:$1,0)))</f>
        <v/>
      </c>
      <c r="R871" s="1" t="str">
        <f t="array" ref="R871">IFERROR(INDEX('Исходник'!$1:$626,MATCH($A871,'Исходник'!$T:$T,0),MATCH(R$1,'Исходник'!$1:$1,0)))</f>
        <v/>
      </c>
      <c r="S871" s="27">
        <f t="shared" si="7"/>
        <v>0</v>
      </c>
      <c r="T871" s="27" t="str">
        <f t="shared" si="8"/>
        <v/>
      </c>
      <c r="U871" s="1" t="str">
        <f t="array" ref="U871">IFERROR(INDEX('Исходник'!$1:$626,MATCH($A871,'Исходник'!$T:$T,0),MATCH(U$1,'Исходник'!$1:$1,0)))</f>
        <v/>
      </c>
      <c r="V871" s="27" t="str">
        <f t="shared" si="9"/>
        <v/>
      </c>
      <c r="W871" s="1" t="str">
        <f t="array" ref="W871">IFERROR(INDEX('Исходник'!$1:$626,MATCH($A871,'Исходник'!$T:$T,0),MATCH(W$1,'Исходник'!$1:$1,0)))</f>
        <v/>
      </c>
      <c r="X871" s="28">
        <f t="shared" si="10"/>
        <v>0</v>
      </c>
      <c r="Y871" s="1" t="str">
        <f t="array" ref="Y871">IFERROR(INDEX('Исходник'!$1:$626,MATCH($A871,'Исходник'!$T:$T,0),MATCH(Y$1,'Исходник'!$1:$1,0)))</f>
        <v/>
      </c>
      <c r="Z871" s="27">
        <f t="shared" si="11"/>
        <v>0</v>
      </c>
      <c r="AA871" s="27" t="str">
        <f t="shared" si="12"/>
        <v/>
      </c>
      <c r="AB871" s="1" t="str">
        <f t="array" ref="AB871">IFERROR(INDEX('Исходник'!$1:$626,MATCH($A871,'Исходник'!$T:$T,0),MATCH(AB$1,'Исходник'!$1:$1,0)))</f>
        <v/>
      </c>
      <c r="AC871" s="1" t="str">
        <f t="array" ref="AC871">IFERROR(INDEX('Исходник'!$1:$626,MATCH($A871,'Исходник'!$T:$T,0),MATCH(AC$1,'Исходник'!$1:$1,0)))</f>
        <v/>
      </c>
      <c r="AD871" s="27" t="str">
        <f t="shared" si="13"/>
        <v/>
      </c>
      <c r="AE871" s="1" t="str">
        <f t="array" ref="AE871">IFERROR(INDEX('Исходник'!$1:$626,MATCH($A871,'Исходник'!$T:$T,0),MATCH(AE$1,'Исходник'!$1:$1,0)))</f>
        <v/>
      </c>
      <c r="AF871" s="1" t="str">
        <f t="array" ref="AF871">IFERROR(INDEX('Исходник'!$1:$626,MATCH($A871,'Исходник'!$T:$T,0),MATCH(AF$1,'Исходник'!$1:$1,0)))</f>
        <v/>
      </c>
      <c r="AG871" s="27" t="str">
        <f t="shared" si="14"/>
        <v/>
      </c>
      <c r="AH871" s="1" t="str">
        <f t="array" ref="AH871">IFERROR(INDEX('Исходник'!$1:$626,MATCH($A871,'Исходник'!$T:$T,0),MATCH(AH$1,'Исходник'!$1:$1,0)))</f>
        <v/>
      </c>
      <c r="AI871" s="1" t="str">
        <f t="array" ref="AI871">IFERROR(INDEX('Исходник'!$1:$626,MATCH($A871,'Исходник'!$T:$T,0),MATCH(AI$1,'Исходник'!$1:$1,0)))</f>
        <v/>
      </c>
      <c r="AJ871" s="18">
        <f t="shared" si="15"/>
        <v>0</v>
      </c>
    </row>
    <row r="872" ht="15.75" customHeight="1">
      <c r="A872" s="27"/>
      <c r="B872" s="1" t="str">
        <f t="array" ref="B872">IFERROR(INDEX('Исходник'!$1:$626,MATCH($A872,'Исходник'!$T:$T,0),MATCH(B$1,'Исходник'!$1:$1,0)))</f>
        <v/>
      </c>
      <c r="C872" s="1" t="str">
        <f t="array" ref="C872">IFERROR(INDEX('Исходник'!$1:$626,MATCH($A872,'Исходник'!$T:$T,0),MATCH(C$1,'Исходник'!$1:$1,0)))</f>
        <v/>
      </c>
      <c r="D872" s="1" t="str">
        <f t="array" ref="D872">IFERROR(INDEX('Исходник'!$1:$626,MATCH($A872,'Исходник'!$T:$T,0),MATCH(D$1,'Исходник'!$1:$1,0)))</f>
        <v/>
      </c>
      <c r="E872" s="1" t="str">
        <f t="array" ref="E872">IFERROR(INDEX('Исходник'!$1:$626,MATCH($A872,'Исходник'!$T:$T,0),MATCH(E$1,'Исходник'!$1:$1,0)))</f>
        <v/>
      </c>
      <c r="F872" s="1" t="str">
        <f t="array" ref="F872">IFERROR(INDEX('Исходник'!$1:$626,MATCH($A872,'Исходник'!$T:$T,0),MATCH(F$1,'Исходник'!$1:$1,0)))</f>
        <v/>
      </c>
      <c r="G872" s="1" t="str">
        <f t="array" ref="G872">IFERROR(INDEX('Исходник'!$1:$626,MATCH($A872,'Исходник'!$T:$T,0),MATCH(G$1,'Исходник'!$1:$1,0)))</f>
        <v/>
      </c>
      <c r="H872" s="27">
        <f t="shared" si="1"/>
        <v>0</v>
      </c>
      <c r="I872" s="27" t="str">
        <f t="shared" si="2"/>
        <v/>
      </c>
      <c r="J872" s="1" t="str">
        <f t="array" ref="J872">IFERROR(INDEX('Исходник'!$1:$626,MATCH($A872,'Исходник'!$T:$T,0),MATCH(J$1,'Исходник'!$1:$1,0)))</f>
        <v/>
      </c>
      <c r="K872" s="27" t="str">
        <f t="shared" si="3"/>
        <v/>
      </c>
      <c r="L872" s="1" t="str">
        <f t="array" ref="L872">IFERROR(INDEX('Исходник'!$1:$626,MATCH($A872,'Исходник'!$T:$T,0),MATCH(L$1,'Исходник'!$1:$1,0)))</f>
        <v/>
      </c>
      <c r="M872" s="28">
        <f t="shared" si="4"/>
        <v>0</v>
      </c>
      <c r="N872" s="1" t="str">
        <f t="array" ref="N872">IFERROR(INDEX('Исходник'!$1:$626,MATCH($A872,'Исходник'!$T:$T,0),MATCH(N$1,'Исходник'!$1:$1,0)))</f>
        <v/>
      </c>
      <c r="O872" s="27">
        <f t="shared" si="5"/>
        <v>0</v>
      </c>
      <c r="P872" s="27" t="str">
        <f t="shared" si="6"/>
        <v/>
      </c>
      <c r="Q872" s="1" t="str">
        <f t="array" ref="Q872">IFERROR(INDEX('Исходник'!$1:$626,MATCH($A872,'Исходник'!$T:$T,0),MATCH(Q$1,'Исходник'!$1:$1,0)))</f>
        <v/>
      </c>
      <c r="R872" s="1" t="str">
        <f t="array" ref="R872">IFERROR(INDEX('Исходник'!$1:$626,MATCH($A872,'Исходник'!$T:$T,0),MATCH(R$1,'Исходник'!$1:$1,0)))</f>
        <v/>
      </c>
      <c r="S872" s="27">
        <f t="shared" si="7"/>
        <v>0</v>
      </c>
      <c r="T872" s="27" t="str">
        <f t="shared" si="8"/>
        <v/>
      </c>
      <c r="U872" s="1" t="str">
        <f t="array" ref="U872">IFERROR(INDEX('Исходник'!$1:$626,MATCH($A872,'Исходник'!$T:$T,0),MATCH(U$1,'Исходник'!$1:$1,0)))</f>
        <v/>
      </c>
      <c r="V872" s="27" t="str">
        <f t="shared" si="9"/>
        <v/>
      </c>
      <c r="W872" s="1" t="str">
        <f t="array" ref="W872">IFERROR(INDEX('Исходник'!$1:$626,MATCH($A872,'Исходник'!$T:$T,0),MATCH(W$1,'Исходник'!$1:$1,0)))</f>
        <v/>
      </c>
      <c r="X872" s="28">
        <f t="shared" si="10"/>
        <v>0</v>
      </c>
      <c r="Y872" s="1" t="str">
        <f t="array" ref="Y872">IFERROR(INDEX('Исходник'!$1:$626,MATCH($A872,'Исходник'!$T:$T,0),MATCH(Y$1,'Исходник'!$1:$1,0)))</f>
        <v/>
      </c>
      <c r="Z872" s="27">
        <f t="shared" si="11"/>
        <v>0</v>
      </c>
      <c r="AA872" s="27" t="str">
        <f t="shared" si="12"/>
        <v/>
      </c>
      <c r="AB872" s="1" t="str">
        <f t="array" ref="AB872">IFERROR(INDEX('Исходник'!$1:$626,MATCH($A872,'Исходник'!$T:$T,0),MATCH(AB$1,'Исходник'!$1:$1,0)))</f>
        <v/>
      </c>
      <c r="AC872" s="1" t="str">
        <f t="array" ref="AC872">IFERROR(INDEX('Исходник'!$1:$626,MATCH($A872,'Исходник'!$T:$T,0),MATCH(AC$1,'Исходник'!$1:$1,0)))</f>
        <v/>
      </c>
      <c r="AD872" s="27" t="str">
        <f t="shared" si="13"/>
        <v/>
      </c>
      <c r="AE872" s="1" t="str">
        <f t="array" ref="AE872">IFERROR(INDEX('Исходник'!$1:$626,MATCH($A872,'Исходник'!$T:$T,0),MATCH(AE$1,'Исходник'!$1:$1,0)))</f>
        <v/>
      </c>
      <c r="AF872" s="1" t="str">
        <f t="array" ref="AF872">IFERROR(INDEX('Исходник'!$1:$626,MATCH($A872,'Исходник'!$T:$T,0),MATCH(AF$1,'Исходник'!$1:$1,0)))</f>
        <v/>
      </c>
      <c r="AG872" s="27" t="str">
        <f t="shared" si="14"/>
        <v/>
      </c>
      <c r="AH872" s="1" t="str">
        <f t="array" ref="AH872">IFERROR(INDEX('Исходник'!$1:$626,MATCH($A872,'Исходник'!$T:$T,0),MATCH(AH$1,'Исходник'!$1:$1,0)))</f>
        <v/>
      </c>
      <c r="AI872" s="1" t="str">
        <f t="array" ref="AI872">IFERROR(INDEX('Исходник'!$1:$626,MATCH($A872,'Исходник'!$T:$T,0),MATCH(AI$1,'Исходник'!$1:$1,0)))</f>
        <v/>
      </c>
      <c r="AJ872" s="18">
        <f t="shared" si="15"/>
        <v>0</v>
      </c>
    </row>
    <row r="873" ht="15.75" customHeight="1">
      <c r="A873" s="27"/>
      <c r="B873" s="1" t="str">
        <f t="array" ref="B873">IFERROR(INDEX('Исходник'!$1:$626,MATCH($A873,'Исходник'!$T:$T,0),MATCH(B$1,'Исходник'!$1:$1,0)))</f>
        <v/>
      </c>
      <c r="C873" s="1" t="str">
        <f t="array" ref="C873">IFERROR(INDEX('Исходник'!$1:$626,MATCH($A873,'Исходник'!$T:$T,0),MATCH(C$1,'Исходник'!$1:$1,0)))</f>
        <v/>
      </c>
      <c r="D873" s="1" t="str">
        <f t="array" ref="D873">IFERROR(INDEX('Исходник'!$1:$626,MATCH($A873,'Исходник'!$T:$T,0),MATCH(D$1,'Исходник'!$1:$1,0)))</f>
        <v/>
      </c>
      <c r="E873" s="1" t="str">
        <f t="array" ref="E873">IFERROR(INDEX('Исходник'!$1:$626,MATCH($A873,'Исходник'!$T:$T,0),MATCH(E$1,'Исходник'!$1:$1,0)))</f>
        <v/>
      </c>
      <c r="F873" s="1" t="str">
        <f t="array" ref="F873">IFERROR(INDEX('Исходник'!$1:$626,MATCH($A873,'Исходник'!$T:$T,0),MATCH(F$1,'Исходник'!$1:$1,0)))</f>
        <v/>
      </c>
      <c r="G873" s="1" t="str">
        <f t="array" ref="G873">IFERROR(INDEX('Исходник'!$1:$626,MATCH($A873,'Исходник'!$T:$T,0),MATCH(G$1,'Исходник'!$1:$1,0)))</f>
        <v/>
      </c>
      <c r="H873" s="27">
        <f t="shared" si="1"/>
        <v>0</v>
      </c>
      <c r="I873" s="27" t="str">
        <f t="shared" si="2"/>
        <v/>
      </c>
      <c r="J873" s="1" t="str">
        <f t="array" ref="J873">IFERROR(INDEX('Исходник'!$1:$626,MATCH($A873,'Исходник'!$T:$T,0),MATCH(J$1,'Исходник'!$1:$1,0)))</f>
        <v/>
      </c>
      <c r="K873" s="27" t="str">
        <f t="shared" si="3"/>
        <v/>
      </c>
      <c r="L873" s="1" t="str">
        <f t="array" ref="L873">IFERROR(INDEX('Исходник'!$1:$626,MATCH($A873,'Исходник'!$T:$T,0),MATCH(L$1,'Исходник'!$1:$1,0)))</f>
        <v/>
      </c>
      <c r="M873" s="28">
        <f t="shared" si="4"/>
        <v>0</v>
      </c>
      <c r="N873" s="1" t="str">
        <f t="array" ref="N873">IFERROR(INDEX('Исходник'!$1:$626,MATCH($A873,'Исходник'!$T:$T,0),MATCH(N$1,'Исходник'!$1:$1,0)))</f>
        <v/>
      </c>
      <c r="O873" s="27">
        <f t="shared" si="5"/>
        <v>0</v>
      </c>
      <c r="P873" s="27" t="str">
        <f t="shared" si="6"/>
        <v/>
      </c>
      <c r="Q873" s="1" t="str">
        <f t="array" ref="Q873">IFERROR(INDEX('Исходник'!$1:$626,MATCH($A873,'Исходник'!$T:$T,0),MATCH(Q$1,'Исходник'!$1:$1,0)))</f>
        <v/>
      </c>
      <c r="R873" s="1" t="str">
        <f t="array" ref="R873">IFERROR(INDEX('Исходник'!$1:$626,MATCH($A873,'Исходник'!$T:$T,0),MATCH(R$1,'Исходник'!$1:$1,0)))</f>
        <v/>
      </c>
      <c r="S873" s="27">
        <f t="shared" si="7"/>
        <v>0</v>
      </c>
      <c r="T873" s="27" t="str">
        <f t="shared" si="8"/>
        <v/>
      </c>
      <c r="U873" s="1" t="str">
        <f t="array" ref="U873">IFERROR(INDEX('Исходник'!$1:$626,MATCH($A873,'Исходник'!$T:$T,0),MATCH(U$1,'Исходник'!$1:$1,0)))</f>
        <v/>
      </c>
      <c r="V873" s="27" t="str">
        <f t="shared" si="9"/>
        <v/>
      </c>
      <c r="W873" s="1" t="str">
        <f t="array" ref="W873">IFERROR(INDEX('Исходник'!$1:$626,MATCH($A873,'Исходник'!$T:$T,0),MATCH(W$1,'Исходник'!$1:$1,0)))</f>
        <v/>
      </c>
      <c r="X873" s="28">
        <f t="shared" si="10"/>
        <v>0</v>
      </c>
      <c r="Y873" s="1" t="str">
        <f t="array" ref="Y873">IFERROR(INDEX('Исходник'!$1:$626,MATCH($A873,'Исходник'!$T:$T,0),MATCH(Y$1,'Исходник'!$1:$1,0)))</f>
        <v/>
      </c>
      <c r="Z873" s="27">
        <f t="shared" si="11"/>
        <v>0</v>
      </c>
      <c r="AA873" s="27" t="str">
        <f t="shared" si="12"/>
        <v/>
      </c>
      <c r="AB873" s="1" t="str">
        <f t="array" ref="AB873">IFERROR(INDEX('Исходник'!$1:$626,MATCH($A873,'Исходник'!$T:$T,0),MATCH(AB$1,'Исходник'!$1:$1,0)))</f>
        <v/>
      </c>
      <c r="AC873" s="1" t="str">
        <f t="array" ref="AC873">IFERROR(INDEX('Исходник'!$1:$626,MATCH($A873,'Исходник'!$T:$T,0),MATCH(AC$1,'Исходник'!$1:$1,0)))</f>
        <v/>
      </c>
      <c r="AD873" s="27" t="str">
        <f t="shared" si="13"/>
        <v/>
      </c>
      <c r="AE873" s="1" t="str">
        <f t="array" ref="AE873">IFERROR(INDEX('Исходник'!$1:$626,MATCH($A873,'Исходник'!$T:$T,0),MATCH(AE$1,'Исходник'!$1:$1,0)))</f>
        <v/>
      </c>
      <c r="AF873" s="1" t="str">
        <f t="array" ref="AF873">IFERROR(INDEX('Исходник'!$1:$626,MATCH($A873,'Исходник'!$T:$T,0),MATCH(AF$1,'Исходник'!$1:$1,0)))</f>
        <v/>
      </c>
      <c r="AG873" s="27" t="str">
        <f t="shared" si="14"/>
        <v/>
      </c>
      <c r="AH873" s="1" t="str">
        <f t="array" ref="AH873">IFERROR(INDEX('Исходник'!$1:$626,MATCH($A873,'Исходник'!$T:$T,0),MATCH(AH$1,'Исходник'!$1:$1,0)))</f>
        <v/>
      </c>
      <c r="AI873" s="1" t="str">
        <f t="array" ref="AI873">IFERROR(INDEX('Исходник'!$1:$626,MATCH($A873,'Исходник'!$T:$T,0),MATCH(AI$1,'Исходник'!$1:$1,0)))</f>
        <v/>
      </c>
      <c r="AJ873" s="18">
        <f t="shared" si="15"/>
        <v>0</v>
      </c>
    </row>
    <row r="874" ht="15.75" customHeight="1">
      <c r="A874" s="27"/>
      <c r="B874" s="1" t="str">
        <f t="array" ref="B874">IFERROR(INDEX('Исходник'!$1:$626,MATCH($A874,'Исходник'!$T:$T,0),MATCH(B$1,'Исходник'!$1:$1,0)))</f>
        <v/>
      </c>
      <c r="C874" s="1" t="str">
        <f t="array" ref="C874">IFERROR(INDEX('Исходник'!$1:$626,MATCH($A874,'Исходник'!$T:$T,0),MATCH(C$1,'Исходник'!$1:$1,0)))</f>
        <v/>
      </c>
      <c r="D874" s="1" t="str">
        <f t="array" ref="D874">IFERROR(INDEX('Исходник'!$1:$626,MATCH($A874,'Исходник'!$T:$T,0),MATCH(D$1,'Исходник'!$1:$1,0)))</f>
        <v/>
      </c>
      <c r="E874" s="1" t="str">
        <f t="array" ref="E874">IFERROR(INDEX('Исходник'!$1:$626,MATCH($A874,'Исходник'!$T:$T,0),MATCH(E$1,'Исходник'!$1:$1,0)))</f>
        <v/>
      </c>
      <c r="F874" s="1" t="str">
        <f t="array" ref="F874">IFERROR(INDEX('Исходник'!$1:$626,MATCH($A874,'Исходник'!$T:$T,0),MATCH(F$1,'Исходник'!$1:$1,0)))</f>
        <v/>
      </c>
      <c r="G874" s="1" t="str">
        <f t="array" ref="G874">IFERROR(INDEX('Исходник'!$1:$626,MATCH($A874,'Исходник'!$T:$T,0),MATCH(G$1,'Исходник'!$1:$1,0)))</f>
        <v/>
      </c>
      <c r="H874" s="27">
        <f t="shared" si="1"/>
        <v>0</v>
      </c>
      <c r="I874" s="27" t="str">
        <f t="shared" si="2"/>
        <v/>
      </c>
      <c r="J874" s="1" t="str">
        <f t="array" ref="J874">IFERROR(INDEX('Исходник'!$1:$626,MATCH($A874,'Исходник'!$T:$T,0),MATCH(J$1,'Исходник'!$1:$1,0)))</f>
        <v/>
      </c>
      <c r="K874" s="27" t="str">
        <f t="shared" si="3"/>
        <v/>
      </c>
      <c r="L874" s="1" t="str">
        <f t="array" ref="L874">IFERROR(INDEX('Исходник'!$1:$626,MATCH($A874,'Исходник'!$T:$T,0),MATCH(L$1,'Исходник'!$1:$1,0)))</f>
        <v/>
      </c>
      <c r="M874" s="28">
        <f t="shared" si="4"/>
        <v>0</v>
      </c>
      <c r="N874" s="1" t="str">
        <f t="array" ref="N874">IFERROR(INDEX('Исходник'!$1:$626,MATCH($A874,'Исходник'!$T:$T,0),MATCH(N$1,'Исходник'!$1:$1,0)))</f>
        <v/>
      </c>
      <c r="O874" s="27">
        <f t="shared" si="5"/>
        <v>0</v>
      </c>
      <c r="P874" s="27" t="str">
        <f t="shared" si="6"/>
        <v/>
      </c>
      <c r="Q874" s="1" t="str">
        <f t="array" ref="Q874">IFERROR(INDEX('Исходник'!$1:$626,MATCH($A874,'Исходник'!$T:$T,0),MATCH(Q$1,'Исходник'!$1:$1,0)))</f>
        <v/>
      </c>
      <c r="R874" s="1" t="str">
        <f t="array" ref="R874">IFERROR(INDEX('Исходник'!$1:$626,MATCH($A874,'Исходник'!$T:$T,0),MATCH(R$1,'Исходник'!$1:$1,0)))</f>
        <v/>
      </c>
      <c r="S874" s="27">
        <f t="shared" si="7"/>
        <v>0</v>
      </c>
      <c r="T874" s="27" t="str">
        <f t="shared" si="8"/>
        <v/>
      </c>
      <c r="U874" s="1" t="str">
        <f t="array" ref="U874">IFERROR(INDEX('Исходник'!$1:$626,MATCH($A874,'Исходник'!$T:$T,0),MATCH(U$1,'Исходник'!$1:$1,0)))</f>
        <v/>
      </c>
      <c r="V874" s="27" t="str">
        <f t="shared" si="9"/>
        <v/>
      </c>
      <c r="W874" s="1" t="str">
        <f t="array" ref="W874">IFERROR(INDEX('Исходник'!$1:$626,MATCH($A874,'Исходник'!$T:$T,0),MATCH(W$1,'Исходник'!$1:$1,0)))</f>
        <v/>
      </c>
      <c r="X874" s="28">
        <f t="shared" si="10"/>
        <v>0</v>
      </c>
      <c r="Y874" s="1" t="str">
        <f t="array" ref="Y874">IFERROR(INDEX('Исходник'!$1:$626,MATCH($A874,'Исходник'!$T:$T,0),MATCH(Y$1,'Исходник'!$1:$1,0)))</f>
        <v/>
      </c>
      <c r="Z874" s="27">
        <f t="shared" si="11"/>
        <v>0</v>
      </c>
      <c r="AA874" s="27" t="str">
        <f t="shared" si="12"/>
        <v/>
      </c>
      <c r="AB874" s="1" t="str">
        <f t="array" ref="AB874">IFERROR(INDEX('Исходник'!$1:$626,MATCH($A874,'Исходник'!$T:$T,0),MATCH(AB$1,'Исходник'!$1:$1,0)))</f>
        <v/>
      </c>
      <c r="AC874" s="1" t="str">
        <f t="array" ref="AC874">IFERROR(INDEX('Исходник'!$1:$626,MATCH($A874,'Исходник'!$T:$T,0),MATCH(AC$1,'Исходник'!$1:$1,0)))</f>
        <v/>
      </c>
      <c r="AD874" s="27" t="str">
        <f t="shared" si="13"/>
        <v/>
      </c>
      <c r="AE874" s="1" t="str">
        <f t="array" ref="AE874">IFERROR(INDEX('Исходник'!$1:$626,MATCH($A874,'Исходник'!$T:$T,0),MATCH(AE$1,'Исходник'!$1:$1,0)))</f>
        <v/>
      </c>
      <c r="AF874" s="1" t="str">
        <f t="array" ref="AF874">IFERROR(INDEX('Исходник'!$1:$626,MATCH($A874,'Исходник'!$T:$T,0),MATCH(AF$1,'Исходник'!$1:$1,0)))</f>
        <v/>
      </c>
      <c r="AG874" s="27" t="str">
        <f t="shared" si="14"/>
        <v/>
      </c>
      <c r="AH874" s="1" t="str">
        <f t="array" ref="AH874">IFERROR(INDEX('Исходник'!$1:$626,MATCH($A874,'Исходник'!$T:$T,0),MATCH(AH$1,'Исходник'!$1:$1,0)))</f>
        <v/>
      </c>
      <c r="AI874" s="1" t="str">
        <f t="array" ref="AI874">IFERROR(INDEX('Исходник'!$1:$626,MATCH($A874,'Исходник'!$T:$T,0),MATCH(AI$1,'Исходник'!$1:$1,0)))</f>
        <v/>
      </c>
      <c r="AJ874" s="18">
        <f t="shared" si="15"/>
        <v>0</v>
      </c>
    </row>
    <row r="875" ht="15.75" customHeight="1">
      <c r="A875" s="27"/>
      <c r="B875" s="1" t="str">
        <f t="array" ref="B875">IFERROR(INDEX('Исходник'!$1:$626,MATCH($A875,'Исходник'!$T:$T,0),MATCH(B$1,'Исходник'!$1:$1,0)))</f>
        <v/>
      </c>
      <c r="C875" s="1" t="str">
        <f t="array" ref="C875">IFERROR(INDEX('Исходник'!$1:$626,MATCH($A875,'Исходник'!$T:$T,0),MATCH(C$1,'Исходник'!$1:$1,0)))</f>
        <v/>
      </c>
      <c r="D875" s="1" t="str">
        <f t="array" ref="D875">IFERROR(INDEX('Исходник'!$1:$626,MATCH($A875,'Исходник'!$T:$T,0),MATCH(D$1,'Исходник'!$1:$1,0)))</f>
        <v/>
      </c>
      <c r="E875" s="1" t="str">
        <f t="array" ref="E875">IFERROR(INDEX('Исходник'!$1:$626,MATCH($A875,'Исходник'!$T:$T,0),MATCH(E$1,'Исходник'!$1:$1,0)))</f>
        <v/>
      </c>
      <c r="F875" s="1" t="str">
        <f t="array" ref="F875">IFERROR(INDEX('Исходник'!$1:$626,MATCH($A875,'Исходник'!$T:$T,0),MATCH(F$1,'Исходник'!$1:$1,0)))</f>
        <v/>
      </c>
      <c r="G875" s="1" t="str">
        <f t="array" ref="G875">IFERROR(INDEX('Исходник'!$1:$626,MATCH($A875,'Исходник'!$T:$T,0),MATCH(G$1,'Исходник'!$1:$1,0)))</f>
        <v/>
      </c>
      <c r="H875" s="27">
        <f t="shared" si="1"/>
        <v>0</v>
      </c>
      <c r="I875" s="27" t="str">
        <f t="shared" si="2"/>
        <v/>
      </c>
      <c r="J875" s="1" t="str">
        <f t="array" ref="J875">IFERROR(INDEX('Исходник'!$1:$626,MATCH($A875,'Исходник'!$T:$T,0),MATCH(J$1,'Исходник'!$1:$1,0)))</f>
        <v/>
      </c>
      <c r="K875" s="27" t="str">
        <f t="shared" si="3"/>
        <v/>
      </c>
      <c r="L875" s="1" t="str">
        <f t="array" ref="L875">IFERROR(INDEX('Исходник'!$1:$626,MATCH($A875,'Исходник'!$T:$T,0),MATCH(L$1,'Исходник'!$1:$1,0)))</f>
        <v/>
      </c>
      <c r="M875" s="28">
        <f t="shared" si="4"/>
        <v>0</v>
      </c>
      <c r="N875" s="1" t="str">
        <f t="array" ref="N875">IFERROR(INDEX('Исходник'!$1:$626,MATCH($A875,'Исходник'!$T:$T,0),MATCH(N$1,'Исходник'!$1:$1,0)))</f>
        <v/>
      </c>
      <c r="O875" s="27">
        <f t="shared" si="5"/>
        <v>0</v>
      </c>
      <c r="P875" s="27" t="str">
        <f t="shared" si="6"/>
        <v/>
      </c>
      <c r="Q875" s="1" t="str">
        <f t="array" ref="Q875">IFERROR(INDEX('Исходник'!$1:$626,MATCH($A875,'Исходник'!$T:$T,0),MATCH(Q$1,'Исходник'!$1:$1,0)))</f>
        <v/>
      </c>
      <c r="R875" s="1" t="str">
        <f t="array" ref="R875">IFERROR(INDEX('Исходник'!$1:$626,MATCH($A875,'Исходник'!$T:$T,0),MATCH(R$1,'Исходник'!$1:$1,0)))</f>
        <v/>
      </c>
      <c r="S875" s="27">
        <f t="shared" si="7"/>
        <v>0</v>
      </c>
      <c r="T875" s="27" t="str">
        <f t="shared" si="8"/>
        <v/>
      </c>
      <c r="U875" s="1" t="str">
        <f t="array" ref="U875">IFERROR(INDEX('Исходник'!$1:$626,MATCH($A875,'Исходник'!$T:$T,0),MATCH(U$1,'Исходник'!$1:$1,0)))</f>
        <v/>
      </c>
      <c r="V875" s="27" t="str">
        <f t="shared" si="9"/>
        <v/>
      </c>
      <c r="W875" s="1" t="str">
        <f t="array" ref="W875">IFERROR(INDEX('Исходник'!$1:$626,MATCH($A875,'Исходник'!$T:$T,0),MATCH(W$1,'Исходник'!$1:$1,0)))</f>
        <v/>
      </c>
      <c r="X875" s="28">
        <f t="shared" si="10"/>
        <v>0</v>
      </c>
      <c r="Y875" s="1" t="str">
        <f t="array" ref="Y875">IFERROR(INDEX('Исходник'!$1:$626,MATCH($A875,'Исходник'!$T:$T,0),MATCH(Y$1,'Исходник'!$1:$1,0)))</f>
        <v/>
      </c>
      <c r="Z875" s="27">
        <f t="shared" si="11"/>
        <v>0</v>
      </c>
      <c r="AA875" s="27" t="str">
        <f t="shared" si="12"/>
        <v/>
      </c>
      <c r="AB875" s="1" t="str">
        <f t="array" ref="AB875">IFERROR(INDEX('Исходник'!$1:$626,MATCH($A875,'Исходник'!$T:$T,0),MATCH(AB$1,'Исходник'!$1:$1,0)))</f>
        <v/>
      </c>
      <c r="AC875" s="1" t="str">
        <f t="array" ref="AC875">IFERROR(INDEX('Исходник'!$1:$626,MATCH($A875,'Исходник'!$T:$T,0),MATCH(AC$1,'Исходник'!$1:$1,0)))</f>
        <v/>
      </c>
      <c r="AD875" s="27" t="str">
        <f t="shared" si="13"/>
        <v/>
      </c>
      <c r="AE875" s="1" t="str">
        <f t="array" ref="AE875">IFERROR(INDEX('Исходник'!$1:$626,MATCH($A875,'Исходник'!$T:$T,0),MATCH(AE$1,'Исходник'!$1:$1,0)))</f>
        <v/>
      </c>
      <c r="AF875" s="1" t="str">
        <f t="array" ref="AF875">IFERROR(INDEX('Исходник'!$1:$626,MATCH($A875,'Исходник'!$T:$T,0),MATCH(AF$1,'Исходник'!$1:$1,0)))</f>
        <v/>
      </c>
      <c r="AG875" s="27" t="str">
        <f t="shared" si="14"/>
        <v/>
      </c>
      <c r="AH875" s="1" t="str">
        <f t="array" ref="AH875">IFERROR(INDEX('Исходник'!$1:$626,MATCH($A875,'Исходник'!$T:$T,0),MATCH(AH$1,'Исходник'!$1:$1,0)))</f>
        <v/>
      </c>
      <c r="AI875" s="1" t="str">
        <f t="array" ref="AI875">IFERROR(INDEX('Исходник'!$1:$626,MATCH($A875,'Исходник'!$T:$T,0),MATCH(AI$1,'Исходник'!$1:$1,0)))</f>
        <v/>
      </c>
      <c r="AJ875" s="18">
        <f t="shared" si="15"/>
        <v>0</v>
      </c>
    </row>
    <row r="876" ht="15.75" customHeight="1">
      <c r="A876" s="27"/>
      <c r="B876" s="1" t="str">
        <f t="array" ref="B876">IFERROR(INDEX('Исходник'!$1:$626,MATCH($A876,'Исходник'!$T:$T,0),MATCH(B$1,'Исходник'!$1:$1,0)))</f>
        <v/>
      </c>
      <c r="C876" s="1" t="str">
        <f t="array" ref="C876">IFERROR(INDEX('Исходник'!$1:$626,MATCH($A876,'Исходник'!$T:$T,0),MATCH(C$1,'Исходник'!$1:$1,0)))</f>
        <v/>
      </c>
      <c r="D876" s="1" t="str">
        <f t="array" ref="D876">IFERROR(INDEX('Исходник'!$1:$626,MATCH($A876,'Исходник'!$T:$T,0),MATCH(D$1,'Исходник'!$1:$1,0)))</f>
        <v/>
      </c>
      <c r="E876" s="1" t="str">
        <f t="array" ref="E876">IFERROR(INDEX('Исходник'!$1:$626,MATCH($A876,'Исходник'!$T:$T,0),MATCH(E$1,'Исходник'!$1:$1,0)))</f>
        <v/>
      </c>
      <c r="F876" s="1" t="str">
        <f t="array" ref="F876">IFERROR(INDEX('Исходник'!$1:$626,MATCH($A876,'Исходник'!$T:$T,0),MATCH(F$1,'Исходник'!$1:$1,0)))</f>
        <v/>
      </c>
      <c r="G876" s="1" t="str">
        <f t="array" ref="G876">IFERROR(INDEX('Исходник'!$1:$626,MATCH($A876,'Исходник'!$T:$T,0),MATCH(G$1,'Исходник'!$1:$1,0)))</f>
        <v/>
      </c>
      <c r="H876" s="27">
        <f t="shared" si="1"/>
        <v>0</v>
      </c>
      <c r="I876" s="27" t="str">
        <f t="shared" si="2"/>
        <v/>
      </c>
      <c r="J876" s="1" t="str">
        <f t="array" ref="J876">IFERROR(INDEX('Исходник'!$1:$626,MATCH($A876,'Исходник'!$T:$T,0),MATCH(J$1,'Исходник'!$1:$1,0)))</f>
        <v/>
      </c>
      <c r="K876" s="27" t="str">
        <f t="shared" si="3"/>
        <v/>
      </c>
      <c r="L876" s="1" t="str">
        <f t="array" ref="L876">IFERROR(INDEX('Исходник'!$1:$626,MATCH($A876,'Исходник'!$T:$T,0),MATCH(L$1,'Исходник'!$1:$1,0)))</f>
        <v/>
      </c>
      <c r="M876" s="28">
        <f t="shared" si="4"/>
        <v>0</v>
      </c>
      <c r="N876" s="1" t="str">
        <f t="array" ref="N876">IFERROR(INDEX('Исходник'!$1:$626,MATCH($A876,'Исходник'!$T:$T,0),MATCH(N$1,'Исходник'!$1:$1,0)))</f>
        <v/>
      </c>
      <c r="O876" s="27">
        <f t="shared" si="5"/>
        <v>0</v>
      </c>
      <c r="P876" s="27" t="str">
        <f t="shared" si="6"/>
        <v/>
      </c>
      <c r="Q876" s="1" t="str">
        <f t="array" ref="Q876">IFERROR(INDEX('Исходник'!$1:$626,MATCH($A876,'Исходник'!$T:$T,0),MATCH(Q$1,'Исходник'!$1:$1,0)))</f>
        <v/>
      </c>
      <c r="R876" s="1" t="str">
        <f t="array" ref="R876">IFERROR(INDEX('Исходник'!$1:$626,MATCH($A876,'Исходник'!$T:$T,0),MATCH(R$1,'Исходник'!$1:$1,0)))</f>
        <v/>
      </c>
      <c r="S876" s="27">
        <f t="shared" si="7"/>
        <v>0</v>
      </c>
      <c r="T876" s="27" t="str">
        <f t="shared" si="8"/>
        <v/>
      </c>
      <c r="U876" s="1" t="str">
        <f t="array" ref="U876">IFERROR(INDEX('Исходник'!$1:$626,MATCH($A876,'Исходник'!$T:$T,0),MATCH(U$1,'Исходник'!$1:$1,0)))</f>
        <v/>
      </c>
      <c r="V876" s="27" t="str">
        <f t="shared" si="9"/>
        <v/>
      </c>
      <c r="W876" s="1" t="str">
        <f t="array" ref="W876">IFERROR(INDEX('Исходник'!$1:$626,MATCH($A876,'Исходник'!$T:$T,0),MATCH(W$1,'Исходник'!$1:$1,0)))</f>
        <v/>
      </c>
      <c r="X876" s="28">
        <f t="shared" si="10"/>
        <v>0</v>
      </c>
      <c r="Y876" s="1" t="str">
        <f t="array" ref="Y876">IFERROR(INDEX('Исходник'!$1:$626,MATCH($A876,'Исходник'!$T:$T,0),MATCH(Y$1,'Исходник'!$1:$1,0)))</f>
        <v/>
      </c>
      <c r="Z876" s="27">
        <f t="shared" si="11"/>
        <v>0</v>
      </c>
      <c r="AA876" s="27" t="str">
        <f t="shared" si="12"/>
        <v/>
      </c>
      <c r="AB876" s="1" t="str">
        <f t="array" ref="AB876">IFERROR(INDEX('Исходник'!$1:$626,MATCH($A876,'Исходник'!$T:$T,0),MATCH(AB$1,'Исходник'!$1:$1,0)))</f>
        <v/>
      </c>
      <c r="AC876" s="1" t="str">
        <f t="array" ref="AC876">IFERROR(INDEX('Исходник'!$1:$626,MATCH($A876,'Исходник'!$T:$T,0),MATCH(AC$1,'Исходник'!$1:$1,0)))</f>
        <v/>
      </c>
      <c r="AD876" s="27" t="str">
        <f t="shared" si="13"/>
        <v/>
      </c>
      <c r="AE876" s="1" t="str">
        <f t="array" ref="AE876">IFERROR(INDEX('Исходник'!$1:$626,MATCH($A876,'Исходник'!$T:$T,0),MATCH(AE$1,'Исходник'!$1:$1,0)))</f>
        <v/>
      </c>
      <c r="AF876" s="1" t="str">
        <f t="array" ref="AF876">IFERROR(INDEX('Исходник'!$1:$626,MATCH($A876,'Исходник'!$T:$T,0),MATCH(AF$1,'Исходник'!$1:$1,0)))</f>
        <v/>
      </c>
      <c r="AG876" s="27" t="str">
        <f t="shared" si="14"/>
        <v/>
      </c>
      <c r="AH876" s="1" t="str">
        <f t="array" ref="AH876">IFERROR(INDEX('Исходник'!$1:$626,MATCH($A876,'Исходник'!$T:$T,0),MATCH(AH$1,'Исходник'!$1:$1,0)))</f>
        <v/>
      </c>
      <c r="AI876" s="1" t="str">
        <f t="array" ref="AI876">IFERROR(INDEX('Исходник'!$1:$626,MATCH($A876,'Исходник'!$T:$T,0),MATCH(AI$1,'Исходник'!$1:$1,0)))</f>
        <v/>
      </c>
      <c r="AJ876" s="18">
        <f t="shared" si="15"/>
        <v>0</v>
      </c>
    </row>
    <row r="877" ht="15.75" customHeight="1">
      <c r="A877" s="27"/>
      <c r="B877" s="1" t="str">
        <f t="array" ref="B877">IFERROR(INDEX('Исходник'!$1:$626,MATCH($A877,'Исходник'!$T:$T,0),MATCH(B$1,'Исходник'!$1:$1,0)))</f>
        <v/>
      </c>
      <c r="C877" s="1" t="str">
        <f t="array" ref="C877">IFERROR(INDEX('Исходник'!$1:$626,MATCH($A877,'Исходник'!$T:$T,0),MATCH(C$1,'Исходник'!$1:$1,0)))</f>
        <v/>
      </c>
      <c r="D877" s="1" t="str">
        <f t="array" ref="D877">IFERROR(INDEX('Исходник'!$1:$626,MATCH($A877,'Исходник'!$T:$T,0),MATCH(D$1,'Исходник'!$1:$1,0)))</f>
        <v/>
      </c>
      <c r="E877" s="1" t="str">
        <f t="array" ref="E877">IFERROR(INDEX('Исходник'!$1:$626,MATCH($A877,'Исходник'!$T:$T,0),MATCH(E$1,'Исходник'!$1:$1,0)))</f>
        <v/>
      </c>
      <c r="F877" s="1" t="str">
        <f t="array" ref="F877">IFERROR(INDEX('Исходник'!$1:$626,MATCH($A877,'Исходник'!$T:$T,0),MATCH(F$1,'Исходник'!$1:$1,0)))</f>
        <v/>
      </c>
      <c r="G877" s="1" t="str">
        <f t="array" ref="G877">IFERROR(INDEX('Исходник'!$1:$626,MATCH($A877,'Исходник'!$T:$T,0),MATCH(G$1,'Исходник'!$1:$1,0)))</f>
        <v/>
      </c>
      <c r="H877" s="27">
        <f t="shared" si="1"/>
        <v>0</v>
      </c>
      <c r="I877" s="27" t="str">
        <f t="shared" si="2"/>
        <v/>
      </c>
      <c r="J877" s="1" t="str">
        <f t="array" ref="J877">IFERROR(INDEX('Исходник'!$1:$626,MATCH($A877,'Исходник'!$T:$T,0),MATCH(J$1,'Исходник'!$1:$1,0)))</f>
        <v/>
      </c>
      <c r="K877" s="27" t="str">
        <f t="shared" si="3"/>
        <v/>
      </c>
      <c r="L877" s="1" t="str">
        <f t="array" ref="L877">IFERROR(INDEX('Исходник'!$1:$626,MATCH($A877,'Исходник'!$T:$T,0),MATCH(L$1,'Исходник'!$1:$1,0)))</f>
        <v/>
      </c>
      <c r="M877" s="28">
        <f t="shared" si="4"/>
        <v>0</v>
      </c>
      <c r="N877" s="1" t="str">
        <f t="array" ref="N877">IFERROR(INDEX('Исходник'!$1:$626,MATCH($A877,'Исходник'!$T:$T,0),MATCH(N$1,'Исходник'!$1:$1,0)))</f>
        <v/>
      </c>
      <c r="O877" s="27">
        <f t="shared" si="5"/>
        <v>0</v>
      </c>
      <c r="P877" s="27" t="str">
        <f t="shared" si="6"/>
        <v/>
      </c>
      <c r="Q877" s="1" t="str">
        <f t="array" ref="Q877">IFERROR(INDEX('Исходник'!$1:$626,MATCH($A877,'Исходник'!$T:$T,0),MATCH(Q$1,'Исходник'!$1:$1,0)))</f>
        <v/>
      </c>
      <c r="R877" s="1" t="str">
        <f t="array" ref="R877">IFERROR(INDEX('Исходник'!$1:$626,MATCH($A877,'Исходник'!$T:$T,0),MATCH(R$1,'Исходник'!$1:$1,0)))</f>
        <v/>
      </c>
      <c r="S877" s="27">
        <f t="shared" si="7"/>
        <v>0</v>
      </c>
      <c r="T877" s="27" t="str">
        <f t="shared" si="8"/>
        <v/>
      </c>
      <c r="U877" s="1" t="str">
        <f t="array" ref="U877">IFERROR(INDEX('Исходник'!$1:$626,MATCH($A877,'Исходник'!$T:$T,0),MATCH(U$1,'Исходник'!$1:$1,0)))</f>
        <v/>
      </c>
      <c r="V877" s="27" t="str">
        <f t="shared" si="9"/>
        <v/>
      </c>
      <c r="W877" s="1" t="str">
        <f t="array" ref="W877">IFERROR(INDEX('Исходник'!$1:$626,MATCH($A877,'Исходник'!$T:$T,0),MATCH(W$1,'Исходник'!$1:$1,0)))</f>
        <v/>
      </c>
      <c r="X877" s="28">
        <f t="shared" si="10"/>
        <v>0</v>
      </c>
      <c r="Y877" s="1" t="str">
        <f t="array" ref="Y877">IFERROR(INDEX('Исходник'!$1:$626,MATCH($A877,'Исходник'!$T:$T,0),MATCH(Y$1,'Исходник'!$1:$1,0)))</f>
        <v/>
      </c>
      <c r="Z877" s="27">
        <f t="shared" si="11"/>
        <v>0</v>
      </c>
      <c r="AA877" s="27" t="str">
        <f t="shared" si="12"/>
        <v/>
      </c>
      <c r="AB877" s="1" t="str">
        <f t="array" ref="AB877">IFERROR(INDEX('Исходник'!$1:$626,MATCH($A877,'Исходник'!$T:$T,0),MATCH(AB$1,'Исходник'!$1:$1,0)))</f>
        <v/>
      </c>
      <c r="AC877" s="1" t="str">
        <f t="array" ref="AC877">IFERROR(INDEX('Исходник'!$1:$626,MATCH($A877,'Исходник'!$T:$T,0),MATCH(AC$1,'Исходник'!$1:$1,0)))</f>
        <v/>
      </c>
      <c r="AD877" s="27" t="str">
        <f t="shared" si="13"/>
        <v/>
      </c>
      <c r="AE877" s="1" t="str">
        <f t="array" ref="AE877">IFERROR(INDEX('Исходник'!$1:$626,MATCH($A877,'Исходник'!$T:$T,0),MATCH(AE$1,'Исходник'!$1:$1,0)))</f>
        <v/>
      </c>
      <c r="AF877" s="1" t="str">
        <f t="array" ref="AF877">IFERROR(INDEX('Исходник'!$1:$626,MATCH($A877,'Исходник'!$T:$T,0),MATCH(AF$1,'Исходник'!$1:$1,0)))</f>
        <v/>
      </c>
      <c r="AG877" s="27" t="str">
        <f t="shared" si="14"/>
        <v/>
      </c>
      <c r="AH877" s="1" t="str">
        <f t="array" ref="AH877">IFERROR(INDEX('Исходник'!$1:$626,MATCH($A877,'Исходник'!$T:$T,0),MATCH(AH$1,'Исходник'!$1:$1,0)))</f>
        <v/>
      </c>
      <c r="AI877" s="1" t="str">
        <f t="array" ref="AI877">IFERROR(INDEX('Исходник'!$1:$626,MATCH($A877,'Исходник'!$T:$T,0),MATCH(AI$1,'Исходник'!$1:$1,0)))</f>
        <v/>
      </c>
      <c r="AJ877" s="18">
        <f t="shared" si="15"/>
        <v>0</v>
      </c>
    </row>
    <row r="878" ht="15.75" customHeight="1">
      <c r="A878" s="27"/>
      <c r="B878" s="1" t="str">
        <f t="array" ref="B878">IFERROR(INDEX('Исходник'!$1:$626,MATCH($A878,'Исходник'!$T:$T,0),MATCH(B$1,'Исходник'!$1:$1,0)))</f>
        <v/>
      </c>
      <c r="C878" s="1" t="str">
        <f t="array" ref="C878">IFERROR(INDEX('Исходник'!$1:$626,MATCH($A878,'Исходник'!$T:$T,0),MATCH(C$1,'Исходник'!$1:$1,0)))</f>
        <v/>
      </c>
      <c r="D878" s="1" t="str">
        <f t="array" ref="D878">IFERROR(INDEX('Исходник'!$1:$626,MATCH($A878,'Исходник'!$T:$T,0),MATCH(D$1,'Исходник'!$1:$1,0)))</f>
        <v/>
      </c>
      <c r="E878" s="1" t="str">
        <f t="array" ref="E878">IFERROR(INDEX('Исходник'!$1:$626,MATCH($A878,'Исходник'!$T:$T,0),MATCH(E$1,'Исходник'!$1:$1,0)))</f>
        <v/>
      </c>
      <c r="F878" s="1" t="str">
        <f t="array" ref="F878">IFERROR(INDEX('Исходник'!$1:$626,MATCH($A878,'Исходник'!$T:$T,0),MATCH(F$1,'Исходник'!$1:$1,0)))</f>
        <v/>
      </c>
      <c r="G878" s="1" t="str">
        <f t="array" ref="G878">IFERROR(INDEX('Исходник'!$1:$626,MATCH($A878,'Исходник'!$T:$T,0),MATCH(G$1,'Исходник'!$1:$1,0)))</f>
        <v/>
      </c>
      <c r="H878" s="27">
        <f t="shared" si="1"/>
        <v>0</v>
      </c>
      <c r="I878" s="27" t="str">
        <f t="shared" si="2"/>
        <v/>
      </c>
      <c r="J878" s="1" t="str">
        <f t="array" ref="J878">IFERROR(INDEX('Исходник'!$1:$626,MATCH($A878,'Исходник'!$T:$T,0),MATCH(J$1,'Исходник'!$1:$1,0)))</f>
        <v/>
      </c>
      <c r="K878" s="27" t="str">
        <f t="shared" si="3"/>
        <v/>
      </c>
      <c r="L878" s="1" t="str">
        <f t="array" ref="L878">IFERROR(INDEX('Исходник'!$1:$626,MATCH($A878,'Исходник'!$T:$T,0),MATCH(L$1,'Исходник'!$1:$1,0)))</f>
        <v/>
      </c>
      <c r="M878" s="28">
        <f t="shared" si="4"/>
        <v>0</v>
      </c>
      <c r="N878" s="1" t="str">
        <f t="array" ref="N878">IFERROR(INDEX('Исходник'!$1:$626,MATCH($A878,'Исходник'!$T:$T,0),MATCH(N$1,'Исходник'!$1:$1,0)))</f>
        <v/>
      </c>
      <c r="O878" s="27">
        <f t="shared" si="5"/>
        <v>0</v>
      </c>
      <c r="P878" s="27" t="str">
        <f t="shared" si="6"/>
        <v/>
      </c>
      <c r="Q878" s="1" t="str">
        <f t="array" ref="Q878">IFERROR(INDEX('Исходник'!$1:$626,MATCH($A878,'Исходник'!$T:$T,0),MATCH(Q$1,'Исходник'!$1:$1,0)))</f>
        <v/>
      </c>
      <c r="R878" s="1" t="str">
        <f t="array" ref="R878">IFERROR(INDEX('Исходник'!$1:$626,MATCH($A878,'Исходник'!$T:$T,0),MATCH(R$1,'Исходник'!$1:$1,0)))</f>
        <v/>
      </c>
      <c r="S878" s="27">
        <f t="shared" si="7"/>
        <v>0</v>
      </c>
      <c r="T878" s="27" t="str">
        <f t="shared" si="8"/>
        <v/>
      </c>
      <c r="U878" s="1" t="str">
        <f t="array" ref="U878">IFERROR(INDEX('Исходник'!$1:$626,MATCH($A878,'Исходник'!$T:$T,0),MATCH(U$1,'Исходник'!$1:$1,0)))</f>
        <v/>
      </c>
      <c r="V878" s="27" t="str">
        <f t="shared" si="9"/>
        <v/>
      </c>
      <c r="W878" s="1" t="str">
        <f t="array" ref="W878">IFERROR(INDEX('Исходник'!$1:$626,MATCH($A878,'Исходник'!$T:$T,0),MATCH(W$1,'Исходник'!$1:$1,0)))</f>
        <v/>
      </c>
      <c r="X878" s="28">
        <f t="shared" si="10"/>
        <v>0</v>
      </c>
      <c r="Y878" s="1" t="str">
        <f t="array" ref="Y878">IFERROR(INDEX('Исходник'!$1:$626,MATCH($A878,'Исходник'!$T:$T,0),MATCH(Y$1,'Исходник'!$1:$1,0)))</f>
        <v/>
      </c>
      <c r="Z878" s="27">
        <f t="shared" si="11"/>
        <v>0</v>
      </c>
      <c r="AA878" s="27" t="str">
        <f t="shared" si="12"/>
        <v/>
      </c>
      <c r="AB878" s="1" t="str">
        <f t="array" ref="AB878">IFERROR(INDEX('Исходник'!$1:$626,MATCH($A878,'Исходник'!$T:$T,0),MATCH(AB$1,'Исходник'!$1:$1,0)))</f>
        <v/>
      </c>
      <c r="AC878" s="1" t="str">
        <f t="array" ref="AC878">IFERROR(INDEX('Исходник'!$1:$626,MATCH($A878,'Исходник'!$T:$T,0),MATCH(AC$1,'Исходник'!$1:$1,0)))</f>
        <v/>
      </c>
      <c r="AD878" s="27" t="str">
        <f t="shared" si="13"/>
        <v/>
      </c>
      <c r="AE878" s="1" t="str">
        <f t="array" ref="AE878">IFERROR(INDEX('Исходник'!$1:$626,MATCH($A878,'Исходник'!$T:$T,0),MATCH(AE$1,'Исходник'!$1:$1,0)))</f>
        <v/>
      </c>
      <c r="AF878" s="1" t="str">
        <f t="array" ref="AF878">IFERROR(INDEX('Исходник'!$1:$626,MATCH($A878,'Исходник'!$T:$T,0),MATCH(AF$1,'Исходник'!$1:$1,0)))</f>
        <v/>
      </c>
      <c r="AG878" s="27" t="str">
        <f t="shared" si="14"/>
        <v/>
      </c>
      <c r="AH878" s="1" t="str">
        <f t="array" ref="AH878">IFERROR(INDEX('Исходник'!$1:$626,MATCH($A878,'Исходник'!$T:$T,0),MATCH(AH$1,'Исходник'!$1:$1,0)))</f>
        <v/>
      </c>
      <c r="AI878" s="1" t="str">
        <f t="array" ref="AI878">IFERROR(INDEX('Исходник'!$1:$626,MATCH($A878,'Исходник'!$T:$T,0),MATCH(AI$1,'Исходник'!$1:$1,0)))</f>
        <v/>
      </c>
      <c r="AJ878" s="18">
        <f t="shared" si="15"/>
        <v>0</v>
      </c>
    </row>
    <row r="879" ht="15.75" customHeight="1">
      <c r="A879" s="27"/>
      <c r="B879" s="1" t="str">
        <f t="array" ref="B879">IFERROR(INDEX('Исходник'!$1:$626,MATCH($A879,'Исходник'!$T:$T,0),MATCH(B$1,'Исходник'!$1:$1,0)))</f>
        <v/>
      </c>
      <c r="C879" s="1" t="str">
        <f t="array" ref="C879">IFERROR(INDEX('Исходник'!$1:$626,MATCH($A879,'Исходник'!$T:$T,0),MATCH(C$1,'Исходник'!$1:$1,0)))</f>
        <v/>
      </c>
      <c r="D879" s="1" t="str">
        <f t="array" ref="D879">IFERROR(INDEX('Исходник'!$1:$626,MATCH($A879,'Исходник'!$T:$T,0),MATCH(D$1,'Исходник'!$1:$1,0)))</f>
        <v/>
      </c>
      <c r="E879" s="1" t="str">
        <f t="array" ref="E879">IFERROR(INDEX('Исходник'!$1:$626,MATCH($A879,'Исходник'!$T:$T,0),MATCH(E$1,'Исходник'!$1:$1,0)))</f>
        <v/>
      </c>
      <c r="F879" s="1" t="str">
        <f t="array" ref="F879">IFERROR(INDEX('Исходник'!$1:$626,MATCH($A879,'Исходник'!$T:$T,0),MATCH(F$1,'Исходник'!$1:$1,0)))</f>
        <v/>
      </c>
      <c r="G879" s="1" t="str">
        <f t="array" ref="G879">IFERROR(INDEX('Исходник'!$1:$626,MATCH($A879,'Исходник'!$T:$T,0),MATCH(G$1,'Исходник'!$1:$1,0)))</f>
        <v/>
      </c>
      <c r="H879" s="27">
        <f t="shared" si="1"/>
        <v>0</v>
      </c>
      <c r="I879" s="27" t="str">
        <f t="shared" si="2"/>
        <v/>
      </c>
      <c r="J879" s="1" t="str">
        <f t="array" ref="J879">IFERROR(INDEX('Исходник'!$1:$626,MATCH($A879,'Исходник'!$T:$T,0),MATCH(J$1,'Исходник'!$1:$1,0)))</f>
        <v/>
      </c>
      <c r="K879" s="27" t="str">
        <f t="shared" si="3"/>
        <v/>
      </c>
      <c r="L879" s="1" t="str">
        <f t="array" ref="L879">IFERROR(INDEX('Исходник'!$1:$626,MATCH($A879,'Исходник'!$T:$T,0),MATCH(L$1,'Исходник'!$1:$1,0)))</f>
        <v/>
      </c>
      <c r="M879" s="28">
        <f t="shared" si="4"/>
        <v>0</v>
      </c>
      <c r="N879" s="1" t="str">
        <f t="array" ref="N879">IFERROR(INDEX('Исходник'!$1:$626,MATCH($A879,'Исходник'!$T:$T,0),MATCH(N$1,'Исходник'!$1:$1,0)))</f>
        <v/>
      </c>
      <c r="O879" s="27">
        <f t="shared" si="5"/>
        <v>0</v>
      </c>
      <c r="P879" s="27" t="str">
        <f t="shared" si="6"/>
        <v/>
      </c>
      <c r="Q879" s="1" t="str">
        <f t="array" ref="Q879">IFERROR(INDEX('Исходник'!$1:$626,MATCH($A879,'Исходник'!$T:$T,0),MATCH(Q$1,'Исходник'!$1:$1,0)))</f>
        <v/>
      </c>
      <c r="R879" s="1" t="str">
        <f t="array" ref="R879">IFERROR(INDEX('Исходник'!$1:$626,MATCH($A879,'Исходник'!$T:$T,0),MATCH(R$1,'Исходник'!$1:$1,0)))</f>
        <v/>
      </c>
      <c r="S879" s="27">
        <f t="shared" si="7"/>
        <v>0</v>
      </c>
      <c r="T879" s="27" t="str">
        <f t="shared" si="8"/>
        <v/>
      </c>
      <c r="U879" s="1" t="str">
        <f t="array" ref="U879">IFERROR(INDEX('Исходник'!$1:$626,MATCH($A879,'Исходник'!$T:$T,0),MATCH(U$1,'Исходник'!$1:$1,0)))</f>
        <v/>
      </c>
      <c r="V879" s="27" t="str">
        <f t="shared" si="9"/>
        <v/>
      </c>
      <c r="W879" s="1" t="str">
        <f t="array" ref="W879">IFERROR(INDEX('Исходник'!$1:$626,MATCH($A879,'Исходник'!$T:$T,0),MATCH(W$1,'Исходник'!$1:$1,0)))</f>
        <v/>
      </c>
      <c r="X879" s="28">
        <f t="shared" si="10"/>
        <v>0</v>
      </c>
      <c r="Y879" s="1" t="str">
        <f t="array" ref="Y879">IFERROR(INDEX('Исходник'!$1:$626,MATCH($A879,'Исходник'!$T:$T,0),MATCH(Y$1,'Исходник'!$1:$1,0)))</f>
        <v/>
      </c>
      <c r="Z879" s="27">
        <f t="shared" si="11"/>
        <v>0</v>
      </c>
      <c r="AA879" s="27" t="str">
        <f t="shared" si="12"/>
        <v/>
      </c>
      <c r="AB879" s="1" t="str">
        <f t="array" ref="AB879">IFERROR(INDEX('Исходник'!$1:$626,MATCH($A879,'Исходник'!$T:$T,0),MATCH(AB$1,'Исходник'!$1:$1,0)))</f>
        <v/>
      </c>
      <c r="AC879" s="1" t="str">
        <f t="array" ref="AC879">IFERROR(INDEX('Исходник'!$1:$626,MATCH($A879,'Исходник'!$T:$T,0),MATCH(AC$1,'Исходник'!$1:$1,0)))</f>
        <v/>
      </c>
      <c r="AD879" s="27" t="str">
        <f t="shared" si="13"/>
        <v/>
      </c>
      <c r="AE879" s="1" t="str">
        <f t="array" ref="AE879">IFERROR(INDEX('Исходник'!$1:$626,MATCH($A879,'Исходник'!$T:$T,0),MATCH(AE$1,'Исходник'!$1:$1,0)))</f>
        <v/>
      </c>
      <c r="AF879" s="1" t="str">
        <f t="array" ref="AF879">IFERROR(INDEX('Исходник'!$1:$626,MATCH($A879,'Исходник'!$T:$T,0),MATCH(AF$1,'Исходник'!$1:$1,0)))</f>
        <v/>
      </c>
      <c r="AG879" s="27" t="str">
        <f t="shared" si="14"/>
        <v/>
      </c>
      <c r="AH879" s="1" t="str">
        <f t="array" ref="AH879">IFERROR(INDEX('Исходник'!$1:$626,MATCH($A879,'Исходник'!$T:$T,0),MATCH(AH$1,'Исходник'!$1:$1,0)))</f>
        <v/>
      </c>
      <c r="AI879" s="1" t="str">
        <f t="array" ref="AI879">IFERROR(INDEX('Исходник'!$1:$626,MATCH($A879,'Исходник'!$T:$T,0),MATCH(AI$1,'Исходник'!$1:$1,0)))</f>
        <v/>
      </c>
      <c r="AJ879" s="18">
        <f t="shared" si="15"/>
        <v>0</v>
      </c>
    </row>
    <row r="880" ht="15.75" customHeight="1">
      <c r="A880" s="27"/>
      <c r="B880" s="1" t="str">
        <f t="array" ref="B880">IFERROR(INDEX('Исходник'!$1:$626,MATCH($A880,'Исходник'!$T:$T,0),MATCH(B$1,'Исходник'!$1:$1,0)))</f>
        <v/>
      </c>
      <c r="C880" s="1" t="str">
        <f t="array" ref="C880">IFERROR(INDEX('Исходник'!$1:$626,MATCH($A880,'Исходник'!$T:$T,0),MATCH(C$1,'Исходник'!$1:$1,0)))</f>
        <v/>
      </c>
      <c r="D880" s="1" t="str">
        <f t="array" ref="D880">IFERROR(INDEX('Исходник'!$1:$626,MATCH($A880,'Исходник'!$T:$T,0),MATCH(D$1,'Исходник'!$1:$1,0)))</f>
        <v/>
      </c>
      <c r="E880" s="1" t="str">
        <f t="array" ref="E880">IFERROR(INDEX('Исходник'!$1:$626,MATCH($A880,'Исходник'!$T:$T,0),MATCH(E$1,'Исходник'!$1:$1,0)))</f>
        <v/>
      </c>
      <c r="F880" s="1" t="str">
        <f t="array" ref="F880">IFERROR(INDEX('Исходник'!$1:$626,MATCH($A880,'Исходник'!$T:$T,0),MATCH(F$1,'Исходник'!$1:$1,0)))</f>
        <v/>
      </c>
      <c r="G880" s="1" t="str">
        <f t="array" ref="G880">IFERROR(INDEX('Исходник'!$1:$626,MATCH($A880,'Исходник'!$T:$T,0),MATCH(G$1,'Исходник'!$1:$1,0)))</f>
        <v/>
      </c>
      <c r="H880" s="27">
        <f t="shared" si="1"/>
        <v>0</v>
      </c>
      <c r="I880" s="27" t="str">
        <f t="shared" si="2"/>
        <v/>
      </c>
      <c r="J880" s="1" t="str">
        <f t="array" ref="J880">IFERROR(INDEX('Исходник'!$1:$626,MATCH($A880,'Исходник'!$T:$T,0),MATCH(J$1,'Исходник'!$1:$1,0)))</f>
        <v/>
      </c>
      <c r="K880" s="27" t="str">
        <f t="shared" si="3"/>
        <v/>
      </c>
      <c r="L880" s="1" t="str">
        <f t="array" ref="L880">IFERROR(INDEX('Исходник'!$1:$626,MATCH($A880,'Исходник'!$T:$T,0),MATCH(L$1,'Исходник'!$1:$1,0)))</f>
        <v/>
      </c>
      <c r="M880" s="28">
        <f t="shared" si="4"/>
        <v>0</v>
      </c>
      <c r="N880" s="1" t="str">
        <f t="array" ref="N880">IFERROR(INDEX('Исходник'!$1:$626,MATCH($A880,'Исходник'!$T:$T,0),MATCH(N$1,'Исходник'!$1:$1,0)))</f>
        <v/>
      </c>
      <c r="O880" s="27">
        <f t="shared" si="5"/>
        <v>0</v>
      </c>
      <c r="P880" s="27" t="str">
        <f t="shared" si="6"/>
        <v/>
      </c>
      <c r="Q880" s="1" t="str">
        <f t="array" ref="Q880">IFERROR(INDEX('Исходник'!$1:$626,MATCH($A880,'Исходник'!$T:$T,0),MATCH(Q$1,'Исходник'!$1:$1,0)))</f>
        <v/>
      </c>
      <c r="R880" s="1" t="str">
        <f t="array" ref="R880">IFERROR(INDEX('Исходник'!$1:$626,MATCH($A880,'Исходник'!$T:$T,0),MATCH(R$1,'Исходник'!$1:$1,0)))</f>
        <v/>
      </c>
      <c r="S880" s="27">
        <f t="shared" si="7"/>
        <v>0</v>
      </c>
      <c r="T880" s="27" t="str">
        <f t="shared" si="8"/>
        <v/>
      </c>
      <c r="U880" s="1" t="str">
        <f t="array" ref="U880">IFERROR(INDEX('Исходник'!$1:$626,MATCH($A880,'Исходник'!$T:$T,0),MATCH(U$1,'Исходник'!$1:$1,0)))</f>
        <v/>
      </c>
      <c r="V880" s="27" t="str">
        <f t="shared" si="9"/>
        <v/>
      </c>
      <c r="W880" s="1" t="str">
        <f t="array" ref="W880">IFERROR(INDEX('Исходник'!$1:$626,MATCH($A880,'Исходник'!$T:$T,0),MATCH(W$1,'Исходник'!$1:$1,0)))</f>
        <v/>
      </c>
      <c r="X880" s="28">
        <f t="shared" si="10"/>
        <v>0</v>
      </c>
      <c r="Y880" s="1" t="str">
        <f t="array" ref="Y880">IFERROR(INDEX('Исходник'!$1:$626,MATCH($A880,'Исходник'!$T:$T,0),MATCH(Y$1,'Исходник'!$1:$1,0)))</f>
        <v/>
      </c>
      <c r="Z880" s="27">
        <f t="shared" si="11"/>
        <v>0</v>
      </c>
      <c r="AA880" s="27" t="str">
        <f t="shared" si="12"/>
        <v/>
      </c>
      <c r="AB880" s="1" t="str">
        <f t="array" ref="AB880">IFERROR(INDEX('Исходник'!$1:$626,MATCH($A880,'Исходник'!$T:$T,0),MATCH(AB$1,'Исходник'!$1:$1,0)))</f>
        <v/>
      </c>
      <c r="AC880" s="1" t="str">
        <f t="array" ref="AC880">IFERROR(INDEX('Исходник'!$1:$626,MATCH($A880,'Исходник'!$T:$T,0),MATCH(AC$1,'Исходник'!$1:$1,0)))</f>
        <v/>
      </c>
      <c r="AD880" s="27" t="str">
        <f t="shared" si="13"/>
        <v/>
      </c>
      <c r="AE880" s="1" t="str">
        <f t="array" ref="AE880">IFERROR(INDEX('Исходник'!$1:$626,MATCH($A880,'Исходник'!$T:$T,0),MATCH(AE$1,'Исходник'!$1:$1,0)))</f>
        <v/>
      </c>
      <c r="AF880" s="1" t="str">
        <f t="array" ref="AF880">IFERROR(INDEX('Исходник'!$1:$626,MATCH($A880,'Исходник'!$T:$T,0),MATCH(AF$1,'Исходник'!$1:$1,0)))</f>
        <v/>
      </c>
      <c r="AG880" s="27" t="str">
        <f t="shared" si="14"/>
        <v/>
      </c>
      <c r="AH880" s="1" t="str">
        <f t="array" ref="AH880">IFERROR(INDEX('Исходник'!$1:$626,MATCH($A880,'Исходник'!$T:$T,0),MATCH(AH$1,'Исходник'!$1:$1,0)))</f>
        <v/>
      </c>
      <c r="AI880" s="1" t="str">
        <f t="array" ref="AI880">IFERROR(INDEX('Исходник'!$1:$626,MATCH($A880,'Исходник'!$T:$T,0),MATCH(AI$1,'Исходник'!$1:$1,0)))</f>
        <v/>
      </c>
      <c r="AJ880" s="18">
        <f t="shared" si="15"/>
        <v>0</v>
      </c>
    </row>
    <row r="881" ht="15.75" customHeight="1">
      <c r="A881" s="27"/>
      <c r="B881" s="1" t="str">
        <f t="array" ref="B881">IFERROR(INDEX('Исходник'!$1:$626,MATCH($A881,'Исходник'!$T:$T,0),MATCH(B$1,'Исходник'!$1:$1,0)))</f>
        <v/>
      </c>
      <c r="C881" s="1" t="str">
        <f t="array" ref="C881">IFERROR(INDEX('Исходник'!$1:$626,MATCH($A881,'Исходник'!$T:$T,0),MATCH(C$1,'Исходник'!$1:$1,0)))</f>
        <v/>
      </c>
      <c r="D881" s="1" t="str">
        <f t="array" ref="D881">IFERROR(INDEX('Исходник'!$1:$626,MATCH($A881,'Исходник'!$T:$T,0),MATCH(D$1,'Исходник'!$1:$1,0)))</f>
        <v/>
      </c>
      <c r="E881" s="1" t="str">
        <f t="array" ref="E881">IFERROR(INDEX('Исходник'!$1:$626,MATCH($A881,'Исходник'!$T:$T,0),MATCH(E$1,'Исходник'!$1:$1,0)))</f>
        <v/>
      </c>
      <c r="F881" s="1" t="str">
        <f t="array" ref="F881">IFERROR(INDEX('Исходник'!$1:$626,MATCH($A881,'Исходник'!$T:$T,0),MATCH(F$1,'Исходник'!$1:$1,0)))</f>
        <v/>
      </c>
      <c r="G881" s="1" t="str">
        <f t="array" ref="G881">IFERROR(INDEX('Исходник'!$1:$626,MATCH($A881,'Исходник'!$T:$T,0),MATCH(G$1,'Исходник'!$1:$1,0)))</f>
        <v/>
      </c>
      <c r="H881" s="27">
        <f t="shared" si="1"/>
        <v>0</v>
      </c>
      <c r="I881" s="27" t="str">
        <f t="shared" si="2"/>
        <v/>
      </c>
      <c r="J881" s="1" t="str">
        <f t="array" ref="J881">IFERROR(INDEX('Исходник'!$1:$626,MATCH($A881,'Исходник'!$T:$T,0),MATCH(J$1,'Исходник'!$1:$1,0)))</f>
        <v/>
      </c>
      <c r="K881" s="27" t="str">
        <f t="shared" si="3"/>
        <v/>
      </c>
      <c r="L881" s="1" t="str">
        <f t="array" ref="L881">IFERROR(INDEX('Исходник'!$1:$626,MATCH($A881,'Исходник'!$T:$T,0),MATCH(L$1,'Исходник'!$1:$1,0)))</f>
        <v/>
      </c>
      <c r="M881" s="28">
        <f t="shared" si="4"/>
        <v>0</v>
      </c>
      <c r="N881" s="1" t="str">
        <f t="array" ref="N881">IFERROR(INDEX('Исходник'!$1:$626,MATCH($A881,'Исходник'!$T:$T,0),MATCH(N$1,'Исходник'!$1:$1,0)))</f>
        <v/>
      </c>
      <c r="O881" s="27">
        <f t="shared" si="5"/>
        <v>0</v>
      </c>
      <c r="P881" s="27" t="str">
        <f t="shared" si="6"/>
        <v/>
      </c>
      <c r="Q881" s="1" t="str">
        <f t="array" ref="Q881">IFERROR(INDEX('Исходник'!$1:$626,MATCH($A881,'Исходник'!$T:$T,0),MATCH(Q$1,'Исходник'!$1:$1,0)))</f>
        <v/>
      </c>
      <c r="R881" s="1" t="str">
        <f t="array" ref="R881">IFERROR(INDEX('Исходник'!$1:$626,MATCH($A881,'Исходник'!$T:$T,0),MATCH(R$1,'Исходник'!$1:$1,0)))</f>
        <v/>
      </c>
      <c r="S881" s="27">
        <f t="shared" si="7"/>
        <v>0</v>
      </c>
      <c r="T881" s="27" t="str">
        <f t="shared" si="8"/>
        <v/>
      </c>
      <c r="U881" s="1" t="str">
        <f t="array" ref="U881">IFERROR(INDEX('Исходник'!$1:$626,MATCH($A881,'Исходник'!$T:$T,0),MATCH(U$1,'Исходник'!$1:$1,0)))</f>
        <v/>
      </c>
      <c r="V881" s="27" t="str">
        <f t="shared" si="9"/>
        <v/>
      </c>
      <c r="W881" s="1" t="str">
        <f t="array" ref="W881">IFERROR(INDEX('Исходник'!$1:$626,MATCH($A881,'Исходник'!$T:$T,0),MATCH(W$1,'Исходник'!$1:$1,0)))</f>
        <v/>
      </c>
      <c r="X881" s="28">
        <f t="shared" si="10"/>
        <v>0</v>
      </c>
      <c r="Y881" s="1" t="str">
        <f t="array" ref="Y881">IFERROR(INDEX('Исходник'!$1:$626,MATCH($A881,'Исходник'!$T:$T,0),MATCH(Y$1,'Исходник'!$1:$1,0)))</f>
        <v/>
      </c>
      <c r="Z881" s="27">
        <f t="shared" si="11"/>
        <v>0</v>
      </c>
      <c r="AA881" s="27" t="str">
        <f t="shared" si="12"/>
        <v/>
      </c>
      <c r="AB881" s="1" t="str">
        <f t="array" ref="AB881">IFERROR(INDEX('Исходник'!$1:$626,MATCH($A881,'Исходник'!$T:$T,0),MATCH(AB$1,'Исходник'!$1:$1,0)))</f>
        <v/>
      </c>
      <c r="AC881" s="1" t="str">
        <f t="array" ref="AC881">IFERROR(INDEX('Исходник'!$1:$626,MATCH($A881,'Исходник'!$T:$T,0),MATCH(AC$1,'Исходник'!$1:$1,0)))</f>
        <v/>
      </c>
      <c r="AD881" s="27" t="str">
        <f t="shared" si="13"/>
        <v/>
      </c>
      <c r="AE881" s="1" t="str">
        <f t="array" ref="AE881">IFERROR(INDEX('Исходник'!$1:$626,MATCH($A881,'Исходник'!$T:$T,0),MATCH(AE$1,'Исходник'!$1:$1,0)))</f>
        <v/>
      </c>
      <c r="AF881" s="1" t="str">
        <f t="array" ref="AF881">IFERROR(INDEX('Исходник'!$1:$626,MATCH($A881,'Исходник'!$T:$T,0),MATCH(AF$1,'Исходник'!$1:$1,0)))</f>
        <v/>
      </c>
      <c r="AG881" s="27" t="str">
        <f t="shared" si="14"/>
        <v/>
      </c>
      <c r="AH881" s="1" t="str">
        <f t="array" ref="AH881">IFERROR(INDEX('Исходник'!$1:$626,MATCH($A881,'Исходник'!$T:$T,0),MATCH(AH$1,'Исходник'!$1:$1,0)))</f>
        <v/>
      </c>
      <c r="AI881" s="1" t="str">
        <f t="array" ref="AI881">IFERROR(INDEX('Исходник'!$1:$626,MATCH($A881,'Исходник'!$T:$T,0),MATCH(AI$1,'Исходник'!$1:$1,0)))</f>
        <v/>
      </c>
      <c r="AJ881" s="18">
        <f t="shared" si="15"/>
        <v>0</v>
      </c>
    </row>
    <row r="882" ht="15.75" customHeight="1">
      <c r="A882" s="27"/>
      <c r="B882" s="1" t="str">
        <f t="array" ref="B882">IFERROR(INDEX('Исходник'!$1:$626,MATCH($A882,'Исходник'!$T:$T,0),MATCH(B$1,'Исходник'!$1:$1,0)))</f>
        <v/>
      </c>
      <c r="C882" s="1" t="str">
        <f t="array" ref="C882">IFERROR(INDEX('Исходник'!$1:$626,MATCH($A882,'Исходник'!$T:$T,0),MATCH(C$1,'Исходник'!$1:$1,0)))</f>
        <v/>
      </c>
      <c r="D882" s="1" t="str">
        <f t="array" ref="D882">IFERROR(INDEX('Исходник'!$1:$626,MATCH($A882,'Исходник'!$T:$T,0),MATCH(D$1,'Исходник'!$1:$1,0)))</f>
        <v/>
      </c>
      <c r="E882" s="1" t="str">
        <f t="array" ref="E882">IFERROR(INDEX('Исходник'!$1:$626,MATCH($A882,'Исходник'!$T:$T,0),MATCH(E$1,'Исходник'!$1:$1,0)))</f>
        <v/>
      </c>
      <c r="F882" s="1" t="str">
        <f t="array" ref="F882">IFERROR(INDEX('Исходник'!$1:$626,MATCH($A882,'Исходник'!$T:$T,0),MATCH(F$1,'Исходник'!$1:$1,0)))</f>
        <v/>
      </c>
      <c r="G882" s="1" t="str">
        <f t="array" ref="G882">IFERROR(INDEX('Исходник'!$1:$626,MATCH($A882,'Исходник'!$T:$T,0),MATCH(G$1,'Исходник'!$1:$1,0)))</f>
        <v/>
      </c>
      <c r="H882" s="27">
        <f t="shared" si="1"/>
        <v>0</v>
      </c>
      <c r="I882" s="27" t="str">
        <f t="shared" si="2"/>
        <v/>
      </c>
      <c r="J882" s="1" t="str">
        <f t="array" ref="J882">IFERROR(INDEX('Исходник'!$1:$626,MATCH($A882,'Исходник'!$T:$T,0),MATCH(J$1,'Исходник'!$1:$1,0)))</f>
        <v/>
      </c>
      <c r="K882" s="27" t="str">
        <f t="shared" si="3"/>
        <v/>
      </c>
      <c r="L882" s="1" t="str">
        <f t="array" ref="L882">IFERROR(INDEX('Исходник'!$1:$626,MATCH($A882,'Исходник'!$T:$T,0),MATCH(L$1,'Исходник'!$1:$1,0)))</f>
        <v/>
      </c>
      <c r="M882" s="28">
        <f t="shared" si="4"/>
        <v>0</v>
      </c>
      <c r="N882" s="1" t="str">
        <f t="array" ref="N882">IFERROR(INDEX('Исходник'!$1:$626,MATCH($A882,'Исходник'!$T:$T,0),MATCH(N$1,'Исходник'!$1:$1,0)))</f>
        <v/>
      </c>
      <c r="O882" s="27">
        <f t="shared" si="5"/>
        <v>0</v>
      </c>
      <c r="P882" s="27" t="str">
        <f t="shared" si="6"/>
        <v/>
      </c>
      <c r="Q882" s="1" t="str">
        <f t="array" ref="Q882">IFERROR(INDEX('Исходник'!$1:$626,MATCH($A882,'Исходник'!$T:$T,0),MATCH(Q$1,'Исходник'!$1:$1,0)))</f>
        <v/>
      </c>
      <c r="R882" s="1" t="str">
        <f t="array" ref="R882">IFERROR(INDEX('Исходник'!$1:$626,MATCH($A882,'Исходник'!$T:$T,0),MATCH(R$1,'Исходник'!$1:$1,0)))</f>
        <v/>
      </c>
      <c r="S882" s="27">
        <f t="shared" si="7"/>
        <v>0</v>
      </c>
      <c r="T882" s="27" t="str">
        <f t="shared" si="8"/>
        <v/>
      </c>
      <c r="U882" s="1" t="str">
        <f t="array" ref="U882">IFERROR(INDEX('Исходник'!$1:$626,MATCH($A882,'Исходник'!$T:$T,0),MATCH(U$1,'Исходник'!$1:$1,0)))</f>
        <v/>
      </c>
      <c r="V882" s="27" t="str">
        <f t="shared" si="9"/>
        <v/>
      </c>
      <c r="W882" s="1" t="str">
        <f t="array" ref="W882">IFERROR(INDEX('Исходник'!$1:$626,MATCH($A882,'Исходник'!$T:$T,0),MATCH(W$1,'Исходник'!$1:$1,0)))</f>
        <v/>
      </c>
      <c r="X882" s="28">
        <f t="shared" si="10"/>
        <v>0</v>
      </c>
      <c r="Y882" s="1" t="str">
        <f t="array" ref="Y882">IFERROR(INDEX('Исходник'!$1:$626,MATCH($A882,'Исходник'!$T:$T,0),MATCH(Y$1,'Исходник'!$1:$1,0)))</f>
        <v/>
      </c>
      <c r="Z882" s="27">
        <f t="shared" si="11"/>
        <v>0</v>
      </c>
      <c r="AA882" s="27" t="str">
        <f t="shared" si="12"/>
        <v/>
      </c>
      <c r="AB882" s="1" t="str">
        <f t="array" ref="AB882">IFERROR(INDEX('Исходник'!$1:$626,MATCH($A882,'Исходник'!$T:$T,0),MATCH(AB$1,'Исходник'!$1:$1,0)))</f>
        <v/>
      </c>
      <c r="AC882" s="1" t="str">
        <f t="array" ref="AC882">IFERROR(INDEX('Исходник'!$1:$626,MATCH($A882,'Исходник'!$T:$T,0),MATCH(AC$1,'Исходник'!$1:$1,0)))</f>
        <v/>
      </c>
      <c r="AD882" s="27" t="str">
        <f t="shared" si="13"/>
        <v/>
      </c>
      <c r="AE882" s="1" t="str">
        <f t="array" ref="AE882">IFERROR(INDEX('Исходник'!$1:$626,MATCH($A882,'Исходник'!$T:$T,0),MATCH(AE$1,'Исходник'!$1:$1,0)))</f>
        <v/>
      </c>
      <c r="AF882" s="1" t="str">
        <f t="array" ref="AF882">IFERROR(INDEX('Исходник'!$1:$626,MATCH($A882,'Исходник'!$T:$T,0),MATCH(AF$1,'Исходник'!$1:$1,0)))</f>
        <v/>
      </c>
      <c r="AG882" s="27" t="str">
        <f t="shared" si="14"/>
        <v/>
      </c>
      <c r="AH882" s="1" t="str">
        <f t="array" ref="AH882">IFERROR(INDEX('Исходник'!$1:$626,MATCH($A882,'Исходник'!$T:$T,0),MATCH(AH$1,'Исходник'!$1:$1,0)))</f>
        <v/>
      </c>
      <c r="AI882" s="1" t="str">
        <f t="array" ref="AI882">IFERROR(INDEX('Исходник'!$1:$626,MATCH($A882,'Исходник'!$T:$T,0),MATCH(AI$1,'Исходник'!$1:$1,0)))</f>
        <v/>
      </c>
      <c r="AJ882" s="18">
        <f t="shared" si="15"/>
        <v>0</v>
      </c>
    </row>
    <row r="883" ht="15.75" customHeight="1">
      <c r="A883" s="27"/>
      <c r="B883" s="1" t="str">
        <f t="array" ref="B883">IFERROR(INDEX('Исходник'!$1:$626,MATCH($A883,'Исходник'!$T:$T,0),MATCH(B$1,'Исходник'!$1:$1,0)))</f>
        <v/>
      </c>
      <c r="C883" s="1" t="str">
        <f t="array" ref="C883">IFERROR(INDEX('Исходник'!$1:$626,MATCH($A883,'Исходник'!$T:$T,0),MATCH(C$1,'Исходник'!$1:$1,0)))</f>
        <v/>
      </c>
      <c r="D883" s="1" t="str">
        <f t="array" ref="D883">IFERROR(INDEX('Исходник'!$1:$626,MATCH($A883,'Исходник'!$T:$T,0),MATCH(D$1,'Исходник'!$1:$1,0)))</f>
        <v/>
      </c>
      <c r="E883" s="1" t="str">
        <f t="array" ref="E883">IFERROR(INDEX('Исходник'!$1:$626,MATCH($A883,'Исходник'!$T:$T,0),MATCH(E$1,'Исходник'!$1:$1,0)))</f>
        <v/>
      </c>
      <c r="F883" s="1" t="str">
        <f t="array" ref="F883">IFERROR(INDEX('Исходник'!$1:$626,MATCH($A883,'Исходник'!$T:$T,0),MATCH(F$1,'Исходник'!$1:$1,0)))</f>
        <v/>
      </c>
      <c r="G883" s="1" t="str">
        <f t="array" ref="G883">IFERROR(INDEX('Исходник'!$1:$626,MATCH($A883,'Исходник'!$T:$T,0),MATCH(G$1,'Исходник'!$1:$1,0)))</f>
        <v/>
      </c>
      <c r="H883" s="27">
        <f t="shared" si="1"/>
        <v>0</v>
      </c>
      <c r="I883" s="27" t="str">
        <f t="shared" si="2"/>
        <v/>
      </c>
      <c r="J883" s="1" t="str">
        <f t="array" ref="J883">IFERROR(INDEX('Исходник'!$1:$626,MATCH($A883,'Исходник'!$T:$T,0),MATCH(J$1,'Исходник'!$1:$1,0)))</f>
        <v/>
      </c>
      <c r="K883" s="27" t="str">
        <f t="shared" si="3"/>
        <v/>
      </c>
      <c r="L883" s="1" t="str">
        <f t="array" ref="L883">IFERROR(INDEX('Исходник'!$1:$626,MATCH($A883,'Исходник'!$T:$T,0),MATCH(L$1,'Исходник'!$1:$1,0)))</f>
        <v/>
      </c>
      <c r="M883" s="28">
        <f t="shared" si="4"/>
        <v>0</v>
      </c>
      <c r="N883" s="1" t="str">
        <f t="array" ref="N883">IFERROR(INDEX('Исходник'!$1:$626,MATCH($A883,'Исходник'!$T:$T,0),MATCH(N$1,'Исходник'!$1:$1,0)))</f>
        <v/>
      </c>
      <c r="O883" s="27">
        <f t="shared" si="5"/>
        <v>0</v>
      </c>
      <c r="P883" s="27" t="str">
        <f t="shared" si="6"/>
        <v/>
      </c>
      <c r="Q883" s="1" t="str">
        <f t="array" ref="Q883">IFERROR(INDEX('Исходник'!$1:$626,MATCH($A883,'Исходник'!$T:$T,0),MATCH(Q$1,'Исходник'!$1:$1,0)))</f>
        <v/>
      </c>
      <c r="R883" s="1" t="str">
        <f t="array" ref="R883">IFERROR(INDEX('Исходник'!$1:$626,MATCH($A883,'Исходник'!$T:$T,0),MATCH(R$1,'Исходник'!$1:$1,0)))</f>
        <v/>
      </c>
      <c r="S883" s="27">
        <f t="shared" si="7"/>
        <v>0</v>
      </c>
      <c r="T883" s="27" t="str">
        <f t="shared" si="8"/>
        <v/>
      </c>
      <c r="U883" s="1" t="str">
        <f t="array" ref="U883">IFERROR(INDEX('Исходник'!$1:$626,MATCH($A883,'Исходник'!$T:$T,0),MATCH(U$1,'Исходник'!$1:$1,0)))</f>
        <v/>
      </c>
      <c r="V883" s="27" t="str">
        <f t="shared" si="9"/>
        <v/>
      </c>
      <c r="W883" s="1" t="str">
        <f t="array" ref="W883">IFERROR(INDEX('Исходник'!$1:$626,MATCH($A883,'Исходник'!$T:$T,0),MATCH(W$1,'Исходник'!$1:$1,0)))</f>
        <v/>
      </c>
      <c r="X883" s="28">
        <f t="shared" si="10"/>
        <v>0</v>
      </c>
      <c r="Y883" s="1" t="str">
        <f t="array" ref="Y883">IFERROR(INDEX('Исходник'!$1:$626,MATCH($A883,'Исходник'!$T:$T,0),MATCH(Y$1,'Исходник'!$1:$1,0)))</f>
        <v/>
      </c>
      <c r="Z883" s="27">
        <f t="shared" si="11"/>
        <v>0</v>
      </c>
      <c r="AA883" s="27" t="str">
        <f t="shared" si="12"/>
        <v/>
      </c>
      <c r="AB883" s="1" t="str">
        <f t="array" ref="AB883">IFERROR(INDEX('Исходник'!$1:$626,MATCH($A883,'Исходник'!$T:$T,0),MATCH(AB$1,'Исходник'!$1:$1,0)))</f>
        <v/>
      </c>
      <c r="AC883" s="1" t="str">
        <f t="array" ref="AC883">IFERROR(INDEX('Исходник'!$1:$626,MATCH($A883,'Исходник'!$T:$T,0),MATCH(AC$1,'Исходник'!$1:$1,0)))</f>
        <v/>
      </c>
      <c r="AD883" s="27" t="str">
        <f t="shared" si="13"/>
        <v/>
      </c>
      <c r="AE883" s="1" t="str">
        <f t="array" ref="AE883">IFERROR(INDEX('Исходник'!$1:$626,MATCH($A883,'Исходник'!$T:$T,0),MATCH(AE$1,'Исходник'!$1:$1,0)))</f>
        <v/>
      </c>
      <c r="AF883" s="1" t="str">
        <f t="array" ref="AF883">IFERROR(INDEX('Исходник'!$1:$626,MATCH($A883,'Исходник'!$T:$T,0),MATCH(AF$1,'Исходник'!$1:$1,0)))</f>
        <v/>
      </c>
      <c r="AG883" s="27" t="str">
        <f t="shared" si="14"/>
        <v/>
      </c>
      <c r="AH883" s="1" t="str">
        <f t="array" ref="AH883">IFERROR(INDEX('Исходник'!$1:$626,MATCH($A883,'Исходник'!$T:$T,0),MATCH(AH$1,'Исходник'!$1:$1,0)))</f>
        <v/>
      </c>
      <c r="AI883" s="1" t="str">
        <f t="array" ref="AI883">IFERROR(INDEX('Исходник'!$1:$626,MATCH($A883,'Исходник'!$T:$T,0),MATCH(AI$1,'Исходник'!$1:$1,0)))</f>
        <v/>
      </c>
      <c r="AJ883" s="18">
        <f t="shared" si="15"/>
        <v>0</v>
      </c>
    </row>
    <row r="884" ht="15.75" customHeight="1">
      <c r="A884" s="27"/>
      <c r="B884" s="1" t="str">
        <f t="array" ref="B884">IFERROR(INDEX('Исходник'!$1:$626,MATCH($A884,'Исходник'!$T:$T,0),MATCH(B$1,'Исходник'!$1:$1,0)))</f>
        <v/>
      </c>
      <c r="C884" s="1" t="str">
        <f t="array" ref="C884">IFERROR(INDEX('Исходник'!$1:$626,MATCH($A884,'Исходник'!$T:$T,0),MATCH(C$1,'Исходник'!$1:$1,0)))</f>
        <v/>
      </c>
      <c r="D884" s="1" t="str">
        <f t="array" ref="D884">IFERROR(INDEX('Исходник'!$1:$626,MATCH($A884,'Исходник'!$T:$T,0),MATCH(D$1,'Исходник'!$1:$1,0)))</f>
        <v/>
      </c>
      <c r="E884" s="1" t="str">
        <f t="array" ref="E884">IFERROR(INDEX('Исходник'!$1:$626,MATCH($A884,'Исходник'!$T:$T,0),MATCH(E$1,'Исходник'!$1:$1,0)))</f>
        <v/>
      </c>
      <c r="F884" s="1" t="str">
        <f t="array" ref="F884">IFERROR(INDEX('Исходник'!$1:$626,MATCH($A884,'Исходник'!$T:$T,0),MATCH(F$1,'Исходник'!$1:$1,0)))</f>
        <v/>
      </c>
      <c r="G884" s="1" t="str">
        <f t="array" ref="G884">IFERROR(INDEX('Исходник'!$1:$626,MATCH($A884,'Исходник'!$T:$T,0),MATCH(G$1,'Исходник'!$1:$1,0)))</f>
        <v/>
      </c>
      <c r="H884" s="27">
        <f t="shared" si="1"/>
        <v>0</v>
      </c>
      <c r="I884" s="27" t="str">
        <f t="shared" si="2"/>
        <v/>
      </c>
      <c r="J884" s="1" t="str">
        <f t="array" ref="J884">IFERROR(INDEX('Исходник'!$1:$626,MATCH($A884,'Исходник'!$T:$T,0),MATCH(J$1,'Исходник'!$1:$1,0)))</f>
        <v/>
      </c>
      <c r="K884" s="27" t="str">
        <f t="shared" si="3"/>
        <v/>
      </c>
      <c r="L884" s="1" t="str">
        <f t="array" ref="L884">IFERROR(INDEX('Исходник'!$1:$626,MATCH($A884,'Исходник'!$T:$T,0),MATCH(L$1,'Исходник'!$1:$1,0)))</f>
        <v/>
      </c>
      <c r="M884" s="28">
        <f t="shared" si="4"/>
        <v>0</v>
      </c>
      <c r="N884" s="1" t="str">
        <f t="array" ref="N884">IFERROR(INDEX('Исходник'!$1:$626,MATCH($A884,'Исходник'!$T:$T,0),MATCH(N$1,'Исходник'!$1:$1,0)))</f>
        <v/>
      </c>
      <c r="O884" s="27">
        <f t="shared" si="5"/>
        <v>0</v>
      </c>
      <c r="P884" s="27" t="str">
        <f t="shared" si="6"/>
        <v/>
      </c>
      <c r="Q884" s="1" t="str">
        <f t="array" ref="Q884">IFERROR(INDEX('Исходник'!$1:$626,MATCH($A884,'Исходник'!$T:$T,0),MATCH(Q$1,'Исходник'!$1:$1,0)))</f>
        <v/>
      </c>
      <c r="R884" s="1" t="str">
        <f t="array" ref="R884">IFERROR(INDEX('Исходник'!$1:$626,MATCH($A884,'Исходник'!$T:$T,0),MATCH(R$1,'Исходник'!$1:$1,0)))</f>
        <v/>
      </c>
      <c r="S884" s="27">
        <f t="shared" si="7"/>
        <v>0</v>
      </c>
      <c r="T884" s="27" t="str">
        <f t="shared" si="8"/>
        <v/>
      </c>
      <c r="U884" s="1" t="str">
        <f t="array" ref="U884">IFERROR(INDEX('Исходник'!$1:$626,MATCH($A884,'Исходник'!$T:$T,0),MATCH(U$1,'Исходник'!$1:$1,0)))</f>
        <v/>
      </c>
      <c r="V884" s="27" t="str">
        <f t="shared" si="9"/>
        <v/>
      </c>
      <c r="W884" s="1" t="str">
        <f t="array" ref="W884">IFERROR(INDEX('Исходник'!$1:$626,MATCH($A884,'Исходник'!$T:$T,0),MATCH(W$1,'Исходник'!$1:$1,0)))</f>
        <v/>
      </c>
      <c r="X884" s="28">
        <f t="shared" si="10"/>
        <v>0</v>
      </c>
      <c r="Y884" s="1" t="str">
        <f t="array" ref="Y884">IFERROR(INDEX('Исходник'!$1:$626,MATCH($A884,'Исходник'!$T:$T,0),MATCH(Y$1,'Исходник'!$1:$1,0)))</f>
        <v/>
      </c>
      <c r="Z884" s="27">
        <f t="shared" si="11"/>
        <v>0</v>
      </c>
      <c r="AA884" s="27" t="str">
        <f t="shared" si="12"/>
        <v/>
      </c>
      <c r="AB884" s="1" t="str">
        <f t="array" ref="AB884">IFERROR(INDEX('Исходник'!$1:$626,MATCH($A884,'Исходник'!$T:$T,0),MATCH(AB$1,'Исходник'!$1:$1,0)))</f>
        <v/>
      </c>
      <c r="AC884" s="1" t="str">
        <f t="array" ref="AC884">IFERROR(INDEX('Исходник'!$1:$626,MATCH($A884,'Исходник'!$T:$T,0),MATCH(AC$1,'Исходник'!$1:$1,0)))</f>
        <v/>
      </c>
      <c r="AD884" s="27" t="str">
        <f t="shared" si="13"/>
        <v/>
      </c>
      <c r="AE884" s="1" t="str">
        <f t="array" ref="AE884">IFERROR(INDEX('Исходник'!$1:$626,MATCH($A884,'Исходник'!$T:$T,0),MATCH(AE$1,'Исходник'!$1:$1,0)))</f>
        <v/>
      </c>
      <c r="AF884" s="1" t="str">
        <f t="array" ref="AF884">IFERROR(INDEX('Исходник'!$1:$626,MATCH($A884,'Исходник'!$T:$T,0),MATCH(AF$1,'Исходник'!$1:$1,0)))</f>
        <v/>
      </c>
      <c r="AG884" s="27" t="str">
        <f t="shared" si="14"/>
        <v/>
      </c>
      <c r="AH884" s="1" t="str">
        <f t="array" ref="AH884">IFERROR(INDEX('Исходник'!$1:$626,MATCH($A884,'Исходник'!$T:$T,0),MATCH(AH$1,'Исходник'!$1:$1,0)))</f>
        <v/>
      </c>
      <c r="AI884" s="1" t="str">
        <f t="array" ref="AI884">IFERROR(INDEX('Исходник'!$1:$626,MATCH($A884,'Исходник'!$T:$T,0),MATCH(AI$1,'Исходник'!$1:$1,0)))</f>
        <v/>
      </c>
      <c r="AJ884" s="18">
        <f t="shared" si="15"/>
        <v>0</v>
      </c>
    </row>
    <row r="885" ht="15.75" customHeight="1">
      <c r="A885" s="27"/>
      <c r="B885" s="1" t="str">
        <f t="array" ref="B885">IFERROR(INDEX('Исходник'!$1:$626,MATCH($A885,'Исходник'!$T:$T,0),MATCH(B$1,'Исходник'!$1:$1,0)))</f>
        <v/>
      </c>
      <c r="C885" s="1" t="str">
        <f t="array" ref="C885">IFERROR(INDEX('Исходник'!$1:$626,MATCH($A885,'Исходник'!$T:$T,0),MATCH(C$1,'Исходник'!$1:$1,0)))</f>
        <v/>
      </c>
      <c r="D885" s="1" t="str">
        <f t="array" ref="D885">IFERROR(INDEX('Исходник'!$1:$626,MATCH($A885,'Исходник'!$T:$T,0),MATCH(D$1,'Исходник'!$1:$1,0)))</f>
        <v/>
      </c>
      <c r="E885" s="1" t="str">
        <f t="array" ref="E885">IFERROR(INDEX('Исходник'!$1:$626,MATCH($A885,'Исходник'!$T:$T,0),MATCH(E$1,'Исходник'!$1:$1,0)))</f>
        <v/>
      </c>
      <c r="F885" s="1" t="str">
        <f t="array" ref="F885">IFERROR(INDEX('Исходник'!$1:$626,MATCH($A885,'Исходник'!$T:$T,0),MATCH(F$1,'Исходник'!$1:$1,0)))</f>
        <v/>
      </c>
      <c r="G885" s="1" t="str">
        <f t="array" ref="G885">IFERROR(INDEX('Исходник'!$1:$626,MATCH($A885,'Исходник'!$T:$T,0),MATCH(G$1,'Исходник'!$1:$1,0)))</f>
        <v/>
      </c>
      <c r="H885" s="27">
        <f t="shared" si="1"/>
        <v>0</v>
      </c>
      <c r="I885" s="27" t="str">
        <f t="shared" si="2"/>
        <v/>
      </c>
      <c r="J885" s="1" t="str">
        <f t="array" ref="J885">IFERROR(INDEX('Исходник'!$1:$626,MATCH($A885,'Исходник'!$T:$T,0),MATCH(J$1,'Исходник'!$1:$1,0)))</f>
        <v/>
      </c>
      <c r="K885" s="27" t="str">
        <f t="shared" si="3"/>
        <v/>
      </c>
      <c r="L885" s="1" t="str">
        <f t="array" ref="L885">IFERROR(INDEX('Исходник'!$1:$626,MATCH($A885,'Исходник'!$T:$T,0),MATCH(L$1,'Исходник'!$1:$1,0)))</f>
        <v/>
      </c>
      <c r="M885" s="28">
        <f t="shared" si="4"/>
        <v>0</v>
      </c>
      <c r="N885" s="1" t="str">
        <f t="array" ref="N885">IFERROR(INDEX('Исходник'!$1:$626,MATCH($A885,'Исходник'!$T:$T,0),MATCH(N$1,'Исходник'!$1:$1,0)))</f>
        <v/>
      </c>
      <c r="O885" s="27">
        <f t="shared" si="5"/>
        <v>0</v>
      </c>
      <c r="P885" s="27" t="str">
        <f t="shared" si="6"/>
        <v/>
      </c>
      <c r="Q885" s="1" t="str">
        <f t="array" ref="Q885">IFERROR(INDEX('Исходник'!$1:$626,MATCH($A885,'Исходник'!$T:$T,0),MATCH(Q$1,'Исходник'!$1:$1,0)))</f>
        <v/>
      </c>
      <c r="R885" s="1" t="str">
        <f t="array" ref="R885">IFERROR(INDEX('Исходник'!$1:$626,MATCH($A885,'Исходник'!$T:$T,0),MATCH(R$1,'Исходник'!$1:$1,0)))</f>
        <v/>
      </c>
      <c r="S885" s="27">
        <f t="shared" si="7"/>
        <v>0</v>
      </c>
      <c r="T885" s="27" t="str">
        <f t="shared" si="8"/>
        <v/>
      </c>
      <c r="U885" s="1" t="str">
        <f t="array" ref="U885">IFERROR(INDEX('Исходник'!$1:$626,MATCH($A885,'Исходник'!$T:$T,0),MATCH(U$1,'Исходник'!$1:$1,0)))</f>
        <v/>
      </c>
      <c r="V885" s="27" t="str">
        <f t="shared" si="9"/>
        <v/>
      </c>
      <c r="W885" s="1" t="str">
        <f t="array" ref="W885">IFERROR(INDEX('Исходник'!$1:$626,MATCH($A885,'Исходник'!$T:$T,0),MATCH(W$1,'Исходник'!$1:$1,0)))</f>
        <v/>
      </c>
      <c r="X885" s="28">
        <f t="shared" si="10"/>
        <v>0</v>
      </c>
      <c r="Y885" s="1" t="str">
        <f t="array" ref="Y885">IFERROR(INDEX('Исходник'!$1:$626,MATCH($A885,'Исходник'!$T:$T,0),MATCH(Y$1,'Исходник'!$1:$1,0)))</f>
        <v/>
      </c>
      <c r="Z885" s="27">
        <f t="shared" si="11"/>
        <v>0</v>
      </c>
      <c r="AA885" s="27" t="str">
        <f t="shared" si="12"/>
        <v/>
      </c>
      <c r="AB885" s="1" t="str">
        <f t="array" ref="AB885">IFERROR(INDEX('Исходник'!$1:$626,MATCH($A885,'Исходник'!$T:$T,0),MATCH(AB$1,'Исходник'!$1:$1,0)))</f>
        <v/>
      </c>
      <c r="AC885" s="1" t="str">
        <f t="array" ref="AC885">IFERROR(INDEX('Исходник'!$1:$626,MATCH($A885,'Исходник'!$T:$T,0),MATCH(AC$1,'Исходник'!$1:$1,0)))</f>
        <v/>
      </c>
      <c r="AD885" s="27" t="str">
        <f t="shared" si="13"/>
        <v/>
      </c>
      <c r="AE885" s="1" t="str">
        <f t="array" ref="AE885">IFERROR(INDEX('Исходник'!$1:$626,MATCH($A885,'Исходник'!$T:$T,0),MATCH(AE$1,'Исходник'!$1:$1,0)))</f>
        <v/>
      </c>
      <c r="AF885" s="1" t="str">
        <f t="array" ref="AF885">IFERROR(INDEX('Исходник'!$1:$626,MATCH($A885,'Исходник'!$T:$T,0),MATCH(AF$1,'Исходник'!$1:$1,0)))</f>
        <v/>
      </c>
      <c r="AG885" s="27" t="str">
        <f t="shared" si="14"/>
        <v/>
      </c>
      <c r="AH885" s="1" t="str">
        <f t="array" ref="AH885">IFERROR(INDEX('Исходник'!$1:$626,MATCH($A885,'Исходник'!$T:$T,0),MATCH(AH$1,'Исходник'!$1:$1,0)))</f>
        <v/>
      </c>
      <c r="AI885" s="1" t="str">
        <f t="array" ref="AI885">IFERROR(INDEX('Исходник'!$1:$626,MATCH($A885,'Исходник'!$T:$T,0),MATCH(AI$1,'Исходник'!$1:$1,0)))</f>
        <v/>
      </c>
      <c r="AJ885" s="18">
        <f t="shared" si="15"/>
        <v>0</v>
      </c>
    </row>
    <row r="886" ht="15.75" customHeight="1">
      <c r="A886" s="27"/>
      <c r="B886" s="1" t="str">
        <f t="array" ref="B886">IFERROR(INDEX('Исходник'!$1:$626,MATCH($A886,'Исходник'!$T:$T,0),MATCH(B$1,'Исходник'!$1:$1,0)))</f>
        <v/>
      </c>
      <c r="C886" s="1" t="str">
        <f t="array" ref="C886">IFERROR(INDEX('Исходник'!$1:$626,MATCH($A886,'Исходник'!$T:$T,0),MATCH(C$1,'Исходник'!$1:$1,0)))</f>
        <v/>
      </c>
      <c r="D886" s="1" t="str">
        <f t="array" ref="D886">IFERROR(INDEX('Исходник'!$1:$626,MATCH($A886,'Исходник'!$T:$T,0),MATCH(D$1,'Исходник'!$1:$1,0)))</f>
        <v/>
      </c>
      <c r="E886" s="1" t="str">
        <f t="array" ref="E886">IFERROR(INDEX('Исходник'!$1:$626,MATCH($A886,'Исходник'!$T:$T,0),MATCH(E$1,'Исходник'!$1:$1,0)))</f>
        <v/>
      </c>
      <c r="F886" s="1" t="str">
        <f t="array" ref="F886">IFERROR(INDEX('Исходник'!$1:$626,MATCH($A886,'Исходник'!$T:$T,0),MATCH(F$1,'Исходник'!$1:$1,0)))</f>
        <v/>
      </c>
      <c r="G886" s="1" t="str">
        <f t="array" ref="G886">IFERROR(INDEX('Исходник'!$1:$626,MATCH($A886,'Исходник'!$T:$T,0),MATCH(G$1,'Исходник'!$1:$1,0)))</f>
        <v/>
      </c>
      <c r="H886" s="27">
        <f t="shared" si="1"/>
        <v>0</v>
      </c>
      <c r="I886" s="27" t="str">
        <f t="shared" si="2"/>
        <v/>
      </c>
      <c r="J886" s="1" t="str">
        <f t="array" ref="J886">IFERROR(INDEX('Исходник'!$1:$626,MATCH($A886,'Исходник'!$T:$T,0),MATCH(J$1,'Исходник'!$1:$1,0)))</f>
        <v/>
      </c>
      <c r="K886" s="27" t="str">
        <f t="shared" si="3"/>
        <v/>
      </c>
      <c r="L886" s="1" t="str">
        <f t="array" ref="L886">IFERROR(INDEX('Исходник'!$1:$626,MATCH($A886,'Исходник'!$T:$T,0),MATCH(L$1,'Исходник'!$1:$1,0)))</f>
        <v/>
      </c>
      <c r="M886" s="28">
        <f t="shared" si="4"/>
        <v>0</v>
      </c>
      <c r="N886" s="1" t="str">
        <f t="array" ref="N886">IFERROR(INDEX('Исходник'!$1:$626,MATCH($A886,'Исходник'!$T:$T,0),MATCH(N$1,'Исходник'!$1:$1,0)))</f>
        <v/>
      </c>
      <c r="O886" s="27">
        <f t="shared" si="5"/>
        <v>0</v>
      </c>
      <c r="P886" s="27" t="str">
        <f t="shared" si="6"/>
        <v/>
      </c>
      <c r="Q886" s="1" t="str">
        <f t="array" ref="Q886">IFERROR(INDEX('Исходник'!$1:$626,MATCH($A886,'Исходник'!$T:$T,0),MATCH(Q$1,'Исходник'!$1:$1,0)))</f>
        <v/>
      </c>
      <c r="R886" s="1" t="str">
        <f t="array" ref="R886">IFERROR(INDEX('Исходник'!$1:$626,MATCH($A886,'Исходник'!$T:$T,0),MATCH(R$1,'Исходник'!$1:$1,0)))</f>
        <v/>
      </c>
      <c r="S886" s="27">
        <f t="shared" si="7"/>
        <v>0</v>
      </c>
      <c r="T886" s="27" t="str">
        <f t="shared" si="8"/>
        <v/>
      </c>
      <c r="U886" s="1" t="str">
        <f t="array" ref="U886">IFERROR(INDEX('Исходник'!$1:$626,MATCH($A886,'Исходник'!$T:$T,0),MATCH(U$1,'Исходник'!$1:$1,0)))</f>
        <v/>
      </c>
      <c r="V886" s="27" t="str">
        <f t="shared" si="9"/>
        <v/>
      </c>
      <c r="W886" s="1" t="str">
        <f t="array" ref="W886">IFERROR(INDEX('Исходник'!$1:$626,MATCH($A886,'Исходник'!$T:$T,0),MATCH(W$1,'Исходник'!$1:$1,0)))</f>
        <v/>
      </c>
      <c r="X886" s="28">
        <f t="shared" si="10"/>
        <v>0</v>
      </c>
      <c r="Y886" s="1" t="str">
        <f t="array" ref="Y886">IFERROR(INDEX('Исходник'!$1:$626,MATCH($A886,'Исходник'!$T:$T,0),MATCH(Y$1,'Исходник'!$1:$1,0)))</f>
        <v/>
      </c>
      <c r="Z886" s="27">
        <f t="shared" si="11"/>
        <v>0</v>
      </c>
      <c r="AA886" s="27" t="str">
        <f t="shared" si="12"/>
        <v/>
      </c>
      <c r="AB886" s="1" t="str">
        <f t="array" ref="AB886">IFERROR(INDEX('Исходник'!$1:$626,MATCH($A886,'Исходник'!$T:$T,0),MATCH(AB$1,'Исходник'!$1:$1,0)))</f>
        <v/>
      </c>
      <c r="AC886" s="1" t="str">
        <f t="array" ref="AC886">IFERROR(INDEX('Исходник'!$1:$626,MATCH($A886,'Исходник'!$T:$T,0),MATCH(AC$1,'Исходник'!$1:$1,0)))</f>
        <v/>
      </c>
      <c r="AD886" s="27" t="str">
        <f t="shared" si="13"/>
        <v/>
      </c>
      <c r="AE886" s="1" t="str">
        <f t="array" ref="AE886">IFERROR(INDEX('Исходник'!$1:$626,MATCH($A886,'Исходник'!$T:$T,0),MATCH(AE$1,'Исходник'!$1:$1,0)))</f>
        <v/>
      </c>
      <c r="AF886" s="1" t="str">
        <f t="array" ref="AF886">IFERROR(INDEX('Исходник'!$1:$626,MATCH($A886,'Исходник'!$T:$T,0),MATCH(AF$1,'Исходник'!$1:$1,0)))</f>
        <v/>
      </c>
      <c r="AG886" s="27" t="str">
        <f t="shared" si="14"/>
        <v/>
      </c>
      <c r="AH886" s="1" t="str">
        <f t="array" ref="AH886">IFERROR(INDEX('Исходник'!$1:$626,MATCH($A886,'Исходник'!$T:$T,0),MATCH(AH$1,'Исходник'!$1:$1,0)))</f>
        <v/>
      </c>
      <c r="AI886" s="1" t="str">
        <f t="array" ref="AI886">IFERROR(INDEX('Исходник'!$1:$626,MATCH($A886,'Исходник'!$T:$T,0),MATCH(AI$1,'Исходник'!$1:$1,0)))</f>
        <v/>
      </c>
      <c r="AJ886" s="18">
        <f t="shared" si="15"/>
        <v>0</v>
      </c>
    </row>
    <row r="887" ht="15.75" customHeight="1">
      <c r="A887" s="27"/>
      <c r="B887" s="1" t="str">
        <f t="array" ref="B887">IFERROR(INDEX('Исходник'!$1:$626,MATCH($A887,'Исходник'!$T:$T,0),MATCH(B$1,'Исходник'!$1:$1,0)))</f>
        <v/>
      </c>
      <c r="C887" s="1" t="str">
        <f t="array" ref="C887">IFERROR(INDEX('Исходник'!$1:$626,MATCH($A887,'Исходник'!$T:$T,0),MATCH(C$1,'Исходник'!$1:$1,0)))</f>
        <v/>
      </c>
      <c r="D887" s="1" t="str">
        <f t="array" ref="D887">IFERROR(INDEX('Исходник'!$1:$626,MATCH($A887,'Исходник'!$T:$T,0),MATCH(D$1,'Исходник'!$1:$1,0)))</f>
        <v/>
      </c>
      <c r="E887" s="1" t="str">
        <f t="array" ref="E887">IFERROR(INDEX('Исходник'!$1:$626,MATCH($A887,'Исходник'!$T:$T,0),MATCH(E$1,'Исходник'!$1:$1,0)))</f>
        <v/>
      </c>
      <c r="F887" s="1" t="str">
        <f t="array" ref="F887">IFERROR(INDEX('Исходник'!$1:$626,MATCH($A887,'Исходник'!$T:$T,0),MATCH(F$1,'Исходник'!$1:$1,0)))</f>
        <v/>
      </c>
      <c r="G887" s="1" t="str">
        <f t="array" ref="G887">IFERROR(INDEX('Исходник'!$1:$626,MATCH($A887,'Исходник'!$T:$T,0),MATCH(G$1,'Исходник'!$1:$1,0)))</f>
        <v/>
      </c>
      <c r="H887" s="27">
        <f t="shared" si="1"/>
        <v>0</v>
      </c>
      <c r="I887" s="27" t="str">
        <f t="shared" si="2"/>
        <v/>
      </c>
      <c r="J887" s="1" t="str">
        <f t="array" ref="J887">IFERROR(INDEX('Исходник'!$1:$626,MATCH($A887,'Исходник'!$T:$T,0),MATCH(J$1,'Исходник'!$1:$1,0)))</f>
        <v/>
      </c>
      <c r="K887" s="27" t="str">
        <f t="shared" si="3"/>
        <v/>
      </c>
      <c r="L887" s="1" t="str">
        <f t="array" ref="L887">IFERROR(INDEX('Исходник'!$1:$626,MATCH($A887,'Исходник'!$T:$T,0),MATCH(L$1,'Исходник'!$1:$1,0)))</f>
        <v/>
      </c>
      <c r="M887" s="28">
        <f t="shared" si="4"/>
        <v>0</v>
      </c>
      <c r="N887" s="1" t="str">
        <f t="array" ref="N887">IFERROR(INDEX('Исходник'!$1:$626,MATCH($A887,'Исходник'!$T:$T,0),MATCH(N$1,'Исходник'!$1:$1,0)))</f>
        <v/>
      </c>
      <c r="O887" s="27">
        <f t="shared" si="5"/>
        <v>0</v>
      </c>
      <c r="P887" s="27" t="str">
        <f t="shared" si="6"/>
        <v/>
      </c>
      <c r="Q887" s="1" t="str">
        <f t="array" ref="Q887">IFERROR(INDEX('Исходник'!$1:$626,MATCH($A887,'Исходник'!$T:$T,0),MATCH(Q$1,'Исходник'!$1:$1,0)))</f>
        <v/>
      </c>
      <c r="R887" s="1" t="str">
        <f t="array" ref="R887">IFERROR(INDEX('Исходник'!$1:$626,MATCH($A887,'Исходник'!$T:$T,0),MATCH(R$1,'Исходник'!$1:$1,0)))</f>
        <v/>
      </c>
      <c r="S887" s="27">
        <f t="shared" si="7"/>
        <v>0</v>
      </c>
      <c r="T887" s="27" t="str">
        <f t="shared" si="8"/>
        <v/>
      </c>
      <c r="U887" s="1" t="str">
        <f t="array" ref="U887">IFERROR(INDEX('Исходник'!$1:$626,MATCH($A887,'Исходник'!$T:$T,0),MATCH(U$1,'Исходник'!$1:$1,0)))</f>
        <v/>
      </c>
      <c r="V887" s="27" t="str">
        <f t="shared" si="9"/>
        <v/>
      </c>
      <c r="W887" s="1" t="str">
        <f t="array" ref="W887">IFERROR(INDEX('Исходник'!$1:$626,MATCH($A887,'Исходник'!$T:$T,0),MATCH(W$1,'Исходник'!$1:$1,0)))</f>
        <v/>
      </c>
      <c r="X887" s="28">
        <f t="shared" si="10"/>
        <v>0</v>
      </c>
      <c r="Y887" s="1" t="str">
        <f t="array" ref="Y887">IFERROR(INDEX('Исходник'!$1:$626,MATCH($A887,'Исходник'!$T:$T,0),MATCH(Y$1,'Исходник'!$1:$1,0)))</f>
        <v/>
      </c>
      <c r="Z887" s="27">
        <f t="shared" si="11"/>
        <v>0</v>
      </c>
      <c r="AA887" s="27" t="str">
        <f t="shared" si="12"/>
        <v/>
      </c>
      <c r="AB887" s="1" t="str">
        <f t="array" ref="AB887">IFERROR(INDEX('Исходник'!$1:$626,MATCH($A887,'Исходник'!$T:$T,0),MATCH(AB$1,'Исходник'!$1:$1,0)))</f>
        <v/>
      </c>
      <c r="AC887" s="1" t="str">
        <f t="array" ref="AC887">IFERROR(INDEX('Исходник'!$1:$626,MATCH($A887,'Исходник'!$T:$T,0),MATCH(AC$1,'Исходник'!$1:$1,0)))</f>
        <v/>
      </c>
      <c r="AD887" s="27" t="str">
        <f t="shared" si="13"/>
        <v/>
      </c>
      <c r="AE887" s="1" t="str">
        <f t="array" ref="AE887">IFERROR(INDEX('Исходник'!$1:$626,MATCH($A887,'Исходник'!$T:$T,0),MATCH(AE$1,'Исходник'!$1:$1,0)))</f>
        <v/>
      </c>
      <c r="AF887" s="1" t="str">
        <f t="array" ref="AF887">IFERROR(INDEX('Исходник'!$1:$626,MATCH($A887,'Исходник'!$T:$T,0),MATCH(AF$1,'Исходник'!$1:$1,0)))</f>
        <v/>
      </c>
      <c r="AG887" s="27" t="str">
        <f t="shared" si="14"/>
        <v/>
      </c>
      <c r="AH887" s="1" t="str">
        <f t="array" ref="AH887">IFERROR(INDEX('Исходник'!$1:$626,MATCH($A887,'Исходник'!$T:$T,0),MATCH(AH$1,'Исходник'!$1:$1,0)))</f>
        <v/>
      </c>
      <c r="AI887" s="1" t="str">
        <f t="array" ref="AI887">IFERROR(INDEX('Исходник'!$1:$626,MATCH($A887,'Исходник'!$T:$T,0),MATCH(AI$1,'Исходник'!$1:$1,0)))</f>
        <v/>
      </c>
      <c r="AJ887" s="18">
        <f t="shared" si="15"/>
        <v>0</v>
      </c>
    </row>
    <row r="888" ht="15.75" customHeight="1">
      <c r="A888" s="27"/>
      <c r="B888" s="1" t="str">
        <f t="array" ref="B888">IFERROR(INDEX('Исходник'!$1:$626,MATCH($A888,'Исходник'!$T:$T,0),MATCH(B$1,'Исходник'!$1:$1,0)))</f>
        <v/>
      </c>
      <c r="C888" s="1" t="str">
        <f t="array" ref="C888">IFERROR(INDEX('Исходник'!$1:$626,MATCH($A888,'Исходник'!$T:$T,0),MATCH(C$1,'Исходник'!$1:$1,0)))</f>
        <v/>
      </c>
      <c r="D888" s="1" t="str">
        <f t="array" ref="D888">IFERROR(INDEX('Исходник'!$1:$626,MATCH($A888,'Исходник'!$T:$T,0),MATCH(D$1,'Исходник'!$1:$1,0)))</f>
        <v/>
      </c>
      <c r="E888" s="1" t="str">
        <f t="array" ref="E888">IFERROR(INDEX('Исходник'!$1:$626,MATCH($A888,'Исходник'!$T:$T,0),MATCH(E$1,'Исходник'!$1:$1,0)))</f>
        <v/>
      </c>
      <c r="F888" s="1" t="str">
        <f t="array" ref="F888">IFERROR(INDEX('Исходник'!$1:$626,MATCH($A888,'Исходник'!$T:$T,0),MATCH(F$1,'Исходник'!$1:$1,0)))</f>
        <v/>
      </c>
      <c r="G888" s="1" t="str">
        <f t="array" ref="G888">IFERROR(INDEX('Исходник'!$1:$626,MATCH($A888,'Исходник'!$T:$T,0),MATCH(G$1,'Исходник'!$1:$1,0)))</f>
        <v/>
      </c>
      <c r="H888" s="27">
        <f t="shared" si="1"/>
        <v>0</v>
      </c>
      <c r="I888" s="27" t="str">
        <f t="shared" si="2"/>
        <v/>
      </c>
      <c r="J888" s="1" t="str">
        <f t="array" ref="J888">IFERROR(INDEX('Исходник'!$1:$626,MATCH($A888,'Исходник'!$T:$T,0),MATCH(J$1,'Исходник'!$1:$1,0)))</f>
        <v/>
      </c>
      <c r="K888" s="27" t="str">
        <f t="shared" si="3"/>
        <v/>
      </c>
      <c r="L888" s="1" t="str">
        <f t="array" ref="L888">IFERROR(INDEX('Исходник'!$1:$626,MATCH($A888,'Исходник'!$T:$T,0),MATCH(L$1,'Исходник'!$1:$1,0)))</f>
        <v/>
      </c>
      <c r="M888" s="28">
        <f t="shared" si="4"/>
        <v>0</v>
      </c>
      <c r="N888" s="1" t="str">
        <f t="array" ref="N888">IFERROR(INDEX('Исходник'!$1:$626,MATCH($A888,'Исходник'!$T:$T,0),MATCH(N$1,'Исходник'!$1:$1,0)))</f>
        <v/>
      </c>
      <c r="O888" s="27">
        <f t="shared" si="5"/>
        <v>0</v>
      </c>
      <c r="P888" s="27" t="str">
        <f t="shared" si="6"/>
        <v/>
      </c>
      <c r="Q888" s="1" t="str">
        <f t="array" ref="Q888">IFERROR(INDEX('Исходник'!$1:$626,MATCH($A888,'Исходник'!$T:$T,0),MATCH(Q$1,'Исходник'!$1:$1,0)))</f>
        <v/>
      </c>
      <c r="R888" s="1" t="str">
        <f t="array" ref="R888">IFERROR(INDEX('Исходник'!$1:$626,MATCH($A888,'Исходник'!$T:$T,0),MATCH(R$1,'Исходник'!$1:$1,0)))</f>
        <v/>
      </c>
      <c r="S888" s="27">
        <f t="shared" si="7"/>
        <v>0</v>
      </c>
      <c r="T888" s="27" t="str">
        <f t="shared" si="8"/>
        <v/>
      </c>
      <c r="U888" s="1" t="str">
        <f t="array" ref="U888">IFERROR(INDEX('Исходник'!$1:$626,MATCH($A888,'Исходник'!$T:$T,0),MATCH(U$1,'Исходник'!$1:$1,0)))</f>
        <v/>
      </c>
      <c r="V888" s="27" t="str">
        <f t="shared" si="9"/>
        <v/>
      </c>
      <c r="W888" s="1" t="str">
        <f t="array" ref="W888">IFERROR(INDEX('Исходник'!$1:$626,MATCH($A888,'Исходник'!$T:$T,0),MATCH(W$1,'Исходник'!$1:$1,0)))</f>
        <v/>
      </c>
      <c r="X888" s="28">
        <f t="shared" si="10"/>
        <v>0</v>
      </c>
      <c r="Y888" s="1" t="str">
        <f t="array" ref="Y888">IFERROR(INDEX('Исходник'!$1:$626,MATCH($A888,'Исходник'!$T:$T,0),MATCH(Y$1,'Исходник'!$1:$1,0)))</f>
        <v/>
      </c>
      <c r="Z888" s="27">
        <f t="shared" si="11"/>
        <v>0</v>
      </c>
      <c r="AA888" s="27" t="str">
        <f t="shared" si="12"/>
        <v/>
      </c>
      <c r="AB888" s="1" t="str">
        <f t="array" ref="AB888">IFERROR(INDEX('Исходник'!$1:$626,MATCH($A888,'Исходник'!$T:$T,0),MATCH(AB$1,'Исходник'!$1:$1,0)))</f>
        <v/>
      </c>
      <c r="AC888" s="1" t="str">
        <f t="array" ref="AC888">IFERROR(INDEX('Исходник'!$1:$626,MATCH($A888,'Исходник'!$T:$T,0),MATCH(AC$1,'Исходник'!$1:$1,0)))</f>
        <v/>
      </c>
      <c r="AD888" s="27" t="str">
        <f t="shared" si="13"/>
        <v/>
      </c>
      <c r="AE888" s="1" t="str">
        <f t="array" ref="AE888">IFERROR(INDEX('Исходник'!$1:$626,MATCH($A888,'Исходник'!$T:$T,0),MATCH(AE$1,'Исходник'!$1:$1,0)))</f>
        <v/>
      </c>
      <c r="AF888" s="1" t="str">
        <f t="array" ref="AF888">IFERROR(INDEX('Исходник'!$1:$626,MATCH($A888,'Исходник'!$T:$T,0),MATCH(AF$1,'Исходник'!$1:$1,0)))</f>
        <v/>
      </c>
      <c r="AG888" s="27" t="str">
        <f t="shared" si="14"/>
        <v/>
      </c>
      <c r="AH888" s="1" t="str">
        <f t="array" ref="AH888">IFERROR(INDEX('Исходник'!$1:$626,MATCH($A888,'Исходник'!$T:$T,0),MATCH(AH$1,'Исходник'!$1:$1,0)))</f>
        <v/>
      </c>
      <c r="AI888" s="1" t="str">
        <f t="array" ref="AI888">IFERROR(INDEX('Исходник'!$1:$626,MATCH($A888,'Исходник'!$T:$T,0),MATCH(AI$1,'Исходник'!$1:$1,0)))</f>
        <v/>
      </c>
      <c r="AJ888" s="18">
        <f t="shared" si="15"/>
        <v>0</v>
      </c>
    </row>
    <row r="889" ht="15.75" customHeight="1">
      <c r="A889" s="27"/>
      <c r="B889" s="1" t="str">
        <f t="array" ref="B889">IFERROR(INDEX('Исходник'!$1:$626,MATCH($A889,'Исходник'!$T:$T,0),MATCH(B$1,'Исходник'!$1:$1,0)))</f>
        <v/>
      </c>
      <c r="C889" s="1" t="str">
        <f t="array" ref="C889">IFERROR(INDEX('Исходник'!$1:$626,MATCH($A889,'Исходник'!$T:$T,0),MATCH(C$1,'Исходник'!$1:$1,0)))</f>
        <v/>
      </c>
      <c r="D889" s="1" t="str">
        <f t="array" ref="D889">IFERROR(INDEX('Исходник'!$1:$626,MATCH($A889,'Исходник'!$T:$T,0),MATCH(D$1,'Исходник'!$1:$1,0)))</f>
        <v/>
      </c>
      <c r="E889" s="1" t="str">
        <f t="array" ref="E889">IFERROR(INDEX('Исходник'!$1:$626,MATCH($A889,'Исходник'!$T:$T,0),MATCH(E$1,'Исходник'!$1:$1,0)))</f>
        <v/>
      </c>
      <c r="F889" s="1" t="str">
        <f t="array" ref="F889">IFERROR(INDEX('Исходник'!$1:$626,MATCH($A889,'Исходник'!$T:$T,0),MATCH(F$1,'Исходник'!$1:$1,0)))</f>
        <v/>
      </c>
      <c r="G889" s="1" t="str">
        <f t="array" ref="G889">IFERROR(INDEX('Исходник'!$1:$626,MATCH($A889,'Исходник'!$T:$T,0),MATCH(G$1,'Исходник'!$1:$1,0)))</f>
        <v/>
      </c>
      <c r="H889" s="27">
        <f t="shared" si="1"/>
        <v>0</v>
      </c>
      <c r="I889" s="27" t="str">
        <f t="shared" si="2"/>
        <v/>
      </c>
      <c r="J889" s="1" t="str">
        <f t="array" ref="J889">IFERROR(INDEX('Исходник'!$1:$626,MATCH($A889,'Исходник'!$T:$T,0),MATCH(J$1,'Исходник'!$1:$1,0)))</f>
        <v/>
      </c>
      <c r="K889" s="27" t="str">
        <f t="shared" si="3"/>
        <v/>
      </c>
      <c r="L889" s="1" t="str">
        <f t="array" ref="L889">IFERROR(INDEX('Исходник'!$1:$626,MATCH($A889,'Исходник'!$T:$T,0),MATCH(L$1,'Исходник'!$1:$1,0)))</f>
        <v/>
      </c>
      <c r="M889" s="28">
        <f t="shared" si="4"/>
        <v>0</v>
      </c>
      <c r="N889" s="1" t="str">
        <f t="array" ref="N889">IFERROR(INDEX('Исходник'!$1:$626,MATCH($A889,'Исходник'!$T:$T,0),MATCH(N$1,'Исходник'!$1:$1,0)))</f>
        <v/>
      </c>
      <c r="O889" s="27">
        <f t="shared" si="5"/>
        <v>0</v>
      </c>
      <c r="P889" s="27" t="str">
        <f t="shared" si="6"/>
        <v/>
      </c>
      <c r="Q889" s="1" t="str">
        <f t="array" ref="Q889">IFERROR(INDEX('Исходник'!$1:$626,MATCH($A889,'Исходник'!$T:$T,0),MATCH(Q$1,'Исходник'!$1:$1,0)))</f>
        <v/>
      </c>
      <c r="R889" s="1" t="str">
        <f t="array" ref="R889">IFERROR(INDEX('Исходник'!$1:$626,MATCH($A889,'Исходник'!$T:$T,0),MATCH(R$1,'Исходник'!$1:$1,0)))</f>
        <v/>
      </c>
      <c r="S889" s="27">
        <f t="shared" si="7"/>
        <v>0</v>
      </c>
      <c r="T889" s="27" t="str">
        <f t="shared" si="8"/>
        <v/>
      </c>
      <c r="U889" s="1" t="str">
        <f t="array" ref="U889">IFERROR(INDEX('Исходник'!$1:$626,MATCH($A889,'Исходник'!$T:$T,0),MATCH(U$1,'Исходник'!$1:$1,0)))</f>
        <v/>
      </c>
      <c r="V889" s="27" t="str">
        <f t="shared" si="9"/>
        <v/>
      </c>
      <c r="W889" s="1" t="str">
        <f t="array" ref="W889">IFERROR(INDEX('Исходник'!$1:$626,MATCH($A889,'Исходник'!$T:$T,0),MATCH(W$1,'Исходник'!$1:$1,0)))</f>
        <v/>
      </c>
      <c r="X889" s="28">
        <f t="shared" si="10"/>
        <v>0</v>
      </c>
      <c r="Y889" s="1" t="str">
        <f t="array" ref="Y889">IFERROR(INDEX('Исходник'!$1:$626,MATCH($A889,'Исходник'!$T:$T,0),MATCH(Y$1,'Исходник'!$1:$1,0)))</f>
        <v/>
      </c>
      <c r="Z889" s="27">
        <f t="shared" si="11"/>
        <v>0</v>
      </c>
      <c r="AA889" s="27" t="str">
        <f t="shared" si="12"/>
        <v/>
      </c>
      <c r="AB889" s="1" t="str">
        <f t="array" ref="AB889">IFERROR(INDEX('Исходник'!$1:$626,MATCH($A889,'Исходник'!$T:$T,0),MATCH(AB$1,'Исходник'!$1:$1,0)))</f>
        <v/>
      </c>
      <c r="AC889" s="1" t="str">
        <f t="array" ref="AC889">IFERROR(INDEX('Исходник'!$1:$626,MATCH($A889,'Исходник'!$T:$T,0),MATCH(AC$1,'Исходник'!$1:$1,0)))</f>
        <v/>
      </c>
      <c r="AD889" s="27" t="str">
        <f t="shared" si="13"/>
        <v/>
      </c>
      <c r="AE889" s="1" t="str">
        <f t="array" ref="AE889">IFERROR(INDEX('Исходник'!$1:$626,MATCH($A889,'Исходник'!$T:$T,0),MATCH(AE$1,'Исходник'!$1:$1,0)))</f>
        <v/>
      </c>
      <c r="AF889" s="1" t="str">
        <f t="array" ref="AF889">IFERROR(INDEX('Исходник'!$1:$626,MATCH($A889,'Исходник'!$T:$T,0),MATCH(AF$1,'Исходник'!$1:$1,0)))</f>
        <v/>
      </c>
      <c r="AG889" s="27" t="str">
        <f t="shared" si="14"/>
        <v/>
      </c>
      <c r="AH889" s="1" t="str">
        <f t="array" ref="AH889">IFERROR(INDEX('Исходник'!$1:$626,MATCH($A889,'Исходник'!$T:$T,0),MATCH(AH$1,'Исходник'!$1:$1,0)))</f>
        <v/>
      </c>
      <c r="AI889" s="1" t="str">
        <f t="array" ref="AI889">IFERROR(INDEX('Исходник'!$1:$626,MATCH($A889,'Исходник'!$T:$T,0),MATCH(AI$1,'Исходник'!$1:$1,0)))</f>
        <v/>
      </c>
      <c r="AJ889" s="18">
        <f t="shared" si="15"/>
        <v>0</v>
      </c>
    </row>
    <row r="890" ht="15.75" customHeight="1">
      <c r="A890" s="27"/>
      <c r="B890" s="1" t="str">
        <f t="array" ref="B890">IFERROR(INDEX('Исходник'!$1:$626,MATCH($A890,'Исходник'!$T:$T,0),MATCH(B$1,'Исходник'!$1:$1,0)))</f>
        <v/>
      </c>
      <c r="C890" s="1" t="str">
        <f t="array" ref="C890">IFERROR(INDEX('Исходник'!$1:$626,MATCH($A890,'Исходник'!$T:$T,0),MATCH(C$1,'Исходник'!$1:$1,0)))</f>
        <v/>
      </c>
      <c r="D890" s="1" t="str">
        <f t="array" ref="D890">IFERROR(INDEX('Исходник'!$1:$626,MATCH($A890,'Исходник'!$T:$T,0),MATCH(D$1,'Исходник'!$1:$1,0)))</f>
        <v/>
      </c>
      <c r="E890" s="1" t="str">
        <f t="array" ref="E890">IFERROR(INDEX('Исходник'!$1:$626,MATCH($A890,'Исходник'!$T:$T,0),MATCH(E$1,'Исходник'!$1:$1,0)))</f>
        <v/>
      </c>
      <c r="F890" s="1" t="str">
        <f t="array" ref="F890">IFERROR(INDEX('Исходник'!$1:$626,MATCH($A890,'Исходник'!$T:$T,0),MATCH(F$1,'Исходник'!$1:$1,0)))</f>
        <v/>
      </c>
      <c r="G890" s="1" t="str">
        <f t="array" ref="G890">IFERROR(INDEX('Исходник'!$1:$626,MATCH($A890,'Исходник'!$T:$T,0),MATCH(G$1,'Исходник'!$1:$1,0)))</f>
        <v/>
      </c>
      <c r="H890" s="27">
        <f t="shared" si="1"/>
        <v>0</v>
      </c>
      <c r="I890" s="27" t="str">
        <f t="shared" si="2"/>
        <v/>
      </c>
      <c r="J890" s="1" t="str">
        <f t="array" ref="J890">IFERROR(INDEX('Исходник'!$1:$626,MATCH($A890,'Исходник'!$T:$T,0),MATCH(J$1,'Исходник'!$1:$1,0)))</f>
        <v/>
      </c>
      <c r="K890" s="27" t="str">
        <f t="shared" si="3"/>
        <v/>
      </c>
      <c r="L890" s="1" t="str">
        <f t="array" ref="L890">IFERROR(INDEX('Исходник'!$1:$626,MATCH($A890,'Исходник'!$T:$T,0),MATCH(L$1,'Исходник'!$1:$1,0)))</f>
        <v/>
      </c>
      <c r="M890" s="28">
        <f t="shared" si="4"/>
        <v>0</v>
      </c>
      <c r="N890" s="1" t="str">
        <f t="array" ref="N890">IFERROR(INDEX('Исходник'!$1:$626,MATCH($A890,'Исходник'!$T:$T,0),MATCH(N$1,'Исходник'!$1:$1,0)))</f>
        <v/>
      </c>
      <c r="O890" s="27">
        <f t="shared" si="5"/>
        <v>0</v>
      </c>
      <c r="P890" s="27" t="str">
        <f t="shared" si="6"/>
        <v/>
      </c>
      <c r="Q890" s="1" t="str">
        <f t="array" ref="Q890">IFERROR(INDEX('Исходник'!$1:$626,MATCH($A890,'Исходник'!$T:$T,0),MATCH(Q$1,'Исходник'!$1:$1,0)))</f>
        <v/>
      </c>
      <c r="R890" s="1" t="str">
        <f t="array" ref="R890">IFERROR(INDEX('Исходник'!$1:$626,MATCH($A890,'Исходник'!$T:$T,0),MATCH(R$1,'Исходник'!$1:$1,0)))</f>
        <v/>
      </c>
      <c r="S890" s="27">
        <f t="shared" si="7"/>
        <v>0</v>
      </c>
      <c r="T890" s="27" t="str">
        <f t="shared" si="8"/>
        <v/>
      </c>
      <c r="U890" s="1" t="str">
        <f t="array" ref="U890">IFERROR(INDEX('Исходник'!$1:$626,MATCH($A890,'Исходник'!$T:$T,0),MATCH(U$1,'Исходник'!$1:$1,0)))</f>
        <v/>
      </c>
      <c r="V890" s="27" t="str">
        <f t="shared" si="9"/>
        <v/>
      </c>
      <c r="W890" s="1" t="str">
        <f t="array" ref="W890">IFERROR(INDEX('Исходник'!$1:$626,MATCH($A890,'Исходник'!$T:$T,0),MATCH(W$1,'Исходник'!$1:$1,0)))</f>
        <v/>
      </c>
      <c r="X890" s="28">
        <f t="shared" si="10"/>
        <v>0</v>
      </c>
      <c r="Y890" s="1" t="str">
        <f t="array" ref="Y890">IFERROR(INDEX('Исходник'!$1:$626,MATCH($A890,'Исходник'!$T:$T,0),MATCH(Y$1,'Исходник'!$1:$1,0)))</f>
        <v/>
      </c>
      <c r="Z890" s="27">
        <f t="shared" si="11"/>
        <v>0</v>
      </c>
      <c r="AA890" s="27" t="str">
        <f t="shared" si="12"/>
        <v/>
      </c>
      <c r="AB890" s="1" t="str">
        <f t="array" ref="AB890">IFERROR(INDEX('Исходник'!$1:$626,MATCH($A890,'Исходник'!$T:$T,0),MATCH(AB$1,'Исходник'!$1:$1,0)))</f>
        <v/>
      </c>
      <c r="AC890" s="1" t="str">
        <f t="array" ref="AC890">IFERROR(INDEX('Исходник'!$1:$626,MATCH($A890,'Исходник'!$T:$T,0),MATCH(AC$1,'Исходник'!$1:$1,0)))</f>
        <v/>
      </c>
      <c r="AD890" s="27" t="str">
        <f t="shared" si="13"/>
        <v/>
      </c>
      <c r="AE890" s="1" t="str">
        <f t="array" ref="AE890">IFERROR(INDEX('Исходник'!$1:$626,MATCH($A890,'Исходник'!$T:$T,0),MATCH(AE$1,'Исходник'!$1:$1,0)))</f>
        <v/>
      </c>
      <c r="AF890" s="1" t="str">
        <f t="array" ref="AF890">IFERROR(INDEX('Исходник'!$1:$626,MATCH($A890,'Исходник'!$T:$T,0),MATCH(AF$1,'Исходник'!$1:$1,0)))</f>
        <v/>
      </c>
      <c r="AG890" s="27" t="str">
        <f t="shared" si="14"/>
        <v/>
      </c>
      <c r="AH890" s="1" t="str">
        <f t="array" ref="AH890">IFERROR(INDEX('Исходник'!$1:$626,MATCH($A890,'Исходник'!$T:$T,0),MATCH(AH$1,'Исходник'!$1:$1,0)))</f>
        <v/>
      </c>
      <c r="AI890" s="1" t="str">
        <f t="array" ref="AI890">IFERROR(INDEX('Исходник'!$1:$626,MATCH($A890,'Исходник'!$T:$T,0),MATCH(AI$1,'Исходник'!$1:$1,0)))</f>
        <v/>
      </c>
      <c r="AJ890" s="18">
        <f t="shared" si="15"/>
        <v>0</v>
      </c>
    </row>
    <row r="891" ht="15.75" customHeight="1">
      <c r="A891" s="27"/>
      <c r="B891" s="1" t="str">
        <f t="array" ref="B891">IFERROR(INDEX('Исходник'!$1:$626,MATCH($A891,'Исходник'!$T:$T,0),MATCH(B$1,'Исходник'!$1:$1,0)))</f>
        <v/>
      </c>
      <c r="C891" s="1" t="str">
        <f t="array" ref="C891">IFERROR(INDEX('Исходник'!$1:$626,MATCH($A891,'Исходник'!$T:$T,0),MATCH(C$1,'Исходник'!$1:$1,0)))</f>
        <v/>
      </c>
      <c r="D891" s="1" t="str">
        <f t="array" ref="D891">IFERROR(INDEX('Исходник'!$1:$626,MATCH($A891,'Исходник'!$T:$T,0),MATCH(D$1,'Исходник'!$1:$1,0)))</f>
        <v/>
      </c>
      <c r="E891" s="1" t="str">
        <f t="array" ref="E891">IFERROR(INDEX('Исходник'!$1:$626,MATCH($A891,'Исходник'!$T:$T,0),MATCH(E$1,'Исходник'!$1:$1,0)))</f>
        <v/>
      </c>
      <c r="F891" s="1" t="str">
        <f t="array" ref="F891">IFERROR(INDEX('Исходник'!$1:$626,MATCH($A891,'Исходник'!$T:$T,0),MATCH(F$1,'Исходник'!$1:$1,0)))</f>
        <v/>
      </c>
      <c r="G891" s="1" t="str">
        <f t="array" ref="G891">IFERROR(INDEX('Исходник'!$1:$626,MATCH($A891,'Исходник'!$T:$T,0),MATCH(G$1,'Исходник'!$1:$1,0)))</f>
        <v/>
      </c>
      <c r="H891" s="27">
        <f t="shared" si="1"/>
        <v>0</v>
      </c>
      <c r="I891" s="27" t="str">
        <f t="shared" si="2"/>
        <v/>
      </c>
      <c r="J891" s="1" t="str">
        <f t="array" ref="J891">IFERROR(INDEX('Исходник'!$1:$626,MATCH($A891,'Исходник'!$T:$T,0),MATCH(J$1,'Исходник'!$1:$1,0)))</f>
        <v/>
      </c>
      <c r="K891" s="27" t="str">
        <f t="shared" si="3"/>
        <v/>
      </c>
      <c r="L891" s="1" t="str">
        <f t="array" ref="L891">IFERROR(INDEX('Исходник'!$1:$626,MATCH($A891,'Исходник'!$T:$T,0),MATCH(L$1,'Исходник'!$1:$1,0)))</f>
        <v/>
      </c>
      <c r="M891" s="28">
        <f t="shared" si="4"/>
        <v>0</v>
      </c>
      <c r="N891" s="1" t="str">
        <f t="array" ref="N891">IFERROR(INDEX('Исходник'!$1:$626,MATCH($A891,'Исходник'!$T:$T,0),MATCH(N$1,'Исходник'!$1:$1,0)))</f>
        <v/>
      </c>
      <c r="O891" s="27">
        <f t="shared" si="5"/>
        <v>0</v>
      </c>
      <c r="P891" s="27" t="str">
        <f t="shared" si="6"/>
        <v/>
      </c>
      <c r="Q891" s="1" t="str">
        <f t="array" ref="Q891">IFERROR(INDEX('Исходник'!$1:$626,MATCH($A891,'Исходник'!$T:$T,0),MATCH(Q$1,'Исходник'!$1:$1,0)))</f>
        <v/>
      </c>
      <c r="R891" s="1" t="str">
        <f t="array" ref="R891">IFERROR(INDEX('Исходник'!$1:$626,MATCH($A891,'Исходник'!$T:$T,0),MATCH(R$1,'Исходник'!$1:$1,0)))</f>
        <v/>
      </c>
      <c r="S891" s="27">
        <f t="shared" si="7"/>
        <v>0</v>
      </c>
      <c r="T891" s="27" t="str">
        <f t="shared" si="8"/>
        <v/>
      </c>
      <c r="U891" s="1" t="str">
        <f t="array" ref="U891">IFERROR(INDEX('Исходник'!$1:$626,MATCH($A891,'Исходник'!$T:$T,0),MATCH(U$1,'Исходник'!$1:$1,0)))</f>
        <v/>
      </c>
      <c r="V891" s="27" t="str">
        <f t="shared" si="9"/>
        <v/>
      </c>
      <c r="W891" s="1" t="str">
        <f t="array" ref="W891">IFERROR(INDEX('Исходник'!$1:$626,MATCH($A891,'Исходник'!$T:$T,0),MATCH(W$1,'Исходник'!$1:$1,0)))</f>
        <v/>
      </c>
      <c r="X891" s="28">
        <f t="shared" si="10"/>
        <v>0</v>
      </c>
      <c r="Y891" s="1" t="str">
        <f t="array" ref="Y891">IFERROR(INDEX('Исходник'!$1:$626,MATCH($A891,'Исходник'!$T:$T,0),MATCH(Y$1,'Исходник'!$1:$1,0)))</f>
        <v/>
      </c>
      <c r="Z891" s="27">
        <f t="shared" si="11"/>
        <v>0</v>
      </c>
      <c r="AA891" s="27" t="str">
        <f t="shared" si="12"/>
        <v/>
      </c>
      <c r="AB891" s="1" t="str">
        <f t="array" ref="AB891">IFERROR(INDEX('Исходник'!$1:$626,MATCH($A891,'Исходник'!$T:$T,0),MATCH(AB$1,'Исходник'!$1:$1,0)))</f>
        <v/>
      </c>
      <c r="AC891" s="1" t="str">
        <f t="array" ref="AC891">IFERROR(INDEX('Исходник'!$1:$626,MATCH($A891,'Исходник'!$T:$T,0),MATCH(AC$1,'Исходник'!$1:$1,0)))</f>
        <v/>
      </c>
      <c r="AD891" s="27" t="str">
        <f t="shared" si="13"/>
        <v/>
      </c>
      <c r="AE891" s="1" t="str">
        <f t="array" ref="AE891">IFERROR(INDEX('Исходник'!$1:$626,MATCH($A891,'Исходник'!$T:$T,0),MATCH(AE$1,'Исходник'!$1:$1,0)))</f>
        <v/>
      </c>
      <c r="AF891" s="1" t="str">
        <f t="array" ref="AF891">IFERROR(INDEX('Исходник'!$1:$626,MATCH($A891,'Исходник'!$T:$T,0),MATCH(AF$1,'Исходник'!$1:$1,0)))</f>
        <v/>
      </c>
      <c r="AG891" s="27" t="str">
        <f t="shared" si="14"/>
        <v/>
      </c>
      <c r="AH891" s="1" t="str">
        <f t="array" ref="AH891">IFERROR(INDEX('Исходник'!$1:$626,MATCH($A891,'Исходник'!$T:$T,0),MATCH(AH$1,'Исходник'!$1:$1,0)))</f>
        <v/>
      </c>
      <c r="AI891" s="1" t="str">
        <f t="array" ref="AI891">IFERROR(INDEX('Исходник'!$1:$626,MATCH($A891,'Исходник'!$T:$T,0),MATCH(AI$1,'Исходник'!$1:$1,0)))</f>
        <v/>
      </c>
      <c r="AJ891" s="18">
        <f t="shared" si="15"/>
        <v>0</v>
      </c>
    </row>
    <row r="892" ht="15.75" customHeight="1">
      <c r="A892" s="27"/>
      <c r="B892" s="1" t="str">
        <f t="array" ref="B892">IFERROR(INDEX('Исходник'!$1:$626,MATCH($A892,'Исходник'!$T:$T,0),MATCH(B$1,'Исходник'!$1:$1,0)))</f>
        <v/>
      </c>
      <c r="C892" s="1" t="str">
        <f t="array" ref="C892">IFERROR(INDEX('Исходник'!$1:$626,MATCH($A892,'Исходник'!$T:$T,0),MATCH(C$1,'Исходник'!$1:$1,0)))</f>
        <v/>
      </c>
      <c r="D892" s="1" t="str">
        <f t="array" ref="D892">IFERROR(INDEX('Исходник'!$1:$626,MATCH($A892,'Исходник'!$T:$T,0),MATCH(D$1,'Исходник'!$1:$1,0)))</f>
        <v/>
      </c>
      <c r="E892" s="1" t="str">
        <f t="array" ref="E892">IFERROR(INDEX('Исходник'!$1:$626,MATCH($A892,'Исходник'!$T:$T,0),MATCH(E$1,'Исходник'!$1:$1,0)))</f>
        <v/>
      </c>
      <c r="F892" s="1" t="str">
        <f t="array" ref="F892">IFERROR(INDEX('Исходник'!$1:$626,MATCH($A892,'Исходник'!$T:$T,0),MATCH(F$1,'Исходник'!$1:$1,0)))</f>
        <v/>
      </c>
      <c r="G892" s="1" t="str">
        <f t="array" ref="G892">IFERROR(INDEX('Исходник'!$1:$626,MATCH($A892,'Исходник'!$T:$T,0),MATCH(G$1,'Исходник'!$1:$1,0)))</f>
        <v/>
      </c>
      <c r="H892" s="27">
        <f t="shared" si="1"/>
        <v>0</v>
      </c>
      <c r="I892" s="27" t="str">
        <f t="shared" si="2"/>
        <v/>
      </c>
      <c r="J892" s="1" t="str">
        <f t="array" ref="J892">IFERROR(INDEX('Исходник'!$1:$626,MATCH($A892,'Исходник'!$T:$T,0),MATCH(J$1,'Исходник'!$1:$1,0)))</f>
        <v/>
      </c>
      <c r="K892" s="27" t="str">
        <f t="shared" si="3"/>
        <v/>
      </c>
      <c r="L892" s="1" t="str">
        <f t="array" ref="L892">IFERROR(INDEX('Исходник'!$1:$626,MATCH($A892,'Исходник'!$T:$T,0),MATCH(L$1,'Исходник'!$1:$1,0)))</f>
        <v/>
      </c>
      <c r="M892" s="28">
        <f t="shared" si="4"/>
        <v>0</v>
      </c>
      <c r="N892" s="1" t="str">
        <f t="array" ref="N892">IFERROR(INDEX('Исходник'!$1:$626,MATCH($A892,'Исходник'!$T:$T,0),MATCH(N$1,'Исходник'!$1:$1,0)))</f>
        <v/>
      </c>
      <c r="O892" s="27">
        <f t="shared" si="5"/>
        <v>0</v>
      </c>
      <c r="P892" s="27" t="str">
        <f t="shared" si="6"/>
        <v/>
      </c>
      <c r="Q892" s="1" t="str">
        <f t="array" ref="Q892">IFERROR(INDEX('Исходник'!$1:$626,MATCH($A892,'Исходник'!$T:$T,0),MATCH(Q$1,'Исходник'!$1:$1,0)))</f>
        <v/>
      </c>
      <c r="R892" s="1" t="str">
        <f t="array" ref="R892">IFERROR(INDEX('Исходник'!$1:$626,MATCH($A892,'Исходник'!$T:$T,0),MATCH(R$1,'Исходник'!$1:$1,0)))</f>
        <v/>
      </c>
      <c r="S892" s="27">
        <f t="shared" si="7"/>
        <v>0</v>
      </c>
      <c r="T892" s="27" t="str">
        <f t="shared" si="8"/>
        <v/>
      </c>
      <c r="U892" s="1" t="str">
        <f t="array" ref="U892">IFERROR(INDEX('Исходник'!$1:$626,MATCH($A892,'Исходник'!$T:$T,0),MATCH(U$1,'Исходник'!$1:$1,0)))</f>
        <v/>
      </c>
      <c r="V892" s="27" t="str">
        <f t="shared" si="9"/>
        <v/>
      </c>
      <c r="W892" s="1" t="str">
        <f t="array" ref="W892">IFERROR(INDEX('Исходник'!$1:$626,MATCH($A892,'Исходник'!$T:$T,0),MATCH(W$1,'Исходник'!$1:$1,0)))</f>
        <v/>
      </c>
      <c r="X892" s="28">
        <f t="shared" si="10"/>
        <v>0</v>
      </c>
      <c r="Y892" s="1" t="str">
        <f t="array" ref="Y892">IFERROR(INDEX('Исходник'!$1:$626,MATCH($A892,'Исходник'!$T:$T,0),MATCH(Y$1,'Исходник'!$1:$1,0)))</f>
        <v/>
      </c>
      <c r="Z892" s="27">
        <f t="shared" si="11"/>
        <v>0</v>
      </c>
      <c r="AA892" s="27" t="str">
        <f t="shared" si="12"/>
        <v/>
      </c>
      <c r="AB892" s="1" t="str">
        <f t="array" ref="AB892">IFERROR(INDEX('Исходник'!$1:$626,MATCH($A892,'Исходник'!$T:$T,0),MATCH(AB$1,'Исходник'!$1:$1,0)))</f>
        <v/>
      </c>
      <c r="AC892" s="1" t="str">
        <f t="array" ref="AC892">IFERROR(INDEX('Исходник'!$1:$626,MATCH($A892,'Исходник'!$T:$T,0),MATCH(AC$1,'Исходник'!$1:$1,0)))</f>
        <v/>
      </c>
      <c r="AD892" s="27" t="str">
        <f t="shared" si="13"/>
        <v/>
      </c>
      <c r="AE892" s="1" t="str">
        <f t="array" ref="AE892">IFERROR(INDEX('Исходник'!$1:$626,MATCH($A892,'Исходник'!$T:$T,0),MATCH(AE$1,'Исходник'!$1:$1,0)))</f>
        <v/>
      </c>
      <c r="AF892" s="1" t="str">
        <f t="array" ref="AF892">IFERROR(INDEX('Исходник'!$1:$626,MATCH($A892,'Исходник'!$T:$T,0),MATCH(AF$1,'Исходник'!$1:$1,0)))</f>
        <v/>
      </c>
      <c r="AG892" s="27" t="str">
        <f t="shared" si="14"/>
        <v/>
      </c>
      <c r="AH892" s="1" t="str">
        <f t="array" ref="AH892">IFERROR(INDEX('Исходник'!$1:$626,MATCH($A892,'Исходник'!$T:$T,0),MATCH(AH$1,'Исходник'!$1:$1,0)))</f>
        <v/>
      </c>
      <c r="AI892" s="1" t="str">
        <f t="array" ref="AI892">IFERROR(INDEX('Исходник'!$1:$626,MATCH($A892,'Исходник'!$T:$T,0),MATCH(AI$1,'Исходник'!$1:$1,0)))</f>
        <v/>
      </c>
      <c r="AJ892" s="18">
        <f t="shared" si="15"/>
        <v>0</v>
      </c>
    </row>
    <row r="893" ht="15.75" customHeight="1">
      <c r="A893" s="27"/>
      <c r="B893" s="1" t="str">
        <f t="array" ref="B893">IFERROR(INDEX('Исходник'!$1:$626,MATCH($A893,'Исходник'!$T:$T,0),MATCH(B$1,'Исходник'!$1:$1,0)))</f>
        <v/>
      </c>
      <c r="C893" s="1" t="str">
        <f t="array" ref="C893">IFERROR(INDEX('Исходник'!$1:$626,MATCH($A893,'Исходник'!$T:$T,0),MATCH(C$1,'Исходник'!$1:$1,0)))</f>
        <v/>
      </c>
      <c r="D893" s="1" t="str">
        <f t="array" ref="D893">IFERROR(INDEX('Исходник'!$1:$626,MATCH($A893,'Исходник'!$T:$T,0),MATCH(D$1,'Исходник'!$1:$1,0)))</f>
        <v/>
      </c>
      <c r="E893" s="1" t="str">
        <f t="array" ref="E893">IFERROR(INDEX('Исходник'!$1:$626,MATCH($A893,'Исходник'!$T:$T,0),MATCH(E$1,'Исходник'!$1:$1,0)))</f>
        <v/>
      </c>
      <c r="F893" s="1" t="str">
        <f t="array" ref="F893">IFERROR(INDEX('Исходник'!$1:$626,MATCH($A893,'Исходник'!$T:$T,0),MATCH(F$1,'Исходник'!$1:$1,0)))</f>
        <v/>
      </c>
      <c r="G893" s="1" t="str">
        <f t="array" ref="G893">IFERROR(INDEX('Исходник'!$1:$626,MATCH($A893,'Исходник'!$T:$T,0),MATCH(G$1,'Исходник'!$1:$1,0)))</f>
        <v/>
      </c>
      <c r="H893" s="27">
        <f t="shared" si="1"/>
        <v>0</v>
      </c>
      <c r="I893" s="27" t="str">
        <f t="shared" si="2"/>
        <v/>
      </c>
      <c r="J893" s="1" t="str">
        <f t="array" ref="J893">IFERROR(INDEX('Исходник'!$1:$626,MATCH($A893,'Исходник'!$T:$T,0),MATCH(J$1,'Исходник'!$1:$1,0)))</f>
        <v/>
      </c>
      <c r="K893" s="27" t="str">
        <f t="shared" si="3"/>
        <v/>
      </c>
      <c r="L893" s="1" t="str">
        <f t="array" ref="L893">IFERROR(INDEX('Исходник'!$1:$626,MATCH($A893,'Исходник'!$T:$T,0),MATCH(L$1,'Исходник'!$1:$1,0)))</f>
        <v/>
      </c>
      <c r="M893" s="28">
        <f t="shared" si="4"/>
        <v>0</v>
      </c>
      <c r="N893" s="1" t="str">
        <f t="array" ref="N893">IFERROR(INDEX('Исходник'!$1:$626,MATCH($A893,'Исходник'!$T:$T,0),MATCH(N$1,'Исходник'!$1:$1,0)))</f>
        <v/>
      </c>
      <c r="O893" s="27">
        <f t="shared" si="5"/>
        <v>0</v>
      </c>
      <c r="P893" s="27" t="str">
        <f t="shared" si="6"/>
        <v/>
      </c>
      <c r="Q893" s="1" t="str">
        <f t="array" ref="Q893">IFERROR(INDEX('Исходник'!$1:$626,MATCH($A893,'Исходник'!$T:$T,0),MATCH(Q$1,'Исходник'!$1:$1,0)))</f>
        <v/>
      </c>
      <c r="R893" s="1" t="str">
        <f t="array" ref="R893">IFERROR(INDEX('Исходник'!$1:$626,MATCH($A893,'Исходник'!$T:$T,0),MATCH(R$1,'Исходник'!$1:$1,0)))</f>
        <v/>
      </c>
      <c r="S893" s="27">
        <f t="shared" si="7"/>
        <v>0</v>
      </c>
      <c r="T893" s="27" t="str">
        <f t="shared" si="8"/>
        <v/>
      </c>
      <c r="U893" s="1" t="str">
        <f t="array" ref="U893">IFERROR(INDEX('Исходник'!$1:$626,MATCH($A893,'Исходник'!$T:$T,0),MATCH(U$1,'Исходник'!$1:$1,0)))</f>
        <v/>
      </c>
      <c r="V893" s="27" t="str">
        <f t="shared" si="9"/>
        <v/>
      </c>
      <c r="W893" s="1" t="str">
        <f t="array" ref="W893">IFERROR(INDEX('Исходник'!$1:$626,MATCH($A893,'Исходник'!$T:$T,0),MATCH(W$1,'Исходник'!$1:$1,0)))</f>
        <v/>
      </c>
      <c r="X893" s="28">
        <f t="shared" si="10"/>
        <v>0</v>
      </c>
      <c r="Y893" s="1" t="str">
        <f t="array" ref="Y893">IFERROR(INDEX('Исходник'!$1:$626,MATCH($A893,'Исходник'!$T:$T,0),MATCH(Y$1,'Исходник'!$1:$1,0)))</f>
        <v/>
      </c>
      <c r="Z893" s="27">
        <f t="shared" si="11"/>
        <v>0</v>
      </c>
      <c r="AA893" s="27" t="str">
        <f t="shared" si="12"/>
        <v/>
      </c>
      <c r="AB893" s="1" t="str">
        <f t="array" ref="AB893">IFERROR(INDEX('Исходник'!$1:$626,MATCH($A893,'Исходник'!$T:$T,0),MATCH(AB$1,'Исходник'!$1:$1,0)))</f>
        <v/>
      </c>
      <c r="AC893" s="1" t="str">
        <f t="array" ref="AC893">IFERROR(INDEX('Исходник'!$1:$626,MATCH($A893,'Исходник'!$T:$T,0),MATCH(AC$1,'Исходник'!$1:$1,0)))</f>
        <v/>
      </c>
      <c r="AD893" s="27" t="str">
        <f t="shared" si="13"/>
        <v/>
      </c>
      <c r="AE893" s="1" t="str">
        <f t="array" ref="AE893">IFERROR(INDEX('Исходник'!$1:$626,MATCH($A893,'Исходник'!$T:$T,0),MATCH(AE$1,'Исходник'!$1:$1,0)))</f>
        <v/>
      </c>
      <c r="AF893" s="1" t="str">
        <f t="array" ref="AF893">IFERROR(INDEX('Исходник'!$1:$626,MATCH($A893,'Исходник'!$T:$T,0),MATCH(AF$1,'Исходник'!$1:$1,0)))</f>
        <v/>
      </c>
      <c r="AG893" s="27" t="str">
        <f t="shared" si="14"/>
        <v/>
      </c>
      <c r="AH893" s="1" t="str">
        <f t="array" ref="AH893">IFERROR(INDEX('Исходник'!$1:$626,MATCH($A893,'Исходник'!$T:$T,0),MATCH(AH$1,'Исходник'!$1:$1,0)))</f>
        <v/>
      </c>
      <c r="AI893" s="1" t="str">
        <f t="array" ref="AI893">IFERROR(INDEX('Исходник'!$1:$626,MATCH($A893,'Исходник'!$T:$T,0),MATCH(AI$1,'Исходник'!$1:$1,0)))</f>
        <v/>
      </c>
      <c r="AJ893" s="18">
        <f t="shared" si="15"/>
        <v>0</v>
      </c>
    </row>
    <row r="894" ht="15.75" customHeight="1">
      <c r="A894" s="27"/>
      <c r="B894" s="1" t="str">
        <f t="array" ref="B894">IFERROR(INDEX('Исходник'!$1:$626,MATCH($A894,'Исходник'!$T:$T,0),MATCH(B$1,'Исходник'!$1:$1,0)))</f>
        <v/>
      </c>
      <c r="C894" s="1" t="str">
        <f t="array" ref="C894">IFERROR(INDEX('Исходник'!$1:$626,MATCH($A894,'Исходник'!$T:$T,0),MATCH(C$1,'Исходник'!$1:$1,0)))</f>
        <v/>
      </c>
      <c r="D894" s="1" t="str">
        <f t="array" ref="D894">IFERROR(INDEX('Исходник'!$1:$626,MATCH($A894,'Исходник'!$T:$T,0),MATCH(D$1,'Исходник'!$1:$1,0)))</f>
        <v/>
      </c>
      <c r="E894" s="1" t="str">
        <f t="array" ref="E894">IFERROR(INDEX('Исходник'!$1:$626,MATCH($A894,'Исходник'!$T:$T,0),MATCH(E$1,'Исходник'!$1:$1,0)))</f>
        <v/>
      </c>
      <c r="F894" s="1" t="str">
        <f t="array" ref="F894">IFERROR(INDEX('Исходник'!$1:$626,MATCH($A894,'Исходник'!$T:$T,0),MATCH(F$1,'Исходник'!$1:$1,0)))</f>
        <v/>
      </c>
      <c r="G894" s="1" t="str">
        <f t="array" ref="G894">IFERROR(INDEX('Исходник'!$1:$626,MATCH($A894,'Исходник'!$T:$T,0),MATCH(G$1,'Исходник'!$1:$1,0)))</f>
        <v/>
      </c>
      <c r="H894" s="27">
        <f t="shared" si="1"/>
        <v>0</v>
      </c>
      <c r="I894" s="27" t="str">
        <f t="shared" si="2"/>
        <v/>
      </c>
      <c r="J894" s="1" t="str">
        <f t="array" ref="J894">IFERROR(INDEX('Исходник'!$1:$626,MATCH($A894,'Исходник'!$T:$T,0),MATCH(J$1,'Исходник'!$1:$1,0)))</f>
        <v/>
      </c>
      <c r="K894" s="27" t="str">
        <f t="shared" si="3"/>
        <v/>
      </c>
      <c r="L894" s="1" t="str">
        <f t="array" ref="L894">IFERROR(INDEX('Исходник'!$1:$626,MATCH($A894,'Исходник'!$T:$T,0),MATCH(L$1,'Исходник'!$1:$1,0)))</f>
        <v/>
      </c>
      <c r="M894" s="28">
        <f t="shared" si="4"/>
        <v>0</v>
      </c>
      <c r="N894" s="1" t="str">
        <f t="array" ref="N894">IFERROR(INDEX('Исходник'!$1:$626,MATCH($A894,'Исходник'!$T:$T,0),MATCH(N$1,'Исходник'!$1:$1,0)))</f>
        <v/>
      </c>
      <c r="O894" s="27">
        <f t="shared" si="5"/>
        <v>0</v>
      </c>
      <c r="P894" s="27" t="str">
        <f t="shared" si="6"/>
        <v/>
      </c>
      <c r="Q894" s="1" t="str">
        <f t="array" ref="Q894">IFERROR(INDEX('Исходник'!$1:$626,MATCH($A894,'Исходник'!$T:$T,0),MATCH(Q$1,'Исходник'!$1:$1,0)))</f>
        <v/>
      </c>
      <c r="R894" s="1" t="str">
        <f t="array" ref="R894">IFERROR(INDEX('Исходник'!$1:$626,MATCH($A894,'Исходник'!$T:$T,0),MATCH(R$1,'Исходник'!$1:$1,0)))</f>
        <v/>
      </c>
      <c r="S894" s="27">
        <f t="shared" si="7"/>
        <v>0</v>
      </c>
      <c r="T894" s="27" t="str">
        <f t="shared" si="8"/>
        <v/>
      </c>
      <c r="U894" s="1" t="str">
        <f t="array" ref="U894">IFERROR(INDEX('Исходник'!$1:$626,MATCH($A894,'Исходник'!$T:$T,0),MATCH(U$1,'Исходник'!$1:$1,0)))</f>
        <v/>
      </c>
      <c r="V894" s="27" t="str">
        <f t="shared" si="9"/>
        <v/>
      </c>
      <c r="W894" s="1" t="str">
        <f t="array" ref="W894">IFERROR(INDEX('Исходник'!$1:$626,MATCH($A894,'Исходник'!$T:$T,0),MATCH(W$1,'Исходник'!$1:$1,0)))</f>
        <v/>
      </c>
      <c r="X894" s="28">
        <f t="shared" si="10"/>
        <v>0</v>
      </c>
      <c r="Y894" s="1" t="str">
        <f t="array" ref="Y894">IFERROR(INDEX('Исходник'!$1:$626,MATCH($A894,'Исходник'!$T:$T,0),MATCH(Y$1,'Исходник'!$1:$1,0)))</f>
        <v/>
      </c>
      <c r="Z894" s="27">
        <f t="shared" si="11"/>
        <v>0</v>
      </c>
      <c r="AA894" s="27" t="str">
        <f t="shared" si="12"/>
        <v/>
      </c>
      <c r="AB894" s="1" t="str">
        <f t="array" ref="AB894">IFERROR(INDEX('Исходник'!$1:$626,MATCH($A894,'Исходник'!$T:$T,0),MATCH(AB$1,'Исходник'!$1:$1,0)))</f>
        <v/>
      </c>
      <c r="AC894" s="1" t="str">
        <f t="array" ref="AC894">IFERROR(INDEX('Исходник'!$1:$626,MATCH($A894,'Исходник'!$T:$T,0),MATCH(AC$1,'Исходник'!$1:$1,0)))</f>
        <v/>
      </c>
      <c r="AD894" s="27" t="str">
        <f t="shared" si="13"/>
        <v/>
      </c>
      <c r="AE894" s="1" t="str">
        <f t="array" ref="AE894">IFERROR(INDEX('Исходник'!$1:$626,MATCH($A894,'Исходник'!$T:$T,0),MATCH(AE$1,'Исходник'!$1:$1,0)))</f>
        <v/>
      </c>
      <c r="AF894" s="1" t="str">
        <f t="array" ref="AF894">IFERROR(INDEX('Исходник'!$1:$626,MATCH($A894,'Исходник'!$T:$T,0),MATCH(AF$1,'Исходник'!$1:$1,0)))</f>
        <v/>
      </c>
      <c r="AG894" s="27" t="str">
        <f t="shared" si="14"/>
        <v/>
      </c>
      <c r="AH894" s="1" t="str">
        <f t="array" ref="AH894">IFERROR(INDEX('Исходник'!$1:$626,MATCH($A894,'Исходник'!$T:$T,0),MATCH(AH$1,'Исходник'!$1:$1,0)))</f>
        <v/>
      </c>
      <c r="AI894" s="1" t="str">
        <f t="array" ref="AI894">IFERROR(INDEX('Исходник'!$1:$626,MATCH($A894,'Исходник'!$T:$T,0),MATCH(AI$1,'Исходник'!$1:$1,0)))</f>
        <v/>
      </c>
      <c r="AJ894" s="18">
        <f t="shared" si="15"/>
        <v>0</v>
      </c>
    </row>
    <row r="895" ht="15.75" customHeight="1">
      <c r="A895" s="27"/>
      <c r="B895" s="1" t="str">
        <f t="array" ref="B895">IFERROR(INDEX('Исходник'!$1:$626,MATCH($A895,'Исходник'!$T:$T,0),MATCH(B$1,'Исходник'!$1:$1,0)))</f>
        <v/>
      </c>
      <c r="C895" s="1" t="str">
        <f t="array" ref="C895">IFERROR(INDEX('Исходник'!$1:$626,MATCH($A895,'Исходник'!$T:$T,0),MATCH(C$1,'Исходник'!$1:$1,0)))</f>
        <v/>
      </c>
      <c r="D895" s="1" t="str">
        <f t="array" ref="D895">IFERROR(INDEX('Исходник'!$1:$626,MATCH($A895,'Исходник'!$T:$T,0),MATCH(D$1,'Исходник'!$1:$1,0)))</f>
        <v/>
      </c>
      <c r="E895" s="1" t="str">
        <f t="array" ref="E895">IFERROR(INDEX('Исходник'!$1:$626,MATCH($A895,'Исходник'!$T:$T,0),MATCH(E$1,'Исходник'!$1:$1,0)))</f>
        <v/>
      </c>
      <c r="F895" s="1" t="str">
        <f t="array" ref="F895">IFERROR(INDEX('Исходник'!$1:$626,MATCH($A895,'Исходник'!$T:$T,0),MATCH(F$1,'Исходник'!$1:$1,0)))</f>
        <v/>
      </c>
      <c r="G895" s="1" t="str">
        <f t="array" ref="G895">IFERROR(INDEX('Исходник'!$1:$626,MATCH($A895,'Исходник'!$T:$T,0),MATCH(G$1,'Исходник'!$1:$1,0)))</f>
        <v/>
      </c>
      <c r="H895" s="27">
        <f t="shared" si="1"/>
        <v>0</v>
      </c>
      <c r="I895" s="27" t="str">
        <f t="shared" si="2"/>
        <v/>
      </c>
      <c r="J895" s="1" t="str">
        <f t="array" ref="J895">IFERROR(INDEX('Исходник'!$1:$626,MATCH($A895,'Исходник'!$T:$T,0),MATCH(J$1,'Исходник'!$1:$1,0)))</f>
        <v/>
      </c>
      <c r="K895" s="27" t="str">
        <f t="shared" si="3"/>
        <v/>
      </c>
      <c r="L895" s="1" t="str">
        <f t="array" ref="L895">IFERROR(INDEX('Исходник'!$1:$626,MATCH($A895,'Исходник'!$T:$T,0),MATCH(L$1,'Исходник'!$1:$1,0)))</f>
        <v/>
      </c>
      <c r="M895" s="28">
        <f t="shared" si="4"/>
        <v>0</v>
      </c>
      <c r="N895" s="1" t="str">
        <f t="array" ref="N895">IFERROR(INDEX('Исходник'!$1:$626,MATCH($A895,'Исходник'!$T:$T,0),MATCH(N$1,'Исходник'!$1:$1,0)))</f>
        <v/>
      </c>
      <c r="O895" s="27">
        <f t="shared" si="5"/>
        <v>0</v>
      </c>
      <c r="P895" s="27" t="str">
        <f t="shared" si="6"/>
        <v/>
      </c>
      <c r="Q895" s="1" t="str">
        <f t="array" ref="Q895">IFERROR(INDEX('Исходник'!$1:$626,MATCH($A895,'Исходник'!$T:$T,0),MATCH(Q$1,'Исходник'!$1:$1,0)))</f>
        <v/>
      </c>
      <c r="R895" s="1" t="str">
        <f t="array" ref="R895">IFERROR(INDEX('Исходник'!$1:$626,MATCH($A895,'Исходник'!$T:$T,0),MATCH(R$1,'Исходник'!$1:$1,0)))</f>
        <v/>
      </c>
      <c r="S895" s="27">
        <f t="shared" si="7"/>
        <v>0</v>
      </c>
      <c r="T895" s="27" t="str">
        <f t="shared" si="8"/>
        <v/>
      </c>
      <c r="U895" s="1" t="str">
        <f t="array" ref="U895">IFERROR(INDEX('Исходник'!$1:$626,MATCH($A895,'Исходник'!$T:$T,0),MATCH(U$1,'Исходник'!$1:$1,0)))</f>
        <v/>
      </c>
      <c r="V895" s="27" t="str">
        <f t="shared" si="9"/>
        <v/>
      </c>
      <c r="W895" s="1" t="str">
        <f t="array" ref="W895">IFERROR(INDEX('Исходник'!$1:$626,MATCH($A895,'Исходник'!$T:$T,0),MATCH(W$1,'Исходник'!$1:$1,0)))</f>
        <v/>
      </c>
      <c r="X895" s="28">
        <f t="shared" si="10"/>
        <v>0</v>
      </c>
      <c r="Y895" s="1" t="str">
        <f t="array" ref="Y895">IFERROR(INDEX('Исходник'!$1:$626,MATCH($A895,'Исходник'!$T:$T,0),MATCH(Y$1,'Исходник'!$1:$1,0)))</f>
        <v/>
      </c>
      <c r="Z895" s="27">
        <f t="shared" si="11"/>
        <v>0</v>
      </c>
      <c r="AA895" s="27" t="str">
        <f t="shared" si="12"/>
        <v/>
      </c>
      <c r="AB895" s="1" t="str">
        <f t="array" ref="AB895">IFERROR(INDEX('Исходник'!$1:$626,MATCH($A895,'Исходник'!$T:$T,0),MATCH(AB$1,'Исходник'!$1:$1,0)))</f>
        <v/>
      </c>
      <c r="AC895" s="1" t="str">
        <f t="array" ref="AC895">IFERROR(INDEX('Исходник'!$1:$626,MATCH($A895,'Исходник'!$T:$T,0),MATCH(AC$1,'Исходник'!$1:$1,0)))</f>
        <v/>
      </c>
      <c r="AD895" s="27" t="str">
        <f t="shared" si="13"/>
        <v/>
      </c>
      <c r="AE895" s="1" t="str">
        <f t="array" ref="AE895">IFERROR(INDEX('Исходник'!$1:$626,MATCH($A895,'Исходник'!$T:$T,0),MATCH(AE$1,'Исходник'!$1:$1,0)))</f>
        <v/>
      </c>
      <c r="AF895" s="1" t="str">
        <f t="array" ref="AF895">IFERROR(INDEX('Исходник'!$1:$626,MATCH($A895,'Исходник'!$T:$T,0),MATCH(AF$1,'Исходник'!$1:$1,0)))</f>
        <v/>
      </c>
      <c r="AG895" s="27" t="str">
        <f t="shared" si="14"/>
        <v/>
      </c>
      <c r="AH895" s="1" t="str">
        <f t="array" ref="AH895">IFERROR(INDEX('Исходник'!$1:$626,MATCH($A895,'Исходник'!$T:$T,0),MATCH(AH$1,'Исходник'!$1:$1,0)))</f>
        <v/>
      </c>
      <c r="AI895" s="1" t="str">
        <f t="array" ref="AI895">IFERROR(INDEX('Исходник'!$1:$626,MATCH($A895,'Исходник'!$T:$T,0),MATCH(AI$1,'Исходник'!$1:$1,0)))</f>
        <v/>
      </c>
      <c r="AJ895" s="18">
        <f t="shared" si="15"/>
        <v>0</v>
      </c>
    </row>
    <row r="896" ht="15.75" customHeight="1">
      <c r="A896" s="27"/>
      <c r="B896" s="1" t="str">
        <f t="array" ref="B896">IFERROR(INDEX('Исходник'!$1:$626,MATCH($A896,'Исходник'!$T:$T,0),MATCH(B$1,'Исходник'!$1:$1,0)))</f>
        <v/>
      </c>
      <c r="C896" s="1" t="str">
        <f t="array" ref="C896">IFERROR(INDEX('Исходник'!$1:$626,MATCH($A896,'Исходник'!$T:$T,0),MATCH(C$1,'Исходник'!$1:$1,0)))</f>
        <v/>
      </c>
      <c r="D896" s="1" t="str">
        <f t="array" ref="D896">IFERROR(INDEX('Исходник'!$1:$626,MATCH($A896,'Исходник'!$T:$T,0),MATCH(D$1,'Исходник'!$1:$1,0)))</f>
        <v/>
      </c>
      <c r="E896" s="1" t="str">
        <f t="array" ref="E896">IFERROR(INDEX('Исходник'!$1:$626,MATCH($A896,'Исходник'!$T:$T,0),MATCH(E$1,'Исходник'!$1:$1,0)))</f>
        <v/>
      </c>
      <c r="F896" s="1" t="str">
        <f t="array" ref="F896">IFERROR(INDEX('Исходник'!$1:$626,MATCH($A896,'Исходник'!$T:$T,0),MATCH(F$1,'Исходник'!$1:$1,0)))</f>
        <v/>
      </c>
      <c r="G896" s="1" t="str">
        <f t="array" ref="G896">IFERROR(INDEX('Исходник'!$1:$626,MATCH($A896,'Исходник'!$T:$T,0),MATCH(G$1,'Исходник'!$1:$1,0)))</f>
        <v/>
      </c>
      <c r="H896" s="27">
        <f t="shared" si="1"/>
        <v>0</v>
      </c>
      <c r="I896" s="27" t="str">
        <f t="shared" si="2"/>
        <v/>
      </c>
      <c r="J896" s="1" t="str">
        <f t="array" ref="J896">IFERROR(INDEX('Исходник'!$1:$626,MATCH($A896,'Исходник'!$T:$T,0),MATCH(J$1,'Исходник'!$1:$1,0)))</f>
        <v/>
      </c>
      <c r="K896" s="27" t="str">
        <f t="shared" si="3"/>
        <v/>
      </c>
      <c r="L896" s="1" t="str">
        <f t="array" ref="L896">IFERROR(INDEX('Исходник'!$1:$626,MATCH($A896,'Исходник'!$T:$T,0),MATCH(L$1,'Исходник'!$1:$1,0)))</f>
        <v/>
      </c>
      <c r="M896" s="28">
        <f t="shared" si="4"/>
        <v>0</v>
      </c>
      <c r="N896" s="1" t="str">
        <f t="array" ref="N896">IFERROR(INDEX('Исходник'!$1:$626,MATCH($A896,'Исходник'!$T:$T,0),MATCH(N$1,'Исходник'!$1:$1,0)))</f>
        <v/>
      </c>
      <c r="O896" s="27">
        <f t="shared" si="5"/>
        <v>0</v>
      </c>
      <c r="P896" s="27" t="str">
        <f t="shared" si="6"/>
        <v/>
      </c>
      <c r="Q896" s="1" t="str">
        <f t="array" ref="Q896">IFERROR(INDEX('Исходник'!$1:$626,MATCH($A896,'Исходник'!$T:$T,0),MATCH(Q$1,'Исходник'!$1:$1,0)))</f>
        <v/>
      </c>
      <c r="R896" s="1" t="str">
        <f t="array" ref="R896">IFERROR(INDEX('Исходник'!$1:$626,MATCH($A896,'Исходник'!$T:$T,0),MATCH(R$1,'Исходник'!$1:$1,0)))</f>
        <v/>
      </c>
      <c r="S896" s="27">
        <f t="shared" si="7"/>
        <v>0</v>
      </c>
      <c r="T896" s="27" t="str">
        <f t="shared" si="8"/>
        <v/>
      </c>
      <c r="U896" s="1" t="str">
        <f t="array" ref="U896">IFERROR(INDEX('Исходник'!$1:$626,MATCH($A896,'Исходник'!$T:$T,0),MATCH(U$1,'Исходник'!$1:$1,0)))</f>
        <v/>
      </c>
      <c r="V896" s="27" t="str">
        <f t="shared" si="9"/>
        <v/>
      </c>
      <c r="W896" s="1" t="str">
        <f t="array" ref="W896">IFERROR(INDEX('Исходник'!$1:$626,MATCH($A896,'Исходник'!$T:$T,0),MATCH(W$1,'Исходник'!$1:$1,0)))</f>
        <v/>
      </c>
      <c r="X896" s="28">
        <f t="shared" si="10"/>
        <v>0</v>
      </c>
      <c r="Y896" s="1" t="str">
        <f t="array" ref="Y896">IFERROR(INDEX('Исходник'!$1:$626,MATCH($A896,'Исходник'!$T:$T,0),MATCH(Y$1,'Исходник'!$1:$1,0)))</f>
        <v/>
      </c>
      <c r="Z896" s="27">
        <f t="shared" si="11"/>
        <v>0</v>
      </c>
      <c r="AA896" s="27" t="str">
        <f t="shared" si="12"/>
        <v/>
      </c>
      <c r="AB896" s="1" t="str">
        <f t="array" ref="AB896">IFERROR(INDEX('Исходник'!$1:$626,MATCH($A896,'Исходник'!$T:$T,0),MATCH(AB$1,'Исходник'!$1:$1,0)))</f>
        <v/>
      </c>
      <c r="AC896" s="1" t="str">
        <f t="array" ref="AC896">IFERROR(INDEX('Исходник'!$1:$626,MATCH($A896,'Исходник'!$T:$T,0),MATCH(AC$1,'Исходник'!$1:$1,0)))</f>
        <v/>
      </c>
      <c r="AD896" s="27" t="str">
        <f t="shared" si="13"/>
        <v/>
      </c>
      <c r="AE896" s="1" t="str">
        <f t="array" ref="AE896">IFERROR(INDEX('Исходник'!$1:$626,MATCH($A896,'Исходник'!$T:$T,0),MATCH(AE$1,'Исходник'!$1:$1,0)))</f>
        <v/>
      </c>
      <c r="AF896" s="1" t="str">
        <f t="array" ref="AF896">IFERROR(INDEX('Исходник'!$1:$626,MATCH($A896,'Исходник'!$T:$T,0),MATCH(AF$1,'Исходник'!$1:$1,0)))</f>
        <v/>
      </c>
      <c r="AG896" s="27" t="str">
        <f t="shared" si="14"/>
        <v/>
      </c>
      <c r="AH896" s="1" t="str">
        <f t="array" ref="AH896">IFERROR(INDEX('Исходник'!$1:$626,MATCH($A896,'Исходник'!$T:$T,0),MATCH(AH$1,'Исходник'!$1:$1,0)))</f>
        <v/>
      </c>
      <c r="AI896" s="1" t="str">
        <f t="array" ref="AI896">IFERROR(INDEX('Исходник'!$1:$626,MATCH($A896,'Исходник'!$T:$T,0),MATCH(AI$1,'Исходник'!$1:$1,0)))</f>
        <v/>
      </c>
      <c r="AJ896" s="18">
        <f t="shared" si="15"/>
        <v>0</v>
      </c>
    </row>
    <row r="897" ht="15.75" customHeight="1">
      <c r="A897" s="27"/>
      <c r="B897" s="1" t="str">
        <f t="array" ref="B897">IFERROR(INDEX('Исходник'!$1:$626,MATCH($A897,'Исходник'!$T:$T,0),MATCH(B$1,'Исходник'!$1:$1,0)))</f>
        <v/>
      </c>
      <c r="C897" s="1" t="str">
        <f t="array" ref="C897">IFERROR(INDEX('Исходник'!$1:$626,MATCH($A897,'Исходник'!$T:$T,0),MATCH(C$1,'Исходник'!$1:$1,0)))</f>
        <v/>
      </c>
      <c r="D897" s="1" t="str">
        <f t="array" ref="D897">IFERROR(INDEX('Исходник'!$1:$626,MATCH($A897,'Исходник'!$T:$T,0),MATCH(D$1,'Исходник'!$1:$1,0)))</f>
        <v/>
      </c>
      <c r="E897" s="1" t="str">
        <f t="array" ref="E897">IFERROR(INDEX('Исходник'!$1:$626,MATCH($A897,'Исходник'!$T:$T,0),MATCH(E$1,'Исходник'!$1:$1,0)))</f>
        <v/>
      </c>
      <c r="F897" s="1" t="str">
        <f t="array" ref="F897">IFERROR(INDEX('Исходник'!$1:$626,MATCH($A897,'Исходник'!$T:$T,0),MATCH(F$1,'Исходник'!$1:$1,0)))</f>
        <v/>
      </c>
      <c r="G897" s="1" t="str">
        <f t="array" ref="G897">IFERROR(INDEX('Исходник'!$1:$626,MATCH($A897,'Исходник'!$T:$T,0),MATCH(G$1,'Исходник'!$1:$1,0)))</f>
        <v/>
      </c>
      <c r="H897" s="27">
        <f t="shared" si="1"/>
        <v>0</v>
      </c>
      <c r="I897" s="27" t="str">
        <f t="shared" si="2"/>
        <v/>
      </c>
      <c r="J897" s="1" t="str">
        <f t="array" ref="J897">IFERROR(INDEX('Исходник'!$1:$626,MATCH($A897,'Исходник'!$T:$T,0),MATCH(J$1,'Исходник'!$1:$1,0)))</f>
        <v/>
      </c>
      <c r="K897" s="27" t="str">
        <f t="shared" si="3"/>
        <v/>
      </c>
      <c r="L897" s="1" t="str">
        <f t="array" ref="L897">IFERROR(INDEX('Исходник'!$1:$626,MATCH($A897,'Исходник'!$T:$T,0),MATCH(L$1,'Исходник'!$1:$1,0)))</f>
        <v/>
      </c>
      <c r="M897" s="28">
        <f t="shared" si="4"/>
        <v>0</v>
      </c>
      <c r="N897" s="1" t="str">
        <f t="array" ref="N897">IFERROR(INDEX('Исходник'!$1:$626,MATCH($A897,'Исходник'!$T:$T,0),MATCH(N$1,'Исходник'!$1:$1,0)))</f>
        <v/>
      </c>
      <c r="O897" s="27">
        <f t="shared" si="5"/>
        <v>0</v>
      </c>
      <c r="P897" s="27" t="str">
        <f t="shared" si="6"/>
        <v/>
      </c>
      <c r="Q897" s="1" t="str">
        <f t="array" ref="Q897">IFERROR(INDEX('Исходник'!$1:$626,MATCH($A897,'Исходник'!$T:$T,0),MATCH(Q$1,'Исходник'!$1:$1,0)))</f>
        <v/>
      </c>
      <c r="R897" s="1" t="str">
        <f t="array" ref="R897">IFERROR(INDEX('Исходник'!$1:$626,MATCH($A897,'Исходник'!$T:$T,0),MATCH(R$1,'Исходник'!$1:$1,0)))</f>
        <v/>
      </c>
      <c r="S897" s="27">
        <f t="shared" si="7"/>
        <v>0</v>
      </c>
      <c r="T897" s="27" t="str">
        <f t="shared" si="8"/>
        <v/>
      </c>
      <c r="U897" s="1" t="str">
        <f t="array" ref="U897">IFERROR(INDEX('Исходник'!$1:$626,MATCH($A897,'Исходник'!$T:$T,0),MATCH(U$1,'Исходник'!$1:$1,0)))</f>
        <v/>
      </c>
      <c r="V897" s="27" t="str">
        <f t="shared" si="9"/>
        <v/>
      </c>
      <c r="W897" s="1" t="str">
        <f t="array" ref="W897">IFERROR(INDEX('Исходник'!$1:$626,MATCH($A897,'Исходник'!$T:$T,0),MATCH(W$1,'Исходник'!$1:$1,0)))</f>
        <v/>
      </c>
      <c r="X897" s="28">
        <f t="shared" si="10"/>
        <v>0</v>
      </c>
      <c r="Y897" s="1" t="str">
        <f t="array" ref="Y897">IFERROR(INDEX('Исходник'!$1:$626,MATCH($A897,'Исходник'!$T:$T,0),MATCH(Y$1,'Исходник'!$1:$1,0)))</f>
        <v/>
      </c>
      <c r="Z897" s="27">
        <f t="shared" si="11"/>
        <v>0</v>
      </c>
      <c r="AA897" s="27" t="str">
        <f t="shared" si="12"/>
        <v/>
      </c>
      <c r="AB897" s="1" t="str">
        <f t="array" ref="AB897">IFERROR(INDEX('Исходник'!$1:$626,MATCH($A897,'Исходник'!$T:$T,0),MATCH(AB$1,'Исходник'!$1:$1,0)))</f>
        <v/>
      </c>
      <c r="AC897" s="1" t="str">
        <f t="array" ref="AC897">IFERROR(INDEX('Исходник'!$1:$626,MATCH($A897,'Исходник'!$T:$T,0),MATCH(AC$1,'Исходник'!$1:$1,0)))</f>
        <v/>
      </c>
      <c r="AD897" s="27" t="str">
        <f t="shared" si="13"/>
        <v/>
      </c>
      <c r="AE897" s="1" t="str">
        <f t="array" ref="AE897">IFERROR(INDEX('Исходник'!$1:$626,MATCH($A897,'Исходник'!$T:$T,0),MATCH(AE$1,'Исходник'!$1:$1,0)))</f>
        <v/>
      </c>
      <c r="AF897" s="1" t="str">
        <f t="array" ref="AF897">IFERROR(INDEX('Исходник'!$1:$626,MATCH($A897,'Исходник'!$T:$T,0),MATCH(AF$1,'Исходник'!$1:$1,0)))</f>
        <v/>
      </c>
      <c r="AG897" s="27" t="str">
        <f t="shared" si="14"/>
        <v/>
      </c>
      <c r="AH897" s="1" t="str">
        <f t="array" ref="AH897">IFERROR(INDEX('Исходник'!$1:$626,MATCH($A897,'Исходник'!$T:$T,0),MATCH(AH$1,'Исходник'!$1:$1,0)))</f>
        <v/>
      </c>
      <c r="AI897" s="1" t="str">
        <f t="array" ref="AI897">IFERROR(INDEX('Исходник'!$1:$626,MATCH($A897,'Исходник'!$T:$T,0),MATCH(AI$1,'Исходник'!$1:$1,0)))</f>
        <v/>
      </c>
      <c r="AJ897" s="18">
        <f t="shared" si="15"/>
        <v>0</v>
      </c>
    </row>
    <row r="898" ht="15.75" customHeight="1">
      <c r="A898" s="27"/>
      <c r="B898" s="1" t="str">
        <f t="array" ref="B898">IFERROR(INDEX('Исходник'!$1:$626,MATCH($A898,'Исходник'!$T:$T,0),MATCH(B$1,'Исходник'!$1:$1,0)))</f>
        <v/>
      </c>
      <c r="C898" s="1" t="str">
        <f t="array" ref="C898">IFERROR(INDEX('Исходник'!$1:$626,MATCH($A898,'Исходник'!$T:$T,0),MATCH(C$1,'Исходник'!$1:$1,0)))</f>
        <v/>
      </c>
      <c r="D898" s="1" t="str">
        <f t="array" ref="D898">IFERROR(INDEX('Исходник'!$1:$626,MATCH($A898,'Исходник'!$T:$T,0),MATCH(D$1,'Исходник'!$1:$1,0)))</f>
        <v/>
      </c>
      <c r="E898" s="1" t="str">
        <f t="array" ref="E898">IFERROR(INDEX('Исходник'!$1:$626,MATCH($A898,'Исходник'!$T:$T,0),MATCH(E$1,'Исходник'!$1:$1,0)))</f>
        <v/>
      </c>
      <c r="F898" s="1" t="str">
        <f t="array" ref="F898">IFERROR(INDEX('Исходник'!$1:$626,MATCH($A898,'Исходник'!$T:$T,0),MATCH(F$1,'Исходник'!$1:$1,0)))</f>
        <v/>
      </c>
      <c r="G898" s="1" t="str">
        <f t="array" ref="G898">IFERROR(INDEX('Исходник'!$1:$626,MATCH($A898,'Исходник'!$T:$T,0),MATCH(G$1,'Исходник'!$1:$1,0)))</f>
        <v/>
      </c>
      <c r="H898" s="27">
        <f t="shared" si="1"/>
        <v>0</v>
      </c>
      <c r="I898" s="27" t="str">
        <f t="shared" si="2"/>
        <v/>
      </c>
      <c r="J898" s="1" t="str">
        <f t="array" ref="J898">IFERROR(INDEX('Исходник'!$1:$626,MATCH($A898,'Исходник'!$T:$T,0),MATCH(J$1,'Исходник'!$1:$1,0)))</f>
        <v/>
      </c>
      <c r="K898" s="27" t="str">
        <f t="shared" si="3"/>
        <v/>
      </c>
      <c r="L898" s="1" t="str">
        <f t="array" ref="L898">IFERROR(INDEX('Исходник'!$1:$626,MATCH($A898,'Исходник'!$T:$T,0),MATCH(L$1,'Исходник'!$1:$1,0)))</f>
        <v/>
      </c>
      <c r="M898" s="28">
        <f t="shared" si="4"/>
        <v>0</v>
      </c>
      <c r="N898" s="1" t="str">
        <f t="array" ref="N898">IFERROR(INDEX('Исходник'!$1:$626,MATCH($A898,'Исходник'!$T:$T,0),MATCH(N$1,'Исходник'!$1:$1,0)))</f>
        <v/>
      </c>
      <c r="O898" s="27">
        <f t="shared" si="5"/>
        <v>0</v>
      </c>
      <c r="P898" s="27" t="str">
        <f t="shared" si="6"/>
        <v/>
      </c>
      <c r="Q898" s="1" t="str">
        <f t="array" ref="Q898">IFERROR(INDEX('Исходник'!$1:$626,MATCH($A898,'Исходник'!$T:$T,0),MATCH(Q$1,'Исходник'!$1:$1,0)))</f>
        <v/>
      </c>
      <c r="R898" s="1" t="str">
        <f t="array" ref="R898">IFERROR(INDEX('Исходник'!$1:$626,MATCH($A898,'Исходник'!$T:$T,0),MATCH(R$1,'Исходник'!$1:$1,0)))</f>
        <v/>
      </c>
      <c r="S898" s="27">
        <f t="shared" si="7"/>
        <v>0</v>
      </c>
      <c r="T898" s="27" t="str">
        <f t="shared" si="8"/>
        <v/>
      </c>
      <c r="U898" s="1" t="str">
        <f t="array" ref="U898">IFERROR(INDEX('Исходник'!$1:$626,MATCH($A898,'Исходник'!$T:$T,0),MATCH(U$1,'Исходник'!$1:$1,0)))</f>
        <v/>
      </c>
      <c r="V898" s="27" t="str">
        <f t="shared" si="9"/>
        <v/>
      </c>
      <c r="W898" s="1" t="str">
        <f t="array" ref="W898">IFERROR(INDEX('Исходник'!$1:$626,MATCH($A898,'Исходник'!$T:$T,0),MATCH(W$1,'Исходник'!$1:$1,0)))</f>
        <v/>
      </c>
      <c r="X898" s="28">
        <f t="shared" si="10"/>
        <v>0</v>
      </c>
      <c r="Y898" s="1" t="str">
        <f t="array" ref="Y898">IFERROR(INDEX('Исходник'!$1:$626,MATCH($A898,'Исходник'!$T:$T,0),MATCH(Y$1,'Исходник'!$1:$1,0)))</f>
        <v/>
      </c>
      <c r="Z898" s="27">
        <f t="shared" si="11"/>
        <v>0</v>
      </c>
      <c r="AA898" s="27" t="str">
        <f t="shared" si="12"/>
        <v/>
      </c>
      <c r="AB898" s="1" t="str">
        <f t="array" ref="AB898">IFERROR(INDEX('Исходник'!$1:$626,MATCH($A898,'Исходник'!$T:$T,0),MATCH(AB$1,'Исходник'!$1:$1,0)))</f>
        <v/>
      </c>
      <c r="AC898" s="1" t="str">
        <f t="array" ref="AC898">IFERROR(INDEX('Исходник'!$1:$626,MATCH($A898,'Исходник'!$T:$T,0),MATCH(AC$1,'Исходник'!$1:$1,0)))</f>
        <v/>
      </c>
      <c r="AD898" s="27" t="str">
        <f t="shared" si="13"/>
        <v/>
      </c>
      <c r="AE898" s="1" t="str">
        <f t="array" ref="AE898">IFERROR(INDEX('Исходник'!$1:$626,MATCH($A898,'Исходник'!$T:$T,0),MATCH(AE$1,'Исходник'!$1:$1,0)))</f>
        <v/>
      </c>
      <c r="AF898" s="1" t="str">
        <f t="array" ref="AF898">IFERROR(INDEX('Исходник'!$1:$626,MATCH($A898,'Исходник'!$T:$T,0),MATCH(AF$1,'Исходник'!$1:$1,0)))</f>
        <v/>
      </c>
      <c r="AG898" s="27" t="str">
        <f t="shared" si="14"/>
        <v/>
      </c>
      <c r="AH898" s="1" t="str">
        <f t="array" ref="AH898">IFERROR(INDEX('Исходник'!$1:$626,MATCH($A898,'Исходник'!$T:$T,0),MATCH(AH$1,'Исходник'!$1:$1,0)))</f>
        <v/>
      </c>
      <c r="AI898" s="1" t="str">
        <f t="array" ref="AI898">IFERROR(INDEX('Исходник'!$1:$626,MATCH($A898,'Исходник'!$T:$T,0),MATCH(AI$1,'Исходник'!$1:$1,0)))</f>
        <v/>
      </c>
      <c r="AJ898" s="18">
        <f t="shared" si="15"/>
        <v>0</v>
      </c>
    </row>
    <row r="899" ht="15.75" customHeight="1">
      <c r="A899" s="27"/>
      <c r="B899" s="1" t="str">
        <f t="array" ref="B899">IFERROR(INDEX('Исходник'!$1:$626,MATCH($A899,'Исходник'!$T:$T,0),MATCH(B$1,'Исходник'!$1:$1,0)))</f>
        <v/>
      </c>
      <c r="C899" s="1" t="str">
        <f t="array" ref="C899">IFERROR(INDEX('Исходник'!$1:$626,MATCH($A899,'Исходник'!$T:$T,0),MATCH(C$1,'Исходник'!$1:$1,0)))</f>
        <v/>
      </c>
      <c r="D899" s="1" t="str">
        <f t="array" ref="D899">IFERROR(INDEX('Исходник'!$1:$626,MATCH($A899,'Исходник'!$T:$T,0),MATCH(D$1,'Исходник'!$1:$1,0)))</f>
        <v/>
      </c>
      <c r="E899" s="1" t="str">
        <f t="array" ref="E899">IFERROR(INDEX('Исходник'!$1:$626,MATCH($A899,'Исходник'!$T:$T,0),MATCH(E$1,'Исходник'!$1:$1,0)))</f>
        <v/>
      </c>
      <c r="F899" s="1" t="str">
        <f t="array" ref="F899">IFERROR(INDEX('Исходник'!$1:$626,MATCH($A899,'Исходник'!$T:$T,0),MATCH(F$1,'Исходник'!$1:$1,0)))</f>
        <v/>
      </c>
      <c r="G899" s="1" t="str">
        <f t="array" ref="G899">IFERROR(INDEX('Исходник'!$1:$626,MATCH($A899,'Исходник'!$T:$T,0),MATCH(G$1,'Исходник'!$1:$1,0)))</f>
        <v/>
      </c>
      <c r="H899" s="27">
        <f t="shared" si="1"/>
        <v>0</v>
      </c>
      <c r="I899" s="27" t="str">
        <f t="shared" si="2"/>
        <v/>
      </c>
      <c r="J899" s="1" t="str">
        <f t="array" ref="J899">IFERROR(INDEX('Исходник'!$1:$626,MATCH($A899,'Исходник'!$T:$T,0),MATCH(J$1,'Исходник'!$1:$1,0)))</f>
        <v/>
      </c>
      <c r="K899" s="27" t="str">
        <f t="shared" si="3"/>
        <v/>
      </c>
      <c r="L899" s="1" t="str">
        <f t="array" ref="L899">IFERROR(INDEX('Исходник'!$1:$626,MATCH($A899,'Исходник'!$T:$T,0),MATCH(L$1,'Исходник'!$1:$1,0)))</f>
        <v/>
      </c>
      <c r="M899" s="28">
        <f t="shared" si="4"/>
        <v>0</v>
      </c>
      <c r="N899" s="1" t="str">
        <f t="array" ref="N899">IFERROR(INDEX('Исходник'!$1:$626,MATCH($A899,'Исходник'!$T:$T,0),MATCH(N$1,'Исходник'!$1:$1,0)))</f>
        <v/>
      </c>
      <c r="O899" s="27">
        <f t="shared" si="5"/>
        <v>0</v>
      </c>
      <c r="P899" s="27" t="str">
        <f t="shared" si="6"/>
        <v/>
      </c>
      <c r="Q899" s="1" t="str">
        <f t="array" ref="Q899">IFERROR(INDEX('Исходник'!$1:$626,MATCH($A899,'Исходник'!$T:$T,0),MATCH(Q$1,'Исходник'!$1:$1,0)))</f>
        <v/>
      </c>
      <c r="R899" s="1" t="str">
        <f t="array" ref="R899">IFERROR(INDEX('Исходник'!$1:$626,MATCH($A899,'Исходник'!$T:$T,0),MATCH(R$1,'Исходник'!$1:$1,0)))</f>
        <v/>
      </c>
      <c r="S899" s="27">
        <f t="shared" si="7"/>
        <v>0</v>
      </c>
      <c r="T899" s="27" t="str">
        <f t="shared" si="8"/>
        <v/>
      </c>
      <c r="U899" s="1" t="str">
        <f t="array" ref="U899">IFERROR(INDEX('Исходник'!$1:$626,MATCH($A899,'Исходник'!$T:$T,0),MATCH(U$1,'Исходник'!$1:$1,0)))</f>
        <v/>
      </c>
      <c r="V899" s="27" t="str">
        <f t="shared" si="9"/>
        <v/>
      </c>
      <c r="W899" s="1" t="str">
        <f t="array" ref="W899">IFERROR(INDEX('Исходник'!$1:$626,MATCH($A899,'Исходник'!$T:$T,0),MATCH(W$1,'Исходник'!$1:$1,0)))</f>
        <v/>
      </c>
      <c r="X899" s="28">
        <f t="shared" si="10"/>
        <v>0</v>
      </c>
      <c r="Y899" s="1" t="str">
        <f t="array" ref="Y899">IFERROR(INDEX('Исходник'!$1:$626,MATCH($A899,'Исходник'!$T:$T,0),MATCH(Y$1,'Исходник'!$1:$1,0)))</f>
        <v/>
      </c>
      <c r="Z899" s="27">
        <f t="shared" si="11"/>
        <v>0</v>
      </c>
      <c r="AA899" s="27" t="str">
        <f t="shared" si="12"/>
        <v/>
      </c>
      <c r="AB899" s="1" t="str">
        <f t="array" ref="AB899">IFERROR(INDEX('Исходник'!$1:$626,MATCH($A899,'Исходник'!$T:$T,0),MATCH(AB$1,'Исходник'!$1:$1,0)))</f>
        <v/>
      </c>
      <c r="AC899" s="1" t="str">
        <f t="array" ref="AC899">IFERROR(INDEX('Исходник'!$1:$626,MATCH($A899,'Исходник'!$T:$T,0),MATCH(AC$1,'Исходник'!$1:$1,0)))</f>
        <v/>
      </c>
      <c r="AD899" s="27" t="str">
        <f t="shared" si="13"/>
        <v/>
      </c>
      <c r="AE899" s="1" t="str">
        <f t="array" ref="AE899">IFERROR(INDEX('Исходник'!$1:$626,MATCH($A899,'Исходник'!$T:$T,0),MATCH(AE$1,'Исходник'!$1:$1,0)))</f>
        <v/>
      </c>
      <c r="AF899" s="1" t="str">
        <f t="array" ref="AF899">IFERROR(INDEX('Исходник'!$1:$626,MATCH($A899,'Исходник'!$T:$T,0),MATCH(AF$1,'Исходник'!$1:$1,0)))</f>
        <v/>
      </c>
      <c r="AG899" s="27" t="str">
        <f t="shared" si="14"/>
        <v/>
      </c>
      <c r="AH899" s="1" t="str">
        <f t="array" ref="AH899">IFERROR(INDEX('Исходник'!$1:$626,MATCH($A899,'Исходник'!$T:$T,0),MATCH(AH$1,'Исходник'!$1:$1,0)))</f>
        <v/>
      </c>
      <c r="AI899" s="1" t="str">
        <f t="array" ref="AI899">IFERROR(INDEX('Исходник'!$1:$626,MATCH($A899,'Исходник'!$T:$T,0),MATCH(AI$1,'Исходник'!$1:$1,0)))</f>
        <v/>
      </c>
      <c r="AJ899" s="18">
        <f t="shared" si="15"/>
        <v>0</v>
      </c>
    </row>
    <row r="900" ht="15.75" customHeight="1">
      <c r="A900" s="27"/>
      <c r="B900" s="1" t="str">
        <f t="array" ref="B900">IFERROR(INDEX('Исходник'!$1:$626,MATCH($A900,'Исходник'!$T:$T,0),MATCH(B$1,'Исходник'!$1:$1,0)))</f>
        <v/>
      </c>
      <c r="C900" s="1" t="str">
        <f t="array" ref="C900">IFERROR(INDEX('Исходник'!$1:$626,MATCH($A900,'Исходник'!$T:$T,0),MATCH(C$1,'Исходник'!$1:$1,0)))</f>
        <v/>
      </c>
      <c r="D900" s="1" t="str">
        <f t="array" ref="D900">IFERROR(INDEX('Исходник'!$1:$626,MATCH($A900,'Исходник'!$T:$T,0),MATCH(D$1,'Исходник'!$1:$1,0)))</f>
        <v/>
      </c>
      <c r="E900" s="1" t="str">
        <f t="array" ref="E900">IFERROR(INDEX('Исходник'!$1:$626,MATCH($A900,'Исходник'!$T:$T,0),MATCH(E$1,'Исходник'!$1:$1,0)))</f>
        <v/>
      </c>
      <c r="F900" s="1" t="str">
        <f t="array" ref="F900">IFERROR(INDEX('Исходник'!$1:$626,MATCH($A900,'Исходник'!$T:$T,0),MATCH(F$1,'Исходник'!$1:$1,0)))</f>
        <v/>
      </c>
      <c r="G900" s="1" t="str">
        <f t="array" ref="G900">IFERROR(INDEX('Исходник'!$1:$626,MATCH($A900,'Исходник'!$T:$T,0),MATCH(G$1,'Исходник'!$1:$1,0)))</f>
        <v/>
      </c>
      <c r="H900" s="27">
        <f t="shared" si="1"/>
        <v>0</v>
      </c>
      <c r="I900" s="27" t="str">
        <f t="shared" si="2"/>
        <v/>
      </c>
      <c r="J900" s="1" t="str">
        <f t="array" ref="J900">IFERROR(INDEX('Исходник'!$1:$626,MATCH($A900,'Исходник'!$T:$T,0),MATCH(J$1,'Исходник'!$1:$1,0)))</f>
        <v/>
      </c>
      <c r="K900" s="27" t="str">
        <f t="shared" si="3"/>
        <v/>
      </c>
      <c r="L900" s="1" t="str">
        <f t="array" ref="L900">IFERROR(INDEX('Исходник'!$1:$626,MATCH($A900,'Исходник'!$T:$T,0),MATCH(L$1,'Исходник'!$1:$1,0)))</f>
        <v/>
      </c>
      <c r="M900" s="28">
        <f t="shared" si="4"/>
        <v>0</v>
      </c>
      <c r="N900" s="1" t="str">
        <f t="array" ref="N900">IFERROR(INDEX('Исходник'!$1:$626,MATCH($A900,'Исходник'!$T:$T,0),MATCH(N$1,'Исходник'!$1:$1,0)))</f>
        <v/>
      </c>
      <c r="O900" s="27">
        <f t="shared" si="5"/>
        <v>0</v>
      </c>
      <c r="P900" s="27" t="str">
        <f t="shared" si="6"/>
        <v/>
      </c>
      <c r="Q900" s="1" t="str">
        <f t="array" ref="Q900">IFERROR(INDEX('Исходник'!$1:$626,MATCH($A900,'Исходник'!$T:$T,0),MATCH(Q$1,'Исходник'!$1:$1,0)))</f>
        <v/>
      </c>
      <c r="R900" s="1" t="str">
        <f t="array" ref="R900">IFERROR(INDEX('Исходник'!$1:$626,MATCH($A900,'Исходник'!$T:$T,0),MATCH(R$1,'Исходник'!$1:$1,0)))</f>
        <v/>
      </c>
      <c r="S900" s="27">
        <f t="shared" si="7"/>
        <v>0</v>
      </c>
      <c r="T900" s="27" t="str">
        <f t="shared" si="8"/>
        <v/>
      </c>
      <c r="U900" s="1" t="str">
        <f t="array" ref="U900">IFERROR(INDEX('Исходник'!$1:$626,MATCH($A900,'Исходник'!$T:$T,0),MATCH(U$1,'Исходник'!$1:$1,0)))</f>
        <v/>
      </c>
      <c r="V900" s="27" t="str">
        <f t="shared" si="9"/>
        <v/>
      </c>
      <c r="W900" s="1" t="str">
        <f t="array" ref="W900">IFERROR(INDEX('Исходник'!$1:$626,MATCH($A900,'Исходник'!$T:$T,0),MATCH(W$1,'Исходник'!$1:$1,0)))</f>
        <v/>
      </c>
      <c r="X900" s="28">
        <f t="shared" si="10"/>
        <v>0</v>
      </c>
      <c r="Y900" s="1" t="str">
        <f t="array" ref="Y900">IFERROR(INDEX('Исходник'!$1:$626,MATCH($A900,'Исходник'!$T:$T,0),MATCH(Y$1,'Исходник'!$1:$1,0)))</f>
        <v/>
      </c>
      <c r="Z900" s="27">
        <f t="shared" si="11"/>
        <v>0</v>
      </c>
      <c r="AA900" s="27" t="str">
        <f t="shared" si="12"/>
        <v/>
      </c>
      <c r="AB900" s="1" t="str">
        <f t="array" ref="AB900">IFERROR(INDEX('Исходник'!$1:$626,MATCH($A900,'Исходник'!$T:$T,0),MATCH(AB$1,'Исходник'!$1:$1,0)))</f>
        <v/>
      </c>
      <c r="AC900" s="1" t="str">
        <f t="array" ref="AC900">IFERROR(INDEX('Исходник'!$1:$626,MATCH($A900,'Исходник'!$T:$T,0),MATCH(AC$1,'Исходник'!$1:$1,0)))</f>
        <v/>
      </c>
      <c r="AD900" s="27" t="str">
        <f t="shared" si="13"/>
        <v/>
      </c>
      <c r="AE900" s="1" t="str">
        <f t="array" ref="AE900">IFERROR(INDEX('Исходник'!$1:$626,MATCH($A900,'Исходник'!$T:$T,0),MATCH(AE$1,'Исходник'!$1:$1,0)))</f>
        <v/>
      </c>
      <c r="AF900" s="1" t="str">
        <f t="array" ref="AF900">IFERROR(INDEX('Исходник'!$1:$626,MATCH($A900,'Исходник'!$T:$T,0),MATCH(AF$1,'Исходник'!$1:$1,0)))</f>
        <v/>
      </c>
      <c r="AG900" s="27" t="str">
        <f t="shared" si="14"/>
        <v/>
      </c>
      <c r="AH900" s="1" t="str">
        <f t="array" ref="AH900">IFERROR(INDEX('Исходник'!$1:$626,MATCH($A900,'Исходник'!$T:$T,0),MATCH(AH$1,'Исходник'!$1:$1,0)))</f>
        <v/>
      </c>
      <c r="AI900" s="1" t="str">
        <f t="array" ref="AI900">IFERROR(INDEX('Исходник'!$1:$626,MATCH($A900,'Исходник'!$T:$T,0),MATCH(AI$1,'Исходник'!$1:$1,0)))</f>
        <v/>
      </c>
      <c r="AJ900" s="18">
        <f t="shared" si="15"/>
        <v>0</v>
      </c>
    </row>
    <row r="901" ht="15.75" customHeight="1">
      <c r="A901" s="27"/>
      <c r="B901" s="1" t="str">
        <f t="array" ref="B901">IFERROR(INDEX('Исходник'!$1:$626,MATCH($A901,'Исходник'!$T:$T,0),MATCH(B$1,'Исходник'!$1:$1,0)))</f>
        <v/>
      </c>
      <c r="C901" s="1" t="str">
        <f t="array" ref="C901">IFERROR(INDEX('Исходник'!$1:$626,MATCH($A901,'Исходник'!$T:$T,0),MATCH(C$1,'Исходник'!$1:$1,0)))</f>
        <v/>
      </c>
      <c r="D901" s="1" t="str">
        <f t="array" ref="D901">IFERROR(INDEX('Исходник'!$1:$626,MATCH($A901,'Исходник'!$T:$T,0),MATCH(D$1,'Исходник'!$1:$1,0)))</f>
        <v/>
      </c>
      <c r="E901" s="1" t="str">
        <f t="array" ref="E901">IFERROR(INDEX('Исходник'!$1:$626,MATCH($A901,'Исходник'!$T:$T,0),MATCH(E$1,'Исходник'!$1:$1,0)))</f>
        <v/>
      </c>
      <c r="F901" s="1" t="str">
        <f t="array" ref="F901">IFERROR(INDEX('Исходник'!$1:$626,MATCH($A901,'Исходник'!$T:$T,0),MATCH(F$1,'Исходник'!$1:$1,0)))</f>
        <v/>
      </c>
      <c r="G901" s="1" t="str">
        <f t="array" ref="G901">IFERROR(INDEX('Исходник'!$1:$626,MATCH($A901,'Исходник'!$T:$T,0),MATCH(G$1,'Исходник'!$1:$1,0)))</f>
        <v/>
      </c>
      <c r="H901" s="27">
        <f t="shared" si="1"/>
        <v>0</v>
      </c>
      <c r="I901" s="27" t="str">
        <f t="shared" si="2"/>
        <v/>
      </c>
      <c r="J901" s="1" t="str">
        <f t="array" ref="J901">IFERROR(INDEX('Исходник'!$1:$626,MATCH($A901,'Исходник'!$T:$T,0),MATCH(J$1,'Исходник'!$1:$1,0)))</f>
        <v/>
      </c>
      <c r="K901" s="27" t="str">
        <f t="shared" si="3"/>
        <v/>
      </c>
      <c r="L901" s="1" t="str">
        <f t="array" ref="L901">IFERROR(INDEX('Исходник'!$1:$626,MATCH($A901,'Исходник'!$T:$T,0),MATCH(L$1,'Исходник'!$1:$1,0)))</f>
        <v/>
      </c>
      <c r="M901" s="28">
        <f t="shared" si="4"/>
        <v>0</v>
      </c>
      <c r="N901" s="1" t="str">
        <f t="array" ref="N901">IFERROR(INDEX('Исходник'!$1:$626,MATCH($A901,'Исходник'!$T:$T,0),MATCH(N$1,'Исходник'!$1:$1,0)))</f>
        <v/>
      </c>
      <c r="O901" s="27">
        <f t="shared" si="5"/>
        <v>0</v>
      </c>
      <c r="P901" s="27" t="str">
        <f t="shared" si="6"/>
        <v/>
      </c>
      <c r="Q901" s="1" t="str">
        <f t="array" ref="Q901">IFERROR(INDEX('Исходник'!$1:$626,MATCH($A901,'Исходник'!$T:$T,0),MATCH(Q$1,'Исходник'!$1:$1,0)))</f>
        <v/>
      </c>
      <c r="R901" s="1" t="str">
        <f t="array" ref="R901">IFERROR(INDEX('Исходник'!$1:$626,MATCH($A901,'Исходник'!$T:$T,0),MATCH(R$1,'Исходник'!$1:$1,0)))</f>
        <v/>
      </c>
      <c r="S901" s="27">
        <f t="shared" si="7"/>
        <v>0</v>
      </c>
      <c r="T901" s="27" t="str">
        <f t="shared" si="8"/>
        <v/>
      </c>
      <c r="U901" s="1" t="str">
        <f t="array" ref="U901">IFERROR(INDEX('Исходник'!$1:$626,MATCH($A901,'Исходник'!$T:$T,0),MATCH(U$1,'Исходник'!$1:$1,0)))</f>
        <v/>
      </c>
      <c r="V901" s="27" t="str">
        <f t="shared" si="9"/>
        <v/>
      </c>
      <c r="W901" s="1" t="str">
        <f t="array" ref="W901">IFERROR(INDEX('Исходник'!$1:$626,MATCH($A901,'Исходник'!$T:$T,0),MATCH(W$1,'Исходник'!$1:$1,0)))</f>
        <v/>
      </c>
      <c r="X901" s="28">
        <f t="shared" si="10"/>
        <v>0</v>
      </c>
      <c r="Y901" s="1" t="str">
        <f t="array" ref="Y901">IFERROR(INDEX('Исходник'!$1:$626,MATCH($A901,'Исходник'!$T:$T,0),MATCH(Y$1,'Исходник'!$1:$1,0)))</f>
        <v/>
      </c>
      <c r="Z901" s="27">
        <f t="shared" si="11"/>
        <v>0</v>
      </c>
      <c r="AA901" s="27" t="str">
        <f t="shared" si="12"/>
        <v/>
      </c>
      <c r="AB901" s="1" t="str">
        <f t="array" ref="AB901">IFERROR(INDEX('Исходник'!$1:$626,MATCH($A901,'Исходник'!$T:$T,0),MATCH(AB$1,'Исходник'!$1:$1,0)))</f>
        <v/>
      </c>
      <c r="AC901" s="1" t="str">
        <f t="array" ref="AC901">IFERROR(INDEX('Исходник'!$1:$626,MATCH($A901,'Исходник'!$T:$T,0),MATCH(AC$1,'Исходник'!$1:$1,0)))</f>
        <v/>
      </c>
      <c r="AD901" s="27" t="str">
        <f t="shared" si="13"/>
        <v/>
      </c>
      <c r="AE901" s="1" t="str">
        <f t="array" ref="AE901">IFERROR(INDEX('Исходник'!$1:$626,MATCH($A901,'Исходник'!$T:$T,0),MATCH(AE$1,'Исходник'!$1:$1,0)))</f>
        <v/>
      </c>
      <c r="AF901" s="1" t="str">
        <f t="array" ref="AF901">IFERROR(INDEX('Исходник'!$1:$626,MATCH($A901,'Исходник'!$T:$T,0),MATCH(AF$1,'Исходник'!$1:$1,0)))</f>
        <v/>
      </c>
      <c r="AG901" s="27" t="str">
        <f t="shared" si="14"/>
        <v/>
      </c>
      <c r="AH901" s="1" t="str">
        <f t="array" ref="AH901">IFERROR(INDEX('Исходник'!$1:$626,MATCH($A901,'Исходник'!$T:$T,0),MATCH(AH$1,'Исходник'!$1:$1,0)))</f>
        <v/>
      </c>
      <c r="AI901" s="1" t="str">
        <f t="array" ref="AI901">IFERROR(INDEX('Исходник'!$1:$626,MATCH($A901,'Исходник'!$T:$T,0),MATCH(AI$1,'Исходник'!$1:$1,0)))</f>
        <v/>
      </c>
      <c r="AJ901" s="18">
        <f t="shared" si="15"/>
        <v>0</v>
      </c>
    </row>
    <row r="902" ht="15.75" customHeight="1">
      <c r="A902" s="27"/>
      <c r="B902" s="1" t="str">
        <f t="array" ref="B902">IFERROR(INDEX('Исходник'!$1:$626,MATCH($A902,'Исходник'!$T:$T,0),MATCH(B$1,'Исходник'!$1:$1,0)))</f>
        <v/>
      </c>
      <c r="C902" s="1" t="str">
        <f t="array" ref="C902">IFERROR(INDEX('Исходник'!$1:$626,MATCH($A902,'Исходник'!$T:$T,0),MATCH(C$1,'Исходник'!$1:$1,0)))</f>
        <v/>
      </c>
      <c r="D902" s="1" t="str">
        <f t="array" ref="D902">IFERROR(INDEX('Исходник'!$1:$626,MATCH($A902,'Исходник'!$T:$T,0),MATCH(D$1,'Исходник'!$1:$1,0)))</f>
        <v/>
      </c>
      <c r="E902" s="1" t="str">
        <f t="array" ref="E902">IFERROR(INDEX('Исходник'!$1:$626,MATCH($A902,'Исходник'!$T:$T,0),MATCH(E$1,'Исходник'!$1:$1,0)))</f>
        <v/>
      </c>
      <c r="F902" s="1" t="str">
        <f t="array" ref="F902">IFERROR(INDEX('Исходник'!$1:$626,MATCH($A902,'Исходник'!$T:$T,0),MATCH(F$1,'Исходник'!$1:$1,0)))</f>
        <v/>
      </c>
      <c r="G902" s="1" t="str">
        <f t="array" ref="G902">IFERROR(INDEX('Исходник'!$1:$626,MATCH($A902,'Исходник'!$T:$T,0),MATCH(G$1,'Исходник'!$1:$1,0)))</f>
        <v/>
      </c>
      <c r="H902" s="27">
        <f t="shared" si="1"/>
        <v>0</v>
      </c>
      <c r="I902" s="27" t="str">
        <f t="shared" si="2"/>
        <v/>
      </c>
      <c r="J902" s="1" t="str">
        <f t="array" ref="J902">IFERROR(INDEX('Исходник'!$1:$626,MATCH($A902,'Исходник'!$T:$T,0),MATCH(J$1,'Исходник'!$1:$1,0)))</f>
        <v/>
      </c>
      <c r="K902" s="27" t="str">
        <f t="shared" si="3"/>
        <v/>
      </c>
      <c r="L902" s="1" t="str">
        <f t="array" ref="L902">IFERROR(INDEX('Исходник'!$1:$626,MATCH($A902,'Исходник'!$T:$T,0),MATCH(L$1,'Исходник'!$1:$1,0)))</f>
        <v/>
      </c>
      <c r="M902" s="28">
        <f t="shared" si="4"/>
        <v>0</v>
      </c>
      <c r="N902" s="1" t="str">
        <f t="array" ref="N902">IFERROR(INDEX('Исходник'!$1:$626,MATCH($A902,'Исходник'!$T:$T,0),MATCH(N$1,'Исходник'!$1:$1,0)))</f>
        <v/>
      </c>
      <c r="O902" s="27">
        <f t="shared" si="5"/>
        <v>0</v>
      </c>
      <c r="P902" s="27" t="str">
        <f t="shared" si="6"/>
        <v/>
      </c>
      <c r="Q902" s="1" t="str">
        <f t="array" ref="Q902">IFERROR(INDEX('Исходник'!$1:$626,MATCH($A902,'Исходник'!$T:$T,0),MATCH(Q$1,'Исходник'!$1:$1,0)))</f>
        <v/>
      </c>
      <c r="R902" s="1" t="str">
        <f t="array" ref="R902">IFERROR(INDEX('Исходник'!$1:$626,MATCH($A902,'Исходник'!$T:$T,0),MATCH(R$1,'Исходник'!$1:$1,0)))</f>
        <v/>
      </c>
      <c r="S902" s="27">
        <f t="shared" si="7"/>
        <v>0</v>
      </c>
      <c r="T902" s="27" t="str">
        <f t="shared" si="8"/>
        <v/>
      </c>
      <c r="U902" s="1" t="str">
        <f t="array" ref="U902">IFERROR(INDEX('Исходник'!$1:$626,MATCH($A902,'Исходник'!$T:$T,0),MATCH(U$1,'Исходник'!$1:$1,0)))</f>
        <v/>
      </c>
      <c r="V902" s="27" t="str">
        <f t="shared" si="9"/>
        <v/>
      </c>
      <c r="W902" s="1" t="str">
        <f t="array" ref="W902">IFERROR(INDEX('Исходник'!$1:$626,MATCH($A902,'Исходник'!$T:$T,0),MATCH(W$1,'Исходник'!$1:$1,0)))</f>
        <v/>
      </c>
      <c r="X902" s="28">
        <f t="shared" si="10"/>
        <v>0</v>
      </c>
      <c r="Y902" s="1" t="str">
        <f t="array" ref="Y902">IFERROR(INDEX('Исходник'!$1:$626,MATCH($A902,'Исходник'!$T:$T,0),MATCH(Y$1,'Исходник'!$1:$1,0)))</f>
        <v/>
      </c>
      <c r="Z902" s="27">
        <f t="shared" si="11"/>
        <v>0</v>
      </c>
      <c r="AA902" s="27" t="str">
        <f t="shared" si="12"/>
        <v/>
      </c>
      <c r="AB902" s="1" t="str">
        <f t="array" ref="AB902">IFERROR(INDEX('Исходник'!$1:$626,MATCH($A902,'Исходник'!$T:$T,0),MATCH(AB$1,'Исходник'!$1:$1,0)))</f>
        <v/>
      </c>
      <c r="AC902" s="1" t="str">
        <f t="array" ref="AC902">IFERROR(INDEX('Исходник'!$1:$626,MATCH($A902,'Исходник'!$T:$T,0),MATCH(AC$1,'Исходник'!$1:$1,0)))</f>
        <v/>
      </c>
      <c r="AD902" s="27" t="str">
        <f t="shared" si="13"/>
        <v/>
      </c>
      <c r="AE902" s="1" t="str">
        <f t="array" ref="AE902">IFERROR(INDEX('Исходник'!$1:$626,MATCH($A902,'Исходник'!$T:$T,0),MATCH(AE$1,'Исходник'!$1:$1,0)))</f>
        <v/>
      </c>
      <c r="AF902" s="1" t="str">
        <f t="array" ref="AF902">IFERROR(INDEX('Исходник'!$1:$626,MATCH($A902,'Исходник'!$T:$T,0),MATCH(AF$1,'Исходник'!$1:$1,0)))</f>
        <v/>
      </c>
      <c r="AG902" s="27" t="str">
        <f t="shared" si="14"/>
        <v/>
      </c>
      <c r="AH902" s="1" t="str">
        <f t="array" ref="AH902">IFERROR(INDEX('Исходник'!$1:$626,MATCH($A902,'Исходник'!$T:$T,0),MATCH(AH$1,'Исходник'!$1:$1,0)))</f>
        <v/>
      </c>
      <c r="AI902" s="1" t="str">
        <f t="array" ref="AI902">IFERROR(INDEX('Исходник'!$1:$626,MATCH($A902,'Исходник'!$T:$T,0),MATCH(AI$1,'Исходник'!$1:$1,0)))</f>
        <v/>
      </c>
      <c r="AJ902" s="18">
        <f t="shared" si="15"/>
        <v>0</v>
      </c>
    </row>
    <row r="903" ht="15.75" customHeight="1">
      <c r="A903" s="27"/>
      <c r="B903" s="1" t="str">
        <f t="array" ref="B903">IFERROR(INDEX('Исходник'!$1:$626,MATCH($A903,'Исходник'!$T:$T,0),MATCH(B$1,'Исходник'!$1:$1,0)))</f>
        <v/>
      </c>
      <c r="C903" s="1" t="str">
        <f t="array" ref="C903">IFERROR(INDEX('Исходник'!$1:$626,MATCH($A903,'Исходник'!$T:$T,0),MATCH(C$1,'Исходник'!$1:$1,0)))</f>
        <v/>
      </c>
      <c r="D903" s="1" t="str">
        <f t="array" ref="D903">IFERROR(INDEX('Исходник'!$1:$626,MATCH($A903,'Исходник'!$T:$T,0),MATCH(D$1,'Исходник'!$1:$1,0)))</f>
        <v/>
      </c>
      <c r="E903" s="1" t="str">
        <f t="array" ref="E903">IFERROR(INDEX('Исходник'!$1:$626,MATCH($A903,'Исходник'!$T:$T,0),MATCH(E$1,'Исходник'!$1:$1,0)))</f>
        <v/>
      </c>
      <c r="F903" s="1" t="str">
        <f t="array" ref="F903">IFERROR(INDEX('Исходник'!$1:$626,MATCH($A903,'Исходник'!$T:$T,0),MATCH(F$1,'Исходник'!$1:$1,0)))</f>
        <v/>
      </c>
      <c r="G903" s="1" t="str">
        <f t="array" ref="G903">IFERROR(INDEX('Исходник'!$1:$626,MATCH($A903,'Исходник'!$T:$T,0),MATCH(G$1,'Исходник'!$1:$1,0)))</f>
        <v/>
      </c>
      <c r="H903" s="27">
        <f t="shared" si="1"/>
        <v>0</v>
      </c>
      <c r="I903" s="27" t="str">
        <f t="shared" si="2"/>
        <v/>
      </c>
      <c r="J903" s="1" t="str">
        <f t="array" ref="J903">IFERROR(INDEX('Исходник'!$1:$626,MATCH($A903,'Исходник'!$T:$T,0),MATCH(J$1,'Исходник'!$1:$1,0)))</f>
        <v/>
      </c>
      <c r="K903" s="27" t="str">
        <f t="shared" si="3"/>
        <v/>
      </c>
      <c r="L903" s="1" t="str">
        <f t="array" ref="L903">IFERROR(INDEX('Исходник'!$1:$626,MATCH($A903,'Исходник'!$T:$T,0),MATCH(L$1,'Исходник'!$1:$1,0)))</f>
        <v/>
      </c>
      <c r="M903" s="28">
        <f t="shared" si="4"/>
        <v>0</v>
      </c>
      <c r="N903" s="1" t="str">
        <f t="array" ref="N903">IFERROR(INDEX('Исходник'!$1:$626,MATCH($A903,'Исходник'!$T:$T,0),MATCH(N$1,'Исходник'!$1:$1,0)))</f>
        <v/>
      </c>
      <c r="O903" s="27">
        <f t="shared" si="5"/>
        <v>0</v>
      </c>
      <c r="P903" s="27" t="str">
        <f t="shared" si="6"/>
        <v/>
      </c>
      <c r="Q903" s="1" t="str">
        <f t="array" ref="Q903">IFERROR(INDEX('Исходник'!$1:$626,MATCH($A903,'Исходник'!$T:$T,0),MATCH(Q$1,'Исходник'!$1:$1,0)))</f>
        <v/>
      </c>
      <c r="R903" s="1" t="str">
        <f t="array" ref="R903">IFERROR(INDEX('Исходник'!$1:$626,MATCH($A903,'Исходник'!$T:$T,0),MATCH(R$1,'Исходник'!$1:$1,0)))</f>
        <v/>
      </c>
      <c r="S903" s="27">
        <f t="shared" si="7"/>
        <v>0</v>
      </c>
      <c r="T903" s="27" t="str">
        <f t="shared" si="8"/>
        <v/>
      </c>
      <c r="U903" s="1" t="str">
        <f t="array" ref="U903">IFERROR(INDEX('Исходник'!$1:$626,MATCH($A903,'Исходник'!$T:$T,0),MATCH(U$1,'Исходник'!$1:$1,0)))</f>
        <v/>
      </c>
      <c r="V903" s="27" t="str">
        <f t="shared" si="9"/>
        <v/>
      </c>
      <c r="W903" s="1" t="str">
        <f t="array" ref="W903">IFERROR(INDEX('Исходник'!$1:$626,MATCH($A903,'Исходник'!$T:$T,0),MATCH(W$1,'Исходник'!$1:$1,0)))</f>
        <v/>
      </c>
      <c r="X903" s="28">
        <f t="shared" si="10"/>
        <v>0</v>
      </c>
      <c r="Y903" s="1" t="str">
        <f t="array" ref="Y903">IFERROR(INDEX('Исходник'!$1:$626,MATCH($A903,'Исходник'!$T:$T,0),MATCH(Y$1,'Исходник'!$1:$1,0)))</f>
        <v/>
      </c>
      <c r="Z903" s="27">
        <f t="shared" si="11"/>
        <v>0</v>
      </c>
      <c r="AA903" s="27" t="str">
        <f t="shared" si="12"/>
        <v/>
      </c>
      <c r="AB903" s="1" t="str">
        <f t="array" ref="AB903">IFERROR(INDEX('Исходник'!$1:$626,MATCH($A903,'Исходник'!$T:$T,0),MATCH(AB$1,'Исходник'!$1:$1,0)))</f>
        <v/>
      </c>
      <c r="AC903" s="1" t="str">
        <f t="array" ref="AC903">IFERROR(INDEX('Исходник'!$1:$626,MATCH($A903,'Исходник'!$T:$T,0),MATCH(AC$1,'Исходник'!$1:$1,0)))</f>
        <v/>
      </c>
      <c r="AD903" s="27" t="str">
        <f t="shared" si="13"/>
        <v/>
      </c>
      <c r="AE903" s="1" t="str">
        <f t="array" ref="AE903">IFERROR(INDEX('Исходник'!$1:$626,MATCH($A903,'Исходник'!$T:$T,0),MATCH(AE$1,'Исходник'!$1:$1,0)))</f>
        <v/>
      </c>
      <c r="AF903" s="1" t="str">
        <f t="array" ref="AF903">IFERROR(INDEX('Исходник'!$1:$626,MATCH($A903,'Исходник'!$T:$T,0),MATCH(AF$1,'Исходник'!$1:$1,0)))</f>
        <v/>
      </c>
      <c r="AG903" s="27" t="str">
        <f t="shared" si="14"/>
        <v/>
      </c>
      <c r="AH903" s="1" t="str">
        <f t="array" ref="AH903">IFERROR(INDEX('Исходник'!$1:$626,MATCH($A903,'Исходник'!$T:$T,0),MATCH(AH$1,'Исходник'!$1:$1,0)))</f>
        <v/>
      </c>
      <c r="AI903" s="1" t="str">
        <f t="array" ref="AI903">IFERROR(INDEX('Исходник'!$1:$626,MATCH($A903,'Исходник'!$T:$T,0),MATCH(AI$1,'Исходник'!$1:$1,0)))</f>
        <v/>
      </c>
      <c r="AJ903" s="18">
        <f t="shared" si="15"/>
        <v>0</v>
      </c>
    </row>
    <row r="904" ht="15.75" customHeight="1">
      <c r="A904" s="27"/>
      <c r="B904" s="1" t="str">
        <f t="array" ref="B904">IFERROR(INDEX('Исходник'!$1:$626,MATCH($A904,'Исходник'!$T:$T,0),MATCH(B$1,'Исходник'!$1:$1,0)))</f>
        <v/>
      </c>
      <c r="C904" s="1" t="str">
        <f t="array" ref="C904">IFERROR(INDEX('Исходник'!$1:$626,MATCH($A904,'Исходник'!$T:$T,0),MATCH(C$1,'Исходник'!$1:$1,0)))</f>
        <v/>
      </c>
      <c r="D904" s="1" t="str">
        <f t="array" ref="D904">IFERROR(INDEX('Исходник'!$1:$626,MATCH($A904,'Исходник'!$T:$T,0),MATCH(D$1,'Исходник'!$1:$1,0)))</f>
        <v/>
      </c>
      <c r="E904" s="1" t="str">
        <f t="array" ref="E904">IFERROR(INDEX('Исходник'!$1:$626,MATCH($A904,'Исходник'!$T:$T,0),MATCH(E$1,'Исходник'!$1:$1,0)))</f>
        <v/>
      </c>
      <c r="F904" s="1" t="str">
        <f t="array" ref="F904">IFERROR(INDEX('Исходник'!$1:$626,MATCH($A904,'Исходник'!$T:$T,0),MATCH(F$1,'Исходник'!$1:$1,0)))</f>
        <v/>
      </c>
      <c r="G904" s="1" t="str">
        <f t="array" ref="G904">IFERROR(INDEX('Исходник'!$1:$626,MATCH($A904,'Исходник'!$T:$T,0),MATCH(G$1,'Исходник'!$1:$1,0)))</f>
        <v/>
      </c>
      <c r="H904" s="27">
        <f t="shared" si="1"/>
        <v>0</v>
      </c>
      <c r="I904" s="27" t="str">
        <f t="shared" si="2"/>
        <v/>
      </c>
      <c r="J904" s="1" t="str">
        <f t="array" ref="J904">IFERROR(INDEX('Исходник'!$1:$626,MATCH($A904,'Исходник'!$T:$T,0),MATCH(J$1,'Исходник'!$1:$1,0)))</f>
        <v/>
      </c>
      <c r="K904" s="27" t="str">
        <f t="shared" si="3"/>
        <v/>
      </c>
      <c r="L904" s="1" t="str">
        <f t="array" ref="L904">IFERROR(INDEX('Исходник'!$1:$626,MATCH($A904,'Исходник'!$T:$T,0),MATCH(L$1,'Исходник'!$1:$1,0)))</f>
        <v/>
      </c>
      <c r="M904" s="28">
        <f t="shared" si="4"/>
        <v>0</v>
      </c>
      <c r="N904" s="1" t="str">
        <f t="array" ref="N904">IFERROR(INDEX('Исходник'!$1:$626,MATCH($A904,'Исходник'!$T:$T,0),MATCH(N$1,'Исходник'!$1:$1,0)))</f>
        <v/>
      </c>
      <c r="O904" s="27">
        <f t="shared" si="5"/>
        <v>0</v>
      </c>
      <c r="P904" s="27" t="str">
        <f t="shared" si="6"/>
        <v/>
      </c>
      <c r="Q904" s="1" t="str">
        <f t="array" ref="Q904">IFERROR(INDEX('Исходник'!$1:$626,MATCH($A904,'Исходник'!$T:$T,0),MATCH(Q$1,'Исходник'!$1:$1,0)))</f>
        <v/>
      </c>
      <c r="R904" s="1" t="str">
        <f t="array" ref="R904">IFERROR(INDEX('Исходник'!$1:$626,MATCH($A904,'Исходник'!$T:$T,0),MATCH(R$1,'Исходник'!$1:$1,0)))</f>
        <v/>
      </c>
      <c r="S904" s="27">
        <f t="shared" si="7"/>
        <v>0</v>
      </c>
      <c r="T904" s="27" t="str">
        <f t="shared" si="8"/>
        <v/>
      </c>
      <c r="U904" s="1" t="str">
        <f t="array" ref="U904">IFERROR(INDEX('Исходник'!$1:$626,MATCH($A904,'Исходник'!$T:$T,0),MATCH(U$1,'Исходник'!$1:$1,0)))</f>
        <v/>
      </c>
      <c r="V904" s="27" t="str">
        <f t="shared" si="9"/>
        <v/>
      </c>
      <c r="W904" s="1" t="str">
        <f t="array" ref="W904">IFERROR(INDEX('Исходник'!$1:$626,MATCH($A904,'Исходник'!$T:$T,0),MATCH(W$1,'Исходник'!$1:$1,0)))</f>
        <v/>
      </c>
      <c r="X904" s="28">
        <f t="shared" si="10"/>
        <v>0</v>
      </c>
      <c r="Y904" s="1" t="str">
        <f t="array" ref="Y904">IFERROR(INDEX('Исходник'!$1:$626,MATCH($A904,'Исходник'!$T:$T,0),MATCH(Y$1,'Исходник'!$1:$1,0)))</f>
        <v/>
      </c>
      <c r="Z904" s="27">
        <f t="shared" si="11"/>
        <v>0</v>
      </c>
      <c r="AA904" s="27" t="str">
        <f t="shared" si="12"/>
        <v/>
      </c>
      <c r="AB904" s="1" t="str">
        <f t="array" ref="AB904">IFERROR(INDEX('Исходник'!$1:$626,MATCH($A904,'Исходник'!$T:$T,0),MATCH(AB$1,'Исходник'!$1:$1,0)))</f>
        <v/>
      </c>
      <c r="AC904" s="1" t="str">
        <f t="array" ref="AC904">IFERROR(INDEX('Исходник'!$1:$626,MATCH($A904,'Исходник'!$T:$T,0),MATCH(AC$1,'Исходник'!$1:$1,0)))</f>
        <v/>
      </c>
      <c r="AD904" s="27" t="str">
        <f t="shared" si="13"/>
        <v/>
      </c>
      <c r="AE904" s="1" t="str">
        <f t="array" ref="AE904">IFERROR(INDEX('Исходник'!$1:$626,MATCH($A904,'Исходник'!$T:$T,0),MATCH(AE$1,'Исходник'!$1:$1,0)))</f>
        <v/>
      </c>
      <c r="AF904" s="1" t="str">
        <f t="array" ref="AF904">IFERROR(INDEX('Исходник'!$1:$626,MATCH($A904,'Исходник'!$T:$T,0),MATCH(AF$1,'Исходник'!$1:$1,0)))</f>
        <v/>
      </c>
      <c r="AG904" s="27" t="str">
        <f t="shared" si="14"/>
        <v/>
      </c>
      <c r="AH904" s="1" t="str">
        <f t="array" ref="AH904">IFERROR(INDEX('Исходник'!$1:$626,MATCH($A904,'Исходник'!$T:$T,0),MATCH(AH$1,'Исходник'!$1:$1,0)))</f>
        <v/>
      </c>
      <c r="AI904" s="1" t="str">
        <f t="array" ref="AI904">IFERROR(INDEX('Исходник'!$1:$626,MATCH($A904,'Исходник'!$T:$T,0),MATCH(AI$1,'Исходник'!$1:$1,0)))</f>
        <v/>
      </c>
      <c r="AJ904" s="18">
        <f t="shared" si="15"/>
        <v>0</v>
      </c>
    </row>
    <row r="905" ht="15.75" customHeight="1">
      <c r="A905" s="27"/>
      <c r="B905" s="1" t="str">
        <f t="array" ref="B905">IFERROR(INDEX('Исходник'!$1:$626,MATCH($A905,'Исходник'!$T:$T,0),MATCH(B$1,'Исходник'!$1:$1,0)))</f>
        <v/>
      </c>
      <c r="C905" s="1" t="str">
        <f t="array" ref="C905">IFERROR(INDEX('Исходник'!$1:$626,MATCH($A905,'Исходник'!$T:$T,0),MATCH(C$1,'Исходник'!$1:$1,0)))</f>
        <v/>
      </c>
      <c r="D905" s="1" t="str">
        <f t="array" ref="D905">IFERROR(INDEX('Исходник'!$1:$626,MATCH($A905,'Исходник'!$T:$T,0),MATCH(D$1,'Исходник'!$1:$1,0)))</f>
        <v/>
      </c>
      <c r="E905" s="1" t="str">
        <f t="array" ref="E905">IFERROR(INDEX('Исходник'!$1:$626,MATCH($A905,'Исходник'!$T:$T,0),MATCH(E$1,'Исходник'!$1:$1,0)))</f>
        <v/>
      </c>
      <c r="F905" s="1" t="str">
        <f t="array" ref="F905">IFERROR(INDEX('Исходник'!$1:$626,MATCH($A905,'Исходник'!$T:$T,0),MATCH(F$1,'Исходник'!$1:$1,0)))</f>
        <v/>
      </c>
      <c r="G905" s="1" t="str">
        <f t="array" ref="G905">IFERROR(INDEX('Исходник'!$1:$626,MATCH($A905,'Исходник'!$T:$T,0),MATCH(G$1,'Исходник'!$1:$1,0)))</f>
        <v/>
      </c>
      <c r="H905" s="27">
        <f t="shared" si="1"/>
        <v>0</v>
      </c>
      <c r="I905" s="27" t="str">
        <f t="shared" si="2"/>
        <v/>
      </c>
      <c r="J905" s="1" t="str">
        <f t="array" ref="J905">IFERROR(INDEX('Исходник'!$1:$626,MATCH($A905,'Исходник'!$T:$T,0),MATCH(J$1,'Исходник'!$1:$1,0)))</f>
        <v/>
      </c>
      <c r="K905" s="27" t="str">
        <f t="shared" si="3"/>
        <v/>
      </c>
      <c r="L905" s="1" t="str">
        <f t="array" ref="L905">IFERROR(INDEX('Исходник'!$1:$626,MATCH($A905,'Исходник'!$T:$T,0),MATCH(L$1,'Исходник'!$1:$1,0)))</f>
        <v/>
      </c>
      <c r="M905" s="28">
        <f t="shared" si="4"/>
        <v>0</v>
      </c>
      <c r="N905" s="1" t="str">
        <f t="array" ref="N905">IFERROR(INDEX('Исходник'!$1:$626,MATCH($A905,'Исходник'!$T:$T,0),MATCH(N$1,'Исходник'!$1:$1,0)))</f>
        <v/>
      </c>
      <c r="O905" s="27">
        <f t="shared" si="5"/>
        <v>0</v>
      </c>
      <c r="P905" s="27" t="str">
        <f t="shared" si="6"/>
        <v/>
      </c>
      <c r="Q905" s="1" t="str">
        <f t="array" ref="Q905">IFERROR(INDEX('Исходник'!$1:$626,MATCH($A905,'Исходник'!$T:$T,0),MATCH(Q$1,'Исходник'!$1:$1,0)))</f>
        <v/>
      </c>
      <c r="R905" s="1" t="str">
        <f t="array" ref="R905">IFERROR(INDEX('Исходник'!$1:$626,MATCH($A905,'Исходник'!$T:$T,0),MATCH(R$1,'Исходник'!$1:$1,0)))</f>
        <v/>
      </c>
      <c r="S905" s="27">
        <f t="shared" si="7"/>
        <v>0</v>
      </c>
      <c r="T905" s="27" t="str">
        <f t="shared" si="8"/>
        <v/>
      </c>
      <c r="U905" s="1" t="str">
        <f t="array" ref="U905">IFERROR(INDEX('Исходник'!$1:$626,MATCH($A905,'Исходник'!$T:$T,0),MATCH(U$1,'Исходник'!$1:$1,0)))</f>
        <v/>
      </c>
      <c r="V905" s="27" t="str">
        <f t="shared" si="9"/>
        <v/>
      </c>
      <c r="W905" s="1" t="str">
        <f t="array" ref="W905">IFERROR(INDEX('Исходник'!$1:$626,MATCH($A905,'Исходник'!$T:$T,0),MATCH(W$1,'Исходник'!$1:$1,0)))</f>
        <v/>
      </c>
      <c r="X905" s="28">
        <f t="shared" si="10"/>
        <v>0</v>
      </c>
      <c r="Y905" s="1" t="str">
        <f t="array" ref="Y905">IFERROR(INDEX('Исходник'!$1:$626,MATCH($A905,'Исходник'!$T:$T,0),MATCH(Y$1,'Исходник'!$1:$1,0)))</f>
        <v/>
      </c>
      <c r="Z905" s="27">
        <f t="shared" si="11"/>
        <v>0</v>
      </c>
      <c r="AA905" s="27" t="str">
        <f t="shared" si="12"/>
        <v/>
      </c>
      <c r="AB905" s="1" t="str">
        <f t="array" ref="AB905">IFERROR(INDEX('Исходник'!$1:$626,MATCH($A905,'Исходник'!$T:$T,0),MATCH(AB$1,'Исходник'!$1:$1,0)))</f>
        <v/>
      </c>
      <c r="AC905" s="1" t="str">
        <f t="array" ref="AC905">IFERROR(INDEX('Исходник'!$1:$626,MATCH($A905,'Исходник'!$T:$T,0),MATCH(AC$1,'Исходник'!$1:$1,0)))</f>
        <v/>
      </c>
      <c r="AD905" s="27" t="str">
        <f t="shared" si="13"/>
        <v/>
      </c>
      <c r="AE905" s="1" t="str">
        <f t="array" ref="AE905">IFERROR(INDEX('Исходник'!$1:$626,MATCH($A905,'Исходник'!$T:$T,0),MATCH(AE$1,'Исходник'!$1:$1,0)))</f>
        <v/>
      </c>
      <c r="AF905" s="1" t="str">
        <f t="array" ref="AF905">IFERROR(INDEX('Исходник'!$1:$626,MATCH($A905,'Исходник'!$T:$T,0),MATCH(AF$1,'Исходник'!$1:$1,0)))</f>
        <v/>
      </c>
      <c r="AG905" s="27" t="str">
        <f t="shared" si="14"/>
        <v/>
      </c>
      <c r="AH905" s="1" t="str">
        <f t="array" ref="AH905">IFERROR(INDEX('Исходник'!$1:$626,MATCH($A905,'Исходник'!$T:$T,0),MATCH(AH$1,'Исходник'!$1:$1,0)))</f>
        <v/>
      </c>
      <c r="AI905" s="1" t="str">
        <f t="array" ref="AI905">IFERROR(INDEX('Исходник'!$1:$626,MATCH($A905,'Исходник'!$T:$T,0),MATCH(AI$1,'Исходник'!$1:$1,0)))</f>
        <v/>
      </c>
      <c r="AJ905" s="18">
        <f t="shared" si="15"/>
        <v>0</v>
      </c>
    </row>
    <row r="906" ht="15.75" customHeight="1">
      <c r="A906" s="27"/>
      <c r="B906" s="1" t="str">
        <f t="array" ref="B906">IFERROR(INDEX('Исходник'!$1:$626,MATCH($A906,'Исходник'!$T:$T,0),MATCH(B$1,'Исходник'!$1:$1,0)))</f>
        <v/>
      </c>
      <c r="C906" s="1" t="str">
        <f t="array" ref="C906">IFERROR(INDEX('Исходник'!$1:$626,MATCH($A906,'Исходник'!$T:$T,0),MATCH(C$1,'Исходник'!$1:$1,0)))</f>
        <v/>
      </c>
      <c r="D906" s="1" t="str">
        <f t="array" ref="D906">IFERROR(INDEX('Исходник'!$1:$626,MATCH($A906,'Исходник'!$T:$T,0),MATCH(D$1,'Исходник'!$1:$1,0)))</f>
        <v/>
      </c>
      <c r="E906" s="1" t="str">
        <f t="array" ref="E906">IFERROR(INDEX('Исходник'!$1:$626,MATCH($A906,'Исходник'!$T:$T,0),MATCH(E$1,'Исходник'!$1:$1,0)))</f>
        <v/>
      </c>
      <c r="F906" s="1" t="str">
        <f t="array" ref="F906">IFERROR(INDEX('Исходник'!$1:$626,MATCH($A906,'Исходник'!$T:$T,0),MATCH(F$1,'Исходник'!$1:$1,0)))</f>
        <v/>
      </c>
      <c r="G906" s="1" t="str">
        <f t="array" ref="G906">IFERROR(INDEX('Исходник'!$1:$626,MATCH($A906,'Исходник'!$T:$T,0),MATCH(G$1,'Исходник'!$1:$1,0)))</f>
        <v/>
      </c>
      <c r="H906" s="27">
        <f t="shared" si="1"/>
        <v>0</v>
      </c>
      <c r="I906" s="27" t="str">
        <f t="shared" si="2"/>
        <v/>
      </c>
      <c r="J906" s="1" t="str">
        <f t="array" ref="J906">IFERROR(INDEX('Исходник'!$1:$626,MATCH($A906,'Исходник'!$T:$T,0),MATCH(J$1,'Исходник'!$1:$1,0)))</f>
        <v/>
      </c>
      <c r="K906" s="27" t="str">
        <f t="shared" si="3"/>
        <v/>
      </c>
      <c r="L906" s="1" t="str">
        <f t="array" ref="L906">IFERROR(INDEX('Исходник'!$1:$626,MATCH($A906,'Исходник'!$T:$T,0),MATCH(L$1,'Исходник'!$1:$1,0)))</f>
        <v/>
      </c>
      <c r="M906" s="28">
        <f t="shared" si="4"/>
        <v>0</v>
      </c>
      <c r="N906" s="1" t="str">
        <f t="array" ref="N906">IFERROR(INDEX('Исходник'!$1:$626,MATCH($A906,'Исходник'!$T:$T,0),MATCH(N$1,'Исходник'!$1:$1,0)))</f>
        <v/>
      </c>
      <c r="O906" s="27">
        <f t="shared" si="5"/>
        <v>0</v>
      </c>
      <c r="P906" s="27" t="str">
        <f t="shared" si="6"/>
        <v/>
      </c>
      <c r="Q906" s="1" t="str">
        <f t="array" ref="Q906">IFERROR(INDEX('Исходник'!$1:$626,MATCH($A906,'Исходник'!$T:$T,0),MATCH(Q$1,'Исходник'!$1:$1,0)))</f>
        <v/>
      </c>
      <c r="R906" s="1" t="str">
        <f t="array" ref="R906">IFERROR(INDEX('Исходник'!$1:$626,MATCH($A906,'Исходник'!$T:$T,0),MATCH(R$1,'Исходник'!$1:$1,0)))</f>
        <v/>
      </c>
      <c r="S906" s="27">
        <f t="shared" si="7"/>
        <v>0</v>
      </c>
      <c r="T906" s="27" t="str">
        <f t="shared" si="8"/>
        <v/>
      </c>
      <c r="U906" s="1" t="str">
        <f t="array" ref="U906">IFERROR(INDEX('Исходник'!$1:$626,MATCH($A906,'Исходник'!$T:$T,0),MATCH(U$1,'Исходник'!$1:$1,0)))</f>
        <v/>
      </c>
      <c r="V906" s="27" t="str">
        <f t="shared" si="9"/>
        <v/>
      </c>
      <c r="W906" s="1" t="str">
        <f t="array" ref="W906">IFERROR(INDEX('Исходник'!$1:$626,MATCH($A906,'Исходник'!$T:$T,0),MATCH(W$1,'Исходник'!$1:$1,0)))</f>
        <v/>
      </c>
      <c r="X906" s="28">
        <f t="shared" si="10"/>
        <v>0</v>
      </c>
      <c r="Y906" s="1" t="str">
        <f t="array" ref="Y906">IFERROR(INDEX('Исходник'!$1:$626,MATCH($A906,'Исходник'!$T:$T,0),MATCH(Y$1,'Исходник'!$1:$1,0)))</f>
        <v/>
      </c>
      <c r="Z906" s="27">
        <f t="shared" si="11"/>
        <v>0</v>
      </c>
      <c r="AA906" s="27" t="str">
        <f t="shared" si="12"/>
        <v/>
      </c>
      <c r="AB906" s="1" t="str">
        <f t="array" ref="AB906">IFERROR(INDEX('Исходник'!$1:$626,MATCH($A906,'Исходник'!$T:$T,0),MATCH(AB$1,'Исходник'!$1:$1,0)))</f>
        <v/>
      </c>
      <c r="AC906" s="1" t="str">
        <f t="array" ref="AC906">IFERROR(INDEX('Исходник'!$1:$626,MATCH($A906,'Исходник'!$T:$T,0),MATCH(AC$1,'Исходник'!$1:$1,0)))</f>
        <v/>
      </c>
      <c r="AD906" s="27" t="str">
        <f t="shared" si="13"/>
        <v/>
      </c>
      <c r="AE906" s="1" t="str">
        <f t="array" ref="AE906">IFERROR(INDEX('Исходник'!$1:$626,MATCH($A906,'Исходник'!$T:$T,0),MATCH(AE$1,'Исходник'!$1:$1,0)))</f>
        <v/>
      </c>
      <c r="AF906" s="1" t="str">
        <f t="array" ref="AF906">IFERROR(INDEX('Исходник'!$1:$626,MATCH($A906,'Исходник'!$T:$T,0),MATCH(AF$1,'Исходник'!$1:$1,0)))</f>
        <v/>
      </c>
      <c r="AG906" s="27" t="str">
        <f t="shared" si="14"/>
        <v/>
      </c>
      <c r="AH906" s="1" t="str">
        <f t="array" ref="AH906">IFERROR(INDEX('Исходник'!$1:$626,MATCH($A906,'Исходник'!$T:$T,0),MATCH(AH$1,'Исходник'!$1:$1,0)))</f>
        <v/>
      </c>
      <c r="AI906" s="1" t="str">
        <f t="array" ref="AI906">IFERROR(INDEX('Исходник'!$1:$626,MATCH($A906,'Исходник'!$T:$T,0),MATCH(AI$1,'Исходник'!$1:$1,0)))</f>
        <v/>
      </c>
      <c r="AJ906" s="18">
        <f t="shared" si="15"/>
        <v>0</v>
      </c>
    </row>
    <row r="907" ht="15.75" customHeight="1">
      <c r="A907" s="27"/>
      <c r="B907" s="1" t="str">
        <f t="array" ref="B907">IFERROR(INDEX('Исходник'!$1:$626,MATCH($A907,'Исходник'!$T:$T,0),MATCH(B$1,'Исходник'!$1:$1,0)))</f>
        <v/>
      </c>
      <c r="C907" s="1" t="str">
        <f t="array" ref="C907">IFERROR(INDEX('Исходник'!$1:$626,MATCH($A907,'Исходник'!$T:$T,0),MATCH(C$1,'Исходник'!$1:$1,0)))</f>
        <v/>
      </c>
      <c r="D907" s="1" t="str">
        <f t="array" ref="D907">IFERROR(INDEX('Исходник'!$1:$626,MATCH($A907,'Исходник'!$T:$T,0),MATCH(D$1,'Исходник'!$1:$1,0)))</f>
        <v/>
      </c>
      <c r="E907" s="1" t="str">
        <f t="array" ref="E907">IFERROR(INDEX('Исходник'!$1:$626,MATCH($A907,'Исходник'!$T:$T,0),MATCH(E$1,'Исходник'!$1:$1,0)))</f>
        <v/>
      </c>
      <c r="F907" s="1" t="str">
        <f t="array" ref="F907">IFERROR(INDEX('Исходник'!$1:$626,MATCH($A907,'Исходник'!$T:$T,0),MATCH(F$1,'Исходник'!$1:$1,0)))</f>
        <v/>
      </c>
      <c r="G907" s="1" t="str">
        <f t="array" ref="G907">IFERROR(INDEX('Исходник'!$1:$626,MATCH($A907,'Исходник'!$T:$T,0),MATCH(G$1,'Исходник'!$1:$1,0)))</f>
        <v/>
      </c>
      <c r="H907" s="27">
        <f t="shared" si="1"/>
        <v>0</v>
      </c>
      <c r="I907" s="27" t="str">
        <f t="shared" si="2"/>
        <v/>
      </c>
      <c r="J907" s="1" t="str">
        <f t="array" ref="J907">IFERROR(INDEX('Исходник'!$1:$626,MATCH($A907,'Исходник'!$T:$T,0),MATCH(J$1,'Исходник'!$1:$1,0)))</f>
        <v/>
      </c>
      <c r="K907" s="27" t="str">
        <f t="shared" si="3"/>
        <v/>
      </c>
      <c r="L907" s="1" t="str">
        <f t="array" ref="L907">IFERROR(INDEX('Исходник'!$1:$626,MATCH($A907,'Исходник'!$T:$T,0),MATCH(L$1,'Исходник'!$1:$1,0)))</f>
        <v/>
      </c>
      <c r="M907" s="28">
        <f t="shared" si="4"/>
        <v>0</v>
      </c>
      <c r="N907" s="1" t="str">
        <f t="array" ref="N907">IFERROR(INDEX('Исходник'!$1:$626,MATCH($A907,'Исходник'!$T:$T,0),MATCH(N$1,'Исходник'!$1:$1,0)))</f>
        <v/>
      </c>
      <c r="O907" s="27">
        <f t="shared" si="5"/>
        <v>0</v>
      </c>
      <c r="P907" s="27" t="str">
        <f t="shared" si="6"/>
        <v/>
      </c>
      <c r="Q907" s="1" t="str">
        <f t="array" ref="Q907">IFERROR(INDEX('Исходник'!$1:$626,MATCH($A907,'Исходник'!$T:$T,0),MATCH(Q$1,'Исходник'!$1:$1,0)))</f>
        <v/>
      </c>
      <c r="R907" s="1" t="str">
        <f t="array" ref="R907">IFERROR(INDEX('Исходник'!$1:$626,MATCH($A907,'Исходник'!$T:$T,0),MATCH(R$1,'Исходник'!$1:$1,0)))</f>
        <v/>
      </c>
      <c r="S907" s="27">
        <f t="shared" si="7"/>
        <v>0</v>
      </c>
      <c r="T907" s="27" t="str">
        <f t="shared" si="8"/>
        <v/>
      </c>
      <c r="U907" s="1" t="str">
        <f t="array" ref="U907">IFERROR(INDEX('Исходник'!$1:$626,MATCH($A907,'Исходник'!$T:$T,0),MATCH(U$1,'Исходник'!$1:$1,0)))</f>
        <v/>
      </c>
      <c r="V907" s="27" t="str">
        <f t="shared" si="9"/>
        <v/>
      </c>
      <c r="W907" s="1" t="str">
        <f t="array" ref="W907">IFERROR(INDEX('Исходник'!$1:$626,MATCH($A907,'Исходник'!$T:$T,0),MATCH(W$1,'Исходник'!$1:$1,0)))</f>
        <v/>
      </c>
      <c r="X907" s="28">
        <f t="shared" si="10"/>
        <v>0</v>
      </c>
      <c r="Y907" s="1" t="str">
        <f t="array" ref="Y907">IFERROR(INDEX('Исходник'!$1:$626,MATCH($A907,'Исходник'!$T:$T,0),MATCH(Y$1,'Исходник'!$1:$1,0)))</f>
        <v/>
      </c>
      <c r="Z907" s="27">
        <f t="shared" si="11"/>
        <v>0</v>
      </c>
      <c r="AA907" s="27" t="str">
        <f t="shared" si="12"/>
        <v/>
      </c>
      <c r="AB907" s="1" t="str">
        <f t="array" ref="AB907">IFERROR(INDEX('Исходник'!$1:$626,MATCH($A907,'Исходник'!$T:$T,0),MATCH(AB$1,'Исходник'!$1:$1,0)))</f>
        <v/>
      </c>
      <c r="AC907" s="1" t="str">
        <f t="array" ref="AC907">IFERROR(INDEX('Исходник'!$1:$626,MATCH($A907,'Исходник'!$T:$T,0),MATCH(AC$1,'Исходник'!$1:$1,0)))</f>
        <v/>
      </c>
      <c r="AD907" s="27" t="str">
        <f t="shared" si="13"/>
        <v/>
      </c>
      <c r="AE907" s="1" t="str">
        <f t="array" ref="AE907">IFERROR(INDEX('Исходник'!$1:$626,MATCH($A907,'Исходник'!$T:$T,0),MATCH(AE$1,'Исходник'!$1:$1,0)))</f>
        <v/>
      </c>
      <c r="AF907" s="1" t="str">
        <f t="array" ref="AF907">IFERROR(INDEX('Исходник'!$1:$626,MATCH($A907,'Исходник'!$T:$T,0),MATCH(AF$1,'Исходник'!$1:$1,0)))</f>
        <v/>
      </c>
      <c r="AG907" s="27" t="str">
        <f t="shared" si="14"/>
        <v/>
      </c>
      <c r="AH907" s="1" t="str">
        <f t="array" ref="AH907">IFERROR(INDEX('Исходник'!$1:$626,MATCH($A907,'Исходник'!$T:$T,0),MATCH(AH$1,'Исходник'!$1:$1,0)))</f>
        <v/>
      </c>
      <c r="AI907" s="1" t="str">
        <f t="array" ref="AI907">IFERROR(INDEX('Исходник'!$1:$626,MATCH($A907,'Исходник'!$T:$T,0),MATCH(AI$1,'Исходник'!$1:$1,0)))</f>
        <v/>
      </c>
      <c r="AJ907" s="18">
        <f t="shared" si="15"/>
        <v>0</v>
      </c>
    </row>
    <row r="908" ht="15.75" customHeight="1">
      <c r="A908" s="27"/>
      <c r="B908" s="1" t="str">
        <f t="array" ref="B908">IFERROR(INDEX('Исходник'!$1:$626,MATCH($A908,'Исходник'!$T:$T,0),MATCH(B$1,'Исходник'!$1:$1,0)))</f>
        <v/>
      </c>
      <c r="C908" s="1" t="str">
        <f t="array" ref="C908">IFERROR(INDEX('Исходник'!$1:$626,MATCH($A908,'Исходник'!$T:$T,0),MATCH(C$1,'Исходник'!$1:$1,0)))</f>
        <v/>
      </c>
      <c r="D908" s="1" t="str">
        <f t="array" ref="D908">IFERROR(INDEX('Исходник'!$1:$626,MATCH($A908,'Исходник'!$T:$T,0),MATCH(D$1,'Исходник'!$1:$1,0)))</f>
        <v/>
      </c>
      <c r="E908" s="1" t="str">
        <f t="array" ref="E908">IFERROR(INDEX('Исходник'!$1:$626,MATCH($A908,'Исходник'!$T:$T,0),MATCH(E$1,'Исходник'!$1:$1,0)))</f>
        <v/>
      </c>
      <c r="F908" s="1" t="str">
        <f t="array" ref="F908">IFERROR(INDEX('Исходник'!$1:$626,MATCH($A908,'Исходник'!$T:$T,0),MATCH(F$1,'Исходник'!$1:$1,0)))</f>
        <v/>
      </c>
      <c r="G908" s="1" t="str">
        <f t="array" ref="G908">IFERROR(INDEX('Исходник'!$1:$626,MATCH($A908,'Исходник'!$T:$T,0),MATCH(G$1,'Исходник'!$1:$1,0)))</f>
        <v/>
      </c>
      <c r="H908" s="27">
        <f t="shared" si="1"/>
        <v>0</v>
      </c>
      <c r="I908" s="27" t="str">
        <f t="shared" si="2"/>
        <v/>
      </c>
      <c r="J908" s="1" t="str">
        <f t="array" ref="J908">IFERROR(INDEX('Исходник'!$1:$626,MATCH($A908,'Исходник'!$T:$T,0),MATCH(J$1,'Исходник'!$1:$1,0)))</f>
        <v/>
      </c>
      <c r="K908" s="27" t="str">
        <f t="shared" si="3"/>
        <v/>
      </c>
      <c r="L908" s="1" t="str">
        <f t="array" ref="L908">IFERROR(INDEX('Исходник'!$1:$626,MATCH($A908,'Исходник'!$T:$T,0),MATCH(L$1,'Исходник'!$1:$1,0)))</f>
        <v/>
      </c>
      <c r="M908" s="28">
        <f t="shared" si="4"/>
        <v>0</v>
      </c>
      <c r="N908" s="1" t="str">
        <f t="array" ref="N908">IFERROR(INDEX('Исходник'!$1:$626,MATCH($A908,'Исходник'!$T:$T,0),MATCH(N$1,'Исходник'!$1:$1,0)))</f>
        <v/>
      </c>
      <c r="O908" s="27">
        <f t="shared" si="5"/>
        <v>0</v>
      </c>
      <c r="P908" s="27" t="str">
        <f t="shared" si="6"/>
        <v/>
      </c>
      <c r="Q908" s="1" t="str">
        <f t="array" ref="Q908">IFERROR(INDEX('Исходник'!$1:$626,MATCH($A908,'Исходник'!$T:$T,0),MATCH(Q$1,'Исходник'!$1:$1,0)))</f>
        <v/>
      </c>
      <c r="R908" s="1" t="str">
        <f t="array" ref="R908">IFERROR(INDEX('Исходник'!$1:$626,MATCH($A908,'Исходник'!$T:$T,0),MATCH(R$1,'Исходник'!$1:$1,0)))</f>
        <v/>
      </c>
      <c r="S908" s="27">
        <f t="shared" si="7"/>
        <v>0</v>
      </c>
      <c r="T908" s="27" t="str">
        <f t="shared" si="8"/>
        <v/>
      </c>
      <c r="U908" s="1" t="str">
        <f t="array" ref="U908">IFERROR(INDEX('Исходник'!$1:$626,MATCH($A908,'Исходник'!$T:$T,0),MATCH(U$1,'Исходник'!$1:$1,0)))</f>
        <v/>
      </c>
      <c r="V908" s="27" t="str">
        <f t="shared" si="9"/>
        <v/>
      </c>
      <c r="W908" s="1" t="str">
        <f t="array" ref="W908">IFERROR(INDEX('Исходник'!$1:$626,MATCH($A908,'Исходник'!$T:$T,0),MATCH(W$1,'Исходник'!$1:$1,0)))</f>
        <v/>
      </c>
      <c r="X908" s="28">
        <f t="shared" si="10"/>
        <v>0</v>
      </c>
      <c r="Y908" s="1" t="str">
        <f t="array" ref="Y908">IFERROR(INDEX('Исходник'!$1:$626,MATCH($A908,'Исходник'!$T:$T,0),MATCH(Y$1,'Исходник'!$1:$1,0)))</f>
        <v/>
      </c>
      <c r="Z908" s="27">
        <f t="shared" si="11"/>
        <v>0</v>
      </c>
      <c r="AA908" s="27" t="str">
        <f t="shared" si="12"/>
        <v/>
      </c>
      <c r="AB908" s="1" t="str">
        <f t="array" ref="AB908">IFERROR(INDEX('Исходник'!$1:$626,MATCH($A908,'Исходник'!$T:$T,0),MATCH(AB$1,'Исходник'!$1:$1,0)))</f>
        <v/>
      </c>
      <c r="AC908" s="1" t="str">
        <f t="array" ref="AC908">IFERROR(INDEX('Исходник'!$1:$626,MATCH($A908,'Исходник'!$T:$T,0),MATCH(AC$1,'Исходник'!$1:$1,0)))</f>
        <v/>
      </c>
      <c r="AD908" s="27" t="str">
        <f t="shared" si="13"/>
        <v/>
      </c>
      <c r="AE908" s="1" t="str">
        <f t="array" ref="AE908">IFERROR(INDEX('Исходник'!$1:$626,MATCH($A908,'Исходник'!$T:$T,0),MATCH(AE$1,'Исходник'!$1:$1,0)))</f>
        <v/>
      </c>
      <c r="AF908" s="1" t="str">
        <f t="array" ref="AF908">IFERROR(INDEX('Исходник'!$1:$626,MATCH($A908,'Исходник'!$T:$T,0),MATCH(AF$1,'Исходник'!$1:$1,0)))</f>
        <v/>
      </c>
      <c r="AG908" s="27" t="str">
        <f t="shared" si="14"/>
        <v/>
      </c>
      <c r="AH908" s="1" t="str">
        <f t="array" ref="AH908">IFERROR(INDEX('Исходник'!$1:$626,MATCH($A908,'Исходник'!$T:$T,0),MATCH(AH$1,'Исходник'!$1:$1,0)))</f>
        <v/>
      </c>
      <c r="AI908" s="1" t="str">
        <f t="array" ref="AI908">IFERROR(INDEX('Исходник'!$1:$626,MATCH($A908,'Исходник'!$T:$T,0),MATCH(AI$1,'Исходник'!$1:$1,0)))</f>
        <v/>
      </c>
      <c r="AJ908" s="18">
        <f t="shared" si="15"/>
        <v>0</v>
      </c>
    </row>
    <row r="909" ht="15.75" customHeight="1">
      <c r="A909" s="27"/>
      <c r="B909" s="1" t="str">
        <f t="array" ref="B909">IFERROR(INDEX('Исходник'!$1:$626,MATCH($A909,'Исходник'!$T:$T,0),MATCH(B$1,'Исходник'!$1:$1,0)))</f>
        <v/>
      </c>
      <c r="C909" s="1" t="str">
        <f t="array" ref="C909">IFERROR(INDEX('Исходник'!$1:$626,MATCH($A909,'Исходник'!$T:$T,0),MATCH(C$1,'Исходник'!$1:$1,0)))</f>
        <v/>
      </c>
      <c r="D909" s="1" t="str">
        <f t="array" ref="D909">IFERROR(INDEX('Исходник'!$1:$626,MATCH($A909,'Исходник'!$T:$T,0),MATCH(D$1,'Исходник'!$1:$1,0)))</f>
        <v/>
      </c>
      <c r="E909" s="1" t="str">
        <f t="array" ref="E909">IFERROR(INDEX('Исходник'!$1:$626,MATCH($A909,'Исходник'!$T:$T,0),MATCH(E$1,'Исходник'!$1:$1,0)))</f>
        <v/>
      </c>
      <c r="F909" s="1" t="str">
        <f t="array" ref="F909">IFERROR(INDEX('Исходник'!$1:$626,MATCH($A909,'Исходник'!$T:$T,0),MATCH(F$1,'Исходник'!$1:$1,0)))</f>
        <v/>
      </c>
      <c r="G909" s="1" t="str">
        <f t="array" ref="G909">IFERROR(INDEX('Исходник'!$1:$626,MATCH($A909,'Исходник'!$T:$T,0),MATCH(G$1,'Исходник'!$1:$1,0)))</f>
        <v/>
      </c>
      <c r="H909" s="27">
        <f t="shared" si="1"/>
        <v>0</v>
      </c>
      <c r="I909" s="27" t="str">
        <f t="shared" si="2"/>
        <v/>
      </c>
      <c r="J909" s="1" t="str">
        <f t="array" ref="J909">IFERROR(INDEX('Исходник'!$1:$626,MATCH($A909,'Исходник'!$T:$T,0),MATCH(J$1,'Исходник'!$1:$1,0)))</f>
        <v/>
      </c>
      <c r="K909" s="27" t="str">
        <f t="shared" si="3"/>
        <v/>
      </c>
      <c r="L909" s="1" t="str">
        <f t="array" ref="L909">IFERROR(INDEX('Исходник'!$1:$626,MATCH($A909,'Исходник'!$T:$T,0),MATCH(L$1,'Исходник'!$1:$1,0)))</f>
        <v/>
      </c>
      <c r="M909" s="28">
        <f t="shared" si="4"/>
        <v>0</v>
      </c>
      <c r="N909" s="1" t="str">
        <f t="array" ref="N909">IFERROR(INDEX('Исходник'!$1:$626,MATCH($A909,'Исходник'!$T:$T,0),MATCH(N$1,'Исходник'!$1:$1,0)))</f>
        <v/>
      </c>
      <c r="O909" s="27">
        <f t="shared" si="5"/>
        <v>0</v>
      </c>
      <c r="P909" s="27" t="str">
        <f t="shared" si="6"/>
        <v/>
      </c>
      <c r="Q909" s="1" t="str">
        <f t="array" ref="Q909">IFERROR(INDEX('Исходник'!$1:$626,MATCH($A909,'Исходник'!$T:$T,0),MATCH(Q$1,'Исходник'!$1:$1,0)))</f>
        <v/>
      </c>
      <c r="R909" s="1" t="str">
        <f t="array" ref="R909">IFERROR(INDEX('Исходник'!$1:$626,MATCH($A909,'Исходник'!$T:$T,0),MATCH(R$1,'Исходник'!$1:$1,0)))</f>
        <v/>
      </c>
      <c r="S909" s="27">
        <f t="shared" si="7"/>
        <v>0</v>
      </c>
      <c r="T909" s="27" t="str">
        <f t="shared" si="8"/>
        <v/>
      </c>
      <c r="U909" s="1" t="str">
        <f t="array" ref="U909">IFERROR(INDEX('Исходник'!$1:$626,MATCH($A909,'Исходник'!$T:$T,0),MATCH(U$1,'Исходник'!$1:$1,0)))</f>
        <v/>
      </c>
      <c r="V909" s="27" t="str">
        <f t="shared" si="9"/>
        <v/>
      </c>
      <c r="W909" s="1" t="str">
        <f t="array" ref="W909">IFERROR(INDEX('Исходник'!$1:$626,MATCH($A909,'Исходник'!$T:$T,0),MATCH(W$1,'Исходник'!$1:$1,0)))</f>
        <v/>
      </c>
      <c r="X909" s="28">
        <f t="shared" si="10"/>
        <v>0</v>
      </c>
      <c r="Y909" s="1" t="str">
        <f t="array" ref="Y909">IFERROR(INDEX('Исходник'!$1:$626,MATCH($A909,'Исходник'!$T:$T,0),MATCH(Y$1,'Исходник'!$1:$1,0)))</f>
        <v/>
      </c>
      <c r="Z909" s="27">
        <f t="shared" si="11"/>
        <v>0</v>
      </c>
      <c r="AA909" s="27" t="str">
        <f t="shared" si="12"/>
        <v/>
      </c>
      <c r="AB909" s="1" t="str">
        <f t="array" ref="AB909">IFERROR(INDEX('Исходник'!$1:$626,MATCH($A909,'Исходник'!$T:$T,0),MATCH(AB$1,'Исходник'!$1:$1,0)))</f>
        <v/>
      </c>
      <c r="AC909" s="1" t="str">
        <f t="array" ref="AC909">IFERROR(INDEX('Исходник'!$1:$626,MATCH($A909,'Исходник'!$T:$T,0),MATCH(AC$1,'Исходник'!$1:$1,0)))</f>
        <v/>
      </c>
      <c r="AD909" s="27" t="str">
        <f t="shared" si="13"/>
        <v/>
      </c>
      <c r="AE909" s="1" t="str">
        <f t="array" ref="AE909">IFERROR(INDEX('Исходник'!$1:$626,MATCH($A909,'Исходник'!$T:$T,0),MATCH(AE$1,'Исходник'!$1:$1,0)))</f>
        <v/>
      </c>
      <c r="AF909" s="1" t="str">
        <f t="array" ref="AF909">IFERROR(INDEX('Исходник'!$1:$626,MATCH($A909,'Исходник'!$T:$T,0),MATCH(AF$1,'Исходник'!$1:$1,0)))</f>
        <v/>
      </c>
      <c r="AG909" s="27" t="str">
        <f t="shared" si="14"/>
        <v/>
      </c>
      <c r="AH909" s="1" t="str">
        <f t="array" ref="AH909">IFERROR(INDEX('Исходник'!$1:$626,MATCH($A909,'Исходник'!$T:$T,0),MATCH(AH$1,'Исходник'!$1:$1,0)))</f>
        <v/>
      </c>
      <c r="AI909" s="1" t="str">
        <f t="array" ref="AI909">IFERROR(INDEX('Исходник'!$1:$626,MATCH($A909,'Исходник'!$T:$T,0),MATCH(AI$1,'Исходник'!$1:$1,0)))</f>
        <v/>
      </c>
      <c r="AJ909" s="18">
        <f t="shared" si="15"/>
        <v>0</v>
      </c>
    </row>
    <row r="910" ht="15.75" customHeight="1">
      <c r="A910" s="27"/>
      <c r="B910" s="1" t="str">
        <f t="array" ref="B910">IFERROR(INDEX('Исходник'!$1:$626,MATCH($A910,'Исходник'!$T:$T,0),MATCH(B$1,'Исходник'!$1:$1,0)))</f>
        <v/>
      </c>
      <c r="C910" s="1" t="str">
        <f t="array" ref="C910">IFERROR(INDEX('Исходник'!$1:$626,MATCH($A910,'Исходник'!$T:$T,0),MATCH(C$1,'Исходник'!$1:$1,0)))</f>
        <v/>
      </c>
      <c r="D910" s="1" t="str">
        <f t="array" ref="D910">IFERROR(INDEX('Исходник'!$1:$626,MATCH($A910,'Исходник'!$T:$T,0),MATCH(D$1,'Исходник'!$1:$1,0)))</f>
        <v/>
      </c>
      <c r="E910" s="1" t="str">
        <f t="array" ref="E910">IFERROR(INDEX('Исходник'!$1:$626,MATCH($A910,'Исходник'!$T:$T,0),MATCH(E$1,'Исходник'!$1:$1,0)))</f>
        <v/>
      </c>
      <c r="F910" s="1" t="str">
        <f t="array" ref="F910">IFERROR(INDEX('Исходник'!$1:$626,MATCH($A910,'Исходник'!$T:$T,0),MATCH(F$1,'Исходник'!$1:$1,0)))</f>
        <v/>
      </c>
      <c r="G910" s="1" t="str">
        <f t="array" ref="G910">IFERROR(INDEX('Исходник'!$1:$626,MATCH($A910,'Исходник'!$T:$T,0),MATCH(G$1,'Исходник'!$1:$1,0)))</f>
        <v/>
      </c>
      <c r="H910" s="27">
        <f t="shared" si="1"/>
        <v>0</v>
      </c>
      <c r="I910" s="27" t="str">
        <f t="shared" si="2"/>
        <v/>
      </c>
      <c r="J910" s="1" t="str">
        <f t="array" ref="J910">IFERROR(INDEX('Исходник'!$1:$626,MATCH($A910,'Исходник'!$T:$T,0),MATCH(J$1,'Исходник'!$1:$1,0)))</f>
        <v/>
      </c>
      <c r="K910" s="27" t="str">
        <f t="shared" si="3"/>
        <v/>
      </c>
      <c r="L910" s="1" t="str">
        <f t="array" ref="L910">IFERROR(INDEX('Исходник'!$1:$626,MATCH($A910,'Исходник'!$T:$T,0),MATCH(L$1,'Исходник'!$1:$1,0)))</f>
        <v/>
      </c>
      <c r="M910" s="28">
        <f t="shared" si="4"/>
        <v>0</v>
      </c>
      <c r="N910" s="1" t="str">
        <f t="array" ref="N910">IFERROR(INDEX('Исходник'!$1:$626,MATCH($A910,'Исходник'!$T:$T,0),MATCH(N$1,'Исходник'!$1:$1,0)))</f>
        <v/>
      </c>
      <c r="O910" s="27">
        <f t="shared" si="5"/>
        <v>0</v>
      </c>
      <c r="P910" s="27" t="str">
        <f t="shared" si="6"/>
        <v/>
      </c>
      <c r="Q910" s="1" t="str">
        <f t="array" ref="Q910">IFERROR(INDEX('Исходник'!$1:$626,MATCH($A910,'Исходник'!$T:$T,0),MATCH(Q$1,'Исходник'!$1:$1,0)))</f>
        <v/>
      </c>
      <c r="R910" s="1" t="str">
        <f t="array" ref="R910">IFERROR(INDEX('Исходник'!$1:$626,MATCH($A910,'Исходник'!$T:$T,0),MATCH(R$1,'Исходник'!$1:$1,0)))</f>
        <v/>
      </c>
      <c r="S910" s="27">
        <f t="shared" si="7"/>
        <v>0</v>
      </c>
      <c r="T910" s="27" t="str">
        <f t="shared" si="8"/>
        <v/>
      </c>
      <c r="U910" s="1" t="str">
        <f t="array" ref="U910">IFERROR(INDEX('Исходник'!$1:$626,MATCH($A910,'Исходник'!$T:$T,0),MATCH(U$1,'Исходник'!$1:$1,0)))</f>
        <v/>
      </c>
      <c r="V910" s="27" t="str">
        <f t="shared" si="9"/>
        <v/>
      </c>
      <c r="W910" s="1" t="str">
        <f t="array" ref="W910">IFERROR(INDEX('Исходник'!$1:$626,MATCH($A910,'Исходник'!$T:$T,0),MATCH(W$1,'Исходник'!$1:$1,0)))</f>
        <v/>
      </c>
      <c r="X910" s="28">
        <f t="shared" si="10"/>
        <v>0</v>
      </c>
      <c r="Y910" s="1" t="str">
        <f t="array" ref="Y910">IFERROR(INDEX('Исходник'!$1:$626,MATCH($A910,'Исходник'!$T:$T,0),MATCH(Y$1,'Исходник'!$1:$1,0)))</f>
        <v/>
      </c>
      <c r="Z910" s="27">
        <f t="shared" si="11"/>
        <v>0</v>
      </c>
      <c r="AA910" s="27" t="str">
        <f t="shared" si="12"/>
        <v/>
      </c>
      <c r="AB910" s="1" t="str">
        <f t="array" ref="AB910">IFERROR(INDEX('Исходник'!$1:$626,MATCH($A910,'Исходник'!$T:$T,0),MATCH(AB$1,'Исходник'!$1:$1,0)))</f>
        <v/>
      </c>
      <c r="AC910" s="1" t="str">
        <f t="array" ref="AC910">IFERROR(INDEX('Исходник'!$1:$626,MATCH($A910,'Исходник'!$T:$T,0),MATCH(AC$1,'Исходник'!$1:$1,0)))</f>
        <v/>
      </c>
      <c r="AD910" s="27" t="str">
        <f t="shared" si="13"/>
        <v/>
      </c>
      <c r="AE910" s="1" t="str">
        <f t="array" ref="AE910">IFERROR(INDEX('Исходник'!$1:$626,MATCH($A910,'Исходник'!$T:$T,0),MATCH(AE$1,'Исходник'!$1:$1,0)))</f>
        <v/>
      </c>
      <c r="AF910" s="1" t="str">
        <f t="array" ref="AF910">IFERROR(INDEX('Исходник'!$1:$626,MATCH($A910,'Исходник'!$T:$T,0),MATCH(AF$1,'Исходник'!$1:$1,0)))</f>
        <v/>
      </c>
      <c r="AG910" s="27" t="str">
        <f t="shared" si="14"/>
        <v/>
      </c>
      <c r="AH910" s="1" t="str">
        <f t="array" ref="AH910">IFERROR(INDEX('Исходник'!$1:$626,MATCH($A910,'Исходник'!$T:$T,0),MATCH(AH$1,'Исходник'!$1:$1,0)))</f>
        <v/>
      </c>
      <c r="AI910" s="1" t="str">
        <f t="array" ref="AI910">IFERROR(INDEX('Исходник'!$1:$626,MATCH($A910,'Исходник'!$T:$T,0),MATCH(AI$1,'Исходник'!$1:$1,0)))</f>
        <v/>
      </c>
      <c r="AJ910" s="18">
        <f t="shared" si="15"/>
        <v>0</v>
      </c>
    </row>
    <row r="911" ht="15.75" customHeight="1">
      <c r="A911" s="27"/>
      <c r="B911" s="1" t="str">
        <f t="array" ref="B911">IFERROR(INDEX('Исходник'!$1:$626,MATCH($A911,'Исходник'!$T:$T,0),MATCH(B$1,'Исходник'!$1:$1,0)))</f>
        <v/>
      </c>
      <c r="C911" s="1" t="str">
        <f t="array" ref="C911">IFERROR(INDEX('Исходник'!$1:$626,MATCH($A911,'Исходник'!$T:$T,0),MATCH(C$1,'Исходник'!$1:$1,0)))</f>
        <v/>
      </c>
      <c r="D911" s="1" t="str">
        <f t="array" ref="D911">IFERROR(INDEX('Исходник'!$1:$626,MATCH($A911,'Исходник'!$T:$T,0),MATCH(D$1,'Исходник'!$1:$1,0)))</f>
        <v/>
      </c>
      <c r="E911" s="1" t="str">
        <f t="array" ref="E911">IFERROR(INDEX('Исходник'!$1:$626,MATCH($A911,'Исходник'!$T:$T,0),MATCH(E$1,'Исходник'!$1:$1,0)))</f>
        <v/>
      </c>
      <c r="F911" s="1" t="str">
        <f t="array" ref="F911">IFERROR(INDEX('Исходник'!$1:$626,MATCH($A911,'Исходник'!$T:$T,0),MATCH(F$1,'Исходник'!$1:$1,0)))</f>
        <v/>
      </c>
      <c r="G911" s="1" t="str">
        <f t="array" ref="G911">IFERROR(INDEX('Исходник'!$1:$626,MATCH($A911,'Исходник'!$T:$T,0),MATCH(G$1,'Исходник'!$1:$1,0)))</f>
        <v/>
      </c>
      <c r="H911" s="27">
        <f t="shared" si="1"/>
        <v>0</v>
      </c>
      <c r="I911" s="27" t="str">
        <f t="shared" si="2"/>
        <v/>
      </c>
      <c r="J911" s="1" t="str">
        <f t="array" ref="J911">IFERROR(INDEX('Исходник'!$1:$626,MATCH($A911,'Исходник'!$T:$T,0),MATCH(J$1,'Исходник'!$1:$1,0)))</f>
        <v/>
      </c>
      <c r="K911" s="27" t="str">
        <f t="shared" si="3"/>
        <v/>
      </c>
      <c r="L911" s="1" t="str">
        <f t="array" ref="L911">IFERROR(INDEX('Исходник'!$1:$626,MATCH($A911,'Исходник'!$T:$T,0),MATCH(L$1,'Исходник'!$1:$1,0)))</f>
        <v/>
      </c>
      <c r="M911" s="28">
        <f t="shared" si="4"/>
        <v>0</v>
      </c>
      <c r="N911" s="1" t="str">
        <f t="array" ref="N911">IFERROR(INDEX('Исходник'!$1:$626,MATCH($A911,'Исходник'!$T:$T,0),MATCH(N$1,'Исходник'!$1:$1,0)))</f>
        <v/>
      </c>
      <c r="O911" s="27">
        <f t="shared" si="5"/>
        <v>0</v>
      </c>
      <c r="P911" s="27" t="str">
        <f t="shared" si="6"/>
        <v/>
      </c>
      <c r="Q911" s="1" t="str">
        <f t="array" ref="Q911">IFERROR(INDEX('Исходник'!$1:$626,MATCH($A911,'Исходник'!$T:$T,0),MATCH(Q$1,'Исходник'!$1:$1,0)))</f>
        <v/>
      </c>
      <c r="R911" s="1" t="str">
        <f t="array" ref="R911">IFERROR(INDEX('Исходник'!$1:$626,MATCH($A911,'Исходник'!$T:$T,0),MATCH(R$1,'Исходник'!$1:$1,0)))</f>
        <v/>
      </c>
      <c r="S911" s="27">
        <f t="shared" si="7"/>
        <v>0</v>
      </c>
      <c r="T911" s="27" t="str">
        <f t="shared" si="8"/>
        <v/>
      </c>
      <c r="U911" s="1" t="str">
        <f t="array" ref="U911">IFERROR(INDEX('Исходник'!$1:$626,MATCH($A911,'Исходник'!$T:$T,0),MATCH(U$1,'Исходник'!$1:$1,0)))</f>
        <v/>
      </c>
      <c r="V911" s="27" t="str">
        <f t="shared" si="9"/>
        <v/>
      </c>
      <c r="W911" s="1" t="str">
        <f t="array" ref="W911">IFERROR(INDEX('Исходник'!$1:$626,MATCH($A911,'Исходник'!$T:$T,0),MATCH(W$1,'Исходник'!$1:$1,0)))</f>
        <v/>
      </c>
      <c r="X911" s="28">
        <f t="shared" si="10"/>
        <v>0</v>
      </c>
      <c r="Y911" s="1" t="str">
        <f t="array" ref="Y911">IFERROR(INDEX('Исходник'!$1:$626,MATCH($A911,'Исходник'!$T:$T,0),MATCH(Y$1,'Исходник'!$1:$1,0)))</f>
        <v/>
      </c>
      <c r="Z911" s="27">
        <f t="shared" si="11"/>
        <v>0</v>
      </c>
      <c r="AA911" s="27" t="str">
        <f t="shared" si="12"/>
        <v/>
      </c>
      <c r="AB911" s="1" t="str">
        <f t="array" ref="AB911">IFERROR(INDEX('Исходник'!$1:$626,MATCH($A911,'Исходник'!$T:$T,0),MATCH(AB$1,'Исходник'!$1:$1,0)))</f>
        <v/>
      </c>
      <c r="AC911" s="1" t="str">
        <f t="array" ref="AC911">IFERROR(INDEX('Исходник'!$1:$626,MATCH($A911,'Исходник'!$T:$T,0),MATCH(AC$1,'Исходник'!$1:$1,0)))</f>
        <v/>
      </c>
      <c r="AD911" s="27" t="str">
        <f t="shared" si="13"/>
        <v/>
      </c>
      <c r="AE911" s="1" t="str">
        <f t="array" ref="AE911">IFERROR(INDEX('Исходник'!$1:$626,MATCH($A911,'Исходник'!$T:$T,0),MATCH(AE$1,'Исходник'!$1:$1,0)))</f>
        <v/>
      </c>
      <c r="AF911" s="1" t="str">
        <f t="array" ref="AF911">IFERROR(INDEX('Исходник'!$1:$626,MATCH($A911,'Исходник'!$T:$T,0),MATCH(AF$1,'Исходник'!$1:$1,0)))</f>
        <v/>
      </c>
      <c r="AG911" s="27" t="str">
        <f t="shared" si="14"/>
        <v/>
      </c>
      <c r="AH911" s="1" t="str">
        <f t="array" ref="AH911">IFERROR(INDEX('Исходник'!$1:$626,MATCH($A911,'Исходник'!$T:$T,0),MATCH(AH$1,'Исходник'!$1:$1,0)))</f>
        <v/>
      </c>
      <c r="AI911" s="1" t="str">
        <f t="array" ref="AI911">IFERROR(INDEX('Исходник'!$1:$626,MATCH($A911,'Исходник'!$T:$T,0),MATCH(AI$1,'Исходник'!$1:$1,0)))</f>
        <v/>
      </c>
      <c r="AJ911" s="18">
        <f t="shared" si="15"/>
        <v>0</v>
      </c>
    </row>
    <row r="912" ht="15.75" customHeight="1">
      <c r="A912" s="27"/>
      <c r="B912" s="1" t="str">
        <f t="array" ref="B912">IFERROR(INDEX('Исходник'!$1:$626,MATCH($A912,'Исходник'!$T:$T,0),MATCH(B$1,'Исходник'!$1:$1,0)))</f>
        <v/>
      </c>
      <c r="C912" s="1" t="str">
        <f t="array" ref="C912">IFERROR(INDEX('Исходник'!$1:$626,MATCH($A912,'Исходник'!$T:$T,0),MATCH(C$1,'Исходник'!$1:$1,0)))</f>
        <v/>
      </c>
      <c r="D912" s="1" t="str">
        <f t="array" ref="D912">IFERROR(INDEX('Исходник'!$1:$626,MATCH($A912,'Исходник'!$T:$T,0),MATCH(D$1,'Исходник'!$1:$1,0)))</f>
        <v/>
      </c>
      <c r="E912" s="1" t="str">
        <f t="array" ref="E912">IFERROR(INDEX('Исходник'!$1:$626,MATCH($A912,'Исходник'!$T:$T,0),MATCH(E$1,'Исходник'!$1:$1,0)))</f>
        <v/>
      </c>
      <c r="F912" s="1" t="str">
        <f t="array" ref="F912">IFERROR(INDEX('Исходник'!$1:$626,MATCH($A912,'Исходник'!$T:$T,0),MATCH(F$1,'Исходник'!$1:$1,0)))</f>
        <v/>
      </c>
      <c r="G912" s="1" t="str">
        <f t="array" ref="G912">IFERROR(INDEX('Исходник'!$1:$626,MATCH($A912,'Исходник'!$T:$T,0),MATCH(G$1,'Исходник'!$1:$1,0)))</f>
        <v/>
      </c>
      <c r="H912" s="27">
        <f t="shared" si="1"/>
        <v>0</v>
      </c>
      <c r="I912" s="27" t="str">
        <f t="shared" si="2"/>
        <v/>
      </c>
      <c r="J912" s="1" t="str">
        <f t="array" ref="J912">IFERROR(INDEX('Исходник'!$1:$626,MATCH($A912,'Исходник'!$T:$T,0),MATCH(J$1,'Исходник'!$1:$1,0)))</f>
        <v/>
      </c>
      <c r="K912" s="27" t="str">
        <f t="shared" si="3"/>
        <v/>
      </c>
      <c r="L912" s="1" t="str">
        <f t="array" ref="L912">IFERROR(INDEX('Исходник'!$1:$626,MATCH($A912,'Исходник'!$T:$T,0),MATCH(L$1,'Исходник'!$1:$1,0)))</f>
        <v/>
      </c>
      <c r="M912" s="28">
        <f t="shared" si="4"/>
        <v>0</v>
      </c>
      <c r="N912" s="1" t="str">
        <f t="array" ref="N912">IFERROR(INDEX('Исходник'!$1:$626,MATCH($A912,'Исходник'!$T:$T,0),MATCH(N$1,'Исходник'!$1:$1,0)))</f>
        <v/>
      </c>
      <c r="O912" s="27">
        <f t="shared" si="5"/>
        <v>0</v>
      </c>
      <c r="P912" s="27" t="str">
        <f t="shared" si="6"/>
        <v/>
      </c>
      <c r="Q912" s="1" t="str">
        <f t="array" ref="Q912">IFERROR(INDEX('Исходник'!$1:$626,MATCH($A912,'Исходник'!$T:$T,0),MATCH(Q$1,'Исходник'!$1:$1,0)))</f>
        <v/>
      </c>
      <c r="R912" s="1" t="str">
        <f t="array" ref="R912">IFERROR(INDEX('Исходник'!$1:$626,MATCH($A912,'Исходник'!$T:$T,0),MATCH(R$1,'Исходник'!$1:$1,0)))</f>
        <v/>
      </c>
      <c r="S912" s="27">
        <f t="shared" si="7"/>
        <v>0</v>
      </c>
      <c r="T912" s="27" t="str">
        <f t="shared" si="8"/>
        <v/>
      </c>
      <c r="U912" s="1" t="str">
        <f t="array" ref="U912">IFERROR(INDEX('Исходник'!$1:$626,MATCH($A912,'Исходник'!$T:$T,0),MATCH(U$1,'Исходник'!$1:$1,0)))</f>
        <v/>
      </c>
      <c r="V912" s="27" t="str">
        <f t="shared" si="9"/>
        <v/>
      </c>
      <c r="W912" s="1" t="str">
        <f t="array" ref="W912">IFERROR(INDEX('Исходник'!$1:$626,MATCH($A912,'Исходник'!$T:$T,0),MATCH(W$1,'Исходник'!$1:$1,0)))</f>
        <v/>
      </c>
      <c r="X912" s="28">
        <f t="shared" si="10"/>
        <v>0</v>
      </c>
      <c r="Y912" s="1" t="str">
        <f t="array" ref="Y912">IFERROR(INDEX('Исходник'!$1:$626,MATCH($A912,'Исходник'!$T:$T,0),MATCH(Y$1,'Исходник'!$1:$1,0)))</f>
        <v/>
      </c>
      <c r="Z912" s="27">
        <f t="shared" si="11"/>
        <v>0</v>
      </c>
      <c r="AA912" s="27" t="str">
        <f t="shared" si="12"/>
        <v/>
      </c>
      <c r="AB912" s="1" t="str">
        <f t="array" ref="AB912">IFERROR(INDEX('Исходник'!$1:$626,MATCH($A912,'Исходник'!$T:$T,0),MATCH(AB$1,'Исходник'!$1:$1,0)))</f>
        <v/>
      </c>
      <c r="AC912" s="1" t="str">
        <f t="array" ref="AC912">IFERROR(INDEX('Исходник'!$1:$626,MATCH($A912,'Исходник'!$T:$T,0),MATCH(AC$1,'Исходник'!$1:$1,0)))</f>
        <v/>
      </c>
      <c r="AD912" s="27" t="str">
        <f t="shared" si="13"/>
        <v/>
      </c>
      <c r="AE912" s="1" t="str">
        <f t="array" ref="AE912">IFERROR(INDEX('Исходник'!$1:$626,MATCH($A912,'Исходник'!$T:$T,0),MATCH(AE$1,'Исходник'!$1:$1,0)))</f>
        <v/>
      </c>
      <c r="AF912" s="1" t="str">
        <f t="array" ref="AF912">IFERROR(INDEX('Исходник'!$1:$626,MATCH($A912,'Исходник'!$T:$T,0),MATCH(AF$1,'Исходник'!$1:$1,0)))</f>
        <v/>
      </c>
      <c r="AG912" s="27" t="str">
        <f t="shared" si="14"/>
        <v/>
      </c>
      <c r="AH912" s="1" t="str">
        <f t="array" ref="AH912">IFERROR(INDEX('Исходник'!$1:$626,MATCH($A912,'Исходник'!$T:$T,0),MATCH(AH$1,'Исходник'!$1:$1,0)))</f>
        <v/>
      </c>
      <c r="AI912" s="1" t="str">
        <f t="array" ref="AI912">IFERROR(INDEX('Исходник'!$1:$626,MATCH($A912,'Исходник'!$T:$T,0),MATCH(AI$1,'Исходник'!$1:$1,0)))</f>
        <v/>
      </c>
      <c r="AJ912" s="18">
        <f t="shared" si="15"/>
        <v>0</v>
      </c>
    </row>
    <row r="913" ht="15.75" customHeight="1">
      <c r="A913" s="27"/>
      <c r="B913" s="1" t="str">
        <f t="array" ref="B913">IFERROR(INDEX('Исходник'!$1:$626,MATCH($A913,'Исходник'!$T:$T,0),MATCH(B$1,'Исходник'!$1:$1,0)))</f>
        <v/>
      </c>
      <c r="C913" s="1" t="str">
        <f t="array" ref="C913">IFERROR(INDEX('Исходник'!$1:$626,MATCH($A913,'Исходник'!$T:$T,0),MATCH(C$1,'Исходник'!$1:$1,0)))</f>
        <v/>
      </c>
      <c r="D913" s="1" t="str">
        <f t="array" ref="D913">IFERROR(INDEX('Исходник'!$1:$626,MATCH($A913,'Исходник'!$T:$T,0),MATCH(D$1,'Исходник'!$1:$1,0)))</f>
        <v/>
      </c>
      <c r="E913" s="1" t="str">
        <f t="array" ref="E913">IFERROR(INDEX('Исходник'!$1:$626,MATCH($A913,'Исходник'!$T:$T,0),MATCH(E$1,'Исходник'!$1:$1,0)))</f>
        <v/>
      </c>
      <c r="F913" s="1" t="str">
        <f t="array" ref="F913">IFERROR(INDEX('Исходник'!$1:$626,MATCH($A913,'Исходник'!$T:$T,0),MATCH(F$1,'Исходник'!$1:$1,0)))</f>
        <v/>
      </c>
      <c r="G913" s="1" t="str">
        <f t="array" ref="G913">IFERROR(INDEX('Исходник'!$1:$626,MATCH($A913,'Исходник'!$T:$T,0),MATCH(G$1,'Исходник'!$1:$1,0)))</f>
        <v/>
      </c>
      <c r="H913" s="27">
        <f t="shared" si="1"/>
        <v>0</v>
      </c>
      <c r="I913" s="27" t="str">
        <f t="shared" si="2"/>
        <v/>
      </c>
      <c r="J913" s="1" t="str">
        <f t="array" ref="J913">IFERROR(INDEX('Исходник'!$1:$626,MATCH($A913,'Исходник'!$T:$T,0),MATCH(J$1,'Исходник'!$1:$1,0)))</f>
        <v/>
      </c>
      <c r="K913" s="27" t="str">
        <f t="shared" si="3"/>
        <v/>
      </c>
      <c r="L913" s="1" t="str">
        <f t="array" ref="L913">IFERROR(INDEX('Исходник'!$1:$626,MATCH($A913,'Исходник'!$T:$T,0),MATCH(L$1,'Исходник'!$1:$1,0)))</f>
        <v/>
      </c>
      <c r="M913" s="28">
        <f t="shared" si="4"/>
        <v>0</v>
      </c>
      <c r="N913" s="1" t="str">
        <f t="array" ref="N913">IFERROR(INDEX('Исходник'!$1:$626,MATCH($A913,'Исходник'!$T:$T,0),MATCH(N$1,'Исходник'!$1:$1,0)))</f>
        <v/>
      </c>
      <c r="O913" s="27">
        <f t="shared" si="5"/>
        <v>0</v>
      </c>
      <c r="P913" s="27" t="str">
        <f t="shared" si="6"/>
        <v/>
      </c>
      <c r="Q913" s="1" t="str">
        <f t="array" ref="Q913">IFERROR(INDEX('Исходник'!$1:$626,MATCH($A913,'Исходник'!$T:$T,0),MATCH(Q$1,'Исходник'!$1:$1,0)))</f>
        <v/>
      </c>
      <c r="R913" s="1" t="str">
        <f t="array" ref="R913">IFERROR(INDEX('Исходник'!$1:$626,MATCH($A913,'Исходник'!$T:$T,0),MATCH(R$1,'Исходник'!$1:$1,0)))</f>
        <v/>
      </c>
      <c r="S913" s="27">
        <f t="shared" si="7"/>
        <v>0</v>
      </c>
      <c r="T913" s="27" t="str">
        <f t="shared" si="8"/>
        <v/>
      </c>
      <c r="U913" s="1" t="str">
        <f t="array" ref="U913">IFERROR(INDEX('Исходник'!$1:$626,MATCH($A913,'Исходник'!$T:$T,0),MATCH(U$1,'Исходник'!$1:$1,0)))</f>
        <v/>
      </c>
      <c r="V913" s="27" t="str">
        <f t="shared" si="9"/>
        <v/>
      </c>
      <c r="W913" s="1" t="str">
        <f t="array" ref="W913">IFERROR(INDEX('Исходник'!$1:$626,MATCH($A913,'Исходник'!$T:$T,0),MATCH(W$1,'Исходник'!$1:$1,0)))</f>
        <v/>
      </c>
      <c r="X913" s="28">
        <f t="shared" si="10"/>
        <v>0</v>
      </c>
      <c r="Y913" s="1" t="str">
        <f t="array" ref="Y913">IFERROR(INDEX('Исходник'!$1:$626,MATCH($A913,'Исходник'!$T:$T,0),MATCH(Y$1,'Исходник'!$1:$1,0)))</f>
        <v/>
      </c>
      <c r="Z913" s="27">
        <f t="shared" si="11"/>
        <v>0</v>
      </c>
      <c r="AA913" s="27" t="str">
        <f t="shared" si="12"/>
        <v/>
      </c>
      <c r="AB913" s="1" t="str">
        <f t="array" ref="AB913">IFERROR(INDEX('Исходник'!$1:$626,MATCH($A913,'Исходник'!$T:$T,0),MATCH(AB$1,'Исходник'!$1:$1,0)))</f>
        <v/>
      </c>
      <c r="AC913" s="1" t="str">
        <f t="array" ref="AC913">IFERROR(INDEX('Исходник'!$1:$626,MATCH($A913,'Исходник'!$T:$T,0),MATCH(AC$1,'Исходник'!$1:$1,0)))</f>
        <v/>
      </c>
      <c r="AD913" s="27" t="str">
        <f t="shared" si="13"/>
        <v/>
      </c>
      <c r="AE913" s="1" t="str">
        <f t="array" ref="AE913">IFERROR(INDEX('Исходник'!$1:$626,MATCH($A913,'Исходник'!$T:$T,0),MATCH(AE$1,'Исходник'!$1:$1,0)))</f>
        <v/>
      </c>
      <c r="AF913" s="1" t="str">
        <f t="array" ref="AF913">IFERROR(INDEX('Исходник'!$1:$626,MATCH($A913,'Исходник'!$T:$T,0),MATCH(AF$1,'Исходник'!$1:$1,0)))</f>
        <v/>
      </c>
      <c r="AG913" s="27" t="str">
        <f t="shared" si="14"/>
        <v/>
      </c>
      <c r="AH913" s="1" t="str">
        <f t="array" ref="AH913">IFERROR(INDEX('Исходник'!$1:$626,MATCH($A913,'Исходник'!$T:$T,0),MATCH(AH$1,'Исходник'!$1:$1,0)))</f>
        <v/>
      </c>
      <c r="AI913" s="1" t="str">
        <f t="array" ref="AI913">IFERROR(INDEX('Исходник'!$1:$626,MATCH($A913,'Исходник'!$T:$T,0),MATCH(AI$1,'Исходник'!$1:$1,0)))</f>
        <v/>
      </c>
      <c r="AJ913" s="18">
        <f t="shared" si="15"/>
        <v>0</v>
      </c>
    </row>
    <row r="914" ht="15.75" customHeight="1">
      <c r="A914" s="27"/>
      <c r="B914" s="1" t="str">
        <f t="array" ref="B914">IFERROR(INDEX('Исходник'!$1:$626,MATCH($A914,'Исходник'!$T:$T,0),MATCH(B$1,'Исходник'!$1:$1,0)))</f>
        <v/>
      </c>
      <c r="C914" s="1" t="str">
        <f t="array" ref="C914">IFERROR(INDEX('Исходник'!$1:$626,MATCH($A914,'Исходник'!$T:$T,0),MATCH(C$1,'Исходник'!$1:$1,0)))</f>
        <v/>
      </c>
      <c r="D914" s="1" t="str">
        <f t="array" ref="D914">IFERROR(INDEX('Исходник'!$1:$626,MATCH($A914,'Исходник'!$T:$T,0),MATCH(D$1,'Исходник'!$1:$1,0)))</f>
        <v/>
      </c>
      <c r="E914" s="1" t="str">
        <f t="array" ref="E914">IFERROR(INDEX('Исходник'!$1:$626,MATCH($A914,'Исходник'!$T:$T,0),MATCH(E$1,'Исходник'!$1:$1,0)))</f>
        <v/>
      </c>
      <c r="F914" s="1" t="str">
        <f t="array" ref="F914">IFERROR(INDEX('Исходник'!$1:$626,MATCH($A914,'Исходник'!$T:$T,0),MATCH(F$1,'Исходник'!$1:$1,0)))</f>
        <v/>
      </c>
      <c r="G914" s="1" t="str">
        <f t="array" ref="G914">IFERROR(INDEX('Исходник'!$1:$626,MATCH($A914,'Исходник'!$T:$T,0),MATCH(G$1,'Исходник'!$1:$1,0)))</f>
        <v/>
      </c>
      <c r="H914" s="27">
        <f t="shared" si="1"/>
        <v>0</v>
      </c>
      <c r="I914" s="27" t="str">
        <f t="shared" si="2"/>
        <v/>
      </c>
      <c r="J914" s="1" t="str">
        <f t="array" ref="J914">IFERROR(INDEX('Исходник'!$1:$626,MATCH($A914,'Исходник'!$T:$T,0),MATCH(J$1,'Исходник'!$1:$1,0)))</f>
        <v/>
      </c>
      <c r="K914" s="27" t="str">
        <f t="shared" si="3"/>
        <v/>
      </c>
      <c r="L914" s="1" t="str">
        <f t="array" ref="L914">IFERROR(INDEX('Исходник'!$1:$626,MATCH($A914,'Исходник'!$T:$T,0),MATCH(L$1,'Исходник'!$1:$1,0)))</f>
        <v/>
      </c>
      <c r="M914" s="28">
        <f t="shared" si="4"/>
        <v>0</v>
      </c>
      <c r="N914" s="1" t="str">
        <f t="array" ref="N914">IFERROR(INDEX('Исходник'!$1:$626,MATCH($A914,'Исходник'!$T:$T,0),MATCH(N$1,'Исходник'!$1:$1,0)))</f>
        <v/>
      </c>
      <c r="O914" s="27">
        <f t="shared" si="5"/>
        <v>0</v>
      </c>
      <c r="P914" s="27" t="str">
        <f t="shared" si="6"/>
        <v/>
      </c>
      <c r="Q914" s="1" t="str">
        <f t="array" ref="Q914">IFERROR(INDEX('Исходник'!$1:$626,MATCH($A914,'Исходник'!$T:$T,0),MATCH(Q$1,'Исходник'!$1:$1,0)))</f>
        <v/>
      </c>
      <c r="R914" s="1" t="str">
        <f t="array" ref="R914">IFERROR(INDEX('Исходник'!$1:$626,MATCH($A914,'Исходник'!$T:$T,0),MATCH(R$1,'Исходник'!$1:$1,0)))</f>
        <v/>
      </c>
      <c r="S914" s="27">
        <f t="shared" si="7"/>
        <v>0</v>
      </c>
      <c r="T914" s="27" t="str">
        <f t="shared" si="8"/>
        <v/>
      </c>
      <c r="U914" s="1" t="str">
        <f t="array" ref="U914">IFERROR(INDEX('Исходник'!$1:$626,MATCH($A914,'Исходник'!$T:$T,0),MATCH(U$1,'Исходник'!$1:$1,0)))</f>
        <v/>
      </c>
      <c r="V914" s="27" t="str">
        <f t="shared" si="9"/>
        <v/>
      </c>
      <c r="W914" s="1" t="str">
        <f t="array" ref="W914">IFERROR(INDEX('Исходник'!$1:$626,MATCH($A914,'Исходник'!$T:$T,0),MATCH(W$1,'Исходник'!$1:$1,0)))</f>
        <v/>
      </c>
      <c r="X914" s="28">
        <f t="shared" si="10"/>
        <v>0</v>
      </c>
      <c r="Y914" s="1" t="str">
        <f t="array" ref="Y914">IFERROR(INDEX('Исходник'!$1:$626,MATCH($A914,'Исходник'!$T:$T,0),MATCH(Y$1,'Исходник'!$1:$1,0)))</f>
        <v/>
      </c>
      <c r="Z914" s="27">
        <f t="shared" si="11"/>
        <v>0</v>
      </c>
      <c r="AA914" s="27" t="str">
        <f t="shared" si="12"/>
        <v/>
      </c>
      <c r="AB914" s="1" t="str">
        <f t="array" ref="AB914">IFERROR(INDEX('Исходник'!$1:$626,MATCH($A914,'Исходник'!$T:$T,0),MATCH(AB$1,'Исходник'!$1:$1,0)))</f>
        <v/>
      </c>
      <c r="AC914" s="1" t="str">
        <f t="array" ref="AC914">IFERROR(INDEX('Исходник'!$1:$626,MATCH($A914,'Исходник'!$T:$T,0),MATCH(AC$1,'Исходник'!$1:$1,0)))</f>
        <v/>
      </c>
      <c r="AD914" s="27" t="str">
        <f t="shared" si="13"/>
        <v/>
      </c>
      <c r="AE914" s="1" t="str">
        <f t="array" ref="AE914">IFERROR(INDEX('Исходник'!$1:$626,MATCH($A914,'Исходник'!$T:$T,0),MATCH(AE$1,'Исходник'!$1:$1,0)))</f>
        <v/>
      </c>
      <c r="AF914" s="1" t="str">
        <f t="array" ref="AF914">IFERROR(INDEX('Исходник'!$1:$626,MATCH($A914,'Исходник'!$T:$T,0),MATCH(AF$1,'Исходник'!$1:$1,0)))</f>
        <v/>
      </c>
      <c r="AG914" s="27" t="str">
        <f t="shared" si="14"/>
        <v/>
      </c>
      <c r="AH914" s="1" t="str">
        <f t="array" ref="AH914">IFERROR(INDEX('Исходник'!$1:$626,MATCH($A914,'Исходник'!$T:$T,0),MATCH(AH$1,'Исходник'!$1:$1,0)))</f>
        <v/>
      </c>
      <c r="AI914" s="1" t="str">
        <f t="array" ref="AI914">IFERROR(INDEX('Исходник'!$1:$626,MATCH($A914,'Исходник'!$T:$T,0),MATCH(AI$1,'Исходник'!$1:$1,0)))</f>
        <v/>
      </c>
      <c r="AJ914" s="18">
        <f t="shared" si="15"/>
        <v>0</v>
      </c>
    </row>
    <row r="915" ht="15.75" customHeight="1">
      <c r="A915" s="27"/>
      <c r="B915" s="1" t="str">
        <f t="array" ref="B915">IFERROR(INDEX('Исходник'!$1:$626,MATCH($A915,'Исходник'!$T:$T,0),MATCH(B$1,'Исходник'!$1:$1,0)))</f>
        <v/>
      </c>
      <c r="C915" s="1" t="str">
        <f t="array" ref="C915">IFERROR(INDEX('Исходник'!$1:$626,MATCH($A915,'Исходник'!$T:$T,0),MATCH(C$1,'Исходник'!$1:$1,0)))</f>
        <v/>
      </c>
      <c r="D915" s="1" t="str">
        <f t="array" ref="D915">IFERROR(INDEX('Исходник'!$1:$626,MATCH($A915,'Исходник'!$T:$T,0),MATCH(D$1,'Исходник'!$1:$1,0)))</f>
        <v/>
      </c>
      <c r="E915" s="1" t="str">
        <f t="array" ref="E915">IFERROR(INDEX('Исходник'!$1:$626,MATCH($A915,'Исходник'!$T:$T,0),MATCH(E$1,'Исходник'!$1:$1,0)))</f>
        <v/>
      </c>
      <c r="F915" s="1" t="str">
        <f t="array" ref="F915">IFERROR(INDEX('Исходник'!$1:$626,MATCH($A915,'Исходник'!$T:$T,0),MATCH(F$1,'Исходник'!$1:$1,0)))</f>
        <v/>
      </c>
      <c r="G915" s="1" t="str">
        <f t="array" ref="G915">IFERROR(INDEX('Исходник'!$1:$626,MATCH($A915,'Исходник'!$T:$T,0),MATCH(G$1,'Исходник'!$1:$1,0)))</f>
        <v/>
      </c>
      <c r="H915" s="27">
        <f t="shared" si="1"/>
        <v>0</v>
      </c>
      <c r="I915" s="27" t="str">
        <f t="shared" si="2"/>
        <v/>
      </c>
      <c r="J915" s="1" t="str">
        <f t="array" ref="J915">IFERROR(INDEX('Исходник'!$1:$626,MATCH($A915,'Исходник'!$T:$T,0),MATCH(J$1,'Исходник'!$1:$1,0)))</f>
        <v/>
      </c>
      <c r="K915" s="27" t="str">
        <f t="shared" si="3"/>
        <v/>
      </c>
      <c r="L915" s="1" t="str">
        <f t="array" ref="L915">IFERROR(INDEX('Исходник'!$1:$626,MATCH($A915,'Исходник'!$T:$T,0),MATCH(L$1,'Исходник'!$1:$1,0)))</f>
        <v/>
      </c>
      <c r="M915" s="28">
        <f t="shared" si="4"/>
        <v>0</v>
      </c>
      <c r="N915" s="1" t="str">
        <f t="array" ref="N915">IFERROR(INDEX('Исходник'!$1:$626,MATCH($A915,'Исходник'!$T:$T,0),MATCH(N$1,'Исходник'!$1:$1,0)))</f>
        <v/>
      </c>
      <c r="O915" s="27">
        <f t="shared" si="5"/>
        <v>0</v>
      </c>
      <c r="P915" s="27" t="str">
        <f t="shared" si="6"/>
        <v/>
      </c>
      <c r="Q915" s="1" t="str">
        <f t="array" ref="Q915">IFERROR(INDEX('Исходник'!$1:$626,MATCH($A915,'Исходник'!$T:$T,0),MATCH(Q$1,'Исходник'!$1:$1,0)))</f>
        <v/>
      </c>
      <c r="R915" s="1" t="str">
        <f t="array" ref="R915">IFERROR(INDEX('Исходник'!$1:$626,MATCH($A915,'Исходник'!$T:$T,0),MATCH(R$1,'Исходник'!$1:$1,0)))</f>
        <v/>
      </c>
      <c r="S915" s="27">
        <f t="shared" si="7"/>
        <v>0</v>
      </c>
      <c r="T915" s="27" t="str">
        <f t="shared" si="8"/>
        <v/>
      </c>
      <c r="U915" s="1" t="str">
        <f t="array" ref="U915">IFERROR(INDEX('Исходник'!$1:$626,MATCH($A915,'Исходник'!$T:$T,0),MATCH(U$1,'Исходник'!$1:$1,0)))</f>
        <v/>
      </c>
      <c r="V915" s="27" t="str">
        <f t="shared" si="9"/>
        <v/>
      </c>
      <c r="W915" s="1" t="str">
        <f t="array" ref="W915">IFERROR(INDEX('Исходник'!$1:$626,MATCH($A915,'Исходник'!$T:$T,0),MATCH(W$1,'Исходник'!$1:$1,0)))</f>
        <v/>
      </c>
      <c r="X915" s="28">
        <f t="shared" si="10"/>
        <v>0</v>
      </c>
      <c r="Y915" s="1" t="str">
        <f t="array" ref="Y915">IFERROR(INDEX('Исходник'!$1:$626,MATCH($A915,'Исходник'!$T:$T,0),MATCH(Y$1,'Исходник'!$1:$1,0)))</f>
        <v/>
      </c>
      <c r="Z915" s="27">
        <f t="shared" si="11"/>
        <v>0</v>
      </c>
      <c r="AA915" s="27" t="str">
        <f t="shared" si="12"/>
        <v/>
      </c>
      <c r="AB915" s="1" t="str">
        <f t="array" ref="AB915">IFERROR(INDEX('Исходник'!$1:$626,MATCH($A915,'Исходник'!$T:$T,0),MATCH(AB$1,'Исходник'!$1:$1,0)))</f>
        <v/>
      </c>
      <c r="AC915" s="1" t="str">
        <f t="array" ref="AC915">IFERROR(INDEX('Исходник'!$1:$626,MATCH($A915,'Исходник'!$T:$T,0),MATCH(AC$1,'Исходник'!$1:$1,0)))</f>
        <v/>
      </c>
      <c r="AD915" s="27" t="str">
        <f t="shared" si="13"/>
        <v/>
      </c>
      <c r="AE915" s="1" t="str">
        <f t="array" ref="AE915">IFERROR(INDEX('Исходник'!$1:$626,MATCH($A915,'Исходник'!$T:$T,0),MATCH(AE$1,'Исходник'!$1:$1,0)))</f>
        <v/>
      </c>
      <c r="AF915" s="1" t="str">
        <f t="array" ref="AF915">IFERROR(INDEX('Исходник'!$1:$626,MATCH($A915,'Исходник'!$T:$T,0),MATCH(AF$1,'Исходник'!$1:$1,0)))</f>
        <v/>
      </c>
      <c r="AG915" s="27" t="str">
        <f t="shared" si="14"/>
        <v/>
      </c>
      <c r="AH915" s="1" t="str">
        <f t="array" ref="AH915">IFERROR(INDEX('Исходник'!$1:$626,MATCH($A915,'Исходник'!$T:$T,0),MATCH(AH$1,'Исходник'!$1:$1,0)))</f>
        <v/>
      </c>
      <c r="AI915" s="1" t="str">
        <f t="array" ref="AI915">IFERROR(INDEX('Исходник'!$1:$626,MATCH($A915,'Исходник'!$T:$T,0),MATCH(AI$1,'Исходник'!$1:$1,0)))</f>
        <v/>
      </c>
      <c r="AJ915" s="18">
        <f t="shared" si="15"/>
        <v>0</v>
      </c>
    </row>
    <row r="916" ht="15.75" customHeight="1">
      <c r="A916" s="27"/>
      <c r="B916" s="1" t="str">
        <f t="array" ref="B916">IFERROR(INDEX('Исходник'!$1:$626,MATCH($A916,'Исходник'!$T:$T,0),MATCH(B$1,'Исходник'!$1:$1,0)))</f>
        <v/>
      </c>
      <c r="C916" s="1" t="str">
        <f t="array" ref="C916">IFERROR(INDEX('Исходник'!$1:$626,MATCH($A916,'Исходник'!$T:$T,0),MATCH(C$1,'Исходник'!$1:$1,0)))</f>
        <v/>
      </c>
      <c r="D916" s="1" t="str">
        <f t="array" ref="D916">IFERROR(INDEX('Исходник'!$1:$626,MATCH($A916,'Исходник'!$T:$T,0),MATCH(D$1,'Исходник'!$1:$1,0)))</f>
        <v/>
      </c>
      <c r="E916" s="1" t="str">
        <f t="array" ref="E916">IFERROR(INDEX('Исходник'!$1:$626,MATCH($A916,'Исходник'!$T:$T,0),MATCH(E$1,'Исходник'!$1:$1,0)))</f>
        <v/>
      </c>
      <c r="F916" s="1" t="str">
        <f t="array" ref="F916">IFERROR(INDEX('Исходник'!$1:$626,MATCH($A916,'Исходник'!$T:$T,0),MATCH(F$1,'Исходник'!$1:$1,0)))</f>
        <v/>
      </c>
      <c r="G916" s="1" t="str">
        <f t="array" ref="G916">IFERROR(INDEX('Исходник'!$1:$626,MATCH($A916,'Исходник'!$T:$T,0),MATCH(G$1,'Исходник'!$1:$1,0)))</f>
        <v/>
      </c>
      <c r="H916" s="27">
        <f t="shared" si="1"/>
        <v>0</v>
      </c>
      <c r="I916" s="27" t="str">
        <f t="shared" si="2"/>
        <v/>
      </c>
      <c r="J916" s="1" t="str">
        <f t="array" ref="J916">IFERROR(INDEX('Исходник'!$1:$626,MATCH($A916,'Исходник'!$T:$T,0),MATCH(J$1,'Исходник'!$1:$1,0)))</f>
        <v/>
      </c>
      <c r="K916" s="27" t="str">
        <f t="shared" si="3"/>
        <v/>
      </c>
      <c r="L916" s="1" t="str">
        <f t="array" ref="L916">IFERROR(INDEX('Исходник'!$1:$626,MATCH($A916,'Исходник'!$T:$T,0),MATCH(L$1,'Исходник'!$1:$1,0)))</f>
        <v/>
      </c>
      <c r="M916" s="28">
        <f t="shared" si="4"/>
        <v>0</v>
      </c>
      <c r="N916" s="1" t="str">
        <f t="array" ref="N916">IFERROR(INDEX('Исходник'!$1:$626,MATCH($A916,'Исходник'!$T:$T,0),MATCH(N$1,'Исходник'!$1:$1,0)))</f>
        <v/>
      </c>
      <c r="O916" s="27">
        <f t="shared" si="5"/>
        <v>0</v>
      </c>
      <c r="P916" s="27" t="str">
        <f t="shared" si="6"/>
        <v/>
      </c>
      <c r="Q916" s="1" t="str">
        <f t="array" ref="Q916">IFERROR(INDEX('Исходник'!$1:$626,MATCH($A916,'Исходник'!$T:$T,0),MATCH(Q$1,'Исходник'!$1:$1,0)))</f>
        <v/>
      </c>
      <c r="R916" s="1" t="str">
        <f t="array" ref="R916">IFERROR(INDEX('Исходник'!$1:$626,MATCH($A916,'Исходник'!$T:$T,0),MATCH(R$1,'Исходник'!$1:$1,0)))</f>
        <v/>
      </c>
      <c r="S916" s="27">
        <f t="shared" si="7"/>
        <v>0</v>
      </c>
      <c r="T916" s="27" t="str">
        <f t="shared" si="8"/>
        <v/>
      </c>
      <c r="U916" s="1" t="str">
        <f t="array" ref="U916">IFERROR(INDEX('Исходник'!$1:$626,MATCH($A916,'Исходник'!$T:$T,0),MATCH(U$1,'Исходник'!$1:$1,0)))</f>
        <v/>
      </c>
      <c r="V916" s="27" t="str">
        <f t="shared" si="9"/>
        <v/>
      </c>
      <c r="W916" s="1" t="str">
        <f t="array" ref="W916">IFERROR(INDEX('Исходник'!$1:$626,MATCH($A916,'Исходник'!$T:$T,0),MATCH(W$1,'Исходник'!$1:$1,0)))</f>
        <v/>
      </c>
      <c r="X916" s="28">
        <f t="shared" si="10"/>
        <v>0</v>
      </c>
      <c r="Y916" s="1" t="str">
        <f t="array" ref="Y916">IFERROR(INDEX('Исходник'!$1:$626,MATCH($A916,'Исходник'!$T:$T,0),MATCH(Y$1,'Исходник'!$1:$1,0)))</f>
        <v/>
      </c>
      <c r="Z916" s="27">
        <f t="shared" si="11"/>
        <v>0</v>
      </c>
      <c r="AA916" s="27" t="str">
        <f t="shared" si="12"/>
        <v/>
      </c>
      <c r="AB916" s="1" t="str">
        <f t="array" ref="AB916">IFERROR(INDEX('Исходник'!$1:$626,MATCH($A916,'Исходник'!$T:$T,0),MATCH(AB$1,'Исходник'!$1:$1,0)))</f>
        <v/>
      </c>
      <c r="AC916" s="1" t="str">
        <f t="array" ref="AC916">IFERROR(INDEX('Исходник'!$1:$626,MATCH($A916,'Исходник'!$T:$T,0),MATCH(AC$1,'Исходник'!$1:$1,0)))</f>
        <v/>
      </c>
      <c r="AD916" s="27" t="str">
        <f t="shared" si="13"/>
        <v/>
      </c>
      <c r="AE916" s="1" t="str">
        <f t="array" ref="AE916">IFERROR(INDEX('Исходник'!$1:$626,MATCH($A916,'Исходник'!$T:$T,0),MATCH(AE$1,'Исходник'!$1:$1,0)))</f>
        <v/>
      </c>
      <c r="AF916" s="1" t="str">
        <f t="array" ref="AF916">IFERROR(INDEX('Исходник'!$1:$626,MATCH($A916,'Исходник'!$T:$T,0),MATCH(AF$1,'Исходник'!$1:$1,0)))</f>
        <v/>
      </c>
      <c r="AG916" s="27" t="str">
        <f t="shared" si="14"/>
        <v/>
      </c>
      <c r="AH916" s="1" t="str">
        <f t="array" ref="AH916">IFERROR(INDEX('Исходник'!$1:$626,MATCH($A916,'Исходник'!$T:$T,0),MATCH(AH$1,'Исходник'!$1:$1,0)))</f>
        <v/>
      </c>
      <c r="AI916" s="1" t="str">
        <f t="array" ref="AI916">IFERROR(INDEX('Исходник'!$1:$626,MATCH($A916,'Исходник'!$T:$T,0),MATCH(AI$1,'Исходник'!$1:$1,0)))</f>
        <v/>
      </c>
      <c r="AJ916" s="18">
        <f t="shared" si="15"/>
        <v>0</v>
      </c>
    </row>
    <row r="917" ht="15.75" customHeight="1">
      <c r="A917" s="27"/>
      <c r="B917" s="1" t="str">
        <f t="array" ref="B917">IFERROR(INDEX('Исходник'!$1:$626,MATCH($A917,'Исходник'!$T:$T,0),MATCH(B$1,'Исходник'!$1:$1,0)))</f>
        <v/>
      </c>
      <c r="C917" s="1" t="str">
        <f t="array" ref="C917">IFERROR(INDEX('Исходник'!$1:$626,MATCH($A917,'Исходник'!$T:$T,0),MATCH(C$1,'Исходник'!$1:$1,0)))</f>
        <v/>
      </c>
      <c r="D917" s="1" t="str">
        <f t="array" ref="D917">IFERROR(INDEX('Исходник'!$1:$626,MATCH($A917,'Исходник'!$T:$T,0),MATCH(D$1,'Исходник'!$1:$1,0)))</f>
        <v/>
      </c>
      <c r="E917" s="1" t="str">
        <f t="array" ref="E917">IFERROR(INDEX('Исходник'!$1:$626,MATCH($A917,'Исходник'!$T:$T,0),MATCH(E$1,'Исходник'!$1:$1,0)))</f>
        <v/>
      </c>
      <c r="F917" s="1" t="str">
        <f t="array" ref="F917">IFERROR(INDEX('Исходник'!$1:$626,MATCH($A917,'Исходник'!$T:$T,0),MATCH(F$1,'Исходник'!$1:$1,0)))</f>
        <v/>
      </c>
      <c r="G917" s="1" t="str">
        <f t="array" ref="G917">IFERROR(INDEX('Исходник'!$1:$626,MATCH($A917,'Исходник'!$T:$T,0),MATCH(G$1,'Исходник'!$1:$1,0)))</f>
        <v/>
      </c>
      <c r="H917" s="27">
        <f t="shared" si="1"/>
        <v>0</v>
      </c>
      <c r="I917" s="27" t="str">
        <f t="shared" si="2"/>
        <v/>
      </c>
      <c r="J917" s="1" t="str">
        <f t="array" ref="J917">IFERROR(INDEX('Исходник'!$1:$626,MATCH($A917,'Исходник'!$T:$T,0),MATCH(J$1,'Исходник'!$1:$1,0)))</f>
        <v/>
      </c>
      <c r="K917" s="27" t="str">
        <f t="shared" si="3"/>
        <v/>
      </c>
      <c r="L917" s="1" t="str">
        <f t="array" ref="L917">IFERROR(INDEX('Исходник'!$1:$626,MATCH($A917,'Исходник'!$T:$T,0),MATCH(L$1,'Исходник'!$1:$1,0)))</f>
        <v/>
      </c>
      <c r="M917" s="28">
        <f t="shared" si="4"/>
        <v>0</v>
      </c>
      <c r="N917" s="1" t="str">
        <f t="array" ref="N917">IFERROR(INDEX('Исходник'!$1:$626,MATCH($A917,'Исходник'!$T:$T,0),MATCH(N$1,'Исходник'!$1:$1,0)))</f>
        <v/>
      </c>
      <c r="O917" s="27">
        <f t="shared" si="5"/>
        <v>0</v>
      </c>
      <c r="P917" s="27" t="str">
        <f t="shared" si="6"/>
        <v/>
      </c>
      <c r="Q917" s="1" t="str">
        <f t="array" ref="Q917">IFERROR(INDEX('Исходник'!$1:$626,MATCH($A917,'Исходник'!$T:$T,0),MATCH(Q$1,'Исходник'!$1:$1,0)))</f>
        <v/>
      </c>
      <c r="R917" s="1" t="str">
        <f t="array" ref="R917">IFERROR(INDEX('Исходник'!$1:$626,MATCH($A917,'Исходник'!$T:$T,0),MATCH(R$1,'Исходник'!$1:$1,0)))</f>
        <v/>
      </c>
      <c r="S917" s="27">
        <f t="shared" si="7"/>
        <v>0</v>
      </c>
      <c r="T917" s="27" t="str">
        <f t="shared" si="8"/>
        <v/>
      </c>
      <c r="U917" s="1" t="str">
        <f t="array" ref="U917">IFERROR(INDEX('Исходник'!$1:$626,MATCH($A917,'Исходник'!$T:$T,0),MATCH(U$1,'Исходник'!$1:$1,0)))</f>
        <v/>
      </c>
      <c r="V917" s="27" t="str">
        <f t="shared" si="9"/>
        <v/>
      </c>
      <c r="W917" s="1" t="str">
        <f t="array" ref="W917">IFERROR(INDEX('Исходник'!$1:$626,MATCH($A917,'Исходник'!$T:$T,0),MATCH(W$1,'Исходник'!$1:$1,0)))</f>
        <v/>
      </c>
      <c r="X917" s="28">
        <f t="shared" si="10"/>
        <v>0</v>
      </c>
      <c r="Y917" s="1" t="str">
        <f t="array" ref="Y917">IFERROR(INDEX('Исходник'!$1:$626,MATCH($A917,'Исходник'!$T:$T,0),MATCH(Y$1,'Исходник'!$1:$1,0)))</f>
        <v/>
      </c>
      <c r="Z917" s="27">
        <f t="shared" si="11"/>
        <v>0</v>
      </c>
      <c r="AA917" s="27" t="str">
        <f t="shared" si="12"/>
        <v/>
      </c>
      <c r="AB917" s="1" t="str">
        <f t="array" ref="AB917">IFERROR(INDEX('Исходник'!$1:$626,MATCH($A917,'Исходник'!$T:$T,0),MATCH(AB$1,'Исходник'!$1:$1,0)))</f>
        <v/>
      </c>
      <c r="AC917" s="1" t="str">
        <f t="array" ref="AC917">IFERROR(INDEX('Исходник'!$1:$626,MATCH($A917,'Исходник'!$T:$T,0),MATCH(AC$1,'Исходник'!$1:$1,0)))</f>
        <v/>
      </c>
      <c r="AD917" s="27" t="str">
        <f t="shared" si="13"/>
        <v/>
      </c>
      <c r="AE917" s="1" t="str">
        <f t="array" ref="AE917">IFERROR(INDEX('Исходник'!$1:$626,MATCH($A917,'Исходник'!$T:$T,0),MATCH(AE$1,'Исходник'!$1:$1,0)))</f>
        <v/>
      </c>
      <c r="AF917" s="1" t="str">
        <f t="array" ref="AF917">IFERROR(INDEX('Исходник'!$1:$626,MATCH($A917,'Исходник'!$T:$T,0),MATCH(AF$1,'Исходник'!$1:$1,0)))</f>
        <v/>
      </c>
      <c r="AG917" s="27" t="str">
        <f t="shared" si="14"/>
        <v/>
      </c>
      <c r="AH917" s="1" t="str">
        <f t="array" ref="AH917">IFERROR(INDEX('Исходник'!$1:$626,MATCH($A917,'Исходник'!$T:$T,0),MATCH(AH$1,'Исходник'!$1:$1,0)))</f>
        <v/>
      </c>
      <c r="AI917" s="1" t="str">
        <f t="array" ref="AI917">IFERROR(INDEX('Исходник'!$1:$626,MATCH($A917,'Исходник'!$T:$T,0),MATCH(AI$1,'Исходник'!$1:$1,0)))</f>
        <v/>
      </c>
      <c r="AJ917" s="18">
        <f t="shared" si="15"/>
        <v>0</v>
      </c>
    </row>
    <row r="918" ht="15.75" customHeight="1">
      <c r="A918" s="27"/>
      <c r="B918" s="1" t="str">
        <f t="array" ref="B918">IFERROR(INDEX('Исходник'!$1:$626,MATCH($A918,'Исходник'!$T:$T,0),MATCH(B$1,'Исходник'!$1:$1,0)))</f>
        <v/>
      </c>
      <c r="C918" s="1" t="str">
        <f t="array" ref="C918">IFERROR(INDEX('Исходник'!$1:$626,MATCH($A918,'Исходник'!$T:$T,0),MATCH(C$1,'Исходник'!$1:$1,0)))</f>
        <v/>
      </c>
      <c r="D918" s="1" t="str">
        <f t="array" ref="D918">IFERROR(INDEX('Исходник'!$1:$626,MATCH($A918,'Исходник'!$T:$T,0),MATCH(D$1,'Исходник'!$1:$1,0)))</f>
        <v/>
      </c>
      <c r="E918" s="1" t="str">
        <f t="array" ref="E918">IFERROR(INDEX('Исходник'!$1:$626,MATCH($A918,'Исходник'!$T:$T,0),MATCH(E$1,'Исходник'!$1:$1,0)))</f>
        <v/>
      </c>
      <c r="F918" s="1" t="str">
        <f t="array" ref="F918">IFERROR(INDEX('Исходник'!$1:$626,MATCH($A918,'Исходник'!$T:$T,0),MATCH(F$1,'Исходник'!$1:$1,0)))</f>
        <v/>
      </c>
      <c r="G918" s="1" t="str">
        <f t="array" ref="G918">IFERROR(INDEX('Исходник'!$1:$626,MATCH($A918,'Исходник'!$T:$T,0),MATCH(G$1,'Исходник'!$1:$1,0)))</f>
        <v/>
      </c>
      <c r="H918" s="27">
        <f t="shared" si="1"/>
        <v>0</v>
      </c>
      <c r="I918" s="27" t="str">
        <f t="shared" si="2"/>
        <v/>
      </c>
      <c r="J918" s="1" t="str">
        <f t="array" ref="J918">IFERROR(INDEX('Исходник'!$1:$626,MATCH($A918,'Исходник'!$T:$T,0),MATCH(J$1,'Исходник'!$1:$1,0)))</f>
        <v/>
      </c>
      <c r="K918" s="27" t="str">
        <f t="shared" si="3"/>
        <v/>
      </c>
      <c r="L918" s="1" t="str">
        <f t="array" ref="L918">IFERROR(INDEX('Исходник'!$1:$626,MATCH($A918,'Исходник'!$T:$T,0),MATCH(L$1,'Исходник'!$1:$1,0)))</f>
        <v/>
      </c>
      <c r="M918" s="28">
        <f t="shared" si="4"/>
        <v>0</v>
      </c>
      <c r="N918" s="1" t="str">
        <f t="array" ref="N918">IFERROR(INDEX('Исходник'!$1:$626,MATCH($A918,'Исходник'!$T:$T,0),MATCH(N$1,'Исходник'!$1:$1,0)))</f>
        <v/>
      </c>
      <c r="O918" s="27">
        <f t="shared" si="5"/>
        <v>0</v>
      </c>
      <c r="P918" s="27" t="str">
        <f t="shared" si="6"/>
        <v/>
      </c>
      <c r="Q918" s="1" t="str">
        <f t="array" ref="Q918">IFERROR(INDEX('Исходник'!$1:$626,MATCH($A918,'Исходник'!$T:$T,0),MATCH(Q$1,'Исходник'!$1:$1,0)))</f>
        <v/>
      </c>
      <c r="R918" s="1" t="str">
        <f t="array" ref="R918">IFERROR(INDEX('Исходник'!$1:$626,MATCH($A918,'Исходник'!$T:$T,0),MATCH(R$1,'Исходник'!$1:$1,0)))</f>
        <v/>
      </c>
      <c r="S918" s="27">
        <f t="shared" si="7"/>
        <v>0</v>
      </c>
      <c r="T918" s="27" t="str">
        <f t="shared" si="8"/>
        <v/>
      </c>
      <c r="U918" s="1" t="str">
        <f t="array" ref="U918">IFERROR(INDEX('Исходник'!$1:$626,MATCH($A918,'Исходник'!$T:$T,0),MATCH(U$1,'Исходник'!$1:$1,0)))</f>
        <v/>
      </c>
      <c r="V918" s="27" t="str">
        <f t="shared" si="9"/>
        <v/>
      </c>
      <c r="W918" s="1" t="str">
        <f t="array" ref="W918">IFERROR(INDEX('Исходник'!$1:$626,MATCH($A918,'Исходник'!$T:$T,0),MATCH(W$1,'Исходник'!$1:$1,0)))</f>
        <v/>
      </c>
      <c r="X918" s="28">
        <f t="shared" si="10"/>
        <v>0</v>
      </c>
      <c r="Y918" s="1" t="str">
        <f t="array" ref="Y918">IFERROR(INDEX('Исходник'!$1:$626,MATCH($A918,'Исходник'!$T:$T,0),MATCH(Y$1,'Исходник'!$1:$1,0)))</f>
        <v/>
      </c>
      <c r="Z918" s="27">
        <f t="shared" si="11"/>
        <v>0</v>
      </c>
      <c r="AA918" s="27" t="str">
        <f t="shared" si="12"/>
        <v/>
      </c>
      <c r="AB918" s="1" t="str">
        <f t="array" ref="AB918">IFERROR(INDEX('Исходник'!$1:$626,MATCH($A918,'Исходник'!$T:$T,0),MATCH(AB$1,'Исходник'!$1:$1,0)))</f>
        <v/>
      </c>
      <c r="AC918" s="1" t="str">
        <f t="array" ref="AC918">IFERROR(INDEX('Исходник'!$1:$626,MATCH($A918,'Исходник'!$T:$T,0),MATCH(AC$1,'Исходник'!$1:$1,0)))</f>
        <v/>
      </c>
      <c r="AD918" s="27" t="str">
        <f t="shared" si="13"/>
        <v/>
      </c>
      <c r="AE918" s="1" t="str">
        <f t="array" ref="AE918">IFERROR(INDEX('Исходник'!$1:$626,MATCH($A918,'Исходник'!$T:$T,0),MATCH(AE$1,'Исходник'!$1:$1,0)))</f>
        <v/>
      </c>
      <c r="AF918" s="1" t="str">
        <f t="array" ref="AF918">IFERROR(INDEX('Исходник'!$1:$626,MATCH($A918,'Исходник'!$T:$T,0),MATCH(AF$1,'Исходник'!$1:$1,0)))</f>
        <v/>
      </c>
      <c r="AG918" s="27" t="str">
        <f t="shared" si="14"/>
        <v/>
      </c>
      <c r="AH918" s="1" t="str">
        <f t="array" ref="AH918">IFERROR(INDEX('Исходник'!$1:$626,MATCH($A918,'Исходник'!$T:$T,0),MATCH(AH$1,'Исходник'!$1:$1,0)))</f>
        <v/>
      </c>
      <c r="AI918" s="1" t="str">
        <f t="array" ref="AI918">IFERROR(INDEX('Исходник'!$1:$626,MATCH($A918,'Исходник'!$T:$T,0),MATCH(AI$1,'Исходник'!$1:$1,0)))</f>
        <v/>
      </c>
      <c r="AJ918" s="18">
        <f t="shared" si="15"/>
        <v>0</v>
      </c>
    </row>
    <row r="919" ht="15.75" customHeight="1">
      <c r="A919" s="27"/>
      <c r="B919" s="1" t="str">
        <f t="array" ref="B919">IFERROR(INDEX('Исходник'!$1:$626,MATCH($A919,'Исходник'!$T:$T,0),MATCH(B$1,'Исходник'!$1:$1,0)))</f>
        <v/>
      </c>
      <c r="C919" s="1" t="str">
        <f t="array" ref="C919">IFERROR(INDEX('Исходник'!$1:$626,MATCH($A919,'Исходник'!$T:$T,0),MATCH(C$1,'Исходник'!$1:$1,0)))</f>
        <v/>
      </c>
      <c r="D919" s="1" t="str">
        <f t="array" ref="D919">IFERROR(INDEX('Исходник'!$1:$626,MATCH($A919,'Исходник'!$T:$T,0),MATCH(D$1,'Исходник'!$1:$1,0)))</f>
        <v/>
      </c>
      <c r="E919" s="1" t="str">
        <f t="array" ref="E919">IFERROR(INDEX('Исходник'!$1:$626,MATCH($A919,'Исходник'!$T:$T,0),MATCH(E$1,'Исходник'!$1:$1,0)))</f>
        <v/>
      </c>
      <c r="F919" s="1" t="str">
        <f t="array" ref="F919">IFERROR(INDEX('Исходник'!$1:$626,MATCH($A919,'Исходник'!$T:$T,0),MATCH(F$1,'Исходник'!$1:$1,0)))</f>
        <v/>
      </c>
      <c r="G919" s="1" t="str">
        <f t="array" ref="G919">IFERROR(INDEX('Исходник'!$1:$626,MATCH($A919,'Исходник'!$T:$T,0),MATCH(G$1,'Исходник'!$1:$1,0)))</f>
        <v/>
      </c>
      <c r="H919" s="27">
        <f t="shared" si="1"/>
        <v>0</v>
      </c>
      <c r="I919" s="27" t="str">
        <f t="shared" si="2"/>
        <v/>
      </c>
      <c r="J919" s="1" t="str">
        <f t="array" ref="J919">IFERROR(INDEX('Исходник'!$1:$626,MATCH($A919,'Исходник'!$T:$T,0),MATCH(J$1,'Исходник'!$1:$1,0)))</f>
        <v/>
      </c>
      <c r="K919" s="27" t="str">
        <f t="shared" si="3"/>
        <v/>
      </c>
      <c r="L919" s="1" t="str">
        <f t="array" ref="L919">IFERROR(INDEX('Исходник'!$1:$626,MATCH($A919,'Исходник'!$T:$T,0),MATCH(L$1,'Исходник'!$1:$1,0)))</f>
        <v/>
      </c>
      <c r="M919" s="28">
        <f t="shared" si="4"/>
        <v>0</v>
      </c>
      <c r="N919" s="1" t="str">
        <f t="array" ref="N919">IFERROR(INDEX('Исходник'!$1:$626,MATCH($A919,'Исходник'!$T:$T,0),MATCH(N$1,'Исходник'!$1:$1,0)))</f>
        <v/>
      </c>
      <c r="O919" s="27">
        <f t="shared" si="5"/>
        <v>0</v>
      </c>
      <c r="P919" s="27" t="str">
        <f t="shared" si="6"/>
        <v/>
      </c>
      <c r="Q919" s="1" t="str">
        <f t="array" ref="Q919">IFERROR(INDEX('Исходник'!$1:$626,MATCH($A919,'Исходник'!$T:$T,0),MATCH(Q$1,'Исходник'!$1:$1,0)))</f>
        <v/>
      </c>
      <c r="R919" s="1" t="str">
        <f t="array" ref="R919">IFERROR(INDEX('Исходник'!$1:$626,MATCH($A919,'Исходник'!$T:$T,0),MATCH(R$1,'Исходник'!$1:$1,0)))</f>
        <v/>
      </c>
      <c r="S919" s="27">
        <f t="shared" si="7"/>
        <v>0</v>
      </c>
      <c r="T919" s="27" t="str">
        <f t="shared" si="8"/>
        <v/>
      </c>
      <c r="U919" s="1" t="str">
        <f t="array" ref="U919">IFERROR(INDEX('Исходник'!$1:$626,MATCH($A919,'Исходник'!$T:$T,0),MATCH(U$1,'Исходник'!$1:$1,0)))</f>
        <v/>
      </c>
      <c r="V919" s="27" t="str">
        <f t="shared" si="9"/>
        <v/>
      </c>
      <c r="W919" s="1" t="str">
        <f t="array" ref="W919">IFERROR(INDEX('Исходник'!$1:$626,MATCH($A919,'Исходник'!$T:$T,0),MATCH(W$1,'Исходник'!$1:$1,0)))</f>
        <v/>
      </c>
      <c r="X919" s="28">
        <f t="shared" si="10"/>
        <v>0</v>
      </c>
      <c r="Y919" s="1" t="str">
        <f t="array" ref="Y919">IFERROR(INDEX('Исходник'!$1:$626,MATCH($A919,'Исходник'!$T:$T,0),MATCH(Y$1,'Исходник'!$1:$1,0)))</f>
        <v/>
      </c>
      <c r="Z919" s="27">
        <f t="shared" si="11"/>
        <v>0</v>
      </c>
      <c r="AA919" s="27" t="str">
        <f t="shared" si="12"/>
        <v/>
      </c>
      <c r="AB919" s="1" t="str">
        <f t="array" ref="AB919">IFERROR(INDEX('Исходник'!$1:$626,MATCH($A919,'Исходник'!$T:$T,0),MATCH(AB$1,'Исходник'!$1:$1,0)))</f>
        <v/>
      </c>
      <c r="AC919" s="1" t="str">
        <f t="array" ref="AC919">IFERROR(INDEX('Исходник'!$1:$626,MATCH($A919,'Исходник'!$T:$T,0),MATCH(AC$1,'Исходник'!$1:$1,0)))</f>
        <v/>
      </c>
      <c r="AD919" s="27" t="str">
        <f t="shared" si="13"/>
        <v/>
      </c>
      <c r="AE919" s="1" t="str">
        <f t="array" ref="AE919">IFERROR(INDEX('Исходник'!$1:$626,MATCH($A919,'Исходник'!$T:$T,0),MATCH(AE$1,'Исходник'!$1:$1,0)))</f>
        <v/>
      </c>
      <c r="AF919" s="1" t="str">
        <f t="array" ref="AF919">IFERROR(INDEX('Исходник'!$1:$626,MATCH($A919,'Исходник'!$T:$T,0),MATCH(AF$1,'Исходник'!$1:$1,0)))</f>
        <v/>
      </c>
      <c r="AG919" s="27" t="str">
        <f t="shared" si="14"/>
        <v/>
      </c>
      <c r="AH919" s="1" t="str">
        <f t="array" ref="AH919">IFERROR(INDEX('Исходник'!$1:$626,MATCH($A919,'Исходник'!$T:$T,0),MATCH(AH$1,'Исходник'!$1:$1,0)))</f>
        <v/>
      </c>
      <c r="AI919" s="1" t="str">
        <f t="array" ref="AI919">IFERROR(INDEX('Исходник'!$1:$626,MATCH($A919,'Исходник'!$T:$T,0),MATCH(AI$1,'Исходник'!$1:$1,0)))</f>
        <v/>
      </c>
      <c r="AJ919" s="18">
        <f t="shared" si="15"/>
        <v>0</v>
      </c>
    </row>
    <row r="920" ht="15.75" customHeight="1">
      <c r="A920" s="27"/>
      <c r="B920" s="1" t="str">
        <f t="array" ref="B920">IFERROR(INDEX('Исходник'!$1:$626,MATCH($A920,'Исходник'!$T:$T,0),MATCH(B$1,'Исходник'!$1:$1,0)))</f>
        <v/>
      </c>
      <c r="C920" s="1" t="str">
        <f t="array" ref="C920">IFERROR(INDEX('Исходник'!$1:$626,MATCH($A920,'Исходник'!$T:$T,0),MATCH(C$1,'Исходник'!$1:$1,0)))</f>
        <v/>
      </c>
      <c r="D920" s="1" t="str">
        <f t="array" ref="D920">IFERROR(INDEX('Исходник'!$1:$626,MATCH($A920,'Исходник'!$T:$T,0),MATCH(D$1,'Исходник'!$1:$1,0)))</f>
        <v/>
      </c>
      <c r="E920" s="1" t="str">
        <f t="array" ref="E920">IFERROR(INDEX('Исходник'!$1:$626,MATCH($A920,'Исходник'!$T:$T,0),MATCH(E$1,'Исходник'!$1:$1,0)))</f>
        <v/>
      </c>
      <c r="F920" s="1" t="str">
        <f t="array" ref="F920">IFERROR(INDEX('Исходник'!$1:$626,MATCH($A920,'Исходник'!$T:$T,0),MATCH(F$1,'Исходник'!$1:$1,0)))</f>
        <v/>
      </c>
      <c r="G920" s="1" t="str">
        <f t="array" ref="G920">IFERROR(INDEX('Исходник'!$1:$626,MATCH($A920,'Исходник'!$T:$T,0),MATCH(G$1,'Исходник'!$1:$1,0)))</f>
        <v/>
      </c>
      <c r="H920" s="27">
        <f t="shared" si="1"/>
        <v>0</v>
      </c>
      <c r="I920" s="27" t="str">
        <f t="shared" si="2"/>
        <v/>
      </c>
      <c r="J920" s="1" t="str">
        <f t="array" ref="J920">IFERROR(INDEX('Исходник'!$1:$626,MATCH($A920,'Исходник'!$T:$T,0),MATCH(J$1,'Исходник'!$1:$1,0)))</f>
        <v/>
      </c>
      <c r="K920" s="27" t="str">
        <f t="shared" si="3"/>
        <v/>
      </c>
      <c r="L920" s="1" t="str">
        <f t="array" ref="L920">IFERROR(INDEX('Исходник'!$1:$626,MATCH($A920,'Исходник'!$T:$T,0),MATCH(L$1,'Исходник'!$1:$1,0)))</f>
        <v/>
      </c>
      <c r="M920" s="28">
        <f t="shared" si="4"/>
        <v>0</v>
      </c>
      <c r="N920" s="1" t="str">
        <f t="array" ref="N920">IFERROR(INDEX('Исходник'!$1:$626,MATCH($A920,'Исходник'!$T:$T,0),MATCH(N$1,'Исходник'!$1:$1,0)))</f>
        <v/>
      </c>
      <c r="O920" s="27">
        <f t="shared" si="5"/>
        <v>0</v>
      </c>
      <c r="P920" s="27" t="str">
        <f t="shared" si="6"/>
        <v/>
      </c>
      <c r="Q920" s="1" t="str">
        <f t="array" ref="Q920">IFERROR(INDEX('Исходник'!$1:$626,MATCH($A920,'Исходник'!$T:$T,0),MATCH(Q$1,'Исходник'!$1:$1,0)))</f>
        <v/>
      </c>
      <c r="R920" s="1" t="str">
        <f t="array" ref="R920">IFERROR(INDEX('Исходник'!$1:$626,MATCH($A920,'Исходник'!$T:$T,0),MATCH(R$1,'Исходник'!$1:$1,0)))</f>
        <v/>
      </c>
      <c r="S920" s="27">
        <f t="shared" si="7"/>
        <v>0</v>
      </c>
      <c r="T920" s="27" t="str">
        <f t="shared" si="8"/>
        <v/>
      </c>
      <c r="U920" s="1" t="str">
        <f t="array" ref="U920">IFERROR(INDEX('Исходник'!$1:$626,MATCH($A920,'Исходник'!$T:$T,0),MATCH(U$1,'Исходник'!$1:$1,0)))</f>
        <v/>
      </c>
      <c r="V920" s="27" t="str">
        <f t="shared" si="9"/>
        <v/>
      </c>
      <c r="W920" s="1" t="str">
        <f t="array" ref="W920">IFERROR(INDEX('Исходник'!$1:$626,MATCH($A920,'Исходник'!$T:$T,0),MATCH(W$1,'Исходник'!$1:$1,0)))</f>
        <v/>
      </c>
      <c r="X920" s="28">
        <f t="shared" si="10"/>
        <v>0</v>
      </c>
      <c r="Y920" s="1" t="str">
        <f t="array" ref="Y920">IFERROR(INDEX('Исходник'!$1:$626,MATCH($A920,'Исходник'!$T:$T,0),MATCH(Y$1,'Исходник'!$1:$1,0)))</f>
        <v/>
      </c>
      <c r="Z920" s="27">
        <f t="shared" si="11"/>
        <v>0</v>
      </c>
      <c r="AA920" s="27" t="str">
        <f t="shared" si="12"/>
        <v/>
      </c>
      <c r="AB920" s="1" t="str">
        <f t="array" ref="AB920">IFERROR(INDEX('Исходник'!$1:$626,MATCH($A920,'Исходник'!$T:$T,0),MATCH(AB$1,'Исходник'!$1:$1,0)))</f>
        <v/>
      </c>
      <c r="AC920" s="1" t="str">
        <f t="array" ref="AC920">IFERROR(INDEX('Исходник'!$1:$626,MATCH($A920,'Исходник'!$T:$T,0),MATCH(AC$1,'Исходник'!$1:$1,0)))</f>
        <v/>
      </c>
      <c r="AD920" s="27" t="str">
        <f t="shared" si="13"/>
        <v/>
      </c>
      <c r="AE920" s="1" t="str">
        <f t="array" ref="AE920">IFERROR(INDEX('Исходник'!$1:$626,MATCH($A920,'Исходник'!$T:$T,0),MATCH(AE$1,'Исходник'!$1:$1,0)))</f>
        <v/>
      </c>
      <c r="AF920" s="1" t="str">
        <f t="array" ref="AF920">IFERROR(INDEX('Исходник'!$1:$626,MATCH($A920,'Исходник'!$T:$T,0),MATCH(AF$1,'Исходник'!$1:$1,0)))</f>
        <v/>
      </c>
      <c r="AG920" s="27" t="str">
        <f t="shared" si="14"/>
        <v/>
      </c>
      <c r="AH920" s="1" t="str">
        <f t="array" ref="AH920">IFERROR(INDEX('Исходник'!$1:$626,MATCH($A920,'Исходник'!$T:$T,0),MATCH(AH$1,'Исходник'!$1:$1,0)))</f>
        <v/>
      </c>
      <c r="AI920" s="1" t="str">
        <f t="array" ref="AI920">IFERROR(INDEX('Исходник'!$1:$626,MATCH($A920,'Исходник'!$T:$T,0),MATCH(AI$1,'Исходник'!$1:$1,0)))</f>
        <v/>
      </c>
      <c r="AJ920" s="18">
        <f t="shared" si="15"/>
        <v>0</v>
      </c>
    </row>
    <row r="921" ht="15.75" customHeight="1">
      <c r="A921" s="27"/>
      <c r="B921" s="1" t="str">
        <f t="array" ref="B921">IFERROR(INDEX('Исходник'!$1:$626,MATCH($A921,'Исходник'!$T:$T,0),MATCH(B$1,'Исходник'!$1:$1,0)))</f>
        <v/>
      </c>
      <c r="C921" s="1" t="str">
        <f t="array" ref="C921">IFERROR(INDEX('Исходник'!$1:$626,MATCH($A921,'Исходник'!$T:$T,0),MATCH(C$1,'Исходник'!$1:$1,0)))</f>
        <v/>
      </c>
      <c r="D921" s="1" t="str">
        <f t="array" ref="D921">IFERROR(INDEX('Исходник'!$1:$626,MATCH($A921,'Исходник'!$T:$T,0),MATCH(D$1,'Исходник'!$1:$1,0)))</f>
        <v/>
      </c>
      <c r="E921" s="1" t="str">
        <f t="array" ref="E921">IFERROR(INDEX('Исходник'!$1:$626,MATCH($A921,'Исходник'!$T:$T,0),MATCH(E$1,'Исходник'!$1:$1,0)))</f>
        <v/>
      </c>
      <c r="F921" s="1" t="str">
        <f t="array" ref="F921">IFERROR(INDEX('Исходник'!$1:$626,MATCH($A921,'Исходник'!$T:$T,0),MATCH(F$1,'Исходник'!$1:$1,0)))</f>
        <v/>
      </c>
      <c r="G921" s="1" t="str">
        <f t="array" ref="G921">IFERROR(INDEX('Исходник'!$1:$626,MATCH($A921,'Исходник'!$T:$T,0),MATCH(G$1,'Исходник'!$1:$1,0)))</f>
        <v/>
      </c>
      <c r="H921" s="27">
        <f t="shared" si="1"/>
        <v>0</v>
      </c>
      <c r="I921" s="27" t="str">
        <f t="shared" si="2"/>
        <v/>
      </c>
      <c r="J921" s="1" t="str">
        <f t="array" ref="J921">IFERROR(INDEX('Исходник'!$1:$626,MATCH($A921,'Исходник'!$T:$T,0),MATCH(J$1,'Исходник'!$1:$1,0)))</f>
        <v/>
      </c>
      <c r="K921" s="27" t="str">
        <f t="shared" si="3"/>
        <v/>
      </c>
      <c r="L921" s="1" t="str">
        <f t="array" ref="L921">IFERROR(INDEX('Исходник'!$1:$626,MATCH($A921,'Исходник'!$T:$T,0),MATCH(L$1,'Исходник'!$1:$1,0)))</f>
        <v/>
      </c>
      <c r="M921" s="28">
        <f t="shared" si="4"/>
        <v>0</v>
      </c>
      <c r="N921" s="1" t="str">
        <f t="array" ref="N921">IFERROR(INDEX('Исходник'!$1:$626,MATCH($A921,'Исходник'!$T:$T,0),MATCH(N$1,'Исходник'!$1:$1,0)))</f>
        <v/>
      </c>
      <c r="O921" s="27">
        <f t="shared" si="5"/>
        <v>0</v>
      </c>
      <c r="P921" s="27" t="str">
        <f t="shared" si="6"/>
        <v/>
      </c>
      <c r="Q921" s="1" t="str">
        <f t="array" ref="Q921">IFERROR(INDEX('Исходник'!$1:$626,MATCH($A921,'Исходник'!$T:$T,0),MATCH(Q$1,'Исходник'!$1:$1,0)))</f>
        <v/>
      </c>
      <c r="R921" s="1" t="str">
        <f t="array" ref="R921">IFERROR(INDEX('Исходник'!$1:$626,MATCH($A921,'Исходник'!$T:$T,0),MATCH(R$1,'Исходник'!$1:$1,0)))</f>
        <v/>
      </c>
      <c r="S921" s="27">
        <f t="shared" si="7"/>
        <v>0</v>
      </c>
      <c r="T921" s="27" t="str">
        <f t="shared" si="8"/>
        <v/>
      </c>
      <c r="U921" s="1" t="str">
        <f t="array" ref="U921">IFERROR(INDEX('Исходник'!$1:$626,MATCH($A921,'Исходник'!$T:$T,0),MATCH(U$1,'Исходник'!$1:$1,0)))</f>
        <v/>
      </c>
      <c r="V921" s="27" t="str">
        <f t="shared" si="9"/>
        <v/>
      </c>
      <c r="W921" s="1" t="str">
        <f t="array" ref="W921">IFERROR(INDEX('Исходник'!$1:$626,MATCH($A921,'Исходник'!$T:$T,0),MATCH(W$1,'Исходник'!$1:$1,0)))</f>
        <v/>
      </c>
      <c r="X921" s="28">
        <f t="shared" si="10"/>
        <v>0</v>
      </c>
      <c r="Y921" s="1" t="str">
        <f t="array" ref="Y921">IFERROR(INDEX('Исходник'!$1:$626,MATCH($A921,'Исходник'!$T:$T,0),MATCH(Y$1,'Исходник'!$1:$1,0)))</f>
        <v/>
      </c>
      <c r="Z921" s="27">
        <f t="shared" si="11"/>
        <v>0</v>
      </c>
      <c r="AA921" s="27" t="str">
        <f t="shared" si="12"/>
        <v/>
      </c>
      <c r="AB921" s="1" t="str">
        <f t="array" ref="AB921">IFERROR(INDEX('Исходник'!$1:$626,MATCH($A921,'Исходник'!$T:$T,0),MATCH(AB$1,'Исходник'!$1:$1,0)))</f>
        <v/>
      </c>
      <c r="AC921" s="1" t="str">
        <f t="array" ref="AC921">IFERROR(INDEX('Исходник'!$1:$626,MATCH($A921,'Исходник'!$T:$T,0),MATCH(AC$1,'Исходник'!$1:$1,0)))</f>
        <v/>
      </c>
      <c r="AD921" s="27" t="str">
        <f t="shared" si="13"/>
        <v/>
      </c>
      <c r="AE921" s="1" t="str">
        <f t="array" ref="AE921">IFERROR(INDEX('Исходник'!$1:$626,MATCH($A921,'Исходник'!$T:$T,0),MATCH(AE$1,'Исходник'!$1:$1,0)))</f>
        <v/>
      </c>
      <c r="AF921" s="1" t="str">
        <f t="array" ref="AF921">IFERROR(INDEX('Исходник'!$1:$626,MATCH($A921,'Исходник'!$T:$T,0),MATCH(AF$1,'Исходник'!$1:$1,0)))</f>
        <v/>
      </c>
      <c r="AG921" s="27" t="str">
        <f t="shared" si="14"/>
        <v/>
      </c>
      <c r="AH921" s="1" t="str">
        <f t="array" ref="AH921">IFERROR(INDEX('Исходник'!$1:$626,MATCH($A921,'Исходник'!$T:$T,0),MATCH(AH$1,'Исходник'!$1:$1,0)))</f>
        <v/>
      </c>
      <c r="AI921" s="1" t="str">
        <f t="array" ref="AI921">IFERROR(INDEX('Исходник'!$1:$626,MATCH($A921,'Исходник'!$T:$T,0),MATCH(AI$1,'Исходник'!$1:$1,0)))</f>
        <v/>
      </c>
      <c r="AJ921" s="18">
        <f t="shared" si="15"/>
        <v>0</v>
      </c>
    </row>
    <row r="922" ht="15.75" customHeight="1">
      <c r="A922" s="27"/>
      <c r="B922" s="1" t="str">
        <f t="array" ref="B922">IFERROR(INDEX('Исходник'!$1:$626,MATCH($A922,'Исходник'!$T:$T,0),MATCH(B$1,'Исходник'!$1:$1,0)))</f>
        <v/>
      </c>
      <c r="C922" s="1" t="str">
        <f t="array" ref="C922">IFERROR(INDEX('Исходник'!$1:$626,MATCH($A922,'Исходник'!$T:$T,0),MATCH(C$1,'Исходник'!$1:$1,0)))</f>
        <v/>
      </c>
      <c r="D922" s="1" t="str">
        <f t="array" ref="D922">IFERROR(INDEX('Исходник'!$1:$626,MATCH($A922,'Исходник'!$T:$T,0),MATCH(D$1,'Исходник'!$1:$1,0)))</f>
        <v/>
      </c>
      <c r="E922" s="1" t="str">
        <f t="array" ref="E922">IFERROR(INDEX('Исходник'!$1:$626,MATCH($A922,'Исходник'!$T:$T,0),MATCH(E$1,'Исходник'!$1:$1,0)))</f>
        <v/>
      </c>
      <c r="F922" s="1" t="str">
        <f t="array" ref="F922">IFERROR(INDEX('Исходник'!$1:$626,MATCH($A922,'Исходник'!$T:$T,0),MATCH(F$1,'Исходник'!$1:$1,0)))</f>
        <v/>
      </c>
      <c r="G922" s="1" t="str">
        <f t="array" ref="G922">IFERROR(INDEX('Исходник'!$1:$626,MATCH($A922,'Исходник'!$T:$T,0),MATCH(G$1,'Исходник'!$1:$1,0)))</f>
        <v/>
      </c>
      <c r="H922" s="27">
        <f t="shared" si="1"/>
        <v>0</v>
      </c>
      <c r="I922" s="27" t="str">
        <f t="shared" si="2"/>
        <v/>
      </c>
      <c r="J922" s="1" t="str">
        <f t="array" ref="J922">IFERROR(INDEX('Исходник'!$1:$626,MATCH($A922,'Исходник'!$T:$T,0),MATCH(J$1,'Исходник'!$1:$1,0)))</f>
        <v/>
      </c>
      <c r="K922" s="27" t="str">
        <f t="shared" si="3"/>
        <v/>
      </c>
      <c r="L922" s="1" t="str">
        <f t="array" ref="L922">IFERROR(INDEX('Исходник'!$1:$626,MATCH($A922,'Исходник'!$T:$T,0),MATCH(L$1,'Исходник'!$1:$1,0)))</f>
        <v/>
      </c>
      <c r="M922" s="28">
        <f t="shared" si="4"/>
        <v>0</v>
      </c>
      <c r="N922" s="1" t="str">
        <f t="array" ref="N922">IFERROR(INDEX('Исходник'!$1:$626,MATCH($A922,'Исходник'!$T:$T,0),MATCH(N$1,'Исходник'!$1:$1,0)))</f>
        <v/>
      </c>
      <c r="O922" s="27">
        <f t="shared" si="5"/>
        <v>0</v>
      </c>
      <c r="P922" s="27" t="str">
        <f t="shared" si="6"/>
        <v/>
      </c>
      <c r="Q922" s="1" t="str">
        <f t="array" ref="Q922">IFERROR(INDEX('Исходник'!$1:$626,MATCH($A922,'Исходник'!$T:$T,0),MATCH(Q$1,'Исходник'!$1:$1,0)))</f>
        <v/>
      </c>
      <c r="R922" s="1" t="str">
        <f t="array" ref="R922">IFERROR(INDEX('Исходник'!$1:$626,MATCH($A922,'Исходник'!$T:$T,0),MATCH(R$1,'Исходник'!$1:$1,0)))</f>
        <v/>
      </c>
      <c r="S922" s="27">
        <f t="shared" si="7"/>
        <v>0</v>
      </c>
      <c r="T922" s="27" t="str">
        <f t="shared" si="8"/>
        <v/>
      </c>
      <c r="U922" s="1" t="str">
        <f t="array" ref="U922">IFERROR(INDEX('Исходник'!$1:$626,MATCH($A922,'Исходник'!$T:$T,0),MATCH(U$1,'Исходник'!$1:$1,0)))</f>
        <v/>
      </c>
      <c r="V922" s="27" t="str">
        <f t="shared" si="9"/>
        <v/>
      </c>
      <c r="W922" s="1" t="str">
        <f t="array" ref="W922">IFERROR(INDEX('Исходник'!$1:$626,MATCH($A922,'Исходник'!$T:$T,0),MATCH(W$1,'Исходник'!$1:$1,0)))</f>
        <v/>
      </c>
      <c r="X922" s="28">
        <f t="shared" si="10"/>
        <v>0</v>
      </c>
      <c r="Y922" s="1" t="str">
        <f t="array" ref="Y922">IFERROR(INDEX('Исходник'!$1:$626,MATCH($A922,'Исходник'!$T:$T,0),MATCH(Y$1,'Исходник'!$1:$1,0)))</f>
        <v/>
      </c>
      <c r="Z922" s="27">
        <f t="shared" si="11"/>
        <v>0</v>
      </c>
      <c r="AA922" s="27" t="str">
        <f t="shared" si="12"/>
        <v/>
      </c>
      <c r="AB922" s="1" t="str">
        <f t="array" ref="AB922">IFERROR(INDEX('Исходник'!$1:$626,MATCH($A922,'Исходник'!$T:$T,0),MATCH(AB$1,'Исходник'!$1:$1,0)))</f>
        <v/>
      </c>
      <c r="AC922" s="1" t="str">
        <f t="array" ref="AC922">IFERROR(INDEX('Исходник'!$1:$626,MATCH($A922,'Исходник'!$T:$T,0),MATCH(AC$1,'Исходник'!$1:$1,0)))</f>
        <v/>
      </c>
      <c r="AD922" s="27" t="str">
        <f t="shared" si="13"/>
        <v/>
      </c>
      <c r="AE922" s="1" t="str">
        <f t="array" ref="AE922">IFERROR(INDEX('Исходник'!$1:$626,MATCH($A922,'Исходник'!$T:$T,0),MATCH(AE$1,'Исходник'!$1:$1,0)))</f>
        <v/>
      </c>
      <c r="AF922" s="1" t="str">
        <f t="array" ref="AF922">IFERROR(INDEX('Исходник'!$1:$626,MATCH($A922,'Исходник'!$T:$T,0),MATCH(AF$1,'Исходник'!$1:$1,0)))</f>
        <v/>
      </c>
      <c r="AG922" s="27" t="str">
        <f t="shared" si="14"/>
        <v/>
      </c>
      <c r="AH922" s="1" t="str">
        <f t="array" ref="AH922">IFERROR(INDEX('Исходник'!$1:$626,MATCH($A922,'Исходник'!$T:$T,0),MATCH(AH$1,'Исходник'!$1:$1,0)))</f>
        <v/>
      </c>
      <c r="AI922" s="1" t="str">
        <f t="array" ref="AI922">IFERROR(INDEX('Исходник'!$1:$626,MATCH($A922,'Исходник'!$T:$T,0),MATCH(AI$1,'Исходник'!$1:$1,0)))</f>
        <v/>
      </c>
      <c r="AJ922" s="18">
        <f t="shared" si="15"/>
        <v>0</v>
      </c>
    </row>
    <row r="923" ht="15.75" customHeight="1">
      <c r="A923" s="27"/>
      <c r="B923" s="1" t="str">
        <f t="array" ref="B923">IFERROR(INDEX('Исходник'!$1:$626,MATCH($A923,'Исходник'!$T:$T,0),MATCH(B$1,'Исходник'!$1:$1,0)))</f>
        <v/>
      </c>
      <c r="C923" s="1" t="str">
        <f t="array" ref="C923">IFERROR(INDEX('Исходник'!$1:$626,MATCH($A923,'Исходник'!$T:$T,0),MATCH(C$1,'Исходник'!$1:$1,0)))</f>
        <v/>
      </c>
      <c r="D923" s="1" t="str">
        <f t="array" ref="D923">IFERROR(INDEX('Исходник'!$1:$626,MATCH($A923,'Исходник'!$T:$T,0),MATCH(D$1,'Исходник'!$1:$1,0)))</f>
        <v/>
      </c>
      <c r="E923" s="1" t="str">
        <f t="array" ref="E923">IFERROR(INDEX('Исходник'!$1:$626,MATCH($A923,'Исходник'!$T:$T,0),MATCH(E$1,'Исходник'!$1:$1,0)))</f>
        <v/>
      </c>
      <c r="F923" s="1" t="str">
        <f t="array" ref="F923">IFERROR(INDEX('Исходник'!$1:$626,MATCH($A923,'Исходник'!$T:$T,0),MATCH(F$1,'Исходник'!$1:$1,0)))</f>
        <v/>
      </c>
      <c r="G923" s="1" t="str">
        <f t="array" ref="G923">IFERROR(INDEX('Исходник'!$1:$626,MATCH($A923,'Исходник'!$T:$T,0),MATCH(G$1,'Исходник'!$1:$1,0)))</f>
        <v/>
      </c>
      <c r="H923" s="27">
        <f t="shared" si="1"/>
        <v>0</v>
      </c>
      <c r="I923" s="27" t="str">
        <f t="shared" si="2"/>
        <v/>
      </c>
      <c r="J923" s="1" t="str">
        <f t="array" ref="J923">IFERROR(INDEX('Исходник'!$1:$626,MATCH($A923,'Исходник'!$T:$T,0),MATCH(J$1,'Исходник'!$1:$1,0)))</f>
        <v/>
      </c>
      <c r="K923" s="27" t="str">
        <f t="shared" si="3"/>
        <v/>
      </c>
      <c r="L923" s="1" t="str">
        <f t="array" ref="L923">IFERROR(INDEX('Исходник'!$1:$626,MATCH($A923,'Исходник'!$T:$T,0),MATCH(L$1,'Исходник'!$1:$1,0)))</f>
        <v/>
      </c>
      <c r="M923" s="28">
        <f t="shared" si="4"/>
        <v>0</v>
      </c>
      <c r="N923" s="1" t="str">
        <f t="array" ref="N923">IFERROR(INDEX('Исходник'!$1:$626,MATCH($A923,'Исходник'!$T:$T,0),MATCH(N$1,'Исходник'!$1:$1,0)))</f>
        <v/>
      </c>
      <c r="O923" s="27">
        <f t="shared" si="5"/>
        <v>0</v>
      </c>
      <c r="P923" s="27" t="str">
        <f t="shared" si="6"/>
        <v/>
      </c>
      <c r="Q923" s="1" t="str">
        <f t="array" ref="Q923">IFERROR(INDEX('Исходник'!$1:$626,MATCH($A923,'Исходник'!$T:$T,0),MATCH(Q$1,'Исходник'!$1:$1,0)))</f>
        <v/>
      </c>
      <c r="R923" s="1" t="str">
        <f t="array" ref="R923">IFERROR(INDEX('Исходник'!$1:$626,MATCH($A923,'Исходник'!$T:$T,0),MATCH(R$1,'Исходник'!$1:$1,0)))</f>
        <v/>
      </c>
      <c r="S923" s="27">
        <f t="shared" si="7"/>
        <v>0</v>
      </c>
      <c r="T923" s="27" t="str">
        <f t="shared" si="8"/>
        <v/>
      </c>
      <c r="U923" s="1" t="str">
        <f t="array" ref="U923">IFERROR(INDEX('Исходник'!$1:$626,MATCH($A923,'Исходник'!$T:$T,0),MATCH(U$1,'Исходник'!$1:$1,0)))</f>
        <v/>
      </c>
      <c r="V923" s="27" t="str">
        <f t="shared" si="9"/>
        <v/>
      </c>
      <c r="W923" s="1" t="str">
        <f t="array" ref="W923">IFERROR(INDEX('Исходник'!$1:$626,MATCH($A923,'Исходник'!$T:$T,0),MATCH(W$1,'Исходник'!$1:$1,0)))</f>
        <v/>
      </c>
      <c r="X923" s="28">
        <f t="shared" si="10"/>
        <v>0</v>
      </c>
      <c r="Y923" s="1" t="str">
        <f t="array" ref="Y923">IFERROR(INDEX('Исходник'!$1:$626,MATCH($A923,'Исходник'!$T:$T,0),MATCH(Y$1,'Исходник'!$1:$1,0)))</f>
        <v/>
      </c>
      <c r="Z923" s="27">
        <f t="shared" si="11"/>
        <v>0</v>
      </c>
      <c r="AA923" s="27" t="str">
        <f t="shared" si="12"/>
        <v/>
      </c>
      <c r="AB923" s="1" t="str">
        <f t="array" ref="AB923">IFERROR(INDEX('Исходник'!$1:$626,MATCH($A923,'Исходник'!$T:$T,0),MATCH(AB$1,'Исходник'!$1:$1,0)))</f>
        <v/>
      </c>
      <c r="AC923" s="1" t="str">
        <f t="array" ref="AC923">IFERROR(INDEX('Исходник'!$1:$626,MATCH($A923,'Исходник'!$T:$T,0),MATCH(AC$1,'Исходник'!$1:$1,0)))</f>
        <v/>
      </c>
      <c r="AD923" s="27" t="str">
        <f t="shared" si="13"/>
        <v/>
      </c>
      <c r="AE923" s="1" t="str">
        <f t="array" ref="AE923">IFERROR(INDEX('Исходник'!$1:$626,MATCH($A923,'Исходник'!$T:$T,0),MATCH(AE$1,'Исходник'!$1:$1,0)))</f>
        <v/>
      </c>
      <c r="AF923" s="1" t="str">
        <f t="array" ref="AF923">IFERROR(INDEX('Исходник'!$1:$626,MATCH($A923,'Исходник'!$T:$T,0),MATCH(AF$1,'Исходник'!$1:$1,0)))</f>
        <v/>
      </c>
      <c r="AG923" s="27" t="str">
        <f t="shared" si="14"/>
        <v/>
      </c>
      <c r="AH923" s="1" t="str">
        <f t="array" ref="AH923">IFERROR(INDEX('Исходник'!$1:$626,MATCH($A923,'Исходник'!$T:$T,0),MATCH(AH$1,'Исходник'!$1:$1,0)))</f>
        <v/>
      </c>
      <c r="AI923" s="1" t="str">
        <f t="array" ref="AI923">IFERROR(INDEX('Исходник'!$1:$626,MATCH($A923,'Исходник'!$T:$T,0),MATCH(AI$1,'Исходник'!$1:$1,0)))</f>
        <v/>
      </c>
      <c r="AJ923" s="18">
        <f t="shared" si="15"/>
        <v>0</v>
      </c>
    </row>
    <row r="924" ht="15.75" customHeight="1">
      <c r="A924" s="27"/>
      <c r="B924" s="1" t="str">
        <f t="array" ref="B924">IFERROR(INDEX('Исходник'!$1:$626,MATCH($A924,'Исходник'!$T:$T,0),MATCH(B$1,'Исходник'!$1:$1,0)))</f>
        <v/>
      </c>
      <c r="C924" s="1" t="str">
        <f t="array" ref="C924">IFERROR(INDEX('Исходник'!$1:$626,MATCH($A924,'Исходник'!$T:$T,0),MATCH(C$1,'Исходник'!$1:$1,0)))</f>
        <v/>
      </c>
      <c r="D924" s="1" t="str">
        <f t="array" ref="D924">IFERROR(INDEX('Исходник'!$1:$626,MATCH($A924,'Исходник'!$T:$T,0),MATCH(D$1,'Исходник'!$1:$1,0)))</f>
        <v/>
      </c>
      <c r="E924" s="1" t="str">
        <f t="array" ref="E924">IFERROR(INDEX('Исходник'!$1:$626,MATCH($A924,'Исходник'!$T:$T,0),MATCH(E$1,'Исходник'!$1:$1,0)))</f>
        <v/>
      </c>
      <c r="F924" s="1" t="str">
        <f t="array" ref="F924">IFERROR(INDEX('Исходник'!$1:$626,MATCH($A924,'Исходник'!$T:$T,0),MATCH(F$1,'Исходник'!$1:$1,0)))</f>
        <v/>
      </c>
      <c r="G924" s="1" t="str">
        <f t="array" ref="G924">IFERROR(INDEX('Исходник'!$1:$626,MATCH($A924,'Исходник'!$T:$T,0),MATCH(G$1,'Исходник'!$1:$1,0)))</f>
        <v/>
      </c>
      <c r="H924" s="27">
        <f t="shared" si="1"/>
        <v>0</v>
      </c>
      <c r="I924" s="27" t="str">
        <f t="shared" si="2"/>
        <v/>
      </c>
      <c r="J924" s="1" t="str">
        <f t="array" ref="J924">IFERROR(INDEX('Исходник'!$1:$626,MATCH($A924,'Исходник'!$T:$T,0),MATCH(J$1,'Исходник'!$1:$1,0)))</f>
        <v/>
      </c>
      <c r="K924" s="27" t="str">
        <f t="shared" si="3"/>
        <v/>
      </c>
      <c r="L924" s="1" t="str">
        <f t="array" ref="L924">IFERROR(INDEX('Исходник'!$1:$626,MATCH($A924,'Исходник'!$T:$T,0),MATCH(L$1,'Исходник'!$1:$1,0)))</f>
        <v/>
      </c>
      <c r="M924" s="28">
        <f t="shared" si="4"/>
        <v>0</v>
      </c>
      <c r="N924" s="1" t="str">
        <f t="array" ref="N924">IFERROR(INDEX('Исходник'!$1:$626,MATCH($A924,'Исходник'!$T:$T,0),MATCH(N$1,'Исходник'!$1:$1,0)))</f>
        <v/>
      </c>
      <c r="O924" s="27">
        <f t="shared" si="5"/>
        <v>0</v>
      </c>
      <c r="P924" s="27" t="str">
        <f t="shared" si="6"/>
        <v/>
      </c>
      <c r="Q924" s="1" t="str">
        <f t="array" ref="Q924">IFERROR(INDEX('Исходник'!$1:$626,MATCH($A924,'Исходник'!$T:$T,0),MATCH(Q$1,'Исходник'!$1:$1,0)))</f>
        <v/>
      </c>
      <c r="R924" s="1" t="str">
        <f t="array" ref="R924">IFERROR(INDEX('Исходник'!$1:$626,MATCH($A924,'Исходник'!$T:$T,0),MATCH(R$1,'Исходник'!$1:$1,0)))</f>
        <v/>
      </c>
      <c r="S924" s="27">
        <f t="shared" si="7"/>
        <v>0</v>
      </c>
      <c r="T924" s="27" t="str">
        <f t="shared" si="8"/>
        <v/>
      </c>
      <c r="U924" s="1" t="str">
        <f t="array" ref="U924">IFERROR(INDEX('Исходник'!$1:$626,MATCH($A924,'Исходник'!$T:$T,0),MATCH(U$1,'Исходник'!$1:$1,0)))</f>
        <v/>
      </c>
      <c r="V924" s="27" t="str">
        <f t="shared" si="9"/>
        <v/>
      </c>
      <c r="W924" s="1" t="str">
        <f t="array" ref="W924">IFERROR(INDEX('Исходник'!$1:$626,MATCH($A924,'Исходник'!$T:$T,0),MATCH(W$1,'Исходник'!$1:$1,0)))</f>
        <v/>
      </c>
      <c r="X924" s="28">
        <f t="shared" si="10"/>
        <v>0</v>
      </c>
      <c r="Y924" s="1" t="str">
        <f t="array" ref="Y924">IFERROR(INDEX('Исходник'!$1:$626,MATCH($A924,'Исходник'!$T:$T,0),MATCH(Y$1,'Исходник'!$1:$1,0)))</f>
        <v/>
      </c>
      <c r="Z924" s="27">
        <f t="shared" si="11"/>
        <v>0</v>
      </c>
      <c r="AA924" s="27" t="str">
        <f t="shared" si="12"/>
        <v/>
      </c>
      <c r="AB924" s="1" t="str">
        <f t="array" ref="AB924">IFERROR(INDEX('Исходник'!$1:$626,MATCH($A924,'Исходник'!$T:$T,0),MATCH(AB$1,'Исходник'!$1:$1,0)))</f>
        <v/>
      </c>
      <c r="AC924" s="1" t="str">
        <f t="array" ref="AC924">IFERROR(INDEX('Исходник'!$1:$626,MATCH($A924,'Исходник'!$T:$T,0),MATCH(AC$1,'Исходник'!$1:$1,0)))</f>
        <v/>
      </c>
      <c r="AD924" s="27" t="str">
        <f t="shared" si="13"/>
        <v/>
      </c>
      <c r="AE924" s="1" t="str">
        <f t="array" ref="AE924">IFERROR(INDEX('Исходник'!$1:$626,MATCH($A924,'Исходник'!$T:$T,0),MATCH(AE$1,'Исходник'!$1:$1,0)))</f>
        <v/>
      </c>
      <c r="AF924" s="1" t="str">
        <f t="array" ref="AF924">IFERROR(INDEX('Исходник'!$1:$626,MATCH($A924,'Исходник'!$T:$T,0),MATCH(AF$1,'Исходник'!$1:$1,0)))</f>
        <v/>
      </c>
      <c r="AG924" s="27" t="str">
        <f t="shared" si="14"/>
        <v/>
      </c>
      <c r="AH924" s="1" t="str">
        <f t="array" ref="AH924">IFERROR(INDEX('Исходник'!$1:$626,MATCH($A924,'Исходник'!$T:$T,0),MATCH(AH$1,'Исходник'!$1:$1,0)))</f>
        <v/>
      </c>
      <c r="AI924" s="1" t="str">
        <f t="array" ref="AI924">IFERROR(INDEX('Исходник'!$1:$626,MATCH($A924,'Исходник'!$T:$T,0),MATCH(AI$1,'Исходник'!$1:$1,0)))</f>
        <v/>
      </c>
      <c r="AJ924" s="18">
        <f t="shared" si="15"/>
        <v>0</v>
      </c>
    </row>
    <row r="925" ht="15.75" customHeight="1">
      <c r="A925" s="27"/>
      <c r="B925" s="1" t="str">
        <f t="array" ref="B925">IFERROR(INDEX('Исходник'!$1:$626,MATCH($A925,'Исходник'!$T:$T,0),MATCH(B$1,'Исходник'!$1:$1,0)))</f>
        <v/>
      </c>
      <c r="C925" s="1" t="str">
        <f t="array" ref="C925">IFERROR(INDEX('Исходник'!$1:$626,MATCH($A925,'Исходник'!$T:$T,0),MATCH(C$1,'Исходник'!$1:$1,0)))</f>
        <v/>
      </c>
      <c r="D925" s="1" t="str">
        <f t="array" ref="D925">IFERROR(INDEX('Исходник'!$1:$626,MATCH($A925,'Исходник'!$T:$T,0),MATCH(D$1,'Исходник'!$1:$1,0)))</f>
        <v/>
      </c>
      <c r="E925" s="1" t="str">
        <f t="array" ref="E925">IFERROR(INDEX('Исходник'!$1:$626,MATCH($A925,'Исходник'!$T:$T,0),MATCH(E$1,'Исходник'!$1:$1,0)))</f>
        <v/>
      </c>
      <c r="F925" s="1" t="str">
        <f t="array" ref="F925">IFERROR(INDEX('Исходник'!$1:$626,MATCH($A925,'Исходник'!$T:$T,0),MATCH(F$1,'Исходник'!$1:$1,0)))</f>
        <v/>
      </c>
      <c r="G925" s="1" t="str">
        <f t="array" ref="G925">IFERROR(INDEX('Исходник'!$1:$626,MATCH($A925,'Исходник'!$T:$T,0),MATCH(G$1,'Исходник'!$1:$1,0)))</f>
        <v/>
      </c>
      <c r="H925" s="27">
        <f t="shared" si="1"/>
        <v>0</v>
      </c>
      <c r="I925" s="27" t="str">
        <f t="shared" si="2"/>
        <v/>
      </c>
      <c r="J925" s="1" t="str">
        <f t="array" ref="J925">IFERROR(INDEX('Исходник'!$1:$626,MATCH($A925,'Исходник'!$T:$T,0),MATCH(J$1,'Исходник'!$1:$1,0)))</f>
        <v/>
      </c>
      <c r="K925" s="27" t="str">
        <f t="shared" si="3"/>
        <v/>
      </c>
      <c r="L925" s="1" t="str">
        <f t="array" ref="L925">IFERROR(INDEX('Исходник'!$1:$626,MATCH($A925,'Исходник'!$T:$T,0),MATCH(L$1,'Исходник'!$1:$1,0)))</f>
        <v/>
      </c>
      <c r="M925" s="28">
        <f t="shared" si="4"/>
        <v>0</v>
      </c>
      <c r="N925" s="1" t="str">
        <f t="array" ref="N925">IFERROR(INDEX('Исходник'!$1:$626,MATCH($A925,'Исходник'!$T:$T,0),MATCH(N$1,'Исходник'!$1:$1,0)))</f>
        <v/>
      </c>
      <c r="O925" s="27">
        <f t="shared" si="5"/>
        <v>0</v>
      </c>
      <c r="P925" s="27" t="str">
        <f t="shared" si="6"/>
        <v/>
      </c>
      <c r="Q925" s="1" t="str">
        <f t="array" ref="Q925">IFERROR(INDEX('Исходник'!$1:$626,MATCH($A925,'Исходник'!$T:$T,0),MATCH(Q$1,'Исходник'!$1:$1,0)))</f>
        <v/>
      </c>
      <c r="R925" s="1" t="str">
        <f t="array" ref="R925">IFERROR(INDEX('Исходник'!$1:$626,MATCH($A925,'Исходник'!$T:$T,0),MATCH(R$1,'Исходник'!$1:$1,0)))</f>
        <v/>
      </c>
      <c r="S925" s="27">
        <f t="shared" si="7"/>
        <v>0</v>
      </c>
      <c r="T925" s="27" t="str">
        <f t="shared" si="8"/>
        <v/>
      </c>
      <c r="U925" s="1" t="str">
        <f t="array" ref="U925">IFERROR(INDEX('Исходник'!$1:$626,MATCH($A925,'Исходник'!$T:$T,0),MATCH(U$1,'Исходник'!$1:$1,0)))</f>
        <v/>
      </c>
      <c r="V925" s="27" t="str">
        <f t="shared" si="9"/>
        <v/>
      </c>
      <c r="W925" s="1" t="str">
        <f t="array" ref="W925">IFERROR(INDEX('Исходник'!$1:$626,MATCH($A925,'Исходник'!$T:$T,0),MATCH(W$1,'Исходник'!$1:$1,0)))</f>
        <v/>
      </c>
      <c r="X925" s="28">
        <f t="shared" si="10"/>
        <v>0</v>
      </c>
      <c r="Y925" s="1" t="str">
        <f t="array" ref="Y925">IFERROR(INDEX('Исходник'!$1:$626,MATCH($A925,'Исходник'!$T:$T,0),MATCH(Y$1,'Исходник'!$1:$1,0)))</f>
        <v/>
      </c>
      <c r="Z925" s="27">
        <f t="shared" si="11"/>
        <v>0</v>
      </c>
      <c r="AA925" s="27" t="str">
        <f t="shared" si="12"/>
        <v/>
      </c>
      <c r="AB925" s="1" t="str">
        <f t="array" ref="AB925">IFERROR(INDEX('Исходник'!$1:$626,MATCH($A925,'Исходник'!$T:$T,0),MATCH(AB$1,'Исходник'!$1:$1,0)))</f>
        <v/>
      </c>
      <c r="AC925" s="1" t="str">
        <f t="array" ref="AC925">IFERROR(INDEX('Исходник'!$1:$626,MATCH($A925,'Исходник'!$T:$T,0),MATCH(AC$1,'Исходник'!$1:$1,0)))</f>
        <v/>
      </c>
      <c r="AD925" s="27" t="str">
        <f t="shared" si="13"/>
        <v/>
      </c>
      <c r="AE925" s="1" t="str">
        <f t="array" ref="AE925">IFERROR(INDEX('Исходник'!$1:$626,MATCH($A925,'Исходник'!$T:$T,0),MATCH(AE$1,'Исходник'!$1:$1,0)))</f>
        <v/>
      </c>
      <c r="AF925" s="1" t="str">
        <f t="array" ref="AF925">IFERROR(INDEX('Исходник'!$1:$626,MATCH($A925,'Исходник'!$T:$T,0),MATCH(AF$1,'Исходник'!$1:$1,0)))</f>
        <v/>
      </c>
      <c r="AG925" s="27" t="str">
        <f t="shared" si="14"/>
        <v/>
      </c>
      <c r="AH925" s="1" t="str">
        <f t="array" ref="AH925">IFERROR(INDEX('Исходник'!$1:$626,MATCH($A925,'Исходник'!$T:$T,0),MATCH(AH$1,'Исходник'!$1:$1,0)))</f>
        <v/>
      </c>
      <c r="AI925" s="1" t="str">
        <f t="array" ref="AI925">IFERROR(INDEX('Исходник'!$1:$626,MATCH($A925,'Исходник'!$T:$T,0),MATCH(AI$1,'Исходник'!$1:$1,0)))</f>
        <v/>
      </c>
      <c r="AJ925" s="18">
        <f t="shared" si="15"/>
        <v>0</v>
      </c>
    </row>
    <row r="926" ht="15.75" customHeight="1">
      <c r="A926" s="27"/>
      <c r="B926" s="1" t="str">
        <f t="array" ref="B926">IFERROR(INDEX('Исходник'!$1:$626,MATCH($A926,'Исходник'!$T:$T,0),MATCH(B$1,'Исходник'!$1:$1,0)))</f>
        <v/>
      </c>
      <c r="C926" s="1" t="str">
        <f t="array" ref="C926">IFERROR(INDEX('Исходник'!$1:$626,MATCH($A926,'Исходник'!$T:$T,0),MATCH(C$1,'Исходник'!$1:$1,0)))</f>
        <v/>
      </c>
      <c r="D926" s="1" t="str">
        <f t="array" ref="D926">IFERROR(INDEX('Исходник'!$1:$626,MATCH($A926,'Исходник'!$T:$T,0),MATCH(D$1,'Исходник'!$1:$1,0)))</f>
        <v/>
      </c>
      <c r="E926" s="1" t="str">
        <f t="array" ref="E926">IFERROR(INDEX('Исходник'!$1:$626,MATCH($A926,'Исходник'!$T:$T,0),MATCH(E$1,'Исходник'!$1:$1,0)))</f>
        <v/>
      </c>
      <c r="F926" s="1" t="str">
        <f t="array" ref="F926">IFERROR(INDEX('Исходник'!$1:$626,MATCH($A926,'Исходник'!$T:$T,0),MATCH(F$1,'Исходник'!$1:$1,0)))</f>
        <v/>
      </c>
      <c r="G926" s="1" t="str">
        <f t="array" ref="G926">IFERROR(INDEX('Исходник'!$1:$626,MATCH($A926,'Исходник'!$T:$T,0),MATCH(G$1,'Исходник'!$1:$1,0)))</f>
        <v/>
      </c>
      <c r="H926" s="27">
        <f t="shared" si="1"/>
        <v>0</v>
      </c>
      <c r="I926" s="27" t="str">
        <f t="shared" si="2"/>
        <v/>
      </c>
      <c r="J926" s="1" t="str">
        <f t="array" ref="J926">IFERROR(INDEX('Исходник'!$1:$626,MATCH($A926,'Исходник'!$T:$T,0),MATCH(J$1,'Исходник'!$1:$1,0)))</f>
        <v/>
      </c>
      <c r="K926" s="27" t="str">
        <f t="shared" si="3"/>
        <v/>
      </c>
      <c r="L926" s="1" t="str">
        <f t="array" ref="L926">IFERROR(INDEX('Исходник'!$1:$626,MATCH($A926,'Исходник'!$T:$T,0),MATCH(L$1,'Исходник'!$1:$1,0)))</f>
        <v/>
      </c>
      <c r="M926" s="28">
        <f t="shared" si="4"/>
        <v>0</v>
      </c>
      <c r="N926" s="1" t="str">
        <f t="array" ref="N926">IFERROR(INDEX('Исходник'!$1:$626,MATCH($A926,'Исходник'!$T:$T,0),MATCH(N$1,'Исходник'!$1:$1,0)))</f>
        <v/>
      </c>
      <c r="O926" s="27">
        <f t="shared" si="5"/>
        <v>0</v>
      </c>
      <c r="P926" s="27" t="str">
        <f t="shared" si="6"/>
        <v/>
      </c>
      <c r="Q926" s="1" t="str">
        <f t="array" ref="Q926">IFERROR(INDEX('Исходник'!$1:$626,MATCH($A926,'Исходник'!$T:$T,0),MATCH(Q$1,'Исходник'!$1:$1,0)))</f>
        <v/>
      </c>
      <c r="R926" s="1" t="str">
        <f t="array" ref="R926">IFERROR(INDEX('Исходник'!$1:$626,MATCH($A926,'Исходник'!$T:$T,0),MATCH(R$1,'Исходник'!$1:$1,0)))</f>
        <v/>
      </c>
      <c r="S926" s="27">
        <f t="shared" si="7"/>
        <v>0</v>
      </c>
      <c r="T926" s="27" t="str">
        <f t="shared" si="8"/>
        <v/>
      </c>
      <c r="U926" s="1" t="str">
        <f t="array" ref="U926">IFERROR(INDEX('Исходник'!$1:$626,MATCH($A926,'Исходник'!$T:$T,0),MATCH(U$1,'Исходник'!$1:$1,0)))</f>
        <v/>
      </c>
      <c r="V926" s="27" t="str">
        <f t="shared" si="9"/>
        <v/>
      </c>
      <c r="W926" s="1" t="str">
        <f t="array" ref="W926">IFERROR(INDEX('Исходник'!$1:$626,MATCH($A926,'Исходник'!$T:$T,0),MATCH(W$1,'Исходник'!$1:$1,0)))</f>
        <v/>
      </c>
      <c r="X926" s="28">
        <f t="shared" si="10"/>
        <v>0</v>
      </c>
      <c r="Y926" s="1" t="str">
        <f t="array" ref="Y926">IFERROR(INDEX('Исходник'!$1:$626,MATCH($A926,'Исходник'!$T:$T,0),MATCH(Y$1,'Исходник'!$1:$1,0)))</f>
        <v/>
      </c>
      <c r="Z926" s="27">
        <f t="shared" si="11"/>
        <v>0</v>
      </c>
      <c r="AA926" s="27" t="str">
        <f t="shared" si="12"/>
        <v/>
      </c>
      <c r="AB926" s="1" t="str">
        <f t="array" ref="AB926">IFERROR(INDEX('Исходник'!$1:$626,MATCH($A926,'Исходник'!$T:$T,0),MATCH(AB$1,'Исходник'!$1:$1,0)))</f>
        <v/>
      </c>
      <c r="AC926" s="1" t="str">
        <f t="array" ref="AC926">IFERROR(INDEX('Исходник'!$1:$626,MATCH($A926,'Исходник'!$T:$T,0),MATCH(AC$1,'Исходник'!$1:$1,0)))</f>
        <v/>
      </c>
      <c r="AD926" s="27" t="str">
        <f t="shared" si="13"/>
        <v/>
      </c>
      <c r="AE926" s="1" t="str">
        <f t="array" ref="AE926">IFERROR(INDEX('Исходник'!$1:$626,MATCH($A926,'Исходник'!$T:$T,0),MATCH(AE$1,'Исходник'!$1:$1,0)))</f>
        <v/>
      </c>
      <c r="AF926" s="1" t="str">
        <f t="array" ref="AF926">IFERROR(INDEX('Исходник'!$1:$626,MATCH($A926,'Исходник'!$T:$T,0),MATCH(AF$1,'Исходник'!$1:$1,0)))</f>
        <v/>
      </c>
      <c r="AG926" s="27" t="str">
        <f t="shared" si="14"/>
        <v/>
      </c>
      <c r="AH926" s="1" t="str">
        <f t="array" ref="AH926">IFERROR(INDEX('Исходник'!$1:$626,MATCH($A926,'Исходник'!$T:$T,0),MATCH(AH$1,'Исходник'!$1:$1,0)))</f>
        <v/>
      </c>
      <c r="AI926" s="1" t="str">
        <f t="array" ref="AI926">IFERROR(INDEX('Исходник'!$1:$626,MATCH($A926,'Исходник'!$T:$T,0),MATCH(AI$1,'Исходник'!$1:$1,0)))</f>
        <v/>
      </c>
      <c r="AJ926" s="18">
        <f t="shared" si="15"/>
        <v>0</v>
      </c>
    </row>
    <row r="927" ht="15.75" customHeight="1">
      <c r="A927" s="27"/>
      <c r="B927" s="1" t="str">
        <f t="array" ref="B927">IFERROR(INDEX('Исходник'!$1:$626,MATCH($A927,'Исходник'!$T:$T,0),MATCH(B$1,'Исходник'!$1:$1,0)))</f>
        <v/>
      </c>
      <c r="C927" s="1" t="str">
        <f t="array" ref="C927">IFERROR(INDEX('Исходник'!$1:$626,MATCH($A927,'Исходник'!$T:$T,0),MATCH(C$1,'Исходник'!$1:$1,0)))</f>
        <v/>
      </c>
      <c r="D927" s="1" t="str">
        <f t="array" ref="D927">IFERROR(INDEX('Исходник'!$1:$626,MATCH($A927,'Исходник'!$T:$T,0),MATCH(D$1,'Исходник'!$1:$1,0)))</f>
        <v/>
      </c>
      <c r="E927" s="1" t="str">
        <f t="array" ref="E927">IFERROR(INDEX('Исходник'!$1:$626,MATCH($A927,'Исходник'!$T:$T,0),MATCH(E$1,'Исходник'!$1:$1,0)))</f>
        <v/>
      </c>
      <c r="F927" s="1" t="str">
        <f t="array" ref="F927">IFERROR(INDEX('Исходник'!$1:$626,MATCH($A927,'Исходник'!$T:$T,0),MATCH(F$1,'Исходник'!$1:$1,0)))</f>
        <v/>
      </c>
      <c r="G927" s="1" t="str">
        <f t="array" ref="G927">IFERROR(INDEX('Исходник'!$1:$626,MATCH($A927,'Исходник'!$T:$T,0),MATCH(G$1,'Исходник'!$1:$1,0)))</f>
        <v/>
      </c>
      <c r="H927" s="27">
        <f t="shared" si="1"/>
        <v>0</v>
      </c>
      <c r="I927" s="27" t="str">
        <f t="shared" si="2"/>
        <v/>
      </c>
      <c r="J927" s="1" t="str">
        <f t="array" ref="J927">IFERROR(INDEX('Исходник'!$1:$626,MATCH($A927,'Исходник'!$T:$T,0),MATCH(J$1,'Исходник'!$1:$1,0)))</f>
        <v/>
      </c>
      <c r="K927" s="27" t="str">
        <f t="shared" si="3"/>
        <v/>
      </c>
      <c r="L927" s="1" t="str">
        <f t="array" ref="L927">IFERROR(INDEX('Исходник'!$1:$626,MATCH($A927,'Исходник'!$T:$T,0),MATCH(L$1,'Исходник'!$1:$1,0)))</f>
        <v/>
      </c>
      <c r="M927" s="28">
        <f t="shared" si="4"/>
        <v>0</v>
      </c>
      <c r="N927" s="1" t="str">
        <f t="array" ref="N927">IFERROR(INDEX('Исходник'!$1:$626,MATCH($A927,'Исходник'!$T:$T,0),MATCH(N$1,'Исходник'!$1:$1,0)))</f>
        <v/>
      </c>
      <c r="O927" s="27">
        <f t="shared" si="5"/>
        <v>0</v>
      </c>
      <c r="P927" s="27" t="str">
        <f t="shared" si="6"/>
        <v/>
      </c>
      <c r="Q927" s="1" t="str">
        <f t="array" ref="Q927">IFERROR(INDEX('Исходник'!$1:$626,MATCH($A927,'Исходник'!$T:$T,0),MATCH(Q$1,'Исходник'!$1:$1,0)))</f>
        <v/>
      </c>
      <c r="R927" s="1" t="str">
        <f t="array" ref="R927">IFERROR(INDEX('Исходник'!$1:$626,MATCH($A927,'Исходник'!$T:$T,0),MATCH(R$1,'Исходник'!$1:$1,0)))</f>
        <v/>
      </c>
      <c r="S927" s="27">
        <f t="shared" si="7"/>
        <v>0</v>
      </c>
      <c r="T927" s="27" t="str">
        <f t="shared" si="8"/>
        <v/>
      </c>
      <c r="U927" s="1" t="str">
        <f t="array" ref="U927">IFERROR(INDEX('Исходник'!$1:$626,MATCH($A927,'Исходник'!$T:$T,0),MATCH(U$1,'Исходник'!$1:$1,0)))</f>
        <v/>
      </c>
      <c r="V927" s="27" t="str">
        <f t="shared" si="9"/>
        <v/>
      </c>
      <c r="W927" s="1" t="str">
        <f t="array" ref="W927">IFERROR(INDEX('Исходник'!$1:$626,MATCH($A927,'Исходник'!$T:$T,0),MATCH(W$1,'Исходник'!$1:$1,0)))</f>
        <v/>
      </c>
      <c r="X927" s="28">
        <f t="shared" si="10"/>
        <v>0</v>
      </c>
      <c r="Y927" s="1" t="str">
        <f t="array" ref="Y927">IFERROR(INDEX('Исходник'!$1:$626,MATCH($A927,'Исходник'!$T:$T,0),MATCH(Y$1,'Исходник'!$1:$1,0)))</f>
        <v/>
      </c>
      <c r="Z927" s="27">
        <f t="shared" si="11"/>
        <v>0</v>
      </c>
      <c r="AA927" s="27" t="str">
        <f t="shared" si="12"/>
        <v/>
      </c>
      <c r="AB927" s="1" t="str">
        <f t="array" ref="AB927">IFERROR(INDEX('Исходник'!$1:$626,MATCH($A927,'Исходник'!$T:$T,0),MATCH(AB$1,'Исходник'!$1:$1,0)))</f>
        <v/>
      </c>
      <c r="AC927" s="1" t="str">
        <f t="array" ref="AC927">IFERROR(INDEX('Исходник'!$1:$626,MATCH($A927,'Исходник'!$T:$T,0),MATCH(AC$1,'Исходник'!$1:$1,0)))</f>
        <v/>
      </c>
      <c r="AD927" s="27" t="str">
        <f t="shared" si="13"/>
        <v/>
      </c>
      <c r="AE927" s="1" t="str">
        <f t="array" ref="AE927">IFERROR(INDEX('Исходник'!$1:$626,MATCH($A927,'Исходник'!$T:$T,0),MATCH(AE$1,'Исходник'!$1:$1,0)))</f>
        <v/>
      </c>
      <c r="AF927" s="1" t="str">
        <f t="array" ref="AF927">IFERROR(INDEX('Исходник'!$1:$626,MATCH($A927,'Исходник'!$T:$T,0),MATCH(AF$1,'Исходник'!$1:$1,0)))</f>
        <v/>
      </c>
      <c r="AG927" s="27" t="str">
        <f t="shared" si="14"/>
        <v/>
      </c>
      <c r="AH927" s="1" t="str">
        <f t="array" ref="AH927">IFERROR(INDEX('Исходник'!$1:$626,MATCH($A927,'Исходник'!$T:$T,0),MATCH(AH$1,'Исходник'!$1:$1,0)))</f>
        <v/>
      </c>
      <c r="AI927" s="1" t="str">
        <f t="array" ref="AI927">IFERROR(INDEX('Исходник'!$1:$626,MATCH($A927,'Исходник'!$T:$T,0),MATCH(AI$1,'Исходник'!$1:$1,0)))</f>
        <v/>
      </c>
      <c r="AJ927" s="18">
        <f t="shared" si="15"/>
        <v>0</v>
      </c>
    </row>
    <row r="928" ht="15.75" customHeight="1">
      <c r="A928" s="27"/>
      <c r="B928" s="1" t="str">
        <f t="array" ref="B928">IFERROR(INDEX('Исходник'!$1:$626,MATCH($A928,'Исходник'!$T:$T,0),MATCH(B$1,'Исходник'!$1:$1,0)))</f>
        <v/>
      </c>
      <c r="C928" s="1" t="str">
        <f t="array" ref="C928">IFERROR(INDEX('Исходник'!$1:$626,MATCH($A928,'Исходник'!$T:$T,0),MATCH(C$1,'Исходник'!$1:$1,0)))</f>
        <v/>
      </c>
      <c r="D928" s="1" t="str">
        <f t="array" ref="D928">IFERROR(INDEX('Исходник'!$1:$626,MATCH($A928,'Исходник'!$T:$T,0),MATCH(D$1,'Исходник'!$1:$1,0)))</f>
        <v/>
      </c>
      <c r="E928" s="1" t="str">
        <f t="array" ref="E928">IFERROR(INDEX('Исходник'!$1:$626,MATCH($A928,'Исходник'!$T:$T,0),MATCH(E$1,'Исходник'!$1:$1,0)))</f>
        <v/>
      </c>
      <c r="F928" s="1" t="str">
        <f t="array" ref="F928">IFERROR(INDEX('Исходник'!$1:$626,MATCH($A928,'Исходник'!$T:$T,0),MATCH(F$1,'Исходник'!$1:$1,0)))</f>
        <v/>
      </c>
      <c r="G928" s="1" t="str">
        <f t="array" ref="G928">IFERROR(INDEX('Исходник'!$1:$626,MATCH($A928,'Исходник'!$T:$T,0),MATCH(G$1,'Исходник'!$1:$1,0)))</f>
        <v/>
      </c>
      <c r="H928" s="27">
        <f t="shared" si="1"/>
        <v>0</v>
      </c>
      <c r="I928" s="27" t="str">
        <f t="shared" si="2"/>
        <v/>
      </c>
      <c r="J928" s="1" t="str">
        <f t="array" ref="J928">IFERROR(INDEX('Исходник'!$1:$626,MATCH($A928,'Исходник'!$T:$T,0),MATCH(J$1,'Исходник'!$1:$1,0)))</f>
        <v/>
      </c>
      <c r="K928" s="27" t="str">
        <f t="shared" si="3"/>
        <v/>
      </c>
      <c r="L928" s="1" t="str">
        <f t="array" ref="L928">IFERROR(INDEX('Исходник'!$1:$626,MATCH($A928,'Исходник'!$T:$T,0),MATCH(L$1,'Исходник'!$1:$1,0)))</f>
        <v/>
      </c>
      <c r="M928" s="28">
        <f t="shared" si="4"/>
        <v>0</v>
      </c>
      <c r="N928" s="1" t="str">
        <f t="array" ref="N928">IFERROR(INDEX('Исходник'!$1:$626,MATCH($A928,'Исходник'!$T:$T,0),MATCH(N$1,'Исходник'!$1:$1,0)))</f>
        <v/>
      </c>
      <c r="O928" s="27">
        <f t="shared" si="5"/>
        <v>0</v>
      </c>
      <c r="P928" s="27" t="str">
        <f t="shared" si="6"/>
        <v/>
      </c>
      <c r="Q928" s="1" t="str">
        <f t="array" ref="Q928">IFERROR(INDEX('Исходник'!$1:$626,MATCH($A928,'Исходник'!$T:$T,0),MATCH(Q$1,'Исходник'!$1:$1,0)))</f>
        <v/>
      </c>
      <c r="R928" s="1" t="str">
        <f t="array" ref="R928">IFERROR(INDEX('Исходник'!$1:$626,MATCH($A928,'Исходник'!$T:$T,0),MATCH(R$1,'Исходник'!$1:$1,0)))</f>
        <v/>
      </c>
      <c r="S928" s="27">
        <f t="shared" si="7"/>
        <v>0</v>
      </c>
      <c r="T928" s="27" t="str">
        <f t="shared" si="8"/>
        <v/>
      </c>
      <c r="U928" s="1" t="str">
        <f t="array" ref="U928">IFERROR(INDEX('Исходник'!$1:$626,MATCH($A928,'Исходник'!$T:$T,0),MATCH(U$1,'Исходник'!$1:$1,0)))</f>
        <v/>
      </c>
      <c r="V928" s="27" t="str">
        <f t="shared" si="9"/>
        <v/>
      </c>
      <c r="W928" s="1" t="str">
        <f t="array" ref="W928">IFERROR(INDEX('Исходник'!$1:$626,MATCH($A928,'Исходник'!$T:$T,0),MATCH(W$1,'Исходник'!$1:$1,0)))</f>
        <v/>
      </c>
      <c r="X928" s="28">
        <f t="shared" si="10"/>
        <v>0</v>
      </c>
      <c r="Y928" s="1" t="str">
        <f t="array" ref="Y928">IFERROR(INDEX('Исходник'!$1:$626,MATCH($A928,'Исходник'!$T:$T,0),MATCH(Y$1,'Исходник'!$1:$1,0)))</f>
        <v/>
      </c>
      <c r="Z928" s="27">
        <f t="shared" si="11"/>
        <v>0</v>
      </c>
      <c r="AA928" s="27" t="str">
        <f t="shared" si="12"/>
        <v/>
      </c>
      <c r="AB928" s="1" t="str">
        <f t="array" ref="AB928">IFERROR(INDEX('Исходник'!$1:$626,MATCH($A928,'Исходник'!$T:$T,0),MATCH(AB$1,'Исходник'!$1:$1,0)))</f>
        <v/>
      </c>
      <c r="AC928" s="1" t="str">
        <f t="array" ref="AC928">IFERROR(INDEX('Исходник'!$1:$626,MATCH($A928,'Исходник'!$T:$T,0),MATCH(AC$1,'Исходник'!$1:$1,0)))</f>
        <v/>
      </c>
      <c r="AD928" s="27" t="str">
        <f t="shared" si="13"/>
        <v/>
      </c>
      <c r="AE928" s="1" t="str">
        <f t="array" ref="AE928">IFERROR(INDEX('Исходник'!$1:$626,MATCH($A928,'Исходник'!$T:$T,0),MATCH(AE$1,'Исходник'!$1:$1,0)))</f>
        <v/>
      </c>
      <c r="AF928" s="1" t="str">
        <f t="array" ref="AF928">IFERROR(INDEX('Исходник'!$1:$626,MATCH($A928,'Исходник'!$T:$T,0),MATCH(AF$1,'Исходник'!$1:$1,0)))</f>
        <v/>
      </c>
      <c r="AG928" s="27" t="str">
        <f t="shared" si="14"/>
        <v/>
      </c>
      <c r="AH928" s="1" t="str">
        <f t="array" ref="AH928">IFERROR(INDEX('Исходник'!$1:$626,MATCH($A928,'Исходник'!$T:$T,0),MATCH(AH$1,'Исходник'!$1:$1,0)))</f>
        <v/>
      </c>
      <c r="AI928" s="1" t="str">
        <f t="array" ref="AI928">IFERROR(INDEX('Исходник'!$1:$626,MATCH($A928,'Исходник'!$T:$T,0),MATCH(AI$1,'Исходник'!$1:$1,0)))</f>
        <v/>
      </c>
      <c r="AJ928" s="18">
        <f t="shared" si="15"/>
        <v>0</v>
      </c>
    </row>
    <row r="929" ht="15.75" customHeight="1">
      <c r="A929" s="27"/>
      <c r="B929" s="1" t="str">
        <f t="array" ref="B929">IFERROR(INDEX('Исходник'!$1:$626,MATCH($A929,'Исходник'!$T:$T,0),MATCH(B$1,'Исходник'!$1:$1,0)))</f>
        <v/>
      </c>
      <c r="C929" s="1" t="str">
        <f t="array" ref="C929">IFERROR(INDEX('Исходник'!$1:$626,MATCH($A929,'Исходник'!$T:$T,0),MATCH(C$1,'Исходник'!$1:$1,0)))</f>
        <v/>
      </c>
      <c r="D929" s="1" t="str">
        <f t="array" ref="D929">IFERROR(INDEX('Исходник'!$1:$626,MATCH($A929,'Исходник'!$T:$T,0),MATCH(D$1,'Исходник'!$1:$1,0)))</f>
        <v/>
      </c>
      <c r="E929" s="1" t="str">
        <f t="array" ref="E929">IFERROR(INDEX('Исходник'!$1:$626,MATCH($A929,'Исходник'!$T:$T,0),MATCH(E$1,'Исходник'!$1:$1,0)))</f>
        <v/>
      </c>
      <c r="F929" s="1" t="str">
        <f t="array" ref="F929">IFERROR(INDEX('Исходник'!$1:$626,MATCH($A929,'Исходник'!$T:$T,0),MATCH(F$1,'Исходник'!$1:$1,0)))</f>
        <v/>
      </c>
      <c r="G929" s="1" t="str">
        <f t="array" ref="G929">IFERROR(INDEX('Исходник'!$1:$626,MATCH($A929,'Исходник'!$T:$T,0),MATCH(G$1,'Исходник'!$1:$1,0)))</f>
        <v/>
      </c>
      <c r="H929" s="27">
        <f t="shared" si="1"/>
        <v>0</v>
      </c>
      <c r="I929" s="27" t="str">
        <f t="shared" si="2"/>
        <v/>
      </c>
      <c r="J929" s="1" t="str">
        <f t="array" ref="J929">IFERROR(INDEX('Исходник'!$1:$626,MATCH($A929,'Исходник'!$T:$T,0),MATCH(J$1,'Исходник'!$1:$1,0)))</f>
        <v/>
      </c>
      <c r="K929" s="27" t="str">
        <f t="shared" si="3"/>
        <v/>
      </c>
      <c r="L929" s="1" t="str">
        <f t="array" ref="L929">IFERROR(INDEX('Исходник'!$1:$626,MATCH($A929,'Исходник'!$T:$T,0),MATCH(L$1,'Исходник'!$1:$1,0)))</f>
        <v/>
      </c>
      <c r="M929" s="28">
        <f t="shared" si="4"/>
        <v>0</v>
      </c>
      <c r="N929" s="1" t="str">
        <f t="array" ref="N929">IFERROR(INDEX('Исходник'!$1:$626,MATCH($A929,'Исходник'!$T:$T,0),MATCH(N$1,'Исходник'!$1:$1,0)))</f>
        <v/>
      </c>
      <c r="O929" s="27">
        <f t="shared" si="5"/>
        <v>0</v>
      </c>
      <c r="P929" s="27" t="str">
        <f t="shared" si="6"/>
        <v/>
      </c>
      <c r="Q929" s="1" t="str">
        <f t="array" ref="Q929">IFERROR(INDEX('Исходник'!$1:$626,MATCH($A929,'Исходник'!$T:$T,0),MATCH(Q$1,'Исходник'!$1:$1,0)))</f>
        <v/>
      </c>
      <c r="R929" s="1" t="str">
        <f t="array" ref="R929">IFERROR(INDEX('Исходник'!$1:$626,MATCH($A929,'Исходник'!$T:$T,0),MATCH(R$1,'Исходник'!$1:$1,0)))</f>
        <v/>
      </c>
      <c r="S929" s="27">
        <f t="shared" si="7"/>
        <v>0</v>
      </c>
      <c r="T929" s="27" t="str">
        <f t="shared" si="8"/>
        <v/>
      </c>
      <c r="U929" s="1" t="str">
        <f t="array" ref="U929">IFERROR(INDEX('Исходник'!$1:$626,MATCH($A929,'Исходник'!$T:$T,0),MATCH(U$1,'Исходник'!$1:$1,0)))</f>
        <v/>
      </c>
      <c r="V929" s="27" t="str">
        <f t="shared" si="9"/>
        <v/>
      </c>
      <c r="W929" s="1" t="str">
        <f t="array" ref="W929">IFERROR(INDEX('Исходник'!$1:$626,MATCH($A929,'Исходник'!$T:$T,0),MATCH(W$1,'Исходник'!$1:$1,0)))</f>
        <v/>
      </c>
      <c r="X929" s="28">
        <f t="shared" si="10"/>
        <v>0</v>
      </c>
      <c r="Y929" s="1" t="str">
        <f t="array" ref="Y929">IFERROR(INDEX('Исходник'!$1:$626,MATCH($A929,'Исходник'!$T:$T,0),MATCH(Y$1,'Исходник'!$1:$1,0)))</f>
        <v/>
      </c>
      <c r="Z929" s="27">
        <f t="shared" si="11"/>
        <v>0</v>
      </c>
      <c r="AA929" s="27" t="str">
        <f t="shared" si="12"/>
        <v/>
      </c>
      <c r="AB929" s="1" t="str">
        <f t="array" ref="AB929">IFERROR(INDEX('Исходник'!$1:$626,MATCH($A929,'Исходник'!$T:$T,0),MATCH(AB$1,'Исходник'!$1:$1,0)))</f>
        <v/>
      </c>
      <c r="AC929" s="1" t="str">
        <f t="array" ref="AC929">IFERROR(INDEX('Исходник'!$1:$626,MATCH($A929,'Исходник'!$T:$T,0),MATCH(AC$1,'Исходник'!$1:$1,0)))</f>
        <v/>
      </c>
      <c r="AD929" s="27" t="str">
        <f t="shared" si="13"/>
        <v/>
      </c>
      <c r="AE929" s="1" t="str">
        <f t="array" ref="AE929">IFERROR(INDEX('Исходник'!$1:$626,MATCH($A929,'Исходник'!$T:$T,0),MATCH(AE$1,'Исходник'!$1:$1,0)))</f>
        <v/>
      </c>
      <c r="AF929" s="1" t="str">
        <f t="array" ref="AF929">IFERROR(INDEX('Исходник'!$1:$626,MATCH($A929,'Исходник'!$T:$T,0),MATCH(AF$1,'Исходник'!$1:$1,0)))</f>
        <v/>
      </c>
      <c r="AG929" s="27" t="str">
        <f t="shared" si="14"/>
        <v/>
      </c>
      <c r="AH929" s="1" t="str">
        <f t="array" ref="AH929">IFERROR(INDEX('Исходник'!$1:$626,MATCH($A929,'Исходник'!$T:$T,0),MATCH(AH$1,'Исходник'!$1:$1,0)))</f>
        <v/>
      </c>
      <c r="AI929" s="1" t="str">
        <f t="array" ref="AI929">IFERROR(INDEX('Исходник'!$1:$626,MATCH($A929,'Исходник'!$T:$T,0),MATCH(AI$1,'Исходник'!$1:$1,0)))</f>
        <v/>
      </c>
      <c r="AJ929" s="18">
        <f t="shared" si="15"/>
        <v>0</v>
      </c>
    </row>
    <row r="930" ht="15.75" customHeight="1">
      <c r="A930" s="27"/>
      <c r="B930" s="1" t="str">
        <f t="array" ref="B930">IFERROR(INDEX('Исходник'!$1:$626,MATCH($A930,'Исходник'!$T:$T,0),MATCH(B$1,'Исходник'!$1:$1,0)))</f>
        <v/>
      </c>
      <c r="C930" s="1" t="str">
        <f t="array" ref="C930">IFERROR(INDEX('Исходник'!$1:$626,MATCH($A930,'Исходник'!$T:$T,0),MATCH(C$1,'Исходник'!$1:$1,0)))</f>
        <v/>
      </c>
      <c r="D930" s="1" t="str">
        <f t="array" ref="D930">IFERROR(INDEX('Исходник'!$1:$626,MATCH($A930,'Исходник'!$T:$T,0),MATCH(D$1,'Исходник'!$1:$1,0)))</f>
        <v/>
      </c>
      <c r="E930" s="1" t="str">
        <f t="array" ref="E930">IFERROR(INDEX('Исходник'!$1:$626,MATCH($A930,'Исходник'!$T:$T,0),MATCH(E$1,'Исходник'!$1:$1,0)))</f>
        <v/>
      </c>
      <c r="F930" s="1" t="str">
        <f t="array" ref="F930">IFERROR(INDEX('Исходник'!$1:$626,MATCH($A930,'Исходник'!$T:$T,0),MATCH(F$1,'Исходник'!$1:$1,0)))</f>
        <v/>
      </c>
      <c r="G930" s="1" t="str">
        <f t="array" ref="G930">IFERROR(INDEX('Исходник'!$1:$626,MATCH($A930,'Исходник'!$T:$T,0),MATCH(G$1,'Исходник'!$1:$1,0)))</f>
        <v/>
      </c>
      <c r="H930" s="27">
        <f t="shared" si="1"/>
        <v>0</v>
      </c>
      <c r="I930" s="27" t="str">
        <f t="shared" si="2"/>
        <v/>
      </c>
      <c r="J930" s="1" t="str">
        <f t="array" ref="J930">IFERROR(INDEX('Исходник'!$1:$626,MATCH($A930,'Исходник'!$T:$T,0),MATCH(J$1,'Исходник'!$1:$1,0)))</f>
        <v/>
      </c>
      <c r="K930" s="27" t="str">
        <f t="shared" si="3"/>
        <v/>
      </c>
      <c r="L930" s="1" t="str">
        <f t="array" ref="L930">IFERROR(INDEX('Исходник'!$1:$626,MATCH($A930,'Исходник'!$T:$T,0),MATCH(L$1,'Исходник'!$1:$1,0)))</f>
        <v/>
      </c>
      <c r="M930" s="28">
        <f t="shared" si="4"/>
        <v>0</v>
      </c>
      <c r="N930" s="1" t="str">
        <f t="array" ref="N930">IFERROR(INDEX('Исходник'!$1:$626,MATCH($A930,'Исходник'!$T:$T,0),MATCH(N$1,'Исходник'!$1:$1,0)))</f>
        <v/>
      </c>
      <c r="O930" s="27">
        <f t="shared" si="5"/>
        <v>0</v>
      </c>
      <c r="P930" s="27" t="str">
        <f t="shared" si="6"/>
        <v/>
      </c>
      <c r="Q930" s="1" t="str">
        <f t="array" ref="Q930">IFERROR(INDEX('Исходник'!$1:$626,MATCH($A930,'Исходник'!$T:$T,0),MATCH(Q$1,'Исходник'!$1:$1,0)))</f>
        <v/>
      </c>
      <c r="R930" s="1" t="str">
        <f t="array" ref="R930">IFERROR(INDEX('Исходник'!$1:$626,MATCH($A930,'Исходник'!$T:$T,0),MATCH(R$1,'Исходник'!$1:$1,0)))</f>
        <v/>
      </c>
      <c r="S930" s="27">
        <f t="shared" si="7"/>
        <v>0</v>
      </c>
      <c r="T930" s="27" t="str">
        <f t="shared" si="8"/>
        <v/>
      </c>
      <c r="U930" s="1" t="str">
        <f t="array" ref="U930">IFERROR(INDEX('Исходник'!$1:$626,MATCH($A930,'Исходник'!$T:$T,0),MATCH(U$1,'Исходник'!$1:$1,0)))</f>
        <v/>
      </c>
      <c r="V930" s="27" t="str">
        <f t="shared" si="9"/>
        <v/>
      </c>
      <c r="W930" s="1" t="str">
        <f t="array" ref="W930">IFERROR(INDEX('Исходник'!$1:$626,MATCH($A930,'Исходник'!$T:$T,0),MATCH(W$1,'Исходник'!$1:$1,0)))</f>
        <v/>
      </c>
      <c r="X930" s="28">
        <f t="shared" si="10"/>
        <v>0</v>
      </c>
      <c r="Y930" s="1" t="str">
        <f t="array" ref="Y930">IFERROR(INDEX('Исходник'!$1:$626,MATCH($A930,'Исходник'!$T:$T,0),MATCH(Y$1,'Исходник'!$1:$1,0)))</f>
        <v/>
      </c>
      <c r="Z930" s="27">
        <f t="shared" si="11"/>
        <v>0</v>
      </c>
      <c r="AA930" s="27" t="str">
        <f t="shared" si="12"/>
        <v/>
      </c>
      <c r="AB930" s="1" t="str">
        <f t="array" ref="AB930">IFERROR(INDEX('Исходник'!$1:$626,MATCH($A930,'Исходник'!$T:$T,0),MATCH(AB$1,'Исходник'!$1:$1,0)))</f>
        <v/>
      </c>
      <c r="AC930" s="1" t="str">
        <f t="array" ref="AC930">IFERROR(INDEX('Исходник'!$1:$626,MATCH($A930,'Исходник'!$T:$T,0),MATCH(AC$1,'Исходник'!$1:$1,0)))</f>
        <v/>
      </c>
      <c r="AD930" s="27" t="str">
        <f t="shared" si="13"/>
        <v/>
      </c>
      <c r="AE930" s="1" t="str">
        <f t="array" ref="AE930">IFERROR(INDEX('Исходник'!$1:$626,MATCH($A930,'Исходник'!$T:$T,0),MATCH(AE$1,'Исходник'!$1:$1,0)))</f>
        <v/>
      </c>
      <c r="AF930" s="1" t="str">
        <f t="array" ref="AF930">IFERROR(INDEX('Исходник'!$1:$626,MATCH($A930,'Исходник'!$T:$T,0),MATCH(AF$1,'Исходник'!$1:$1,0)))</f>
        <v/>
      </c>
      <c r="AG930" s="27" t="str">
        <f t="shared" si="14"/>
        <v/>
      </c>
      <c r="AH930" s="1" t="str">
        <f t="array" ref="AH930">IFERROR(INDEX('Исходник'!$1:$626,MATCH($A930,'Исходник'!$T:$T,0),MATCH(AH$1,'Исходник'!$1:$1,0)))</f>
        <v/>
      </c>
      <c r="AI930" s="1" t="str">
        <f t="array" ref="AI930">IFERROR(INDEX('Исходник'!$1:$626,MATCH($A930,'Исходник'!$T:$T,0),MATCH(AI$1,'Исходник'!$1:$1,0)))</f>
        <v/>
      </c>
      <c r="AJ930" s="18">
        <f t="shared" si="15"/>
        <v>0</v>
      </c>
    </row>
    <row r="931" ht="15.75" customHeight="1">
      <c r="A931" s="27"/>
      <c r="B931" s="1" t="str">
        <f t="array" ref="B931">IFERROR(INDEX('Исходник'!$1:$626,MATCH($A931,'Исходник'!$T:$T,0),MATCH(B$1,'Исходник'!$1:$1,0)))</f>
        <v/>
      </c>
      <c r="C931" s="1" t="str">
        <f t="array" ref="C931">IFERROR(INDEX('Исходник'!$1:$626,MATCH($A931,'Исходник'!$T:$T,0),MATCH(C$1,'Исходник'!$1:$1,0)))</f>
        <v/>
      </c>
      <c r="D931" s="1" t="str">
        <f t="array" ref="D931">IFERROR(INDEX('Исходник'!$1:$626,MATCH($A931,'Исходник'!$T:$T,0),MATCH(D$1,'Исходник'!$1:$1,0)))</f>
        <v/>
      </c>
      <c r="E931" s="1" t="str">
        <f t="array" ref="E931">IFERROR(INDEX('Исходник'!$1:$626,MATCH($A931,'Исходник'!$T:$T,0),MATCH(E$1,'Исходник'!$1:$1,0)))</f>
        <v/>
      </c>
      <c r="F931" s="1" t="str">
        <f t="array" ref="F931">IFERROR(INDEX('Исходник'!$1:$626,MATCH($A931,'Исходник'!$T:$T,0),MATCH(F$1,'Исходник'!$1:$1,0)))</f>
        <v/>
      </c>
      <c r="G931" s="1" t="str">
        <f t="array" ref="G931">IFERROR(INDEX('Исходник'!$1:$626,MATCH($A931,'Исходник'!$T:$T,0),MATCH(G$1,'Исходник'!$1:$1,0)))</f>
        <v/>
      </c>
      <c r="H931" s="27">
        <f t="shared" si="1"/>
        <v>0</v>
      </c>
      <c r="I931" s="27" t="str">
        <f t="shared" si="2"/>
        <v/>
      </c>
      <c r="J931" s="1" t="str">
        <f t="array" ref="J931">IFERROR(INDEX('Исходник'!$1:$626,MATCH($A931,'Исходник'!$T:$T,0),MATCH(J$1,'Исходник'!$1:$1,0)))</f>
        <v/>
      </c>
      <c r="K931" s="27" t="str">
        <f t="shared" si="3"/>
        <v/>
      </c>
      <c r="L931" s="1" t="str">
        <f t="array" ref="L931">IFERROR(INDEX('Исходник'!$1:$626,MATCH($A931,'Исходник'!$T:$T,0),MATCH(L$1,'Исходник'!$1:$1,0)))</f>
        <v/>
      </c>
      <c r="M931" s="28">
        <f t="shared" si="4"/>
        <v>0</v>
      </c>
      <c r="N931" s="1" t="str">
        <f t="array" ref="N931">IFERROR(INDEX('Исходник'!$1:$626,MATCH($A931,'Исходник'!$T:$T,0),MATCH(N$1,'Исходник'!$1:$1,0)))</f>
        <v/>
      </c>
      <c r="O931" s="27">
        <f t="shared" si="5"/>
        <v>0</v>
      </c>
      <c r="P931" s="27" t="str">
        <f t="shared" si="6"/>
        <v/>
      </c>
      <c r="Q931" s="1" t="str">
        <f t="array" ref="Q931">IFERROR(INDEX('Исходник'!$1:$626,MATCH($A931,'Исходник'!$T:$T,0),MATCH(Q$1,'Исходник'!$1:$1,0)))</f>
        <v/>
      </c>
      <c r="R931" s="1" t="str">
        <f t="array" ref="R931">IFERROR(INDEX('Исходник'!$1:$626,MATCH($A931,'Исходник'!$T:$T,0),MATCH(R$1,'Исходник'!$1:$1,0)))</f>
        <v/>
      </c>
      <c r="S931" s="27">
        <f t="shared" si="7"/>
        <v>0</v>
      </c>
      <c r="T931" s="27" t="str">
        <f t="shared" si="8"/>
        <v/>
      </c>
      <c r="U931" s="1" t="str">
        <f t="array" ref="U931">IFERROR(INDEX('Исходник'!$1:$626,MATCH($A931,'Исходник'!$T:$T,0),MATCH(U$1,'Исходник'!$1:$1,0)))</f>
        <v/>
      </c>
      <c r="V931" s="27" t="str">
        <f t="shared" si="9"/>
        <v/>
      </c>
      <c r="W931" s="1" t="str">
        <f t="array" ref="W931">IFERROR(INDEX('Исходник'!$1:$626,MATCH($A931,'Исходник'!$T:$T,0),MATCH(W$1,'Исходник'!$1:$1,0)))</f>
        <v/>
      </c>
      <c r="X931" s="28">
        <f t="shared" si="10"/>
        <v>0</v>
      </c>
      <c r="Y931" s="1" t="str">
        <f t="array" ref="Y931">IFERROR(INDEX('Исходник'!$1:$626,MATCH($A931,'Исходник'!$T:$T,0),MATCH(Y$1,'Исходник'!$1:$1,0)))</f>
        <v/>
      </c>
      <c r="Z931" s="27">
        <f t="shared" si="11"/>
        <v>0</v>
      </c>
      <c r="AA931" s="27" t="str">
        <f t="shared" si="12"/>
        <v/>
      </c>
      <c r="AB931" s="1" t="str">
        <f t="array" ref="AB931">IFERROR(INDEX('Исходник'!$1:$626,MATCH($A931,'Исходник'!$T:$T,0),MATCH(AB$1,'Исходник'!$1:$1,0)))</f>
        <v/>
      </c>
      <c r="AC931" s="1" t="str">
        <f t="array" ref="AC931">IFERROR(INDEX('Исходник'!$1:$626,MATCH($A931,'Исходник'!$T:$T,0),MATCH(AC$1,'Исходник'!$1:$1,0)))</f>
        <v/>
      </c>
      <c r="AD931" s="27" t="str">
        <f t="shared" si="13"/>
        <v/>
      </c>
      <c r="AE931" s="1" t="str">
        <f t="array" ref="AE931">IFERROR(INDEX('Исходник'!$1:$626,MATCH($A931,'Исходник'!$T:$T,0),MATCH(AE$1,'Исходник'!$1:$1,0)))</f>
        <v/>
      </c>
      <c r="AF931" s="1" t="str">
        <f t="array" ref="AF931">IFERROR(INDEX('Исходник'!$1:$626,MATCH($A931,'Исходник'!$T:$T,0),MATCH(AF$1,'Исходник'!$1:$1,0)))</f>
        <v/>
      </c>
      <c r="AG931" s="27" t="str">
        <f t="shared" si="14"/>
        <v/>
      </c>
      <c r="AH931" s="1" t="str">
        <f t="array" ref="AH931">IFERROR(INDEX('Исходник'!$1:$626,MATCH($A931,'Исходник'!$T:$T,0),MATCH(AH$1,'Исходник'!$1:$1,0)))</f>
        <v/>
      </c>
      <c r="AI931" s="1" t="str">
        <f t="array" ref="AI931">IFERROR(INDEX('Исходник'!$1:$626,MATCH($A931,'Исходник'!$T:$T,0),MATCH(AI$1,'Исходник'!$1:$1,0)))</f>
        <v/>
      </c>
      <c r="AJ931" s="18">
        <f t="shared" si="15"/>
        <v>0</v>
      </c>
    </row>
    <row r="932" ht="15.75" customHeight="1">
      <c r="A932" s="27"/>
      <c r="B932" s="1" t="str">
        <f t="array" ref="B932">IFERROR(INDEX('Исходник'!$1:$626,MATCH($A932,'Исходник'!$T:$T,0),MATCH(B$1,'Исходник'!$1:$1,0)))</f>
        <v/>
      </c>
      <c r="C932" s="1" t="str">
        <f t="array" ref="C932">IFERROR(INDEX('Исходник'!$1:$626,MATCH($A932,'Исходник'!$T:$T,0),MATCH(C$1,'Исходник'!$1:$1,0)))</f>
        <v/>
      </c>
      <c r="D932" s="1" t="str">
        <f t="array" ref="D932">IFERROR(INDEX('Исходник'!$1:$626,MATCH($A932,'Исходник'!$T:$T,0),MATCH(D$1,'Исходник'!$1:$1,0)))</f>
        <v/>
      </c>
      <c r="E932" s="1" t="str">
        <f t="array" ref="E932">IFERROR(INDEX('Исходник'!$1:$626,MATCH($A932,'Исходник'!$T:$T,0),MATCH(E$1,'Исходник'!$1:$1,0)))</f>
        <v/>
      </c>
      <c r="F932" s="1" t="str">
        <f t="array" ref="F932">IFERROR(INDEX('Исходник'!$1:$626,MATCH($A932,'Исходник'!$T:$T,0),MATCH(F$1,'Исходник'!$1:$1,0)))</f>
        <v/>
      </c>
      <c r="G932" s="1" t="str">
        <f t="array" ref="G932">IFERROR(INDEX('Исходник'!$1:$626,MATCH($A932,'Исходник'!$T:$T,0),MATCH(G$1,'Исходник'!$1:$1,0)))</f>
        <v/>
      </c>
      <c r="H932" s="27">
        <f t="shared" si="1"/>
        <v>0</v>
      </c>
      <c r="I932" s="27" t="str">
        <f t="shared" si="2"/>
        <v/>
      </c>
      <c r="J932" s="1" t="str">
        <f t="array" ref="J932">IFERROR(INDEX('Исходник'!$1:$626,MATCH($A932,'Исходник'!$T:$T,0),MATCH(J$1,'Исходник'!$1:$1,0)))</f>
        <v/>
      </c>
      <c r="K932" s="27" t="str">
        <f t="shared" si="3"/>
        <v/>
      </c>
      <c r="L932" s="1" t="str">
        <f t="array" ref="L932">IFERROR(INDEX('Исходник'!$1:$626,MATCH($A932,'Исходник'!$T:$T,0),MATCH(L$1,'Исходник'!$1:$1,0)))</f>
        <v/>
      </c>
      <c r="M932" s="28">
        <f t="shared" si="4"/>
        <v>0</v>
      </c>
      <c r="N932" s="1" t="str">
        <f t="array" ref="N932">IFERROR(INDEX('Исходник'!$1:$626,MATCH($A932,'Исходник'!$T:$T,0),MATCH(N$1,'Исходник'!$1:$1,0)))</f>
        <v/>
      </c>
      <c r="O932" s="27">
        <f t="shared" si="5"/>
        <v>0</v>
      </c>
      <c r="P932" s="27" t="str">
        <f t="shared" si="6"/>
        <v/>
      </c>
      <c r="Q932" s="1" t="str">
        <f t="array" ref="Q932">IFERROR(INDEX('Исходник'!$1:$626,MATCH($A932,'Исходник'!$T:$T,0),MATCH(Q$1,'Исходник'!$1:$1,0)))</f>
        <v/>
      </c>
      <c r="R932" s="1" t="str">
        <f t="array" ref="R932">IFERROR(INDEX('Исходник'!$1:$626,MATCH($A932,'Исходник'!$T:$T,0),MATCH(R$1,'Исходник'!$1:$1,0)))</f>
        <v/>
      </c>
      <c r="S932" s="27">
        <f t="shared" si="7"/>
        <v>0</v>
      </c>
      <c r="T932" s="27" t="str">
        <f t="shared" si="8"/>
        <v/>
      </c>
      <c r="U932" s="1" t="str">
        <f t="array" ref="U932">IFERROR(INDEX('Исходник'!$1:$626,MATCH($A932,'Исходник'!$T:$T,0),MATCH(U$1,'Исходник'!$1:$1,0)))</f>
        <v/>
      </c>
      <c r="V932" s="27" t="str">
        <f t="shared" si="9"/>
        <v/>
      </c>
      <c r="W932" s="1" t="str">
        <f t="array" ref="W932">IFERROR(INDEX('Исходник'!$1:$626,MATCH($A932,'Исходник'!$T:$T,0),MATCH(W$1,'Исходник'!$1:$1,0)))</f>
        <v/>
      </c>
      <c r="X932" s="28">
        <f t="shared" si="10"/>
        <v>0</v>
      </c>
      <c r="Y932" s="1" t="str">
        <f t="array" ref="Y932">IFERROR(INDEX('Исходник'!$1:$626,MATCH($A932,'Исходник'!$T:$T,0),MATCH(Y$1,'Исходник'!$1:$1,0)))</f>
        <v/>
      </c>
      <c r="Z932" s="27">
        <f t="shared" si="11"/>
        <v>0</v>
      </c>
      <c r="AA932" s="27" t="str">
        <f t="shared" si="12"/>
        <v/>
      </c>
      <c r="AB932" s="1" t="str">
        <f t="array" ref="AB932">IFERROR(INDEX('Исходник'!$1:$626,MATCH($A932,'Исходник'!$T:$T,0),MATCH(AB$1,'Исходник'!$1:$1,0)))</f>
        <v/>
      </c>
      <c r="AC932" s="1" t="str">
        <f t="array" ref="AC932">IFERROR(INDEX('Исходник'!$1:$626,MATCH($A932,'Исходник'!$T:$T,0),MATCH(AC$1,'Исходник'!$1:$1,0)))</f>
        <v/>
      </c>
      <c r="AD932" s="27" t="str">
        <f t="shared" si="13"/>
        <v/>
      </c>
      <c r="AE932" s="1" t="str">
        <f t="array" ref="AE932">IFERROR(INDEX('Исходник'!$1:$626,MATCH($A932,'Исходник'!$T:$T,0),MATCH(AE$1,'Исходник'!$1:$1,0)))</f>
        <v/>
      </c>
      <c r="AF932" s="1" t="str">
        <f t="array" ref="AF932">IFERROR(INDEX('Исходник'!$1:$626,MATCH($A932,'Исходник'!$T:$T,0),MATCH(AF$1,'Исходник'!$1:$1,0)))</f>
        <v/>
      </c>
      <c r="AG932" s="27" t="str">
        <f t="shared" si="14"/>
        <v/>
      </c>
      <c r="AH932" s="1" t="str">
        <f t="array" ref="AH932">IFERROR(INDEX('Исходник'!$1:$626,MATCH($A932,'Исходник'!$T:$T,0),MATCH(AH$1,'Исходник'!$1:$1,0)))</f>
        <v/>
      </c>
      <c r="AI932" s="1" t="str">
        <f t="array" ref="AI932">IFERROR(INDEX('Исходник'!$1:$626,MATCH($A932,'Исходник'!$T:$T,0),MATCH(AI$1,'Исходник'!$1:$1,0)))</f>
        <v/>
      </c>
      <c r="AJ932" s="18">
        <f t="shared" si="15"/>
        <v>0</v>
      </c>
    </row>
    <row r="933" ht="15.75" customHeight="1">
      <c r="A933" s="27"/>
      <c r="B933" s="1" t="str">
        <f t="array" ref="B933">IFERROR(INDEX('Исходник'!$1:$626,MATCH($A933,'Исходник'!$T:$T,0),MATCH(B$1,'Исходник'!$1:$1,0)))</f>
        <v/>
      </c>
      <c r="C933" s="1" t="str">
        <f t="array" ref="C933">IFERROR(INDEX('Исходник'!$1:$626,MATCH($A933,'Исходник'!$T:$T,0),MATCH(C$1,'Исходник'!$1:$1,0)))</f>
        <v/>
      </c>
      <c r="D933" s="1" t="str">
        <f t="array" ref="D933">IFERROR(INDEX('Исходник'!$1:$626,MATCH($A933,'Исходник'!$T:$T,0),MATCH(D$1,'Исходник'!$1:$1,0)))</f>
        <v/>
      </c>
      <c r="E933" s="1" t="str">
        <f t="array" ref="E933">IFERROR(INDEX('Исходник'!$1:$626,MATCH($A933,'Исходник'!$T:$T,0),MATCH(E$1,'Исходник'!$1:$1,0)))</f>
        <v/>
      </c>
      <c r="F933" s="1" t="str">
        <f t="array" ref="F933">IFERROR(INDEX('Исходник'!$1:$626,MATCH($A933,'Исходник'!$T:$T,0),MATCH(F$1,'Исходник'!$1:$1,0)))</f>
        <v/>
      </c>
      <c r="G933" s="1" t="str">
        <f t="array" ref="G933">IFERROR(INDEX('Исходник'!$1:$626,MATCH($A933,'Исходник'!$T:$T,0),MATCH(G$1,'Исходник'!$1:$1,0)))</f>
        <v/>
      </c>
      <c r="H933" s="27">
        <f t="shared" si="1"/>
        <v>0</v>
      </c>
      <c r="I933" s="27" t="str">
        <f t="shared" si="2"/>
        <v/>
      </c>
      <c r="J933" s="1" t="str">
        <f t="array" ref="J933">IFERROR(INDEX('Исходник'!$1:$626,MATCH($A933,'Исходник'!$T:$T,0),MATCH(J$1,'Исходник'!$1:$1,0)))</f>
        <v/>
      </c>
      <c r="K933" s="27" t="str">
        <f t="shared" si="3"/>
        <v/>
      </c>
      <c r="L933" s="1" t="str">
        <f t="array" ref="L933">IFERROR(INDEX('Исходник'!$1:$626,MATCH($A933,'Исходник'!$T:$T,0),MATCH(L$1,'Исходник'!$1:$1,0)))</f>
        <v/>
      </c>
      <c r="M933" s="28">
        <f t="shared" si="4"/>
        <v>0</v>
      </c>
      <c r="N933" s="1" t="str">
        <f t="array" ref="N933">IFERROR(INDEX('Исходник'!$1:$626,MATCH($A933,'Исходник'!$T:$T,0),MATCH(N$1,'Исходник'!$1:$1,0)))</f>
        <v/>
      </c>
      <c r="O933" s="27">
        <f t="shared" si="5"/>
        <v>0</v>
      </c>
      <c r="P933" s="27" t="str">
        <f t="shared" si="6"/>
        <v/>
      </c>
      <c r="Q933" s="1" t="str">
        <f t="array" ref="Q933">IFERROR(INDEX('Исходник'!$1:$626,MATCH($A933,'Исходник'!$T:$T,0),MATCH(Q$1,'Исходник'!$1:$1,0)))</f>
        <v/>
      </c>
      <c r="R933" s="1" t="str">
        <f t="array" ref="R933">IFERROR(INDEX('Исходник'!$1:$626,MATCH($A933,'Исходник'!$T:$T,0),MATCH(R$1,'Исходник'!$1:$1,0)))</f>
        <v/>
      </c>
      <c r="S933" s="27">
        <f t="shared" si="7"/>
        <v>0</v>
      </c>
      <c r="T933" s="27" t="str">
        <f t="shared" si="8"/>
        <v/>
      </c>
      <c r="U933" s="1" t="str">
        <f t="array" ref="U933">IFERROR(INDEX('Исходник'!$1:$626,MATCH($A933,'Исходник'!$T:$T,0),MATCH(U$1,'Исходник'!$1:$1,0)))</f>
        <v/>
      </c>
      <c r="V933" s="27" t="str">
        <f t="shared" si="9"/>
        <v/>
      </c>
      <c r="W933" s="1" t="str">
        <f t="array" ref="W933">IFERROR(INDEX('Исходник'!$1:$626,MATCH($A933,'Исходник'!$T:$T,0),MATCH(W$1,'Исходник'!$1:$1,0)))</f>
        <v/>
      </c>
      <c r="X933" s="28">
        <f t="shared" si="10"/>
        <v>0</v>
      </c>
      <c r="Y933" s="1" t="str">
        <f t="array" ref="Y933">IFERROR(INDEX('Исходник'!$1:$626,MATCH($A933,'Исходник'!$T:$T,0),MATCH(Y$1,'Исходник'!$1:$1,0)))</f>
        <v/>
      </c>
      <c r="Z933" s="27">
        <f t="shared" si="11"/>
        <v>0</v>
      </c>
      <c r="AA933" s="27" t="str">
        <f t="shared" si="12"/>
        <v/>
      </c>
      <c r="AB933" s="1" t="str">
        <f t="array" ref="AB933">IFERROR(INDEX('Исходник'!$1:$626,MATCH($A933,'Исходник'!$T:$T,0),MATCH(AB$1,'Исходник'!$1:$1,0)))</f>
        <v/>
      </c>
      <c r="AC933" s="1" t="str">
        <f t="array" ref="AC933">IFERROR(INDEX('Исходник'!$1:$626,MATCH($A933,'Исходник'!$T:$T,0),MATCH(AC$1,'Исходник'!$1:$1,0)))</f>
        <v/>
      </c>
      <c r="AD933" s="27" t="str">
        <f t="shared" si="13"/>
        <v/>
      </c>
      <c r="AE933" s="1" t="str">
        <f t="array" ref="AE933">IFERROR(INDEX('Исходник'!$1:$626,MATCH($A933,'Исходник'!$T:$T,0),MATCH(AE$1,'Исходник'!$1:$1,0)))</f>
        <v/>
      </c>
      <c r="AF933" s="1" t="str">
        <f t="array" ref="AF933">IFERROR(INDEX('Исходник'!$1:$626,MATCH($A933,'Исходник'!$T:$T,0),MATCH(AF$1,'Исходник'!$1:$1,0)))</f>
        <v/>
      </c>
      <c r="AG933" s="27" t="str">
        <f t="shared" si="14"/>
        <v/>
      </c>
      <c r="AH933" s="1" t="str">
        <f t="array" ref="AH933">IFERROR(INDEX('Исходник'!$1:$626,MATCH($A933,'Исходник'!$T:$T,0),MATCH(AH$1,'Исходник'!$1:$1,0)))</f>
        <v/>
      </c>
      <c r="AI933" s="1" t="str">
        <f t="array" ref="AI933">IFERROR(INDEX('Исходник'!$1:$626,MATCH($A933,'Исходник'!$T:$T,0),MATCH(AI$1,'Исходник'!$1:$1,0)))</f>
        <v/>
      </c>
      <c r="AJ933" s="18">
        <f t="shared" si="15"/>
        <v>0</v>
      </c>
    </row>
    <row r="934" ht="15.75" customHeight="1">
      <c r="A934" s="27"/>
      <c r="B934" s="1" t="str">
        <f t="array" ref="B934">IFERROR(INDEX('Исходник'!$1:$626,MATCH($A934,'Исходник'!$T:$T,0),MATCH(B$1,'Исходник'!$1:$1,0)))</f>
        <v/>
      </c>
      <c r="C934" s="1" t="str">
        <f t="array" ref="C934">IFERROR(INDEX('Исходник'!$1:$626,MATCH($A934,'Исходник'!$T:$T,0),MATCH(C$1,'Исходник'!$1:$1,0)))</f>
        <v/>
      </c>
      <c r="D934" s="1" t="str">
        <f t="array" ref="D934">IFERROR(INDEX('Исходник'!$1:$626,MATCH($A934,'Исходник'!$T:$T,0),MATCH(D$1,'Исходник'!$1:$1,0)))</f>
        <v/>
      </c>
      <c r="E934" s="1" t="str">
        <f t="array" ref="E934">IFERROR(INDEX('Исходник'!$1:$626,MATCH($A934,'Исходник'!$T:$T,0),MATCH(E$1,'Исходник'!$1:$1,0)))</f>
        <v/>
      </c>
      <c r="F934" s="1" t="str">
        <f t="array" ref="F934">IFERROR(INDEX('Исходник'!$1:$626,MATCH($A934,'Исходник'!$T:$T,0),MATCH(F$1,'Исходник'!$1:$1,0)))</f>
        <v/>
      </c>
      <c r="G934" s="1" t="str">
        <f t="array" ref="G934">IFERROR(INDEX('Исходник'!$1:$626,MATCH($A934,'Исходник'!$T:$T,0),MATCH(G$1,'Исходник'!$1:$1,0)))</f>
        <v/>
      </c>
      <c r="H934" s="27">
        <f t="shared" si="1"/>
        <v>0</v>
      </c>
      <c r="I934" s="27" t="str">
        <f t="shared" si="2"/>
        <v/>
      </c>
      <c r="J934" s="1" t="str">
        <f t="array" ref="J934">IFERROR(INDEX('Исходник'!$1:$626,MATCH($A934,'Исходник'!$T:$T,0),MATCH(J$1,'Исходник'!$1:$1,0)))</f>
        <v/>
      </c>
      <c r="K934" s="27" t="str">
        <f t="shared" si="3"/>
        <v/>
      </c>
      <c r="L934" s="1" t="str">
        <f t="array" ref="L934">IFERROR(INDEX('Исходник'!$1:$626,MATCH($A934,'Исходник'!$T:$T,0),MATCH(L$1,'Исходник'!$1:$1,0)))</f>
        <v/>
      </c>
      <c r="M934" s="28">
        <f t="shared" si="4"/>
        <v>0</v>
      </c>
      <c r="N934" s="1" t="str">
        <f t="array" ref="N934">IFERROR(INDEX('Исходник'!$1:$626,MATCH($A934,'Исходник'!$T:$T,0),MATCH(N$1,'Исходник'!$1:$1,0)))</f>
        <v/>
      </c>
      <c r="O934" s="27">
        <f t="shared" si="5"/>
        <v>0</v>
      </c>
      <c r="P934" s="27" t="str">
        <f t="shared" si="6"/>
        <v/>
      </c>
      <c r="Q934" s="1" t="str">
        <f t="array" ref="Q934">IFERROR(INDEX('Исходник'!$1:$626,MATCH($A934,'Исходник'!$T:$T,0),MATCH(Q$1,'Исходник'!$1:$1,0)))</f>
        <v/>
      </c>
      <c r="R934" s="1" t="str">
        <f t="array" ref="R934">IFERROR(INDEX('Исходник'!$1:$626,MATCH($A934,'Исходник'!$T:$T,0),MATCH(R$1,'Исходник'!$1:$1,0)))</f>
        <v/>
      </c>
      <c r="S934" s="27">
        <f t="shared" si="7"/>
        <v>0</v>
      </c>
      <c r="T934" s="27" t="str">
        <f t="shared" si="8"/>
        <v/>
      </c>
      <c r="U934" s="1" t="str">
        <f t="array" ref="U934">IFERROR(INDEX('Исходник'!$1:$626,MATCH($A934,'Исходник'!$T:$T,0),MATCH(U$1,'Исходник'!$1:$1,0)))</f>
        <v/>
      </c>
      <c r="V934" s="27" t="str">
        <f t="shared" si="9"/>
        <v/>
      </c>
      <c r="W934" s="1" t="str">
        <f t="array" ref="W934">IFERROR(INDEX('Исходник'!$1:$626,MATCH($A934,'Исходник'!$T:$T,0),MATCH(W$1,'Исходник'!$1:$1,0)))</f>
        <v/>
      </c>
      <c r="X934" s="28">
        <f t="shared" si="10"/>
        <v>0</v>
      </c>
      <c r="Y934" s="1" t="str">
        <f t="array" ref="Y934">IFERROR(INDEX('Исходник'!$1:$626,MATCH($A934,'Исходник'!$T:$T,0),MATCH(Y$1,'Исходник'!$1:$1,0)))</f>
        <v/>
      </c>
      <c r="Z934" s="27">
        <f t="shared" si="11"/>
        <v>0</v>
      </c>
      <c r="AA934" s="27" t="str">
        <f t="shared" si="12"/>
        <v/>
      </c>
      <c r="AB934" s="1" t="str">
        <f t="array" ref="AB934">IFERROR(INDEX('Исходник'!$1:$626,MATCH($A934,'Исходник'!$T:$T,0),MATCH(AB$1,'Исходник'!$1:$1,0)))</f>
        <v/>
      </c>
      <c r="AC934" s="1" t="str">
        <f t="array" ref="AC934">IFERROR(INDEX('Исходник'!$1:$626,MATCH($A934,'Исходник'!$T:$T,0),MATCH(AC$1,'Исходник'!$1:$1,0)))</f>
        <v/>
      </c>
      <c r="AD934" s="27" t="str">
        <f t="shared" si="13"/>
        <v/>
      </c>
      <c r="AE934" s="1" t="str">
        <f t="array" ref="AE934">IFERROR(INDEX('Исходник'!$1:$626,MATCH($A934,'Исходник'!$T:$T,0),MATCH(AE$1,'Исходник'!$1:$1,0)))</f>
        <v/>
      </c>
      <c r="AF934" s="1" t="str">
        <f t="array" ref="AF934">IFERROR(INDEX('Исходник'!$1:$626,MATCH($A934,'Исходник'!$T:$T,0),MATCH(AF$1,'Исходник'!$1:$1,0)))</f>
        <v/>
      </c>
      <c r="AG934" s="27" t="str">
        <f t="shared" si="14"/>
        <v/>
      </c>
      <c r="AH934" s="1" t="str">
        <f t="array" ref="AH934">IFERROR(INDEX('Исходник'!$1:$626,MATCH($A934,'Исходник'!$T:$T,0),MATCH(AH$1,'Исходник'!$1:$1,0)))</f>
        <v/>
      </c>
      <c r="AI934" s="1" t="str">
        <f t="array" ref="AI934">IFERROR(INDEX('Исходник'!$1:$626,MATCH($A934,'Исходник'!$T:$T,0),MATCH(AI$1,'Исходник'!$1:$1,0)))</f>
        <v/>
      </c>
      <c r="AJ934" s="18">
        <f t="shared" si="15"/>
        <v>0</v>
      </c>
    </row>
    <row r="935" ht="15.75" customHeight="1">
      <c r="A935" s="27"/>
      <c r="B935" s="1" t="str">
        <f t="array" ref="B935">IFERROR(INDEX('Исходник'!$1:$626,MATCH($A935,'Исходник'!$T:$T,0),MATCH(B$1,'Исходник'!$1:$1,0)))</f>
        <v/>
      </c>
      <c r="C935" s="1" t="str">
        <f t="array" ref="C935">IFERROR(INDEX('Исходник'!$1:$626,MATCH($A935,'Исходник'!$T:$T,0),MATCH(C$1,'Исходник'!$1:$1,0)))</f>
        <v/>
      </c>
      <c r="D935" s="1" t="str">
        <f t="array" ref="D935">IFERROR(INDEX('Исходник'!$1:$626,MATCH($A935,'Исходник'!$T:$T,0),MATCH(D$1,'Исходник'!$1:$1,0)))</f>
        <v/>
      </c>
      <c r="E935" s="1" t="str">
        <f t="array" ref="E935">IFERROR(INDEX('Исходник'!$1:$626,MATCH($A935,'Исходник'!$T:$T,0),MATCH(E$1,'Исходник'!$1:$1,0)))</f>
        <v/>
      </c>
      <c r="F935" s="1" t="str">
        <f t="array" ref="F935">IFERROR(INDEX('Исходник'!$1:$626,MATCH($A935,'Исходник'!$T:$T,0),MATCH(F$1,'Исходник'!$1:$1,0)))</f>
        <v/>
      </c>
      <c r="G935" s="1" t="str">
        <f t="array" ref="G935">IFERROR(INDEX('Исходник'!$1:$626,MATCH($A935,'Исходник'!$T:$T,0),MATCH(G$1,'Исходник'!$1:$1,0)))</f>
        <v/>
      </c>
      <c r="H935" s="27">
        <f t="shared" si="1"/>
        <v>0</v>
      </c>
      <c r="I935" s="27" t="str">
        <f t="shared" si="2"/>
        <v/>
      </c>
      <c r="J935" s="1" t="str">
        <f t="array" ref="J935">IFERROR(INDEX('Исходник'!$1:$626,MATCH($A935,'Исходник'!$T:$T,0),MATCH(J$1,'Исходник'!$1:$1,0)))</f>
        <v/>
      </c>
      <c r="K935" s="27" t="str">
        <f t="shared" si="3"/>
        <v/>
      </c>
      <c r="L935" s="1" t="str">
        <f t="array" ref="L935">IFERROR(INDEX('Исходник'!$1:$626,MATCH($A935,'Исходник'!$T:$T,0),MATCH(L$1,'Исходник'!$1:$1,0)))</f>
        <v/>
      </c>
      <c r="M935" s="28">
        <f t="shared" si="4"/>
        <v>0</v>
      </c>
      <c r="N935" s="1" t="str">
        <f t="array" ref="N935">IFERROR(INDEX('Исходник'!$1:$626,MATCH($A935,'Исходник'!$T:$T,0),MATCH(N$1,'Исходник'!$1:$1,0)))</f>
        <v/>
      </c>
      <c r="O935" s="27">
        <f t="shared" si="5"/>
        <v>0</v>
      </c>
      <c r="P935" s="27" t="str">
        <f t="shared" si="6"/>
        <v/>
      </c>
      <c r="Q935" s="1" t="str">
        <f t="array" ref="Q935">IFERROR(INDEX('Исходник'!$1:$626,MATCH($A935,'Исходник'!$T:$T,0),MATCH(Q$1,'Исходник'!$1:$1,0)))</f>
        <v/>
      </c>
      <c r="R935" s="1" t="str">
        <f t="array" ref="R935">IFERROR(INDEX('Исходник'!$1:$626,MATCH($A935,'Исходник'!$T:$T,0),MATCH(R$1,'Исходник'!$1:$1,0)))</f>
        <v/>
      </c>
      <c r="S935" s="27">
        <f t="shared" si="7"/>
        <v>0</v>
      </c>
      <c r="T935" s="27" t="str">
        <f t="shared" si="8"/>
        <v/>
      </c>
      <c r="U935" s="1" t="str">
        <f t="array" ref="U935">IFERROR(INDEX('Исходник'!$1:$626,MATCH($A935,'Исходник'!$T:$T,0),MATCH(U$1,'Исходник'!$1:$1,0)))</f>
        <v/>
      </c>
      <c r="V935" s="27" t="str">
        <f t="shared" si="9"/>
        <v/>
      </c>
      <c r="W935" s="1" t="str">
        <f t="array" ref="W935">IFERROR(INDEX('Исходник'!$1:$626,MATCH($A935,'Исходник'!$T:$T,0),MATCH(W$1,'Исходник'!$1:$1,0)))</f>
        <v/>
      </c>
      <c r="X935" s="28">
        <f t="shared" si="10"/>
        <v>0</v>
      </c>
      <c r="Y935" s="1" t="str">
        <f t="array" ref="Y935">IFERROR(INDEX('Исходник'!$1:$626,MATCH($A935,'Исходник'!$T:$T,0),MATCH(Y$1,'Исходник'!$1:$1,0)))</f>
        <v/>
      </c>
      <c r="Z935" s="27">
        <f t="shared" si="11"/>
        <v>0</v>
      </c>
      <c r="AA935" s="27" t="str">
        <f t="shared" si="12"/>
        <v/>
      </c>
      <c r="AB935" s="1" t="str">
        <f t="array" ref="AB935">IFERROR(INDEX('Исходник'!$1:$626,MATCH($A935,'Исходник'!$T:$T,0),MATCH(AB$1,'Исходник'!$1:$1,0)))</f>
        <v/>
      </c>
      <c r="AC935" s="1" t="str">
        <f t="array" ref="AC935">IFERROR(INDEX('Исходник'!$1:$626,MATCH($A935,'Исходник'!$T:$T,0),MATCH(AC$1,'Исходник'!$1:$1,0)))</f>
        <v/>
      </c>
      <c r="AD935" s="27" t="str">
        <f t="shared" si="13"/>
        <v/>
      </c>
      <c r="AE935" s="1" t="str">
        <f t="array" ref="AE935">IFERROR(INDEX('Исходник'!$1:$626,MATCH($A935,'Исходник'!$T:$T,0),MATCH(AE$1,'Исходник'!$1:$1,0)))</f>
        <v/>
      </c>
      <c r="AF935" s="1" t="str">
        <f t="array" ref="AF935">IFERROR(INDEX('Исходник'!$1:$626,MATCH($A935,'Исходник'!$T:$T,0),MATCH(AF$1,'Исходник'!$1:$1,0)))</f>
        <v/>
      </c>
      <c r="AG935" s="27" t="str">
        <f t="shared" si="14"/>
        <v/>
      </c>
      <c r="AH935" s="1" t="str">
        <f t="array" ref="AH935">IFERROR(INDEX('Исходник'!$1:$626,MATCH($A935,'Исходник'!$T:$T,0),MATCH(AH$1,'Исходник'!$1:$1,0)))</f>
        <v/>
      </c>
      <c r="AI935" s="1" t="str">
        <f t="array" ref="AI935">IFERROR(INDEX('Исходник'!$1:$626,MATCH($A935,'Исходник'!$T:$T,0),MATCH(AI$1,'Исходник'!$1:$1,0)))</f>
        <v/>
      </c>
      <c r="AJ935" s="18">
        <f t="shared" si="15"/>
        <v>0</v>
      </c>
    </row>
    <row r="936" ht="15.75" customHeight="1">
      <c r="A936" s="27"/>
      <c r="B936" s="1" t="str">
        <f t="array" ref="B936">IFERROR(INDEX('Исходник'!$1:$626,MATCH($A936,'Исходник'!$T:$T,0),MATCH(B$1,'Исходник'!$1:$1,0)))</f>
        <v/>
      </c>
      <c r="C936" s="1" t="str">
        <f t="array" ref="C936">IFERROR(INDEX('Исходник'!$1:$626,MATCH($A936,'Исходник'!$T:$T,0),MATCH(C$1,'Исходник'!$1:$1,0)))</f>
        <v/>
      </c>
      <c r="D936" s="1" t="str">
        <f t="array" ref="D936">IFERROR(INDEX('Исходник'!$1:$626,MATCH($A936,'Исходник'!$T:$T,0),MATCH(D$1,'Исходник'!$1:$1,0)))</f>
        <v/>
      </c>
      <c r="E936" s="1" t="str">
        <f t="array" ref="E936">IFERROR(INDEX('Исходник'!$1:$626,MATCH($A936,'Исходник'!$T:$T,0),MATCH(E$1,'Исходник'!$1:$1,0)))</f>
        <v/>
      </c>
      <c r="F936" s="1" t="str">
        <f t="array" ref="F936">IFERROR(INDEX('Исходник'!$1:$626,MATCH($A936,'Исходник'!$T:$T,0),MATCH(F$1,'Исходник'!$1:$1,0)))</f>
        <v/>
      </c>
      <c r="G936" s="1" t="str">
        <f t="array" ref="G936">IFERROR(INDEX('Исходник'!$1:$626,MATCH($A936,'Исходник'!$T:$T,0),MATCH(G$1,'Исходник'!$1:$1,0)))</f>
        <v/>
      </c>
      <c r="H936" s="27">
        <f t="shared" si="1"/>
        <v>0</v>
      </c>
      <c r="I936" s="27" t="str">
        <f t="shared" si="2"/>
        <v/>
      </c>
      <c r="J936" s="1" t="str">
        <f t="array" ref="J936">IFERROR(INDEX('Исходник'!$1:$626,MATCH($A936,'Исходник'!$T:$T,0),MATCH(J$1,'Исходник'!$1:$1,0)))</f>
        <v/>
      </c>
      <c r="K936" s="27" t="str">
        <f t="shared" si="3"/>
        <v/>
      </c>
      <c r="L936" s="1" t="str">
        <f t="array" ref="L936">IFERROR(INDEX('Исходник'!$1:$626,MATCH($A936,'Исходник'!$T:$T,0),MATCH(L$1,'Исходник'!$1:$1,0)))</f>
        <v/>
      </c>
      <c r="M936" s="28">
        <f t="shared" si="4"/>
        <v>0</v>
      </c>
      <c r="N936" s="1" t="str">
        <f t="array" ref="N936">IFERROR(INDEX('Исходник'!$1:$626,MATCH($A936,'Исходник'!$T:$T,0),MATCH(N$1,'Исходник'!$1:$1,0)))</f>
        <v/>
      </c>
      <c r="O936" s="27">
        <f t="shared" si="5"/>
        <v>0</v>
      </c>
      <c r="P936" s="27" t="str">
        <f t="shared" si="6"/>
        <v/>
      </c>
      <c r="Q936" s="1" t="str">
        <f t="array" ref="Q936">IFERROR(INDEX('Исходник'!$1:$626,MATCH($A936,'Исходник'!$T:$T,0),MATCH(Q$1,'Исходник'!$1:$1,0)))</f>
        <v/>
      </c>
      <c r="R936" s="1" t="str">
        <f t="array" ref="R936">IFERROR(INDEX('Исходник'!$1:$626,MATCH($A936,'Исходник'!$T:$T,0),MATCH(R$1,'Исходник'!$1:$1,0)))</f>
        <v/>
      </c>
      <c r="S936" s="27">
        <f t="shared" si="7"/>
        <v>0</v>
      </c>
      <c r="T936" s="27" t="str">
        <f t="shared" si="8"/>
        <v/>
      </c>
      <c r="U936" s="1" t="str">
        <f t="array" ref="U936">IFERROR(INDEX('Исходник'!$1:$626,MATCH($A936,'Исходник'!$T:$T,0),MATCH(U$1,'Исходник'!$1:$1,0)))</f>
        <v/>
      </c>
      <c r="V936" s="27" t="str">
        <f t="shared" si="9"/>
        <v/>
      </c>
      <c r="W936" s="1" t="str">
        <f t="array" ref="W936">IFERROR(INDEX('Исходник'!$1:$626,MATCH($A936,'Исходник'!$T:$T,0),MATCH(W$1,'Исходник'!$1:$1,0)))</f>
        <v/>
      </c>
      <c r="X936" s="28">
        <f t="shared" si="10"/>
        <v>0</v>
      </c>
      <c r="Y936" s="1" t="str">
        <f t="array" ref="Y936">IFERROR(INDEX('Исходник'!$1:$626,MATCH($A936,'Исходник'!$T:$T,0),MATCH(Y$1,'Исходник'!$1:$1,0)))</f>
        <v/>
      </c>
      <c r="Z936" s="27">
        <f t="shared" si="11"/>
        <v>0</v>
      </c>
      <c r="AA936" s="27" t="str">
        <f t="shared" si="12"/>
        <v/>
      </c>
      <c r="AB936" s="1" t="str">
        <f t="array" ref="AB936">IFERROR(INDEX('Исходник'!$1:$626,MATCH($A936,'Исходник'!$T:$T,0),MATCH(AB$1,'Исходник'!$1:$1,0)))</f>
        <v/>
      </c>
      <c r="AC936" s="1" t="str">
        <f t="array" ref="AC936">IFERROR(INDEX('Исходник'!$1:$626,MATCH($A936,'Исходник'!$T:$T,0),MATCH(AC$1,'Исходник'!$1:$1,0)))</f>
        <v/>
      </c>
      <c r="AD936" s="27" t="str">
        <f t="shared" si="13"/>
        <v/>
      </c>
      <c r="AE936" s="1" t="str">
        <f t="array" ref="AE936">IFERROR(INDEX('Исходник'!$1:$626,MATCH($A936,'Исходник'!$T:$T,0),MATCH(AE$1,'Исходник'!$1:$1,0)))</f>
        <v/>
      </c>
      <c r="AF936" s="1" t="str">
        <f t="array" ref="AF936">IFERROR(INDEX('Исходник'!$1:$626,MATCH($A936,'Исходник'!$T:$T,0),MATCH(AF$1,'Исходник'!$1:$1,0)))</f>
        <v/>
      </c>
      <c r="AG936" s="27" t="str">
        <f t="shared" si="14"/>
        <v/>
      </c>
      <c r="AH936" s="1" t="str">
        <f t="array" ref="AH936">IFERROR(INDEX('Исходник'!$1:$626,MATCH($A936,'Исходник'!$T:$T,0),MATCH(AH$1,'Исходник'!$1:$1,0)))</f>
        <v/>
      </c>
      <c r="AI936" s="1" t="str">
        <f t="array" ref="AI936">IFERROR(INDEX('Исходник'!$1:$626,MATCH($A936,'Исходник'!$T:$T,0),MATCH(AI$1,'Исходник'!$1:$1,0)))</f>
        <v/>
      </c>
      <c r="AJ936" s="18">
        <f t="shared" si="15"/>
        <v>0</v>
      </c>
    </row>
    <row r="937" ht="15.75" customHeight="1">
      <c r="A937" s="27"/>
      <c r="B937" s="1" t="str">
        <f t="array" ref="B937">IFERROR(INDEX('Исходник'!$1:$626,MATCH($A937,'Исходник'!$T:$T,0),MATCH(B$1,'Исходник'!$1:$1,0)))</f>
        <v/>
      </c>
      <c r="C937" s="1" t="str">
        <f t="array" ref="C937">IFERROR(INDEX('Исходник'!$1:$626,MATCH($A937,'Исходник'!$T:$T,0),MATCH(C$1,'Исходник'!$1:$1,0)))</f>
        <v/>
      </c>
      <c r="D937" s="1" t="str">
        <f t="array" ref="D937">IFERROR(INDEX('Исходник'!$1:$626,MATCH($A937,'Исходник'!$T:$T,0),MATCH(D$1,'Исходник'!$1:$1,0)))</f>
        <v/>
      </c>
      <c r="E937" s="1" t="str">
        <f t="array" ref="E937">IFERROR(INDEX('Исходник'!$1:$626,MATCH($A937,'Исходник'!$T:$T,0),MATCH(E$1,'Исходник'!$1:$1,0)))</f>
        <v/>
      </c>
      <c r="F937" s="1" t="str">
        <f t="array" ref="F937">IFERROR(INDEX('Исходник'!$1:$626,MATCH($A937,'Исходник'!$T:$T,0),MATCH(F$1,'Исходник'!$1:$1,0)))</f>
        <v/>
      </c>
      <c r="G937" s="1" t="str">
        <f t="array" ref="G937">IFERROR(INDEX('Исходник'!$1:$626,MATCH($A937,'Исходник'!$T:$T,0),MATCH(G$1,'Исходник'!$1:$1,0)))</f>
        <v/>
      </c>
      <c r="H937" s="27">
        <f t="shared" si="1"/>
        <v>0</v>
      </c>
      <c r="I937" s="27" t="str">
        <f t="shared" si="2"/>
        <v/>
      </c>
      <c r="J937" s="1" t="str">
        <f t="array" ref="J937">IFERROR(INDEX('Исходник'!$1:$626,MATCH($A937,'Исходник'!$T:$T,0),MATCH(J$1,'Исходник'!$1:$1,0)))</f>
        <v/>
      </c>
      <c r="K937" s="27" t="str">
        <f t="shared" si="3"/>
        <v/>
      </c>
      <c r="L937" s="1" t="str">
        <f t="array" ref="L937">IFERROR(INDEX('Исходник'!$1:$626,MATCH($A937,'Исходник'!$T:$T,0),MATCH(L$1,'Исходник'!$1:$1,0)))</f>
        <v/>
      </c>
      <c r="M937" s="28">
        <f t="shared" si="4"/>
        <v>0</v>
      </c>
      <c r="N937" s="1" t="str">
        <f t="array" ref="N937">IFERROR(INDEX('Исходник'!$1:$626,MATCH($A937,'Исходник'!$T:$T,0),MATCH(N$1,'Исходник'!$1:$1,0)))</f>
        <v/>
      </c>
      <c r="O937" s="27">
        <f t="shared" si="5"/>
        <v>0</v>
      </c>
      <c r="P937" s="27" t="str">
        <f t="shared" si="6"/>
        <v/>
      </c>
      <c r="Q937" s="1" t="str">
        <f t="array" ref="Q937">IFERROR(INDEX('Исходник'!$1:$626,MATCH($A937,'Исходник'!$T:$T,0),MATCH(Q$1,'Исходник'!$1:$1,0)))</f>
        <v/>
      </c>
      <c r="R937" s="1" t="str">
        <f t="array" ref="R937">IFERROR(INDEX('Исходник'!$1:$626,MATCH($A937,'Исходник'!$T:$T,0),MATCH(R$1,'Исходник'!$1:$1,0)))</f>
        <v/>
      </c>
      <c r="S937" s="27">
        <f t="shared" si="7"/>
        <v>0</v>
      </c>
      <c r="T937" s="27" t="str">
        <f t="shared" si="8"/>
        <v/>
      </c>
      <c r="U937" s="1" t="str">
        <f t="array" ref="U937">IFERROR(INDEX('Исходник'!$1:$626,MATCH($A937,'Исходник'!$T:$T,0),MATCH(U$1,'Исходник'!$1:$1,0)))</f>
        <v/>
      </c>
      <c r="V937" s="27" t="str">
        <f t="shared" si="9"/>
        <v/>
      </c>
      <c r="W937" s="1" t="str">
        <f t="array" ref="W937">IFERROR(INDEX('Исходник'!$1:$626,MATCH($A937,'Исходник'!$T:$T,0),MATCH(W$1,'Исходник'!$1:$1,0)))</f>
        <v/>
      </c>
      <c r="X937" s="28">
        <f t="shared" si="10"/>
        <v>0</v>
      </c>
      <c r="Y937" s="1" t="str">
        <f t="array" ref="Y937">IFERROR(INDEX('Исходник'!$1:$626,MATCH($A937,'Исходник'!$T:$T,0),MATCH(Y$1,'Исходник'!$1:$1,0)))</f>
        <v/>
      </c>
      <c r="Z937" s="27">
        <f t="shared" si="11"/>
        <v>0</v>
      </c>
      <c r="AA937" s="27" t="str">
        <f t="shared" si="12"/>
        <v/>
      </c>
      <c r="AB937" s="1" t="str">
        <f t="array" ref="AB937">IFERROR(INDEX('Исходник'!$1:$626,MATCH($A937,'Исходник'!$T:$T,0),MATCH(AB$1,'Исходник'!$1:$1,0)))</f>
        <v/>
      </c>
      <c r="AC937" s="1" t="str">
        <f t="array" ref="AC937">IFERROR(INDEX('Исходник'!$1:$626,MATCH($A937,'Исходник'!$T:$T,0),MATCH(AC$1,'Исходник'!$1:$1,0)))</f>
        <v/>
      </c>
      <c r="AD937" s="27" t="str">
        <f t="shared" si="13"/>
        <v/>
      </c>
      <c r="AE937" s="1" t="str">
        <f t="array" ref="AE937">IFERROR(INDEX('Исходник'!$1:$626,MATCH($A937,'Исходник'!$T:$T,0),MATCH(AE$1,'Исходник'!$1:$1,0)))</f>
        <v/>
      </c>
      <c r="AF937" s="1" t="str">
        <f t="array" ref="AF937">IFERROR(INDEX('Исходник'!$1:$626,MATCH($A937,'Исходник'!$T:$T,0),MATCH(AF$1,'Исходник'!$1:$1,0)))</f>
        <v/>
      </c>
      <c r="AG937" s="27" t="str">
        <f t="shared" si="14"/>
        <v/>
      </c>
      <c r="AH937" s="1" t="str">
        <f t="array" ref="AH937">IFERROR(INDEX('Исходник'!$1:$626,MATCH($A937,'Исходник'!$T:$T,0),MATCH(AH$1,'Исходник'!$1:$1,0)))</f>
        <v/>
      </c>
      <c r="AI937" s="1" t="str">
        <f t="array" ref="AI937">IFERROR(INDEX('Исходник'!$1:$626,MATCH($A937,'Исходник'!$T:$T,0),MATCH(AI$1,'Исходник'!$1:$1,0)))</f>
        <v/>
      </c>
      <c r="AJ937" s="18">
        <f t="shared" si="15"/>
        <v>0</v>
      </c>
    </row>
    <row r="938" ht="15.75" customHeight="1">
      <c r="A938" s="27"/>
      <c r="B938" s="1" t="str">
        <f t="array" ref="B938">IFERROR(INDEX('Исходник'!$1:$626,MATCH($A938,'Исходник'!$T:$T,0),MATCH(B$1,'Исходник'!$1:$1,0)))</f>
        <v/>
      </c>
      <c r="C938" s="1" t="str">
        <f t="array" ref="C938">IFERROR(INDEX('Исходник'!$1:$626,MATCH($A938,'Исходник'!$T:$T,0),MATCH(C$1,'Исходник'!$1:$1,0)))</f>
        <v/>
      </c>
      <c r="D938" s="1" t="str">
        <f t="array" ref="D938">IFERROR(INDEX('Исходник'!$1:$626,MATCH($A938,'Исходник'!$T:$T,0),MATCH(D$1,'Исходник'!$1:$1,0)))</f>
        <v/>
      </c>
      <c r="E938" s="1" t="str">
        <f t="array" ref="E938">IFERROR(INDEX('Исходник'!$1:$626,MATCH($A938,'Исходник'!$T:$T,0),MATCH(E$1,'Исходник'!$1:$1,0)))</f>
        <v/>
      </c>
      <c r="F938" s="1" t="str">
        <f t="array" ref="F938">IFERROR(INDEX('Исходник'!$1:$626,MATCH($A938,'Исходник'!$T:$T,0),MATCH(F$1,'Исходник'!$1:$1,0)))</f>
        <v/>
      </c>
      <c r="G938" s="1" t="str">
        <f t="array" ref="G938">IFERROR(INDEX('Исходник'!$1:$626,MATCH($A938,'Исходник'!$T:$T,0),MATCH(G$1,'Исходник'!$1:$1,0)))</f>
        <v/>
      </c>
      <c r="H938" s="27">
        <f t="shared" si="1"/>
        <v>0</v>
      </c>
      <c r="I938" s="27" t="str">
        <f t="shared" si="2"/>
        <v/>
      </c>
      <c r="J938" s="1" t="str">
        <f t="array" ref="J938">IFERROR(INDEX('Исходник'!$1:$626,MATCH($A938,'Исходник'!$T:$T,0),MATCH(J$1,'Исходник'!$1:$1,0)))</f>
        <v/>
      </c>
      <c r="K938" s="27" t="str">
        <f t="shared" si="3"/>
        <v/>
      </c>
      <c r="L938" s="1" t="str">
        <f t="array" ref="L938">IFERROR(INDEX('Исходник'!$1:$626,MATCH($A938,'Исходник'!$T:$T,0),MATCH(L$1,'Исходник'!$1:$1,0)))</f>
        <v/>
      </c>
      <c r="M938" s="28">
        <f t="shared" si="4"/>
        <v>0</v>
      </c>
      <c r="N938" s="1" t="str">
        <f t="array" ref="N938">IFERROR(INDEX('Исходник'!$1:$626,MATCH($A938,'Исходник'!$T:$T,0),MATCH(N$1,'Исходник'!$1:$1,0)))</f>
        <v/>
      </c>
      <c r="O938" s="27">
        <f t="shared" si="5"/>
        <v>0</v>
      </c>
      <c r="P938" s="27" t="str">
        <f t="shared" si="6"/>
        <v/>
      </c>
      <c r="Q938" s="1" t="str">
        <f t="array" ref="Q938">IFERROR(INDEX('Исходник'!$1:$626,MATCH($A938,'Исходник'!$T:$T,0),MATCH(Q$1,'Исходник'!$1:$1,0)))</f>
        <v/>
      </c>
      <c r="R938" s="1" t="str">
        <f t="array" ref="R938">IFERROR(INDEX('Исходник'!$1:$626,MATCH($A938,'Исходник'!$T:$T,0),MATCH(R$1,'Исходник'!$1:$1,0)))</f>
        <v/>
      </c>
      <c r="S938" s="27">
        <f t="shared" si="7"/>
        <v>0</v>
      </c>
      <c r="T938" s="27" t="str">
        <f t="shared" si="8"/>
        <v/>
      </c>
      <c r="U938" s="1" t="str">
        <f t="array" ref="U938">IFERROR(INDEX('Исходник'!$1:$626,MATCH($A938,'Исходник'!$T:$T,0),MATCH(U$1,'Исходник'!$1:$1,0)))</f>
        <v/>
      </c>
      <c r="V938" s="27" t="str">
        <f t="shared" si="9"/>
        <v/>
      </c>
      <c r="W938" s="1" t="str">
        <f t="array" ref="W938">IFERROR(INDEX('Исходник'!$1:$626,MATCH($A938,'Исходник'!$T:$T,0),MATCH(W$1,'Исходник'!$1:$1,0)))</f>
        <v/>
      </c>
      <c r="X938" s="28">
        <f t="shared" si="10"/>
        <v>0</v>
      </c>
      <c r="Y938" s="1" t="str">
        <f t="array" ref="Y938">IFERROR(INDEX('Исходник'!$1:$626,MATCH($A938,'Исходник'!$T:$T,0),MATCH(Y$1,'Исходник'!$1:$1,0)))</f>
        <v/>
      </c>
      <c r="Z938" s="27">
        <f t="shared" si="11"/>
        <v>0</v>
      </c>
      <c r="AA938" s="27" t="str">
        <f t="shared" si="12"/>
        <v/>
      </c>
      <c r="AB938" s="1" t="str">
        <f t="array" ref="AB938">IFERROR(INDEX('Исходник'!$1:$626,MATCH($A938,'Исходник'!$T:$T,0),MATCH(AB$1,'Исходник'!$1:$1,0)))</f>
        <v/>
      </c>
      <c r="AC938" s="1" t="str">
        <f t="array" ref="AC938">IFERROR(INDEX('Исходник'!$1:$626,MATCH($A938,'Исходник'!$T:$T,0),MATCH(AC$1,'Исходник'!$1:$1,0)))</f>
        <v/>
      </c>
      <c r="AD938" s="27" t="str">
        <f t="shared" si="13"/>
        <v/>
      </c>
      <c r="AE938" s="1" t="str">
        <f t="array" ref="AE938">IFERROR(INDEX('Исходник'!$1:$626,MATCH($A938,'Исходник'!$T:$T,0),MATCH(AE$1,'Исходник'!$1:$1,0)))</f>
        <v/>
      </c>
      <c r="AF938" s="1" t="str">
        <f t="array" ref="AF938">IFERROR(INDEX('Исходник'!$1:$626,MATCH($A938,'Исходник'!$T:$T,0),MATCH(AF$1,'Исходник'!$1:$1,0)))</f>
        <v/>
      </c>
      <c r="AG938" s="27" t="str">
        <f t="shared" si="14"/>
        <v/>
      </c>
      <c r="AH938" s="1" t="str">
        <f t="array" ref="AH938">IFERROR(INDEX('Исходник'!$1:$626,MATCH($A938,'Исходник'!$T:$T,0),MATCH(AH$1,'Исходник'!$1:$1,0)))</f>
        <v/>
      </c>
      <c r="AI938" s="1" t="str">
        <f t="array" ref="AI938">IFERROR(INDEX('Исходник'!$1:$626,MATCH($A938,'Исходник'!$T:$T,0),MATCH(AI$1,'Исходник'!$1:$1,0)))</f>
        <v/>
      </c>
      <c r="AJ938" s="18">
        <f t="shared" si="15"/>
        <v>0</v>
      </c>
    </row>
    <row r="939" ht="15.75" customHeight="1">
      <c r="A939" s="27"/>
      <c r="B939" s="1" t="str">
        <f t="array" ref="B939">IFERROR(INDEX('Исходник'!$1:$626,MATCH($A939,'Исходник'!$T:$T,0),MATCH(B$1,'Исходник'!$1:$1,0)))</f>
        <v/>
      </c>
      <c r="C939" s="1" t="str">
        <f t="array" ref="C939">IFERROR(INDEX('Исходник'!$1:$626,MATCH($A939,'Исходник'!$T:$T,0),MATCH(C$1,'Исходник'!$1:$1,0)))</f>
        <v/>
      </c>
      <c r="D939" s="1" t="str">
        <f t="array" ref="D939">IFERROR(INDEX('Исходник'!$1:$626,MATCH($A939,'Исходник'!$T:$T,0),MATCH(D$1,'Исходник'!$1:$1,0)))</f>
        <v/>
      </c>
      <c r="E939" s="1" t="str">
        <f t="array" ref="E939">IFERROR(INDEX('Исходник'!$1:$626,MATCH($A939,'Исходник'!$T:$T,0),MATCH(E$1,'Исходник'!$1:$1,0)))</f>
        <v/>
      </c>
      <c r="F939" s="1" t="str">
        <f t="array" ref="F939">IFERROR(INDEX('Исходник'!$1:$626,MATCH($A939,'Исходник'!$T:$T,0),MATCH(F$1,'Исходник'!$1:$1,0)))</f>
        <v/>
      </c>
      <c r="G939" s="1" t="str">
        <f t="array" ref="G939">IFERROR(INDEX('Исходник'!$1:$626,MATCH($A939,'Исходник'!$T:$T,0),MATCH(G$1,'Исходник'!$1:$1,0)))</f>
        <v/>
      </c>
      <c r="H939" s="27">
        <f t="shared" si="1"/>
        <v>0</v>
      </c>
      <c r="I939" s="27" t="str">
        <f t="shared" si="2"/>
        <v/>
      </c>
      <c r="J939" s="1" t="str">
        <f t="array" ref="J939">IFERROR(INDEX('Исходник'!$1:$626,MATCH($A939,'Исходник'!$T:$T,0),MATCH(J$1,'Исходник'!$1:$1,0)))</f>
        <v/>
      </c>
      <c r="K939" s="27" t="str">
        <f t="shared" si="3"/>
        <v/>
      </c>
      <c r="L939" s="1" t="str">
        <f t="array" ref="L939">IFERROR(INDEX('Исходник'!$1:$626,MATCH($A939,'Исходник'!$T:$T,0),MATCH(L$1,'Исходник'!$1:$1,0)))</f>
        <v/>
      </c>
      <c r="M939" s="28">
        <f t="shared" si="4"/>
        <v>0</v>
      </c>
      <c r="N939" s="1" t="str">
        <f t="array" ref="N939">IFERROR(INDEX('Исходник'!$1:$626,MATCH($A939,'Исходник'!$T:$T,0),MATCH(N$1,'Исходник'!$1:$1,0)))</f>
        <v/>
      </c>
      <c r="O939" s="27">
        <f t="shared" si="5"/>
        <v>0</v>
      </c>
      <c r="P939" s="27" t="str">
        <f t="shared" si="6"/>
        <v/>
      </c>
      <c r="Q939" s="1" t="str">
        <f t="array" ref="Q939">IFERROR(INDEX('Исходник'!$1:$626,MATCH($A939,'Исходник'!$T:$T,0),MATCH(Q$1,'Исходник'!$1:$1,0)))</f>
        <v/>
      </c>
      <c r="R939" s="1" t="str">
        <f t="array" ref="R939">IFERROR(INDEX('Исходник'!$1:$626,MATCH($A939,'Исходник'!$T:$T,0),MATCH(R$1,'Исходник'!$1:$1,0)))</f>
        <v/>
      </c>
      <c r="S939" s="27">
        <f t="shared" si="7"/>
        <v>0</v>
      </c>
      <c r="T939" s="27" t="str">
        <f t="shared" si="8"/>
        <v/>
      </c>
      <c r="U939" s="1" t="str">
        <f t="array" ref="U939">IFERROR(INDEX('Исходник'!$1:$626,MATCH($A939,'Исходник'!$T:$T,0),MATCH(U$1,'Исходник'!$1:$1,0)))</f>
        <v/>
      </c>
      <c r="V939" s="27" t="str">
        <f t="shared" si="9"/>
        <v/>
      </c>
      <c r="W939" s="1" t="str">
        <f t="array" ref="W939">IFERROR(INDEX('Исходник'!$1:$626,MATCH($A939,'Исходник'!$T:$T,0),MATCH(W$1,'Исходник'!$1:$1,0)))</f>
        <v/>
      </c>
      <c r="X939" s="28">
        <f t="shared" si="10"/>
        <v>0</v>
      </c>
      <c r="Y939" s="1" t="str">
        <f t="array" ref="Y939">IFERROR(INDEX('Исходник'!$1:$626,MATCH($A939,'Исходник'!$T:$T,0),MATCH(Y$1,'Исходник'!$1:$1,0)))</f>
        <v/>
      </c>
      <c r="Z939" s="27">
        <f t="shared" si="11"/>
        <v>0</v>
      </c>
      <c r="AA939" s="27" t="str">
        <f t="shared" si="12"/>
        <v/>
      </c>
      <c r="AB939" s="1" t="str">
        <f t="array" ref="AB939">IFERROR(INDEX('Исходник'!$1:$626,MATCH($A939,'Исходник'!$T:$T,0),MATCH(AB$1,'Исходник'!$1:$1,0)))</f>
        <v/>
      </c>
      <c r="AC939" s="1" t="str">
        <f t="array" ref="AC939">IFERROR(INDEX('Исходник'!$1:$626,MATCH($A939,'Исходник'!$T:$T,0),MATCH(AC$1,'Исходник'!$1:$1,0)))</f>
        <v/>
      </c>
      <c r="AD939" s="27" t="str">
        <f t="shared" si="13"/>
        <v/>
      </c>
      <c r="AE939" s="1" t="str">
        <f t="array" ref="AE939">IFERROR(INDEX('Исходник'!$1:$626,MATCH($A939,'Исходник'!$T:$T,0),MATCH(AE$1,'Исходник'!$1:$1,0)))</f>
        <v/>
      </c>
      <c r="AF939" s="1" t="str">
        <f t="array" ref="AF939">IFERROR(INDEX('Исходник'!$1:$626,MATCH($A939,'Исходник'!$T:$T,0),MATCH(AF$1,'Исходник'!$1:$1,0)))</f>
        <v/>
      </c>
      <c r="AG939" s="27" t="str">
        <f t="shared" si="14"/>
        <v/>
      </c>
      <c r="AH939" s="1" t="str">
        <f t="array" ref="AH939">IFERROR(INDEX('Исходник'!$1:$626,MATCH($A939,'Исходник'!$T:$T,0),MATCH(AH$1,'Исходник'!$1:$1,0)))</f>
        <v/>
      </c>
      <c r="AI939" s="1" t="str">
        <f t="array" ref="AI939">IFERROR(INDEX('Исходник'!$1:$626,MATCH($A939,'Исходник'!$T:$T,0),MATCH(AI$1,'Исходник'!$1:$1,0)))</f>
        <v/>
      </c>
      <c r="AJ939" s="18">
        <f t="shared" si="15"/>
        <v>0</v>
      </c>
    </row>
    <row r="940" ht="15.75" customHeight="1">
      <c r="A940" s="27"/>
      <c r="B940" s="1" t="str">
        <f t="array" ref="B940">IFERROR(INDEX('Исходник'!$1:$626,MATCH($A940,'Исходник'!$T:$T,0),MATCH(B$1,'Исходник'!$1:$1,0)))</f>
        <v/>
      </c>
      <c r="C940" s="1" t="str">
        <f t="array" ref="C940">IFERROR(INDEX('Исходник'!$1:$626,MATCH($A940,'Исходник'!$T:$T,0),MATCH(C$1,'Исходник'!$1:$1,0)))</f>
        <v/>
      </c>
      <c r="D940" s="1" t="str">
        <f t="array" ref="D940">IFERROR(INDEX('Исходник'!$1:$626,MATCH($A940,'Исходник'!$T:$T,0),MATCH(D$1,'Исходник'!$1:$1,0)))</f>
        <v/>
      </c>
      <c r="E940" s="1" t="str">
        <f t="array" ref="E940">IFERROR(INDEX('Исходник'!$1:$626,MATCH($A940,'Исходник'!$T:$T,0),MATCH(E$1,'Исходник'!$1:$1,0)))</f>
        <v/>
      </c>
      <c r="F940" s="1" t="str">
        <f t="array" ref="F940">IFERROR(INDEX('Исходник'!$1:$626,MATCH($A940,'Исходник'!$T:$T,0),MATCH(F$1,'Исходник'!$1:$1,0)))</f>
        <v/>
      </c>
      <c r="G940" s="1" t="str">
        <f t="array" ref="G940">IFERROR(INDEX('Исходник'!$1:$626,MATCH($A940,'Исходник'!$T:$T,0),MATCH(G$1,'Исходник'!$1:$1,0)))</f>
        <v/>
      </c>
      <c r="H940" s="27">
        <f t="shared" si="1"/>
        <v>0</v>
      </c>
      <c r="I940" s="27" t="str">
        <f t="shared" si="2"/>
        <v/>
      </c>
      <c r="J940" s="1" t="str">
        <f t="array" ref="J940">IFERROR(INDEX('Исходник'!$1:$626,MATCH($A940,'Исходник'!$T:$T,0),MATCH(J$1,'Исходник'!$1:$1,0)))</f>
        <v/>
      </c>
      <c r="K940" s="27" t="str">
        <f t="shared" si="3"/>
        <v/>
      </c>
      <c r="L940" s="1" t="str">
        <f t="array" ref="L940">IFERROR(INDEX('Исходник'!$1:$626,MATCH($A940,'Исходник'!$T:$T,0),MATCH(L$1,'Исходник'!$1:$1,0)))</f>
        <v/>
      </c>
      <c r="M940" s="28">
        <f t="shared" si="4"/>
        <v>0</v>
      </c>
      <c r="N940" s="1" t="str">
        <f t="array" ref="N940">IFERROR(INDEX('Исходник'!$1:$626,MATCH($A940,'Исходник'!$T:$T,0),MATCH(N$1,'Исходник'!$1:$1,0)))</f>
        <v/>
      </c>
      <c r="O940" s="27">
        <f t="shared" si="5"/>
        <v>0</v>
      </c>
      <c r="P940" s="27" t="str">
        <f t="shared" si="6"/>
        <v/>
      </c>
      <c r="Q940" s="1" t="str">
        <f t="array" ref="Q940">IFERROR(INDEX('Исходник'!$1:$626,MATCH($A940,'Исходник'!$T:$T,0),MATCH(Q$1,'Исходник'!$1:$1,0)))</f>
        <v/>
      </c>
      <c r="R940" s="1" t="str">
        <f t="array" ref="R940">IFERROR(INDEX('Исходник'!$1:$626,MATCH($A940,'Исходник'!$T:$T,0),MATCH(R$1,'Исходник'!$1:$1,0)))</f>
        <v/>
      </c>
      <c r="S940" s="27">
        <f t="shared" si="7"/>
        <v>0</v>
      </c>
      <c r="T940" s="27" t="str">
        <f t="shared" si="8"/>
        <v/>
      </c>
      <c r="U940" s="1" t="str">
        <f t="array" ref="U940">IFERROR(INDEX('Исходник'!$1:$626,MATCH($A940,'Исходник'!$T:$T,0),MATCH(U$1,'Исходник'!$1:$1,0)))</f>
        <v/>
      </c>
      <c r="V940" s="27" t="str">
        <f t="shared" si="9"/>
        <v/>
      </c>
      <c r="W940" s="1" t="str">
        <f t="array" ref="W940">IFERROR(INDEX('Исходник'!$1:$626,MATCH($A940,'Исходник'!$T:$T,0),MATCH(W$1,'Исходник'!$1:$1,0)))</f>
        <v/>
      </c>
      <c r="X940" s="28">
        <f t="shared" si="10"/>
        <v>0</v>
      </c>
      <c r="Y940" s="1" t="str">
        <f t="array" ref="Y940">IFERROR(INDEX('Исходник'!$1:$626,MATCH($A940,'Исходник'!$T:$T,0),MATCH(Y$1,'Исходник'!$1:$1,0)))</f>
        <v/>
      </c>
      <c r="Z940" s="27">
        <f t="shared" si="11"/>
        <v>0</v>
      </c>
      <c r="AA940" s="27" t="str">
        <f t="shared" si="12"/>
        <v/>
      </c>
      <c r="AB940" s="1" t="str">
        <f t="array" ref="AB940">IFERROR(INDEX('Исходник'!$1:$626,MATCH($A940,'Исходник'!$T:$T,0),MATCH(AB$1,'Исходник'!$1:$1,0)))</f>
        <v/>
      </c>
      <c r="AC940" s="1" t="str">
        <f t="array" ref="AC940">IFERROR(INDEX('Исходник'!$1:$626,MATCH($A940,'Исходник'!$T:$T,0),MATCH(AC$1,'Исходник'!$1:$1,0)))</f>
        <v/>
      </c>
      <c r="AD940" s="27" t="str">
        <f t="shared" si="13"/>
        <v/>
      </c>
      <c r="AE940" s="1" t="str">
        <f t="array" ref="AE940">IFERROR(INDEX('Исходник'!$1:$626,MATCH($A940,'Исходник'!$T:$T,0),MATCH(AE$1,'Исходник'!$1:$1,0)))</f>
        <v/>
      </c>
      <c r="AF940" s="1" t="str">
        <f t="array" ref="AF940">IFERROR(INDEX('Исходник'!$1:$626,MATCH($A940,'Исходник'!$T:$T,0),MATCH(AF$1,'Исходник'!$1:$1,0)))</f>
        <v/>
      </c>
      <c r="AG940" s="27" t="str">
        <f t="shared" si="14"/>
        <v/>
      </c>
      <c r="AH940" s="1" t="str">
        <f t="array" ref="AH940">IFERROR(INDEX('Исходник'!$1:$626,MATCH($A940,'Исходник'!$T:$T,0),MATCH(AH$1,'Исходник'!$1:$1,0)))</f>
        <v/>
      </c>
      <c r="AI940" s="1" t="str">
        <f t="array" ref="AI940">IFERROR(INDEX('Исходник'!$1:$626,MATCH($A940,'Исходник'!$T:$T,0),MATCH(AI$1,'Исходник'!$1:$1,0)))</f>
        <v/>
      </c>
      <c r="AJ940" s="18">
        <f t="shared" si="15"/>
        <v>0</v>
      </c>
    </row>
    <row r="941" ht="15.75" customHeight="1">
      <c r="A941" s="27"/>
      <c r="B941" s="1" t="str">
        <f t="array" ref="B941">IFERROR(INDEX('Исходник'!$1:$626,MATCH($A941,'Исходник'!$T:$T,0),MATCH(B$1,'Исходник'!$1:$1,0)))</f>
        <v/>
      </c>
      <c r="C941" s="1" t="str">
        <f t="array" ref="C941">IFERROR(INDEX('Исходник'!$1:$626,MATCH($A941,'Исходник'!$T:$T,0),MATCH(C$1,'Исходник'!$1:$1,0)))</f>
        <v/>
      </c>
      <c r="D941" s="1" t="str">
        <f t="array" ref="D941">IFERROR(INDEX('Исходник'!$1:$626,MATCH($A941,'Исходник'!$T:$T,0),MATCH(D$1,'Исходник'!$1:$1,0)))</f>
        <v/>
      </c>
      <c r="E941" s="1" t="str">
        <f t="array" ref="E941">IFERROR(INDEX('Исходник'!$1:$626,MATCH($A941,'Исходник'!$T:$T,0),MATCH(E$1,'Исходник'!$1:$1,0)))</f>
        <v/>
      </c>
      <c r="F941" s="1" t="str">
        <f t="array" ref="F941">IFERROR(INDEX('Исходник'!$1:$626,MATCH($A941,'Исходник'!$T:$T,0),MATCH(F$1,'Исходник'!$1:$1,0)))</f>
        <v/>
      </c>
      <c r="G941" s="1" t="str">
        <f t="array" ref="G941">IFERROR(INDEX('Исходник'!$1:$626,MATCH($A941,'Исходник'!$T:$T,0),MATCH(G$1,'Исходник'!$1:$1,0)))</f>
        <v/>
      </c>
      <c r="H941" s="27">
        <f t="shared" si="1"/>
        <v>0</v>
      </c>
      <c r="I941" s="27" t="str">
        <f t="shared" si="2"/>
        <v/>
      </c>
      <c r="J941" s="1" t="str">
        <f t="array" ref="J941">IFERROR(INDEX('Исходник'!$1:$626,MATCH($A941,'Исходник'!$T:$T,0),MATCH(J$1,'Исходник'!$1:$1,0)))</f>
        <v/>
      </c>
      <c r="K941" s="27" t="str">
        <f t="shared" si="3"/>
        <v/>
      </c>
      <c r="L941" s="1" t="str">
        <f t="array" ref="L941">IFERROR(INDEX('Исходник'!$1:$626,MATCH($A941,'Исходник'!$T:$T,0),MATCH(L$1,'Исходник'!$1:$1,0)))</f>
        <v/>
      </c>
      <c r="M941" s="28">
        <f t="shared" si="4"/>
        <v>0</v>
      </c>
      <c r="N941" s="1" t="str">
        <f t="array" ref="N941">IFERROR(INDEX('Исходник'!$1:$626,MATCH($A941,'Исходник'!$T:$T,0),MATCH(N$1,'Исходник'!$1:$1,0)))</f>
        <v/>
      </c>
      <c r="O941" s="27">
        <f t="shared" si="5"/>
        <v>0</v>
      </c>
      <c r="P941" s="27" t="str">
        <f t="shared" si="6"/>
        <v/>
      </c>
      <c r="Q941" s="1" t="str">
        <f t="array" ref="Q941">IFERROR(INDEX('Исходник'!$1:$626,MATCH($A941,'Исходник'!$T:$T,0),MATCH(Q$1,'Исходник'!$1:$1,0)))</f>
        <v/>
      </c>
      <c r="R941" s="1" t="str">
        <f t="array" ref="R941">IFERROR(INDEX('Исходник'!$1:$626,MATCH($A941,'Исходник'!$T:$T,0),MATCH(R$1,'Исходник'!$1:$1,0)))</f>
        <v/>
      </c>
      <c r="S941" s="27">
        <f t="shared" si="7"/>
        <v>0</v>
      </c>
      <c r="T941" s="27" t="str">
        <f t="shared" si="8"/>
        <v/>
      </c>
      <c r="U941" s="1" t="str">
        <f t="array" ref="U941">IFERROR(INDEX('Исходник'!$1:$626,MATCH($A941,'Исходник'!$T:$T,0),MATCH(U$1,'Исходник'!$1:$1,0)))</f>
        <v/>
      </c>
      <c r="V941" s="27" t="str">
        <f t="shared" si="9"/>
        <v/>
      </c>
      <c r="W941" s="1" t="str">
        <f t="array" ref="W941">IFERROR(INDEX('Исходник'!$1:$626,MATCH($A941,'Исходник'!$T:$T,0),MATCH(W$1,'Исходник'!$1:$1,0)))</f>
        <v/>
      </c>
      <c r="X941" s="28">
        <f t="shared" si="10"/>
        <v>0</v>
      </c>
      <c r="Y941" s="1" t="str">
        <f t="array" ref="Y941">IFERROR(INDEX('Исходник'!$1:$626,MATCH($A941,'Исходник'!$T:$T,0),MATCH(Y$1,'Исходник'!$1:$1,0)))</f>
        <v/>
      </c>
      <c r="Z941" s="27">
        <f t="shared" si="11"/>
        <v>0</v>
      </c>
      <c r="AA941" s="27" t="str">
        <f t="shared" si="12"/>
        <v/>
      </c>
      <c r="AB941" s="1" t="str">
        <f t="array" ref="AB941">IFERROR(INDEX('Исходник'!$1:$626,MATCH($A941,'Исходник'!$T:$T,0),MATCH(AB$1,'Исходник'!$1:$1,0)))</f>
        <v/>
      </c>
      <c r="AC941" s="1" t="str">
        <f t="array" ref="AC941">IFERROR(INDEX('Исходник'!$1:$626,MATCH($A941,'Исходник'!$T:$T,0),MATCH(AC$1,'Исходник'!$1:$1,0)))</f>
        <v/>
      </c>
      <c r="AD941" s="27" t="str">
        <f t="shared" si="13"/>
        <v/>
      </c>
      <c r="AE941" s="1" t="str">
        <f t="array" ref="AE941">IFERROR(INDEX('Исходник'!$1:$626,MATCH($A941,'Исходник'!$T:$T,0),MATCH(AE$1,'Исходник'!$1:$1,0)))</f>
        <v/>
      </c>
      <c r="AF941" s="1" t="str">
        <f t="array" ref="AF941">IFERROR(INDEX('Исходник'!$1:$626,MATCH($A941,'Исходник'!$T:$T,0),MATCH(AF$1,'Исходник'!$1:$1,0)))</f>
        <v/>
      </c>
      <c r="AG941" s="27" t="str">
        <f t="shared" si="14"/>
        <v/>
      </c>
      <c r="AH941" s="1" t="str">
        <f t="array" ref="AH941">IFERROR(INDEX('Исходник'!$1:$626,MATCH($A941,'Исходник'!$T:$T,0),MATCH(AH$1,'Исходник'!$1:$1,0)))</f>
        <v/>
      </c>
      <c r="AI941" s="1" t="str">
        <f t="array" ref="AI941">IFERROR(INDEX('Исходник'!$1:$626,MATCH($A941,'Исходник'!$T:$T,0),MATCH(AI$1,'Исходник'!$1:$1,0)))</f>
        <v/>
      </c>
      <c r="AJ941" s="18">
        <f t="shared" si="15"/>
        <v>0</v>
      </c>
    </row>
    <row r="942" ht="15.75" customHeight="1">
      <c r="A942" s="27"/>
      <c r="B942" s="1" t="str">
        <f t="array" ref="B942">IFERROR(INDEX('Исходник'!$1:$626,MATCH($A942,'Исходник'!$T:$T,0),MATCH(B$1,'Исходник'!$1:$1,0)))</f>
        <v/>
      </c>
      <c r="C942" s="1" t="str">
        <f t="array" ref="C942">IFERROR(INDEX('Исходник'!$1:$626,MATCH($A942,'Исходник'!$T:$T,0),MATCH(C$1,'Исходник'!$1:$1,0)))</f>
        <v/>
      </c>
      <c r="D942" s="1" t="str">
        <f t="array" ref="D942">IFERROR(INDEX('Исходник'!$1:$626,MATCH($A942,'Исходник'!$T:$T,0),MATCH(D$1,'Исходник'!$1:$1,0)))</f>
        <v/>
      </c>
      <c r="E942" s="1" t="str">
        <f t="array" ref="E942">IFERROR(INDEX('Исходник'!$1:$626,MATCH($A942,'Исходник'!$T:$T,0),MATCH(E$1,'Исходник'!$1:$1,0)))</f>
        <v/>
      </c>
      <c r="F942" s="1" t="str">
        <f t="array" ref="F942">IFERROR(INDEX('Исходник'!$1:$626,MATCH($A942,'Исходник'!$T:$T,0),MATCH(F$1,'Исходник'!$1:$1,0)))</f>
        <v/>
      </c>
      <c r="G942" s="1" t="str">
        <f t="array" ref="G942">IFERROR(INDEX('Исходник'!$1:$626,MATCH($A942,'Исходник'!$T:$T,0),MATCH(G$1,'Исходник'!$1:$1,0)))</f>
        <v/>
      </c>
      <c r="H942" s="27">
        <f t="shared" si="1"/>
        <v>0</v>
      </c>
      <c r="I942" s="27" t="str">
        <f t="shared" si="2"/>
        <v/>
      </c>
      <c r="J942" s="1" t="str">
        <f t="array" ref="J942">IFERROR(INDEX('Исходник'!$1:$626,MATCH($A942,'Исходник'!$T:$T,0),MATCH(J$1,'Исходник'!$1:$1,0)))</f>
        <v/>
      </c>
      <c r="K942" s="27" t="str">
        <f t="shared" si="3"/>
        <v/>
      </c>
      <c r="L942" s="1" t="str">
        <f t="array" ref="L942">IFERROR(INDEX('Исходник'!$1:$626,MATCH($A942,'Исходник'!$T:$T,0),MATCH(L$1,'Исходник'!$1:$1,0)))</f>
        <v/>
      </c>
      <c r="M942" s="28">
        <f t="shared" si="4"/>
        <v>0</v>
      </c>
      <c r="N942" s="1" t="str">
        <f t="array" ref="N942">IFERROR(INDEX('Исходник'!$1:$626,MATCH($A942,'Исходник'!$T:$T,0),MATCH(N$1,'Исходник'!$1:$1,0)))</f>
        <v/>
      </c>
      <c r="O942" s="27">
        <f t="shared" si="5"/>
        <v>0</v>
      </c>
      <c r="P942" s="27" t="str">
        <f t="shared" si="6"/>
        <v/>
      </c>
      <c r="Q942" s="1" t="str">
        <f t="array" ref="Q942">IFERROR(INDEX('Исходник'!$1:$626,MATCH($A942,'Исходник'!$T:$T,0),MATCH(Q$1,'Исходник'!$1:$1,0)))</f>
        <v/>
      </c>
      <c r="R942" s="1" t="str">
        <f t="array" ref="R942">IFERROR(INDEX('Исходник'!$1:$626,MATCH($A942,'Исходник'!$T:$T,0),MATCH(R$1,'Исходник'!$1:$1,0)))</f>
        <v/>
      </c>
      <c r="S942" s="27">
        <f t="shared" si="7"/>
        <v>0</v>
      </c>
      <c r="T942" s="27" t="str">
        <f t="shared" si="8"/>
        <v/>
      </c>
      <c r="U942" s="1" t="str">
        <f t="array" ref="U942">IFERROR(INDEX('Исходник'!$1:$626,MATCH($A942,'Исходник'!$T:$T,0),MATCH(U$1,'Исходник'!$1:$1,0)))</f>
        <v/>
      </c>
      <c r="V942" s="27" t="str">
        <f t="shared" si="9"/>
        <v/>
      </c>
      <c r="W942" s="1" t="str">
        <f t="array" ref="W942">IFERROR(INDEX('Исходник'!$1:$626,MATCH($A942,'Исходник'!$T:$T,0),MATCH(W$1,'Исходник'!$1:$1,0)))</f>
        <v/>
      </c>
      <c r="X942" s="28">
        <f t="shared" si="10"/>
        <v>0</v>
      </c>
      <c r="Y942" s="1" t="str">
        <f t="array" ref="Y942">IFERROR(INDEX('Исходник'!$1:$626,MATCH($A942,'Исходник'!$T:$T,0),MATCH(Y$1,'Исходник'!$1:$1,0)))</f>
        <v/>
      </c>
      <c r="Z942" s="27">
        <f t="shared" si="11"/>
        <v>0</v>
      </c>
      <c r="AA942" s="27" t="str">
        <f t="shared" si="12"/>
        <v/>
      </c>
      <c r="AB942" s="1" t="str">
        <f t="array" ref="AB942">IFERROR(INDEX('Исходник'!$1:$626,MATCH($A942,'Исходник'!$T:$T,0),MATCH(AB$1,'Исходник'!$1:$1,0)))</f>
        <v/>
      </c>
      <c r="AC942" s="1" t="str">
        <f t="array" ref="AC942">IFERROR(INDEX('Исходник'!$1:$626,MATCH($A942,'Исходник'!$T:$T,0),MATCH(AC$1,'Исходник'!$1:$1,0)))</f>
        <v/>
      </c>
      <c r="AD942" s="27" t="str">
        <f t="shared" si="13"/>
        <v/>
      </c>
      <c r="AE942" s="1" t="str">
        <f t="array" ref="AE942">IFERROR(INDEX('Исходник'!$1:$626,MATCH($A942,'Исходник'!$T:$T,0),MATCH(AE$1,'Исходник'!$1:$1,0)))</f>
        <v/>
      </c>
      <c r="AF942" s="1" t="str">
        <f t="array" ref="AF942">IFERROR(INDEX('Исходник'!$1:$626,MATCH($A942,'Исходник'!$T:$T,0),MATCH(AF$1,'Исходник'!$1:$1,0)))</f>
        <v/>
      </c>
      <c r="AG942" s="27" t="str">
        <f t="shared" si="14"/>
        <v/>
      </c>
      <c r="AH942" s="1" t="str">
        <f t="array" ref="AH942">IFERROR(INDEX('Исходник'!$1:$626,MATCH($A942,'Исходник'!$T:$T,0),MATCH(AH$1,'Исходник'!$1:$1,0)))</f>
        <v/>
      </c>
      <c r="AI942" s="1" t="str">
        <f t="array" ref="AI942">IFERROR(INDEX('Исходник'!$1:$626,MATCH($A942,'Исходник'!$T:$T,0),MATCH(AI$1,'Исходник'!$1:$1,0)))</f>
        <v/>
      </c>
      <c r="AJ942" s="18">
        <f t="shared" si="15"/>
        <v>0</v>
      </c>
    </row>
    <row r="943" ht="15.75" customHeight="1">
      <c r="A943" s="27"/>
      <c r="B943" s="1" t="str">
        <f t="array" ref="B943">IFERROR(INDEX('Исходник'!$1:$626,MATCH($A943,'Исходник'!$T:$T,0),MATCH(B$1,'Исходник'!$1:$1,0)))</f>
        <v/>
      </c>
      <c r="C943" s="1" t="str">
        <f t="array" ref="C943">IFERROR(INDEX('Исходник'!$1:$626,MATCH($A943,'Исходник'!$T:$T,0),MATCH(C$1,'Исходник'!$1:$1,0)))</f>
        <v/>
      </c>
      <c r="D943" s="1" t="str">
        <f t="array" ref="D943">IFERROR(INDEX('Исходник'!$1:$626,MATCH($A943,'Исходник'!$T:$T,0),MATCH(D$1,'Исходник'!$1:$1,0)))</f>
        <v/>
      </c>
      <c r="E943" s="1" t="str">
        <f t="array" ref="E943">IFERROR(INDEX('Исходник'!$1:$626,MATCH($A943,'Исходник'!$T:$T,0),MATCH(E$1,'Исходник'!$1:$1,0)))</f>
        <v/>
      </c>
      <c r="F943" s="1" t="str">
        <f t="array" ref="F943">IFERROR(INDEX('Исходник'!$1:$626,MATCH($A943,'Исходник'!$T:$T,0),MATCH(F$1,'Исходник'!$1:$1,0)))</f>
        <v/>
      </c>
      <c r="G943" s="1" t="str">
        <f t="array" ref="G943">IFERROR(INDEX('Исходник'!$1:$626,MATCH($A943,'Исходник'!$T:$T,0),MATCH(G$1,'Исходник'!$1:$1,0)))</f>
        <v/>
      </c>
      <c r="H943" s="27">
        <f t="shared" si="1"/>
        <v>0</v>
      </c>
      <c r="I943" s="27" t="str">
        <f t="shared" si="2"/>
        <v/>
      </c>
      <c r="J943" s="1" t="str">
        <f t="array" ref="J943">IFERROR(INDEX('Исходник'!$1:$626,MATCH($A943,'Исходник'!$T:$T,0),MATCH(J$1,'Исходник'!$1:$1,0)))</f>
        <v/>
      </c>
      <c r="K943" s="27" t="str">
        <f t="shared" si="3"/>
        <v/>
      </c>
      <c r="L943" s="1" t="str">
        <f t="array" ref="L943">IFERROR(INDEX('Исходник'!$1:$626,MATCH($A943,'Исходник'!$T:$T,0),MATCH(L$1,'Исходник'!$1:$1,0)))</f>
        <v/>
      </c>
      <c r="M943" s="28">
        <f t="shared" si="4"/>
        <v>0</v>
      </c>
      <c r="N943" s="1" t="str">
        <f t="array" ref="N943">IFERROR(INDEX('Исходник'!$1:$626,MATCH($A943,'Исходник'!$T:$T,0),MATCH(N$1,'Исходник'!$1:$1,0)))</f>
        <v/>
      </c>
      <c r="O943" s="27">
        <f t="shared" si="5"/>
        <v>0</v>
      </c>
      <c r="P943" s="27" t="str">
        <f t="shared" si="6"/>
        <v/>
      </c>
      <c r="Q943" s="1" t="str">
        <f t="array" ref="Q943">IFERROR(INDEX('Исходник'!$1:$626,MATCH($A943,'Исходник'!$T:$T,0),MATCH(Q$1,'Исходник'!$1:$1,0)))</f>
        <v/>
      </c>
      <c r="R943" s="1" t="str">
        <f t="array" ref="R943">IFERROR(INDEX('Исходник'!$1:$626,MATCH($A943,'Исходник'!$T:$T,0),MATCH(R$1,'Исходник'!$1:$1,0)))</f>
        <v/>
      </c>
      <c r="S943" s="27">
        <f t="shared" si="7"/>
        <v>0</v>
      </c>
      <c r="T943" s="27" t="str">
        <f t="shared" si="8"/>
        <v/>
      </c>
      <c r="U943" s="1" t="str">
        <f t="array" ref="U943">IFERROR(INDEX('Исходник'!$1:$626,MATCH($A943,'Исходник'!$T:$T,0),MATCH(U$1,'Исходник'!$1:$1,0)))</f>
        <v/>
      </c>
      <c r="V943" s="27" t="str">
        <f t="shared" si="9"/>
        <v/>
      </c>
      <c r="W943" s="1" t="str">
        <f t="array" ref="W943">IFERROR(INDEX('Исходник'!$1:$626,MATCH($A943,'Исходник'!$T:$T,0),MATCH(W$1,'Исходник'!$1:$1,0)))</f>
        <v/>
      </c>
      <c r="X943" s="28">
        <f t="shared" si="10"/>
        <v>0</v>
      </c>
      <c r="Y943" s="1" t="str">
        <f t="array" ref="Y943">IFERROR(INDEX('Исходник'!$1:$626,MATCH($A943,'Исходник'!$T:$T,0),MATCH(Y$1,'Исходник'!$1:$1,0)))</f>
        <v/>
      </c>
      <c r="Z943" s="27">
        <f t="shared" si="11"/>
        <v>0</v>
      </c>
      <c r="AA943" s="27" t="str">
        <f t="shared" si="12"/>
        <v/>
      </c>
      <c r="AB943" s="1" t="str">
        <f t="array" ref="AB943">IFERROR(INDEX('Исходник'!$1:$626,MATCH($A943,'Исходник'!$T:$T,0),MATCH(AB$1,'Исходник'!$1:$1,0)))</f>
        <v/>
      </c>
      <c r="AC943" s="1" t="str">
        <f t="array" ref="AC943">IFERROR(INDEX('Исходник'!$1:$626,MATCH($A943,'Исходник'!$T:$T,0),MATCH(AC$1,'Исходник'!$1:$1,0)))</f>
        <v/>
      </c>
      <c r="AD943" s="27" t="str">
        <f t="shared" si="13"/>
        <v/>
      </c>
      <c r="AE943" s="1" t="str">
        <f t="array" ref="AE943">IFERROR(INDEX('Исходник'!$1:$626,MATCH($A943,'Исходник'!$T:$T,0),MATCH(AE$1,'Исходник'!$1:$1,0)))</f>
        <v/>
      </c>
      <c r="AF943" s="1" t="str">
        <f t="array" ref="AF943">IFERROR(INDEX('Исходник'!$1:$626,MATCH($A943,'Исходник'!$T:$T,0),MATCH(AF$1,'Исходник'!$1:$1,0)))</f>
        <v/>
      </c>
      <c r="AG943" s="27" t="str">
        <f t="shared" si="14"/>
        <v/>
      </c>
      <c r="AH943" s="1" t="str">
        <f t="array" ref="AH943">IFERROR(INDEX('Исходник'!$1:$626,MATCH($A943,'Исходник'!$T:$T,0),MATCH(AH$1,'Исходник'!$1:$1,0)))</f>
        <v/>
      </c>
      <c r="AI943" s="1" t="str">
        <f t="array" ref="AI943">IFERROR(INDEX('Исходник'!$1:$626,MATCH($A943,'Исходник'!$T:$T,0),MATCH(AI$1,'Исходник'!$1:$1,0)))</f>
        <v/>
      </c>
      <c r="AJ943" s="18">
        <f t="shared" si="15"/>
        <v>0</v>
      </c>
    </row>
    <row r="944" ht="15.75" customHeight="1">
      <c r="A944" s="27"/>
      <c r="B944" s="1" t="str">
        <f t="array" ref="B944">IFERROR(INDEX('Исходник'!$1:$626,MATCH($A944,'Исходник'!$T:$T,0),MATCH(B$1,'Исходник'!$1:$1,0)))</f>
        <v/>
      </c>
      <c r="C944" s="1" t="str">
        <f t="array" ref="C944">IFERROR(INDEX('Исходник'!$1:$626,MATCH($A944,'Исходник'!$T:$T,0),MATCH(C$1,'Исходник'!$1:$1,0)))</f>
        <v/>
      </c>
      <c r="D944" s="1" t="str">
        <f t="array" ref="D944">IFERROR(INDEX('Исходник'!$1:$626,MATCH($A944,'Исходник'!$T:$T,0),MATCH(D$1,'Исходник'!$1:$1,0)))</f>
        <v/>
      </c>
      <c r="E944" s="1" t="str">
        <f t="array" ref="E944">IFERROR(INDEX('Исходник'!$1:$626,MATCH($A944,'Исходник'!$T:$T,0),MATCH(E$1,'Исходник'!$1:$1,0)))</f>
        <v/>
      </c>
      <c r="F944" s="1" t="str">
        <f t="array" ref="F944">IFERROR(INDEX('Исходник'!$1:$626,MATCH($A944,'Исходник'!$T:$T,0),MATCH(F$1,'Исходник'!$1:$1,0)))</f>
        <v/>
      </c>
      <c r="G944" s="1" t="str">
        <f t="array" ref="G944">IFERROR(INDEX('Исходник'!$1:$626,MATCH($A944,'Исходник'!$T:$T,0),MATCH(G$1,'Исходник'!$1:$1,0)))</f>
        <v/>
      </c>
      <c r="H944" s="27">
        <f t="shared" si="1"/>
        <v>0</v>
      </c>
      <c r="I944" s="27" t="str">
        <f t="shared" si="2"/>
        <v/>
      </c>
      <c r="J944" s="1" t="str">
        <f t="array" ref="J944">IFERROR(INDEX('Исходник'!$1:$626,MATCH($A944,'Исходник'!$T:$T,0),MATCH(J$1,'Исходник'!$1:$1,0)))</f>
        <v/>
      </c>
      <c r="K944" s="27" t="str">
        <f t="shared" si="3"/>
        <v/>
      </c>
      <c r="L944" s="1" t="str">
        <f t="array" ref="L944">IFERROR(INDEX('Исходник'!$1:$626,MATCH($A944,'Исходник'!$T:$T,0),MATCH(L$1,'Исходник'!$1:$1,0)))</f>
        <v/>
      </c>
      <c r="M944" s="28">
        <f t="shared" si="4"/>
        <v>0</v>
      </c>
      <c r="N944" s="1" t="str">
        <f t="array" ref="N944">IFERROR(INDEX('Исходник'!$1:$626,MATCH($A944,'Исходник'!$T:$T,0),MATCH(N$1,'Исходник'!$1:$1,0)))</f>
        <v/>
      </c>
      <c r="O944" s="27">
        <f t="shared" si="5"/>
        <v>0</v>
      </c>
      <c r="P944" s="27" t="str">
        <f t="shared" si="6"/>
        <v/>
      </c>
      <c r="Q944" s="1" t="str">
        <f t="array" ref="Q944">IFERROR(INDEX('Исходник'!$1:$626,MATCH($A944,'Исходник'!$T:$T,0),MATCH(Q$1,'Исходник'!$1:$1,0)))</f>
        <v/>
      </c>
      <c r="R944" s="1" t="str">
        <f t="array" ref="R944">IFERROR(INDEX('Исходник'!$1:$626,MATCH($A944,'Исходник'!$T:$T,0),MATCH(R$1,'Исходник'!$1:$1,0)))</f>
        <v/>
      </c>
      <c r="S944" s="27">
        <f t="shared" si="7"/>
        <v>0</v>
      </c>
      <c r="T944" s="27" t="str">
        <f t="shared" si="8"/>
        <v/>
      </c>
      <c r="U944" s="1" t="str">
        <f t="array" ref="U944">IFERROR(INDEX('Исходник'!$1:$626,MATCH($A944,'Исходник'!$T:$T,0),MATCH(U$1,'Исходник'!$1:$1,0)))</f>
        <v/>
      </c>
      <c r="V944" s="27" t="str">
        <f t="shared" si="9"/>
        <v/>
      </c>
      <c r="W944" s="1" t="str">
        <f t="array" ref="W944">IFERROR(INDEX('Исходник'!$1:$626,MATCH($A944,'Исходник'!$T:$T,0),MATCH(W$1,'Исходник'!$1:$1,0)))</f>
        <v/>
      </c>
      <c r="X944" s="28">
        <f t="shared" si="10"/>
        <v>0</v>
      </c>
      <c r="Y944" s="1" t="str">
        <f t="array" ref="Y944">IFERROR(INDEX('Исходник'!$1:$626,MATCH($A944,'Исходник'!$T:$T,0),MATCH(Y$1,'Исходник'!$1:$1,0)))</f>
        <v/>
      </c>
      <c r="Z944" s="27">
        <f t="shared" si="11"/>
        <v>0</v>
      </c>
      <c r="AA944" s="27" t="str">
        <f t="shared" si="12"/>
        <v/>
      </c>
      <c r="AB944" s="1" t="str">
        <f t="array" ref="AB944">IFERROR(INDEX('Исходник'!$1:$626,MATCH($A944,'Исходник'!$T:$T,0),MATCH(AB$1,'Исходник'!$1:$1,0)))</f>
        <v/>
      </c>
      <c r="AC944" s="1" t="str">
        <f t="array" ref="AC944">IFERROR(INDEX('Исходник'!$1:$626,MATCH($A944,'Исходник'!$T:$T,0),MATCH(AC$1,'Исходник'!$1:$1,0)))</f>
        <v/>
      </c>
      <c r="AD944" s="27" t="str">
        <f t="shared" si="13"/>
        <v/>
      </c>
      <c r="AE944" s="1" t="str">
        <f t="array" ref="AE944">IFERROR(INDEX('Исходник'!$1:$626,MATCH($A944,'Исходник'!$T:$T,0),MATCH(AE$1,'Исходник'!$1:$1,0)))</f>
        <v/>
      </c>
      <c r="AF944" s="1" t="str">
        <f t="array" ref="AF944">IFERROR(INDEX('Исходник'!$1:$626,MATCH($A944,'Исходник'!$T:$T,0),MATCH(AF$1,'Исходник'!$1:$1,0)))</f>
        <v/>
      </c>
      <c r="AG944" s="27" t="str">
        <f t="shared" si="14"/>
        <v/>
      </c>
      <c r="AH944" s="1" t="str">
        <f t="array" ref="AH944">IFERROR(INDEX('Исходник'!$1:$626,MATCH($A944,'Исходник'!$T:$T,0),MATCH(AH$1,'Исходник'!$1:$1,0)))</f>
        <v/>
      </c>
      <c r="AI944" s="1" t="str">
        <f t="array" ref="AI944">IFERROR(INDEX('Исходник'!$1:$626,MATCH($A944,'Исходник'!$T:$T,0),MATCH(AI$1,'Исходник'!$1:$1,0)))</f>
        <v/>
      </c>
      <c r="AJ944" s="18">
        <f t="shared" si="15"/>
        <v>0</v>
      </c>
    </row>
    <row r="945" ht="15.75" customHeight="1">
      <c r="A945" s="27"/>
      <c r="B945" s="1" t="str">
        <f t="array" ref="B945">IFERROR(INDEX('Исходник'!$1:$626,MATCH($A945,'Исходник'!$T:$T,0),MATCH(B$1,'Исходник'!$1:$1,0)))</f>
        <v/>
      </c>
      <c r="C945" s="1" t="str">
        <f t="array" ref="C945">IFERROR(INDEX('Исходник'!$1:$626,MATCH($A945,'Исходник'!$T:$T,0),MATCH(C$1,'Исходник'!$1:$1,0)))</f>
        <v/>
      </c>
      <c r="D945" s="1" t="str">
        <f t="array" ref="D945">IFERROR(INDEX('Исходник'!$1:$626,MATCH($A945,'Исходник'!$T:$T,0),MATCH(D$1,'Исходник'!$1:$1,0)))</f>
        <v/>
      </c>
      <c r="E945" s="1" t="str">
        <f t="array" ref="E945">IFERROR(INDEX('Исходник'!$1:$626,MATCH($A945,'Исходник'!$T:$T,0),MATCH(E$1,'Исходник'!$1:$1,0)))</f>
        <v/>
      </c>
      <c r="F945" s="1" t="str">
        <f t="array" ref="F945">IFERROR(INDEX('Исходник'!$1:$626,MATCH($A945,'Исходник'!$T:$T,0),MATCH(F$1,'Исходник'!$1:$1,0)))</f>
        <v/>
      </c>
      <c r="G945" s="1" t="str">
        <f t="array" ref="G945">IFERROR(INDEX('Исходник'!$1:$626,MATCH($A945,'Исходник'!$T:$T,0),MATCH(G$1,'Исходник'!$1:$1,0)))</f>
        <v/>
      </c>
      <c r="H945" s="27">
        <f t="shared" si="1"/>
        <v>0</v>
      </c>
      <c r="I945" s="27" t="str">
        <f t="shared" si="2"/>
        <v/>
      </c>
      <c r="J945" s="1" t="str">
        <f t="array" ref="J945">IFERROR(INDEX('Исходник'!$1:$626,MATCH($A945,'Исходник'!$T:$T,0),MATCH(J$1,'Исходник'!$1:$1,0)))</f>
        <v/>
      </c>
      <c r="K945" s="27" t="str">
        <f t="shared" si="3"/>
        <v/>
      </c>
      <c r="L945" s="1" t="str">
        <f t="array" ref="L945">IFERROR(INDEX('Исходник'!$1:$626,MATCH($A945,'Исходник'!$T:$T,0),MATCH(L$1,'Исходник'!$1:$1,0)))</f>
        <v/>
      </c>
      <c r="M945" s="28">
        <f t="shared" si="4"/>
        <v>0</v>
      </c>
      <c r="N945" s="1" t="str">
        <f t="array" ref="N945">IFERROR(INDEX('Исходник'!$1:$626,MATCH($A945,'Исходник'!$T:$T,0),MATCH(N$1,'Исходник'!$1:$1,0)))</f>
        <v/>
      </c>
      <c r="O945" s="27">
        <f t="shared" si="5"/>
        <v>0</v>
      </c>
      <c r="P945" s="27" t="str">
        <f t="shared" si="6"/>
        <v/>
      </c>
      <c r="Q945" s="1" t="str">
        <f t="array" ref="Q945">IFERROR(INDEX('Исходник'!$1:$626,MATCH($A945,'Исходник'!$T:$T,0),MATCH(Q$1,'Исходник'!$1:$1,0)))</f>
        <v/>
      </c>
      <c r="R945" s="1" t="str">
        <f t="array" ref="R945">IFERROR(INDEX('Исходник'!$1:$626,MATCH($A945,'Исходник'!$T:$T,0),MATCH(R$1,'Исходник'!$1:$1,0)))</f>
        <v/>
      </c>
      <c r="S945" s="27">
        <f t="shared" si="7"/>
        <v>0</v>
      </c>
      <c r="T945" s="27" t="str">
        <f t="shared" si="8"/>
        <v/>
      </c>
      <c r="U945" s="1" t="str">
        <f t="array" ref="U945">IFERROR(INDEX('Исходник'!$1:$626,MATCH($A945,'Исходник'!$T:$T,0),MATCH(U$1,'Исходник'!$1:$1,0)))</f>
        <v/>
      </c>
      <c r="V945" s="27" t="str">
        <f t="shared" si="9"/>
        <v/>
      </c>
      <c r="W945" s="1" t="str">
        <f t="array" ref="W945">IFERROR(INDEX('Исходник'!$1:$626,MATCH($A945,'Исходник'!$T:$T,0),MATCH(W$1,'Исходник'!$1:$1,0)))</f>
        <v/>
      </c>
      <c r="X945" s="28">
        <f t="shared" si="10"/>
        <v>0</v>
      </c>
      <c r="Y945" s="1" t="str">
        <f t="array" ref="Y945">IFERROR(INDEX('Исходник'!$1:$626,MATCH($A945,'Исходник'!$T:$T,0),MATCH(Y$1,'Исходник'!$1:$1,0)))</f>
        <v/>
      </c>
      <c r="Z945" s="27">
        <f t="shared" si="11"/>
        <v>0</v>
      </c>
      <c r="AA945" s="27" t="str">
        <f t="shared" si="12"/>
        <v/>
      </c>
      <c r="AB945" s="1" t="str">
        <f t="array" ref="AB945">IFERROR(INDEX('Исходник'!$1:$626,MATCH($A945,'Исходник'!$T:$T,0),MATCH(AB$1,'Исходник'!$1:$1,0)))</f>
        <v/>
      </c>
      <c r="AC945" s="1" t="str">
        <f t="array" ref="AC945">IFERROR(INDEX('Исходник'!$1:$626,MATCH($A945,'Исходник'!$T:$T,0),MATCH(AC$1,'Исходник'!$1:$1,0)))</f>
        <v/>
      </c>
      <c r="AD945" s="27" t="str">
        <f t="shared" si="13"/>
        <v/>
      </c>
      <c r="AE945" s="1" t="str">
        <f t="array" ref="AE945">IFERROR(INDEX('Исходник'!$1:$626,MATCH($A945,'Исходник'!$T:$T,0),MATCH(AE$1,'Исходник'!$1:$1,0)))</f>
        <v/>
      </c>
      <c r="AF945" s="1" t="str">
        <f t="array" ref="AF945">IFERROR(INDEX('Исходник'!$1:$626,MATCH($A945,'Исходник'!$T:$T,0),MATCH(AF$1,'Исходник'!$1:$1,0)))</f>
        <v/>
      </c>
      <c r="AG945" s="27" t="str">
        <f t="shared" si="14"/>
        <v/>
      </c>
      <c r="AH945" s="1" t="str">
        <f t="array" ref="AH945">IFERROR(INDEX('Исходник'!$1:$626,MATCH($A945,'Исходник'!$T:$T,0),MATCH(AH$1,'Исходник'!$1:$1,0)))</f>
        <v/>
      </c>
      <c r="AI945" s="1" t="str">
        <f t="array" ref="AI945">IFERROR(INDEX('Исходник'!$1:$626,MATCH($A945,'Исходник'!$T:$T,0),MATCH(AI$1,'Исходник'!$1:$1,0)))</f>
        <v/>
      </c>
      <c r="AJ945" s="18">
        <f t="shared" si="15"/>
        <v>0</v>
      </c>
    </row>
    <row r="946" ht="15.75" customHeight="1">
      <c r="A946" s="27"/>
      <c r="B946" s="1" t="str">
        <f t="array" ref="B946">IFERROR(INDEX('Исходник'!$1:$626,MATCH($A946,'Исходник'!$T:$T,0),MATCH(B$1,'Исходник'!$1:$1,0)))</f>
        <v/>
      </c>
      <c r="C946" s="1" t="str">
        <f t="array" ref="C946">IFERROR(INDEX('Исходник'!$1:$626,MATCH($A946,'Исходник'!$T:$T,0),MATCH(C$1,'Исходник'!$1:$1,0)))</f>
        <v/>
      </c>
      <c r="D946" s="1" t="str">
        <f t="array" ref="D946">IFERROR(INDEX('Исходник'!$1:$626,MATCH($A946,'Исходник'!$T:$T,0),MATCH(D$1,'Исходник'!$1:$1,0)))</f>
        <v/>
      </c>
      <c r="E946" s="1" t="str">
        <f t="array" ref="E946">IFERROR(INDEX('Исходник'!$1:$626,MATCH($A946,'Исходник'!$T:$T,0),MATCH(E$1,'Исходник'!$1:$1,0)))</f>
        <v/>
      </c>
      <c r="F946" s="1" t="str">
        <f t="array" ref="F946">IFERROR(INDEX('Исходник'!$1:$626,MATCH($A946,'Исходник'!$T:$T,0),MATCH(F$1,'Исходник'!$1:$1,0)))</f>
        <v/>
      </c>
      <c r="G946" s="1" t="str">
        <f t="array" ref="G946">IFERROR(INDEX('Исходник'!$1:$626,MATCH($A946,'Исходник'!$T:$T,0),MATCH(G$1,'Исходник'!$1:$1,0)))</f>
        <v/>
      </c>
      <c r="H946" s="27">
        <f t="shared" si="1"/>
        <v>0</v>
      </c>
      <c r="I946" s="27" t="str">
        <f t="shared" si="2"/>
        <v/>
      </c>
      <c r="J946" s="1" t="str">
        <f t="array" ref="J946">IFERROR(INDEX('Исходник'!$1:$626,MATCH($A946,'Исходник'!$T:$T,0),MATCH(J$1,'Исходник'!$1:$1,0)))</f>
        <v/>
      </c>
      <c r="K946" s="27" t="str">
        <f t="shared" si="3"/>
        <v/>
      </c>
      <c r="L946" s="1" t="str">
        <f t="array" ref="L946">IFERROR(INDEX('Исходник'!$1:$626,MATCH($A946,'Исходник'!$T:$T,0),MATCH(L$1,'Исходник'!$1:$1,0)))</f>
        <v/>
      </c>
      <c r="M946" s="28">
        <f t="shared" si="4"/>
        <v>0</v>
      </c>
      <c r="N946" s="1" t="str">
        <f t="array" ref="N946">IFERROR(INDEX('Исходник'!$1:$626,MATCH($A946,'Исходник'!$T:$T,0),MATCH(N$1,'Исходник'!$1:$1,0)))</f>
        <v/>
      </c>
      <c r="O946" s="27">
        <f t="shared" si="5"/>
        <v>0</v>
      </c>
      <c r="P946" s="27" t="str">
        <f t="shared" si="6"/>
        <v/>
      </c>
      <c r="Q946" s="1" t="str">
        <f t="array" ref="Q946">IFERROR(INDEX('Исходник'!$1:$626,MATCH($A946,'Исходник'!$T:$T,0),MATCH(Q$1,'Исходник'!$1:$1,0)))</f>
        <v/>
      </c>
      <c r="R946" s="1" t="str">
        <f t="array" ref="R946">IFERROR(INDEX('Исходник'!$1:$626,MATCH($A946,'Исходник'!$T:$T,0),MATCH(R$1,'Исходник'!$1:$1,0)))</f>
        <v/>
      </c>
      <c r="S946" s="27">
        <f t="shared" si="7"/>
        <v>0</v>
      </c>
      <c r="T946" s="27" t="str">
        <f t="shared" si="8"/>
        <v/>
      </c>
      <c r="U946" s="1" t="str">
        <f t="array" ref="U946">IFERROR(INDEX('Исходник'!$1:$626,MATCH($A946,'Исходник'!$T:$T,0),MATCH(U$1,'Исходник'!$1:$1,0)))</f>
        <v/>
      </c>
      <c r="V946" s="27" t="str">
        <f t="shared" si="9"/>
        <v/>
      </c>
      <c r="W946" s="1" t="str">
        <f t="array" ref="W946">IFERROR(INDEX('Исходник'!$1:$626,MATCH($A946,'Исходник'!$T:$T,0),MATCH(W$1,'Исходник'!$1:$1,0)))</f>
        <v/>
      </c>
      <c r="X946" s="28">
        <f t="shared" si="10"/>
        <v>0</v>
      </c>
      <c r="Y946" s="1" t="str">
        <f t="array" ref="Y946">IFERROR(INDEX('Исходник'!$1:$626,MATCH($A946,'Исходник'!$T:$T,0),MATCH(Y$1,'Исходник'!$1:$1,0)))</f>
        <v/>
      </c>
      <c r="Z946" s="27">
        <f t="shared" si="11"/>
        <v>0</v>
      </c>
      <c r="AA946" s="27" t="str">
        <f t="shared" si="12"/>
        <v/>
      </c>
      <c r="AB946" s="1" t="str">
        <f t="array" ref="AB946">IFERROR(INDEX('Исходник'!$1:$626,MATCH($A946,'Исходник'!$T:$T,0),MATCH(AB$1,'Исходник'!$1:$1,0)))</f>
        <v/>
      </c>
      <c r="AC946" s="1" t="str">
        <f t="array" ref="AC946">IFERROR(INDEX('Исходник'!$1:$626,MATCH($A946,'Исходник'!$T:$T,0),MATCH(AC$1,'Исходник'!$1:$1,0)))</f>
        <v/>
      </c>
      <c r="AD946" s="27" t="str">
        <f t="shared" si="13"/>
        <v/>
      </c>
      <c r="AE946" s="1" t="str">
        <f t="array" ref="AE946">IFERROR(INDEX('Исходник'!$1:$626,MATCH($A946,'Исходник'!$T:$T,0),MATCH(AE$1,'Исходник'!$1:$1,0)))</f>
        <v/>
      </c>
      <c r="AF946" s="1" t="str">
        <f t="array" ref="AF946">IFERROR(INDEX('Исходник'!$1:$626,MATCH($A946,'Исходник'!$T:$T,0),MATCH(AF$1,'Исходник'!$1:$1,0)))</f>
        <v/>
      </c>
      <c r="AG946" s="27" t="str">
        <f t="shared" si="14"/>
        <v/>
      </c>
      <c r="AH946" s="1" t="str">
        <f t="array" ref="AH946">IFERROR(INDEX('Исходник'!$1:$626,MATCH($A946,'Исходник'!$T:$T,0),MATCH(AH$1,'Исходник'!$1:$1,0)))</f>
        <v/>
      </c>
      <c r="AI946" s="1" t="str">
        <f t="array" ref="AI946">IFERROR(INDEX('Исходник'!$1:$626,MATCH($A946,'Исходник'!$T:$T,0),MATCH(AI$1,'Исходник'!$1:$1,0)))</f>
        <v/>
      </c>
      <c r="AJ946" s="18">
        <f t="shared" si="15"/>
        <v>0</v>
      </c>
    </row>
    <row r="947" ht="15.75" customHeight="1">
      <c r="A947" s="27"/>
      <c r="B947" s="1" t="str">
        <f t="array" ref="B947">IFERROR(INDEX('Исходник'!$1:$626,MATCH($A947,'Исходник'!$T:$T,0),MATCH(B$1,'Исходник'!$1:$1,0)))</f>
        <v/>
      </c>
      <c r="C947" s="1" t="str">
        <f t="array" ref="C947">IFERROR(INDEX('Исходник'!$1:$626,MATCH($A947,'Исходник'!$T:$T,0),MATCH(C$1,'Исходник'!$1:$1,0)))</f>
        <v/>
      </c>
      <c r="D947" s="1" t="str">
        <f t="array" ref="D947">IFERROR(INDEX('Исходник'!$1:$626,MATCH($A947,'Исходник'!$T:$T,0),MATCH(D$1,'Исходник'!$1:$1,0)))</f>
        <v/>
      </c>
      <c r="E947" s="1" t="str">
        <f t="array" ref="E947">IFERROR(INDEX('Исходник'!$1:$626,MATCH($A947,'Исходник'!$T:$T,0),MATCH(E$1,'Исходник'!$1:$1,0)))</f>
        <v/>
      </c>
      <c r="F947" s="1" t="str">
        <f t="array" ref="F947">IFERROR(INDEX('Исходник'!$1:$626,MATCH($A947,'Исходник'!$T:$T,0),MATCH(F$1,'Исходник'!$1:$1,0)))</f>
        <v/>
      </c>
      <c r="G947" s="1" t="str">
        <f t="array" ref="G947">IFERROR(INDEX('Исходник'!$1:$626,MATCH($A947,'Исходник'!$T:$T,0),MATCH(G$1,'Исходник'!$1:$1,0)))</f>
        <v/>
      </c>
      <c r="H947" s="27">
        <f t="shared" si="1"/>
        <v>0</v>
      </c>
      <c r="I947" s="27" t="str">
        <f t="shared" si="2"/>
        <v/>
      </c>
      <c r="J947" s="1" t="str">
        <f t="array" ref="J947">IFERROR(INDEX('Исходник'!$1:$626,MATCH($A947,'Исходник'!$T:$T,0),MATCH(J$1,'Исходник'!$1:$1,0)))</f>
        <v/>
      </c>
      <c r="K947" s="27" t="str">
        <f t="shared" si="3"/>
        <v/>
      </c>
      <c r="L947" s="1" t="str">
        <f t="array" ref="L947">IFERROR(INDEX('Исходник'!$1:$626,MATCH($A947,'Исходник'!$T:$T,0),MATCH(L$1,'Исходник'!$1:$1,0)))</f>
        <v/>
      </c>
      <c r="M947" s="28">
        <f t="shared" si="4"/>
        <v>0</v>
      </c>
      <c r="N947" s="1" t="str">
        <f t="array" ref="N947">IFERROR(INDEX('Исходник'!$1:$626,MATCH($A947,'Исходник'!$T:$T,0),MATCH(N$1,'Исходник'!$1:$1,0)))</f>
        <v/>
      </c>
      <c r="O947" s="27">
        <f t="shared" si="5"/>
        <v>0</v>
      </c>
      <c r="P947" s="27" t="str">
        <f t="shared" si="6"/>
        <v/>
      </c>
      <c r="Q947" s="1" t="str">
        <f t="array" ref="Q947">IFERROR(INDEX('Исходник'!$1:$626,MATCH($A947,'Исходник'!$T:$T,0),MATCH(Q$1,'Исходник'!$1:$1,0)))</f>
        <v/>
      </c>
      <c r="R947" s="1" t="str">
        <f t="array" ref="R947">IFERROR(INDEX('Исходник'!$1:$626,MATCH($A947,'Исходник'!$T:$T,0),MATCH(R$1,'Исходник'!$1:$1,0)))</f>
        <v/>
      </c>
      <c r="S947" s="27">
        <f t="shared" si="7"/>
        <v>0</v>
      </c>
      <c r="T947" s="27" t="str">
        <f t="shared" si="8"/>
        <v/>
      </c>
      <c r="U947" s="1" t="str">
        <f t="array" ref="U947">IFERROR(INDEX('Исходник'!$1:$626,MATCH($A947,'Исходник'!$T:$T,0),MATCH(U$1,'Исходник'!$1:$1,0)))</f>
        <v/>
      </c>
      <c r="V947" s="27" t="str">
        <f t="shared" si="9"/>
        <v/>
      </c>
      <c r="W947" s="1" t="str">
        <f t="array" ref="W947">IFERROR(INDEX('Исходник'!$1:$626,MATCH($A947,'Исходник'!$T:$T,0),MATCH(W$1,'Исходник'!$1:$1,0)))</f>
        <v/>
      </c>
      <c r="X947" s="28">
        <f t="shared" si="10"/>
        <v>0</v>
      </c>
      <c r="Y947" s="1" t="str">
        <f t="array" ref="Y947">IFERROR(INDEX('Исходник'!$1:$626,MATCH($A947,'Исходник'!$T:$T,0),MATCH(Y$1,'Исходник'!$1:$1,0)))</f>
        <v/>
      </c>
      <c r="Z947" s="27">
        <f t="shared" si="11"/>
        <v>0</v>
      </c>
      <c r="AA947" s="27" t="str">
        <f t="shared" si="12"/>
        <v/>
      </c>
      <c r="AB947" s="1" t="str">
        <f t="array" ref="AB947">IFERROR(INDEX('Исходник'!$1:$626,MATCH($A947,'Исходник'!$T:$T,0),MATCH(AB$1,'Исходник'!$1:$1,0)))</f>
        <v/>
      </c>
      <c r="AC947" s="1" t="str">
        <f t="array" ref="AC947">IFERROR(INDEX('Исходник'!$1:$626,MATCH($A947,'Исходник'!$T:$T,0),MATCH(AC$1,'Исходник'!$1:$1,0)))</f>
        <v/>
      </c>
      <c r="AD947" s="27" t="str">
        <f t="shared" si="13"/>
        <v/>
      </c>
      <c r="AE947" s="1" t="str">
        <f t="array" ref="AE947">IFERROR(INDEX('Исходник'!$1:$626,MATCH($A947,'Исходник'!$T:$T,0),MATCH(AE$1,'Исходник'!$1:$1,0)))</f>
        <v/>
      </c>
      <c r="AF947" s="1" t="str">
        <f t="array" ref="AF947">IFERROR(INDEX('Исходник'!$1:$626,MATCH($A947,'Исходник'!$T:$T,0),MATCH(AF$1,'Исходник'!$1:$1,0)))</f>
        <v/>
      </c>
      <c r="AG947" s="27" t="str">
        <f t="shared" si="14"/>
        <v/>
      </c>
      <c r="AH947" s="1" t="str">
        <f t="array" ref="AH947">IFERROR(INDEX('Исходник'!$1:$626,MATCH($A947,'Исходник'!$T:$T,0),MATCH(AH$1,'Исходник'!$1:$1,0)))</f>
        <v/>
      </c>
      <c r="AI947" s="1" t="str">
        <f t="array" ref="AI947">IFERROR(INDEX('Исходник'!$1:$626,MATCH($A947,'Исходник'!$T:$T,0),MATCH(AI$1,'Исходник'!$1:$1,0)))</f>
        <v/>
      </c>
      <c r="AJ947" s="18">
        <f t="shared" si="15"/>
        <v>0</v>
      </c>
    </row>
    <row r="948" ht="15.75" customHeight="1">
      <c r="A948" s="27"/>
      <c r="B948" s="1" t="str">
        <f t="array" ref="B948">IFERROR(INDEX('Исходник'!$1:$626,MATCH($A948,'Исходник'!$T:$T,0),MATCH(B$1,'Исходник'!$1:$1,0)))</f>
        <v/>
      </c>
      <c r="C948" s="1" t="str">
        <f t="array" ref="C948">IFERROR(INDEX('Исходник'!$1:$626,MATCH($A948,'Исходник'!$T:$T,0),MATCH(C$1,'Исходник'!$1:$1,0)))</f>
        <v/>
      </c>
      <c r="D948" s="1" t="str">
        <f t="array" ref="D948">IFERROR(INDEX('Исходник'!$1:$626,MATCH($A948,'Исходник'!$T:$T,0),MATCH(D$1,'Исходник'!$1:$1,0)))</f>
        <v/>
      </c>
      <c r="E948" s="1" t="str">
        <f t="array" ref="E948">IFERROR(INDEX('Исходник'!$1:$626,MATCH($A948,'Исходник'!$T:$T,0),MATCH(E$1,'Исходник'!$1:$1,0)))</f>
        <v/>
      </c>
      <c r="F948" s="1" t="str">
        <f t="array" ref="F948">IFERROR(INDEX('Исходник'!$1:$626,MATCH($A948,'Исходник'!$T:$T,0),MATCH(F$1,'Исходник'!$1:$1,0)))</f>
        <v/>
      </c>
      <c r="G948" s="1" t="str">
        <f t="array" ref="G948">IFERROR(INDEX('Исходник'!$1:$626,MATCH($A948,'Исходник'!$T:$T,0),MATCH(G$1,'Исходник'!$1:$1,0)))</f>
        <v/>
      </c>
      <c r="H948" s="27">
        <f t="shared" si="1"/>
        <v>0</v>
      </c>
      <c r="I948" s="27" t="str">
        <f t="shared" si="2"/>
        <v/>
      </c>
      <c r="J948" s="1" t="str">
        <f t="array" ref="J948">IFERROR(INDEX('Исходник'!$1:$626,MATCH($A948,'Исходник'!$T:$T,0),MATCH(J$1,'Исходник'!$1:$1,0)))</f>
        <v/>
      </c>
      <c r="K948" s="27" t="str">
        <f t="shared" si="3"/>
        <v/>
      </c>
      <c r="L948" s="1" t="str">
        <f t="array" ref="L948">IFERROR(INDEX('Исходник'!$1:$626,MATCH($A948,'Исходник'!$T:$T,0),MATCH(L$1,'Исходник'!$1:$1,0)))</f>
        <v/>
      </c>
      <c r="M948" s="28">
        <f t="shared" si="4"/>
        <v>0</v>
      </c>
      <c r="N948" s="1" t="str">
        <f t="array" ref="N948">IFERROR(INDEX('Исходник'!$1:$626,MATCH($A948,'Исходник'!$T:$T,0),MATCH(N$1,'Исходник'!$1:$1,0)))</f>
        <v/>
      </c>
      <c r="O948" s="27">
        <f t="shared" si="5"/>
        <v>0</v>
      </c>
      <c r="P948" s="27" t="str">
        <f t="shared" si="6"/>
        <v/>
      </c>
      <c r="Q948" s="1" t="str">
        <f t="array" ref="Q948">IFERROR(INDEX('Исходник'!$1:$626,MATCH($A948,'Исходник'!$T:$T,0),MATCH(Q$1,'Исходник'!$1:$1,0)))</f>
        <v/>
      </c>
      <c r="R948" s="1" t="str">
        <f t="array" ref="R948">IFERROR(INDEX('Исходник'!$1:$626,MATCH($A948,'Исходник'!$T:$T,0),MATCH(R$1,'Исходник'!$1:$1,0)))</f>
        <v/>
      </c>
      <c r="S948" s="27">
        <f t="shared" si="7"/>
        <v>0</v>
      </c>
      <c r="T948" s="27" t="str">
        <f t="shared" si="8"/>
        <v/>
      </c>
      <c r="U948" s="1" t="str">
        <f t="array" ref="U948">IFERROR(INDEX('Исходник'!$1:$626,MATCH($A948,'Исходник'!$T:$T,0),MATCH(U$1,'Исходник'!$1:$1,0)))</f>
        <v/>
      </c>
      <c r="V948" s="27" t="str">
        <f t="shared" si="9"/>
        <v/>
      </c>
      <c r="W948" s="1" t="str">
        <f t="array" ref="W948">IFERROR(INDEX('Исходник'!$1:$626,MATCH($A948,'Исходник'!$T:$T,0),MATCH(W$1,'Исходник'!$1:$1,0)))</f>
        <v/>
      </c>
      <c r="X948" s="28">
        <f t="shared" si="10"/>
        <v>0</v>
      </c>
      <c r="Y948" s="1" t="str">
        <f t="array" ref="Y948">IFERROR(INDEX('Исходник'!$1:$626,MATCH($A948,'Исходник'!$T:$T,0),MATCH(Y$1,'Исходник'!$1:$1,0)))</f>
        <v/>
      </c>
      <c r="Z948" s="27">
        <f t="shared" si="11"/>
        <v>0</v>
      </c>
      <c r="AA948" s="27" t="str">
        <f t="shared" si="12"/>
        <v/>
      </c>
      <c r="AB948" s="1" t="str">
        <f t="array" ref="AB948">IFERROR(INDEX('Исходник'!$1:$626,MATCH($A948,'Исходник'!$T:$T,0),MATCH(AB$1,'Исходник'!$1:$1,0)))</f>
        <v/>
      </c>
      <c r="AC948" s="1" t="str">
        <f t="array" ref="AC948">IFERROR(INDEX('Исходник'!$1:$626,MATCH($A948,'Исходник'!$T:$T,0),MATCH(AC$1,'Исходник'!$1:$1,0)))</f>
        <v/>
      </c>
      <c r="AD948" s="27" t="str">
        <f t="shared" si="13"/>
        <v/>
      </c>
      <c r="AE948" s="1" t="str">
        <f t="array" ref="AE948">IFERROR(INDEX('Исходник'!$1:$626,MATCH($A948,'Исходник'!$T:$T,0),MATCH(AE$1,'Исходник'!$1:$1,0)))</f>
        <v/>
      </c>
      <c r="AF948" s="1" t="str">
        <f t="array" ref="AF948">IFERROR(INDEX('Исходник'!$1:$626,MATCH($A948,'Исходник'!$T:$T,0),MATCH(AF$1,'Исходник'!$1:$1,0)))</f>
        <v/>
      </c>
      <c r="AG948" s="27" t="str">
        <f t="shared" si="14"/>
        <v/>
      </c>
      <c r="AH948" s="1" t="str">
        <f t="array" ref="AH948">IFERROR(INDEX('Исходник'!$1:$626,MATCH($A948,'Исходник'!$T:$T,0),MATCH(AH$1,'Исходник'!$1:$1,0)))</f>
        <v/>
      </c>
      <c r="AI948" s="1" t="str">
        <f t="array" ref="AI948">IFERROR(INDEX('Исходник'!$1:$626,MATCH($A948,'Исходник'!$T:$T,0),MATCH(AI$1,'Исходник'!$1:$1,0)))</f>
        <v/>
      </c>
      <c r="AJ948" s="18">
        <f t="shared" si="15"/>
        <v>0</v>
      </c>
    </row>
    <row r="949" ht="15.75" customHeight="1">
      <c r="A949" s="27"/>
      <c r="B949" s="1" t="str">
        <f t="array" ref="B949">IFERROR(INDEX('Исходник'!$1:$626,MATCH($A949,'Исходник'!$T:$T,0),MATCH(B$1,'Исходник'!$1:$1,0)))</f>
        <v/>
      </c>
      <c r="C949" s="1" t="str">
        <f t="array" ref="C949">IFERROR(INDEX('Исходник'!$1:$626,MATCH($A949,'Исходник'!$T:$T,0),MATCH(C$1,'Исходник'!$1:$1,0)))</f>
        <v/>
      </c>
      <c r="D949" s="1" t="str">
        <f t="array" ref="D949">IFERROR(INDEX('Исходник'!$1:$626,MATCH($A949,'Исходник'!$T:$T,0),MATCH(D$1,'Исходник'!$1:$1,0)))</f>
        <v/>
      </c>
      <c r="E949" s="1" t="str">
        <f t="array" ref="E949">IFERROR(INDEX('Исходник'!$1:$626,MATCH($A949,'Исходник'!$T:$T,0),MATCH(E$1,'Исходник'!$1:$1,0)))</f>
        <v/>
      </c>
      <c r="F949" s="1" t="str">
        <f t="array" ref="F949">IFERROR(INDEX('Исходник'!$1:$626,MATCH($A949,'Исходник'!$T:$T,0),MATCH(F$1,'Исходник'!$1:$1,0)))</f>
        <v/>
      </c>
      <c r="G949" s="1" t="str">
        <f t="array" ref="G949">IFERROR(INDEX('Исходник'!$1:$626,MATCH($A949,'Исходник'!$T:$T,0),MATCH(G$1,'Исходник'!$1:$1,0)))</f>
        <v/>
      </c>
      <c r="H949" s="27">
        <f t="shared" si="1"/>
        <v>0</v>
      </c>
      <c r="I949" s="27" t="str">
        <f t="shared" si="2"/>
        <v/>
      </c>
      <c r="J949" s="1" t="str">
        <f t="array" ref="J949">IFERROR(INDEX('Исходник'!$1:$626,MATCH($A949,'Исходник'!$T:$T,0),MATCH(J$1,'Исходник'!$1:$1,0)))</f>
        <v/>
      </c>
      <c r="K949" s="27" t="str">
        <f t="shared" si="3"/>
        <v/>
      </c>
      <c r="L949" s="1" t="str">
        <f t="array" ref="L949">IFERROR(INDEX('Исходник'!$1:$626,MATCH($A949,'Исходник'!$T:$T,0),MATCH(L$1,'Исходник'!$1:$1,0)))</f>
        <v/>
      </c>
      <c r="M949" s="28">
        <f t="shared" si="4"/>
        <v>0</v>
      </c>
      <c r="N949" s="1" t="str">
        <f t="array" ref="N949">IFERROR(INDEX('Исходник'!$1:$626,MATCH($A949,'Исходник'!$T:$T,0),MATCH(N$1,'Исходник'!$1:$1,0)))</f>
        <v/>
      </c>
      <c r="O949" s="27">
        <f t="shared" si="5"/>
        <v>0</v>
      </c>
      <c r="P949" s="27" t="str">
        <f t="shared" si="6"/>
        <v/>
      </c>
      <c r="Q949" s="1" t="str">
        <f t="array" ref="Q949">IFERROR(INDEX('Исходник'!$1:$626,MATCH($A949,'Исходник'!$T:$T,0),MATCH(Q$1,'Исходник'!$1:$1,0)))</f>
        <v/>
      </c>
      <c r="R949" s="1" t="str">
        <f t="array" ref="R949">IFERROR(INDEX('Исходник'!$1:$626,MATCH($A949,'Исходник'!$T:$T,0),MATCH(R$1,'Исходник'!$1:$1,0)))</f>
        <v/>
      </c>
      <c r="S949" s="27">
        <f t="shared" si="7"/>
        <v>0</v>
      </c>
      <c r="T949" s="27" t="str">
        <f t="shared" si="8"/>
        <v/>
      </c>
      <c r="U949" s="1" t="str">
        <f t="array" ref="U949">IFERROR(INDEX('Исходник'!$1:$626,MATCH($A949,'Исходник'!$T:$T,0),MATCH(U$1,'Исходник'!$1:$1,0)))</f>
        <v/>
      </c>
      <c r="V949" s="27" t="str">
        <f t="shared" si="9"/>
        <v/>
      </c>
      <c r="W949" s="1" t="str">
        <f t="array" ref="W949">IFERROR(INDEX('Исходник'!$1:$626,MATCH($A949,'Исходник'!$T:$T,0),MATCH(W$1,'Исходник'!$1:$1,0)))</f>
        <v/>
      </c>
      <c r="X949" s="28">
        <f t="shared" si="10"/>
        <v>0</v>
      </c>
      <c r="Y949" s="1" t="str">
        <f t="array" ref="Y949">IFERROR(INDEX('Исходник'!$1:$626,MATCH($A949,'Исходник'!$T:$T,0),MATCH(Y$1,'Исходник'!$1:$1,0)))</f>
        <v/>
      </c>
      <c r="Z949" s="27">
        <f t="shared" si="11"/>
        <v>0</v>
      </c>
      <c r="AA949" s="27" t="str">
        <f t="shared" si="12"/>
        <v/>
      </c>
      <c r="AB949" s="1" t="str">
        <f t="array" ref="AB949">IFERROR(INDEX('Исходник'!$1:$626,MATCH($A949,'Исходник'!$T:$T,0),MATCH(AB$1,'Исходник'!$1:$1,0)))</f>
        <v/>
      </c>
      <c r="AC949" s="1" t="str">
        <f t="array" ref="AC949">IFERROR(INDEX('Исходник'!$1:$626,MATCH($A949,'Исходник'!$T:$T,0),MATCH(AC$1,'Исходник'!$1:$1,0)))</f>
        <v/>
      </c>
      <c r="AD949" s="27" t="str">
        <f t="shared" si="13"/>
        <v/>
      </c>
      <c r="AE949" s="1" t="str">
        <f t="array" ref="AE949">IFERROR(INDEX('Исходник'!$1:$626,MATCH($A949,'Исходник'!$T:$T,0),MATCH(AE$1,'Исходник'!$1:$1,0)))</f>
        <v/>
      </c>
      <c r="AF949" s="1" t="str">
        <f t="array" ref="AF949">IFERROR(INDEX('Исходник'!$1:$626,MATCH($A949,'Исходник'!$T:$T,0),MATCH(AF$1,'Исходник'!$1:$1,0)))</f>
        <v/>
      </c>
      <c r="AG949" s="27" t="str">
        <f t="shared" si="14"/>
        <v/>
      </c>
      <c r="AH949" s="1" t="str">
        <f t="array" ref="AH949">IFERROR(INDEX('Исходник'!$1:$626,MATCH($A949,'Исходник'!$T:$T,0),MATCH(AH$1,'Исходник'!$1:$1,0)))</f>
        <v/>
      </c>
      <c r="AI949" s="1" t="str">
        <f t="array" ref="AI949">IFERROR(INDEX('Исходник'!$1:$626,MATCH($A949,'Исходник'!$T:$T,0),MATCH(AI$1,'Исходник'!$1:$1,0)))</f>
        <v/>
      </c>
      <c r="AJ949" s="18">
        <f t="shared" si="15"/>
        <v>0</v>
      </c>
    </row>
    <row r="950" ht="15.75" customHeight="1">
      <c r="A950" s="27"/>
      <c r="B950" s="1" t="str">
        <f t="array" ref="B950">IFERROR(INDEX('Исходник'!$1:$626,MATCH($A950,'Исходник'!$T:$T,0),MATCH(B$1,'Исходник'!$1:$1,0)))</f>
        <v/>
      </c>
      <c r="C950" s="1" t="str">
        <f t="array" ref="C950">IFERROR(INDEX('Исходник'!$1:$626,MATCH($A950,'Исходник'!$T:$T,0),MATCH(C$1,'Исходник'!$1:$1,0)))</f>
        <v/>
      </c>
      <c r="D950" s="1" t="str">
        <f t="array" ref="D950">IFERROR(INDEX('Исходник'!$1:$626,MATCH($A950,'Исходник'!$T:$T,0),MATCH(D$1,'Исходник'!$1:$1,0)))</f>
        <v/>
      </c>
      <c r="E950" s="1" t="str">
        <f t="array" ref="E950">IFERROR(INDEX('Исходник'!$1:$626,MATCH($A950,'Исходник'!$T:$T,0),MATCH(E$1,'Исходник'!$1:$1,0)))</f>
        <v/>
      </c>
      <c r="F950" s="1" t="str">
        <f t="array" ref="F950">IFERROR(INDEX('Исходник'!$1:$626,MATCH($A950,'Исходник'!$T:$T,0),MATCH(F$1,'Исходник'!$1:$1,0)))</f>
        <v/>
      </c>
      <c r="G950" s="1" t="str">
        <f t="array" ref="G950">IFERROR(INDEX('Исходник'!$1:$626,MATCH($A950,'Исходник'!$T:$T,0),MATCH(G$1,'Исходник'!$1:$1,0)))</f>
        <v/>
      </c>
      <c r="H950" s="27">
        <f t="shared" si="1"/>
        <v>0</v>
      </c>
      <c r="I950" s="27" t="str">
        <f t="shared" si="2"/>
        <v/>
      </c>
      <c r="J950" s="1" t="str">
        <f t="array" ref="J950">IFERROR(INDEX('Исходник'!$1:$626,MATCH($A950,'Исходник'!$T:$T,0),MATCH(J$1,'Исходник'!$1:$1,0)))</f>
        <v/>
      </c>
      <c r="K950" s="27" t="str">
        <f t="shared" si="3"/>
        <v/>
      </c>
      <c r="L950" s="1" t="str">
        <f t="array" ref="L950">IFERROR(INDEX('Исходник'!$1:$626,MATCH($A950,'Исходник'!$T:$T,0),MATCH(L$1,'Исходник'!$1:$1,0)))</f>
        <v/>
      </c>
      <c r="M950" s="28">
        <f t="shared" si="4"/>
        <v>0</v>
      </c>
      <c r="N950" s="1" t="str">
        <f t="array" ref="N950">IFERROR(INDEX('Исходник'!$1:$626,MATCH($A950,'Исходник'!$T:$T,0),MATCH(N$1,'Исходник'!$1:$1,0)))</f>
        <v/>
      </c>
      <c r="O950" s="27">
        <f t="shared" si="5"/>
        <v>0</v>
      </c>
      <c r="P950" s="27" t="str">
        <f t="shared" si="6"/>
        <v/>
      </c>
      <c r="Q950" s="1" t="str">
        <f t="array" ref="Q950">IFERROR(INDEX('Исходник'!$1:$626,MATCH($A950,'Исходник'!$T:$T,0),MATCH(Q$1,'Исходник'!$1:$1,0)))</f>
        <v/>
      </c>
      <c r="R950" s="1" t="str">
        <f t="array" ref="R950">IFERROR(INDEX('Исходник'!$1:$626,MATCH($A950,'Исходник'!$T:$T,0),MATCH(R$1,'Исходник'!$1:$1,0)))</f>
        <v/>
      </c>
      <c r="S950" s="27">
        <f t="shared" si="7"/>
        <v>0</v>
      </c>
      <c r="T950" s="27" t="str">
        <f t="shared" si="8"/>
        <v/>
      </c>
      <c r="U950" s="1" t="str">
        <f t="array" ref="U950">IFERROR(INDEX('Исходник'!$1:$626,MATCH($A950,'Исходник'!$T:$T,0),MATCH(U$1,'Исходник'!$1:$1,0)))</f>
        <v/>
      </c>
      <c r="V950" s="27" t="str">
        <f t="shared" si="9"/>
        <v/>
      </c>
      <c r="W950" s="1" t="str">
        <f t="array" ref="W950">IFERROR(INDEX('Исходник'!$1:$626,MATCH($A950,'Исходник'!$T:$T,0),MATCH(W$1,'Исходник'!$1:$1,0)))</f>
        <v/>
      </c>
      <c r="X950" s="28">
        <f t="shared" si="10"/>
        <v>0</v>
      </c>
      <c r="Y950" s="1" t="str">
        <f t="array" ref="Y950">IFERROR(INDEX('Исходник'!$1:$626,MATCH($A950,'Исходник'!$T:$T,0),MATCH(Y$1,'Исходник'!$1:$1,0)))</f>
        <v/>
      </c>
      <c r="Z950" s="27">
        <f t="shared" si="11"/>
        <v>0</v>
      </c>
      <c r="AA950" s="27" t="str">
        <f t="shared" si="12"/>
        <v/>
      </c>
      <c r="AB950" s="1" t="str">
        <f t="array" ref="AB950">IFERROR(INDEX('Исходник'!$1:$626,MATCH($A950,'Исходник'!$T:$T,0),MATCH(AB$1,'Исходник'!$1:$1,0)))</f>
        <v/>
      </c>
      <c r="AC950" s="1" t="str">
        <f t="array" ref="AC950">IFERROR(INDEX('Исходник'!$1:$626,MATCH($A950,'Исходник'!$T:$T,0),MATCH(AC$1,'Исходник'!$1:$1,0)))</f>
        <v/>
      </c>
      <c r="AD950" s="27" t="str">
        <f t="shared" si="13"/>
        <v/>
      </c>
      <c r="AE950" s="1" t="str">
        <f t="array" ref="AE950">IFERROR(INDEX('Исходник'!$1:$626,MATCH($A950,'Исходник'!$T:$T,0),MATCH(AE$1,'Исходник'!$1:$1,0)))</f>
        <v/>
      </c>
      <c r="AF950" s="1" t="str">
        <f t="array" ref="AF950">IFERROR(INDEX('Исходник'!$1:$626,MATCH($A950,'Исходник'!$T:$T,0),MATCH(AF$1,'Исходник'!$1:$1,0)))</f>
        <v/>
      </c>
      <c r="AG950" s="27" t="str">
        <f t="shared" si="14"/>
        <v/>
      </c>
      <c r="AH950" s="1" t="str">
        <f t="array" ref="AH950">IFERROR(INDEX('Исходник'!$1:$626,MATCH($A950,'Исходник'!$T:$T,0),MATCH(AH$1,'Исходник'!$1:$1,0)))</f>
        <v/>
      </c>
      <c r="AI950" s="1" t="str">
        <f t="array" ref="AI950">IFERROR(INDEX('Исходник'!$1:$626,MATCH($A950,'Исходник'!$T:$T,0),MATCH(AI$1,'Исходник'!$1:$1,0)))</f>
        <v/>
      </c>
      <c r="AJ950" s="18">
        <f t="shared" si="15"/>
        <v>0</v>
      </c>
    </row>
    <row r="951" ht="15.75" customHeight="1">
      <c r="A951" s="27"/>
      <c r="B951" s="1" t="str">
        <f t="array" ref="B951">IFERROR(INDEX('Исходник'!$1:$626,MATCH($A951,'Исходник'!$T:$T,0),MATCH(B$1,'Исходник'!$1:$1,0)))</f>
        <v/>
      </c>
      <c r="C951" s="1" t="str">
        <f t="array" ref="C951">IFERROR(INDEX('Исходник'!$1:$626,MATCH($A951,'Исходник'!$T:$T,0),MATCH(C$1,'Исходник'!$1:$1,0)))</f>
        <v/>
      </c>
      <c r="D951" s="1" t="str">
        <f t="array" ref="D951">IFERROR(INDEX('Исходник'!$1:$626,MATCH($A951,'Исходник'!$T:$T,0),MATCH(D$1,'Исходник'!$1:$1,0)))</f>
        <v/>
      </c>
      <c r="E951" s="1" t="str">
        <f t="array" ref="E951">IFERROR(INDEX('Исходник'!$1:$626,MATCH($A951,'Исходник'!$T:$T,0),MATCH(E$1,'Исходник'!$1:$1,0)))</f>
        <v/>
      </c>
      <c r="F951" s="1" t="str">
        <f t="array" ref="F951">IFERROR(INDEX('Исходник'!$1:$626,MATCH($A951,'Исходник'!$T:$T,0),MATCH(F$1,'Исходник'!$1:$1,0)))</f>
        <v/>
      </c>
      <c r="G951" s="1" t="str">
        <f t="array" ref="G951">IFERROR(INDEX('Исходник'!$1:$626,MATCH($A951,'Исходник'!$T:$T,0),MATCH(G$1,'Исходник'!$1:$1,0)))</f>
        <v/>
      </c>
      <c r="H951" s="27">
        <f t="shared" si="1"/>
        <v>0</v>
      </c>
      <c r="I951" s="27" t="str">
        <f t="shared" si="2"/>
        <v/>
      </c>
      <c r="J951" s="1" t="str">
        <f t="array" ref="J951">IFERROR(INDEX('Исходник'!$1:$626,MATCH($A951,'Исходник'!$T:$T,0),MATCH(J$1,'Исходник'!$1:$1,0)))</f>
        <v/>
      </c>
      <c r="K951" s="27" t="str">
        <f t="shared" si="3"/>
        <v/>
      </c>
      <c r="L951" s="1" t="str">
        <f t="array" ref="L951">IFERROR(INDEX('Исходник'!$1:$626,MATCH($A951,'Исходник'!$T:$T,0),MATCH(L$1,'Исходник'!$1:$1,0)))</f>
        <v/>
      </c>
      <c r="M951" s="28">
        <f t="shared" si="4"/>
        <v>0</v>
      </c>
      <c r="N951" s="1" t="str">
        <f t="array" ref="N951">IFERROR(INDEX('Исходник'!$1:$626,MATCH($A951,'Исходник'!$T:$T,0),MATCH(N$1,'Исходник'!$1:$1,0)))</f>
        <v/>
      </c>
      <c r="O951" s="27">
        <f t="shared" si="5"/>
        <v>0</v>
      </c>
      <c r="P951" s="27" t="str">
        <f t="shared" si="6"/>
        <v/>
      </c>
      <c r="Q951" s="1" t="str">
        <f t="array" ref="Q951">IFERROR(INDEX('Исходник'!$1:$626,MATCH($A951,'Исходник'!$T:$T,0),MATCH(Q$1,'Исходник'!$1:$1,0)))</f>
        <v/>
      </c>
      <c r="R951" s="1" t="str">
        <f t="array" ref="R951">IFERROR(INDEX('Исходник'!$1:$626,MATCH($A951,'Исходник'!$T:$T,0),MATCH(R$1,'Исходник'!$1:$1,0)))</f>
        <v/>
      </c>
      <c r="S951" s="27">
        <f t="shared" si="7"/>
        <v>0</v>
      </c>
      <c r="T951" s="27" t="str">
        <f t="shared" si="8"/>
        <v/>
      </c>
      <c r="U951" s="1" t="str">
        <f t="array" ref="U951">IFERROR(INDEX('Исходник'!$1:$626,MATCH($A951,'Исходник'!$T:$T,0),MATCH(U$1,'Исходник'!$1:$1,0)))</f>
        <v/>
      </c>
      <c r="V951" s="27" t="str">
        <f t="shared" si="9"/>
        <v/>
      </c>
      <c r="W951" s="1" t="str">
        <f t="array" ref="W951">IFERROR(INDEX('Исходник'!$1:$626,MATCH($A951,'Исходник'!$T:$T,0),MATCH(W$1,'Исходник'!$1:$1,0)))</f>
        <v/>
      </c>
      <c r="X951" s="28">
        <f t="shared" si="10"/>
        <v>0</v>
      </c>
      <c r="Y951" s="1" t="str">
        <f t="array" ref="Y951">IFERROR(INDEX('Исходник'!$1:$626,MATCH($A951,'Исходник'!$T:$T,0),MATCH(Y$1,'Исходник'!$1:$1,0)))</f>
        <v/>
      </c>
      <c r="Z951" s="27">
        <f t="shared" si="11"/>
        <v>0</v>
      </c>
      <c r="AA951" s="27" t="str">
        <f t="shared" si="12"/>
        <v/>
      </c>
      <c r="AB951" s="1" t="str">
        <f t="array" ref="AB951">IFERROR(INDEX('Исходник'!$1:$626,MATCH($A951,'Исходник'!$T:$T,0),MATCH(AB$1,'Исходник'!$1:$1,0)))</f>
        <v/>
      </c>
      <c r="AC951" s="1" t="str">
        <f t="array" ref="AC951">IFERROR(INDEX('Исходник'!$1:$626,MATCH($A951,'Исходник'!$T:$T,0),MATCH(AC$1,'Исходник'!$1:$1,0)))</f>
        <v/>
      </c>
      <c r="AD951" s="27" t="str">
        <f t="shared" si="13"/>
        <v/>
      </c>
      <c r="AE951" s="1" t="str">
        <f t="array" ref="AE951">IFERROR(INDEX('Исходник'!$1:$626,MATCH($A951,'Исходник'!$T:$T,0),MATCH(AE$1,'Исходник'!$1:$1,0)))</f>
        <v/>
      </c>
      <c r="AF951" s="1" t="str">
        <f t="array" ref="AF951">IFERROR(INDEX('Исходник'!$1:$626,MATCH($A951,'Исходник'!$T:$T,0),MATCH(AF$1,'Исходник'!$1:$1,0)))</f>
        <v/>
      </c>
      <c r="AG951" s="27" t="str">
        <f t="shared" si="14"/>
        <v/>
      </c>
      <c r="AH951" s="1" t="str">
        <f t="array" ref="AH951">IFERROR(INDEX('Исходник'!$1:$626,MATCH($A951,'Исходник'!$T:$T,0),MATCH(AH$1,'Исходник'!$1:$1,0)))</f>
        <v/>
      </c>
      <c r="AI951" s="1" t="str">
        <f t="array" ref="AI951">IFERROR(INDEX('Исходник'!$1:$626,MATCH($A951,'Исходник'!$T:$T,0),MATCH(AI$1,'Исходник'!$1:$1,0)))</f>
        <v/>
      </c>
      <c r="AJ951" s="18">
        <f t="shared" si="15"/>
        <v>0</v>
      </c>
    </row>
    <row r="952" ht="15.75" customHeight="1">
      <c r="A952" s="27"/>
      <c r="B952" s="1" t="str">
        <f t="array" ref="B952">IFERROR(INDEX('Исходник'!$1:$626,MATCH($A952,'Исходник'!$T:$T,0),MATCH(B$1,'Исходник'!$1:$1,0)))</f>
        <v/>
      </c>
      <c r="C952" s="1" t="str">
        <f t="array" ref="C952">IFERROR(INDEX('Исходник'!$1:$626,MATCH($A952,'Исходник'!$T:$T,0),MATCH(C$1,'Исходник'!$1:$1,0)))</f>
        <v/>
      </c>
      <c r="D952" s="1" t="str">
        <f t="array" ref="D952">IFERROR(INDEX('Исходник'!$1:$626,MATCH($A952,'Исходник'!$T:$T,0),MATCH(D$1,'Исходник'!$1:$1,0)))</f>
        <v/>
      </c>
      <c r="E952" s="1" t="str">
        <f t="array" ref="E952">IFERROR(INDEX('Исходник'!$1:$626,MATCH($A952,'Исходник'!$T:$T,0),MATCH(E$1,'Исходник'!$1:$1,0)))</f>
        <v/>
      </c>
      <c r="F952" s="1" t="str">
        <f t="array" ref="F952">IFERROR(INDEX('Исходник'!$1:$626,MATCH($A952,'Исходник'!$T:$T,0),MATCH(F$1,'Исходник'!$1:$1,0)))</f>
        <v/>
      </c>
      <c r="G952" s="1" t="str">
        <f t="array" ref="G952">IFERROR(INDEX('Исходник'!$1:$626,MATCH($A952,'Исходник'!$T:$T,0),MATCH(G$1,'Исходник'!$1:$1,0)))</f>
        <v/>
      </c>
      <c r="H952" s="27">
        <f t="shared" si="1"/>
        <v>0</v>
      </c>
      <c r="I952" s="27" t="str">
        <f t="shared" si="2"/>
        <v/>
      </c>
      <c r="J952" s="1" t="str">
        <f t="array" ref="J952">IFERROR(INDEX('Исходник'!$1:$626,MATCH($A952,'Исходник'!$T:$T,0),MATCH(J$1,'Исходник'!$1:$1,0)))</f>
        <v/>
      </c>
      <c r="K952" s="27" t="str">
        <f t="shared" si="3"/>
        <v/>
      </c>
      <c r="L952" s="1" t="str">
        <f t="array" ref="L952">IFERROR(INDEX('Исходник'!$1:$626,MATCH($A952,'Исходник'!$T:$T,0),MATCH(L$1,'Исходник'!$1:$1,0)))</f>
        <v/>
      </c>
      <c r="M952" s="28">
        <f t="shared" si="4"/>
        <v>0</v>
      </c>
      <c r="N952" s="1" t="str">
        <f t="array" ref="N952">IFERROR(INDEX('Исходник'!$1:$626,MATCH($A952,'Исходник'!$T:$T,0),MATCH(N$1,'Исходник'!$1:$1,0)))</f>
        <v/>
      </c>
      <c r="O952" s="27">
        <f t="shared" si="5"/>
        <v>0</v>
      </c>
      <c r="P952" s="27" t="str">
        <f t="shared" si="6"/>
        <v/>
      </c>
      <c r="Q952" s="1" t="str">
        <f t="array" ref="Q952">IFERROR(INDEX('Исходник'!$1:$626,MATCH($A952,'Исходник'!$T:$T,0),MATCH(Q$1,'Исходник'!$1:$1,0)))</f>
        <v/>
      </c>
      <c r="R952" s="1" t="str">
        <f t="array" ref="R952">IFERROR(INDEX('Исходник'!$1:$626,MATCH($A952,'Исходник'!$T:$T,0),MATCH(R$1,'Исходник'!$1:$1,0)))</f>
        <v/>
      </c>
      <c r="S952" s="27">
        <f t="shared" si="7"/>
        <v>0</v>
      </c>
      <c r="T952" s="27" t="str">
        <f t="shared" si="8"/>
        <v/>
      </c>
      <c r="U952" s="1" t="str">
        <f t="array" ref="U952">IFERROR(INDEX('Исходник'!$1:$626,MATCH($A952,'Исходник'!$T:$T,0),MATCH(U$1,'Исходник'!$1:$1,0)))</f>
        <v/>
      </c>
      <c r="V952" s="27" t="str">
        <f t="shared" si="9"/>
        <v/>
      </c>
      <c r="W952" s="1" t="str">
        <f t="array" ref="W952">IFERROR(INDEX('Исходник'!$1:$626,MATCH($A952,'Исходник'!$T:$T,0),MATCH(W$1,'Исходник'!$1:$1,0)))</f>
        <v/>
      </c>
      <c r="X952" s="28">
        <f t="shared" si="10"/>
        <v>0</v>
      </c>
      <c r="Y952" s="1" t="str">
        <f t="array" ref="Y952">IFERROR(INDEX('Исходник'!$1:$626,MATCH($A952,'Исходник'!$T:$T,0),MATCH(Y$1,'Исходник'!$1:$1,0)))</f>
        <v/>
      </c>
      <c r="Z952" s="27">
        <f t="shared" si="11"/>
        <v>0</v>
      </c>
      <c r="AA952" s="27" t="str">
        <f t="shared" si="12"/>
        <v/>
      </c>
      <c r="AB952" s="1" t="str">
        <f t="array" ref="AB952">IFERROR(INDEX('Исходник'!$1:$626,MATCH($A952,'Исходник'!$T:$T,0),MATCH(AB$1,'Исходник'!$1:$1,0)))</f>
        <v/>
      </c>
      <c r="AC952" s="1" t="str">
        <f t="array" ref="AC952">IFERROR(INDEX('Исходник'!$1:$626,MATCH($A952,'Исходник'!$T:$T,0),MATCH(AC$1,'Исходник'!$1:$1,0)))</f>
        <v/>
      </c>
      <c r="AD952" s="27" t="str">
        <f t="shared" si="13"/>
        <v/>
      </c>
      <c r="AE952" s="1" t="str">
        <f t="array" ref="AE952">IFERROR(INDEX('Исходник'!$1:$626,MATCH($A952,'Исходник'!$T:$T,0),MATCH(AE$1,'Исходник'!$1:$1,0)))</f>
        <v/>
      </c>
      <c r="AF952" s="1" t="str">
        <f t="array" ref="AF952">IFERROR(INDEX('Исходник'!$1:$626,MATCH($A952,'Исходник'!$T:$T,0),MATCH(AF$1,'Исходник'!$1:$1,0)))</f>
        <v/>
      </c>
      <c r="AG952" s="27" t="str">
        <f t="shared" si="14"/>
        <v/>
      </c>
      <c r="AH952" s="1" t="str">
        <f t="array" ref="AH952">IFERROR(INDEX('Исходник'!$1:$626,MATCH($A952,'Исходник'!$T:$T,0),MATCH(AH$1,'Исходник'!$1:$1,0)))</f>
        <v/>
      </c>
      <c r="AI952" s="1" t="str">
        <f t="array" ref="AI952">IFERROR(INDEX('Исходник'!$1:$626,MATCH($A952,'Исходник'!$T:$T,0),MATCH(AI$1,'Исходник'!$1:$1,0)))</f>
        <v/>
      </c>
      <c r="AJ952" s="18">
        <f t="shared" si="15"/>
        <v>0</v>
      </c>
    </row>
    <row r="953" ht="15.75" customHeight="1">
      <c r="A953" s="27"/>
      <c r="B953" s="1" t="str">
        <f t="array" ref="B953">IFERROR(INDEX('Исходник'!$1:$626,MATCH($A953,'Исходник'!$T:$T,0),MATCH(B$1,'Исходник'!$1:$1,0)))</f>
        <v/>
      </c>
      <c r="C953" s="1" t="str">
        <f t="array" ref="C953">IFERROR(INDEX('Исходник'!$1:$626,MATCH($A953,'Исходник'!$T:$T,0),MATCH(C$1,'Исходник'!$1:$1,0)))</f>
        <v/>
      </c>
      <c r="D953" s="1" t="str">
        <f t="array" ref="D953">IFERROR(INDEX('Исходник'!$1:$626,MATCH($A953,'Исходник'!$T:$T,0),MATCH(D$1,'Исходник'!$1:$1,0)))</f>
        <v/>
      </c>
      <c r="E953" s="1" t="str">
        <f t="array" ref="E953">IFERROR(INDEX('Исходник'!$1:$626,MATCH($A953,'Исходник'!$T:$T,0),MATCH(E$1,'Исходник'!$1:$1,0)))</f>
        <v/>
      </c>
      <c r="F953" s="1" t="str">
        <f t="array" ref="F953">IFERROR(INDEX('Исходник'!$1:$626,MATCH($A953,'Исходник'!$T:$T,0),MATCH(F$1,'Исходник'!$1:$1,0)))</f>
        <v/>
      </c>
      <c r="G953" s="1" t="str">
        <f t="array" ref="G953">IFERROR(INDEX('Исходник'!$1:$626,MATCH($A953,'Исходник'!$T:$T,0),MATCH(G$1,'Исходник'!$1:$1,0)))</f>
        <v/>
      </c>
      <c r="H953" s="27">
        <f t="shared" si="1"/>
        <v>0</v>
      </c>
      <c r="I953" s="27" t="str">
        <f t="shared" si="2"/>
        <v/>
      </c>
      <c r="J953" s="1" t="str">
        <f t="array" ref="J953">IFERROR(INDEX('Исходник'!$1:$626,MATCH($A953,'Исходник'!$T:$T,0),MATCH(J$1,'Исходник'!$1:$1,0)))</f>
        <v/>
      </c>
      <c r="K953" s="27" t="str">
        <f t="shared" si="3"/>
        <v/>
      </c>
      <c r="L953" s="1" t="str">
        <f t="array" ref="L953">IFERROR(INDEX('Исходник'!$1:$626,MATCH($A953,'Исходник'!$T:$T,0),MATCH(L$1,'Исходник'!$1:$1,0)))</f>
        <v/>
      </c>
      <c r="M953" s="28">
        <f t="shared" si="4"/>
        <v>0</v>
      </c>
      <c r="N953" s="1" t="str">
        <f t="array" ref="N953">IFERROR(INDEX('Исходник'!$1:$626,MATCH($A953,'Исходник'!$T:$T,0),MATCH(N$1,'Исходник'!$1:$1,0)))</f>
        <v/>
      </c>
      <c r="O953" s="27">
        <f t="shared" si="5"/>
        <v>0</v>
      </c>
      <c r="P953" s="27" t="str">
        <f t="shared" si="6"/>
        <v/>
      </c>
      <c r="Q953" s="1" t="str">
        <f t="array" ref="Q953">IFERROR(INDEX('Исходник'!$1:$626,MATCH($A953,'Исходник'!$T:$T,0),MATCH(Q$1,'Исходник'!$1:$1,0)))</f>
        <v/>
      </c>
      <c r="R953" s="1" t="str">
        <f t="array" ref="R953">IFERROR(INDEX('Исходник'!$1:$626,MATCH($A953,'Исходник'!$T:$T,0),MATCH(R$1,'Исходник'!$1:$1,0)))</f>
        <v/>
      </c>
      <c r="S953" s="27">
        <f t="shared" si="7"/>
        <v>0</v>
      </c>
      <c r="T953" s="27" t="str">
        <f t="shared" si="8"/>
        <v/>
      </c>
      <c r="U953" s="1" t="str">
        <f t="array" ref="U953">IFERROR(INDEX('Исходник'!$1:$626,MATCH($A953,'Исходник'!$T:$T,0),MATCH(U$1,'Исходник'!$1:$1,0)))</f>
        <v/>
      </c>
      <c r="V953" s="27" t="str">
        <f t="shared" si="9"/>
        <v/>
      </c>
      <c r="W953" s="1" t="str">
        <f t="array" ref="W953">IFERROR(INDEX('Исходник'!$1:$626,MATCH($A953,'Исходник'!$T:$T,0),MATCH(W$1,'Исходник'!$1:$1,0)))</f>
        <v/>
      </c>
      <c r="X953" s="28">
        <f t="shared" si="10"/>
        <v>0</v>
      </c>
      <c r="Y953" s="1" t="str">
        <f t="array" ref="Y953">IFERROR(INDEX('Исходник'!$1:$626,MATCH($A953,'Исходник'!$T:$T,0),MATCH(Y$1,'Исходник'!$1:$1,0)))</f>
        <v/>
      </c>
      <c r="Z953" s="27">
        <f t="shared" si="11"/>
        <v>0</v>
      </c>
      <c r="AA953" s="27" t="str">
        <f t="shared" si="12"/>
        <v/>
      </c>
      <c r="AB953" s="1" t="str">
        <f t="array" ref="AB953">IFERROR(INDEX('Исходник'!$1:$626,MATCH($A953,'Исходник'!$T:$T,0),MATCH(AB$1,'Исходник'!$1:$1,0)))</f>
        <v/>
      </c>
      <c r="AC953" s="1" t="str">
        <f t="array" ref="AC953">IFERROR(INDEX('Исходник'!$1:$626,MATCH($A953,'Исходник'!$T:$T,0),MATCH(AC$1,'Исходник'!$1:$1,0)))</f>
        <v/>
      </c>
      <c r="AD953" s="27" t="str">
        <f t="shared" si="13"/>
        <v/>
      </c>
      <c r="AE953" s="1" t="str">
        <f t="array" ref="AE953">IFERROR(INDEX('Исходник'!$1:$626,MATCH($A953,'Исходник'!$T:$T,0),MATCH(AE$1,'Исходник'!$1:$1,0)))</f>
        <v/>
      </c>
      <c r="AF953" s="1" t="str">
        <f t="array" ref="AF953">IFERROR(INDEX('Исходник'!$1:$626,MATCH($A953,'Исходник'!$T:$T,0),MATCH(AF$1,'Исходник'!$1:$1,0)))</f>
        <v/>
      </c>
      <c r="AG953" s="27" t="str">
        <f t="shared" si="14"/>
        <v/>
      </c>
      <c r="AH953" s="1" t="str">
        <f t="array" ref="AH953">IFERROR(INDEX('Исходник'!$1:$626,MATCH($A953,'Исходник'!$T:$T,0),MATCH(AH$1,'Исходник'!$1:$1,0)))</f>
        <v/>
      </c>
      <c r="AI953" s="1" t="str">
        <f t="array" ref="AI953">IFERROR(INDEX('Исходник'!$1:$626,MATCH($A953,'Исходник'!$T:$T,0),MATCH(AI$1,'Исходник'!$1:$1,0)))</f>
        <v/>
      </c>
      <c r="AJ953" s="18">
        <f t="shared" si="15"/>
        <v>0</v>
      </c>
    </row>
    <row r="954" ht="15.75" customHeight="1">
      <c r="A954" s="27"/>
      <c r="B954" s="1" t="str">
        <f t="array" ref="B954">IFERROR(INDEX('Исходник'!$1:$626,MATCH($A954,'Исходник'!$T:$T,0),MATCH(B$1,'Исходник'!$1:$1,0)))</f>
        <v/>
      </c>
      <c r="C954" s="1" t="str">
        <f t="array" ref="C954">IFERROR(INDEX('Исходник'!$1:$626,MATCH($A954,'Исходник'!$T:$T,0),MATCH(C$1,'Исходник'!$1:$1,0)))</f>
        <v/>
      </c>
      <c r="D954" s="1" t="str">
        <f t="array" ref="D954">IFERROR(INDEX('Исходник'!$1:$626,MATCH($A954,'Исходник'!$T:$T,0),MATCH(D$1,'Исходник'!$1:$1,0)))</f>
        <v/>
      </c>
      <c r="E954" s="1" t="str">
        <f t="array" ref="E954">IFERROR(INDEX('Исходник'!$1:$626,MATCH($A954,'Исходник'!$T:$T,0),MATCH(E$1,'Исходник'!$1:$1,0)))</f>
        <v/>
      </c>
      <c r="F954" s="1" t="str">
        <f t="array" ref="F954">IFERROR(INDEX('Исходник'!$1:$626,MATCH($A954,'Исходник'!$T:$T,0),MATCH(F$1,'Исходник'!$1:$1,0)))</f>
        <v/>
      </c>
      <c r="G954" s="1" t="str">
        <f t="array" ref="G954">IFERROR(INDEX('Исходник'!$1:$626,MATCH($A954,'Исходник'!$T:$T,0),MATCH(G$1,'Исходник'!$1:$1,0)))</f>
        <v/>
      </c>
      <c r="H954" s="27">
        <f t="shared" si="1"/>
        <v>0</v>
      </c>
      <c r="I954" s="27" t="str">
        <f t="shared" si="2"/>
        <v/>
      </c>
      <c r="J954" s="1" t="str">
        <f t="array" ref="J954">IFERROR(INDEX('Исходник'!$1:$626,MATCH($A954,'Исходник'!$T:$T,0),MATCH(J$1,'Исходник'!$1:$1,0)))</f>
        <v/>
      </c>
      <c r="K954" s="27" t="str">
        <f t="shared" si="3"/>
        <v/>
      </c>
      <c r="L954" s="1" t="str">
        <f t="array" ref="L954">IFERROR(INDEX('Исходник'!$1:$626,MATCH($A954,'Исходник'!$T:$T,0),MATCH(L$1,'Исходник'!$1:$1,0)))</f>
        <v/>
      </c>
      <c r="M954" s="28">
        <f t="shared" si="4"/>
        <v>0</v>
      </c>
      <c r="N954" s="1" t="str">
        <f t="array" ref="N954">IFERROR(INDEX('Исходник'!$1:$626,MATCH($A954,'Исходник'!$T:$T,0),MATCH(N$1,'Исходник'!$1:$1,0)))</f>
        <v/>
      </c>
      <c r="O954" s="27">
        <f t="shared" si="5"/>
        <v>0</v>
      </c>
      <c r="P954" s="27" t="str">
        <f t="shared" si="6"/>
        <v/>
      </c>
      <c r="Q954" s="1" t="str">
        <f t="array" ref="Q954">IFERROR(INDEX('Исходник'!$1:$626,MATCH($A954,'Исходник'!$T:$T,0),MATCH(Q$1,'Исходник'!$1:$1,0)))</f>
        <v/>
      </c>
      <c r="R954" s="1" t="str">
        <f t="array" ref="R954">IFERROR(INDEX('Исходник'!$1:$626,MATCH($A954,'Исходник'!$T:$T,0),MATCH(R$1,'Исходник'!$1:$1,0)))</f>
        <v/>
      </c>
      <c r="S954" s="27">
        <f t="shared" si="7"/>
        <v>0</v>
      </c>
      <c r="T954" s="27" t="str">
        <f t="shared" si="8"/>
        <v/>
      </c>
      <c r="U954" s="1" t="str">
        <f t="array" ref="U954">IFERROR(INDEX('Исходник'!$1:$626,MATCH($A954,'Исходник'!$T:$T,0),MATCH(U$1,'Исходник'!$1:$1,0)))</f>
        <v/>
      </c>
      <c r="V954" s="27" t="str">
        <f t="shared" si="9"/>
        <v/>
      </c>
      <c r="W954" s="1" t="str">
        <f t="array" ref="W954">IFERROR(INDEX('Исходник'!$1:$626,MATCH($A954,'Исходник'!$T:$T,0),MATCH(W$1,'Исходник'!$1:$1,0)))</f>
        <v/>
      </c>
      <c r="X954" s="28">
        <f t="shared" si="10"/>
        <v>0</v>
      </c>
      <c r="Y954" s="1" t="str">
        <f t="array" ref="Y954">IFERROR(INDEX('Исходник'!$1:$626,MATCH($A954,'Исходник'!$T:$T,0),MATCH(Y$1,'Исходник'!$1:$1,0)))</f>
        <v/>
      </c>
      <c r="Z954" s="27">
        <f t="shared" si="11"/>
        <v>0</v>
      </c>
      <c r="AA954" s="27" t="str">
        <f t="shared" si="12"/>
        <v/>
      </c>
      <c r="AB954" s="1" t="str">
        <f t="array" ref="AB954">IFERROR(INDEX('Исходник'!$1:$626,MATCH($A954,'Исходник'!$T:$T,0),MATCH(AB$1,'Исходник'!$1:$1,0)))</f>
        <v/>
      </c>
      <c r="AC954" s="1" t="str">
        <f t="array" ref="AC954">IFERROR(INDEX('Исходник'!$1:$626,MATCH($A954,'Исходник'!$T:$T,0),MATCH(AC$1,'Исходник'!$1:$1,0)))</f>
        <v/>
      </c>
      <c r="AD954" s="27" t="str">
        <f t="shared" si="13"/>
        <v/>
      </c>
      <c r="AE954" s="1" t="str">
        <f t="array" ref="AE954">IFERROR(INDEX('Исходник'!$1:$626,MATCH($A954,'Исходник'!$T:$T,0),MATCH(AE$1,'Исходник'!$1:$1,0)))</f>
        <v/>
      </c>
      <c r="AF954" s="1" t="str">
        <f t="array" ref="AF954">IFERROR(INDEX('Исходник'!$1:$626,MATCH($A954,'Исходник'!$T:$T,0),MATCH(AF$1,'Исходник'!$1:$1,0)))</f>
        <v/>
      </c>
      <c r="AG954" s="27" t="str">
        <f t="shared" si="14"/>
        <v/>
      </c>
      <c r="AH954" s="1" t="str">
        <f t="array" ref="AH954">IFERROR(INDEX('Исходник'!$1:$626,MATCH($A954,'Исходник'!$T:$T,0),MATCH(AH$1,'Исходник'!$1:$1,0)))</f>
        <v/>
      </c>
      <c r="AI954" s="1" t="str">
        <f t="array" ref="AI954">IFERROR(INDEX('Исходник'!$1:$626,MATCH($A954,'Исходник'!$T:$T,0),MATCH(AI$1,'Исходник'!$1:$1,0)))</f>
        <v/>
      </c>
      <c r="AJ954" s="18">
        <f t="shared" si="15"/>
        <v>0</v>
      </c>
    </row>
    <row r="955" ht="15.75" customHeight="1">
      <c r="A955" s="27"/>
      <c r="B955" s="1" t="str">
        <f t="array" ref="B955">IFERROR(INDEX('Исходник'!$1:$626,MATCH($A955,'Исходник'!$T:$T,0),MATCH(B$1,'Исходник'!$1:$1,0)))</f>
        <v/>
      </c>
      <c r="C955" s="1" t="str">
        <f t="array" ref="C955">IFERROR(INDEX('Исходник'!$1:$626,MATCH($A955,'Исходник'!$T:$T,0),MATCH(C$1,'Исходник'!$1:$1,0)))</f>
        <v/>
      </c>
      <c r="D955" s="1" t="str">
        <f t="array" ref="D955">IFERROR(INDEX('Исходник'!$1:$626,MATCH($A955,'Исходник'!$T:$T,0),MATCH(D$1,'Исходник'!$1:$1,0)))</f>
        <v/>
      </c>
      <c r="E955" s="1" t="str">
        <f t="array" ref="E955">IFERROR(INDEX('Исходник'!$1:$626,MATCH($A955,'Исходник'!$T:$T,0),MATCH(E$1,'Исходник'!$1:$1,0)))</f>
        <v/>
      </c>
      <c r="F955" s="1" t="str">
        <f t="array" ref="F955">IFERROR(INDEX('Исходник'!$1:$626,MATCH($A955,'Исходник'!$T:$T,0),MATCH(F$1,'Исходник'!$1:$1,0)))</f>
        <v/>
      </c>
      <c r="G955" s="1" t="str">
        <f t="array" ref="G955">IFERROR(INDEX('Исходник'!$1:$626,MATCH($A955,'Исходник'!$T:$T,0),MATCH(G$1,'Исходник'!$1:$1,0)))</f>
        <v/>
      </c>
      <c r="H955" s="27">
        <f t="shared" si="1"/>
        <v>0</v>
      </c>
      <c r="I955" s="27" t="str">
        <f t="shared" si="2"/>
        <v/>
      </c>
      <c r="J955" s="1" t="str">
        <f t="array" ref="J955">IFERROR(INDEX('Исходник'!$1:$626,MATCH($A955,'Исходник'!$T:$T,0),MATCH(J$1,'Исходник'!$1:$1,0)))</f>
        <v/>
      </c>
      <c r="K955" s="27" t="str">
        <f t="shared" si="3"/>
        <v/>
      </c>
      <c r="L955" s="1" t="str">
        <f t="array" ref="L955">IFERROR(INDEX('Исходник'!$1:$626,MATCH($A955,'Исходник'!$T:$T,0),MATCH(L$1,'Исходник'!$1:$1,0)))</f>
        <v/>
      </c>
      <c r="M955" s="28">
        <f t="shared" si="4"/>
        <v>0</v>
      </c>
      <c r="N955" s="1" t="str">
        <f t="array" ref="N955">IFERROR(INDEX('Исходник'!$1:$626,MATCH($A955,'Исходник'!$T:$T,0),MATCH(N$1,'Исходник'!$1:$1,0)))</f>
        <v/>
      </c>
      <c r="O955" s="27">
        <f t="shared" si="5"/>
        <v>0</v>
      </c>
      <c r="P955" s="27" t="str">
        <f t="shared" si="6"/>
        <v/>
      </c>
      <c r="Q955" s="1" t="str">
        <f t="array" ref="Q955">IFERROR(INDEX('Исходник'!$1:$626,MATCH($A955,'Исходник'!$T:$T,0),MATCH(Q$1,'Исходник'!$1:$1,0)))</f>
        <v/>
      </c>
      <c r="R955" s="1" t="str">
        <f t="array" ref="R955">IFERROR(INDEX('Исходник'!$1:$626,MATCH($A955,'Исходник'!$T:$T,0),MATCH(R$1,'Исходник'!$1:$1,0)))</f>
        <v/>
      </c>
      <c r="S955" s="27">
        <f t="shared" si="7"/>
        <v>0</v>
      </c>
      <c r="T955" s="27" t="str">
        <f t="shared" si="8"/>
        <v/>
      </c>
      <c r="U955" s="1" t="str">
        <f t="array" ref="U955">IFERROR(INDEX('Исходник'!$1:$626,MATCH($A955,'Исходник'!$T:$T,0),MATCH(U$1,'Исходник'!$1:$1,0)))</f>
        <v/>
      </c>
      <c r="V955" s="27" t="str">
        <f t="shared" si="9"/>
        <v/>
      </c>
      <c r="W955" s="1" t="str">
        <f t="array" ref="W955">IFERROR(INDEX('Исходник'!$1:$626,MATCH($A955,'Исходник'!$T:$T,0),MATCH(W$1,'Исходник'!$1:$1,0)))</f>
        <v/>
      </c>
      <c r="X955" s="28">
        <f t="shared" si="10"/>
        <v>0</v>
      </c>
      <c r="Y955" s="1" t="str">
        <f t="array" ref="Y955">IFERROR(INDEX('Исходник'!$1:$626,MATCH($A955,'Исходник'!$T:$T,0),MATCH(Y$1,'Исходник'!$1:$1,0)))</f>
        <v/>
      </c>
      <c r="Z955" s="27">
        <f t="shared" si="11"/>
        <v>0</v>
      </c>
      <c r="AA955" s="27" t="str">
        <f t="shared" si="12"/>
        <v/>
      </c>
      <c r="AB955" s="1" t="str">
        <f t="array" ref="AB955">IFERROR(INDEX('Исходник'!$1:$626,MATCH($A955,'Исходник'!$T:$T,0),MATCH(AB$1,'Исходник'!$1:$1,0)))</f>
        <v/>
      </c>
      <c r="AC955" s="1" t="str">
        <f t="array" ref="AC955">IFERROR(INDEX('Исходник'!$1:$626,MATCH($A955,'Исходник'!$T:$T,0),MATCH(AC$1,'Исходник'!$1:$1,0)))</f>
        <v/>
      </c>
      <c r="AD955" s="27" t="str">
        <f t="shared" si="13"/>
        <v/>
      </c>
      <c r="AE955" s="1" t="str">
        <f t="array" ref="AE955">IFERROR(INDEX('Исходник'!$1:$626,MATCH($A955,'Исходник'!$T:$T,0),MATCH(AE$1,'Исходник'!$1:$1,0)))</f>
        <v/>
      </c>
      <c r="AF955" s="1" t="str">
        <f t="array" ref="AF955">IFERROR(INDEX('Исходник'!$1:$626,MATCH($A955,'Исходник'!$T:$T,0),MATCH(AF$1,'Исходник'!$1:$1,0)))</f>
        <v/>
      </c>
      <c r="AG955" s="27" t="str">
        <f t="shared" si="14"/>
        <v/>
      </c>
      <c r="AH955" s="1" t="str">
        <f t="array" ref="AH955">IFERROR(INDEX('Исходник'!$1:$626,MATCH($A955,'Исходник'!$T:$T,0),MATCH(AH$1,'Исходник'!$1:$1,0)))</f>
        <v/>
      </c>
      <c r="AI955" s="1" t="str">
        <f t="array" ref="AI955">IFERROR(INDEX('Исходник'!$1:$626,MATCH($A955,'Исходник'!$T:$T,0),MATCH(AI$1,'Исходник'!$1:$1,0)))</f>
        <v/>
      </c>
      <c r="AJ955" s="18">
        <f t="shared" si="15"/>
        <v>0</v>
      </c>
    </row>
    <row r="956" ht="15.75" customHeight="1">
      <c r="A956" s="27"/>
      <c r="B956" s="1" t="str">
        <f t="array" ref="B956">IFERROR(INDEX('Исходник'!$1:$626,MATCH($A956,'Исходник'!$T:$T,0),MATCH(B$1,'Исходник'!$1:$1,0)))</f>
        <v/>
      </c>
      <c r="C956" s="1" t="str">
        <f t="array" ref="C956">IFERROR(INDEX('Исходник'!$1:$626,MATCH($A956,'Исходник'!$T:$T,0),MATCH(C$1,'Исходник'!$1:$1,0)))</f>
        <v/>
      </c>
      <c r="D956" s="1" t="str">
        <f t="array" ref="D956">IFERROR(INDEX('Исходник'!$1:$626,MATCH($A956,'Исходник'!$T:$T,0),MATCH(D$1,'Исходник'!$1:$1,0)))</f>
        <v/>
      </c>
      <c r="E956" s="1" t="str">
        <f t="array" ref="E956">IFERROR(INDEX('Исходник'!$1:$626,MATCH($A956,'Исходник'!$T:$T,0),MATCH(E$1,'Исходник'!$1:$1,0)))</f>
        <v/>
      </c>
      <c r="F956" s="1" t="str">
        <f t="array" ref="F956">IFERROR(INDEX('Исходник'!$1:$626,MATCH($A956,'Исходник'!$T:$T,0),MATCH(F$1,'Исходник'!$1:$1,0)))</f>
        <v/>
      </c>
      <c r="G956" s="1" t="str">
        <f t="array" ref="G956">IFERROR(INDEX('Исходник'!$1:$626,MATCH($A956,'Исходник'!$T:$T,0),MATCH(G$1,'Исходник'!$1:$1,0)))</f>
        <v/>
      </c>
      <c r="H956" s="27">
        <f t="shared" si="1"/>
        <v>0</v>
      </c>
      <c r="I956" s="27" t="str">
        <f t="shared" si="2"/>
        <v/>
      </c>
      <c r="J956" s="1" t="str">
        <f t="array" ref="J956">IFERROR(INDEX('Исходник'!$1:$626,MATCH($A956,'Исходник'!$T:$T,0),MATCH(J$1,'Исходник'!$1:$1,0)))</f>
        <v/>
      </c>
      <c r="K956" s="27" t="str">
        <f t="shared" si="3"/>
        <v/>
      </c>
      <c r="L956" s="1" t="str">
        <f t="array" ref="L956">IFERROR(INDEX('Исходник'!$1:$626,MATCH($A956,'Исходник'!$T:$T,0),MATCH(L$1,'Исходник'!$1:$1,0)))</f>
        <v/>
      </c>
      <c r="M956" s="28">
        <f t="shared" si="4"/>
        <v>0</v>
      </c>
      <c r="N956" s="1" t="str">
        <f t="array" ref="N956">IFERROR(INDEX('Исходник'!$1:$626,MATCH($A956,'Исходник'!$T:$T,0),MATCH(N$1,'Исходник'!$1:$1,0)))</f>
        <v/>
      </c>
      <c r="O956" s="27">
        <f t="shared" si="5"/>
        <v>0</v>
      </c>
      <c r="P956" s="27" t="str">
        <f t="shared" si="6"/>
        <v/>
      </c>
      <c r="Q956" s="1" t="str">
        <f t="array" ref="Q956">IFERROR(INDEX('Исходник'!$1:$626,MATCH($A956,'Исходник'!$T:$T,0),MATCH(Q$1,'Исходник'!$1:$1,0)))</f>
        <v/>
      </c>
      <c r="R956" s="1" t="str">
        <f t="array" ref="R956">IFERROR(INDEX('Исходник'!$1:$626,MATCH($A956,'Исходник'!$T:$T,0),MATCH(R$1,'Исходник'!$1:$1,0)))</f>
        <v/>
      </c>
      <c r="S956" s="27">
        <f t="shared" si="7"/>
        <v>0</v>
      </c>
      <c r="T956" s="27" t="str">
        <f t="shared" si="8"/>
        <v/>
      </c>
      <c r="U956" s="1" t="str">
        <f t="array" ref="U956">IFERROR(INDEX('Исходник'!$1:$626,MATCH($A956,'Исходник'!$T:$T,0),MATCH(U$1,'Исходник'!$1:$1,0)))</f>
        <v/>
      </c>
      <c r="V956" s="27" t="str">
        <f t="shared" si="9"/>
        <v/>
      </c>
      <c r="W956" s="1" t="str">
        <f t="array" ref="W956">IFERROR(INDEX('Исходник'!$1:$626,MATCH($A956,'Исходник'!$T:$T,0),MATCH(W$1,'Исходник'!$1:$1,0)))</f>
        <v/>
      </c>
      <c r="X956" s="28">
        <f t="shared" si="10"/>
        <v>0</v>
      </c>
      <c r="Y956" s="1" t="str">
        <f t="array" ref="Y956">IFERROR(INDEX('Исходник'!$1:$626,MATCH($A956,'Исходник'!$T:$T,0),MATCH(Y$1,'Исходник'!$1:$1,0)))</f>
        <v/>
      </c>
      <c r="Z956" s="27">
        <f t="shared" si="11"/>
        <v>0</v>
      </c>
      <c r="AA956" s="27" t="str">
        <f t="shared" si="12"/>
        <v/>
      </c>
      <c r="AB956" s="1" t="str">
        <f t="array" ref="AB956">IFERROR(INDEX('Исходник'!$1:$626,MATCH($A956,'Исходник'!$T:$T,0),MATCH(AB$1,'Исходник'!$1:$1,0)))</f>
        <v/>
      </c>
      <c r="AC956" s="1" t="str">
        <f t="array" ref="AC956">IFERROR(INDEX('Исходник'!$1:$626,MATCH($A956,'Исходник'!$T:$T,0),MATCH(AC$1,'Исходник'!$1:$1,0)))</f>
        <v/>
      </c>
      <c r="AD956" s="27" t="str">
        <f t="shared" si="13"/>
        <v/>
      </c>
      <c r="AE956" s="1" t="str">
        <f t="array" ref="AE956">IFERROR(INDEX('Исходник'!$1:$626,MATCH($A956,'Исходник'!$T:$T,0),MATCH(AE$1,'Исходник'!$1:$1,0)))</f>
        <v/>
      </c>
      <c r="AF956" s="1" t="str">
        <f t="array" ref="AF956">IFERROR(INDEX('Исходник'!$1:$626,MATCH($A956,'Исходник'!$T:$T,0),MATCH(AF$1,'Исходник'!$1:$1,0)))</f>
        <v/>
      </c>
      <c r="AG956" s="27" t="str">
        <f t="shared" si="14"/>
        <v/>
      </c>
      <c r="AH956" s="1" t="str">
        <f t="array" ref="AH956">IFERROR(INDEX('Исходник'!$1:$626,MATCH($A956,'Исходник'!$T:$T,0),MATCH(AH$1,'Исходник'!$1:$1,0)))</f>
        <v/>
      </c>
      <c r="AI956" s="1" t="str">
        <f t="array" ref="AI956">IFERROR(INDEX('Исходник'!$1:$626,MATCH($A956,'Исходник'!$T:$T,0),MATCH(AI$1,'Исходник'!$1:$1,0)))</f>
        <v/>
      </c>
      <c r="AJ956" s="18">
        <f t="shared" si="15"/>
        <v>0</v>
      </c>
    </row>
    <row r="957" ht="15.75" customHeight="1">
      <c r="A957" s="27"/>
      <c r="B957" s="1" t="str">
        <f t="array" ref="B957">IFERROR(INDEX('Исходник'!$1:$626,MATCH($A957,'Исходник'!$T:$T,0),MATCH(B$1,'Исходник'!$1:$1,0)))</f>
        <v/>
      </c>
      <c r="C957" s="1" t="str">
        <f t="array" ref="C957">IFERROR(INDEX('Исходник'!$1:$626,MATCH($A957,'Исходник'!$T:$T,0),MATCH(C$1,'Исходник'!$1:$1,0)))</f>
        <v/>
      </c>
      <c r="D957" s="1" t="str">
        <f t="array" ref="D957">IFERROR(INDEX('Исходник'!$1:$626,MATCH($A957,'Исходник'!$T:$T,0),MATCH(D$1,'Исходник'!$1:$1,0)))</f>
        <v/>
      </c>
      <c r="E957" s="1" t="str">
        <f t="array" ref="E957">IFERROR(INDEX('Исходник'!$1:$626,MATCH($A957,'Исходник'!$T:$T,0),MATCH(E$1,'Исходник'!$1:$1,0)))</f>
        <v/>
      </c>
      <c r="F957" s="1" t="str">
        <f t="array" ref="F957">IFERROR(INDEX('Исходник'!$1:$626,MATCH($A957,'Исходник'!$T:$T,0),MATCH(F$1,'Исходник'!$1:$1,0)))</f>
        <v/>
      </c>
      <c r="G957" s="1" t="str">
        <f t="array" ref="G957">IFERROR(INDEX('Исходник'!$1:$626,MATCH($A957,'Исходник'!$T:$T,0),MATCH(G$1,'Исходник'!$1:$1,0)))</f>
        <v/>
      </c>
      <c r="H957" s="27">
        <f t="shared" si="1"/>
        <v>0</v>
      </c>
      <c r="I957" s="27" t="str">
        <f t="shared" si="2"/>
        <v/>
      </c>
      <c r="J957" s="1" t="str">
        <f t="array" ref="J957">IFERROR(INDEX('Исходник'!$1:$626,MATCH($A957,'Исходник'!$T:$T,0),MATCH(J$1,'Исходник'!$1:$1,0)))</f>
        <v/>
      </c>
      <c r="K957" s="27" t="str">
        <f t="shared" si="3"/>
        <v/>
      </c>
      <c r="L957" s="1" t="str">
        <f t="array" ref="L957">IFERROR(INDEX('Исходник'!$1:$626,MATCH($A957,'Исходник'!$T:$T,0),MATCH(L$1,'Исходник'!$1:$1,0)))</f>
        <v/>
      </c>
      <c r="M957" s="28">
        <f t="shared" si="4"/>
        <v>0</v>
      </c>
      <c r="N957" s="1" t="str">
        <f t="array" ref="N957">IFERROR(INDEX('Исходник'!$1:$626,MATCH($A957,'Исходник'!$T:$T,0),MATCH(N$1,'Исходник'!$1:$1,0)))</f>
        <v/>
      </c>
      <c r="O957" s="27">
        <f t="shared" si="5"/>
        <v>0</v>
      </c>
      <c r="P957" s="27" t="str">
        <f t="shared" si="6"/>
        <v/>
      </c>
      <c r="Q957" s="1" t="str">
        <f t="array" ref="Q957">IFERROR(INDEX('Исходник'!$1:$626,MATCH($A957,'Исходник'!$T:$T,0),MATCH(Q$1,'Исходник'!$1:$1,0)))</f>
        <v/>
      </c>
      <c r="R957" s="1" t="str">
        <f t="array" ref="R957">IFERROR(INDEX('Исходник'!$1:$626,MATCH($A957,'Исходник'!$T:$T,0),MATCH(R$1,'Исходник'!$1:$1,0)))</f>
        <v/>
      </c>
      <c r="S957" s="27">
        <f t="shared" si="7"/>
        <v>0</v>
      </c>
      <c r="T957" s="27" t="str">
        <f t="shared" si="8"/>
        <v/>
      </c>
      <c r="U957" s="1" t="str">
        <f t="array" ref="U957">IFERROR(INDEX('Исходник'!$1:$626,MATCH($A957,'Исходник'!$T:$T,0),MATCH(U$1,'Исходник'!$1:$1,0)))</f>
        <v/>
      </c>
      <c r="V957" s="27" t="str">
        <f t="shared" si="9"/>
        <v/>
      </c>
      <c r="W957" s="1" t="str">
        <f t="array" ref="W957">IFERROR(INDEX('Исходник'!$1:$626,MATCH($A957,'Исходник'!$T:$T,0),MATCH(W$1,'Исходник'!$1:$1,0)))</f>
        <v/>
      </c>
      <c r="X957" s="28">
        <f t="shared" si="10"/>
        <v>0</v>
      </c>
      <c r="Y957" s="1" t="str">
        <f t="array" ref="Y957">IFERROR(INDEX('Исходник'!$1:$626,MATCH($A957,'Исходник'!$T:$T,0),MATCH(Y$1,'Исходник'!$1:$1,0)))</f>
        <v/>
      </c>
      <c r="Z957" s="27">
        <f t="shared" si="11"/>
        <v>0</v>
      </c>
      <c r="AA957" s="27" t="str">
        <f t="shared" si="12"/>
        <v/>
      </c>
      <c r="AB957" s="1" t="str">
        <f t="array" ref="AB957">IFERROR(INDEX('Исходник'!$1:$626,MATCH($A957,'Исходник'!$T:$T,0),MATCH(AB$1,'Исходник'!$1:$1,0)))</f>
        <v/>
      </c>
      <c r="AC957" s="1" t="str">
        <f t="array" ref="AC957">IFERROR(INDEX('Исходник'!$1:$626,MATCH($A957,'Исходник'!$T:$T,0),MATCH(AC$1,'Исходник'!$1:$1,0)))</f>
        <v/>
      </c>
      <c r="AD957" s="27" t="str">
        <f t="shared" si="13"/>
        <v/>
      </c>
      <c r="AE957" s="1" t="str">
        <f t="array" ref="AE957">IFERROR(INDEX('Исходник'!$1:$626,MATCH($A957,'Исходник'!$T:$T,0),MATCH(AE$1,'Исходник'!$1:$1,0)))</f>
        <v/>
      </c>
      <c r="AF957" s="1" t="str">
        <f t="array" ref="AF957">IFERROR(INDEX('Исходник'!$1:$626,MATCH($A957,'Исходник'!$T:$T,0),MATCH(AF$1,'Исходник'!$1:$1,0)))</f>
        <v/>
      </c>
      <c r="AG957" s="27" t="str">
        <f t="shared" si="14"/>
        <v/>
      </c>
      <c r="AH957" s="1" t="str">
        <f t="array" ref="AH957">IFERROR(INDEX('Исходник'!$1:$626,MATCH($A957,'Исходник'!$T:$T,0),MATCH(AH$1,'Исходник'!$1:$1,0)))</f>
        <v/>
      </c>
      <c r="AI957" s="1" t="str">
        <f t="array" ref="AI957">IFERROR(INDEX('Исходник'!$1:$626,MATCH($A957,'Исходник'!$T:$T,0),MATCH(AI$1,'Исходник'!$1:$1,0)))</f>
        <v/>
      </c>
      <c r="AJ957" s="18">
        <f t="shared" si="15"/>
        <v>0</v>
      </c>
    </row>
    <row r="958" ht="15.75" customHeight="1">
      <c r="A958" s="27"/>
      <c r="B958" s="1" t="str">
        <f t="array" ref="B958">IFERROR(INDEX('Исходник'!$1:$626,MATCH($A958,'Исходник'!$T:$T,0),MATCH(B$1,'Исходник'!$1:$1,0)))</f>
        <v/>
      </c>
      <c r="C958" s="1" t="str">
        <f t="array" ref="C958">IFERROR(INDEX('Исходник'!$1:$626,MATCH($A958,'Исходник'!$T:$T,0),MATCH(C$1,'Исходник'!$1:$1,0)))</f>
        <v/>
      </c>
      <c r="D958" s="1" t="str">
        <f t="array" ref="D958">IFERROR(INDEX('Исходник'!$1:$626,MATCH($A958,'Исходник'!$T:$T,0),MATCH(D$1,'Исходник'!$1:$1,0)))</f>
        <v/>
      </c>
      <c r="E958" s="1" t="str">
        <f t="array" ref="E958">IFERROR(INDEX('Исходник'!$1:$626,MATCH($A958,'Исходник'!$T:$T,0),MATCH(E$1,'Исходник'!$1:$1,0)))</f>
        <v/>
      </c>
      <c r="F958" s="1" t="str">
        <f t="array" ref="F958">IFERROR(INDEX('Исходник'!$1:$626,MATCH($A958,'Исходник'!$T:$T,0),MATCH(F$1,'Исходник'!$1:$1,0)))</f>
        <v/>
      </c>
      <c r="G958" s="1" t="str">
        <f t="array" ref="G958">IFERROR(INDEX('Исходник'!$1:$626,MATCH($A958,'Исходник'!$T:$T,0),MATCH(G$1,'Исходник'!$1:$1,0)))</f>
        <v/>
      </c>
      <c r="H958" s="27">
        <f t="shared" si="1"/>
        <v>0</v>
      </c>
      <c r="I958" s="27" t="str">
        <f t="shared" si="2"/>
        <v/>
      </c>
      <c r="J958" s="1" t="str">
        <f t="array" ref="J958">IFERROR(INDEX('Исходник'!$1:$626,MATCH($A958,'Исходник'!$T:$T,0),MATCH(J$1,'Исходник'!$1:$1,0)))</f>
        <v/>
      </c>
      <c r="K958" s="27" t="str">
        <f t="shared" si="3"/>
        <v/>
      </c>
      <c r="L958" s="1" t="str">
        <f t="array" ref="L958">IFERROR(INDEX('Исходник'!$1:$626,MATCH($A958,'Исходник'!$T:$T,0),MATCH(L$1,'Исходник'!$1:$1,0)))</f>
        <v/>
      </c>
      <c r="M958" s="28">
        <f t="shared" si="4"/>
        <v>0</v>
      </c>
      <c r="N958" s="1" t="str">
        <f t="array" ref="N958">IFERROR(INDEX('Исходник'!$1:$626,MATCH($A958,'Исходник'!$T:$T,0),MATCH(N$1,'Исходник'!$1:$1,0)))</f>
        <v/>
      </c>
      <c r="O958" s="27">
        <f t="shared" si="5"/>
        <v>0</v>
      </c>
      <c r="P958" s="27" t="str">
        <f t="shared" si="6"/>
        <v/>
      </c>
      <c r="Q958" s="1" t="str">
        <f t="array" ref="Q958">IFERROR(INDEX('Исходник'!$1:$626,MATCH($A958,'Исходник'!$T:$T,0),MATCH(Q$1,'Исходник'!$1:$1,0)))</f>
        <v/>
      </c>
      <c r="R958" s="1" t="str">
        <f t="array" ref="R958">IFERROR(INDEX('Исходник'!$1:$626,MATCH($A958,'Исходник'!$T:$T,0),MATCH(R$1,'Исходник'!$1:$1,0)))</f>
        <v/>
      </c>
      <c r="S958" s="27">
        <f t="shared" si="7"/>
        <v>0</v>
      </c>
      <c r="T958" s="27" t="str">
        <f t="shared" si="8"/>
        <v/>
      </c>
      <c r="U958" s="1" t="str">
        <f t="array" ref="U958">IFERROR(INDEX('Исходник'!$1:$626,MATCH($A958,'Исходник'!$T:$T,0),MATCH(U$1,'Исходник'!$1:$1,0)))</f>
        <v/>
      </c>
      <c r="V958" s="27" t="str">
        <f t="shared" si="9"/>
        <v/>
      </c>
      <c r="W958" s="1" t="str">
        <f t="array" ref="W958">IFERROR(INDEX('Исходник'!$1:$626,MATCH($A958,'Исходник'!$T:$T,0),MATCH(W$1,'Исходник'!$1:$1,0)))</f>
        <v/>
      </c>
      <c r="X958" s="28">
        <f t="shared" si="10"/>
        <v>0</v>
      </c>
      <c r="Y958" s="1" t="str">
        <f t="array" ref="Y958">IFERROR(INDEX('Исходник'!$1:$626,MATCH($A958,'Исходник'!$T:$T,0),MATCH(Y$1,'Исходник'!$1:$1,0)))</f>
        <v/>
      </c>
      <c r="Z958" s="27">
        <f t="shared" si="11"/>
        <v>0</v>
      </c>
      <c r="AA958" s="27" t="str">
        <f t="shared" si="12"/>
        <v/>
      </c>
      <c r="AB958" s="1" t="str">
        <f t="array" ref="AB958">IFERROR(INDEX('Исходник'!$1:$626,MATCH($A958,'Исходник'!$T:$T,0),MATCH(AB$1,'Исходник'!$1:$1,0)))</f>
        <v/>
      </c>
      <c r="AC958" s="1" t="str">
        <f t="array" ref="AC958">IFERROR(INDEX('Исходник'!$1:$626,MATCH($A958,'Исходник'!$T:$T,0),MATCH(AC$1,'Исходник'!$1:$1,0)))</f>
        <v/>
      </c>
      <c r="AD958" s="27" t="str">
        <f t="shared" si="13"/>
        <v/>
      </c>
      <c r="AE958" s="1" t="str">
        <f t="array" ref="AE958">IFERROR(INDEX('Исходник'!$1:$626,MATCH($A958,'Исходник'!$T:$T,0),MATCH(AE$1,'Исходник'!$1:$1,0)))</f>
        <v/>
      </c>
      <c r="AF958" s="1" t="str">
        <f t="array" ref="AF958">IFERROR(INDEX('Исходник'!$1:$626,MATCH($A958,'Исходник'!$T:$T,0),MATCH(AF$1,'Исходник'!$1:$1,0)))</f>
        <v/>
      </c>
      <c r="AG958" s="27" t="str">
        <f t="shared" si="14"/>
        <v/>
      </c>
      <c r="AH958" s="1" t="str">
        <f t="array" ref="AH958">IFERROR(INDEX('Исходник'!$1:$626,MATCH($A958,'Исходник'!$T:$T,0),MATCH(AH$1,'Исходник'!$1:$1,0)))</f>
        <v/>
      </c>
      <c r="AI958" s="1" t="str">
        <f t="array" ref="AI958">IFERROR(INDEX('Исходник'!$1:$626,MATCH($A958,'Исходник'!$T:$T,0),MATCH(AI$1,'Исходник'!$1:$1,0)))</f>
        <v/>
      </c>
      <c r="AJ958" s="18">
        <f t="shared" si="15"/>
        <v>0</v>
      </c>
    </row>
    <row r="959" ht="15.75" customHeight="1">
      <c r="A959" s="27"/>
      <c r="B959" s="1" t="str">
        <f t="array" ref="B959">IFERROR(INDEX('Исходник'!$1:$626,MATCH($A959,'Исходник'!$T:$T,0),MATCH(B$1,'Исходник'!$1:$1,0)))</f>
        <v/>
      </c>
      <c r="C959" s="1" t="str">
        <f t="array" ref="C959">IFERROR(INDEX('Исходник'!$1:$626,MATCH($A959,'Исходник'!$T:$T,0),MATCH(C$1,'Исходник'!$1:$1,0)))</f>
        <v/>
      </c>
      <c r="D959" s="1" t="str">
        <f t="array" ref="D959">IFERROR(INDEX('Исходник'!$1:$626,MATCH($A959,'Исходник'!$T:$T,0),MATCH(D$1,'Исходник'!$1:$1,0)))</f>
        <v/>
      </c>
      <c r="E959" s="1" t="str">
        <f t="array" ref="E959">IFERROR(INDEX('Исходник'!$1:$626,MATCH($A959,'Исходник'!$T:$T,0),MATCH(E$1,'Исходник'!$1:$1,0)))</f>
        <v/>
      </c>
      <c r="F959" s="1" t="str">
        <f t="array" ref="F959">IFERROR(INDEX('Исходник'!$1:$626,MATCH($A959,'Исходник'!$T:$T,0),MATCH(F$1,'Исходник'!$1:$1,0)))</f>
        <v/>
      </c>
      <c r="G959" s="1" t="str">
        <f t="array" ref="G959">IFERROR(INDEX('Исходник'!$1:$626,MATCH($A959,'Исходник'!$T:$T,0),MATCH(G$1,'Исходник'!$1:$1,0)))</f>
        <v/>
      </c>
      <c r="H959" s="27">
        <f t="shared" si="1"/>
        <v>0</v>
      </c>
      <c r="I959" s="27" t="str">
        <f t="shared" si="2"/>
        <v/>
      </c>
      <c r="J959" s="1" t="str">
        <f t="array" ref="J959">IFERROR(INDEX('Исходник'!$1:$626,MATCH($A959,'Исходник'!$T:$T,0),MATCH(J$1,'Исходник'!$1:$1,0)))</f>
        <v/>
      </c>
      <c r="K959" s="27" t="str">
        <f t="shared" si="3"/>
        <v/>
      </c>
      <c r="L959" s="1" t="str">
        <f t="array" ref="L959">IFERROR(INDEX('Исходник'!$1:$626,MATCH($A959,'Исходник'!$T:$T,0),MATCH(L$1,'Исходник'!$1:$1,0)))</f>
        <v/>
      </c>
      <c r="M959" s="28">
        <f t="shared" si="4"/>
        <v>0</v>
      </c>
      <c r="N959" s="1" t="str">
        <f t="array" ref="N959">IFERROR(INDEX('Исходник'!$1:$626,MATCH($A959,'Исходник'!$T:$T,0),MATCH(N$1,'Исходник'!$1:$1,0)))</f>
        <v/>
      </c>
      <c r="O959" s="27">
        <f t="shared" si="5"/>
        <v>0</v>
      </c>
      <c r="P959" s="27" t="str">
        <f t="shared" si="6"/>
        <v/>
      </c>
      <c r="Q959" s="1" t="str">
        <f t="array" ref="Q959">IFERROR(INDEX('Исходник'!$1:$626,MATCH($A959,'Исходник'!$T:$T,0),MATCH(Q$1,'Исходник'!$1:$1,0)))</f>
        <v/>
      </c>
      <c r="R959" s="1" t="str">
        <f t="array" ref="R959">IFERROR(INDEX('Исходник'!$1:$626,MATCH($A959,'Исходник'!$T:$T,0),MATCH(R$1,'Исходник'!$1:$1,0)))</f>
        <v/>
      </c>
      <c r="S959" s="27">
        <f t="shared" si="7"/>
        <v>0</v>
      </c>
      <c r="T959" s="27" t="str">
        <f t="shared" si="8"/>
        <v/>
      </c>
      <c r="U959" s="1" t="str">
        <f t="array" ref="U959">IFERROR(INDEX('Исходник'!$1:$626,MATCH($A959,'Исходник'!$T:$T,0),MATCH(U$1,'Исходник'!$1:$1,0)))</f>
        <v/>
      </c>
      <c r="V959" s="27" t="str">
        <f t="shared" si="9"/>
        <v/>
      </c>
      <c r="W959" s="1" t="str">
        <f t="array" ref="W959">IFERROR(INDEX('Исходник'!$1:$626,MATCH($A959,'Исходник'!$T:$T,0),MATCH(W$1,'Исходник'!$1:$1,0)))</f>
        <v/>
      </c>
      <c r="X959" s="28">
        <f t="shared" si="10"/>
        <v>0</v>
      </c>
      <c r="Y959" s="1" t="str">
        <f t="array" ref="Y959">IFERROR(INDEX('Исходник'!$1:$626,MATCH($A959,'Исходник'!$T:$T,0),MATCH(Y$1,'Исходник'!$1:$1,0)))</f>
        <v/>
      </c>
      <c r="Z959" s="27">
        <f t="shared" si="11"/>
        <v>0</v>
      </c>
      <c r="AA959" s="27" t="str">
        <f t="shared" si="12"/>
        <v/>
      </c>
      <c r="AB959" s="1" t="str">
        <f t="array" ref="AB959">IFERROR(INDEX('Исходник'!$1:$626,MATCH($A959,'Исходник'!$T:$T,0),MATCH(AB$1,'Исходник'!$1:$1,0)))</f>
        <v/>
      </c>
      <c r="AC959" s="1" t="str">
        <f t="array" ref="AC959">IFERROR(INDEX('Исходник'!$1:$626,MATCH($A959,'Исходник'!$T:$T,0),MATCH(AC$1,'Исходник'!$1:$1,0)))</f>
        <v/>
      </c>
      <c r="AD959" s="27" t="str">
        <f t="shared" si="13"/>
        <v/>
      </c>
      <c r="AE959" s="1" t="str">
        <f t="array" ref="AE959">IFERROR(INDEX('Исходник'!$1:$626,MATCH($A959,'Исходник'!$T:$T,0),MATCH(AE$1,'Исходник'!$1:$1,0)))</f>
        <v/>
      </c>
      <c r="AF959" s="1" t="str">
        <f t="array" ref="AF959">IFERROR(INDEX('Исходник'!$1:$626,MATCH($A959,'Исходник'!$T:$T,0),MATCH(AF$1,'Исходник'!$1:$1,0)))</f>
        <v/>
      </c>
      <c r="AG959" s="27" t="str">
        <f t="shared" si="14"/>
        <v/>
      </c>
      <c r="AH959" s="1" t="str">
        <f t="array" ref="AH959">IFERROR(INDEX('Исходник'!$1:$626,MATCH($A959,'Исходник'!$T:$T,0),MATCH(AH$1,'Исходник'!$1:$1,0)))</f>
        <v/>
      </c>
      <c r="AI959" s="1" t="str">
        <f t="array" ref="AI959">IFERROR(INDEX('Исходник'!$1:$626,MATCH($A959,'Исходник'!$T:$T,0),MATCH(AI$1,'Исходник'!$1:$1,0)))</f>
        <v/>
      </c>
      <c r="AJ959" s="18">
        <f t="shared" si="15"/>
        <v>0</v>
      </c>
    </row>
    <row r="960" ht="15.75" customHeight="1">
      <c r="A960" s="27"/>
      <c r="B960" s="1" t="str">
        <f t="array" ref="B960">IFERROR(INDEX('Исходник'!$1:$626,MATCH($A960,'Исходник'!$T:$T,0),MATCH(B$1,'Исходник'!$1:$1,0)))</f>
        <v/>
      </c>
      <c r="C960" s="1" t="str">
        <f t="array" ref="C960">IFERROR(INDEX('Исходник'!$1:$626,MATCH($A960,'Исходник'!$T:$T,0),MATCH(C$1,'Исходник'!$1:$1,0)))</f>
        <v/>
      </c>
      <c r="D960" s="1" t="str">
        <f t="array" ref="D960">IFERROR(INDEX('Исходник'!$1:$626,MATCH($A960,'Исходник'!$T:$T,0),MATCH(D$1,'Исходник'!$1:$1,0)))</f>
        <v/>
      </c>
      <c r="E960" s="1" t="str">
        <f t="array" ref="E960">IFERROR(INDEX('Исходник'!$1:$626,MATCH($A960,'Исходник'!$T:$T,0),MATCH(E$1,'Исходник'!$1:$1,0)))</f>
        <v/>
      </c>
      <c r="F960" s="1" t="str">
        <f t="array" ref="F960">IFERROR(INDEX('Исходник'!$1:$626,MATCH($A960,'Исходник'!$T:$T,0),MATCH(F$1,'Исходник'!$1:$1,0)))</f>
        <v/>
      </c>
      <c r="G960" s="1" t="str">
        <f t="array" ref="G960">IFERROR(INDEX('Исходник'!$1:$626,MATCH($A960,'Исходник'!$T:$T,0),MATCH(G$1,'Исходник'!$1:$1,0)))</f>
        <v/>
      </c>
      <c r="H960" s="27">
        <f t="shared" si="1"/>
        <v>0</v>
      </c>
      <c r="I960" s="27" t="str">
        <f t="shared" si="2"/>
        <v/>
      </c>
      <c r="J960" s="1" t="str">
        <f t="array" ref="J960">IFERROR(INDEX('Исходник'!$1:$626,MATCH($A960,'Исходник'!$T:$T,0),MATCH(J$1,'Исходник'!$1:$1,0)))</f>
        <v/>
      </c>
      <c r="K960" s="27" t="str">
        <f t="shared" si="3"/>
        <v/>
      </c>
      <c r="L960" s="1" t="str">
        <f t="array" ref="L960">IFERROR(INDEX('Исходник'!$1:$626,MATCH($A960,'Исходник'!$T:$T,0),MATCH(L$1,'Исходник'!$1:$1,0)))</f>
        <v/>
      </c>
      <c r="M960" s="28">
        <f t="shared" si="4"/>
        <v>0</v>
      </c>
      <c r="N960" s="1" t="str">
        <f t="array" ref="N960">IFERROR(INDEX('Исходник'!$1:$626,MATCH($A960,'Исходник'!$T:$T,0),MATCH(N$1,'Исходник'!$1:$1,0)))</f>
        <v/>
      </c>
      <c r="O960" s="27">
        <f t="shared" si="5"/>
        <v>0</v>
      </c>
      <c r="P960" s="27" t="str">
        <f t="shared" si="6"/>
        <v/>
      </c>
      <c r="Q960" s="1" t="str">
        <f t="array" ref="Q960">IFERROR(INDEX('Исходник'!$1:$626,MATCH($A960,'Исходник'!$T:$T,0),MATCH(Q$1,'Исходник'!$1:$1,0)))</f>
        <v/>
      </c>
      <c r="R960" s="1" t="str">
        <f t="array" ref="R960">IFERROR(INDEX('Исходник'!$1:$626,MATCH($A960,'Исходник'!$T:$T,0),MATCH(R$1,'Исходник'!$1:$1,0)))</f>
        <v/>
      </c>
      <c r="S960" s="27">
        <f t="shared" si="7"/>
        <v>0</v>
      </c>
      <c r="T960" s="27" t="str">
        <f t="shared" si="8"/>
        <v/>
      </c>
      <c r="U960" s="1" t="str">
        <f t="array" ref="U960">IFERROR(INDEX('Исходник'!$1:$626,MATCH($A960,'Исходник'!$T:$T,0),MATCH(U$1,'Исходник'!$1:$1,0)))</f>
        <v/>
      </c>
      <c r="V960" s="27" t="str">
        <f t="shared" si="9"/>
        <v/>
      </c>
      <c r="W960" s="1" t="str">
        <f t="array" ref="W960">IFERROR(INDEX('Исходник'!$1:$626,MATCH($A960,'Исходник'!$T:$T,0),MATCH(W$1,'Исходник'!$1:$1,0)))</f>
        <v/>
      </c>
      <c r="X960" s="28">
        <f t="shared" si="10"/>
        <v>0</v>
      </c>
      <c r="Y960" s="1" t="str">
        <f t="array" ref="Y960">IFERROR(INDEX('Исходник'!$1:$626,MATCH($A960,'Исходник'!$T:$T,0),MATCH(Y$1,'Исходник'!$1:$1,0)))</f>
        <v/>
      </c>
      <c r="Z960" s="27">
        <f t="shared" si="11"/>
        <v>0</v>
      </c>
      <c r="AA960" s="27" t="str">
        <f t="shared" si="12"/>
        <v/>
      </c>
      <c r="AB960" s="1" t="str">
        <f t="array" ref="AB960">IFERROR(INDEX('Исходник'!$1:$626,MATCH($A960,'Исходник'!$T:$T,0),MATCH(AB$1,'Исходник'!$1:$1,0)))</f>
        <v/>
      </c>
      <c r="AC960" s="1" t="str">
        <f t="array" ref="AC960">IFERROR(INDEX('Исходник'!$1:$626,MATCH($A960,'Исходник'!$T:$T,0),MATCH(AC$1,'Исходник'!$1:$1,0)))</f>
        <v/>
      </c>
      <c r="AD960" s="27" t="str">
        <f t="shared" si="13"/>
        <v/>
      </c>
      <c r="AE960" s="1" t="str">
        <f t="array" ref="AE960">IFERROR(INDEX('Исходник'!$1:$626,MATCH($A960,'Исходник'!$T:$T,0),MATCH(AE$1,'Исходник'!$1:$1,0)))</f>
        <v/>
      </c>
      <c r="AF960" s="1" t="str">
        <f t="array" ref="AF960">IFERROR(INDEX('Исходник'!$1:$626,MATCH($A960,'Исходник'!$T:$T,0),MATCH(AF$1,'Исходник'!$1:$1,0)))</f>
        <v/>
      </c>
      <c r="AG960" s="27" t="str">
        <f t="shared" si="14"/>
        <v/>
      </c>
      <c r="AH960" s="1" t="str">
        <f t="array" ref="AH960">IFERROR(INDEX('Исходник'!$1:$626,MATCH($A960,'Исходник'!$T:$T,0),MATCH(AH$1,'Исходник'!$1:$1,0)))</f>
        <v/>
      </c>
      <c r="AI960" s="1" t="str">
        <f t="array" ref="AI960">IFERROR(INDEX('Исходник'!$1:$626,MATCH($A960,'Исходник'!$T:$T,0),MATCH(AI$1,'Исходник'!$1:$1,0)))</f>
        <v/>
      </c>
      <c r="AJ960" s="18">
        <f t="shared" si="15"/>
        <v>0</v>
      </c>
    </row>
    <row r="961" ht="15.75" customHeight="1">
      <c r="A961" s="27"/>
      <c r="B961" s="1" t="str">
        <f t="array" ref="B961">IFERROR(INDEX('Исходник'!$1:$626,MATCH($A961,'Исходник'!$T:$T,0),MATCH(B$1,'Исходник'!$1:$1,0)))</f>
        <v/>
      </c>
      <c r="C961" s="1" t="str">
        <f t="array" ref="C961">IFERROR(INDEX('Исходник'!$1:$626,MATCH($A961,'Исходник'!$T:$T,0),MATCH(C$1,'Исходник'!$1:$1,0)))</f>
        <v/>
      </c>
      <c r="D961" s="1" t="str">
        <f t="array" ref="D961">IFERROR(INDEX('Исходник'!$1:$626,MATCH($A961,'Исходник'!$T:$T,0),MATCH(D$1,'Исходник'!$1:$1,0)))</f>
        <v/>
      </c>
      <c r="E961" s="1" t="str">
        <f t="array" ref="E961">IFERROR(INDEX('Исходник'!$1:$626,MATCH($A961,'Исходник'!$T:$T,0),MATCH(E$1,'Исходник'!$1:$1,0)))</f>
        <v/>
      </c>
      <c r="F961" s="1" t="str">
        <f t="array" ref="F961">IFERROR(INDEX('Исходник'!$1:$626,MATCH($A961,'Исходник'!$T:$T,0),MATCH(F$1,'Исходник'!$1:$1,0)))</f>
        <v/>
      </c>
      <c r="G961" s="1" t="str">
        <f t="array" ref="G961">IFERROR(INDEX('Исходник'!$1:$626,MATCH($A961,'Исходник'!$T:$T,0),MATCH(G$1,'Исходник'!$1:$1,0)))</f>
        <v/>
      </c>
      <c r="H961" s="27">
        <f t="shared" si="1"/>
        <v>0</v>
      </c>
      <c r="I961" s="27" t="str">
        <f t="shared" si="2"/>
        <v/>
      </c>
      <c r="J961" s="1" t="str">
        <f t="array" ref="J961">IFERROR(INDEX('Исходник'!$1:$626,MATCH($A961,'Исходник'!$T:$T,0),MATCH(J$1,'Исходник'!$1:$1,0)))</f>
        <v/>
      </c>
      <c r="K961" s="27" t="str">
        <f t="shared" si="3"/>
        <v/>
      </c>
      <c r="L961" s="1" t="str">
        <f t="array" ref="L961">IFERROR(INDEX('Исходник'!$1:$626,MATCH($A961,'Исходник'!$T:$T,0),MATCH(L$1,'Исходник'!$1:$1,0)))</f>
        <v/>
      </c>
      <c r="M961" s="28">
        <f t="shared" si="4"/>
        <v>0</v>
      </c>
      <c r="N961" s="1" t="str">
        <f t="array" ref="N961">IFERROR(INDEX('Исходник'!$1:$626,MATCH($A961,'Исходник'!$T:$T,0),MATCH(N$1,'Исходник'!$1:$1,0)))</f>
        <v/>
      </c>
      <c r="O961" s="27">
        <f t="shared" si="5"/>
        <v>0</v>
      </c>
      <c r="P961" s="27" t="str">
        <f t="shared" si="6"/>
        <v/>
      </c>
      <c r="Q961" s="1" t="str">
        <f t="array" ref="Q961">IFERROR(INDEX('Исходник'!$1:$626,MATCH($A961,'Исходник'!$T:$T,0),MATCH(Q$1,'Исходник'!$1:$1,0)))</f>
        <v/>
      </c>
      <c r="R961" s="1" t="str">
        <f t="array" ref="R961">IFERROR(INDEX('Исходник'!$1:$626,MATCH($A961,'Исходник'!$T:$T,0),MATCH(R$1,'Исходник'!$1:$1,0)))</f>
        <v/>
      </c>
      <c r="S961" s="27">
        <f t="shared" si="7"/>
        <v>0</v>
      </c>
      <c r="T961" s="27" t="str">
        <f t="shared" si="8"/>
        <v/>
      </c>
      <c r="U961" s="1" t="str">
        <f t="array" ref="U961">IFERROR(INDEX('Исходник'!$1:$626,MATCH($A961,'Исходник'!$T:$T,0),MATCH(U$1,'Исходник'!$1:$1,0)))</f>
        <v/>
      </c>
      <c r="V961" s="27" t="str">
        <f t="shared" si="9"/>
        <v/>
      </c>
      <c r="W961" s="1" t="str">
        <f t="array" ref="W961">IFERROR(INDEX('Исходник'!$1:$626,MATCH($A961,'Исходник'!$T:$T,0),MATCH(W$1,'Исходник'!$1:$1,0)))</f>
        <v/>
      </c>
      <c r="X961" s="28">
        <f t="shared" si="10"/>
        <v>0</v>
      </c>
      <c r="Y961" s="1" t="str">
        <f t="array" ref="Y961">IFERROR(INDEX('Исходник'!$1:$626,MATCH($A961,'Исходник'!$T:$T,0),MATCH(Y$1,'Исходник'!$1:$1,0)))</f>
        <v/>
      </c>
      <c r="Z961" s="27">
        <f t="shared" si="11"/>
        <v>0</v>
      </c>
      <c r="AA961" s="27" t="str">
        <f t="shared" si="12"/>
        <v/>
      </c>
      <c r="AB961" s="1" t="str">
        <f t="array" ref="AB961">IFERROR(INDEX('Исходник'!$1:$626,MATCH($A961,'Исходник'!$T:$T,0),MATCH(AB$1,'Исходник'!$1:$1,0)))</f>
        <v/>
      </c>
      <c r="AC961" s="1" t="str">
        <f t="array" ref="AC961">IFERROR(INDEX('Исходник'!$1:$626,MATCH($A961,'Исходник'!$T:$T,0),MATCH(AC$1,'Исходник'!$1:$1,0)))</f>
        <v/>
      </c>
      <c r="AD961" s="27" t="str">
        <f t="shared" si="13"/>
        <v/>
      </c>
      <c r="AE961" s="1" t="str">
        <f t="array" ref="AE961">IFERROR(INDEX('Исходник'!$1:$626,MATCH($A961,'Исходник'!$T:$T,0),MATCH(AE$1,'Исходник'!$1:$1,0)))</f>
        <v/>
      </c>
      <c r="AF961" s="1" t="str">
        <f t="array" ref="AF961">IFERROR(INDEX('Исходник'!$1:$626,MATCH($A961,'Исходник'!$T:$T,0),MATCH(AF$1,'Исходник'!$1:$1,0)))</f>
        <v/>
      </c>
      <c r="AG961" s="27" t="str">
        <f t="shared" si="14"/>
        <v/>
      </c>
      <c r="AH961" s="1" t="str">
        <f t="array" ref="AH961">IFERROR(INDEX('Исходник'!$1:$626,MATCH($A961,'Исходник'!$T:$T,0),MATCH(AH$1,'Исходник'!$1:$1,0)))</f>
        <v/>
      </c>
      <c r="AI961" s="1" t="str">
        <f t="array" ref="AI961">IFERROR(INDEX('Исходник'!$1:$626,MATCH($A961,'Исходник'!$T:$T,0),MATCH(AI$1,'Исходник'!$1:$1,0)))</f>
        <v/>
      </c>
      <c r="AJ961" s="18">
        <f t="shared" si="15"/>
        <v>0</v>
      </c>
    </row>
    <row r="962" ht="15.75" customHeight="1">
      <c r="A962" s="27"/>
      <c r="B962" s="1" t="str">
        <f t="array" ref="B962">IFERROR(INDEX('Исходник'!$1:$626,MATCH($A962,'Исходник'!$T:$T,0),MATCH(B$1,'Исходник'!$1:$1,0)))</f>
        <v/>
      </c>
      <c r="C962" s="1" t="str">
        <f t="array" ref="C962">IFERROR(INDEX('Исходник'!$1:$626,MATCH($A962,'Исходник'!$T:$T,0),MATCH(C$1,'Исходник'!$1:$1,0)))</f>
        <v/>
      </c>
      <c r="D962" s="1" t="str">
        <f t="array" ref="D962">IFERROR(INDEX('Исходник'!$1:$626,MATCH($A962,'Исходник'!$T:$T,0),MATCH(D$1,'Исходник'!$1:$1,0)))</f>
        <v/>
      </c>
      <c r="E962" s="1" t="str">
        <f t="array" ref="E962">IFERROR(INDEX('Исходник'!$1:$626,MATCH($A962,'Исходник'!$T:$T,0),MATCH(E$1,'Исходник'!$1:$1,0)))</f>
        <v/>
      </c>
      <c r="F962" s="1" t="str">
        <f t="array" ref="F962">IFERROR(INDEX('Исходник'!$1:$626,MATCH($A962,'Исходник'!$T:$T,0),MATCH(F$1,'Исходник'!$1:$1,0)))</f>
        <v/>
      </c>
      <c r="G962" s="1" t="str">
        <f t="array" ref="G962">IFERROR(INDEX('Исходник'!$1:$626,MATCH($A962,'Исходник'!$T:$T,0),MATCH(G$1,'Исходник'!$1:$1,0)))</f>
        <v/>
      </c>
      <c r="H962" s="27">
        <f t="shared" si="1"/>
        <v>0</v>
      </c>
      <c r="I962" s="27" t="str">
        <f t="shared" si="2"/>
        <v/>
      </c>
      <c r="J962" s="1" t="str">
        <f t="array" ref="J962">IFERROR(INDEX('Исходник'!$1:$626,MATCH($A962,'Исходник'!$T:$T,0),MATCH(J$1,'Исходник'!$1:$1,0)))</f>
        <v/>
      </c>
      <c r="K962" s="27" t="str">
        <f t="shared" si="3"/>
        <v/>
      </c>
      <c r="L962" s="1" t="str">
        <f t="array" ref="L962">IFERROR(INDEX('Исходник'!$1:$626,MATCH($A962,'Исходник'!$T:$T,0),MATCH(L$1,'Исходник'!$1:$1,0)))</f>
        <v/>
      </c>
      <c r="M962" s="28">
        <f t="shared" si="4"/>
        <v>0</v>
      </c>
      <c r="N962" s="1" t="str">
        <f t="array" ref="N962">IFERROR(INDEX('Исходник'!$1:$626,MATCH($A962,'Исходник'!$T:$T,0),MATCH(N$1,'Исходник'!$1:$1,0)))</f>
        <v/>
      </c>
      <c r="O962" s="27">
        <f t="shared" si="5"/>
        <v>0</v>
      </c>
      <c r="P962" s="27" t="str">
        <f t="shared" si="6"/>
        <v/>
      </c>
      <c r="Q962" s="1" t="str">
        <f t="array" ref="Q962">IFERROR(INDEX('Исходник'!$1:$626,MATCH($A962,'Исходник'!$T:$T,0),MATCH(Q$1,'Исходник'!$1:$1,0)))</f>
        <v/>
      </c>
      <c r="R962" s="1" t="str">
        <f t="array" ref="R962">IFERROR(INDEX('Исходник'!$1:$626,MATCH($A962,'Исходник'!$T:$T,0),MATCH(R$1,'Исходник'!$1:$1,0)))</f>
        <v/>
      </c>
      <c r="S962" s="27">
        <f t="shared" si="7"/>
        <v>0</v>
      </c>
      <c r="T962" s="27" t="str">
        <f t="shared" si="8"/>
        <v/>
      </c>
      <c r="U962" s="1" t="str">
        <f t="array" ref="U962">IFERROR(INDEX('Исходник'!$1:$626,MATCH($A962,'Исходник'!$T:$T,0),MATCH(U$1,'Исходник'!$1:$1,0)))</f>
        <v/>
      </c>
      <c r="V962" s="27" t="str">
        <f t="shared" si="9"/>
        <v/>
      </c>
      <c r="W962" s="1" t="str">
        <f t="array" ref="W962">IFERROR(INDEX('Исходник'!$1:$626,MATCH($A962,'Исходник'!$T:$T,0),MATCH(W$1,'Исходник'!$1:$1,0)))</f>
        <v/>
      </c>
      <c r="X962" s="28">
        <f t="shared" si="10"/>
        <v>0</v>
      </c>
      <c r="Y962" s="1" t="str">
        <f t="array" ref="Y962">IFERROR(INDEX('Исходник'!$1:$626,MATCH($A962,'Исходник'!$T:$T,0),MATCH(Y$1,'Исходник'!$1:$1,0)))</f>
        <v/>
      </c>
      <c r="Z962" s="27">
        <f t="shared" si="11"/>
        <v>0</v>
      </c>
      <c r="AA962" s="27" t="str">
        <f t="shared" si="12"/>
        <v/>
      </c>
      <c r="AB962" s="1" t="str">
        <f t="array" ref="AB962">IFERROR(INDEX('Исходник'!$1:$626,MATCH($A962,'Исходник'!$T:$T,0),MATCH(AB$1,'Исходник'!$1:$1,0)))</f>
        <v/>
      </c>
      <c r="AC962" s="1" t="str">
        <f t="array" ref="AC962">IFERROR(INDEX('Исходник'!$1:$626,MATCH($A962,'Исходник'!$T:$T,0),MATCH(AC$1,'Исходник'!$1:$1,0)))</f>
        <v/>
      </c>
      <c r="AD962" s="27" t="str">
        <f t="shared" si="13"/>
        <v/>
      </c>
      <c r="AE962" s="1" t="str">
        <f t="array" ref="AE962">IFERROR(INDEX('Исходник'!$1:$626,MATCH($A962,'Исходник'!$T:$T,0),MATCH(AE$1,'Исходник'!$1:$1,0)))</f>
        <v/>
      </c>
      <c r="AF962" s="1" t="str">
        <f t="array" ref="AF962">IFERROR(INDEX('Исходник'!$1:$626,MATCH($A962,'Исходник'!$T:$T,0),MATCH(AF$1,'Исходник'!$1:$1,0)))</f>
        <v/>
      </c>
      <c r="AG962" s="27" t="str">
        <f t="shared" si="14"/>
        <v/>
      </c>
      <c r="AH962" s="1" t="str">
        <f t="array" ref="AH962">IFERROR(INDEX('Исходник'!$1:$626,MATCH($A962,'Исходник'!$T:$T,0),MATCH(AH$1,'Исходник'!$1:$1,0)))</f>
        <v/>
      </c>
      <c r="AI962" s="1" t="str">
        <f t="array" ref="AI962">IFERROR(INDEX('Исходник'!$1:$626,MATCH($A962,'Исходник'!$T:$T,0),MATCH(AI$1,'Исходник'!$1:$1,0)))</f>
        <v/>
      </c>
      <c r="AJ962" s="18">
        <f t="shared" si="15"/>
        <v>0</v>
      </c>
    </row>
    <row r="963" ht="15.75" customHeight="1">
      <c r="A963" s="27"/>
      <c r="B963" s="1" t="str">
        <f t="array" ref="B963">IFERROR(INDEX('Исходник'!$1:$626,MATCH($A963,'Исходник'!$T:$T,0),MATCH(B$1,'Исходник'!$1:$1,0)))</f>
        <v/>
      </c>
      <c r="C963" s="1" t="str">
        <f t="array" ref="C963">IFERROR(INDEX('Исходник'!$1:$626,MATCH($A963,'Исходник'!$T:$T,0),MATCH(C$1,'Исходник'!$1:$1,0)))</f>
        <v/>
      </c>
      <c r="D963" s="1" t="str">
        <f t="array" ref="D963">IFERROR(INDEX('Исходник'!$1:$626,MATCH($A963,'Исходник'!$T:$T,0),MATCH(D$1,'Исходник'!$1:$1,0)))</f>
        <v/>
      </c>
      <c r="E963" s="1" t="str">
        <f t="array" ref="E963">IFERROR(INDEX('Исходник'!$1:$626,MATCH($A963,'Исходник'!$T:$T,0),MATCH(E$1,'Исходник'!$1:$1,0)))</f>
        <v/>
      </c>
      <c r="F963" s="1" t="str">
        <f t="array" ref="F963">IFERROR(INDEX('Исходник'!$1:$626,MATCH($A963,'Исходник'!$T:$T,0),MATCH(F$1,'Исходник'!$1:$1,0)))</f>
        <v/>
      </c>
      <c r="G963" s="1" t="str">
        <f t="array" ref="G963">IFERROR(INDEX('Исходник'!$1:$626,MATCH($A963,'Исходник'!$T:$T,0),MATCH(G$1,'Исходник'!$1:$1,0)))</f>
        <v/>
      </c>
      <c r="H963" s="27">
        <f t="shared" si="1"/>
        <v>0</v>
      </c>
      <c r="I963" s="27" t="str">
        <f t="shared" si="2"/>
        <v/>
      </c>
      <c r="J963" s="1" t="str">
        <f t="array" ref="J963">IFERROR(INDEX('Исходник'!$1:$626,MATCH($A963,'Исходник'!$T:$T,0),MATCH(J$1,'Исходник'!$1:$1,0)))</f>
        <v/>
      </c>
      <c r="K963" s="27" t="str">
        <f t="shared" si="3"/>
        <v/>
      </c>
      <c r="L963" s="1" t="str">
        <f t="array" ref="L963">IFERROR(INDEX('Исходник'!$1:$626,MATCH($A963,'Исходник'!$T:$T,0),MATCH(L$1,'Исходник'!$1:$1,0)))</f>
        <v/>
      </c>
      <c r="M963" s="28">
        <f t="shared" si="4"/>
        <v>0</v>
      </c>
      <c r="N963" s="1" t="str">
        <f t="array" ref="N963">IFERROR(INDEX('Исходник'!$1:$626,MATCH($A963,'Исходник'!$T:$T,0),MATCH(N$1,'Исходник'!$1:$1,0)))</f>
        <v/>
      </c>
      <c r="O963" s="27">
        <f t="shared" si="5"/>
        <v>0</v>
      </c>
      <c r="P963" s="27" t="str">
        <f t="shared" si="6"/>
        <v/>
      </c>
      <c r="Q963" s="1" t="str">
        <f t="array" ref="Q963">IFERROR(INDEX('Исходник'!$1:$626,MATCH($A963,'Исходник'!$T:$T,0),MATCH(Q$1,'Исходник'!$1:$1,0)))</f>
        <v/>
      </c>
      <c r="R963" s="1" t="str">
        <f t="array" ref="R963">IFERROR(INDEX('Исходник'!$1:$626,MATCH($A963,'Исходник'!$T:$T,0),MATCH(R$1,'Исходник'!$1:$1,0)))</f>
        <v/>
      </c>
      <c r="S963" s="27">
        <f t="shared" si="7"/>
        <v>0</v>
      </c>
      <c r="T963" s="27" t="str">
        <f t="shared" si="8"/>
        <v/>
      </c>
      <c r="U963" s="1" t="str">
        <f t="array" ref="U963">IFERROR(INDEX('Исходник'!$1:$626,MATCH($A963,'Исходник'!$T:$T,0),MATCH(U$1,'Исходник'!$1:$1,0)))</f>
        <v/>
      </c>
      <c r="V963" s="27" t="str">
        <f t="shared" si="9"/>
        <v/>
      </c>
      <c r="W963" s="1" t="str">
        <f t="array" ref="W963">IFERROR(INDEX('Исходник'!$1:$626,MATCH($A963,'Исходник'!$T:$T,0),MATCH(W$1,'Исходник'!$1:$1,0)))</f>
        <v/>
      </c>
      <c r="X963" s="28">
        <f t="shared" si="10"/>
        <v>0</v>
      </c>
      <c r="Y963" s="1" t="str">
        <f t="array" ref="Y963">IFERROR(INDEX('Исходник'!$1:$626,MATCH($A963,'Исходник'!$T:$T,0),MATCH(Y$1,'Исходник'!$1:$1,0)))</f>
        <v/>
      </c>
      <c r="Z963" s="27">
        <f t="shared" si="11"/>
        <v>0</v>
      </c>
      <c r="AA963" s="27" t="str">
        <f t="shared" si="12"/>
        <v/>
      </c>
      <c r="AB963" s="1" t="str">
        <f t="array" ref="AB963">IFERROR(INDEX('Исходник'!$1:$626,MATCH($A963,'Исходник'!$T:$T,0),MATCH(AB$1,'Исходник'!$1:$1,0)))</f>
        <v/>
      </c>
      <c r="AC963" s="1" t="str">
        <f t="array" ref="AC963">IFERROR(INDEX('Исходник'!$1:$626,MATCH($A963,'Исходник'!$T:$T,0),MATCH(AC$1,'Исходник'!$1:$1,0)))</f>
        <v/>
      </c>
      <c r="AD963" s="27" t="str">
        <f t="shared" si="13"/>
        <v/>
      </c>
      <c r="AE963" s="1" t="str">
        <f t="array" ref="AE963">IFERROR(INDEX('Исходник'!$1:$626,MATCH($A963,'Исходник'!$T:$T,0),MATCH(AE$1,'Исходник'!$1:$1,0)))</f>
        <v/>
      </c>
      <c r="AF963" s="1" t="str">
        <f t="array" ref="AF963">IFERROR(INDEX('Исходник'!$1:$626,MATCH($A963,'Исходник'!$T:$T,0),MATCH(AF$1,'Исходник'!$1:$1,0)))</f>
        <v/>
      </c>
      <c r="AG963" s="27" t="str">
        <f t="shared" si="14"/>
        <v/>
      </c>
      <c r="AH963" s="1" t="str">
        <f t="array" ref="AH963">IFERROR(INDEX('Исходник'!$1:$626,MATCH($A963,'Исходник'!$T:$T,0),MATCH(AH$1,'Исходник'!$1:$1,0)))</f>
        <v/>
      </c>
      <c r="AI963" s="1" t="str">
        <f t="array" ref="AI963">IFERROR(INDEX('Исходник'!$1:$626,MATCH($A963,'Исходник'!$T:$T,0),MATCH(AI$1,'Исходник'!$1:$1,0)))</f>
        <v/>
      </c>
      <c r="AJ963" s="18">
        <f t="shared" si="15"/>
        <v>0</v>
      </c>
    </row>
    <row r="964" ht="15.75" customHeight="1">
      <c r="A964" s="27"/>
      <c r="B964" s="1" t="str">
        <f t="array" ref="B964">IFERROR(INDEX('Исходник'!$1:$626,MATCH($A964,'Исходник'!$T:$T,0),MATCH(B$1,'Исходник'!$1:$1,0)))</f>
        <v/>
      </c>
      <c r="C964" s="1" t="str">
        <f t="array" ref="C964">IFERROR(INDEX('Исходник'!$1:$626,MATCH($A964,'Исходник'!$T:$T,0),MATCH(C$1,'Исходник'!$1:$1,0)))</f>
        <v/>
      </c>
      <c r="D964" s="1" t="str">
        <f t="array" ref="D964">IFERROR(INDEX('Исходник'!$1:$626,MATCH($A964,'Исходник'!$T:$T,0),MATCH(D$1,'Исходник'!$1:$1,0)))</f>
        <v/>
      </c>
      <c r="E964" s="1" t="str">
        <f t="array" ref="E964">IFERROR(INDEX('Исходник'!$1:$626,MATCH($A964,'Исходник'!$T:$T,0),MATCH(E$1,'Исходник'!$1:$1,0)))</f>
        <v/>
      </c>
      <c r="F964" s="1" t="str">
        <f t="array" ref="F964">IFERROR(INDEX('Исходник'!$1:$626,MATCH($A964,'Исходник'!$T:$T,0),MATCH(F$1,'Исходник'!$1:$1,0)))</f>
        <v/>
      </c>
      <c r="G964" s="1" t="str">
        <f t="array" ref="G964">IFERROR(INDEX('Исходник'!$1:$626,MATCH($A964,'Исходник'!$T:$T,0),MATCH(G$1,'Исходник'!$1:$1,0)))</f>
        <v/>
      </c>
      <c r="H964" s="27">
        <f t="shared" si="1"/>
        <v>0</v>
      </c>
      <c r="I964" s="27" t="str">
        <f t="shared" si="2"/>
        <v/>
      </c>
      <c r="J964" s="1" t="str">
        <f t="array" ref="J964">IFERROR(INDEX('Исходник'!$1:$626,MATCH($A964,'Исходник'!$T:$T,0),MATCH(J$1,'Исходник'!$1:$1,0)))</f>
        <v/>
      </c>
      <c r="K964" s="27" t="str">
        <f t="shared" si="3"/>
        <v/>
      </c>
      <c r="L964" s="1" t="str">
        <f t="array" ref="L964">IFERROR(INDEX('Исходник'!$1:$626,MATCH($A964,'Исходник'!$T:$T,0),MATCH(L$1,'Исходник'!$1:$1,0)))</f>
        <v/>
      </c>
      <c r="M964" s="28">
        <f t="shared" si="4"/>
        <v>0</v>
      </c>
      <c r="N964" s="1" t="str">
        <f t="array" ref="N964">IFERROR(INDEX('Исходник'!$1:$626,MATCH($A964,'Исходник'!$T:$T,0),MATCH(N$1,'Исходник'!$1:$1,0)))</f>
        <v/>
      </c>
      <c r="O964" s="27">
        <f t="shared" si="5"/>
        <v>0</v>
      </c>
      <c r="P964" s="27" t="str">
        <f t="shared" si="6"/>
        <v/>
      </c>
      <c r="Q964" s="1" t="str">
        <f t="array" ref="Q964">IFERROR(INDEX('Исходник'!$1:$626,MATCH($A964,'Исходник'!$T:$T,0),MATCH(Q$1,'Исходник'!$1:$1,0)))</f>
        <v/>
      </c>
      <c r="R964" s="1" t="str">
        <f t="array" ref="R964">IFERROR(INDEX('Исходник'!$1:$626,MATCH($A964,'Исходник'!$T:$T,0),MATCH(R$1,'Исходник'!$1:$1,0)))</f>
        <v/>
      </c>
      <c r="S964" s="27">
        <f t="shared" si="7"/>
        <v>0</v>
      </c>
      <c r="T964" s="27" t="str">
        <f t="shared" si="8"/>
        <v/>
      </c>
      <c r="U964" s="1" t="str">
        <f t="array" ref="U964">IFERROR(INDEX('Исходник'!$1:$626,MATCH($A964,'Исходник'!$T:$T,0),MATCH(U$1,'Исходник'!$1:$1,0)))</f>
        <v/>
      </c>
      <c r="V964" s="27" t="str">
        <f t="shared" si="9"/>
        <v/>
      </c>
      <c r="W964" s="1" t="str">
        <f t="array" ref="W964">IFERROR(INDEX('Исходник'!$1:$626,MATCH($A964,'Исходник'!$T:$T,0),MATCH(W$1,'Исходник'!$1:$1,0)))</f>
        <v/>
      </c>
      <c r="X964" s="28">
        <f t="shared" si="10"/>
        <v>0</v>
      </c>
      <c r="Y964" s="1" t="str">
        <f t="array" ref="Y964">IFERROR(INDEX('Исходник'!$1:$626,MATCH($A964,'Исходник'!$T:$T,0),MATCH(Y$1,'Исходник'!$1:$1,0)))</f>
        <v/>
      </c>
      <c r="Z964" s="27">
        <f t="shared" si="11"/>
        <v>0</v>
      </c>
      <c r="AA964" s="27" t="str">
        <f t="shared" si="12"/>
        <v/>
      </c>
      <c r="AB964" s="1" t="str">
        <f t="array" ref="AB964">IFERROR(INDEX('Исходник'!$1:$626,MATCH($A964,'Исходник'!$T:$T,0),MATCH(AB$1,'Исходник'!$1:$1,0)))</f>
        <v/>
      </c>
      <c r="AC964" s="1" t="str">
        <f t="array" ref="AC964">IFERROR(INDEX('Исходник'!$1:$626,MATCH($A964,'Исходник'!$T:$T,0),MATCH(AC$1,'Исходник'!$1:$1,0)))</f>
        <v/>
      </c>
      <c r="AD964" s="27" t="str">
        <f t="shared" si="13"/>
        <v/>
      </c>
      <c r="AE964" s="1" t="str">
        <f t="array" ref="AE964">IFERROR(INDEX('Исходник'!$1:$626,MATCH($A964,'Исходник'!$T:$T,0),MATCH(AE$1,'Исходник'!$1:$1,0)))</f>
        <v/>
      </c>
      <c r="AF964" s="1" t="str">
        <f t="array" ref="AF964">IFERROR(INDEX('Исходник'!$1:$626,MATCH($A964,'Исходник'!$T:$T,0),MATCH(AF$1,'Исходник'!$1:$1,0)))</f>
        <v/>
      </c>
      <c r="AG964" s="27" t="str">
        <f t="shared" si="14"/>
        <v/>
      </c>
      <c r="AH964" s="1" t="str">
        <f t="array" ref="AH964">IFERROR(INDEX('Исходник'!$1:$626,MATCH($A964,'Исходник'!$T:$T,0),MATCH(AH$1,'Исходник'!$1:$1,0)))</f>
        <v/>
      </c>
      <c r="AI964" s="1" t="str">
        <f t="array" ref="AI964">IFERROR(INDEX('Исходник'!$1:$626,MATCH($A964,'Исходник'!$T:$T,0),MATCH(AI$1,'Исходник'!$1:$1,0)))</f>
        <v/>
      </c>
      <c r="AJ964" s="18">
        <f t="shared" si="15"/>
        <v>0</v>
      </c>
    </row>
    <row r="965" ht="15.75" customHeight="1">
      <c r="A965" s="27"/>
      <c r="B965" s="1" t="str">
        <f t="array" ref="B965">IFERROR(INDEX('Исходник'!$1:$626,MATCH($A965,'Исходник'!$T:$T,0),MATCH(B$1,'Исходник'!$1:$1,0)))</f>
        <v/>
      </c>
      <c r="C965" s="1" t="str">
        <f t="array" ref="C965">IFERROR(INDEX('Исходник'!$1:$626,MATCH($A965,'Исходник'!$T:$T,0),MATCH(C$1,'Исходник'!$1:$1,0)))</f>
        <v/>
      </c>
      <c r="D965" s="1" t="str">
        <f t="array" ref="D965">IFERROR(INDEX('Исходник'!$1:$626,MATCH($A965,'Исходник'!$T:$T,0),MATCH(D$1,'Исходник'!$1:$1,0)))</f>
        <v/>
      </c>
      <c r="E965" s="1" t="str">
        <f t="array" ref="E965">IFERROR(INDEX('Исходник'!$1:$626,MATCH($A965,'Исходник'!$T:$T,0),MATCH(E$1,'Исходник'!$1:$1,0)))</f>
        <v/>
      </c>
      <c r="F965" s="1" t="str">
        <f t="array" ref="F965">IFERROR(INDEX('Исходник'!$1:$626,MATCH($A965,'Исходник'!$T:$T,0),MATCH(F$1,'Исходник'!$1:$1,0)))</f>
        <v/>
      </c>
      <c r="G965" s="1" t="str">
        <f t="array" ref="G965">IFERROR(INDEX('Исходник'!$1:$626,MATCH($A965,'Исходник'!$T:$T,0),MATCH(G$1,'Исходник'!$1:$1,0)))</f>
        <v/>
      </c>
      <c r="H965" s="27">
        <f t="shared" si="1"/>
        <v>0</v>
      </c>
      <c r="I965" s="27" t="str">
        <f t="shared" si="2"/>
        <v/>
      </c>
      <c r="J965" s="1" t="str">
        <f t="array" ref="J965">IFERROR(INDEX('Исходник'!$1:$626,MATCH($A965,'Исходник'!$T:$T,0),MATCH(J$1,'Исходник'!$1:$1,0)))</f>
        <v/>
      </c>
      <c r="K965" s="27" t="str">
        <f t="shared" si="3"/>
        <v/>
      </c>
      <c r="L965" s="1" t="str">
        <f t="array" ref="L965">IFERROR(INDEX('Исходник'!$1:$626,MATCH($A965,'Исходник'!$T:$T,0),MATCH(L$1,'Исходник'!$1:$1,0)))</f>
        <v/>
      </c>
      <c r="M965" s="28">
        <f t="shared" si="4"/>
        <v>0</v>
      </c>
      <c r="N965" s="1" t="str">
        <f t="array" ref="N965">IFERROR(INDEX('Исходник'!$1:$626,MATCH($A965,'Исходник'!$T:$T,0),MATCH(N$1,'Исходник'!$1:$1,0)))</f>
        <v/>
      </c>
      <c r="O965" s="27">
        <f t="shared" si="5"/>
        <v>0</v>
      </c>
      <c r="P965" s="27" t="str">
        <f t="shared" si="6"/>
        <v/>
      </c>
      <c r="Q965" s="1" t="str">
        <f t="array" ref="Q965">IFERROR(INDEX('Исходник'!$1:$626,MATCH($A965,'Исходник'!$T:$T,0),MATCH(Q$1,'Исходник'!$1:$1,0)))</f>
        <v/>
      </c>
      <c r="R965" s="1" t="str">
        <f t="array" ref="R965">IFERROR(INDEX('Исходник'!$1:$626,MATCH($A965,'Исходник'!$T:$T,0),MATCH(R$1,'Исходник'!$1:$1,0)))</f>
        <v/>
      </c>
      <c r="S965" s="27">
        <f t="shared" si="7"/>
        <v>0</v>
      </c>
      <c r="T965" s="27" t="str">
        <f t="shared" si="8"/>
        <v/>
      </c>
      <c r="U965" s="1" t="str">
        <f t="array" ref="U965">IFERROR(INDEX('Исходник'!$1:$626,MATCH($A965,'Исходник'!$T:$T,0),MATCH(U$1,'Исходник'!$1:$1,0)))</f>
        <v/>
      </c>
      <c r="V965" s="27" t="str">
        <f t="shared" si="9"/>
        <v/>
      </c>
      <c r="W965" s="1" t="str">
        <f t="array" ref="W965">IFERROR(INDEX('Исходник'!$1:$626,MATCH($A965,'Исходник'!$T:$T,0),MATCH(W$1,'Исходник'!$1:$1,0)))</f>
        <v/>
      </c>
      <c r="X965" s="28">
        <f t="shared" si="10"/>
        <v>0</v>
      </c>
      <c r="Y965" s="1" t="str">
        <f t="array" ref="Y965">IFERROR(INDEX('Исходник'!$1:$626,MATCH($A965,'Исходник'!$T:$T,0),MATCH(Y$1,'Исходник'!$1:$1,0)))</f>
        <v/>
      </c>
      <c r="Z965" s="27">
        <f t="shared" si="11"/>
        <v>0</v>
      </c>
      <c r="AA965" s="27" t="str">
        <f t="shared" si="12"/>
        <v/>
      </c>
      <c r="AB965" s="1" t="str">
        <f t="array" ref="AB965">IFERROR(INDEX('Исходник'!$1:$626,MATCH($A965,'Исходник'!$T:$T,0),MATCH(AB$1,'Исходник'!$1:$1,0)))</f>
        <v/>
      </c>
      <c r="AC965" s="1" t="str">
        <f t="array" ref="AC965">IFERROR(INDEX('Исходник'!$1:$626,MATCH($A965,'Исходник'!$T:$T,0),MATCH(AC$1,'Исходник'!$1:$1,0)))</f>
        <v/>
      </c>
      <c r="AD965" s="27" t="str">
        <f t="shared" si="13"/>
        <v/>
      </c>
      <c r="AE965" s="1" t="str">
        <f t="array" ref="AE965">IFERROR(INDEX('Исходник'!$1:$626,MATCH($A965,'Исходник'!$T:$T,0),MATCH(AE$1,'Исходник'!$1:$1,0)))</f>
        <v/>
      </c>
      <c r="AF965" s="1" t="str">
        <f t="array" ref="AF965">IFERROR(INDEX('Исходник'!$1:$626,MATCH($A965,'Исходник'!$T:$T,0),MATCH(AF$1,'Исходник'!$1:$1,0)))</f>
        <v/>
      </c>
      <c r="AG965" s="27" t="str">
        <f t="shared" si="14"/>
        <v/>
      </c>
      <c r="AH965" s="1" t="str">
        <f t="array" ref="AH965">IFERROR(INDEX('Исходник'!$1:$626,MATCH($A965,'Исходник'!$T:$T,0),MATCH(AH$1,'Исходник'!$1:$1,0)))</f>
        <v/>
      </c>
      <c r="AI965" s="1" t="str">
        <f t="array" ref="AI965">IFERROR(INDEX('Исходник'!$1:$626,MATCH($A965,'Исходник'!$T:$T,0),MATCH(AI$1,'Исходник'!$1:$1,0)))</f>
        <v/>
      </c>
      <c r="AJ965" s="18">
        <f t="shared" si="15"/>
        <v>0</v>
      </c>
    </row>
    <row r="966" ht="15.75" customHeight="1">
      <c r="A966" s="27"/>
      <c r="B966" s="1" t="str">
        <f t="array" ref="B966">IFERROR(INDEX('Исходник'!$1:$626,MATCH($A966,'Исходник'!$T:$T,0),MATCH(B$1,'Исходник'!$1:$1,0)))</f>
        <v/>
      </c>
      <c r="C966" s="1" t="str">
        <f t="array" ref="C966">IFERROR(INDEX('Исходник'!$1:$626,MATCH($A966,'Исходник'!$T:$T,0),MATCH(C$1,'Исходник'!$1:$1,0)))</f>
        <v/>
      </c>
      <c r="D966" s="1" t="str">
        <f t="array" ref="D966">IFERROR(INDEX('Исходник'!$1:$626,MATCH($A966,'Исходник'!$T:$T,0),MATCH(D$1,'Исходник'!$1:$1,0)))</f>
        <v/>
      </c>
      <c r="E966" s="1" t="str">
        <f t="array" ref="E966">IFERROR(INDEX('Исходник'!$1:$626,MATCH($A966,'Исходник'!$T:$T,0),MATCH(E$1,'Исходник'!$1:$1,0)))</f>
        <v/>
      </c>
      <c r="F966" s="1" t="str">
        <f t="array" ref="F966">IFERROR(INDEX('Исходник'!$1:$626,MATCH($A966,'Исходник'!$T:$T,0),MATCH(F$1,'Исходник'!$1:$1,0)))</f>
        <v/>
      </c>
      <c r="G966" s="1" t="str">
        <f t="array" ref="G966">IFERROR(INDEX('Исходник'!$1:$626,MATCH($A966,'Исходник'!$T:$T,0),MATCH(G$1,'Исходник'!$1:$1,0)))</f>
        <v/>
      </c>
      <c r="H966" s="27">
        <f t="shared" si="1"/>
        <v>0</v>
      </c>
      <c r="I966" s="27" t="str">
        <f t="shared" si="2"/>
        <v/>
      </c>
      <c r="J966" s="1" t="str">
        <f t="array" ref="J966">IFERROR(INDEX('Исходник'!$1:$626,MATCH($A966,'Исходник'!$T:$T,0),MATCH(J$1,'Исходник'!$1:$1,0)))</f>
        <v/>
      </c>
      <c r="K966" s="27" t="str">
        <f t="shared" si="3"/>
        <v/>
      </c>
      <c r="L966" s="1" t="str">
        <f t="array" ref="L966">IFERROR(INDEX('Исходник'!$1:$626,MATCH($A966,'Исходник'!$T:$T,0),MATCH(L$1,'Исходник'!$1:$1,0)))</f>
        <v/>
      </c>
      <c r="M966" s="28">
        <f t="shared" si="4"/>
        <v>0</v>
      </c>
      <c r="N966" s="1" t="str">
        <f t="array" ref="N966">IFERROR(INDEX('Исходник'!$1:$626,MATCH($A966,'Исходник'!$T:$T,0),MATCH(N$1,'Исходник'!$1:$1,0)))</f>
        <v/>
      </c>
      <c r="O966" s="27">
        <f t="shared" si="5"/>
        <v>0</v>
      </c>
      <c r="P966" s="27" t="str">
        <f t="shared" si="6"/>
        <v/>
      </c>
      <c r="Q966" s="1" t="str">
        <f t="array" ref="Q966">IFERROR(INDEX('Исходник'!$1:$626,MATCH($A966,'Исходник'!$T:$T,0),MATCH(Q$1,'Исходник'!$1:$1,0)))</f>
        <v/>
      </c>
      <c r="R966" s="1" t="str">
        <f t="array" ref="R966">IFERROR(INDEX('Исходник'!$1:$626,MATCH($A966,'Исходник'!$T:$T,0),MATCH(R$1,'Исходник'!$1:$1,0)))</f>
        <v/>
      </c>
      <c r="S966" s="27">
        <f t="shared" si="7"/>
        <v>0</v>
      </c>
      <c r="T966" s="27" t="str">
        <f t="shared" si="8"/>
        <v/>
      </c>
      <c r="U966" s="1" t="str">
        <f t="array" ref="U966">IFERROR(INDEX('Исходник'!$1:$626,MATCH($A966,'Исходник'!$T:$T,0),MATCH(U$1,'Исходник'!$1:$1,0)))</f>
        <v/>
      </c>
      <c r="V966" s="27" t="str">
        <f t="shared" si="9"/>
        <v/>
      </c>
      <c r="W966" s="1" t="str">
        <f t="array" ref="W966">IFERROR(INDEX('Исходник'!$1:$626,MATCH($A966,'Исходник'!$T:$T,0),MATCH(W$1,'Исходник'!$1:$1,0)))</f>
        <v/>
      </c>
      <c r="X966" s="28">
        <f t="shared" si="10"/>
        <v>0</v>
      </c>
      <c r="Y966" s="1" t="str">
        <f t="array" ref="Y966">IFERROR(INDEX('Исходник'!$1:$626,MATCH($A966,'Исходник'!$T:$T,0),MATCH(Y$1,'Исходник'!$1:$1,0)))</f>
        <v/>
      </c>
      <c r="Z966" s="27">
        <f t="shared" si="11"/>
        <v>0</v>
      </c>
      <c r="AA966" s="27" t="str">
        <f t="shared" si="12"/>
        <v/>
      </c>
      <c r="AB966" s="1" t="str">
        <f t="array" ref="AB966">IFERROR(INDEX('Исходник'!$1:$626,MATCH($A966,'Исходник'!$T:$T,0),MATCH(AB$1,'Исходник'!$1:$1,0)))</f>
        <v/>
      </c>
      <c r="AC966" s="1" t="str">
        <f t="array" ref="AC966">IFERROR(INDEX('Исходник'!$1:$626,MATCH($A966,'Исходник'!$T:$T,0),MATCH(AC$1,'Исходник'!$1:$1,0)))</f>
        <v/>
      </c>
      <c r="AD966" s="27" t="str">
        <f t="shared" si="13"/>
        <v/>
      </c>
      <c r="AE966" s="1" t="str">
        <f t="array" ref="AE966">IFERROR(INDEX('Исходник'!$1:$626,MATCH($A966,'Исходник'!$T:$T,0),MATCH(AE$1,'Исходник'!$1:$1,0)))</f>
        <v/>
      </c>
      <c r="AF966" s="1" t="str">
        <f t="array" ref="AF966">IFERROR(INDEX('Исходник'!$1:$626,MATCH($A966,'Исходник'!$T:$T,0),MATCH(AF$1,'Исходник'!$1:$1,0)))</f>
        <v/>
      </c>
      <c r="AG966" s="27" t="str">
        <f t="shared" si="14"/>
        <v/>
      </c>
      <c r="AH966" s="1" t="str">
        <f t="array" ref="AH966">IFERROR(INDEX('Исходник'!$1:$626,MATCH($A966,'Исходник'!$T:$T,0),MATCH(AH$1,'Исходник'!$1:$1,0)))</f>
        <v/>
      </c>
      <c r="AI966" s="1" t="str">
        <f t="array" ref="AI966">IFERROR(INDEX('Исходник'!$1:$626,MATCH($A966,'Исходник'!$T:$T,0),MATCH(AI$1,'Исходник'!$1:$1,0)))</f>
        <v/>
      </c>
      <c r="AJ966" s="18">
        <f t="shared" si="15"/>
        <v>0</v>
      </c>
    </row>
    <row r="967" ht="15.75" customHeight="1">
      <c r="A967" s="27"/>
      <c r="B967" s="1" t="str">
        <f t="array" ref="B967">IFERROR(INDEX('Исходник'!$1:$626,MATCH($A967,'Исходник'!$T:$T,0),MATCH(B$1,'Исходник'!$1:$1,0)))</f>
        <v/>
      </c>
      <c r="C967" s="1" t="str">
        <f t="array" ref="C967">IFERROR(INDEX('Исходник'!$1:$626,MATCH($A967,'Исходник'!$T:$T,0),MATCH(C$1,'Исходник'!$1:$1,0)))</f>
        <v/>
      </c>
      <c r="D967" s="1" t="str">
        <f t="array" ref="D967">IFERROR(INDEX('Исходник'!$1:$626,MATCH($A967,'Исходник'!$T:$T,0),MATCH(D$1,'Исходник'!$1:$1,0)))</f>
        <v/>
      </c>
      <c r="E967" s="1" t="str">
        <f t="array" ref="E967">IFERROR(INDEX('Исходник'!$1:$626,MATCH($A967,'Исходник'!$T:$T,0),MATCH(E$1,'Исходник'!$1:$1,0)))</f>
        <v/>
      </c>
      <c r="F967" s="1" t="str">
        <f t="array" ref="F967">IFERROR(INDEX('Исходник'!$1:$626,MATCH($A967,'Исходник'!$T:$T,0),MATCH(F$1,'Исходник'!$1:$1,0)))</f>
        <v/>
      </c>
      <c r="G967" s="1" t="str">
        <f t="array" ref="G967">IFERROR(INDEX('Исходник'!$1:$626,MATCH($A967,'Исходник'!$T:$T,0),MATCH(G$1,'Исходник'!$1:$1,0)))</f>
        <v/>
      </c>
      <c r="H967" s="27">
        <f t="shared" si="1"/>
        <v>0</v>
      </c>
      <c r="I967" s="27" t="str">
        <f t="shared" si="2"/>
        <v/>
      </c>
      <c r="J967" s="1" t="str">
        <f t="array" ref="J967">IFERROR(INDEX('Исходник'!$1:$626,MATCH($A967,'Исходник'!$T:$T,0),MATCH(J$1,'Исходник'!$1:$1,0)))</f>
        <v/>
      </c>
      <c r="K967" s="27" t="str">
        <f t="shared" si="3"/>
        <v/>
      </c>
      <c r="L967" s="1" t="str">
        <f t="array" ref="L967">IFERROR(INDEX('Исходник'!$1:$626,MATCH($A967,'Исходник'!$T:$T,0),MATCH(L$1,'Исходник'!$1:$1,0)))</f>
        <v/>
      </c>
      <c r="M967" s="28">
        <f t="shared" si="4"/>
        <v>0</v>
      </c>
      <c r="N967" s="1" t="str">
        <f t="array" ref="N967">IFERROR(INDEX('Исходник'!$1:$626,MATCH($A967,'Исходник'!$T:$T,0),MATCH(N$1,'Исходник'!$1:$1,0)))</f>
        <v/>
      </c>
      <c r="O967" s="27">
        <f t="shared" si="5"/>
        <v>0</v>
      </c>
      <c r="P967" s="27" t="str">
        <f t="shared" si="6"/>
        <v/>
      </c>
      <c r="Q967" s="1" t="str">
        <f t="array" ref="Q967">IFERROR(INDEX('Исходник'!$1:$626,MATCH($A967,'Исходник'!$T:$T,0),MATCH(Q$1,'Исходник'!$1:$1,0)))</f>
        <v/>
      </c>
      <c r="R967" s="1" t="str">
        <f t="array" ref="R967">IFERROR(INDEX('Исходник'!$1:$626,MATCH($A967,'Исходник'!$T:$T,0),MATCH(R$1,'Исходник'!$1:$1,0)))</f>
        <v/>
      </c>
      <c r="S967" s="27">
        <f t="shared" si="7"/>
        <v>0</v>
      </c>
      <c r="T967" s="27" t="str">
        <f t="shared" si="8"/>
        <v/>
      </c>
      <c r="U967" s="1" t="str">
        <f t="array" ref="U967">IFERROR(INDEX('Исходник'!$1:$626,MATCH($A967,'Исходник'!$T:$T,0),MATCH(U$1,'Исходник'!$1:$1,0)))</f>
        <v/>
      </c>
      <c r="V967" s="27" t="str">
        <f t="shared" si="9"/>
        <v/>
      </c>
      <c r="W967" s="1" t="str">
        <f t="array" ref="W967">IFERROR(INDEX('Исходник'!$1:$626,MATCH($A967,'Исходник'!$T:$T,0),MATCH(W$1,'Исходник'!$1:$1,0)))</f>
        <v/>
      </c>
      <c r="X967" s="28">
        <f t="shared" si="10"/>
        <v>0</v>
      </c>
      <c r="Y967" s="1" t="str">
        <f t="array" ref="Y967">IFERROR(INDEX('Исходник'!$1:$626,MATCH($A967,'Исходник'!$T:$T,0),MATCH(Y$1,'Исходник'!$1:$1,0)))</f>
        <v/>
      </c>
      <c r="Z967" s="27">
        <f t="shared" si="11"/>
        <v>0</v>
      </c>
      <c r="AA967" s="27" t="str">
        <f t="shared" si="12"/>
        <v/>
      </c>
      <c r="AB967" s="1" t="str">
        <f t="array" ref="AB967">IFERROR(INDEX('Исходник'!$1:$626,MATCH($A967,'Исходник'!$T:$T,0),MATCH(AB$1,'Исходник'!$1:$1,0)))</f>
        <v/>
      </c>
      <c r="AC967" s="1" t="str">
        <f t="array" ref="AC967">IFERROR(INDEX('Исходник'!$1:$626,MATCH($A967,'Исходник'!$T:$T,0),MATCH(AC$1,'Исходник'!$1:$1,0)))</f>
        <v/>
      </c>
      <c r="AD967" s="27" t="str">
        <f t="shared" si="13"/>
        <v/>
      </c>
      <c r="AE967" s="1" t="str">
        <f t="array" ref="AE967">IFERROR(INDEX('Исходник'!$1:$626,MATCH($A967,'Исходник'!$T:$T,0),MATCH(AE$1,'Исходник'!$1:$1,0)))</f>
        <v/>
      </c>
      <c r="AF967" s="1" t="str">
        <f t="array" ref="AF967">IFERROR(INDEX('Исходник'!$1:$626,MATCH($A967,'Исходник'!$T:$T,0),MATCH(AF$1,'Исходник'!$1:$1,0)))</f>
        <v/>
      </c>
      <c r="AG967" s="27" t="str">
        <f t="shared" si="14"/>
        <v/>
      </c>
      <c r="AH967" s="1" t="str">
        <f t="array" ref="AH967">IFERROR(INDEX('Исходник'!$1:$626,MATCH($A967,'Исходник'!$T:$T,0),MATCH(AH$1,'Исходник'!$1:$1,0)))</f>
        <v/>
      </c>
      <c r="AI967" s="1" t="str">
        <f t="array" ref="AI967">IFERROR(INDEX('Исходник'!$1:$626,MATCH($A967,'Исходник'!$T:$T,0),MATCH(AI$1,'Исходник'!$1:$1,0)))</f>
        <v/>
      </c>
      <c r="AJ967" s="18">
        <f t="shared" si="15"/>
        <v>0</v>
      </c>
    </row>
    <row r="968" ht="15.75" customHeight="1">
      <c r="A968" s="27"/>
      <c r="B968" s="1" t="str">
        <f t="array" ref="B968">IFERROR(INDEX('Исходник'!$1:$626,MATCH($A968,'Исходник'!$T:$T,0),MATCH(B$1,'Исходник'!$1:$1,0)))</f>
        <v/>
      </c>
      <c r="C968" s="1" t="str">
        <f t="array" ref="C968">IFERROR(INDEX('Исходник'!$1:$626,MATCH($A968,'Исходник'!$T:$T,0),MATCH(C$1,'Исходник'!$1:$1,0)))</f>
        <v/>
      </c>
      <c r="D968" s="1" t="str">
        <f t="array" ref="D968">IFERROR(INDEX('Исходник'!$1:$626,MATCH($A968,'Исходник'!$T:$T,0),MATCH(D$1,'Исходник'!$1:$1,0)))</f>
        <v/>
      </c>
      <c r="E968" s="1" t="str">
        <f t="array" ref="E968">IFERROR(INDEX('Исходник'!$1:$626,MATCH($A968,'Исходник'!$T:$T,0),MATCH(E$1,'Исходник'!$1:$1,0)))</f>
        <v/>
      </c>
      <c r="F968" s="1" t="str">
        <f t="array" ref="F968">IFERROR(INDEX('Исходник'!$1:$626,MATCH($A968,'Исходник'!$T:$T,0),MATCH(F$1,'Исходник'!$1:$1,0)))</f>
        <v/>
      </c>
      <c r="G968" s="1" t="str">
        <f t="array" ref="G968">IFERROR(INDEX('Исходник'!$1:$626,MATCH($A968,'Исходник'!$T:$T,0),MATCH(G$1,'Исходник'!$1:$1,0)))</f>
        <v/>
      </c>
      <c r="H968" s="27">
        <f t="shared" si="1"/>
        <v>0</v>
      </c>
      <c r="I968" s="27" t="str">
        <f t="shared" si="2"/>
        <v/>
      </c>
      <c r="J968" s="1" t="str">
        <f t="array" ref="J968">IFERROR(INDEX('Исходник'!$1:$626,MATCH($A968,'Исходник'!$T:$T,0),MATCH(J$1,'Исходник'!$1:$1,0)))</f>
        <v/>
      </c>
      <c r="K968" s="27" t="str">
        <f t="shared" si="3"/>
        <v/>
      </c>
      <c r="L968" s="1" t="str">
        <f t="array" ref="L968">IFERROR(INDEX('Исходник'!$1:$626,MATCH($A968,'Исходник'!$T:$T,0),MATCH(L$1,'Исходник'!$1:$1,0)))</f>
        <v/>
      </c>
      <c r="M968" s="28">
        <f t="shared" si="4"/>
        <v>0</v>
      </c>
      <c r="N968" s="1" t="str">
        <f t="array" ref="N968">IFERROR(INDEX('Исходник'!$1:$626,MATCH($A968,'Исходник'!$T:$T,0),MATCH(N$1,'Исходник'!$1:$1,0)))</f>
        <v/>
      </c>
      <c r="O968" s="27">
        <f t="shared" si="5"/>
        <v>0</v>
      </c>
      <c r="P968" s="27" t="str">
        <f t="shared" si="6"/>
        <v/>
      </c>
      <c r="Q968" s="1" t="str">
        <f t="array" ref="Q968">IFERROR(INDEX('Исходник'!$1:$626,MATCH($A968,'Исходник'!$T:$T,0),MATCH(Q$1,'Исходник'!$1:$1,0)))</f>
        <v/>
      </c>
      <c r="R968" s="1" t="str">
        <f t="array" ref="R968">IFERROR(INDEX('Исходник'!$1:$626,MATCH($A968,'Исходник'!$T:$T,0),MATCH(R$1,'Исходник'!$1:$1,0)))</f>
        <v/>
      </c>
      <c r="S968" s="27">
        <f t="shared" si="7"/>
        <v>0</v>
      </c>
      <c r="T968" s="27" t="str">
        <f t="shared" si="8"/>
        <v/>
      </c>
      <c r="U968" s="1" t="str">
        <f t="array" ref="U968">IFERROR(INDEX('Исходник'!$1:$626,MATCH($A968,'Исходник'!$T:$T,0),MATCH(U$1,'Исходник'!$1:$1,0)))</f>
        <v/>
      </c>
      <c r="V968" s="27" t="str">
        <f t="shared" si="9"/>
        <v/>
      </c>
      <c r="W968" s="1" t="str">
        <f t="array" ref="W968">IFERROR(INDEX('Исходник'!$1:$626,MATCH($A968,'Исходник'!$T:$T,0),MATCH(W$1,'Исходник'!$1:$1,0)))</f>
        <v/>
      </c>
      <c r="X968" s="28">
        <f t="shared" si="10"/>
        <v>0</v>
      </c>
      <c r="Y968" s="1" t="str">
        <f t="array" ref="Y968">IFERROR(INDEX('Исходник'!$1:$626,MATCH($A968,'Исходник'!$T:$T,0),MATCH(Y$1,'Исходник'!$1:$1,0)))</f>
        <v/>
      </c>
      <c r="Z968" s="27">
        <f t="shared" si="11"/>
        <v>0</v>
      </c>
      <c r="AA968" s="27" t="str">
        <f t="shared" si="12"/>
        <v/>
      </c>
      <c r="AB968" s="1" t="str">
        <f t="array" ref="AB968">IFERROR(INDEX('Исходник'!$1:$626,MATCH($A968,'Исходник'!$T:$T,0),MATCH(AB$1,'Исходник'!$1:$1,0)))</f>
        <v/>
      </c>
      <c r="AC968" s="1" t="str">
        <f t="array" ref="AC968">IFERROR(INDEX('Исходник'!$1:$626,MATCH($A968,'Исходник'!$T:$T,0),MATCH(AC$1,'Исходник'!$1:$1,0)))</f>
        <v/>
      </c>
      <c r="AD968" s="27" t="str">
        <f t="shared" si="13"/>
        <v/>
      </c>
      <c r="AE968" s="1" t="str">
        <f t="array" ref="AE968">IFERROR(INDEX('Исходник'!$1:$626,MATCH($A968,'Исходник'!$T:$T,0),MATCH(AE$1,'Исходник'!$1:$1,0)))</f>
        <v/>
      </c>
      <c r="AF968" s="1" t="str">
        <f t="array" ref="AF968">IFERROR(INDEX('Исходник'!$1:$626,MATCH($A968,'Исходник'!$T:$T,0),MATCH(AF$1,'Исходник'!$1:$1,0)))</f>
        <v/>
      </c>
      <c r="AG968" s="27" t="str">
        <f t="shared" si="14"/>
        <v/>
      </c>
      <c r="AH968" s="1" t="str">
        <f t="array" ref="AH968">IFERROR(INDEX('Исходник'!$1:$626,MATCH($A968,'Исходник'!$T:$T,0),MATCH(AH$1,'Исходник'!$1:$1,0)))</f>
        <v/>
      </c>
      <c r="AI968" s="1" t="str">
        <f t="array" ref="AI968">IFERROR(INDEX('Исходник'!$1:$626,MATCH($A968,'Исходник'!$T:$T,0),MATCH(AI$1,'Исходник'!$1:$1,0)))</f>
        <v/>
      </c>
      <c r="AJ968" s="18">
        <f t="shared" si="15"/>
        <v>0</v>
      </c>
    </row>
    <row r="969" ht="15.75" customHeight="1">
      <c r="A969" s="27"/>
      <c r="B969" s="1" t="str">
        <f t="array" ref="B969">IFERROR(INDEX('Исходник'!$1:$626,MATCH($A969,'Исходник'!$T:$T,0),MATCH(B$1,'Исходник'!$1:$1,0)))</f>
        <v/>
      </c>
      <c r="C969" s="1" t="str">
        <f t="array" ref="C969">IFERROR(INDEX('Исходник'!$1:$626,MATCH($A969,'Исходник'!$T:$T,0),MATCH(C$1,'Исходник'!$1:$1,0)))</f>
        <v/>
      </c>
      <c r="D969" s="1" t="str">
        <f t="array" ref="D969">IFERROR(INDEX('Исходник'!$1:$626,MATCH($A969,'Исходник'!$T:$T,0),MATCH(D$1,'Исходник'!$1:$1,0)))</f>
        <v/>
      </c>
      <c r="E969" s="1" t="str">
        <f t="array" ref="E969">IFERROR(INDEX('Исходник'!$1:$626,MATCH($A969,'Исходник'!$T:$T,0),MATCH(E$1,'Исходник'!$1:$1,0)))</f>
        <v/>
      </c>
      <c r="F969" s="1" t="str">
        <f t="array" ref="F969">IFERROR(INDEX('Исходник'!$1:$626,MATCH($A969,'Исходник'!$T:$T,0),MATCH(F$1,'Исходник'!$1:$1,0)))</f>
        <v/>
      </c>
      <c r="G969" s="1" t="str">
        <f t="array" ref="G969">IFERROR(INDEX('Исходник'!$1:$626,MATCH($A969,'Исходник'!$T:$T,0),MATCH(G$1,'Исходник'!$1:$1,0)))</f>
        <v/>
      </c>
      <c r="H969" s="27">
        <f t="shared" si="1"/>
        <v>0</v>
      </c>
      <c r="I969" s="27" t="str">
        <f t="shared" si="2"/>
        <v/>
      </c>
      <c r="J969" s="1" t="str">
        <f t="array" ref="J969">IFERROR(INDEX('Исходник'!$1:$626,MATCH($A969,'Исходник'!$T:$T,0),MATCH(J$1,'Исходник'!$1:$1,0)))</f>
        <v/>
      </c>
      <c r="K969" s="27" t="str">
        <f t="shared" si="3"/>
        <v/>
      </c>
      <c r="L969" s="1" t="str">
        <f t="array" ref="L969">IFERROR(INDEX('Исходник'!$1:$626,MATCH($A969,'Исходник'!$T:$T,0),MATCH(L$1,'Исходник'!$1:$1,0)))</f>
        <v/>
      </c>
      <c r="M969" s="28">
        <f t="shared" si="4"/>
        <v>0</v>
      </c>
      <c r="N969" s="1" t="str">
        <f t="array" ref="N969">IFERROR(INDEX('Исходник'!$1:$626,MATCH($A969,'Исходник'!$T:$T,0),MATCH(N$1,'Исходник'!$1:$1,0)))</f>
        <v/>
      </c>
      <c r="O969" s="27">
        <f t="shared" si="5"/>
        <v>0</v>
      </c>
      <c r="P969" s="27" t="str">
        <f t="shared" si="6"/>
        <v/>
      </c>
      <c r="Q969" s="1" t="str">
        <f t="array" ref="Q969">IFERROR(INDEX('Исходник'!$1:$626,MATCH($A969,'Исходник'!$T:$T,0),MATCH(Q$1,'Исходник'!$1:$1,0)))</f>
        <v/>
      </c>
      <c r="R969" s="1" t="str">
        <f t="array" ref="R969">IFERROR(INDEX('Исходник'!$1:$626,MATCH($A969,'Исходник'!$T:$T,0),MATCH(R$1,'Исходник'!$1:$1,0)))</f>
        <v/>
      </c>
      <c r="S969" s="27">
        <f t="shared" si="7"/>
        <v>0</v>
      </c>
      <c r="T969" s="27" t="str">
        <f t="shared" si="8"/>
        <v/>
      </c>
      <c r="U969" s="1" t="str">
        <f t="array" ref="U969">IFERROR(INDEX('Исходник'!$1:$626,MATCH($A969,'Исходник'!$T:$T,0),MATCH(U$1,'Исходник'!$1:$1,0)))</f>
        <v/>
      </c>
      <c r="V969" s="27" t="str">
        <f t="shared" si="9"/>
        <v/>
      </c>
      <c r="W969" s="1" t="str">
        <f t="array" ref="W969">IFERROR(INDEX('Исходник'!$1:$626,MATCH($A969,'Исходник'!$T:$T,0),MATCH(W$1,'Исходник'!$1:$1,0)))</f>
        <v/>
      </c>
      <c r="X969" s="28">
        <f t="shared" si="10"/>
        <v>0</v>
      </c>
      <c r="Y969" s="1" t="str">
        <f t="array" ref="Y969">IFERROR(INDEX('Исходник'!$1:$626,MATCH($A969,'Исходник'!$T:$T,0),MATCH(Y$1,'Исходник'!$1:$1,0)))</f>
        <v/>
      </c>
      <c r="Z969" s="27">
        <f t="shared" si="11"/>
        <v>0</v>
      </c>
      <c r="AA969" s="27" t="str">
        <f t="shared" si="12"/>
        <v/>
      </c>
      <c r="AB969" s="1" t="str">
        <f t="array" ref="AB969">IFERROR(INDEX('Исходник'!$1:$626,MATCH($A969,'Исходник'!$T:$T,0),MATCH(AB$1,'Исходник'!$1:$1,0)))</f>
        <v/>
      </c>
      <c r="AC969" s="1" t="str">
        <f t="array" ref="AC969">IFERROR(INDEX('Исходник'!$1:$626,MATCH($A969,'Исходник'!$T:$T,0),MATCH(AC$1,'Исходник'!$1:$1,0)))</f>
        <v/>
      </c>
      <c r="AD969" s="27" t="str">
        <f t="shared" si="13"/>
        <v/>
      </c>
      <c r="AE969" s="1" t="str">
        <f t="array" ref="AE969">IFERROR(INDEX('Исходник'!$1:$626,MATCH($A969,'Исходник'!$T:$T,0),MATCH(AE$1,'Исходник'!$1:$1,0)))</f>
        <v/>
      </c>
      <c r="AF969" s="1" t="str">
        <f t="array" ref="AF969">IFERROR(INDEX('Исходник'!$1:$626,MATCH($A969,'Исходник'!$T:$T,0),MATCH(AF$1,'Исходник'!$1:$1,0)))</f>
        <v/>
      </c>
      <c r="AG969" s="27" t="str">
        <f t="shared" si="14"/>
        <v/>
      </c>
      <c r="AH969" s="1" t="str">
        <f t="array" ref="AH969">IFERROR(INDEX('Исходник'!$1:$626,MATCH($A969,'Исходник'!$T:$T,0),MATCH(AH$1,'Исходник'!$1:$1,0)))</f>
        <v/>
      </c>
      <c r="AI969" s="1" t="str">
        <f t="array" ref="AI969">IFERROR(INDEX('Исходник'!$1:$626,MATCH($A969,'Исходник'!$T:$T,0),MATCH(AI$1,'Исходник'!$1:$1,0)))</f>
        <v/>
      </c>
      <c r="AJ969" s="18">
        <f t="shared" si="15"/>
        <v>0</v>
      </c>
    </row>
    <row r="970" ht="15.75" customHeight="1">
      <c r="A970" s="27"/>
      <c r="B970" s="1" t="str">
        <f t="array" ref="B970">IFERROR(INDEX('Исходник'!$1:$626,MATCH($A970,'Исходник'!$T:$T,0),MATCH(B$1,'Исходник'!$1:$1,0)))</f>
        <v/>
      </c>
      <c r="C970" s="1" t="str">
        <f t="array" ref="C970">IFERROR(INDEX('Исходник'!$1:$626,MATCH($A970,'Исходник'!$T:$T,0),MATCH(C$1,'Исходник'!$1:$1,0)))</f>
        <v/>
      </c>
      <c r="D970" s="1" t="str">
        <f t="array" ref="D970">IFERROR(INDEX('Исходник'!$1:$626,MATCH($A970,'Исходник'!$T:$T,0),MATCH(D$1,'Исходник'!$1:$1,0)))</f>
        <v/>
      </c>
      <c r="E970" s="1" t="str">
        <f t="array" ref="E970">IFERROR(INDEX('Исходник'!$1:$626,MATCH($A970,'Исходник'!$T:$T,0),MATCH(E$1,'Исходник'!$1:$1,0)))</f>
        <v/>
      </c>
      <c r="F970" s="1" t="str">
        <f t="array" ref="F970">IFERROR(INDEX('Исходник'!$1:$626,MATCH($A970,'Исходник'!$T:$T,0),MATCH(F$1,'Исходник'!$1:$1,0)))</f>
        <v/>
      </c>
      <c r="G970" s="1" t="str">
        <f t="array" ref="G970">IFERROR(INDEX('Исходник'!$1:$626,MATCH($A970,'Исходник'!$T:$T,0),MATCH(G$1,'Исходник'!$1:$1,0)))</f>
        <v/>
      </c>
      <c r="H970" s="27">
        <f t="shared" si="1"/>
        <v>0</v>
      </c>
      <c r="I970" s="27" t="str">
        <f t="shared" si="2"/>
        <v/>
      </c>
      <c r="J970" s="1" t="str">
        <f t="array" ref="J970">IFERROR(INDEX('Исходник'!$1:$626,MATCH($A970,'Исходник'!$T:$T,0),MATCH(J$1,'Исходник'!$1:$1,0)))</f>
        <v/>
      </c>
      <c r="K970" s="27" t="str">
        <f t="shared" si="3"/>
        <v/>
      </c>
      <c r="L970" s="1" t="str">
        <f t="array" ref="L970">IFERROR(INDEX('Исходник'!$1:$626,MATCH($A970,'Исходник'!$T:$T,0),MATCH(L$1,'Исходник'!$1:$1,0)))</f>
        <v/>
      </c>
      <c r="M970" s="28">
        <f t="shared" si="4"/>
        <v>0</v>
      </c>
      <c r="N970" s="1" t="str">
        <f t="array" ref="N970">IFERROR(INDEX('Исходник'!$1:$626,MATCH($A970,'Исходник'!$T:$T,0),MATCH(N$1,'Исходник'!$1:$1,0)))</f>
        <v/>
      </c>
      <c r="O970" s="27">
        <f t="shared" si="5"/>
        <v>0</v>
      </c>
      <c r="P970" s="27" t="str">
        <f t="shared" si="6"/>
        <v/>
      </c>
      <c r="Q970" s="1" t="str">
        <f t="array" ref="Q970">IFERROR(INDEX('Исходник'!$1:$626,MATCH($A970,'Исходник'!$T:$T,0),MATCH(Q$1,'Исходник'!$1:$1,0)))</f>
        <v/>
      </c>
      <c r="R970" s="1" t="str">
        <f t="array" ref="R970">IFERROR(INDEX('Исходник'!$1:$626,MATCH($A970,'Исходник'!$T:$T,0),MATCH(R$1,'Исходник'!$1:$1,0)))</f>
        <v/>
      </c>
      <c r="S970" s="27">
        <f t="shared" si="7"/>
        <v>0</v>
      </c>
      <c r="T970" s="27" t="str">
        <f t="shared" si="8"/>
        <v/>
      </c>
      <c r="U970" s="1" t="str">
        <f t="array" ref="U970">IFERROR(INDEX('Исходник'!$1:$626,MATCH($A970,'Исходник'!$T:$T,0),MATCH(U$1,'Исходник'!$1:$1,0)))</f>
        <v/>
      </c>
      <c r="V970" s="27" t="str">
        <f t="shared" si="9"/>
        <v/>
      </c>
      <c r="W970" s="1" t="str">
        <f t="array" ref="W970">IFERROR(INDEX('Исходник'!$1:$626,MATCH($A970,'Исходник'!$T:$T,0),MATCH(W$1,'Исходник'!$1:$1,0)))</f>
        <v/>
      </c>
      <c r="X970" s="28">
        <f t="shared" si="10"/>
        <v>0</v>
      </c>
      <c r="Y970" s="1" t="str">
        <f t="array" ref="Y970">IFERROR(INDEX('Исходник'!$1:$626,MATCH($A970,'Исходник'!$T:$T,0),MATCH(Y$1,'Исходник'!$1:$1,0)))</f>
        <v/>
      </c>
      <c r="Z970" s="27">
        <f t="shared" si="11"/>
        <v>0</v>
      </c>
      <c r="AA970" s="27" t="str">
        <f t="shared" si="12"/>
        <v/>
      </c>
      <c r="AB970" s="1" t="str">
        <f t="array" ref="AB970">IFERROR(INDEX('Исходник'!$1:$626,MATCH($A970,'Исходник'!$T:$T,0),MATCH(AB$1,'Исходник'!$1:$1,0)))</f>
        <v/>
      </c>
      <c r="AC970" s="1" t="str">
        <f t="array" ref="AC970">IFERROR(INDEX('Исходник'!$1:$626,MATCH($A970,'Исходник'!$T:$T,0),MATCH(AC$1,'Исходник'!$1:$1,0)))</f>
        <v/>
      </c>
      <c r="AD970" s="27" t="str">
        <f t="shared" si="13"/>
        <v/>
      </c>
      <c r="AE970" s="1" t="str">
        <f t="array" ref="AE970">IFERROR(INDEX('Исходник'!$1:$626,MATCH($A970,'Исходник'!$T:$T,0),MATCH(AE$1,'Исходник'!$1:$1,0)))</f>
        <v/>
      </c>
      <c r="AF970" s="1" t="str">
        <f t="array" ref="AF970">IFERROR(INDEX('Исходник'!$1:$626,MATCH($A970,'Исходник'!$T:$T,0),MATCH(AF$1,'Исходник'!$1:$1,0)))</f>
        <v/>
      </c>
      <c r="AG970" s="27" t="str">
        <f t="shared" si="14"/>
        <v/>
      </c>
      <c r="AH970" s="1" t="str">
        <f t="array" ref="AH970">IFERROR(INDEX('Исходник'!$1:$626,MATCH($A970,'Исходник'!$T:$T,0),MATCH(AH$1,'Исходник'!$1:$1,0)))</f>
        <v/>
      </c>
      <c r="AI970" s="1" t="str">
        <f t="array" ref="AI970">IFERROR(INDEX('Исходник'!$1:$626,MATCH($A970,'Исходник'!$T:$T,0),MATCH(AI$1,'Исходник'!$1:$1,0)))</f>
        <v/>
      </c>
      <c r="AJ970" s="18">
        <f t="shared" si="15"/>
        <v>0</v>
      </c>
    </row>
    <row r="971" ht="15.75" customHeight="1">
      <c r="A971" s="27"/>
      <c r="B971" s="1" t="str">
        <f t="array" ref="B971">IFERROR(INDEX('Исходник'!$1:$626,MATCH($A971,'Исходник'!$T:$T,0),MATCH(B$1,'Исходник'!$1:$1,0)))</f>
        <v/>
      </c>
      <c r="C971" s="1" t="str">
        <f t="array" ref="C971">IFERROR(INDEX('Исходник'!$1:$626,MATCH($A971,'Исходник'!$T:$T,0),MATCH(C$1,'Исходник'!$1:$1,0)))</f>
        <v/>
      </c>
      <c r="D971" s="1" t="str">
        <f t="array" ref="D971">IFERROR(INDEX('Исходник'!$1:$626,MATCH($A971,'Исходник'!$T:$T,0),MATCH(D$1,'Исходник'!$1:$1,0)))</f>
        <v/>
      </c>
      <c r="E971" s="1" t="str">
        <f t="array" ref="E971">IFERROR(INDEX('Исходник'!$1:$626,MATCH($A971,'Исходник'!$T:$T,0),MATCH(E$1,'Исходник'!$1:$1,0)))</f>
        <v/>
      </c>
      <c r="F971" s="1" t="str">
        <f t="array" ref="F971">IFERROR(INDEX('Исходник'!$1:$626,MATCH($A971,'Исходник'!$T:$T,0),MATCH(F$1,'Исходник'!$1:$1,0)))</f>
        <v/>
      </c>
      <c r="G971" s="1" t="str">
        <f t="array" ref="G971">IFERROR(INDEX('Исходник'!$1:$626,MATCH($A971,'Исходник'!$T:$T,0),MATCH(G$1,'Исходник'!$1:$1,0)))</f>
        <v/>
      </c>
      <c r="H971" s="27">
        <f t="shared" si="1"/>
        <v>0</v>
      </c>
      <c r="I971" s="27" t="str">
        <f t="shared" si="2"/>
        <v/>
      </c>
      <c r="J971" s="1" t="str">
        <f t="array" ref="J971">IFERROR(INDEX('Исходник'!$1:$626,MATCH($A971,'Исходник'!$T:$T,0),MATCH(J$1,'Исходник'!$1:$1,0)))</f>
        <v/>
      </c>
      <c r="K971" s="27" t="str">
        <f t="shared" si="3"/>
        <v/>
      </c>
      <c r="L971" s="1" t="str">
        <f t="array" ref="L971">IFERROR(INDEX('Исходник'!$1:$626,MATCH($A971,'Исходник'!$T:$T,0),MATCH(L$1,'Исходник'!$1:$1,0)))</f>
        <v/>
      </c>
      <c r="M971" s="28">
        <f t="shared" si="4"/>
        <v>0</v>
      </c>
      <c r="N971" s="1" t="str">
        <f t="array" ref="N971">IFERROR(INDEX('Исходник'!$1:$626,MATCH($A971,'Исходник'!$T:$T,0),MATCH(N$1,'Исходник'!$1:$1,0)))</f>
        <v/>
      </c>
      <c r="O971" s="27">
        <f t="shared" si="5"/>
        <v>0</v>
      </c>
      <c r="P971" s="27" t="str">
        <f t="shared" si="6"/>
        <v/>
      </c>
      <c r="Q971" s="1" t="str">
        <f t="array" ref="Q971">IFERROR(INDEX('Исходник'!$1:$626,MATCH($A971,'Исходник'!$T:$T,0),MATCH(Q$1,'Исходник'!$1:$1,0)))</f>
        <v/>
      </c>
      <c r="R971" s="1" t="str">
        <f t="array" ref="R971">IFERROR(INDEX('Исходник'!$1:$626,MATCH($A971,'Исходник'!$T:$T,0),MATCH(R$1,'Исходник'!$1:$1,0)))</f>
        <v/>
      </c>
      <c r="S971" s="27">
        <f t="shared" si="7"/>
        <v>0</v>
      </c>
      <c r="T971" s="27" t="str">
        <f t="shared" si="8"/>
        <v/>
      </c>
      <c r="U971" s="1" t="str">
        <f t="array" ref="U971">IFERROR(INDEX('Исходник'!$1:$626,MATCH($A971,'Исходник'!$T:$T,0),MATCH(U$1,'Исходник'!$1:$1,0)))</f>
        <v/>
      </c>
      <c r="V971" s="27" t="str">
        <f t="shared" si="9"/>
        <v/>
      </c>
      <c r="W971" s="1" t="str">
        <f t="array" ref="W971">IFERROR(INDEX('Исходник'!$1:$626,MATCH($A971,'Исходник'!$T:$T,0),MATCH(W$1,'Исходник'!$1:$1,0)))</f>
        <v/>
      </c>
      <c r="X971" s="28">
        <f t="shared" si="10"/>
        <v>0</v>
      </c>
      <c r="Y971" s="1" t="str">
        <f t="array" ref="Y971">IFERROR(INDEX('Исходник'!$1:$626,MATCH($A971,'Исходник'!$T:$T,0),MATCH(Y$1,'Исходник'!$1:$1,0)))</f>
        <v/>
      </c>
      <c r="Z971" s="27">
        <f t="shared" si="11"/>
        <v>0</v>
      </c>
      <c r="AA971" s="27" t="str">
        <f t="shared" si="12"/>
        <v/>
      </c>
      <c r="AB971" s="1" t="str">
        <f t="array" ref="AB971">IFERROR(INDEX('Исходник'!$1:$626,MATCH($A971,'Исходник'!$T:$T,0),MATCH(AB$1,'Исходник'!$1:$1,0)))</f>
        <v/>
      </c>
      <c r="AC971" s="1" t="str">
        <f t="array" ref="AC971">IFERROR(INDEX('Исходник'!$1:$626,MATCH($A971,'Исходник'!$T:$T,0),MATCH(AC$1,'Исходник'!$1:$1,0)))</f>
        <v/>
      </c>
      <c r="AD971" s="27" t="str">
        <f t="shared" si="13"/>
        <v/>
      </c>
      <c r="AE971" s="1" t="str">
        <f t="array" ref="AE971">IFERROR(INDEX('Исходник'!$1:$626,MATCH($A971,'Исходник'!$T:$T,0),MATCH(AE$1,'Исходник'!$1:$1,0)))</f>
        <v/>
      </c>
      <c r="AF971" s="1" t="str">
        <f t="array" ref="AF971">IFERROR(INDEX('Исходник'!$1:$626,MATCH($A971,'Исходник'!$T:$T,0),MATCH(AF$1,'Исходник'!$1:$1,0)))</f>
        <v/>
      </c>
      <c r="AG971" s="27" t="str">
        <f t="shared" si="14"/>
        <v/>
      </c>
      <c r="AH971" s="1" t="str">
        <f t="array" ref="AH971">IFERROR(INDEX('Исходник'!$1:$626,MATCH($A971,'Исходник'!$T:$T,0),MATCH(AH$1,'Исходник'!$1:$1,0)))</f>
        <v/>
      </c>
      <c r="AI971" s="1" t="str">
        <f t="array" ref="AI971">IFERROR(INDEX('Исходник'!$1:$626,MATCH($A971,'Исходник'!$T:$T,0),MATCH(AI$1,'Исходник'!$1:$1,0)))</f>
        <v/>
      </c>
      <c r="AJ971" s="18">
        <f t="shared" si="15"/>
        <v>0</v>
      </c>
    </row>
    <row r="972" ht="15.75" customHeight="1">
      <c r="A972" s="27"/>
      <c r="B972" s="1" t="str">
        <f t="array" ref="B972">IFERROR(INDEX('Исходник'!$1:$626,MATCH($A972,'Исходник'!$T:$T,0),MATCH(B$1,'Исходник'!$1:$1,0)))</f>
        <v/>
      </c>
      <c r="C972" s="1" t="str">
        <f t="array" ref="C972">IFERROR(INDEX('Исходник'!$1:$626,MATCH($A972,'Исходник'!$T:$T,0),MATCH(C$1,'Исходник'!$1:$1,0)))</f>
        <v/>
      </c>
      <c r="D972" s="1" t="str">
        <f t="array" ref="D972">IFERROR(INDEX('Исходник'!$1:$626,MATCH($A972,'Исходник'!$T:$T,0),MATCH(D$1,'Исходник'!$1:$1,0)))</f>
        <v/>
      </c>
      <c r="E972" s="1" t="str">
        <f t="array" ref="E972">IFERROR(INDEX('Исходник'!$1:$626,MATCH($A972,'Исходник'!$T:$T,0),MATCH(E$1,'Исходник'!$1:$1,0)))</f>
        <v/>
      </c>
      <c r="F972" s="1" t="str">
        <f t="array" ref="F972">IFERROR(INDEX('Исходник'!$1:$626,MATCH($A972,'Исходник'!$T:$T,0),MATCH(F$1,'Исходник'!$1:$1,0)))</f>
        <v/>
      </c>
      <c r="G972" s="1" t="str">
        <f t="array" ref="G972">IFERROR(INDEX('Исходник'!$1:$626,MATCH($A972,'Исходник'!$T:$T,0),MATCH(G$1,'Исходник'!$1:$1,0)))</f>
        <v/>
      </c>
      <c r="H972" s="27">
        <f t="shared" si="1"/>
        <v>0</v>
      </c>
      <c r="I972" s="27" t="str">
        <f t="shared" si="2"/>
        <v/>
      </c>
      <c r="J972" s="1" t="str">
        <f t="array" ref="J972">IFERROR(INDEX('Исходник'!$1:$626,MATCH($A972,'Исходник'!$T:$T,0),MATCH(J$1,'Исходник'!$1:$1,0)))</f>
        <v/>
      </c>
      <c r="K972" s="27" t="str">
        <f t="shared" si="3"/>
        <v/>
      </c>
      <c r="L972" s="1" t="str">
        <f t="array" ref="L972">IFERROR(INDEX('Исходник'!$1:$626,MATCH($A972,'Исходник'!$T:$T,0),MATCH(L$1,'Исходник'!$1:$1,0)))</f>
        <v/>
      </c>
      <c r="M972" s="28">
        <f t="shared" si="4"/>
        <v>0</v>
      </c>
      <c r="N972" s="1" t="str">
        <f t="array" ref="N972">IFERROR(INDEX('Исходник'!$1:$626,MATCH($A972,'Исходник'!$T:$T,0),MATCH(N$1,'Исходник'!$1:$1,0)))</f>
        <v/>
      </c>
      <c r="O972" s="27">
        <f t="shared" si="5"/>
        <v>0</v>
      </c>
      <c r="P972" s="27" t="str">
        <f t="shared" si="6"/>
        <v/>
      </c>
      <c r="Q972" s="1" t="str">
        <f t="array" ref="Q972">IFERROR(INDEX('Исходник'!$1:$626,MATCH($A972,'Исходник'!$T:$T,0),MATCH(Q$1,'Исходник'!$1:$1,0)))</f>
        <v/>
      </c>
      <c r="R972" s="1" t="str">
        <f t="array" ref="R972">IFERROR(INDEX('Исходник'!$1:$626,MATCH($A972,'Исходник'!$T:$T,0),MATCH(R$1,'Исходник'!$1:$1,0)))</f>
        <v/>
      </c>
      <c r="S972" s="27">
        <f t="shared" si="7"/>
        <v>0</v>
      </c>
      <c r="T972" s="27" t="str">
        <f t="shared" si="8"/>
        <v/>
      </c>
      <c r="U972" s="1" t="str">
        <f t="array" ref="U972">IFERROR(INDEX('Исходник'!$1:$626,MATCH($A972,'Исходник'!$T:$T,0),MATCH(U$1,'Исходник'!$1:$1,0)))</f>
        <v/>
      </c>
      <c r="V972" s="27" t="str">
        <f t="shared" si="9"/>
        <v/>
      </c>
      <c r="W972" s="1" t="str">
        <f t="array" ref="W972">IFERROR(INDEX('Исходник'!$1:$626,MATCH($A972,'Исходник'!$T:$T,0),MATCH(W$1,'Исходник'!$1:$1,0)))</f>
        <v/>
      </c>
      <c r="X972" s="28">
        <f t="shared" si="10"/>
        <v>0</v>
      </c>
      <c r="Y972" s="1" t="str">
        <f t="array" ref="Y972">IFERROR(INDEX('Исходник'!$1:$626,MATCH($A972,'Исходник'!$T:$T,0),MATCH(Y$1,'Исходник'!$1:$1,0)))</f>
        <v/>
      </c>
      <c r="Z972" s="27">
        <f t="shared" si="11"/>
        <v>0</v>
      </c>
      <c r="AA972" s="27" t="str">
        <f t="shared" si="12"/>
        <v/>
      </c>
      <c r="AB972" s="1" t="str">
        <f t="array" ref="AB972">IFERROR(INDEX('Исходник'!$1:$626,MATCH($A972,'Исходник'!$T:$T,0),MATCH(AB$1,'Исходник'!$1:$1,0)))</f>
        <v/>
      </c>
      <c r="AC972" s="1" t="str">
        <f t="array" ref="AC972">IFERROR(INDEX('Исходник'!$1:$626,MATCH($A972,'Исходник'!$T:$T,0),MATCH(AC$1,'Исходник'!$1:$1,0)))</f>
        <v/>
      </c>
      <c r="AD972" s="27" t="str">
        <f t="shared" si="13"/>
        <v/>
      </c>
      <c r="AE972" s="1" t="str">
        <f t="array" ref="AE972">IFERROR(INDEX('Исходник'!$1:$626,MATCH($A972,'Исходник'!$T:$T,0),MATCH(AE$1,'Исходник'!$1:$1,0)))</f>
        <v/>
      </c>
      <c r="AF972" s="1" t="str">
        <f t="array" ref="AF972">IFERROR(INDEX('Исходник'!$1:$626,MATCH($A972,'Исходник'!$T:$T,0),MATCH(AF$1,'Исходник'!$1:$1,0)))</f>
        <v/>
      </c>
      <c r="AG972" s="27" t="str">
        <f t="shared" si="14"/>
        <v/>
      </c>
      <c r="AH972" s="1" t="str">
        <f t="array" ref="AH972">IFERROR(INDEX('Исходник'!$1:$626,MATCH($A972,'Исходник'!$T:$T,0),MATCH(AH$1,'Исходник'!$1:$1,0)))</f>
        <v/>
      </c>
      <c r="AI972" s="1" t="str">
        <f t="array" ref="AI972">IFERROR(INDEX('Исходник'!$1:$626,MATCH($A972,'Исходник'!$T:$T,0),MATCH(AI$1,'Исходник'!$1:$1,0)))</f>
        <v/>
      </c>
      <c r="AJ972" s="18">
        <f t="shared" si="15"/>
        <v>0</v>
      </c>
    </row>
    <row r="973" ht="15.75" customHeight="1">
      <c r="A973" s="27"/>
      <c r="B973" s="1" t="str">
        <f t="array" ref="B973">IFERROR(INDEX('Исходник'!$1:$626,MATCH($A973,'Исходник'!$T:$T,0),MATCH(B$1,'Исходник'!$1:$1,0)))</f>
        <v/>
      </c>
      <c r="C973" s="1" t="str">
        <f t="array" ref="C973">IFERROR(INDEX('Исходник'!$1:$626,MATCH($A973,'Исходник'!$T:$T,0),MATCH(C$1,'Исходник'!$1:$1,0)))</f>
        <v/>
      </c>
      <c r="D973" s="1" t="str">
        <f t="array" ref="D973">IFERROR(INDEX('Исходник'!$1:$626,MATCH($A973,'Исходник'!$T:$T,0),MATCH(D$1,'Исходник'!$1:$1,0)))</f>
        <v/>
      </c>
      <c r="E973" s="1" t="str">
        <f t="array" ref="E973">IFERROR(INDEX('Исходник'!$1:$626,MATCH($A973,'Исходник'!$T:$T,0),MATCH(E$1,'Исходник'!$1:$1,0)))</f>
        <v/>
      </c>
      <c r="F973" s="1" t="str">
        <f t="array" ref="F973">IFERROR(INDEX('Исходник'!$1:$626,MATCH($A973,'Исходник'!$T:$T,0),MATCH(F$1,'Исходник'!$1:$1,0)))</f>
        <v/>
      </c>
      <c r="G973" s="1" t="str">
        <f t="array" ref="G973">IFERROR(INDEX('Исходник'!$1:$626,MATCH($A973,'Исходник'!$T:$T,0),MATCH(G$1,'Исходник'!$1:$1,0)))</f>
        <v/>
      </c>
      <c r="H973" s="27">
        <f t="shared" si="1"/>
        <v>0</v>
      </c>
      <c r="I973" s="27" t="str">
        <f t="shared" si="2"/>
        <v/>
      </c>
      <c r="J973" s="1" t="str">
        <f t="array" ref="J973">IFERROR(INDEX('Исходник'!$1:$626,MATCH($A973,'Исходник'!$T:$T,0),MATCH(J$1,'Исходник'!$1:$1,0)))</f>
        <v/>
      </c>
      <c r="K973" s="27" t="str">
        <f t="shared" si="3"/>
        <v/>
      </c>
      <c r="L973" s="1" t="str">
        <f t="array" ref="L973">IFERROR(INDEX('Исходник'!$1:$626,MATCH($A973,'Исходник'!$T:$T,0),MATCH(L$1,'Исходник'!$1:$1,0)))</f>
        <v/>
      </c>
      <c r="M973" s="28">
        <f t="shared" si="4"/>
        <v>0</v>
      </c>
      <c r="N973" s="1" t="str">
        <f t="array" ref="N973">IFERROR(INDEX('Исходник'!$1:$626,MATCH($A973,'Исходник'!$T:$T,0),MATCH(N$1,'Исходник'!$1:$1,0)))</f>
        <v/>
      </c>
      <c r="O973" s="27">
        <f t="shared" si="5"/>
        <v>0</v>
      </c>
      <c r="P973" s="27" t="str">
        <f t="shared" si="6"/>
        <v/>
      </c>
      <c r="Q973" s="1" t="str">
        <f t="array" ref="Q973">IFERROR(INDEX('Исходник'!$1:$626,MATCH($A973,'Исходник'!$T:$T,0),MATCH(Q$1,'Исходник'!$1:$1,0)))</f>
        <v/>
      </c>
      <c r="R973" s="1" t="str">
        <f t="array" ref="R973">IFERROR(INDEX('Исходник'!$1:$626,MATCH($A973,'Исходник'!$T:$T,0),MATCH(R$1,'Исходник'!$1:$1,0)))</f>
        <v/>
      </c>
      <c r="S973" s="27">
        <f t="shared" si="7"/>
        <v>0</v>
      </c>
      <c r="T973" s="27" t="str">
        <f t="shared" si="8"/>
        <v/>
      </c>
      <c r="U973" s="1" t="str">
        <f t="array" ref="U973">IFERROR(INDEX('Исходник'!$1:$626,MATCH($A973,'Исходник'!$T:$T,0),MATCH(U$1,'Исходник'!$1:$1,0)))</f>
        <v/>
      </c>
      <c r="V973" s="27" t="str">
        <f t="shared" si="9"/>
        <v/>
      </c>
      <c r="W973" s="1" t="str">
        <f t="array" ref="W973">IFERROR(INDEX('Исходник'!$1:$626,MATCH($A973,'Исходник'!$T:$T,0),MATCH(W$1,'Исходник'!$1:$1,0)))</f>
        <v/>
      </c>
      <c r="X973" s="28">
        <f t="shared" si="10"/>
        <v>0</v>
      </c>
      <c r="Y973" s="1" t="str">
        <f t="array" ref="Y973">IFERROR(INDEX('Исходник'!$1:$626,MATCH($A973,'Исходник'!$T:$T,0),MATCH(Y$1,'Исходник'!$1:$1,0)))</f>
        <v/>
      </c>
      <c r="Z973" s="27">
        <f t="shared" si="11"/>
        <v>0</v>
      </c>
      <c r="AA973" s="27" t="str">
        <f t="shared" si="12"/>
        <v/>
      </c>
      <c r="AB973" s="1" t="str">
        <f t="array" ref="AB973">IFERROR(INDEX('Исходник'!$1:$626,MATCH($A973,'Исходник'!$T:$T,0),MATCH(AB$1,'Исходник'!$1:$1,0)))</f>
        <v/>
      </c>
      <c r="AC973" s="1" t="str">
        <f t="array" ref="AC973">IFERROR(INDEX('Исходник'!$1:$626,MATCH($A973,'Исходник'!$T:$T,0),MATCH(AC$1,'Исходник'!$1:$1,0)))</f>
        <v/>
      </c>
      <c r="AD973" s="27" t="str">
        <f t="shared" si="13"/>
        <v/>
      </c>
      <c r="AE973" s="1" t="str">
        <f t="array" ref="AE973">IFERROR(INDEX('Исходник'!$1:$626,MATCH($A973,'Исходник'!$T:$T,0),MATCH(AE$1,'Исходник'!$1:$1,0)))</f>
        <v/>
      </c>
      <c r="AF973" s="1" t="str">
        <f t="array" ref="AF973">IFERROR(INDEX('Исходник'!$1:$626,MATCH($A973,'Исходник'!$T:$T,0),MATCH(AF$1,'Исходник'!$1:$1,0)))</f>
        <v/>
      </c>
      <c r="AG973" s="27" t="str">
        <f t="shared" si="14"/>
        <v/>
      </c>
      <c r="AH973" s="1" t="str">
        <f t="array" ref="AH973">IFERROR(INDEX('Исходник'!$1:$626,MATCH($A973,'Исходник'!$T:$T,0),MATCH(AH$1,'Исходник'!$1:$1,0)))</f>
        <v/>
      </c>
      <c r="AI973" s="1" t="str">
        <f t="array" ref="AI973">IFERROR(INDEX('Исходник'!$1:$626,MATCH($A973,'Исходник'!$T:$T,0),MATCH(AI$1,'Исходник'!$1:$1,0)))</f>
        <v/>
      </c>
      <c r="AJ973" s="18">
        <f t="shared" si="15"/>
        <v>0</v>
      </c>
    </row>
    <row r="974" ht="15.75" customHeight="1">
      <c r="A974" s="27"/>
      <c r="B974" s="1" t="str">
        <f t="array" ref="B974">IFERROR(INDEX('Исходник'!$1:$626,MATCH($A974,'Исходник'!$T:$T,0),MATCH(B$1,'Исходник'!$1:$1,0)))</f>
        <v/>
      </c>
      <c r="C974" s="1" t="str">
        <f t="array" ref="C974">IFERROR(INDEX('Исходник'!$1:$626,MATCH($A974,'Исходник'!$T:$T,0),MATCH(C$1,'Исходник'!$1:$1,0)))</f>
        <v/>
      </c>
      <c r="D974" s="1" t="str">
        <f t="array" ref="D974">IFERROR(INDEX('Исходник'!$1:$626,MATCH($A974,'Исходник'!$T:$T,0),MATCH(D$1,'Исходник'!$1:$1,0)))</f>
        <v/>
      </c>
      <c r="E974" s="1" t="str">
        <f t="array" ref="E974">IFERROR(INDEX('Исходник'!$1:$626,MATCH($A974,'Исходник'!$T:$T,0),MATCH(E$1,'Исходник'!$1:$1,0)))</f>
        <v/>
      </c>
      <c r="F974" s="1" t="str">
        <f t="array" ref="F974">IFERROR(INDEX('Исходник'!$1:$626,MATCH($A974,'Исходник'!$T:$T,0),MATCH(F$1,'Исходник'!$1:$1,0)))</f>
        <v/>
      </c>
      <c r="G974" s="1" t="str">
        <f t="array" ref="G974">IFERROR(INDEX('Исходник'!$1:$626,MATCH($A974,'Исходник'!$T:$T,0),MATCH(G$1,'Исходник'!$1:$1,0)))</f>
        <v/>
      </c>
      <c r="H974" s="27">
        <f t="shared" si="1"/>
        <v>0</v>
      </c>
      <c r="I974" s="27" t="str">
        <f t="shared" si="2"/>
        <v/>
      </c>
      <c r="J974" s="1" t="str">
        <f t="array" ref="J974">IFERROR(INDEX('Исходник'!$1:$626,MATCH($A974,'Исходник'!$T:$T,0),MATCH(J$1,'Исходник'!$1:$1,0)))</f>
        <v/>
      </c>
      <c r="K974" s="27" t="str">
        <f t="shared" si="3"/>
        <v/>
      </c>
      <c r="L974" s="1" t="str">
        <f t="array" ref="L974">IFERROR(INDEX('Исходник'!$1:$626,MATCH($A974,'Исходник'!$T:$T,0),MATCH(L$1,'Исходник'!$1:$1,0)))</f>
        <v/>
      </c>
      <c r="M974" s="28">
        <f t="shared" si="4"/>
        <v>0</v>
      </c>
      <c r="N974" s="1" t="str">
        <f t="array" ref="N974">IFERROR(INDEX('Исходник'!$1:$626,MATCH($A974,'Исходник'!$T:$T,0),MATCH(N$1,'Исходник'!$1:$1,0)))</f>
        <v/>
      </c>
      <c r="O974" s="27">
        <f t="shared" si="5"/>
        <v>0</v>
      </c>
      <c r="P974" s="27" t="str">
        <f t="shared" si="6"/>
        <v/>
      </c>
      <c r="Q974" s="1" t="str">
        <f t="array" ref="Q974">IFERROR(INDEX('Исходник'!$1:$626,MATCH($A974,'Исходник'!$T:$T,0),MATCH(Q$1,'Исходник'!$1:$1,0)))</f>
        <v/>
      </c>
      <c r="R974" s="1" t="str">
        <f t="array" ref="R974">IFERROR(INDEX('Исходник'!$1:$626,MATCH($A974,'Исходник'!$T:$T,0),MATCH(R$1,'Исходник'!$1:$1,0)))</f>
        <v/>
      </c>
      <c r="S974" s="27">
        <f t="shared" si="7"/>
        <v>0</v>
      </c>
      <c r="T974" s="27" t="str">
        <f t="shared" si="8"/>
        <v/>
      </c>
      <c r="U974" s="1" t="str">
        <f t="array" ref="U974">IFERROR(INDEX('Исходник'!$1:$626,MATCH($A974,'Исходник'!$T:$T,0),MATCH(U$1,'Исходник'!$1:$1,0)))</f>
        <v/>
      </c>
      <c r="V974" s="27" t="str">
        <f t="shared" si="9"/>
        <v/>
      </c>
      <c r="W974" s="1" t="str">
        <f t="array" ref="W974">IFERROR(INDEX('Исходник'!$1:$626,MATCH($A974,'Исходник'!$T:$T,0),MATCH(W$1,'Исходник'!$1:$1,0)))</f>
        <v/>
      </c>
      <c r="X974" s="28">
        <f t="shared" si="10"/>
        <v>0</v>
      </c>
      <c r="Y974" s="1" t="str">
        <f t="array" ref="Y974">IFERROR(INDEX('Исходник'!$1:$626,MATCH($A974,'Исходник'!$T:$T,0),MATCH(Y$1,'Исходник'!$1:$1,0)))</f>
        <v/>
      </c>
      <c r="Z974" s="27">
        <f t="shared" si="11"/>
        <v>0</v>
      </c>
      <c r="AA974" s="27" t="str">
        <f t="shared" si="12"/>
        <v/>
      </c>
      <c r="AB974" s="1" t="str">
        <f t="array" ref="AB974">IFERROR(INDEX('Исходник'!$1:$626,MATCH($A974,'Исходник'!$T:$T,0),MATCH(AB$1,'Исходник'!$1:$1,0)))</f>
        <v/>
      </c>
      <c r="AC974" s="1" t="str">
        <f t="array" ref="AC974">IFERROR(INDEX('Исходник'!$1:$626,MATCH($A974,'Исходник'!$T:$T,0),MATCH(AC$1,'Исходник'!$1:$1,0)))</f>
        <v/>
      </c>
      <c r="AD974" s="27" t="str">
        <f t="shared" si="13"/>
        <v/>
      </c>
      <c r="AE974" s="1" t="str">
        <f t="array" ref="AE974">IFERROR(INDEX('Исходник'!$1:$626,MATCH($A974,'Исходник'!$T:$T,0),MATCH(AE$1,'Исходник'!$1:$1,0)))</f>
        <v/>
      </c>
      <c r="AF974" s="1" t="str">
        <f t="array" ref="AF974">IFERROR(INDEX('Исходник'!$1:$626,MATCH($A974,'Исходник'!$T:$T,0),MATCH(AF$1,'Исходник'!$1:$1,0)))</f>
        <v/>
      </c>
      <c r="AG974" s="27" t="str">
        <f t="shared" si="14"/>
        <v/>
      </c>
      <c r="AH974" s="1" t="str">
        <f t="array" ref="AH974">IFERROR(INDEX('Исходник'!$1:$626,MATCH($A974,'Исходник'!$T:$T,0),MATCH(AH$1,'Исходник'!$1:$1,0)))</f>
        <v/>
      </c>
      <c r="AI974" s="1" t="str">
        <f t="array" ref="AI974">IFERROR(INDEX('Исходник'!$1:$626,MATCH($A974,'Исходник'!$T:$T,0),MATCH(AI$1,'Исходник'!$1:$1,0)))</f>
        <v/>
      </c>
      <c r="AJ974" s="18">
        <f t="shared" si="15"/>
        <v>0</v>
      </c>
    </row>
    <row r="975" ht="15.75" customHeight="1">
      <c r="A975" s="27"/>
      <c r="B975" s="1" t="str">
        <f t="array" ref="B975">IFERROR(INDEX('Исходник'!$1:$626,MATCH($A975,'Исходник'!$T:$T,0),MATCH(B$1,'Исходник'!$1:$1,0)))</f>
        <v/>
      </c>
      <c r="C975" s="1" t="str">
        <f t="array" ref="C975">IFERROR(INDEX('Исходник'!$1:$626,MATCH($A975,'Исходник'!$T:$T,0),MATCH(C$1,'Исходник'!$1:$1,0)))</f>
        <v/>
      </c>
      <c r="D975" s="1" t="str">
        <f t="array" ref="D975">IFERROR(INDEX('Исходник'!$1:$626,MATCH($A975,'Исходник'!$T:$T,0),MATCH(D$1,'Исходник'!$1:$1,0)))</f>
        <v/>
      </c>
      <c r="E975" s="1" t="str">
        <f t="array" ref="E975">IFERROR(INDEX('Исходник'!$1:$626,MATCH($A975,'Исходник'!$T:$T,0),MATCH(E$1,'Исходник'!$1:$1,0)))</f>
        <v/>
      </c>
      <c r="F975" s="1" t="str">
        <f t="array" ref="F975">IFERROR(INDEX('Исходник'!$1:$626,MATCH($A975,'Исходник'!$T:$T,0),MATCH(F$1,'Исходник'!$1:$1,0)))</f>
        <v/>
      </c>
      <c r="G975" s="1" t="str">
        <f t="array" ref="G975">IFERROR(INDEX('Исходник'!$1:$626,MATCH($A975,'Исходник'!$T:$T,0),MATCH(G$1,'Исходник'!$1:$1,0)))</f>
        <v/>
      </c>
      <c r="H975" s="27">
        <f t="shared" si="1"/>
        <v>0</v>
      </c>
      <c r="I975" s="27" t="str">
        <f t="shared" si="2"/>
        <v/>
      </c>
      <c r="J975" s="1" t="str">
        <f t="array" ref="J975">IFERROR(INDEX('Исходник'!$1:$626,MATCH($A975,'Исходник'!$T:$T,0),MATCH(J$1,'Исходник'!$1:$1,0)))</f>
        <v/>
      </c>
      <c r="K975" s="27" t="str">
        <f t="shared" si="3"/>
        <v/>
      </c>
      <c r="L975" s="1" t="str">
        <f t="array" ref="L975">IFERROR(INDEX('Исходник'!$1:$626,MATCH($A975,'Исходник'!$T:$T,0),MATCH(L$1,'Исходник'!$1:$1,0)))</f>
        <v/>
      </c>
      <c r="M975" s="28">
        <f t="shared" si="4"/>
        <v>0</v>
      </c>
      <c r="N975" s="1" t="str">
        <f t="array" ref="N975">IFERROR(INDEX('Исходник'!$1:$626,MATCH($A975,'Исходник'!$T:$T,0),MATCH(N$1,'Исходник'!$1:$1,0)))</f>
        <v/>
      </c>
      <c r="O975" s="27">
        <f t="shared" si="5"/>
        <v>0</v>
      </c>
      <c r="P975" s="27" t="str">
        <f t="shared" si="6"/>
        <v/>
      </c>
      <c r="Q975" s="1" t="str">
        <f t="array" ref="Q975">IFERROR(INDEX('Исходник'!$1:$626,MATCH($A975,'Исходник'!$T:$T,0),MATCH(Q$1,'Исходник'!$1:$1,0)))</f>
        <v/>
      </c>
      <c r="R975" s="1" t="str">
        <f t="array" ref="R975">IFERROR(INDEX('Исходник'!$1:$626,MATCH($A975,'Исходник'!$T:$T,0),MATCH(R$1,'Исходник'!$1:$1,0)))</f>
        <v/>
      </c>
      <c r="S975" s="27">
        <f t="shared" si="7"/>
        <v>0</v>
      </c>
      <c r="T975" s="27" t="str">
        <f t="shared" si="8"/>
        <v/>
      </c>
      <c r="U975" s="1" t="str">
        <f t="array" ref="U975">IFERROR(INDEX('Исходник'!$1:$626,MATCH($A975,'Исходник'!$T:$T,0),MATCH(U$1,'Исходник'!$1:$1,0)))</f>
        <v/>
      </c>
      <c r="V975" s="27" t="str">
        <f t="shared" si="9"/>
        <v/>
      </c>
      <c r="W975" s="1" t="str">
        <f t="array" ref="W975">IFERROR(INDEX('Исходник'!$1:$626,MATCH($A975,'Исходник'!$T:$T,0),MATCH(W$1,'Исходник'!$1:$1,0)))</f>
        <v/>
      </c>
      <c r="X975" s="28">
        <f t="shared" si="10"/>
        <v>0</v>
      </c>
      <c r="Y975" s="1" t="str">
        <f t="array" ref="Y975">IFERROR(INDEX('Исходник'!$1:$626,MATCH($A975,'Исходник'!$T:$T,0),MATCH(Y$1,'Исходник'!$1:$1,0)))</f>
        <v/>
      </c>
      <c r="Z975" s="27">
        <f t="shared" si="11"/>
        <v>0</v>
      </c>
      <c r="AA975" s="27" t="str">
        <f t="shared" si="12"/>
        <v/>
      </c>
      <c r="AB975" s="1" t="str">
        <f t="array" ref="AB975">IFERROR(INDEX('Исходник'!$1:$626,MATCH($A975,'Исходник'!$T:$T,0),MATCH(AB$1,'Исходник'!$1:$1,0)))</f>
        <v/>
      </c>
      <c r="AC975" s="1" t="str">
        <f t="array" ref="AC975">IFERROR(INDEX('Исходник'!$1:$626,MATCH($A975,'Исходник'!$T:$T,0),MATCH(AC$1,'Исходник'!$1:$1,0)))</f>
        <v/>
      </c>
      <c r="AD975" s="27" t="str">
        <f t="shared" si="13"/>
        <v/>
      </c>
      <c r="AE975" s="1" t="str">
        <f t="array" ref="AE975">IFERROR(INDEX('Исходник'!$1:$626,MATCH($A975,'Исходник'!$T:$T,0),MATCH(AE$1,'Исходник'!$1:$1,0)))</f>
        <v/>
      </c>
      <c r="AF975" s="1" t="str">
        <f t="array" ref="AF975">IFERROR(INDEX('Исходник'!$1:$626,MATCH($A975,'Исходник'!$T:$T,0),MATCH(AF$1,'Исходник'!$1:$1,0)))</f>
        <v/>
      </c>
      <c r="AG975" s="27" t="str">
        <f t="shared" si="14"/>
        <v/>
      </c>
      <c r="AH975" s="1" t="str">
        <f t="array" ref="AH975">IFERROR(INDEX('Исходник'!$1:$626,MATCH($A975,'Исходник'!$T:$T,0),MATCH(AH$1,'Исходник'!$1:$1,0)))</f>
        <v/>
      </c>
      <c r="AI975" s="1" t="str">
        <f t="array" ref="AI975">IFERROR(INDEX('Исходник'!$1:$626,MATCH($A975,'Исходник'!$T:$T,0),MATCH(AI$1,'Исходник'!$1:$1,0)))</f>
        <v/>
      </c>
      <c r="AJ975" s="18">
        <f t="shared" si="15"/>
        <v>0</v>
      </c>
    </row>
    <row r="976" ht="15.75" customHeight="1">
      <c r="A976" s="27"/>
      <c r="B976" s="1" t="str">
        <f t="array" ref="B976">IFERROR(INDEX('Исходник'!$1:$626,MATCH($A976,'Исходник'!$T:$T,0),MATCH(B$1,'Исходник'!$1:$1,0)))</f>
        <v/>
      </c>
      <c r="C976" s="1" t="str">
        <f t="array" ref="C976">IFERROR(INDEX('Исходник'!$1:$626,MATCH($A976,'Исходник'!$T:$T,0),MATCH(C$1,'Исходник'!$1:$1,0)))</f>
        <v/>
      </c>
      <c r="D976" s="1" t="str">
        <f t="array" ref="D976">IFERROR(INDEX('Исходник'!$1:$626,MATCH($A976,'Исходник'!$T:$T,0),MATCH(D$1,'Исходник'!$1:$1,0)))</f>
        <v/>
      </c>
      <c r="E976" s="1" t="str">
        <f t="array" ref="E976">IFERROR(INDEX('Исходник'!$1:$626,MATCH($A976,'Исходник'!$T:$T,0),MATCH(E$1,'Исходник'!$1:$1,0)))</f>
        <v/>
      </c>
      <c r="F976" s="1" t="str">
        <f t="array" ref="F976">IFERROR(INDEX('Исходник'!$1:$626,MATCH($A976,'Исходник'!$T:$T,0),MATCH(F$1,'Исходник'!$1:$1,0)))</f>
        <v/>
      </c>
      <c r="G976" s="1" t="str">
        <f t="array" ref="G976">IFERROR(INDEX('Исходник'!$1:$626,MATCH($A976,'Исходник'!$T:$T,0),MATCH(G$1,'Исходник'!$1:$1,0)))</f>
        <v/>
      </c>
      <c r="H976" s="27">
        <f t="shared" si="1"/>
        <v>0</v>
      </c>
      <c r="I976" s="27" t="str">
        <f t="shared" si="2"/>
        <v/>
      </c>
      <c r="J976" s="1" t="str">
        <f t="array" ref="J976">IFERROR(INDEX('Исходник'!$1:$626,MATCH($A976,'Исходник'!$T:$T,0),MATCH(J$1,'Исходник'!$1:$1,0)))</f>
        <v/>
      </c>
      <c r="K976" s="27" t="str">
        <f t="shared" si="3"/>
        <v/>
      </c>
      <c r="L976" s="1" t="str">
        <f t="array" ref="L976">IFERROR(INDEX('Исходник'!$1:$626,MATCH($A976,'Исходник'!$T:$T,0),MATCH(L$1,'Исходник'!$1:$1,0)))</f>
        <v/>
      </c>
      <c r="M976" s="28">
        <f t="shared" si="4"/>
        <v>0</v>
      </c>
      <c r="N976" s="1" t="str">
        <f t="array" ref="N976">IFERROR(INDEX('Исходник'!$1:$626,MATCH($A976,'Исходник'!$T:$T,0),MATCH(N$1,'Исходник'!$1:$1,0)))</f>
        <v/>
      </c>
      <c r="O976" s="27">
        <f t="shared" si="5"/>
        <v>0</v>
      </c>
      <c r="P976" s="27" t="str">
        <f t="shared" si="6"/>
        <v/>
      </c>
      <c r="Q976" s="1" t="str">
        <f t="array" ref="Q976">IFERROR(INDEX('Исходник'!$1:$626,MATCH($A976,'Исходник'!$T:$T,0),MATCH(Q$1,'Исходник'!$1:$1,0)))</f>
        <v/>
      </c>
      <c r="R976" s="1" t="str">
        <f t="array" ref="R976">IFERROR(INDEX('Исходник'!$1:$626,MATCH($A976,'Исходник'!$T:$T,0),MATCH(R$1,'Исходник'!$1:$1,0)))</f>
        <v/>
      </c>
      <c r="S976" s="27">
        <f t="shared" si="7"/>
        <v>0</v>
      </c>
      <c r="T976" s="27" t="str">
        <f t="shared" si="8"/>
        <v/>
      </c>
      <c r="U976" s="1" t="str">
        <f t="array" ref="U976">IFERROR(INDEX('Исходник'!$1:$626,MATCH($A976,'Исходник'!$T:$T,0),MATCH(U$1,'Исходник'!$1:$1,0)))</f>
        <v/>
      </c>
      <c r="V976" s="27" t="str">
        <f t="shared" si="9"/>
        <v/>
      </c>
      <c r="W976" s="1" t="str">
        <f t="array" ref="W976">IFERROR(INDEX('Исходник'!$1:$626,MATCH($A976,'Исходник'!$T:$T,0),MATCH(W$1,'Исходник'!$1:$1,0)))</f>
        <v/>
      </c>
      <c r="X976" s="28">
        <f t="shared" si="10"/>
        <v>0</v>
      </c>
      <c r="Y976" s="1" t="str">
        <f t="array" ref="Y976">IFERROR(INDEX('Исходник'!$1:$626,MATCH($A976,'Исходник'!$T:$T,0),MATCH(Y$1,'Исходник'!$1:$1,0)))</f>
        <v/>
      </c>
      <c r="Z976" s="27">
        <f t="shared" si="11"/>
        <v>0</v>
      </c>
      <c r="AA976" s="27" t="str">
        <f t="shared" si="12"/>
        <v/>
      </c>
      <c r="AB976" s="1" t="str">
        <f t="array" ref="AB976">IFERROR(INDEX('Исходник'!$1:$626,MATCH($A976,'Исходник'!$T:$T,0),MATCH(AB$1,'Исходник'!$1:$1,0)))</f>
        <v/>
      </c>
      <c r="AC976" s="1" t="str">
        <f t="array" ref="AC976">IFERROR(INDEX('Исходник'!$1:$626,MATCH($A976,'Исходник'!$T:$T,0),MATCH(AC$1,'Исходник'!$1:$1,0)))</f>
        <v/>
      </c>
      <c r="AD976" s="27" t="str">
        <f t="shared" si="13"/>
        <v/>
      </c>
      <c r="AE976" s="1" t="str">
        <f t="array" ref="AE976">IFERROR(INDEX('Исходник'!$1:$626,MATCH($A976,'Исходник'!$T:$T,0),MATCH(AE$1,'Исходник'!$1:$1,0)))</f>
        <v/>
      </c>
      <c r="AF976" s="1" t="str">
        <f t="array" ref="AF976">IFERROR(INDEX('Исходник'!$1:$626,MATCH($A976,'Исходник'!$T:$T,0),MATCH(AF$1,'Исходник'!$1:$1,0)))</f>
        <v/>
      </c>
      <c r="AG976" s="27" t="str">
        <f t="shared" si="14"/>
        <v/>
      </c>
      <c r="AH976" s="1" t="str">
        <f t="array" ref="AH976">IFERROR(INDEX('Исходник'!$1:$626,MATCH($A976,'Исходник'!$T:$T,0),MATCH(AH$1,'Исходник'!$1:$1,0)))</f>
        <v/>
      </c>
      <c r="AI976" s="1" t="str">
        <f t="array" ref="AI976">IFERROR(INDEX('Исходник'!$1:$626,MATCH($A976,'Исходник'!$T:$T,0),MATCH(AI$1,'Исходник'!$1:$1,0)))</f>
        <v/>
      </c>
      <c r="AJ976" s="18">
        <f t="shared" si="15"/>
        <v>0</v>
      </c>
    </row>
    <row r="977" ht="15.75" customHeight="1">
      <c r="A977" s="27"/>
      <c r="B977" s="1" t="str">
        <f t="array" ref="B977">IFERROR(INDEX('Исходник'!$1:$626,MATCH($A977,'Исходник'!$T:$T,0),MATCH(B$1,'Исходник'!$1:$1,0)))</f>
        <v/>
      </c>
      <c r="C977" s="1" t="str">
        <f t="array" ref="C977">IFERROR(INDEX('Исходник'!$1:$626,MATCH($A977,'Исходник'!$T:$T,0),MATCH(C$1,'Исходник'!$1:$1,0)))</f>
        <v/>
      </c>
      <c r="D977" s="1" t="str">
        <f t="array" ref="D977">IFERROR(INDEX('Исходник'!$1:$626,MATCH($A977,'Исходник'!$T:$T,0),MATCH(D$1,'Исходник'!$1:$1,0)))</f>
        <v/>
      </c>
      <c r="E977" s="1" t="str">
        <f t="array" ref="E977">IFERROR(INDEX('Исходник'!$1:$626,MATCH($A977,'Исходник'!$T:$T,0),MATCH(E$1,'Исходник'!$1:$1,0)))</f>
        <v/>
      </c>
      <c r="F977" s="1" t="str">
        <f t="array" ref="F977">IFERROR(INDEX('Исходник'!$1:$626,MATCH($A977,'Исходник'!$T:$T,0),MATCH(F$1,'Исходник'!$1:$1,0)))</f>
        <v/>
      </c>
      <c r="G977" s="1" t="str">
        <f t="array" ref="G977">IFERROR(INDEX('Исходник'!$1:$626,MATCH($A977,'Исходник'!$T:$T,0),MATCH(G$1,'Исходник'!$1:$1,0)))</f>
        <v/>
      </c>
      <c r="H977" s="27">
        <f t="shared" si="1"/>
        <v>0</v>
      </c>
      <c r="I977" s="27" t="str">
        <f t="shared" si="2"/>
        <v/>
      </c>
      <c r="J977" s="1" t="str">
        <f t="array" ref="J977">IFERROR(INDEX('Исходник'!$1:$626,MATCH($A977,'Исходник'!$T:$T,0),MATCH(J$1,'Исходник'!$1:$1,0)))</f>
        <v/>
      </c>
      <c r="K977" s="27" t="str">
        <f t="shared" si="3"/>
        <v/>
      </c>
      <c r="L977" s="1" t="str">
        <f t="array" ref="L977">IFERROR(INDEX('Исходник'!$1:$626,MATCH($A977,'Исходник'!$T:$T,0),MATCH(L$1,'Исходник'!$1:$1,0)))</f>
        <v/>
      </c>
      <c r="M977" s="28">
        <f t="shared" si="4"/>
        <v>0</v>
      </c>
      <c r="N977" s="1" t="str">
        <f t="array" ref="N977">IFERROR(INDEX('Исходник'!$1:$626,MATCH($A977,'Исходник'!$T:$T,0),MATCH(N$1,'Исходник'!$1:$1,0)))</f>
        <v/>
      </c>
      <c r="O977" s="27">
        <f t="shared" si="5"/>
        <v>0</v>
      </c>
      <c r="P977" s="27" t="str">
        <f t="shared" si="6"/>
        <v/>
      </c>
      <c r="Q977" s="1" t="str">
        <f t="array" ref="Q977">IFERROR(INDEX('Исходник'!$1:$626,MATCH($A977,'Исходник'!$T:$T,0),MATCH(Q$1,'Исходник'!$1:$1,0)))</f>
        <v/>
      </c>
      <c r="R977" s="1" t="str">
        <f t="array" ref="R977">IFERROR(INDEX('Исходник'!$1:$626,MATCH($A977,'Исходник'!$T:$T,0),MATCH(R$1,'Исходник'!$1:$1,0)))</f>
        <v/>
      </c>
      <c r="S977" s="27">
        <f t="shared" si="7"/>
        <v>0</v>
      </c>
      <c r="T977" s="27" t="str">
        <f t="shared" si="8"/>
        <v/>
      </c>
      <c r="U977" s="1" t="str">
        <f t="array" ref="U977">IFERROR(INDEX('Исходник'!$1:$626,MATCH($A977,'Исходник'!$T:$T,0),MATCH(U$1,'Исходник'!$1:$1,0)))</f>
        <v/>
      </c>
      <c r="V977" s="27" t="str">
        <f t="shared" si="9"/>
        <v/>
      </c>
      <c r="W977" s="1" t="str">
        <f t="array" ref="W977">IFERROR(INDEX('Исходник'!$1:$626,MATCH($A977,'Исходник'!$T:$T,0),MATCH(W$1,'Исходник'!$1:$1,0)))</f>
        <v/>
      </c>
      <c r="X977" s="28">
        <f t="shared" si="10"/>
        <v>0</v>
      </c>
      <c r="Y977" s="1" t="str">
        <f t="array" ref="Y977">IFERROR(INDEX('Исходник'!$1:$626,MATCH($A977,'Исходник'!$T:$T,0),MATCH(Y$1,'Исходник'!$1:$1,0)))</f>
        <v/>
      </c>
      <c r="Z977" s="27">
        <f t="shared" si="11"/>
        <v>0</v>
      </c>
      <c r="AA977" s="27" t="str">
        <f t="shared" si="12"/>
        <v/>
      </c>
      <c r="AB977" s="1" t="str">
        <f t="array" ref="AB977">IFERROR(INDEX('Исходник'!$1:$626,MATCH($A977,'Исходник'!$T:$T,0),MATCH(AB$1,'Исходник'!$1:$1,0)))</f>
        <v/>
      </c>
      <c r="AC977" s="1" t="str">
        <f t="array" ref="AC977">IFERROR(INDEX('Исходник'!$1:$626,MATCH($A977,'Исходник'!$T:$T,0),MATCH(AC$1,'Исходник'!$1:$1,0)))</f>
        <v/>
      </c>
      <c r="AD977" s="27" t="str">
        <f t="shared" si="13"/>
        <v/>
      </c>
      <c r="AE977" s="1" t="str">
        <f t="array" ref="AE977">IFERROR(INDEX('Исходник'!$1:$626,MATCH($A977,'Исходник'!$T:$T,0),MATCH(AE$1,'Исходник'!$1:$1,0)))</f>
        <v/>
      </c>
      <c r="AF977" s="1" t="str">
        <f t="array" ref="AF977">IFERROR(INDEX('Исходник'!$1:$626,MATCH($A977,'Исходник'!$T:$T,0),MATCH(AF$1,'Исходник'!$1:$1,0)))</f>
        <v/>
      </c>
      <c r="AG977" s="27" t="str">
        <f t="shared" si="14"/>
        <v/>
      </c>
      <c r="AH977" s="1" t="str">
        <f t="array" ref="AH977">IFERROR(INDEX('Исходник'!$1:$626,MATCH($A977,'Исходник'!$T:$T,0),MATCH(AH$1,'Исходник'!$1:$1,0)))</f>
        <v/>
      </c>
      <c r="AI977" s="1" t="str">
        <f t="array" ref="AI977">IFERROR(INDEX('Исходник'!$1:$626,MATCH($A977,'Исходник'!$T:$T,0),MATCH(AI$1,'Исходник'!$1:$1,0)))</f>
        <v/>
      </c>
      <c r="AJ977" s="18">
        <f t="shared" si="15"/>
        <v>0</v>
      </c>
    </row>
    <row r="978" ht="15.75" customHeight="1">
      <c r="A978" s="27"/>
      <c r="B978" s="1" t="str">
        <f t="array" ref="B978">IFERROR(INDEX('Исходник'!$1:$626,MATCH($A978,'Исходник'!$T:$T,0),MATCH(B$1,'Исходник'!$1:$1,0)))</f>
        <v/>
      </c>
      <c r="C978" s="1" t="str">
        <f t="array" ref="C978">IFERROR(INDEX('Исходник'!$1:$626,MATCH($A978,'Исходник'!$T:$T,0),MATCH(C$1,'Исходник'!$1:$1,0)))</f>
        <v/>
      </c>
      <c r="D978" s="1" t="str">
        <f t="array" ref="D978">IFERROR(INDEX('Исходник'!$1:$626,MATCH($A978,'Исходник'!$T:$T,0),MATCH(D$1,'Исходник'!$1:$1,0)))</f>
        <v/>
      </c>
      <c r="E978" s="1" t="str">
        <f t="array" ref="E978">IFERROR(INDEX('Исходник'!$1:$626,MATCH($A978,'Исходник'!$T:$T,0),MATCH(E$1,'Исходник'!$1:$1,0)))</f>
        <v/>
      </c>
      <c r="F978" s="1" t="str">
        <f t="array" ref="F978">IFERROR(INDEX('Исходник'!$1:$626,MATCH($A978,'Исходник'!$T:$T,0),MATCH(F$1,'Исходник'!$1:$1,0)))</f>
        <v/>
      </c>
      <c r="G978" s="1" t="str">
        <f t="array" ref="G978">IFERROR(INDEX('Исходник'!$1:$626,MATCH($A978,'Исходник'!$T:$T,0),MATCH(G$1,'Исходник'!$1:$1,0)))</f>
        <v/>
      </c>
      <c r="H978" s="27">
        <f t="shared" si="1"/>
        <v>0</v>
      </c>
      <c r="I978" s="27" t="str">
        <f t="shared" si="2"/>
        <v/>
      </c>
      <c r="J978" s="1" t="str">
        <f t="array" ref="J978">IFERROR(INDEX('Исходник'!$1:$626,MATCH($A978,'Исходник'!$T:$T,0),MATCH(J$1,'Исходник'!$1:$1,0)))</f>
        <v/>
      </c>
      <c r="K978" s="27" t="str">
        <f t="shared" si="3"/>
        <v/>
      </c>
      <c r="L978" s="1" t="str">
        <f t="array" ref="L978">IFERROR(INDEX('Исходник'!$1:$626,MATCH($A978,'Исходник'!$T:$T,0),MATCH(L$1,'Исходник'!$1:$1,0)))</f>
        <v/>
      </c>
      <c r="M978" s="28">
        <f t="shared" si="4"/>
        <v>0</v>
      </c>
      <c r="N978" s="1" t="str">
        <f t="array" ref="N978">IFERROR(INDEX('Исходник'!$1:$626,MATCH($A978,'Исходник'!$T:$T,0),MATCH(N$1,'Исходник'!$1:$1,0)))</f>
        <v/>
      </c>
      <c r="O978" s="27">
        <f t="shared" si="5"/>
        <v>0</v>
      </c>
      <c r="P978" s="27" t="str">
        <f t="shared" si="6"/>
        <v/>
      </c>
      <c r="Q978" s="1" t="str">
        <f t="array" ref="Q978">IFERROR(INDEX('Исходник'!$1:$626,MATCH($A978,'Исходник'!$T:$T,0),MATCH(Q$1,'Исходник'!$1:$1,0)))</f>
        <v/>
      </c>
      <c r="R978" s="1" t="str">
        <f t="array" ref="R978">IFERROR(INDEX('Исходник'!$1:$626,MATCH($A978,'Исходник'!$T:$T,0),MATCH(R$1,'Исходник'!$1:$1,0)))</f>
        <v/>
      </c>
      <c r="S978" s="27">
        <f t="shared" si="7"/>
        <v>0</v>
      </c>
      <c r="T978" s="27" t="str">
        <f t="shared" si="8"/>
        <v/>
      </c>
      <c r="U978" s="1" t="str">
        <f t="array" ref="U978">IFERROR(INDEX('Исходник'!$1:$626,MATCH($A978,'Исходник'!$T:$T,0),MATCH(U$1,'Исходник'!$1:$1,0)))</f>
        <v/>
      </c>
      <c r="V978" s="27" t="str">
        <f t="shared" si="9"/>
        <v/>
      </c>
      <c r="W978" s="1" t="str">
        <f t="array" ref="W978">IFERROR(INDEX('Исходник'!$1:$626,MATCH($A978,'Исходник'!$T:$T,0),MATCH(W$1,'Исходник'!$1:$1,0)))</f>
        <v/>
      </c>
      <c r="X978" s="28">
        <f t="shared" si="10"/>
        <v>0</v>
      </c>
      <c r="Y978" s="1" t="str">
        <f t="array" ref="Y978">IFERROR(INDEX('Исходник'!$1:$626,MATCH($A978,'Исходник'!$T:$T,0),MATCH(Y$1,'Исходник'!$1:$1,0)))</f>
        <v/>
      </c>
      <c r="Z978" s="27">
        <f t="shared" si="11"/>
        <v>0</v>
      </c>
      <c r="AA978" s="27" t="str">
        <f t="shared" si="12"/>
        <v/>
      </c>
      <c r="AB978" s="1" t="str">
        <f t="array" ref="AB978">IFERROR(INDEX('Исходник'!$1:$626,MATCH($A978,'Исходник'!$T:$T,0),MATCH(AB$1,'Исходник'!$1:$1,0)))</f>
        <v/>
      </c>
      <c r="AC978" s="1" t="str">
        <f t="array" ref="AC978">IFERROR(INDEX('Исходник'!$1:$626,MATCH($A978,'Исходник'!$T:$T,0),MATCH(AC$1,'Исходник'!$1:$1,0)))</f>
        <v/>
      </c>
      <c r="AD978" s="27" t="str">
        <f t="shared" si="13"/>
        <v/>
      </c>
      <c r="AE978" s="1" t="str">
        <f t="array" ref="AE978">IFERROR(INDEX('Исходник'!$1:$626,MATCH($A978,'Исходник'!$T:$T,0),MATCH(AE$1,'Исходник'!$1:$1,0)))</f>
        <v/>
      </c>
      <c r="AF978" s="1" t="str">
        <f t="array" ref="AF978">IFERROR(INDEX('Исходник'!$1:$626,MATCH($A978,'Исходник'!$T:$T,0),MATCH(AF$1,'Исходник'!$1:$1,0)))</f>
        <v/>
      </c>
      <c r="AG978" s="27" t="str">
        <f t="shared" si="14"/>
        <v/>
      </c>
      <c r="AH978" s="1" t="str">
        <f t="array" ref="AH978">IFERROR(INDEX('Исходник'!$1:$626,MATCH($A978,'Исходник'!$T:$T,0),MATCH(AH$1,'Исходник'!$1:$1,0)))</f>
        <v/>
      </c>
      <c r="AI978" s="1" t="str">
        <f t="array" ref="AI978">IFERROR(INDEX('Исходник'!$1:$626,MATCH($A978,'Исходник'!$T:$T,0),MATCH(AI$1,'Исходник'!$1:$1,0)))</f>
        <v/>
      </c>
      <c r="AJ978" s="18">
        <f t="shared" si="15"/>
        <v>0</v>
      </c>
    </row>
    <row r="979" ht="15.75" customHeight="1">
      <c r="A979" s="27"/>
      <c r="B979" s="1" t="str">
        <f t="array" ref="B979">IFERROR(INDEX('Исходник'!$1:$626,MATCH($A979,'Исходник'!$T:$T,0),MATCH(B$1,'Исходник'!$1:$1,0)))</f>
        <v/>
      </c>
      <c r="C979" s="1" t="str">
        <f t="array" ref="C979">IFERROR(INDEX('Исходник'!$1:$626,MATCH($A979,'Исходник'!$T:$T,0),MATCH(C$1,'Исходник'!$1:$1,0)))</f>
        <v/>
      </c>
      <c r="D979" s="1" t="str">
        <f t="array" ref="D979">IFERROR(INDEX('Исходник'!$1:$626,MATCH($A979,'Исходник'!$T:$T,0),MATCH(D$1,'Исходник'!$1:$1,0)))</f>
        <v/>
      </c>
      <c r="E979" s="1" t="str">
        <f t="array" ref="E979">IFERROR(INDEX('Исходник'!$1:$626,MATCH($A979,'Исходник'!$T:$T,0),MATCH(E$1,'Исходник'!$1:$1,0)))</f>
        <v/>
      </c>
      <c r="F979" s="1" t="str">
        <f t="array" ref="F979">IFERROR(INDEX('Исходник'!$1:$626,MATCH($A979,'Исходник'!$T:$T,0),MATCH(F$1,'Исходник'!$1:$1,0)))</f>
        <v/>
      </c>
      <c r="G979" s="1" t="str">
        <f t="array" ref="G979">IFERROR(INDEX('Исходник'!$1:$626,MATCH($A979,'Исходник'!$T:$T,0),MATCH(G$1,'Исходник'!$1:$1,0)))</f>
        <v/>
      </c>
      <c r="H979" s="27">
        <f t="shared" si="1"/>
        <v>0</v>
      </c>
      <c r="I979" s="27" t="str">
        <f t="shared" si="2"/>
        <v/>
      </c>
      <c r="J979" s="1" t="str">
        <f t="array" ref="J979">IFERROR(INDEX('Исходник'!$1:$626,MATCH($A979,'Исходник'!$T:$T,0),MATCH(J$1,'Исходник'!$1:$1,0)))</f>
        <v/>
      </c>
      <c r="K979" s="27" t="str">
        <f t="shared" si="3"/>
        <v/>
      </c>
      <c r="L979" s="1" t="str">
        <f t="array" ref="L979">IFERROR(INDEX('Исходник'!$1:$626,MATCH($A979,'Исходник'!$T:$T,0),MATCH(L$1,'Исходник'!$1:$1,0)))</f>
        <v/>
      </c>
      <c r="M979" s="28">
        <f t="shared" si="4"/>
        <v>0</v>
      </c>
      <c r="N979" s="1" t="str">
        <f t="array" ref="N979">IFERROR(INDEX('Исходник'!$1:$626,MATCH($A979,'Исходник'!$T:$T,0),MATCH(N$1,'Исходник'!$1:$1,0)))</f>
        <v/>
      </c>
      <c r="O979" s="27">
        <f t="shared" si="5"/>
        <v>0</v>
      </c>
      <c r="P979" s="27" t="str">
        <f t="shared" si="6"/>
        <v/>
      </c>
      <c r="Q979" s="1" t="str">
        <f t="array" ref="Q979">IFERROR(INDEX('Исходник'!$1:$626,MATCH($A979,'Исходник'!$T:$T,0),MATCH(Q$1,'Исходник'!$1:$1,0)))</f>
        <v/>
      </c>
      <c r="R979" s="1" t="str">
        <f t="array" ref="R979">IFERROR(INDEX('Исходник'!$1:$626,MATCH($A979,'Исходник'!$T:$T,0),MATCH(R$1,'Исходник'!$1:$1,0)))</f>
        <v/>
      </c>
      <c r="S979" s="27">
        <f t="shared" si="7"/>
        <v>0</v>
      </c>
      <c r="T979" s="27" t="str">
        <f t="shared" si="8"/>
        <v/>
      </c>
      <c r="U979" s="1" t="str">
        <f t="array" ref="U979">IFERROR(INDEX('Исходник'!$1:$626,MATCH($A979,'Исходник'!$T:$T,0),MATCH(U$1,'Исходник'!$1:$1,0)))</f>
        <v/>
      </c>
      <c r="V979" s="27" t="str">
        <f t="shared" si="9"/>
        <v/>
      </c>
      <c r="W979" s="1" t="str">
        <f t="array" ref="W979">IFERROR(INDEX('Исходник'!$1:$626,MATCH($A979,'Исходник'!$T:$T,0),MATCH(W$1,'Исходник'!$1:$1,0)))</f>
        <v/>
      </c>
      <c r="X979" s="28">
        <f t="shared" si="10"/>
        <v>0</v>
      </c>
      <c r="Y979" s="1" t="str">
        <f t="array" ref="Y979">IFERROR(INDEX('Исходник'!$1:$626,MATCH($A979,'Исходник'!$T:$T,0),MATCH(Y$1,'Исходник'!$1:$1,0)))</f>
        <v/>
      </c>
      <c r="Z979" s="27">
        <f t="shared" si="11"/>
        <v>0</v>
      </c>
      <c r="AA979" s="27" t="str">
        <f t="shared" si="12"/>
        <v/>
      </c>
      <c r="AB979" s="1" t="str">
        <f t="array" ref="AB979">IFERROR(INDEX('Исходник'!$1:$626,MATCH($A979,'Исходник'!$T:$T,0),MATCH(AB$1,'Исходник'!$1:$1,0)))</f>
        <v/>
      </c>
      <c r="AC979" s="1" t="str">
        <f t="array" ref="AC979">IFERROR(INDEX('Исходник'!$1:$626,MATCH($A979,'Исходник'!$T:$T,0),MATCH(AC$1,'Исходник'!$1:$1,0)))</f>
        <v/>
      </c>
      <c r="AD979" s="27" t="str">
        <f t="shared" si="13"/>
        <v/>
      </c>
      <c r="AE979" s="1" t="str">
        <f t="array" ref="AE979">IFERROR(INDEX('Исходник'!$1:$626,MATCH($A979,'Исходник'!$T:$T,0),MATCH(AE$1,'Исходник'!$1:$1,0)))</f>
        <v/>
      </c>
      <c r="AF979" s="1" t="str">
        <f t="array" ref="AF979">IFERROR(INDEX('Исходник'!$1:$626,MATCH($A979,'Исходник'!$T:$T,0),MATCH(AF$1,'Исходник'!$1:$1,0)))</f>
        <v/>
      </c>
      <c r="AG979" s="27" t="str">
        <f t="shared" si="14"/>
        <v/>
      </c>
      <c r="AH979" s="1" t="str">
        <f t="array" ref="AH979">IFERROR(INDEX('Исходник'!$1:$626,MATCH($A979,'Исходник'!$T:$T,0),MATCH(AH$1,'Исходник'!$1:$1,0)))</f>
        <v/>
      </c>
      <c r="AI979" s="1" t="str">
        <f t="array" ref="AI979">IFERROR(INDEX('Исходник'!$1:$626,MATCH($A979,'Исходник'!$T:$T,0),MATCH(AI$1,'Исходник'!$1:$1,0)))</f>
        <v/>
      </c>
      <c r="AJ979" s="18">
        <f t="shared" si="15"/>
        <v>0</v>
      </c>
    </row>
    <row r="980" ht="15.75" customHeight="1">
      <c r="A980" s="27"/>
      <c r="B980" s="1" t="str">
        <f t="array" ref="B980">IFERROR(INDEX('Исходник'!$1:$626,MATCH($A980,'Исходник'!$T:$T,0),MATCH(B$1,'Исходник'!$1:$1,0)))</f>
        <v/>
      </c>
      <c r="C980" s="1" t="str">
        <f t="array" ref="C980">IFERROR(INDEX('Исходник'!$1:$626,MATCH($A980,'Исходник'!$T:$T,0),MATCH(C$1,'Исходник'!$1:$1,0)))</f>
        <v/>
      </c>
      <c r="D980" s="1" t="str">
        <f t="array" ref="D980">IFERROR(INDEX('Исходник'!$1:$626,MATCH($A980,'Исходник'!$T:$T,0),MATCH(D$1,'Исходник'!$1:$1,0)))</f>
        <v/>
      </c>
      <c r="E980" s="1" t="str">
        <f t="array" ref="E980">IFERROR(INDEX('Исходник'!$1:$626,MATCH($A980,'Исходник'!$T:$T,0),MATCH(E$1,'Исходник'!$1:$1,0)))</f>
        <v/>
      </c>
      <c r="F980" s="1" t="str">
        <f t="array" ref="F980">IFERROR(INDEX('Исходник'!$1:$626,MATCH($A980,'Исходник'!$T:$T,0),MATCH(F$1,'Исходник'!$1:$1,0)))</f>
        <v/>
      </c>
      <c r="G980" s="1" t="str">
        <f t="array" ref="G980">IFERROR(INDEX('Исходник'!$1:$626,MATCH($A980,'Исходник'!$T:$T,0),MATCH(G$1,'Исходник'!$1:$1,0)))</f>
        <v/>
      </c>
      <c r="H980" s="27">
        <f t="shared" si="1"/>
        <v>0</v>
      </c>
      <c r="I980" s="27" t="str">
        <f t="shared" si="2"/>
        <v/>
      </c>
      <c r="J980" s="1" t="str">
        <f t="array" ref="J980">IFERROR(INDEX('Исходник'!$1:$626,MATCH($A980,'Исходник'!$T:$T,0),MATCH(J$1,'Исходник'!$1:$1,0)))</f>
        <v/>
      </c>
      <c r="K980" s="27" t="str">
        <f t="shared" si="3"/>
        <v/>
      </c>
      <c r="L980" s="1" t="str">
        <f t="array" ref="L980">IFERROR(INDEX('Исходник'!$1:$626,MATCH($A980,'Исходник'!$T:$T,0),MATCH(L$1,'Исходник'!$1:$1,0)))</f>
        <v/>
      </c>
      <c r="M980" s="28">
        <f t="shared" si="4"/>
        <v>0</v>
      </c>
      <c r="N980" s="1" t="str">
        <f t="array" ref="N980">IFERROR(INDEX('Исходник'!$1:$626,MATCH($A980,'Исходник'!$T:$T,0),MATCH(N$1,'Исходник'!$1:$1,0)))</f>
        <v/>
      </c>
      <c r="O980" s="27">
        <f t="shared" si="5"/>
        <v>0</v>
      </c>
      <c r="P980" s="27" t="str">
        <f t="shared" si="6"/>
        <v/>
      </c>
      <c r="Q980" s="1" t="str">
        <f t="array" ref="Q980">IFERROR(INDEX('Исходник'!$1:$626,MATCH($A980,'Исходник'!$T:$T,0),MATCH(Q$1,'Исходник'!$1:$1,0)))</f>
        <v/>
      </c>
      <c r="R980" s="1" t="str">
        <f t="array" ref="R980">IFERROR(INDEX('Исходник'!$1:$626,MATCH($A980,'Исходник'!$T:$T,0),MATCH(R$1,'Исходник'!$1:$1,0)))</f>
        <v/>
      </c>
      <c r="S980" s="27">
        <f t="shared" si="7"/>
        <v>0</v>
      </c>
      <c r="T980" s="27" t="str">
        <f t="shared" si="8"/>
        <v/>
      </c>
      <c r="U980" s="1" t="str">
        <f t="array" ref="U980">IFERROR(INDEX('Исходник'!$1:$626,MATCH($A980,'Исходник'!$T:$T,0),MATCH(U$1,'Исходник'!$1:$1,0)))</f>
        <v/>
      </c>
      <c r="V980" s="27" t="str">
        <f t="shared" si="9"/>
        <v/>
      </c>
      <c r="W980" s="1" t="str">
        <f t="array" ref="W980">IFERROR(INDEX('Исходник'!$1:$626,MATCH($A980,'Исходник'!$T:$T,0),MATCH(W$1,'Исходник'!$1:$1,0)))</f>
        <v/>
      </c>
      <c r="X980" s="28">
        <f t="shared" si="10"/>
        <v>0</v>
      </c>
      <c r="Y980" s="1" t="str">
        <f t="array" ref="Y980">IFERROR(INDEX('Исходник'!$1:$626,MATCH($A980,'Исходник'!$T:$T,0),MATCH(Y$1,'Исходник'!$1:$1,0)))</f>
        <v/>
      </c>
      <c r="Z980" s="27">
        <f t="shared" si="11"/>
        <v>0</v>
      </c>
      <c r="AA980" s="27" t="str">
        <f t="shared" si="12"/>
        <v/>
      </c>
      <c r="AB980" s="1" t="str">
        <f t="array" ref="AB980">IFERROR(INDEX('Исходник'!$1:$626,MATCH($A980,'Исходник'!$T:$T,0),MATCH(AB$1,'Исходник'!$1:$1,0)))</f>
        <v/>
      </c>
      <c r="AC980" s="1" t="str">
        <f t="array" ref="AC980">IFERROR(INDEX('Исходник'!$1:$626,MATCH($A980,'Исходник'!$T:$T,0),MATCH(AC$1,'Исходник'!$1:$1,0)))</f>
        <v/>
      </c>
      <c r="AD980" s="27" t="str">
        <f t="shared" si="13"/>
        <v/>
      </c>
      <c r="AE980" s="1" t="str">
        <f t="array" ref="AE980">IFERROR(INDEX('Исходник'!$1:$626,MATCH($A980,'Исходник'!$T:$T,0),MATCH(AE$1,'Исходник'!$1:$1,0)))</f>
        <v/>
      </c>
      <c r="AF980" s="1" t="str">
        <f t="array" ref="AF980">IFERROR(INDEX('Исходник'!$1:$626,MATCH($A980,'Исходник'!$T:$T,0),MATCH(AF$1,'Исходник'!$1:$1,0)))</f>
        <v/>
      </c>
      <c r="AG980" s="27" t="str">
        <f t="shared" si="14"/>
        <v/>
      </c>
      <c r="AH980" s="1" t="str">
        <f t="array" ref="AH980">IFERROR(INDEX('Исходник'!$1:$626,MATCH($A980,'Исходник'!$T:$T,0),MATCH(AH$1,'Исходник'!$1:$1,0)))</f>
        <v/>
      </c>
      <c r="AI980" s="1" t="str">
        <f t="array" ref="AI980">IFERROR(INDEX('Исходник'!$1:$626,MATCH($A980,'Исходник'!$T:$T,0),MATCH(AI$1,'Исходник'!$1:$1,0)))</f>
        <v/>
      </c>
      <c r="AJ980" s="18">
        <f t="shared" si="15"/>
        <v>0</v>
      </c>
    </row>
    <row r="981" ht="15.75" customHeight="1">
      <c r="A981" s="27"/>
      <c r="B981" s="1" t="str">
        <f t="array" ref="B981">IFERROR(INDEX('Исходник'!$1:$626,MATCH($A981,'Исходник'!$T:$T,0),MATCH(B$1,'Исходник'!$1:$1,0)))</f>
        <v/>
      </c>
      <c r="C981" s="1" t="str">
        <f t="array" ref="C981">IFERROR(INDEX('Исходник'!$1:$626,MATCH($A981,'Исходник'!$T:$T,0),MATCH(C$1,'Исходник'!$1:$1,0)))</f>
        <v/>
      </c>
      <c r="D981" s="1" t="str">
        <f t="array" ref="D981">IFERROR(INDEX('Исходник'!$1:$626,MATCH($A981,'Исходник'!$T:$T,0),MATCH(D$1,'Исходник'!$1:$1,0)))</f>
        <v/>
      </c>
      <c r="E981" s="1" t="str">
        <f t="array" ref="E981">IFERROR(INDEX('Исходник'!$1:$626,MATCH($A981,'Исходник'!$T:$T,0),MATCH(E$1,'Исходник'!$1:$1,0)))</f>
        <v/>
      </c>
      <c r="F981" s="1" t="str">
        <f t="array" ref="F981">IFERROR(INDEX('Исходник'!$1:$626,MATCH($A981,'Исходник'!$T:$T,0),MATCH(F$1,'Исходник'!$1:$1,0)))</f>
        <v/>
      </c>
      <c r="G981" s="1" t="str">
        <f t="array" ref="G981">IFERROR(INDEX('Исходник'!$1:$626,MATCH($A981,'Исходник'!$T:$T,0),MATCH(G$1,'Исходник'!$1:$1,0)))</f>
        <v/>
      </c>
      <c r="H981" s="27">
        <f t="shared" si="1"/>
        <v>0</v>
      </c>
      <c r="I981" s="27" t="str">
        <f t="shared" si="2"/>
        <v/>
      </c>
      <c r="J981" s="1" t="str">
        <f t="array" ref="J981">IFERROR(INDEX('Исходник'!$1:$626,MATCH($A981,'Исходник'!$T:$T,0),MATCH(J$1,'Исходник'!$1:$1,0)))</f>
        <v/>
      </c>
      <c r="K981" s="27" t="str">
        <f t="shared" si="3"/>
        <v/>
      </c>
      <c r="L981" s="1" t="str">
        <f t="array" ref="L981">IFERROR(INDEX('Исходник'!$1:$626,MATCH($A981,'Исходник'!$T:$T,0),MATCH(L$1,'Исходник'!$1:$1,0)))</f>
        <v/>
      </c>
      <c r="M981" s="28">
        <f t="shared" si="4"/>
        <v>0</v>
      </c>
      <c r="N981" s="1" t="str">
        <f t="array" ref="N981">IFERROR(INDEX('Исходник'!$1:$626,MATCH($A981,'Исходник'!$T:$T,0),MATCH(N$1,'Исходник'!$1:$1,0)))</f>
        <v/>
      </c>
      <c r="O981" s="27">
        <f t="shared" si="5"/>
        <v>0</v>
      </c>
      <c r="P981" s="27" t="str">
        <f t="shared" si="6"/>
        <v/>
      </c>
      <c r="Q981" s="1" t="str">
        <f t="array" ref="Q981">IFERROR(INDEX('Исходник'!$1:$626,MATCH($A981,'Исходник'!$T:$T,0),MATCH(Q$1,'Исходник'!$1:$1,0)))</f>
        <v/>
      </c>
      <c r="R981" s="1" t="str">
        <f t="array" ref="R981">IFERROR(INDEX('Исходник'!$1:$626,MATCH($A981,'Исходник'!$T:$T,0),MATCH(R$1,'Исходник'!$1:$1,0)))</f>
        <v/>
      </c>
      <c r="S981" s="27">
        <f t="shared" si="7"/>
        <v>0</v>
      </c>
      <c r="T981" s="27" t="str">
        <f t="shared" si="8"/>
        <v/>
      </c>
      <c r="U981" s="1" t="str">
        <f t="array" ref="U981">IFERROR(INDEX('Исходник'!$1:$626,MATCH($A981,'Исходник'!$T:$T,0),MATCH(U$1,'Исходник'!$1:$1,0)))</f>
        <v/>
      </c>
      <c r="V981" s="27" t="str">
        <f t="shared" si="9"/>
        <v/>
      </c>
      <c r="W981" s="1" t="str">
        <f t="array" ref="W981">IFERROR(INDEX('Исходник'!$1:$626,MATCH($A981,'Исходник'!$T:$T,0),MATCH(W$1,'Исходник'!$1:$1,0)))</f>
        <v/>
      </c>
      <c r="X981" s="28">
        <f t="shared" si="10"/>
        <v>0</v>
      </c>
      <c r="Y981" s="1" t="str">
        <f t="array" ref="Y981">IFERROR(INDEX('Исходник'!$1:$626,MATCH($A981,'Исходник'!$T:$T,0),MATCH(Y$1,'Исходник'!$1:$1,0)))</f>
        <v/>
      </c>
      <c r="Z981" s="27">
        <f t="shared" si="11"/>
        <v>0</v>
      </c>
      <c r="AA981" s="27" t="str">
        <f t="shared" si="12"/>
        <v/>
      </c>
      <c r="AB981" s="1" t="str">
        <f t="array" ref="AB981">IFERROR(INDEX('Исходник'!$1:$626,MATCH($A981,'Исходник'!$T:$T,0),MATCH(AB$1,'Исходник'!$1:$1,0)))</f>
        <v/>
      </c>
      <c r="AC981" s="1" t="str">
        <f t="array" ref="AC981">IFERROR(INDEX('Исходник'!$1:$626,MATCH($A981,'Исходник'!$T:$T,0),MATCH(AC$1,'Исходник'!$1:$1,0)))</f>
        <v/>
      </c>
      <c r="AD981" s="27" t="str">
        <f t="shared" si="13"/>
        <v/>
      </c>
      <c r="AE981" s="1" t="str">
        <f t="array" ref="AE981">IFERROR(INDEX('Исходник'!$1:$626,MATCH($A981,'Исходник'!$T:$T,0),MATCH(AE$1,'Исходник'!$1:$1,0)))</f>
        <v/>
      </c>
      <c r="AF981" s="1" t="str">
        <f t="array" ref="AF981">IFERROR(INDEX('Исходник'!$1:$626,MATCH($A981,'Исходник'!$T:$T,0),MATCH(AF$1,'Исходник'!$1:$1,0)))</f>
        <v/>
      </c>
      <c r="AG981" s="27" t="str">
        <f t="shared" si="14"/>
        <v/>
      </c>
      <c r="AH981" s="1" t="str">
        <f t="array" ref="AH981">IFERROR(INDEX('Исходник'!$1:$626,MATCH($A981,'Исходник'!$T:$T,0),MATCH(AH$1,'Исходник'!$1:$1,0)))</f>
        <v/>
      </c>
      <c r="AI981" s="1" t="str">
        <f t="array" ref="AI981">IFERROR(INDEX('Исходник'!$1:$626,MATCH($A981,'Исходник'!$T:$T,0),MATCH(AI$1,'Исходник'!$1:$1,0)))</f>
        <v/>
      </c>
      <c r="AJ981" s="18">
        <f t="shared" si="15"/>
        <v>0</v>
      </c>
    </row>
    <row r="982" ht="15.75" customHeight="1">
      <c r="A982" s="27"/>
      <c r="B982" s="1" t="str">
        <f t="array" ref="B982">IFERROR(INDEX('Исходник'!$1:$626,MATCH($A982,'Исходник'!$T:$T,0),MATCH(B$1,'Исходник'!$1:$1,0)))</f>
        <v/>
      </c>
      <c r="C982" s="1" t="str">
        <f t="array" ref="C982">IFERROR(INDEX('Исходник'!$1:$626,MATCH($A982,'Исходник'!$T:$T,0),MATCH(C$1,'Исходник'!$1:$1,0)))</f>
        <v/>
      </c>
      <c r="D982" s="1" t="str">
        <f t="array" ref="D982">IFERROR(INDEX('Исходник'!$1:$626,MATCH($A982,'Исходник'!$T:$T,0),MATCH(D$1,'Исходник'!$1:$1,0)))</f>
        <v/>
      </c>
      <c r="E982" s="1" t="str">
        <f t="array" ref="E982">IFERROR(INDEX('Исходник'!$1:$626,MATCH($A982,'Исходник'!$T:$T,0),MATCH(E$1,'Исходник'!$1:$1,0)))</f>
        <v/>
      </c>
      <c r="F982" s="1" t="str">
        <f t="array" ref="F982">IFERROR(INDEX('Исходник'!$1:$626,MATCH($A982,'Исходник'!$T:$T,0),MATCH(F$1,'Исходник'!$1:$1,0)))</f>
        <v/>
      </c>
      <c r="G982" s="1" t="str">
        <f t="array" ref="G982">IFERROR(INDEX('Исходник'!$1:$626,MATCH($A982,'Исходник'!$T:$T,0),MATCH(G$1,'Исходник'!$1:$1,0)))</f>
        <v/>
      </c>
      <c r="H982" s="27">
        <f t="shared" si="1"/>
        <v>0</v>
      </c>
      <c r="I982" s="27" t="str">
        <f t="shared" si="2"/>
        <v/>
      </c>
      <c r="J982" s="1" t="str">
        <f t="array" ref="J982">IFERROR(INDEX('Исходник'!$1:$626,MATCH($A982,'Исходник'!$T:$T,0),MATCH(J$1,'Исходник'!$1:$1,0)))</f>
        <v/>
      </c>
      <c r="K982" s="27" t="str">
        <f t="shared" si="3"/>
        <v/>
      </c>
      <c r="L982" s="1" t="str">
        <f t="array" ref="L982">IFERROR(INDEX('Исходник'!$1:$626,MATCH($A982,'Исходник'!$T:$T,0),MATCH(L$1,'Исходник'!$1:$1,0)))</f>
        <v/>
      </c>
      <c r="M982" s="28">
        <f t="shared" si="4"/>
        <v>0</v>
      </c>
      <c r="N982" s="1" t="str">
        <f t="array" ref="N982">IFERROR(INDEX('Исходник'!$1:$626,MATCH($A982,'Исходник'!$T:$T,0),MATCH(N$1,'Исходник'!$1:$1,0)))</f>
        <v/>
      </c>
      <c r="O982" s="27">
        <f t="shared" si="5"/>
        <v>0</v>
      </c>
      <c r="P982" s="27" t="str">
        <f t="shared" si="6"/>
        <v/>
      </c>
      <c r="Q982" s="1" t="str">
        <f t="array" ref="Q982">IFERROR(INDEX('Исходник'!$1:$626,MATCH($A982,'Исходник'!$T:$T,0),MATCH(Q$1,'Исходник'!$1:$1,0)))</f>
        <v/>
      </c>
      <c r="R982" s="1" t="str">
        <f t="array" ref="R982">IFERROR(INDEX('Исходник'!$1:$626,MATCH($A982,'Исходник'!$T:$T,0),MATCH(R$1,'Исходник'!$1:$1,0)))</f>
        <v/>
      </c>
      <c r="S982" s="27">
        <f t="shared" si="7"/>
        <v>0</v>
      </c>
      <c r="T982" s="27" t="str">
        <f t="shared" si="8"/>
        <v/>
      </c>
      <c r="U982" s="1" t="str">
        <f t="array" ref="U982">IFERROR(INDEX('Исходник'!$1:$626,MATCH($A982,'Исходник'!$T:$T,0),MATCH(U$1,'Исходник'!$1:$1,0)))</f>
        <v/>
      </c>
      <c r="V982" s="27" t="str">
        <f t="shared" si="9"/>
        <v/>
      </c>
      <c r="W982" s="1" t="str">
        <f t="array" ref="W982">IFERROR(INDEX('Исходник'!$1:$626,MATCH($A982,'Исходник'!$T:$T,0),MATCH(W$1,'Исходник'!$1:$1,0)))</f>
        <v/>
      </c>
      <c r="X982" s="28">
        <f t="shared" si="10"/>
        <v>0</v>
      </c>
      <c r="Y982" s="1" t="str">
        <f t="array" ref="Y982">IFERROR(INDEX('Исходник'!$1:$626,MATCH($A982,'Исходник'!$T:$T,0),MATCH(Y$1,'Исходник'!$1:$1,0)))</f>
        <v/>
      </c>
      <c r="Z982" s="27">
        <f t="shared" si="11"/>
        <v>0</v>
      </c>
      <c r="AA982" s="27" t="str">
        <f t="shared" si="12"/>
        <v/>
      </c>
      <c r="AB982" s="1" t="str">
        <f t="array" ref="AB982">IFERROR(INDEX('Исходник'!$1:$626,MATCH($A982,'Исходник'!$T:$T,0),MATCH(AB$1,'Исходник'!$1:$1,0)))</f>
        <v/>
      </c>
      <c r="AC982" s="1" t="str">
        <f t="array" ref="AC982">IFERROR(INDEX('Исходник'!$1:$626,MATCH($A982,'Исходник'!$T:$T,0),MATCH(AC$1,'Исходник'!$1:$1,0)))</f>
        <v/>
      </c>
      <c r="AD982" s="27" t="str">
        <f t="shared" si="13"/>
        <v/>
      </c>
      <c r="AE982" s="1" t="str">
        <f t="array" ref="AE982">IFERROR(INDEX('Исходник'!$1:$626,MATCH($A982,'Исходник'!$T:$T,0),MATCH(AE$1,'Исходник'!$1:$1,0)))</f>
        <v/>
      </c>
      <c r="AF982" s="1" t="str">
        <f t="array" ref="AF982">IFERROR(INDEX('Исходник'!$1:$626,MATCH($A982,'Исходник'!$T:$T,0),MATCH(AF$1,'Исходник'!$1:$1,0)))</f>
        <v/>
      </c>
      <c r="AG982" s="27" t="str">
        <f t="shared" si="14"/>
        <v/>
      </c>
      <c r="AH982" s="1" t="str">
        <f t="array" ref="AH982">IFERROR(INDEX('Исходник'!$1:$626,MATCH($A982,'Исходник'!$T:$T,0),MATCH(AH$1,'Исходник'!$1:$1,0)))</f>
        <v/>
      </c>
      <c r="AI982" s="1" t="str">
        <f t="array" ref="AI982">IFERROR(INDEX('Исходник'!$1:$626,MATCH($A982,'Исходник'!$T:$T,0),MATCH(AI$1,'Исходник'!$1:$1,0)))</f>
        <v/>
      </c>
      <c r="AJ982" s="18">
        <f t="shared" si="15"/>
        <v>0</v>
      </c>
    </row>
    <row r="983" ht="15.75" customHeight="1">
      <c r="A983" s="27"/>
      <c r="B983" s="1" t="str">
        <f t="array" ref="B983">IFERROR(INDEX('Исходник'!$1:$626,MATCH($A983,'Исходник'!$T:$T,0),MATCH(B$1,'Исходник'!$1:$1,0)))</f>
        <v/>
      </c>
      <c r="C983" s="1" t="str">
        <f t="array" ref="C983">IFERROR(INDEX('Исходник'!$1:$626,MATCH($A983,'Исходник'!$T:$T,0),MATCH(C$1,'Исходник'!$1:$1,0)))</f>
        <v/>
      </c>
      <c r="D983" s="1" t="str">
        <f t="array" ref="D983">IFERROR(INDEX('Исходник'!$1:$626,MATCH($A983,'Исходник'!$T:$T,0),MATCH(D$1,'Исходник'!$1:$1,0)))</f>
        <v/>
      </c>
      <c r="E983" s="1" t="str">
        <f t="array" ref="E983">IFERROR(INDEX('Исходник'!$1:$626,MATCH($A983,'Исходник'!$T:$T,0),MATCH(E$1,'Исходник'!$1:$1,0)))</f>
        <v/>
      </c>
      <c r="F983" s="1" t="str">
        <f t="array" ref="F983">IFERROR(INDEX('Исходник'!$1:$626,MATCH($A983,'Исходник'!$T:$T,0),MATCH(F$1,'Исходник'!$1:$1,0)))</f>
        <v/>
      </c>
      <c r="G983" s="1" t="str">
        <f t="array" ref="G983">IFERROR(INDEX('Исходник'!$1:$626,MATCH($A983,'Исходник'!$T:$T,0),MATCH(G$1,'Исходник'!$1:$1,0)))</f>
        <v/>
      </c>
      <c r="H983" s="27">
        <f t="shared" si="1"/>
        <v>0</v>
      </c>
      <c r="I983" s="27" t="str">
        <f t="shared" si="2"/>
        <v/>
      </c>
      <c r="J983" s="1" t="str">
        <f t="array" ref="J983">IFERROR(INDEX('Исходник'!$1:$626,MATCH($A983,'Исходник'!$T:$T,0),MATCH(J$1,'Исходник'!$1:$1,0)))</f>
        <v/>
      </c>
      <c r="K983" s="27" t="str">
        <f t="shared" si="3"/>
        <v/>
      </c>
      <c r="L983" s="1" t="str">
        <f t="array" ref="L983">IFERROR(INDEX('Исходник'!$1:$626,MATCH($A983,'Исходник'!$T:$T,0),MATCH(L$1,'Исходник'!$1:$1,0)))</f>
        <v/>
      </c>
      <c r="M983" s="28">
        <f t="shared" si="4"/>
        <v>0</v>
      </c>
      <c r="N983" s="1" t="str">
        <f t="array" ref="N983">IFERROR(INDEX('Исходник'!$1:$626,MATCH($A983,'Исходник'!$T:$T,0),MATCH(N$1,'Исходник'!$1:$1,0)))</f>
        <v/>
      </c>
      <c r="O983" s="27">
        <f t="shared" si="5"/>
        <v>0</v>
      </c>
      <c r="P983" s="27" t="str">
        <f t="shared" si="6"/>
        <v/>
      </c>
      <c r="Q983" s="1" t="str">
        <f t="array" ref="Q983">IFERROR(INDEX('Исходник'!$1:$626,MATCH($A983,'Исходник'!$T:$T,0),MATCH(Q$1,'Исходник'!$1:$1,0)))</f>
        <v/>
      </c>
      <c r="R983" s="1" t="str">
        <f t="array" ref="R983">IFERROR(INDEX('Исходник'!$1:$626,MATCH($A983,'Исходник'!$T:$T,0),MATCH(R$1,'Исходник'!$1:$1,0)))</f>
        <v/>
      </c>
      <c r="S983" s="27">
        <f t="shared" si="7"/>
        <v>0</v>
      </c>
      <c r="T983" s="27" t="str">
        <f t="shared" si="8"/>
        <v/>
      </c>
      <c r="U983" s="1" t="str">
        <f t="array" ref="U983">IFERROR(INDEX('Исходник'!$1:$626,MATCH($A983,'Исходник'!$T:$T,0),MATCH(U$1,'Исходник'!$1:$1,0)))</f>
        <v/>
      </c>
      <c r="V983" s="27" t="str">
        <f t="shared" si="9"/>
        <v/>
      </c>
      <c r="W983" s="1" t="str">
        <f t="array" ref="W983">IFERROR(INDEX('Исходник'!$1:$626,MATCH($A983,'Исходник'!$T:$T,0),MATCH(W$1,'Исходник'!$1:$1,0)))</f>
        <v/>
      </c>
      <c r="X983" s="28">
        <f t="shared" si="10"/>
        <v>0</v>
      </c>
      <c r="Y983" s="1" t="str">
        <f t="array" ref="Y983">IFERROR(INDEX('Исходник'!$1:$626,MATCH($A983,'Исходник'!$T:$T,0),MATCH(Y$1,'Исходник'!$1:$1,0)))</f>
        <v/>
      </c>
      <c r="Z983" s="27">
        <f t="shared" si="11"/>
        <v>0</v>
      </c>
      <c r="AA983" s="27" t="str">
        <f t="shared" si="12"/>
        <v/>
      </c>
      <c r="AB983" s="1" t="str">
        <f t="array" ref="AB983">IFERROR(INDEX('Исходник'!$1:$626,MATCH($A983,'Исходник'!$T:$T,0),MATCH(AB$1,'Исходник'!$1:$1,0)))</f>
        <v/>
      </c>
      <c r="AC983" s="1" t="str">
        <f t="array" ref="AC983">IFERROR(INDEX('Исходник'!$1:$626,MATCH($A983,'Исходник'!$T:$T,0),MATCH(AC$1,'Исходник'!$1:$1,0)))</f>
        <v/>
      </c>
      <c r="AD983" s="27" t="str">
        <f t="shared" si="13"/>
        <v/>
      </c>
      <c r="AE983" s="1" t="str">
        <f t="array" ref="AE983">IFERROR(INDEX('Исходник'!$1:$626,MATCH($A983,'Исходник'!$T:$T,0),MATCH(AE$1,'Исходник'!$1:$1,0)))</f>
        <v/>
      </c>
      <c r="AF983" s="1" t="str">
        <f t="array" ref="AF983">IFERROR(INDEX('Исходник'!$1:$626,MATCH($A983,'Исходник'!$T:$T,0),MATCH(AF$1,'Исходник'!$1:$1,0)))</f>
        <v/>
      </c>
      <c r="AG983" s="27" t="str">
        <f t="shared" si="14"/>
        <v/>
      </c>
      <c r="AH983" s="1" t="str">
        <f t="array" ref="AH983">IFERROR(INDEX('Исходник'!$1:$626,MATCH($A983,'Исходник'!$T:$T,0),MATCH(AH$1,'Исходник'!$1:$1,0)))</f>
        <v/>
      </c>
      <c r="AI983" s="1" t="str">
        <f t="array" ref="AI983">IFERROR(INDEX('Исходник'!$1:$626,MATCH($A983,'Исходник'!$T:$T,0),MATCH(AI$1,'Исходник'!$1:$1,0)))</f>
        <v/>
      </c>
      <c r="AJ983" s="18">
        <f t="shared" si="15"/>
        <v>0</v>
      </c>
    </row>
    <row r="984" ht="15.75" customHeight="1">
      <c r="A984" s="27"/>
      <c r="B984" s="1" t="str">
        <f t="array" ref="B984">IFERROR(INDEX('Исходник'!$1:$626,MATCH($A984,'Исходник'!$T:$T,0),MATCH(B$1,'Исходник'!$1:$1,0)))</f>
        <v/>
      </c>
      <c r="C984" s="1" t="str">
        <f t="array" ref="C984">IFERROR(INDEX('Исходник'!$1:$626,MATCH($A984,'Исходник'!$T:$T,0),MATCH(C$1,'Исходник'!$1:$1,0)))</f>
        <v/>
      </c>
      <c r="D984" s="1" t="str">
        <f t="array" ref="D984">IFERROR(INDEX('Исходник'!$1:$626,MATCH($A984,'Исходник'!$T:$T,0),MATCH(D$1,'Исходник'!$1:$1,0)))</f>
        <v/>
      </c>
      <c r="E984" s="1" t="str">
        <f t="array" ref="E984">IFERROR(INDEX('Исходник'!$1:$626,MATCH($A984,'Исходник'!$T:$T,0),MATCH(E$1,'Исходник'!$1:$1,0)))</f>
        <v/>
      </c>
      <c r="F984" s="1" t="str">
        <f t="array" ref="F984">IFERROR(INDEX('Исходник'!$1:$626,MATCH($A984,'Исходник'!$T:$T,0),MATCH(F$1,'Исходник'!$1:$1,0)))</f>
        <v/>
      </c>
      <c r="G984" s="1" t="str">
        <f t="array" ref="G984">IFERROR(INDEX('Исходник'!$1:$626,MATCH($A984,'Исходник'!$T:$T,0),MATCH(G$1,'Исходник'!$1:$1,0)))</f>
        <v/>
      </c>
      <c r="H984" s="27">
        <f t="shared" si="1"/>
        <v>0</v>
      </c>
      <c r="I984" s="27" t="str">
        <f t="shared" si="2"/>
        <v/>
      </c>
      <c r="J984" s="1" t="str">
        <f t="array" ref="J984">IFERROR(INDEX('Исходник'!$1:$626,MATCH($A984,'Исходник'!$T:$T,0),MATCH(J$1,'Исходник'!$1:$1,0)))</f>
        <v/>
      </c>
      <c r="K984" s="27" t="str">
        <f t="shared" si="3"/>
        <v/>
      </c>
      <c r="L984" s="1" t="str">
        <f t="array" ref="L984">IFERROR(INDEX('Исходник'!$1:$626,MATCH($A984,'Исходник'!$T:$T,0),MATCH(L$1,'Исходник'!$1:$1,0)))</f>
        <v/>
      </c>
      <c r="M984" s="28">
        <f t="shared" si="4"/>
        <v>0</v>
      </c>
      <c r="N984" s="1" t="str">
        <f t="array" ref="N984">IFERROR(INDEX('Исходник'!$1:$626,MATCH($A984,'Исходник'!$T:$T,0),MATCH(N$1,'Исходник'!$1:$1,0)))</f>
        <v/>
      </c>
      <c r="O984" s="27">
        <f t="shared" si="5"/>
        <v>0</v>
      </c>
      <c r="P984" s="27" t="str">
        <f t="shared" si="6"/>
        <v/>
      </c>
      <c r="Q984" s="1" t="str">
        <f t="array" ref="Q984">IFERROR(INDEX('Исходник'!$1:$626,MATCH($A984,'Исходник'!$T:$T,0),MATCH(Q$1,'Исходник'!$1:$1,0)))</f>
        <v/>
      </c>
      <c r="R984" s="1" t="str">
        <f t="array" ref="R984">IFERROR(INDEX('Исходник'!$1:$626,MATCH($A984,'Исходник'!$T:$T,0),MATCH(R$1,'Исходник'!$1:$1,0)))</f>
        <v/>
      </c>
      <c r="S984" s="27">
        <f t="shared" si="7"/>
        <v>0</v>
      </c>
      <c r="T984" s="27" t="str">
        <f t="shared" si="8"/>
        <v/>
      </c>
      <c r="U984" s="1" t="str">
        <f t="array" ref="U984">IFERROR(INDEX('Исходник'!$1:$626,MATCH($A984,'Исходник'!$T:$T,0),MATCH(U$1,'Исходник'!$1:$1,0)))</f>
        <v/>
      </c>
      <c r="V984" s="27" t="str">
        <f t="shared" si="9"/>
        <v/>
      </c>
      <c r="W984" s="1" t="str">
        <f t="array" ref="W984">IFERROR(INDEX('Исходник'!$1:$626,MATCH($A984,'Исходник'!$T:$T,0),MATCH(W$1,'Исходник'!$1:$1,0)))</f>
        <v/>
      </c>
      <c r="X984" s="28">
        <f t="shared" si="10"/>
        <v>0</v>
      </c>
      <c r="Y984" s="1" t="str">
        <f t="array" ref="Y984">IFERROR(INDEX('Исходник'!$1:$626,MATCH($A984,'Исходник'!$T:$T,0),MATCH(Y$1,'Исходник'!$1:$1,0)))</f>
        <v/>
      </c>
      <c r="Z984" s="27">
        <f t="shared" si="11"/>
        <v>0</v>
      </c>
      <c r="AA984" s="27" t="str">
        <f t="shared" si="12"/>
        <v/>
      </c>
      <c r="AB984" s="1" t="str">
        <f t="array" ref="AB984">IFERROR(INDEX('Исходник'!$1:$626,MATCH($A984,'Исходник'!$T:$T,0),MATCH(AB$1,'Исходник'!$1:$1,0)))</f>
        <v/>
      </c>
      <c r="AC984" s="1" t="str">
        <f t="array" ref="AC984">IFERROR(INDEX('Исходник'!$1:$626,MATCH($A984,'Исходник'!$T:$T,0),MATCH(AC$1,'Исходник'!$1:$1,0)))</f>
        <v/>
      </c>
      <c r="AD984" s="27" t="str">
        <f t="shared" si="13"/>
        <v/>
      </c>
      <c r="AE984" s="1" t="str">
        <f t="array" ref="AE984">IFERROR(INDEX('Исходник'!$1:$626,MATCH($A984,'Исходник'!$T:$T,0),MATCH(AE$1,'Исходник'!$1:$1,0)))</f>
        <v/>
      </c>
      <c r="AF984" s="1" t="str">
        <f t="array" ref="AF984">IFERROR(INDEX('Исходник'!$1:$626,MATCH($A984,'Исходник'!$T:$T,0),MATCH(AF$1,'Исходник'!$1:$1,0)))</f>
        <v/>
      </c>
      <c r="AG984" s="27" t="str">
        <f t="shared" si="14"/>
        <v/>
      </c>
      <c r="AH984" s="1" t="str">
        <f t="array" ref="AH984">IFERROR(INDEX('Исходник'!$1:$626,MATCH($A984,'Исходник'!$T:$T,0),MATCH(AH$1,'Исходник'!$1:$1,0)))</f>
        <v/>
      </c>
      <c r="AI984" s="1" t="str">
        <f t="array" ref="AI984">IFERROR(INDEX('Исходник'!$1:$626,MATCH($A984,'Исходник'!$T:$T,0),MATCH(AI$1,'Исходник'!$1:$1,0)))</f>
        <v/>
      </c>
      <c r="AJ984" s="18">
        <f t="shared" si="15"/>
        <v>0</v>
      </c>
    </row>
    <row r="985" ht="15.75" customHeight="1">
      <c r="A985" s="27"/>
      <c r="B985" s="1" t="str">
        <f t="array" ref="B985">IFERROR(INDEX('Исходник'!$1:$626,MATCH($A985,'Исходник'!$T:$T,0),MATCH(B$1,'Исходник'!$1:$1,0)))</f>
        <v/>
      </c>
      <c r="C985" s="1" t="str">
        <f t="array" ref="C985">IFERROR(INDEX('Исходник'!$1:$626,MATCH($A985,'Исходник'!$T:$T,0),MATCH(C$1,'Исходник'!$1:$1,0)))</f>
        <v/>
      </c>
      <c r="D985" s="1" t="str">
        <f t="array" ref="D985">IFERROR(INDEX('Исходник'!$1:$626,MATCH($A985,'Исходник'!$T:$T,0),MATCH(D$1,'Исходник'!$1:$1,0)))</f>
        <v/>
      </c>
      <c r="E985" s="1" t="str">
        <f t="array" ref="E985">IFERROR(INDEX('Исходник'!$1:$626,MATCH($A985,'Исходник'!$T:$T,0),MATCH(E$1,'Исходник'!$1:$1,0)))</f>
        <v/>
      </c>
      <c r="F985" s="1" t="str">
        <f t="array" ref="F985">IFERROR(INDEX('Исходник'!$1:$626,MATCH($A985,'Исходник'!$T:$T,0),MATCH(F$1,'Исходник'!$1:$1,0)))</f>
        <v/>
      </c>
      <c r="G985" s="1" t="str">
        <f t="array" ref="G985">IFERROR(INDEX('Исходник'!$1:$626,MATCH($A985,'Исходник'!$T:$T,0),MATCH(G$1,'Исходник'!$1:$1,0)))</f>
        <v/>
      </c>
      <c r="H985" s="27">
        <f t="shared" si="1"/>
        <v>0</v>
      </c>
      <c r="I985" s="27" t="str">
        <f t="shared" si="2"/>
        <v/>
      </c>
      <c r="J985" s="1" t="str">
        <f t="array" ref="J985">IFERROR(INDEX('Исходник'!$1:$626,MATCH($A985,'Исходник'!$T:$T,0),MATCH(J$1,'Исходник'!$1:$1,0)))</f>
        <v/>
      </c>
      <c r="K985" s="27" t="str">
        <f t="shared" si="3"/>
        <v/>
      </c>
      <c r="L985" s="1" t="str">
        <f t="array" ref="L985">IFERROR(INDEX('Исходник'!$1:$626,MATCH($A985,'Исходник'!$T:$T,0),MATCH(L$1,'Исходник'!$1:$1,0)))</f>
        <v/>
      </c>
      <c r="M985" s="28">
        <f t="shared" si="4"/>
        <v>0</v>
      </c>
      <c r="N985" s="1" t="str">
        <f t="array" ref="N985">IFERROR(INDEX('Исходник'!$1:$626,MATCH($A985,'Исходник'!$T:$T,0),MATCH(N$1,'Исходник'!$1:$1,0)))</f>
        <v/>
      </c>
      <c r="O985" s="27">
        <f t="shared" si="5"/>
        <v>0</v>
      </c>
      <c r="P985" s="27" t="str">
        <f t="shared" si="6"/>
        <v/>
      </c>
      <c r="Q985" s="1" t="str">
        <f t="array" ref="Q985">IFERROR(INDEX('Исходник'!$1:$626,MATCH($A985,'Исходник'!$T:$T,0),MATCH(Q$1,'Исходник'!$1:$1,0)))</f>
        <v/>
      </c>
      <c r="R985" s="1" t="str">
        <f t="array" ref="R985">IFERROR(INDEX('Исходник'!$1:$626,MATCH($A985,'Исходник'!$T:$T,0),MATCH(R$1,'Исходник'!$1:$1,0)))</f>
        <v/>
      </c>
      <c r="S985" s="27">
        <f t="shared" si="7"/>
        <v>0</v>
      </c>
      <c r="T985" s="27" t="str">
        <f t="shared" si="8"/>
        <v/>
      </c>
      <c r="U985" s="1" t="str">
        <f t="array" ref="U985">IFERROR(INDEX('Исходник'!$1:$626,MATCH($A985,'Исходник'!$T:$T,0),MATCH(U$1,'Исходник'!$1:$1,0)))</f>
        <v/>
      </c>
      <c r="V985" s="27" t="str">
        <f t="shared" si="9"/>
        <v/>
      </c>
      <c r="W985" s="1" t="str">
        <f t="array" ref="W985">IFERROR(INDEX('Исходник'!$1:$626,MATCH($A985,'Исходник'!$T:$T,0),MATCH(W$1,'Исходник'!$1:$1,0)))</f>
        <v/>
      </c>
      <c r="X985" s="28">
        <f t="shared" si="10"/>
        <v>0</v>
      </c>
      <c r="Y985" s="1" t="str">
        <f t="array" ref="Y985">IFERROR(INDEX('Исходник'!$1:$626,MATCH($A985,'Исходник'!$T:$T,0),MATCH(Y$1,'Исходник'!$1:$1,0)))</f>
        <v/>
      </c>
      <c r="Z985" s="27">
        <f t="shared" si="11"/>
        <v>0</v>
      </c>
      <c r="AA985" s="27" t="str">
        <f t="shared" si="12"/>
        <v/>
      </c>
      <c r="AB985" s="1" t="str">
        <f t="array" ref="AB985">IFERROR(INDEX('Исходник'!$1:$626,MATCH($A985,'Исходник'!$T:$T,0),MATCH(AB$1,'Исходник'!$1:$1,0)))</f>
        <v/>
      </c>
      <c r="AC985" s="1" t="str">
        <f t="array" ref="AC985">IFERROR(INDEX('Исходник'!$1:$626,MATCH($A985,'Исходник'!$T:$T,0),MATCH(AC$1,'Исходник'!$1:$1,0)))</f>
        <v/>
      </c>
      <c r="AD985" s="27" t="str">
        <f t="shared" si="13"/>
        <v/>
      </c>
      <c r="AE985" s="1" t="str">
        <f t="array" ref="AE985">IFERROR(INDEX('Исходник'!$1:$626,MATCH($A985,'Исходник'!$T:$T,0),MATCH(AE$1,'Исходник'!$1:$1,0)))</f>
        <v/>
      </c>
      <c r="AF985" s="1" t="str">
        <f t="array" ref="AF985">IFERROR(INDEX('Исходник'!$1:$626,MATCH($A985,'Исходник'!$T:$T,0),MATCH(AF$1,'Исходник'!$1:$1,0)))</f>
        <v/>
      </c>
      <c r="AG985" s="27" t="str">
        <f t="shared" si="14"/>
        <v/>
      </c>
      <c r="AH985" s="1" t="str">
        <f t="array" ref="AH985">IFERROR(INDEX('Исходник'!$1:$626,MATCH($A985,'Исходник'!$T:$T,0),MATCH(AH$1,'Исходник'!$1:$1,0)))</f>
        <v/>
      </c>
      <c r="AI985" s="1" t="str">
        <f t="array" ref="AI985">IFERROR(INDEX('Исходник'!$1:$626,MATCH($A985,'Исходник'!$T:$T,0),MATCH(AI$1,'Исходник'!$1:$1,0)))</f>
        <v/>
      </c>
      <c r="AJ985" s="18">
        <f t="shared" si="15"/>
        <v>0</v>
      </c>
    </row>
    <row r="986" ht="15.75" customHeight="1">
      <c r="A986" s="27"/>
      <c r="B986" s="1" t="str">
        <f t="array" ref="B986">IFERROR(INDEX('Исходник'!$1:$626,MATCH($A986,'Исходник'!$T:$T,0),MATCH(B$1,'Исходник'!$1:$1,0)))</f>
        <v/>
      </c>
      <c r="C986" s="1" t="str">
        <f t="array" ref="C986">IFERROR(INDEX('Исходник'!$1:$626,MATCH($A986,'Исходник'!$T:$T,0),MATCH(C$1,'Исходник'!$1:$1,0)))</f>
        <v/>
      </c>
      <c r="D986" s="1" t="str">
        <f t="array" ref="D986">IFERROR(INDEX('Исходник'!$1:$626,MATCH($A986,'Исходник'!$T:$T,0),MATCH(D$1,'Исходник'!$1:$1,0)))</f>
        <v/>
      </c>
      <c r="E986" s="1" t="str">
        <f t="array" ref="E986">IFERROR(INDEX('Исходник'!$1:$626,MATCH($A986,'Исходник'!$T:$T,0),MATCH(E$1,'Исходник'!$1:$1,0)))</f>
        <v/>
      </c>
      <c r="F986" s="1" t="str">
        <f t="array" ref="F986">IFERROR(INDEX('Исходник'!$1:$626,MATCH($A986,'Исходник'!$T:$T,0),MATCH(F$1,'Исходник'!$1:$1,0)))</f>
        <v/>
      </c>
      <c r="G986" s="1" t="str">
        <f t="array" ref="G986">IFERROR(INDEX('Исходник'!$1:$626,MATCH($A986,'Исходник'!$T:$T,0),MATCH(G$1,'Исходник'!$1:$1,0)))</f>
        <v/>
      </c>
      <c r="H986" s="27">
        <f t="shared" si="1"/>
        <v>0</v>
      </c>
      <c r="I986" s="27" t="str">
        <f t="shared" si="2"/>
        <v/>
      </c>
      <c r="J986" s="1" t="str">
        <f t="array" ref="J986">IFERROR(INDEX('Исходник'!$1:$626,MATCH($A986,'Исходник'!$T:$T,0),MATCH(J$1,'Исходник'!$1:$1,0)))</f>
        <v/>
      </c>
      <c r="K986" s="27" t="str">
        <f t="shared" si="3"/>
        <v/>
      </c>
      <c r="L986" s="1" t="str">
        <f t="array" ref="L986">IFERROR(INDEX('Исходник'!$1:$626,MATCH($A986,'Исходник'!$T:$T,0),MATCH(L$1,'Исходник'!$1:$1,0)))</f>
        <v/>
      </c>
      <c r="M986" s="28">
        <f t="shared" si="4"/>
        <v>0</v>
      </c>
      <c r="N986" s="1" t="str">
        <f t="array" ref="N986">IFERROR(INDEX('Исходник'!$1:$626,MATCH($A986,'Исходник'!$T:$T,0),MATCH(N$1,'Исходник'!$1:$1,0)))</f>
        <v/>
      </c>
      <c r="O986" s="27">
        <f t="shared" si="5"/>
        <v>0</v>
      </c>
      <c r="P986" s="27" t="str">
        <f t="shared" si="6"/>
        <v/>
      </c>
      <c r="Q986" s="1" t="str">
        <f t="array" ref="Q986">IFERROR(INDEX('Исходник'!$1:$626,MATCH($A986,'Исходник'!$T:$T,0),MATCH(Q$1,'Исходник'!$1:$1,0)))</f>
        <v/>
      </c>
      <c r="R986" s="1" t="str">
        <f t="array" ref="R986">IFERROR(INDEX('Исходник'!$1:$626,MATCH($A986,'Исходник'!$T:$T,0),MATCH(R$1,'Исходник'!$1:$1,0)))</f>
        <v/>
      </c>
      <c r="S986" s="27">
        <f t="shared" si="7"/>
        <v>0</v>
      </c>
      <c r="T986" s="27" t="str">
        <f t="shared" si="8"/>
        <v/>
      </c>
      <c r="U986" s="1" t="str">
        <f t="array" ref="U986">IFERROR(INDEX('Исходник'!$1:$626,MATCH($A986,'Исходник'!$T:$T,0),MATCH(U$1,'Исходник'!$1:$1,0)))</f>
        <v/>
      </c>
      <c r="V986" s="27" t="str">
        <f t="shared" si="9"/>
        <v/>
      </c>
      <c r="W986" s="1" t="str">
        <f t="array" ref="W986">IFERROR(INDEX('Исходник'!$1:$626,MATCH($A986,'Исходник'!$T:$T,0),MATCH(W$1,'Исходник'!$1:$1,0)))</f>
        <v/>
      </c>
      <c r="X986" s="28">
        <f t="shared" si="10"/>
        <v>0</v>
      </c>
      <c r="Y986" s="1" t="str">
        <f t="array" ref="Y986">IFERROR(INDEX('Исходник'!$1:$626,MATCH($A986,'Исходник'!$T:$T,0),MATCH(Y$1,'Исходник'!$1:$1,0)))</f>
        <v/>
      </c>
      <c r="Z986" s="27">
        <f t="shared" si="11"/>
        <v>0</v>
      </c>
      <c r="AA986" s="27" t="str">
        <f t="shared" si="12"/>
        <v/>
      </c>
      <c r="AB986" s="1" t="str">
        <f t="array" ref="AB986">IFERROR(INDEX('Исходник'!$1:$626,MATCH($A986,'Исходник'!$T:$T,0),MATCH(AB$1,'Исходник'!$1:$1,0)))</f>
        <v/>
      </c>
      <c r="AC986" s="1" t="str">
        <f t="array" ref="AC986">IFERROR(INDEX('Исходник'!$1:$626,MATCH($A986,'Исходник'!$T:$T,0),MATCH(AC$1,'Исходник'!$1:$1,0)))</f>
        <v/>
      </c>
      <c r="AD986" s="27" t="str">
        <f t="shared" si="13"/>
        <v/>
      </c>
      <c r="AE986" s="1" t="str">
        <f t="array" ref="AE986">IFERROR(INDEX('Исходник'!$1:$626,MATCH($A986,'Исходник'!$T:$T,0),MATCH(AE$1,'Исходник'!$1:$1,0)))</f>
        <v/>
      </c>
      <c r="AF986" s="1" t="str">
        <f t="array" ref="AF986">IFERROR(INDEX('Исходник'!$1:$626,MATCH($A986,'Исходник'!$T:$T,0),MATCH(AF$1,'Исходник'!$1:$1,0)))</f>
        <v/>
      </c>
      <c r="AG986" s="27" t="str">
        <f t="shared" si="14"/>
        <v/>
      </c>
      <c r="AH986" s="1" t="str">
        <f t="array" ref="AH986">IFERROR(INDEX('Исходник'!$1:$626,MATCH($A986,'Исходник'!$T:$T,0),MATCH(AH$1,'Исходник'!$1:$1,0)))</f>
        <v/>
      </c>
      <c r="AI986" s="1" t="str">
        <f t="array" ref="AI986">IFERROR(INDEX('Исходник'!$1:$626,MATCH($A986,'Исходник'!$T:$T,0),MATCH(AI$1,'Исходник'!$1:$1,0)))</f>
        <v/>
      </c>
      <c r="AJ986" s="18">
        <f t="shared" si="15"/>
        <v>0</v>
      </c>
    </row>
    <row r="987" ht="15.75" customHeight="1">
      <c r="A987" s="27"/>
      <c r="B987" s="1" t="str">
        <f t="array" ref="B987">IFERROR(INDEX('Исходник'!$1:$626,MATCH($A987,'Исходник'!$T:$T,0),MATCH(B$1,'Исходник'!$1:$1,0)))</f>
        <v/>
      </c>
      <c r="C987" s="1" t="str">
        <f t="array" ref="C987">IFERROR(INDEX('Исходник'!$1:$626,MATCH($A987,'Исходник'!$T:$T,0),MATCH(C$1,'Исходник'!$1:$1,0)))</f>
        <v/>
      </c>
      <c r="D987" s="1" t="str">
        <f t="array" ref="D987">IFERROR(INDEX('Исходник'!$1:$626,MATCH($A987,'Исходник'!$T:$T,0),MATCH(D$1,'Исходник'!$1:$1,0)))</f>
        <v/>
      </c>
      <c r="E987" s="1" t="str">
        <f t="array" ref="E987">IFERROR(INDEX('Исходник'!$1:$626,MATCH($A987,'Исходник'!$T:$T,0),MATCH(E$1,'Исходник'!$1:$1,0)))</f>
        <v/>
      </c>
      <c r="F987" s="1" t="str">
        <f t="array" ref="F987">IFERROR(INDEX('Исходник'!$1:$626,MATCH($A987,'Исходник'!$T:$T,0),MATCH(F$1,'Исходник'!$1:$1,0)))</f>
        <v/>
      </c>
      <c r="G987" s="1" t="str">
        <f t="array" ref="G987">IFERROR(INDEX('Исходник'!$1:$626,MATCH($A987,'Исходник'!$T:$T,0),MATCH(G$1,'Исходник'!$1:$1,0)))</f>
        <v/>
      </c>
      <c r="H987" s="27">
        <f t="shared" si="1"/>
        <v>0</v>
      </c>
      <c r="I987" s="27" t="str">
        <f t="shared" si="2"/>
        <v/>
      </c>
      <c r="J987" s="1" t="str">
        <f t="array" ref="J987">IFERROR(INDEX('Исходник'!$1:$626,MATCH($A987,'Исходник'!$T:$T,0),MATCH(J$1,'Исходник'!$1:$1,0)))</f>
        <v/>
      </c>
      <c r="K987" s="27" t="str">
        <f t="shared" si="3"/>
        <v/>
      </c>
      <c r="L987" s="1" t="str">
        <f t="array" ref="L987">IFERROR(INDEX('Исходник'!$1:$626,MATCH($A987,'Исходник'!$T:$T,0),MATCH(L$1,'Исходник'!$1:$1,0)))</f>
        <v/>
      </c>
      <c r="M987" s="28">
        <f t="shared" si="4"/>
        <v>0</v>
      </c>
      <c r="N987" s="1" t="str">
        <f t="array" ref="N987">IFERROR(INDEX('Исходник'!$1:$626,MATCH($A987,'Исходник'!$T:$T,0),MATCH(N$1,'Исходник'!$1:$1,0)))</f>
        <v/>
      </c>
      <c r="O987" s="27">
        <f t="shared" si="5"/>
        <v>0</v>
      </c>
      <c r="P987" s="27" t="str">
        <f t="shared" si="6"/>
        <v/>
      </c>
      <c r="Q987" s="1" t="str">
        <f t="array" ref="Q987">IFERROR(INDEX('Исходник'!$1:$626,MATCH($A987,'Исходник'!$T:$T,0),MATCH(Q$1,'Исходник'!$1:$1,0)))</f>
        <v/>
      </c>
      <c r="R987" s="1" t="str">
        <f t="array" ref="R987">IFERROR(INDEX('Исходник'!$1:$626,MATCH($A987,'Исходник'!$T:$T,0),MATCH(R$1,'Исходник'!$1:$1,0)))</f>
        <v/>
      </c>
      <c r="S987" s="27">
        <f t="shared" si="7"/>
        <v>0</v>
      </c>
      <c r="T987" s="27" t="str">
        <f t="shared" si="8"/>
        <v/>
      </c>
      <c r="U987" s="1" t="str">
        <f t="array" ref="U987">IFERROR(INDEX('Исходник'!$1:$626,MATCH($A987,'Исходник'!$T:$T,0),MATCH(U$1,'Исходник'!$1:$1,0)))</f>
        <v/>
      </c>
      <c r="V987" s="27" t="str">
        <f t="shared" si="9"/>
        <v/>
      </c>
      <c r="W987" s="1" t="str">
        <f t="array" ref="W987">IFERROR(INDEX('Исходник'!$1:$626,MATCH($A987,'Исходник'!$T:$T,0),MATCH(W$1,'Исходник'!$1:$1,0)))</f>
        <v/>
      </c>
      <c r="X987" s="28">
        <f t="shared" si="10"/>
        <v>0</v>
      </c>
      <c r="Y987" s="1" t="str">
        <f t="array" ref="Y987">IFERROR(INDEX('Исходник'!$1:$626,MATCH($A987,'Исходник'!$T:$T,0),MATCH(Y$1,'Исходник'!$1:$1,0)))</f>
        <v/>
      </c>
      <c r="Z987" s="27">
        <f t="shared" si="11"/>
        <v>0</v>
      </c>
      <c r="AA987" s="27" t="str">
        <f t="shared" si="12"/>
        <v/>
      </c>
      <c r="AB987" s="1" t="str">
        <f t="array" ref="AB987">IFERROR(INDEX('Исходник'!$1:$626,MATCH($A987,'Исходник'!$T:$T,0),MATCH(AB$1,'Исходник'!$1:$1,0)))</f>
        <v/>
      </c>
      <c r="AC987" s="1" t="str">
        <f t="array" ref="AC987">IFERROR(INDEX('Исходник'!$1:$626,MATCH($A987,'Исходник'!$T:$T,0),MATCH(AC$1,'Исходник'!$1:$1,0)))</f>
        <v/>
      </c>
      <c r="AD987" s="27" t="str">
        <f t="shared" si="13"/>
        <v/>
      </c>
      <c r="AE987" s="1" t="str">
        <f t="array" ref="AE987">IFERROR(INDEX('Исходник'!$1:$626,MATCH($A987,'Исходник'!$T:$T,0),MATCH(AE$1,'Исходник'!$1:$1,0)))</f>
        <v/>
      </c>
      <c r="AF987" s="1" t="str">
        <f t="array" ref="AF987">IFERROR(INDEX('Исходник'!$1:$626,MATCH($A987,'Исходник'!$T:$T,0),MATCH(AF$1,'Исходник'!$1:$1,0)))</f>
        <v/>
      </c>
      <c r="AG987" s="27" t="str">
        <f t="shared" si="14"/>
        <v/>
      </c>
      <c r="AH987" s="1" t="str">
        <f t="array" ref="AH987">IFERROR(INDEX('Исходник'!$1:$626,MATCH($A987,'Исходник'!$T:$T,0),MATCH(AH$1,'Исходник'!$1:$1,0)))</f>
        <v/>
      </c>
      <c r="AI987" s="1" t="str">
        <f t="array" ref="AI987">IFERROR(INDEX('Исходник'!$1:$626,MATCH($A987,'Исходник'!$T:$T,0),MATCH(AI$1,'Исходник'!$1:$1,0)))</f>
        <v/>
      </c>
      <c r="AJ987" s="18">
        <f t="shared" si="15"/>
        <v>0</v>
      </c>
    </row>
    <row r="988" ht="15.75" customHeight="1">
      <c r="A988" s="27"/>
      <c r="B988" s="1" t="str">
        <f t="array" ref="B988">IFERROR(INDEX('Исходник'!$1:$626,MATCH($A988,'Исходник'!$T:$T,0),MATCH(B$1,'Исходник'!$1:$1,0)))</f>
        <v/>
      </c>
      <c r="C988" s="1" t="str">
        <f t="array" ref="C988">IFERROR(INDEX('Исходник'!$1:$626,MATCH($A988,'Исходник'!$T:$T,0),MATCH(C$1,'Исходник'!$1:$1,0)))</f>
        <v/>
      </c>
      <c r="D988" s="1" t="str">
        <f t="array" ref="D988">IFERROR(INDEX('Исходник'!$1:$626,MATCH($A988,'Исходник'!$T:$T,0),MATCH(D$1,'Исходник'!$1:$1,0)))</f>
        <v/>
      </c>
      <c r="E988" s="1" t="str">
        <f t="array" ref="E988">IFERROR(INDEX('Исходник'!$1:$626,MATCH($A988,'Исходник'!$T:$T,0),MATCH(E$1,'Исходник'!$1:$1,0)))</f>
        <v/>
      </c>
      <c r="F988" s="1" t="str">
        <f t="array" ref="F988">IFERROR(INDEX('Исходник'!$1:$626,MATCH($A988,'Исходник'!$T:$T,0),MATCH(F$1,'Исходник'!$1:$1,0)))</f>
        <v/>
      </c>
      <c r="G988" s="1" t="str">
        <f t="array" ref="G988">IFERROR(INDEX('Исходник'!$1:$626,MATCH($A988,'Исходник'!$T:$T,0),MATCH(G$1,'Исходник'!$1:$1,0)))</f>
        <v/>
      </c>
      <c r="H988" s="27">
        <f t="shared" si="1"/>
        <v>0</v>
      </c>
      <c r="I988" s="27" t="str">
        <f t="shared" si="2"/>
        <v/>
      </c>
      <c r="J988" s="1" t="str">
        <f t="array" ref="J988">IFERROR(INDEX('Исходник'!$1:$626,MATCH($A988,'Исходник'!$T:$T,0),MATCH(J$1,'Исходник'!$1:$1,0)))</f>
        <v/>
      </c>
      <c r="K988" s="27" t="str">
        <f t="shared" si="3"/>
        <v/>
      </c>
      <c r="L988" s="1" t="str">
        <f t="array" ref="L988">IFERROR(INDEX('Исходник'!$1:$626,MATCH($A988,'Исходник'!$T:$T,0),MATCH(L$1,'Исходник'!$1:$1,0)))</f>
        <v/>
      </c>
      <c r="M988" s="28">
        <f t="shared" si="4"/>
        <v>0</v>
      </c>
      <c r="N988" s="1" t="str">
        <f t="array" ref="N988">IFERROR(INDEX('Исходник'!$1:$626,MATCH($A988,'Исходник'!$T:$T,0),MATCH(N$1,'Исходник'!$1:$1,0)))</f>
        <v/>
      </c>
      <c r="O988" s="27">
        <f t="shared" si="5"/>
        <v>0</v>
      </c>
      <c r="P988" s="27" t="str">
        <f t="shared" si="6"/>
        <v/>
      </c>
      <c r="Q988" s="1" t="str">
        <f t="array" ref="Q988">IFERROR(INDEX('Исходник'!$1:$626,MATCH($A988,'Исходник'!$T:$T,0),MATCH(Q$1,'Исходник'!$1:$1,0)))</f>
        <v/>
      </c>
      <c r="R988" s="1" t="str">
        <f t="array" ref="R988">IFERROR(INDEX('Исходник'!$1:$626,MATCH($A988,'Исходник'!$T:$T,0),MATCH(R$1,'Исходник'!$1:$1,0)))</f>
        <v/>
      </c>
      <c r="S988" s="27">
        <f t="shared" si="7"/>
        <v>0</v>
      </c>
      <c r="T988" s="27" t="str">
        <f t="shared" si="8"/>
        <v/>
      </c>
      <c r="U988" s="1" t="str">
        <f t="array" ref="U988">IFERROR(INDEX('Исходник'!$1:$626,MATCH($A988,'Исходник'!$T:$T,0),MATCH(U$1,'Исходник'!$1:$1,0)))</f>
        <v/>
      </c>
      <c r="V988" s="27" t="str">
        <f t="shared" si="9"/>
        <v/>
      </c>
      <c r="W988" s="1" t="str">
        <f t="array" ref="W988">IFERROR(INDEX('Исходник'!$1:$626,MATCH($A988,'Исходник'!$T:$T,0),MATCH(W$1,'Исходник'!$1:$1,0)))</f>
        <v/>
      </c>
      <c r="X988" s="28">
        <f t="shared" si="10"/>
        <v>0</v>
      </c>
      <c r="Y988" s="1" t="str">
        <f t="array" ref="Y988">IFERROR(INDEX('Исходник'!$1:$626,MATCH($A988,'Исходник'!$T:$T,0),MATCH(Y$1,'Исходник'!$1:$1,0)))</f>
        <v/>
      </c>
      <c r="Z988" s="27">
        <f t="shared" si="11"/>
        <v>0</v>
      </c>
      <c r="AA988" s="27" t="str">
        <f t="shared" si="12"/>
        <v/>
      </c>
      <c r="AB988" s="1" t="str">
        <f t="array" ref="AB988">IFERROR(INDEX('Исходник'!$1:$626,MATCH($A988,'Исходник'!$T:$T,0),MATCH(AB$1,'Исходник'!$1:$1,0)))</f>
        <v/>
      </c>
      <c r="AC988" s="1" t="str">
        <f t="array" ref="AC988">IFERROR(INDEX('Исходник'!$1:$626,MATCH($A988,'Исходник'!$T:$T,0),MATCH(AC$1,'Исходник'!$1:$1,0)))</f>
        <v/>
      </c>
      <c r="AD988" s="27" t="str">
        <f t="shared" si="13"/>
        <v/>
      </c>
      <c r="AE988" s="1" t="str">
        <f t="array" ref="AE988">IFERROR(INDEX('Исходник'!$1:$626,MATCH($A988,'Исходник'!$T:$T,0),MATCH(AE$1,'Исходник'!$1:$1,0)))</f>
        <v/>
      </c>
      <c r="AF988" s="1" t="str">
        <f t="array" ref="AF988">IFERROR(INDEX('Исходник'!$1:$626,MATCH($A988,'Исходник'!$T:$T,0),MATCH(AF$1,'Исходник'!$1:$1,0)))</f>
        <v/>
      </c>
      <c r="AG988" s="27" t="str">
        <f t="shared" si="14"/>
        <v/>
      </c>
      <c r="AH988" s="1" t="str">
        <f t="array" ref="AH988">IFERROR(INDEX('Исходник'!$1:$626,MATCH($A988,'Исходник'!$T:$T,0),MATCH(AH$1,'Исходник'!$1:$1,0)))</f>
        <v/>
      </c>
      <c r="AI988" s="1" t="str">
        <f t="array" ref="AI988">IFERROR(INDEX('Исходник'!$1:$626,MATCH($A988,'Исходник'!$T:$T,0),MATCH(AI$1,'Исходник'!$1:$1,0)))</f>
        <v/>
      </c>
      <c r="AJ988" s="18">
        <f t="shared" si="15"/>
        <v>0</v>
      </c>
    </row>
    <row r="989" ht="15.75" customHeight="1">
      <c r="A989" s="27"/>
      <c r="B989" s="1" t="str">
        <f t="array" ref="B989">IFERROR(INDEX('Исходник'!$1:$626,MATCH($A989,'Исходник'!$T:$T,0),MATCH(B$1,'Исходник'!$1:$1,0)))</f>
        <v/>
      </c>
      <c r="C989" s="1" t="str">
        <f t="array" ref="C989">IFERROR(INDEX('Исходник'!$1:$626,MATCH($A989,'Исходник'!$T:$T,0),MATCH(C$1,'Исходник'!$1:$1,0)))</f>
        <v/>
      </c>
      <c r="D989" s="1" t="str">
        <f t="array" ref="D989">IFERROR(INDEX('Исходник'!$1:$626,MATCH($A989,'Исходник'!$T:$T,0),MATCH(D$1,'Исходник'!$1:$1,0)))</f>
        <v/>
      </c>
      <c r="E989" s="1" t="str">
        <f t="array" ref="E989">IFERROR(INDEX('Исходник'!$1:$626,MATCH($A989,'Исходник'!$T:$T,0),MATCH(E$1,'Исходник'!$1:$1,0)))</f>
        <v/>
      </c>
      <c r="F989" s="1" t="str">
        <f t="array" ref="F989">IFERROR(INDEX('Исходник'!$1:$626,MATCH($A989,'Исходник'!$T:$T,0),MATCH(F$1,'Исходник'!$1:$1,0)))</f>
        <v/>
      </c>
      <c r="G989" s="1" t="str">
        <f t="array" ref="G989">IFERROR(INDEX('Исходник'!$1:$626,MATCH($A989,'Исходник'!$T:$T,0),MATCH(G$1,'Исходник'!$1:$1,0)))</f>
        <v/>
      </c>
      <c r="H989" s="27">
        <f t="shared" si="1"/>
        <v>0</v>
      </c>
      <c r="I989" s="27" t="str">
        <f t="shared" si="2"/>
        <v/>
      </c>
      <c r="J989" s="1" t="str">
        <f t="array" ref="J989">IFERROR(INDEX('Исходник'!$1:$626,MATCH($A989,'Исходник'!$T:$T,0),MATCH(J$1,'Исходник'!$1:$1,0)))</f>
        <v/>
      </c>
      <c r="K989" s="27" t="str">
        <f t="shared" si="3"/>
        <v/>
      </c>
      <c r="L989" s="1" t="str">
        <f t="array" ref="L989">IFERROR(INDEX('Исходник'!$1:$626,MATCH($A989,'Исходник'!$T:$T,0),MATCH(L$1,'Исходник'!$1:$1,0)))</f>
        <v/>
      </c>
      <c r="M989" s="28">
        <f t="shared" si="4"/>
        <v>0</v>
      </c>
      <c r="N989" s="1" t="str">
        <f t="array" ref="N989">IFERROR(INDEX('Исходник'!$1:$626,MATCH($A989,'Исходник'!$T:$T,0),MATCH(N$1,'Исходник'!$1:$1,0)))</f>
        <v/>
      </c>
      <c r="O989" s="27">
        <f t="shared" si="5"/>
        <v>0</v>
      </c>
      <c r="P989" s="27" t="str">
        <f t="shared" si="6"/>
        <v/>
      </c>
      <c r="Q989" s="1" t="str">
        <f t="array" ref="Q989">IFERROR(INDEX('Исходник'!$1:$626,MATCH($A989,'Исходник'!$T:$T,0),MATCH(Q$1,'Исходник'!$1:$1,0)))</f>
        <v/>
      </c>
      <c r="R989" s="1" t="str">
        <f t="array" ref="R989">IFERROR(INDEX('Исходник'!$1:$626,MATCH($A989,'Исходник'!$T:$T,0),MATCH(R$1,'Исходник'!$1:$1,0)))</f>
        <v/>
      </c>
      <c r="S989" s="27">
        <f t="shared" si="7"/>
        <v>0</v>
      </c>
      <c r="T989" s="27" t="str">
        <f t="shared" si="8"/>
        <v/>
      </c>
      <c r="U989" s="1" t="str">
        <f t="array" ref="U989">IFERROR(INDEX('Исходник'!$1:$626,MATCH($A989,'Исходник'!$T:$T,0),MATCH(U$1,'Исходник'!$1:$1,0)))</f>
        <v/>
      </c>
      <c r="V989" s="27" t="str">
        <f t="shared" si="9"/>
        <v/>
      </c>
      <c r="W989" s="1" t="str">
        <f t="array" ref="W989">IFERROR(INDEX('Исходник'!$1:$626,MATCH($A989,'Исходник'!$T:$T,0),MATCH(W$1,'Исходник'!$1:$1,0)))</f>
        <v/>
      </c>
      <c r="X989" s="28">
        <f t="shared" si="10"/>
        <v>0</v>
      </c>
      <c r="Y989" s="1" t="str">
        <f t="array" ref="Y989">IFERROR(INDEX('Исходник'!$1:$626,MATCH($A989,'Исходник'!$T:$T,0),MATCH(Y$1,'Исходник'!$1:$1,0)))</f>
        <v/>
      </c>
      <c r="Z989" s="27">
        <f t="shared" si="11"/>
        <v>0</v>
      </c>
      <c r="AA989" s="27" t="str">
        <f t="shared" si="12"/>
        <v/>
      </c>
      <c r="AB989" s="1" t="str">
        <f t="array" ref="AB989">IFERROR(INDEX('Исходник'!$1:$626,MATCH($A989,'Исходник'!$T:$T,0),MATCH(AB$1,'Исходник'!$1:$1,0)))</f>
        <v/>
      </c>
      <c r="AC989" s="1" t="str">
        <f t="array" ref="AC989">IFERROR(INDEX('Исходник'!$1:$626,MATCH($A989,'Исходник'!$T:$T,0),MATCH(AC$1,'Исходник'!$1:$1,0)))</f>
        <v/>
      </c>
      <c r="AD989" s="27" t="str">
        <f t="shared" si="13"/>
        <v/>
      </c>
      <c r="AE989" s="1" t="str">
        <f t="array" ref="AE989">IFERROR(INDEX('Исходник'!$1:$626,MATCH($A989,'Исходник'!$T:$T,0),MATCH(AE$1,'Исходник'!$1:$1,0)))</f>
        <v/>
      </c>
      <c r="AF989" s="1" t="str">
        <f t="array" ref="AF989">IFERROR(INDEX('Исходник'!$1:$626,MATCH($A989,'Исходник'!$T:$T,0),MATCH(AF$1,'Исходник'!$1:$1,0)))</f>
        <v/>
      </c>
      <c r="AG989" s="27" t="str">
        <f t="shared" si="14"/>
        <v/>
      </c>
      <c r="AH989" s="1" t="str">
        <f t="array" ref="AH989">IFERROR(INDEX('Исходник'!$1:$626,MATCH($A989,'Исходник'!$T:$T,0),MATCH(AH$1,'Исходник'!$1:$1,0)))</f>
        <v/>
      </c>
      <c r="AI989" s="1" t="str">
        <f t="array" ref="AI989">IFERROR(INDEX('Исходник'!$1:$626,MATCH($A989,'Исходник'!$T:$T,0),MATCH(AI$1,'Исходник'!$1:$1,0)))</f>
        <v/>
      </c>
      <c r="AJ989" s="18">
        <f t="shared" si="15"/>
        <v>0</v>
      </c>
    </row>
    <row r="990" ht="15.75" customHeight="1">
      <c r="A990" s="27"/>
      <c r="B990" s="1" t="str">
        <f t="array" ref="B990">IFERROR(INDEX('Исходник'!$1:$626,MATCH($A990,'Исходник'!$T:$T,0),MATCH(B$1,'Исходник'!$1:$1,0)))</f>
        <v/>
      </c>
      <c r="C990" s="1" t="str">
        <f t="array" ref="C990">IFERROR(INDEX('Исходник'!$1:$626,MATCH($A990,'Исходник'!$T:$T,0),MATCH(C$1,'Исходник'!$1:$1,0)))</f>
        <v/>
      </c>
      <c r="D990" s="1" t="str">
        <f t="array" ref="D990">IFERROR(INDEX('Исходник'!$1:$626,MATCH($A990,'Исходник'!$T:$T,0),MATCH(D$1,'Исходник'!$1:$1,0)))</f>
        <v/>
      </c>
      <c r="E990" s="1" t="str">
        <f t="array" ref="E990">IFERROR(INDEX('Исходник'!$1:$626,MATCH($A990,'Исходник'!$T:$T,0),MATCH(E$1,'Исходник'!$1:$1,0)))</f>
        <v/>
      </c>
      <c r="F990" s="1" t="str">
        <f t="array" ref="F990">IFERROR(INDEX('Исходник'!$1:$626,MATCH($A990,'Исходник'!$T:$T,0),MATCH(F$1,'Исходник'!$1:$1,0)))</f>
        <v/>
      </c>
      <c r="G990" s="1" t="str">
        <f t="array" ref="G990">IFERROR(INDEX('Исходник'!$1:$626,MATCH($A990,'Исходник'!$T:$T,0),MATCH(G$1,'Исходник'!$1:$1,0)))</f>
        <v/>
      </c>
      <c r="H990" s="27">
        <f t="shared" si="1"/>
        <v>0</v>
      </c>
      <c r="I990" s="27" t="str">
        <f t="shared" si="2"/>
        <v/>
      </c>
      <c r="J990" s="1" t="str">
        <f t="array" ref="J990">IFERROR(INDEX('Исходник'!$1:$626,MATCH($A990,'Исходник'!$T:$T,0),MATCH(J$1,'Исходник'!$1:$1,0)))</f>
        <v/>
      </c>
      <c r="K990" s="27" t="str">
        <f t="shared" si="3"/>
        <v/>
      </c>
      <c r="L990" s="1" t="str">
        <f t="array" ref="L990">IFERROR(INDEX('Исходник'!$1:$626,MATCH($A990,'Исходник'!$T:$T,0),MATCH(L$1,'Исходник'!$1:$1,0)))</f>
        <v/>
      </c>
      <c r="M990" s="28">
        <f t="shared" si="4"/>
        <v>0</v>
      </c>
      <c r="N990" s="1" t="str">
        <f t="array" ref="N990">IFERROR(INDEX('Исходник'!$1:$626,MATCH($A990,'Исходник'!$T:$T,0),MATCH(N$1,'Исходник'!$1:$1,0)))</f>
        <v/>
      </c>
      <c r="O990" s="27">
        <f t="shared" si="5"/>
        <v>0</v>
      </c>
      <c r="P990" s="27" t="str">
        <f t="shared" si="6"/>
        <v/>
      </c>
      <c r="Q990" s="1" t="str">
        <f t="array" ref="Q990">IFERROR(INDEX('Исходник'!$1:$626,MATCH($A990,'Исходник'!$T:$T,0),MATCH(Q$1,'Исходник'!$1:$1,0)))</f>
        <v/>
      </c>
      <c r="R990" s="1" t="str">
        <f t="array" ref="R990">IFERROR(INDEX('Исходник'!$1:$626,MATCH($A990,'Исходник'!$T:$T,0),MATCH(R$1,'Исходник'!$1:$1,0)))</f>
        <v/>
      </c>
      <c r="S990" s="27">
        <f t="shared" si="7"/>
        <v>0</v>
      </c>
      <c r="T990" s="27" t="str">
        <f t="shared" si="8"/>
        <v/>
      </c>
      <c r="U990" s="1" t="str">
        <f t="array" ref="U990">IFERROR(INDEX('Исходник'!$1:$626,MATCH($A990,'Исходник'!$T:$T,0),MATCH(U$1,'Исходник'!$1:$1,0)))</f>
        <v/>
      </c>
      <c r="V990" s="27" t="str">
        <f t="shared" si="9"/>
        <v/>
      </c>
      <c r="W990" s="1" t="str">
        <f t="array" ref="W990">IFERROR(INDEX('Исходник'!$1:$626,MATCH($A990,'Исходник'!$T:$T,0),MATCH(W$1,'Исходник'!$1:$1,0)))</f>
        <v/>
      </c>
      <c r="X990" s="28">
        <f t="shared" si="10"/>
        <v>0</v>
      </c>
      <c r="Y990" s="1" t="str">
        <f t="array" ref="Y990">IFERROR(INDEX('Исходник'!$1:$626,MATCH($A990,'Исходник'!$T:$T,0),MATCH(Y$1,'Исходник'!$1:$1,0)))</f>
        <v/>
      </c>
      <c r="Z990" s="27">
        <f t="shared" si="11"/>
        <v>0</v>
      </c>
      <c r="AA990" s="27" t="str">
        <f t="shared" si="12"/>
        <v/>
      </c>
      <c r="AB990" s="1" t="str">
        <f t="array" ref="AB990">IFERROR(INDEX('Исходник'!$1:$626,MATCH($A990,'Исходник'!$T:$T,0),MATCH(AB$1,'Исходник'!$1:$1,0)))</f>
        <v/>
      </c>
      <c r="AC990" s="1" t="str">
        <f t="array" ref="AC990">IFERROR(INDEX('Исходник'!$1:$626,MATCH($A990,'Исходник'!$T:$T,0),MATCH(AC$1,'Исходник'!$1:$1,0)))</f>
        <v/>
      </c>
      <c r="AD990" s="27" t="str">
        <f t="shared" si="13"/>
        <v/>
      </c>
      <c r="AE990" s="1" t="str">
        <f t="array" ref="AE990">IFERROR(INDEX('Исходник'!$1:$626,MATCH($A990,'Исходник'!$T:$T,0),MATCH(AE$1,'Исходник'!$1:$1,0)))</f>
        <v/>
      </c>
      <c r="AF990" s="1" t="str">
        <f t="array" ref="AF990">IFERROR(INDEX('Исходник'!$1:$626,MATCH($A990,'Исходник'!$T:$T,0),MATCH(AF$1,'Исходник'!$1:$1,0)))</f>
        <v/>
      </c>
      <c r="AG990" s="27" t="str">
        <f t="shared" si="14"/>
        <v/>
      </c>
      <c r="AH990" s="1" t="str">
        <f t="array" ref="AH990">IFERROR(INDEX('Исходник'!$1:$626,MATCH($A990,'Исходник'!$T:$T,0),MATCH(AH$1,'Исходник'!$1:$1,0)))</f>
        <v/>
      </c>
      <c r="AI990" s="1" t="str">
        <f t="array" ref="AI990">IFERROR(INDEX('Исходник'!$1:$626,MATCH($A990,'Исходник'!$T:$T,0),MATCH(AI$1,'Исходник'!$1:$1,0)))</f>
        <v/>
      </c>
      <c r="AJ990" s="18">
        <f t="shared" si="15"/>
        <v>0</v>
      </c>
    </row>
    <row r="991" ht="15.75" customHeight="1">
      <c r="A991" s="27"/>
      <c r="B991" s="1" t="str">
        <f t="array" ref="B991">IFERROR(INDEX('Исходник'!$1:$626,MATCH($A991,'Исходник'!$T:$T,0),MATCH(B$1,'Исходник'!$1:$1,0)))</f>
        <v/>
      </c>
      <c r="C991" s="1" t="str">
        <f t="array" ref="C991">IFERROR(INDEX('Исходник'!$1:$626,MATCH($A991,'Исходник'!$T:$T,0),MATCH(C$1,'Исходник'!$1:$1,0)))</f>
        <v/>
      </c>
      <c r="D991" s="1" t="str">
        <f t="array" ref="D991">IFERROR(INDEX('Исходник'!$1:$626,MATCH($A991,'Исходник'!$T:$T,0),MATCH(D$1,'Исходник'!$1:$1,0)))</f>
        <v/>
      </c>
      <c r="E991" s="1" t="str">
        <f t="array" ref="E991">IFERROR(INDEX('Исходник'!$1:$626,MATCH($A991,'Исходник'!$T:$T,0),MATCH(E$1,'Исходник'!$1:$1,0)))</f>
        <v/>
      </c>
      <c r="F991" s="1" t="str">
        <f t="array" ref="F991">IFERROR(INDEX('Исходник'!$1:$626,MATCH($A991,'Исходник'!$T:$T,0),MATCH(F$1,'Исходник'!$1:$1,0)))</f>
        <v/>
      </c>
      <c r="G991" s="1" t="str">
        <f t="array" ref="G991">IFERROR(INDEX('Исходник'!$1:$626,MATCH($A991,'Исходник'!$T:$T,0),MATCH(G$1,'Исходник'!$1:$1,0)))</f>
        <v/>
      </c>
      <c r="H991" s="27">
        <f t="shared" si="1"/>
        <v>0</v>
      </c>
      <c r="I991" s="27" t="str">
        <f t="shared" si="2"/>
        <v/>
      </c>
      <c r="J991" s="1" t="str">
        <f t="array" ref="J991">IFERROR(INDEX('Исходник'!$1:$626,MATCH($A991,'Исходник'!$T:$T,0),MATCH(J$1,'Исходник'!$1:$1,0)))</f>
        <v/>
      </c>
      <c r="K991" s="27" t="str">
        <f t="shared" si="3"/>
        <v/>
      </c>
      <c r="L991" s="1" t="str">
        <f t="array" ref="L991">IFERROR(INDEX('Исходник'!$1:$626,MATCH($A991,'Исходник'!$T:$T,0),MATCH(L$1,'Исходник'!$1:$1,0)))</f>
        <v/>
      </c>
      <c r="M991" s="28">
        <f t="shared" si="4"/>
        <v>0</v>
      </c>
      <c r="N991" s="1" t="str">
        <f t="array" ref="N991">IFERROR(INDEX('Исходник'!$1:$626,MATCH($A991,'Исходник'!$T:$T,0),MATCH(N$1,'Исходник'!$1:$1,0)))</f>
        <v/>
      </c>
      <c r="O991" s="27">
        <f t="shared" si="5"/>
        <v>0</v>
      </c>
      <c r="P991" s="27" t="str">
        <f t="shared" si="6"/>
        <v/>
      </c>
      <c r="Q991" s="1" t="str">
        <f t="array" ref="Q991">IFERROR(INDEX('Исходник'!$1:$626,MATCH($A991,'Исходник'!$T:$T,0),MATCH(Q$1,'Исходник'!$1:$1,0)))</f>
        <v/>
      </c>
      <c r="R991" s="1" t="str">
        <f t="array" ref="R991">IFERROR(INDEX('Исходник'!$1:$626,MATCH($A991,'Исходник'!$T:$T,0),MATCH(R$1,'Исходник'!$1:$1,0)))</f>
        <v/>
      </c>
      <c r="S991" s="27">
        <f t="shared" si="7"/>
        <v>0</v>
      </c>
      <c r="T991" s="27" t="str">
        <f t="shared" si="8"/>
        <v/>
      </c>
      <c r="U991" s="1" t="str">
        <f t="array" ref="U991">IFERROR(INDEX('Исходник'!$1:$626,MATCH($A991,'Исходник'!$T:$T,0),MATCH(U$1,'Исходник'!$1:$1,0)))</f>
        <v/>
      </c>
      <c r="V991" s="27" t="str">
        <f t="shared" si="9"/>
        <v/>
      </c>
      <c r="W991" s="1" t="str">
        <f t="array" ref="W991">IFERROR(INDEX('Исходник'!$1:$626,MATCH($A991,'Исходник'!$T:$T,0),MATCH(W$1,'Исходник'!$1:$1,0)))</f>
        <v/>
      </c>
      <c r="X991" s="28">
        <f t="shared" si="10"/>
        <v>0</v>
      </c>
      <c r="Y991" s="1" t="str">
        <f t="array" ref="Y991">IFERROR(INDEX('Исходник'!$1:$626,MATCH($A991,'Исходник'!$T:$T,0),MATCH(Y$1,'Исходник'!$1:$1,0)))</f>
        <v/>
      </c>
      <c r="Z991" s="27">
        <f t="shared" si="11"/>
        <v>0</v>
      </c>
      <c r="AA991" s="27" t="str">
        <f t="shared" si="12"/>
        <v/>
      </c>
      <c r="AB991" s="1" t="str">
        <f t="array" ref="AB991">IFERROR(INDEX('Исходник'!$1:$626,MATCH($A991,'Исходник'!$T:$T,0),MATCH(AB$1,'Исходник'!$1:$1,0)))</f>
        <v/>
      </c>
      <c r="AC991" s="1" t="str">
        <f t="array" ref="AC991">IFERROR(INDEX('Исходник'!$1:$626,MATCH($A991,'Исходник'!$T:$T,0),MATCH(AC$1,'Исходник'!$1:$1,0)))</f>
        <v/>
      </c>
      <c r="AD991" s="27" t="str">
        <f t="shared" si="13"/>
        <v/>
      </c>
      <c r="AE991" s="1" t="str">
        <f t="array" ref="AE991">IFERROR(INDEX('Исходник'!$1:$626,MATCH($A991,'Исходник'!$T:$T,0),MATCH(AE$1,'Исходник'!$1:$1,0)))</f>
        <v/>
      </c>
      <c r="AF991" s="1" t="str">
        <f t="array" ref="AF991">IFERROR(INDEX('Исходник'!$1:$626,MATCH($A991,'Исходник'!$T:$T,0),MATCH(AF$1,'Исходник'!$1:$1,0)))</f>
        <v/>
      </c>
      <c r="AG991" s="27" t="str">
        <f t="shared" si="14"/>
        <v/>
      </c>
      <c r="AH991" s="1" t="str">
        <f t="array" ref="AH991">IFERROR(INDEX('Исходник'!$1:$626,MATCH($A991,'Исходник'!$T:$T,0),MATCH(AH$1,'Исходник'!$1:$1,0)))</f>
        <v/>
      </c>
      <c r="AI991" s="1" t="str">
        <f t="array" ref="AI991">IFERROR(INDEX('Исходник'!$1:$626,MATCH($A991,'Исходник'!$T:$T,0),MATCH(AI$1,'Исходник'!$1:$1,0)))</f>
        <v/>
      </c>
      <c r="AJ991" s="18">
        <f t="shared" si="15"/>
        <v>0</v>
      </c>
    </row>
    <row r="992" ht="15.75" customHeight="1">
      <c r="A992" s="27"/>
      <c r="B992" s="1" t="str">
        <f t="array" ref="B992">IFERROR(INDEX('Исходник'!$1:$626,MATCH($A992,'Исходник'!$T:$T,0),MATCH(B$1,'Исходник'!$1:$1,0)))</f>
        <v/>
      </c>
      <c r="C992" s="1" t="str">
        <f t="array" ref="C992">IFERROR(INDEX('Исходник'!$1:$626,MATCH($A992,'Исходник'!$T:$T,0),MATCH(C$1,'Исходник'!$1:$1,0)))</f>
        <v/>
      </c>
      <c r="D992" s="1" t="str">
        <f t="array" ref="D992">IFERROR(INDEX('Исходник'!$1:$626,MATCH($A992,'Исходник'!$T:$T,0),MATCH(D$1,'Исходник'!$1:$1,0)))</f>
        <v/>
      </c>
      <c r="E992" s="1" t="str">
        <f t="array" ref="E992">IFERROR(INDEX('Исходник'!$1:$626,MATCH($A992,'Исходник'!$T:$T,0),MATCH(E$1,'Исходник'!$1:$1,0)))</f>
        <v/>
      </c>
      <c r="F992" s="1" t="str">
        <f t="array" ref="F992">IFERROR(INDEX('Исходник'!$1:$626,MATCH($A992,'Исходник'!$T:$T,0),MATCH(F$1,'Исходник'!$1:$1,0)))</f>
        <v/>
      </c>
      <c r="G992" s="1" t="str">
        <f t="array" ref="G992">IFERROR(INDEX('Исходник'!$1:$626,MATCH($A992,'Исходник'!$T:$T,0),MATCH(G$1,'Исходник'!$1:$1,0)))</f>
        <v/>
      </c>
      <c r="H992" s="27">
        <f t="shared" si="1"/>
        <v>0</v>
      </c>
      <c r="I992" s="27" t="str">
        <f t="shared" si="2"/>
        <v/>
      </c>
      <c r="J992" s="1" t="str">
        <f t="array" ref="J992">IFERROR(INDEX('Исходник'!$1:$626,MATCH($A992,'Исходник'!$T:$T,0),MATCH(J$1,'Исходник'!$1:$1,0)))</f>
        <v/>
      </c>
      <c r="K992" s="27" t="str">
        <f t="shared" si="3"/>
        <v/>
      </c>
      <c r="L992" s="1" t="str">
        <f t="array" ref="L992">IFERROR(INDEX('Исходник'!$1:$626,MATCH($A992,'Исходник'!$T:$T,0),MATCH(L$1,'Исходник'!$1:$1,0)))</f>
        <v/>
      </c>
      <c r="M992" s="28">
        <f t="shared" si="4"/>
        <v>0</v>
      </c>
      <c r="N992" s="1" t="str">
        <f t="array" ref="N992">IFERROR(INDEX('Исходник'!$1:$626,MATCH($A992,'Исходник'!$T:$T,0),MATCH(N$1,'Исходник'!$1:$1,0)))</f>
        <v/>
      </c>
      <c r="O992" s="27">
        <f t="shared" si="5"/>
        <v>0</v>
      </c>
      <c r="P992" s="27" t="str">
        <f t="shared" si="6"/>
        <v/>
      </c>
      <c r="Q992" s="1" t="str">
        <f t="array" ref="Q992">IFERROR(INDEX('Исходник'!$1:$626,MATCH($A992,'Исходник'!$T:$T,0),MATCH(Q$1,'Исходник'!$1:$1,0)))</f>
        <v/>
      </c>
      <c r="R992" s="1" t="str">
        <f t="array" ref="R992">IFERROR(INDEX('Исходник'!$1:$626,MATCH($A992,'Исходник'!$T:$T,0),MATCH(R$1,'Исходник'!$1:$1,0)))</f>
        <v/>
      </c>
      <c r="S992" s="27">
        <f t="shared" si="7"/>
        <v>0</v>
      </c>
      <c r="T992" s="27" t="str">
        <f t="shared" si="8"/>
        <v/>
      </c>
      <c r="U992" s="1" t="str">
        <f t="array" ref="U992">IFERROR(INDEX('Исходник'!$1:$626,MATCH($A992,'Исходник'!$T:$T,0),MATCH(U$1,'Исходник'!$1:$1,0)))</f>
        <v/>
      </c>
      <c r="V992" s="27" t="str">
        <f t="shared" si="9"/>
        <v/>
      </c>
      <c r="W992" s="1" t="str">
        <f t="array" ref="W992">IFERROR(INDEX('Исходник'!$1:$626,MATCH($A992,'Исходник'!$T:$T,0),MATCH(W$1,'Исходник'!$1:$1,0)))</f>
        <v/>
      </c>
      <c r="X992" s="28">
        <f t="shared" si="10"/>
        <v>0</v>
      </c>
      <c r="Y992" s="1" t="str">
        <f t="array" ref="Y992">IFERROR(INDEX('Исходник'!$1:$626,MATCH($A992,'Исходник'!$T:$T,0),MATCH(Y$1,'Исходник'!$1:$1,0)))</f>
        <v/>
      </c>
      <c r="Z992" s="27">
        <f t="shared" si="11"/>
        <v>0</v>
      </c>
      <c r="AA992" s="27" t="str">
        <f t="shared" si="12"/>
        <v/>
      </c>
      <c r="AB992" s="1" t="str">
        <f t="array" ref="AB992">IFERROR(INDEX('Исходник'!$1:$626,MATCH($A992,'Исходник'!$T:$T,0),MATCH(AB$1,'Исходник'!$1:$1,0)))</f>
        <v/>
      </c>
      <c r="AC992" s="1" t="str">
        <f t="array" ref="AC992">IFERROR(INDEX('Исходник'!$1:$626,MATCH($A992,'Исходник'!$T:$T,0),MATCH(AC$1,'Исходник'!$1:$1,0)))</f>
        <v/>
      </c>
      <c r="AD992" s="27" t="str">
        <f t="shared" si="13"/>
        <v/>
      </c>
      <c r="AE992" s="1" t="str">
        <f t="array" ref="AE992">IFERROR(INDEX('Исходник'!$1:$626,MATCH($A992,'Исходник'!$T:$T,0),MATCH(AE$1,'Исходник'!$1:$1,0)))</f>
        <v/>
      </c>
      <c r="AF992" s="1" t="str">
        <f t="array" ref="AF992">IFERROR(INDEX('Исходник'!$1:$626,MATCH($A992,'Исходник'!$T:$T,0),MATCH(AF$1,'Исходник'!$1:$1,0)))</f>
        <v/>
      </c>
      <c r="AG992" s="27" t="str">
        <f t="shared" si="14"/>
        <v/>
      </c>
      <c r="AH992" s="1" t="str">
        <f t="array" ref="AH992">IFERROR(INDEX('Исходник'!$1:$626,MATCH($A992,'Исходник'!$T:$T,0),MATCH(AH$1,'Исходник'!$1:$1,0)))</f>
        <v/>
      </c>
      <c r="AI992" s="1" t="str">
        <f t="array" ref="AI992">IFERROR(INDEX('Исходник'!$1:$626,MATCH($A992,'Исходник'!$T:$T,0),MATCH(AI$1,'Исходник'!$1:$1,0)))</f>
        <v/>
      </c>
      <c r="AJ992" s="18">
        <f t="shared" si="15"/>
        <v>0</v>
      </c>
    </row>
    <row r="993" ht="15.75" customHeight="1">
      <c r="A993" s="27"/>
      <c r="B993" s="1" t="str">
        <f t="array" ref="B993">IFERROR(INDEX('Исходник'!$1:$626,MATCH($A993,'Исходник'!$T:$T,0),MATCH(B$1,'Исходник'!$1:$1,0)))</f>
        <v/>
      </c>
      <c r="C993" s="1" t="str">
        <f t="array" ref="C993">IFERROR(INDEX('Исходник'!$1:$626,MATCH($A993,'Исходник'!$T:$T,0),MATCH(C$1,'Исходник'!$1:$1,0)))</f>
        <v/>
      </c>
      <c r="D993" s="1" t="str">
        <f t="array" ref="D993">IFERROR(INDEX('Исходник'!$1:$626,MATCH($A993,'Исходник'!$T:$T,0),MATCH(D$1,'Исходник'!$1:$1,0)))</f>
        <v/>
      </c>
      <c r="E993" s="1" t="str">
        <f t="array" ref="E993">IFERROR(INDEX('Исходник'!$1:$626,MATCH($A993,'Исходник'!$T:$T,0),MATCH(E$1,'Исходник'!$1:$1,0)))</f>
        <v/>
      </c>
      <c r="F993" s="1" t="str">
        <f t="array" ref="F993">IFERROR(INDEX('Исходник'!$1:$626,MATCH($A993,'Исходник'!$T:$T,0),MATCH(F$1,'Исходник'!$1:$1,0)))</f>
        <v/>
      </c>
      <c r="G993" s="1" t="str">
        <f t="array" ref="G993">IFERROR(INDEX('Исходник'!$1:$626,MATCH($A993,'Исходник'!$T:$T,0),MATCH(G$1,'Исходник'!$1:$1,0)))</f>
        <v/>
      </c>
      <c r="H993" s="27">
        <f t="shared" si="1"/>
        <v>0</v>
      </c>
      <c r="I993" s="27" t="str">
        <f t="shared" si="2"/>
        <v/>
      </c>
      <c r="J993" s="1" t="str">
        <f t="array" ref="J993">IFERROR(INDEX('Исходник'!$1:$626,MATCH($A993,'Исходник'!$T:$T,0),MATCH(J$1,'Исходник'!$1:$1,0)))</f>
        <v/>
      </c>
      <c r="K993" s="27" t="str">
        <f t="shared" si="3"/>
        <v/>
      </c>
      <c r="L993" s="1" t="str">
        <f t="array" ref="L993">IFERROR(INDEX('Исходник'!$1:$626,MATCH($A993,'Исходник'!$T:$T,0),MATCH(L$1,'Исходник'!$1:$1,0)))</f>
        <v/>
      </c>
      <c r="M993" s="28">
        <f t="shared" si="4"/>
        <v>0</v>
      </c>
      <c r="N993" s="1" t="str">
        <f t="array" ref="N993">IFERROR(INDEX('Исходник'!$1:$626,MATCH($A993,'Исходник'!$T:$T,0),MATCH(N$1,'Исходник'!$1:$1,0)))</f>
        <v/>
      </c>
      <c r="O993" s="27">
        <f t="shared" si="5"/>
        <v>0</v>
      </c>
      <c r="P993" s="27" t="str">
        <f t="shared" si="6"/>
        <v/>
      </c>
      <c r="Q993" s="1" t="str">
        <f t="array" ref="Q993">IFERROR(INDEX('Исходник'!$1:$626,MATCH($A993,'Исходник'!$T:$T,0),MATCH(Q$1,'Исходник'!$1:$1,0)))</f>
        <v/>
      </c>
      <c r="R993" s="1" t="str">
        <f t="array" ref="R993">IFERROR(INDEX('Исходник'!$1:$626,MATCH($A993,'Исходник'!$T:$T,0),MATCH(R$1,'Исходник'!$1:$1,0)))</f>
        <v/>
      </c>
      <c r="S993" s="27">
        <f t="shared" si="7"/>
        <v>0</v>
      </c>
      <c r="T993" s="27" t="str">
        <f t="shared" si="8"/>
        <v/>
      </c>
      <c r="U993" s="1" t="str">
        <f t="array" ref="U993">IFERROR(INDEX('Исходник'!$1:$626,MATCH($A993,'Исходник'!$T:$T,0),MATCH(U$1,'Исходник'!$1:$1,0)))</f>
        <v/>
      </c>
      <c r="V993" s="27" t="str">
        <f t="shared" si="9"/>
        <v/>
      </c>
      <c r="W993" s="1" t="str">
        <f t="array" ref="W993">IFERROR(INDEX('Исходник'!$1:$626,MATCH($A993,'Исходник'!$T:$T,0),MATCH(W$1,'Исходник'!$1:$1,0)))</f>
        <v/>
      </c>
      <c r="X993" s="28">
        <f t="shared" si="10"/>
        <v>0</v>
      </c>
      <c r="Y993" s="1" t="str">
        <f t="array" ref="Y993">IFERROR(INDEX('Исходник'!$1:$626,MATCH($A993,'Исходник'!$T:$T,0),MATCH(Y$1,'Исходник'!$1:$1,0)))</f>
        <v/>
      </c>
      <c r="Z993" s="27">
        <f t="shared" si="11"/>
        <v>0</v>
      </c>
      <c r="AA993" s="27" t="str">
        <f t="shared" si="12"/>
        <v/>
      </c>
      <c r="AB993" s="1" t="str">
        <f t="array" ref="AB993">IFERROR(INDEX('Исходник'!$1:$626,MATCH($A993,'Исходник'!$T:$T,0),MATCH(AB$1,'Исходник'!$1:$1,0)))</f>
        <v/>
      </c>
      <c r="AC993" s="1" t="str">
        <f t="array" ref="AC993">IFERROR(INDEX('Исходник'!$1:$626,MATCH($A993,'Исходник'!$T:$T,0),MATCH(AC$1,'Исходник'!$1:$1,0)))</f>
        <v/>
      </c>
      <c r="AD993" s="27" t="str">
        <f t="shared" si="13"/>
        <v/>
      </c>
      <c r="AE993" s="1" t="str">
        <f t="array" ref="AE993">IFERROR(INDEX('Исходник'!$1:$626,MATCH($A993,'Исходник'!$T:$T,0),MATCH(AE$1,'Исходник'!$1:$1,0)))</f>
        <v/>
      </c>
      <c r="AF993" s="1" t="str">
        <f t="array" ref="AF993">IFERROR(INDEX('Исходник'!$1:$626,MATCH($A993,'Исходник'!$T:$T,0),MATCH(AF$1,'Исходник'!$1:$1,0)))</f>
        <v/>
      </c>
      <c r="AG993" s="27" t="str">
        <f t="shared" si="14"/>
        <v/>
      </c>
      <c r="AH993" s="1" t="str">
        <f t="array" ref="AH993">IFERROR(INDEX('Исходник'!$1:$626,MATCH($A993,'Исходник'!$T:$T,0),MATCH(AH$1,'Исходник'!$1:$1,0)))</f>
        <v/>
      </c>
      <c r="AI993" s="1" t="str">
        <f t="array" ref="AI993">IFERROR(INDEX('Исходник'!$1:$626,MATCH($A993,'Исходник'!$T:$T,0),MATCH(AI$1,'Исходник'!$1:$1,0)))</f>
        <v/>
      </c>
      <c r="AJ993" s="18">
        <f t="shared" si="15"/>
        <v>0</v>
      </c>
    </row>
    <row r="994" ht="15.75" customHeight="1">
      <c r="A994" s="27"/>
      <c r="B994" s="1" t="str">
        <f t="array" ref="B994">IFERROR(INDEX('Исходник'!$1:$626,MATCH($A994,'Исходник'!$T:$T,0),MATCH(B$1,'Исходник'!$1:$1,0)))</f>
        <v/>
      </c>
      <c r="C994" s="1" t="str">
        <f t="array" ref="C994">IFERROR(INDEX('Исходник'!$1:$626,MATCH($A994,'Исходник'!$T:$T,0),MATCH(C$1,'Исходник'!$1:$1,0)))</f>
        <v/>
      </c>
      <c r="D994" s="1" t="str">
        <f t="array" ref="D994">IFERROR(INDEX('Исходник'!$1:$626,MATCH($A994,'Исходник'!$T:$T,0),MATCH(D$1,'Исходник'!$1:$1,0)))</f>
        <v/>
      </c>
      <c r="E994" s="1" t="str">
        <f t="array" ref="E994">IFERROR(INDEX('Исходник'!$1:$626,MATCH($A994,'Исходник'!$T:$T,0),MATCH(E$1,'Исходник'!$1:$1,0)))</f>
        <v/>
      </c>
      <c r="F994" s="1" t="str">
        <f t="array" ref="F994">IFERROR(INDEX('Исходник'!$1:$626,MATCH($A994,'Исходник'!$T:$T,0),MATCH(F$1,'Исходник'!$1:$1,0)))</f>
        <v/>
      </c>
      <c r="G994" s="1" t="str">
        <f t="array" ref="G994">IFERROR(INDEX('Исходник'!$1:$626,MATCH($A994,'Исходник'!$T:$T,0),MATCH(G$1,'Исходник'!$1:$1,0)))</f>
        <v/>
      </c>
      <c r="H994" s="27">
        <f t="shared" si="1"/>
        <v>0</v>
      </c>
      <c r="I994" s="27" t="str">
        <f t="shared" si="2"/>
        <v/>
      </c>
      <c r="J994" s="1" t="str">
        <f t="array" ref="J994">IFERROR(INDEX('Исходник'!$1:$626,MATCH($A994,'Исходник'!$T:$T,0),MATCH(J$1,'Исходник'!$1:$1,0)))</f>
        <v/>
      </c>
      <c r="K994" s="27" t="str">
        <f t="shared" si="3"/>
        <v/>
      </c>
      <c r="L994" s="1" t="str">
        <f t="array" ref="L994">IFERROR(INDEX('Исходник'!$1:$626,MATCH($A994,'Исходник'!$T:$T,0),MATCH(L$1,'Исходник'!$1:$1,0)))</f>
        <v/>
      </c>
      <c r="M994" s="28">
        <f t="shared" si="4"/>
        <v>0</v>
      </c>
      <c r="N994" s="1" t="str">
        <f t="array" ref="N994">IFERROR(INDEX('Исходник'!$1:$626,MATCH($A994,'Исходник'!$T:$T,0),MATCH(N$1,'Исходник'!$1:$1,0)))</f>
        <v/>
      </c>
      <c r="O994" s="27">
        <f t="shared" si="5"/>
        <v>0</v>
      </c>
      <c r="P994" s="27" t="str">
        <f t="shared" si="6"/>
        <v/>
      </c>
      <c r="Q994" s="1" t="str">
        <f t="array" ref="Q994">IFERROR(INDEX('Исходник'!$1:$626,MATCH($A994,'Исходник'!$T:$T,0),MATCH(Q$1,'Исходник'!$1:$1,0)))</f>
        <v/>
      </c>
      <c r="R994" s="1" t="str">
        <f t="array" ref="R994">IFERROR(INDEX('Исходник'!$1:$626,MATCH($A994,'Исходник'!$T:$T,0),MATCH(R$1,'Исходник'!$1:$1,0)))</f>
        <v/>
      </c>
      <c r="S994" s="27">
        <f t="shared" si="7"/>
        <v>0</v>
      </c>
      <c r="T994" s="27" t="str">
        <f t="shared" si="8"/>
        <v/>
      </c>
      <c r="U994" s="1" t="str">
        <f t="array" ref="U994">IFERROR(INDEX('Исходник'!$1:$626,MATCH($A994,'Исходник'!$T:$T,0),MATCH(U$1,'Исходник'!$1:$1,0)))</f>
        <v/>
      </c>
      <c r="V994" s="27" t="str">
        <f t="shared" si="9"/>
        <v/>
      </c>
      <c r="W994" s="1" t="str">
        <f t="array" ref="W994">IFERROR(INDEX('Исходник'!$1:$626,MATCH($A994,'Исходник'!$T:$T,0),MATCH(W$1,'Исходник'!$1:$1,0)))</f>
        <v/>
      </c>
      <c r="X994" s="28">
        <f t="shared" si="10"/>
        <v>0</v>
      </c>
      <c r="Y994" s="1" t="str">
        <f t="array" ref="Y994">IFERROR(INDEX('Исходник'!$1:$626,MATCH($A994,'Исходник'!$T:$T,0),MATCH(Y$1,'Исходник'!$1:$1,0)))</f>
        <v/>
      </c>
      <c r="Z994" s="27">
        <f t="shared" si="11"/>
        <v>0</v>
      </c>
      <c r="AA994" s="27" t="str">
        <f t="shared" si="12"/>
        <v/>
      </c>
      <c r="AB994" s="1" t="str">
        <f t="array" ref="AB994">IFERROR(INDEX('Исходник'!$1:$626,MATCH($A994,'Исходник'!$T:$T,0),MATCH(AB$1,'Исходник'!$1:$1,0)))</f>
        <v/>
      </c>
      <c r="AC994" s="1" t="str">
        <f t="array" ref="AC994">IFERROR(INDEX('Исходник'!$1:$626,MATCH($A994,'Исходник'!$T:$T,0),MATCH(AC$1,'Исходник'!$1:$1,0)))</f>
        <v/>
      </c>
      <c r="AD994" s="27" t="str">
        <f t="shared" si="13"/>
        <v/>
      </c>
      <c r="AE994" s="1" t="str">
        <f t="array" ref="AE994">IFERROR(INDEX('Исходник'!$1:$626,MATCH($A994,'Исходник'!$T:$T,0),MATCH(AE$1,'Исходник'!$1:$1,0)))</f>
        <v/>
      </c>
      <c r="AF994" s="1" t="str">
        <f t="array" ref="AF994">IFERROR(INDEX('Исходник'!$1:$626,MATCH($A994,'Исходник'!$T:$T,0),MATCH(AF$1,'Исходник'!$1:$1,0)))</f>
        <v/>
      </c>
      <c r="AG994" s="27" t="str">
        <f t="shared" si="14"/>
        <v/>
      </c>
      <c r="AH994" s="1" t="str">
        <f t="array" ref="AH994">IFERROR(INDEX('Исходник'!$1:$626,MATCH($A994,'Исходник'!$T:$T,0),MATCH(AH$1,'Исходник'!$1:$1,0)))</f>
        <v/>
      </c>
      <c r="AI994" s="1" t="str">
        <f t="array" ref="AI994">IFERROR(INDEX('Исходник'!$1:$626,MATCH($A994,'Исходник'!$T:$T,0),MATCH(AI$1,'Исходник'!$1:$1,0)))</f>
        <v/>
      </c>
      <c r="AJ994" s="18">
        <f t="shared" si="15"/>
        <v>0</v>
      </c>
    </row>
    <row r="995" ht="15.75" customHeight="1">
      <c r="A995" s="27"/>
      <c r="B995" s="1" t="str">
        <f t="array" ref="B995">IFERROR(INDEX('Исходник'!$1:$626,MATCH($A995,'Исходник'!$T:$T,0),MATCH(B$1,'Исходник'!$1:$1,0)))</f>
        <v/>
      </c>
      <c r="C995" s="1" t="str">
        <f t="array" ref="C995">IFERROR(INDEX('Исходник'!$1:$626,MATCH($A995,'Исходник'!$T:$T,0),MATCH(C$1,'Исходник'!$1:$1,0)))</f>
        <v/>
      </c>
      <c r="D995" s="1" t="str">
        <f t="array" ref="D995">IFERROR(INDEX('Исходник'!$1:$626,MATCH($A995,'Исходник'!$T:$T,0),MATCH(D$1,'Исходник'!$1:$1,0)))</f>
        <v/>
      </c>
      <c r="E995" s="1" t="str">
        <f t="array" ref="E995">IFERROR(INDEX('Исходник'!$1:$626,MATCH($A995,'Исходник'!$T:$T,0),MATCH(E$1,'Исходник'!$1:$1,0)))</f>
        <v/>
      </c>
      <c r="F995" s="1" t="str">
        <f t="array" ref="F995">IFERROR(INDEX('Исходник'!$1:$626,MATCH($A995,'Исходник'!$T:$T,0),MATCH(F$1,'Исходник'!$1:$1,0)))</f>
        <v/>
      </c>
      <c r="G995" s="1" t="str">
        <f t="array" ref="G995">IFERROR(INDEX('Исходник'!$1:$626,MATCH($A995,'Исходник'!$T:$T,0),MATCH(G$1,'Исходник'!$1:$1,0)))</f>
        <v/>
      </c>
      <c r="H995" s="27">
        <f t="shared" si="1"/>
        <v>0</v>
      </c>
      <c r="I995" s="27" t="str">
        <f t="shared" si="2"/>
        <v/>
      </c>
      <c r="J995" s="1" t="str">
        <f t="array" ref="J995">IFERROR(INDEX('Исходник'!$1:$626,MATCH($A995,'Исходник'!$T:$T,0),MATCH(J$1,'Исходник'!$1:$1,0)))</f>
        <v/>
      </c>
      <c r="K995" s="27" t="str">
        <f t="shared" si="3"/>
        <v/>
      </c>
      <c r="L995" s="1" t="str">
        <f t="array" ref="L995">IFERROR(INDEX('Исходник'!$1:$626,MATCH($A995,'Исходник'!$T:$T,0),MATCH(L$1,'Исходник'!$1:$1,0)))</f>
        <v/>
      </c>
      <c r="M995" s="28">
        <f t="shared" si="4"/>
        <v>0</v>
      </c>
      <c r="N995" s="1" t="str">
        <f t="array" ref="N995">IFERROR(INDEX('Исходник'!$1:$626,MATCH($A995,'Исходник'!$T:$T,0),MATCH(N$1,'Исходник'!$1:$1,0)))</f>
        <v/>
      </c>
      <c r="O995" s="27">
        <f t="shared" si="5"/>
        <v>0</v>
      </c>
      <c r="P995" s="27" t="str">
        <f t="shared" si="6"/>
        <v/>
      </c>
      <c r="Q995" s="1" t="str">
        <f t="array" ref="Q995">IFERROR(INDEX('Исходник'!$1:$626,MATCH($A995,'Исходник'!$T:$T,0),MATCH(Q$1,'Исходник'!$1:$1,0)))</f>
        <v/>
      </c>
      <c r="R995" s="1" t="str">
        <f t="array" ref="R995">IFERROR(INDEX('Исходник'!$1:$626,MATCH($A995,'Исходник'!$T:$T,0),MATCH(R$1,'Исходник'!$1:$1,0)))</f>
        <v/>
      </c>
      <c r="S995" s="27">
        <f t="shared" si="7"/>
        <v>0</v>
      </c>
      <c r="T995" s="27" t="str">
        <f t="shared" si="8"/>
        <v/>
      </c>
      <c r="U995" s="1" t="str">
        <f t="array" ref="U995">IFERROR(INDEX('Исходник'!$1:$626,MATCH($A995,'Исходник'!$T:$T,0),MATCH(U$1,'Исходник'!$1:$1,0)))</f>
        <v/>
      </c>
      <c r="V995" s="27" t="str">
        <f t="shared" si="9"/>
        <v/>
      </c>
      <c r="W995" s="1" t="str">
        <f t="array" ref="W995">IFERROR(INDEX('Исходник'!$1:$626,MATCH($A995,'Исходник'!$T:$T,0),MATCH(W$1,'Исходник'!$1:$1,0)))</f>
        <v/>
      </c>
      <c r="X995" s="28">
        <f t="shared" si="10"/>
        <v>0</v>
      </c>
      <c r="Y995" s="1" t="str">
        <f t="array" ref="Y995">IFERROR(INDEX('Исходник'!$1:$626,MATCH($A995,'Исходник'!$T:$T,0),MATCH(Y$1,'Исходник'!$1:$1,0)))</f>
        <v/>
      </c>
      <c r="Z995" s="27">
        <f t="shared" si="11"/>
        <v>0</v>
      </c>
      <c r="AA995" s="27" t="str">
        <f t="shared" si="12"/>
        <v/>
      </c>
      <c r="AB995" s="1" t="str">
        <f t="array" ref="AB995">IFERROR(INDEX('Исходник'!$1:$626,MATCH($A995,'Исходник'!$T:$T,0),MATCH(AB$1,'Исходник'!$1:$1,0)))</f>
        <v/>
      </c>
      <c r="AC995" s="1" t="str">
        <f t="array" ref="AC995">IFERROR(INDEX('Исходник'!$1:$626,MATCH($A995,'Исходник'!$T:$T,0),MATCH(AC$1,'Исходник'!$1:$1,0)))</f>
        <v/>
      </c>
      <c r="AD995" s="27" t="str">
        <f t="shared" si="13"/>
        <v/>
      </c>
      <c r="AE995" s="1" t="str">
        <f t="array" ref="AE995">IFERROR(INDEX('Исходник'!$1:$626,MATCH($A995,'Исходник'!$T:$T,0),MATCH(AE$1,'Исходник'!$1:$1,0)))</f>
        <v/>
      </c>
      <c r="AF995" s="1" t="str">
        <f t="array" ref="AF995">IFERROR(INDEX('Исходник'!$1:$626,MATCH($A995,'Исходник'!$T:$T,0),MATCH(AF$1,'Исходник'!$1:$1,0)))</f>
        <v/>
      </c>
      <c r="AG995" s="27" t="str">
        <f t="shared" si="14"/>
        <v/>
      </c>
      <c r="AH995" s="1" t="str">
        <f t="array" ref="AH995">IFERROR(INDEX('Исходник'!$1:$626,MATCH($A995,'Исходник'!$T:$T,0),MATCH(AH$1,'Исходник'!$1:$1,0)))</f>
        <v/>
      </c>
      <c r="AI995" s="1" t="str">
        <f t="array" ref="AI995">IFERROR(INDEX('Исходник'!$1:$626,MATCH($A995,'Исходник'!$T:$T,0),MATCH(AI$1,'Исходник'!$1:$1,0)))</f>
        <v/>
      </c>
      <c r="AJ995" s="18">
        <f t="shared" si="15"/>
        <v>0</v>
      </c>
    </row>
    <row r="996" ht="15.75" customHeight="1">
      <c r="A996" s="27"/>
      <c r="B996" s="1" t="str">
        <f t="array" ref="B996">IFERROR(INDEX('Исходник'!$1:$626,MATCH($A996,'Исходник'!$T:$T,0),MATCH(B$1,'Исходник'!$1:$1,0)))</f>
        <v/>
      </c>
      <c r="C996" s="1" t="str">
        <f t="array" ref="C996">IFERROR(INDEX('Исходник'!$1:$626,MATCH($A996,'Исходник'!$T:$T,0),MATCH(C$1,'Исходник'!$1:$1,0)))</f>
        <v/>
      </c>
      <c r="D996" s="1" t="str">
        <f t="array" ref="D996">IFERROR(INDEX('Исходник'!$1:$626,MATCH($A996,'Исходник'!$T:$T,0),MATCH(D$1,'Исходник'!$1:$1,0)))</f>
        <v/>
      </c>
      <c r="E996" s="1" t="str">
        <f t="array" ref="E996">IFERROR(INDEX('Исходник'!$1:$626,MATCH($A996,'Исходник'!$T:$T,0),MATCH(E$1,'Исходник'!$1:$1,0)))</f>
        <v/>
      </c>
      <c r="F996" s="1" t="str">
        <f t="array" ref="F996">IFERROR(INDEX('Исходник'!$1:$626,MATCH($A996,'Исходник'!$T:$T,0),MATCH(F$1,'Исходник'!$1:$1,0)))</f>
        <v/>
      </c>
      <c r="G996" s="1" t="str">
        <f t="array" ref="G996">IFERROR(INDEX('Исходник'!$1:$626,MATCH($A996,'Исходник'!$T:$T,0),MATCH(G$1,'Исходник'!$1:$1,0)))</f>
        <v/>
      </c>
      <c r="H996" s="27">
        <f t="shared" si="1"/>
        <v>0</v>
      </c>
      <c r="I996" s="27" t="str">
        <f t="shared" si="2"/>
        <v/>
      </c>
      <c r="J996" s="1" t="str">
        <f t="array" ref="J996">IFERROR(INDEX('Исходник'!$1:$626,MATCH($A996,'Исходник'!$T:$T,0),MATCH(J$1,'Исходник'!$1:$1,0)))</f>
        <v/>
      </c>
      <c r="K996" s="27" t="str">
        <f t="shared" si="3"/>
        <v/>
      </c>
      <c r="L996" s="1" t="str">
        <f t="array" ref="L996">IFERROR(INDEX('Исходник'!$1:$626,MATCH($A996,'Исходник'!$T:$T,0),MATCH(L$1,'Исходник'!$1:$1,0)))</f>
        <v/>
      </c>
      <c r="M996" s="28">
        <f t="shared" si="4"/>
        <v>0</v>
      </c>
      <c r="N996" s="1" t="str">
        <f t="array" ref="N996">IFERROR(INDEX('Исходник'!$1:$626,MATCH($A996,'Исходник'!$T:$T,0),MATCH(N$1,'Исходник'!$1:$1,0)))</f>
        <v/>
      </c>
      <c r="O996" s="27">
        <f t="shared" si="5"/>
        <v>0</v>
      </c>
      <c r="P996" s="27" t="str">
        <f t="shared" si="6"/>
        <v/>
      </c>
      <c r="Q996" s="1" t="str">
        <f t="array" ref="Q996">IFERROR(INDEX('Исходник'!$1:$626,MATCH($A996,'Исходник'!$T:$T,0),MATCH(Q$1,'Исходник'!$1:$1,0)))</f>
        <v/>
      </c>
      <c r="R996" s="1" t="str">
        <f t="array" ref="R996">IFERROR(INDEX('Исходник'!$1:$626,MATCH($A996,'Исходник'!$T:$T,0),MATCH(R$1,'Исходник'!$1:$1,0)))</f>
        <v/>
      </c>
      <c r="S996" s="27">
        <f t="shared" si="7"/>
        <v>0</v>
      </c>
      <c r="T996" s="27" t="str">
        <f t="shared" si="8"/>
        <v/>
      </c>
      <c r="U996" s="1" t="str">
        <f t="array" ref="U996">IFERROR(INDEX('Исходник'!$1:$626,MATCH($A996,'Исходник'!$T:$T,0),MATCH(U$1,'Исходник'!$1:$1,0)))</f>
        <v/>
      </c>
      <c r="V996" s="27" t="str">
        <f t="shared" si="9"/>
        <v/>
      </c>
      <c r="W996" s="1" t="str">
        <f t="array" ref="W996">IFERROR(INDEX('Исходник'!$1:$626,MATCH($A996,'Исходник'!$T:$T,0),MATCH(W$1,'Исходник'!$1:$1,0)))</f>
        <v/>
      </c>
      <c r="X996" s="28">
        <f t="shared" si="10"/>
        <v>0</v>
      </c>
      <c r="Y996" s="1" t="str">
        <f t="array" ref="Y996">IFERROR(INDEX('Исходник'!$1:$626,MATCH($A996,'Исходник'!$T:$T,0),MATCH(Y$1,'Исходник'!$1:$1,0)))</f>
        <v/>
      </c>
      <c r="Z996" s="27">
        <f t="shared" si="11"/>
        <v>0</v>
      </c>
      <c r="AA996" s="27" t="str">
        <f t="shared" si="12"/>
        <v/>
      </c>
      <c r="AB996" s="1" t="str">
        <f t="array" ref="AB996">IFERROR(INDEX('Исходник'!$1:$626,MATCH($A996,'Исходник'!$T:$T,0),MATCH(AB$1,'Исходник'!$1:$1,0)))</f>
        <v/>
      </c>
      <c r="AC996" s="1" t="str">
        <f t="array" ref="AC996">IFERROR(INDEX('Исходник'!$1:$626,MATCH($A996,'Исходник'!$T:$T,0),MATCH(AC$1,'Исходник'!$1:$1,0)))</f>
        <v/>
      </c>
      <c r="AD996" s="27" t="str">
        <f t="shared" si="13"/>
        <v/>
      </c>
      <c r="AE996" s="1" t="str">
        <f t="array" ref="AE996">IFERROR(INDEX('Исходник'!$1:$626,MATCH($A996,'Исходник'!$T:$T,0),MATCH(AE$1,'Исходник'!$1:$1,0)))</f>
        <v/>
      </c>
      <c r="AF996" s="1" t="str">
        <f t="array" ref="AF996">IFERROR(INDEX('Исходник'!$1:$626,MATCH($A996,'Исходник'!$T:$T,0),MATCH(AF$1,'Исходник'!$1:$1,0)))</f>
        <v/>
      </c>
      <c r="AG996" s="27" t="str">
        <f t="shared" si="14"/>
        <v/>
      </c>
      <c r="AH996" s="1" t="str">
        <f t="array" ref="AH996">IFERROR(INDEX('Исходник'!$1:$626,MATCH($A996,'Исходник'!$T:$T,0),MATCH(AH$1,'Исходник'!$1:$1,0)))</f>
        <v/>
      </c>
      <c r="AI996" s="1" t="str">
        <f t="array" ref="AI996">IFERROR(INDEX('Исходник'!$1:$626,MATCH($A996,'Исходник'!$T:$T,0),MATCH(AI$1,'Исходник'!$1:$1,0)))</f>
        <v/>
      </c>
      <c r="AJ996" s="18">
        <f t="shared" si="15"/>
        <v>0</v>
      </c>
    </row>
    <row r="997" ht="15.75" customHeight="1">
      <c r="A997" s="27"/>
      <c r="B997" s="1" t="str">
        <f t="array" ref="B997">IFERROR(INDEX('Исходник'!$1:$626,MATCH($A997,'Исходник'!$T:$T,0),MATCH(B$1,'Исходник'!$1:$1,0)))</f>
        <v/>
      </c>
      <c r="C997" s="1" t="str">
        <f t="array" ref="C997">IFERROR(INDEX('Исходник'!$1:$626,MATCH($A997,'Исходник'!$T:$T,0),MATCH(C$1,'Исходник'!$1:$1,0)))</f>
        <v/>
      </c>
      <c r="D997" s="1" t="str">
        <f t="array" ref="D997">IFERROR(INDEX('Исходник'!$1:$626,MATCH($A997,'Исходник'!$T:$T,0),MATCH(D$1,'Исходник'!$1:$1,0)))</f>
        <v/>
      </c>
      <c r="E997" s="1" t="str">
        <f t="array" ref="E997">IFERROR(INDEX('Исходник'!$1:$626,MATCH($A997,'Исходник'!$T:$T,0),MATCH(E$1,'Исходник'!$1:$1,0)))</f>
        <v/>
      </c>
      <c r="F997" s="1" t="str">
        <f t="array" ref="F997">IFERROR(INDEX('Исходник'!$1:$626,MATCH($A997,'Исходник'!$T:$T,0),MATCH(F$1,'Исходник'!$1:$1,0)))</f>
        <v/>
      </c>
      <c r="G997" s="1" t="str">
        <f t="array" ref="G997">IFERROR(INDEX('Исходник'!$1:$626,MATCH($A997,'Исходник'!$T:$T,0),MATCH(G$1,'Исходник'!$1:$1,0)))</f>
        <v/>
      </c>
      <c r="H997" s="27">
        <f t="shared" si="1"/>
        <v>0</v>
      </c>
      <c r="I997" s="27" t="str">
        <f t="shared" si="2"/>
        <v/>
      </c>
      <c r="J997" s="1" t="str">
        <f t="array" ref="J997">IFERROR(INDEX('Исходник'!$1:$626,MATCH($A997,'Исходник'!$T:$T,0),MATCH(J$1,'Исходник'!$1:$1,0)))</f>
        <v/>
      </c>
      <c r="K997" s="27" t="str">
        <f t="shared" si="3"/>
        <v/>
      </c>
      <c r="L997" s="1" t="str">
        <f t="array" ref="L997">IFERROR(INDEX('Исходник'!$1:$626,MATCH($A997,'Исходник'!$T:$T,0),MATCH(L$1,'Исходник'!$1:$1,0)))</f>
        <v/>
      </c>
      <c r="M997" s="28">
        <f t="shared" si="4"/>
        <v>0</v>
      </c>
      <c r="N997" s="1" t="str">
        <f t="array" ref="N997">IFERROR(INDEX('Исходник'!$1:$626,MATCH($A997,'Исходник'!$T:$T,0),MATCH(N$1,'Исходник'!$1:$1,0)))</f>
        <v/>
      </c>
      <c r="O997" s="27">
        <f t="shared" si="5"/>
        <v>0</v>
      </c>
      <c r="P997" s="27" t="str">
        <f t="shared" si="6"/>
        <v/>
      </c>
      <c r="Q997" s="1" t="str">
        <f t="array" ref="Q997">IFERROR(INDEX('Исходник'!$1:$626,MATCH($A997,'Исходник'!$T:$T,0),MATCH(Q$1,'Исходник'!$1:$1,0)))</f>
        <v/>
      </c>
      <c r="R997" s="1" t="str">
        <f t="array" ref="R997">IFERROR(INDEX('Исходник'!$1:$626,MATCH($A997,'Исходник'!$T:$T,0),MATCH(R$1,'Исходник'!$1:$1,0)))</f>
        <v/>
      </c>
      <c r="S997" s="27">
        <f t="shared" si="7"/>
        <v>0</v>
      </c>
      <c r="T997" s="27" t="str">
        <f t="shared" si="8"/>
        <v/>
      </c>
      <c r="U997" s="1" t="str">
        <f t="array" ref="U997">IFERROR(INDEX('Исходник'!$1:$626,MATCH($A997,'Исходник'!$T:$T,0),MATCH(U$1,'Исходник'!$1:$1,0)))</f>
        <v/>
      </c>
      <c r="V997" s="27" t="str">
        <f t="shared" si="9"/>
        <v/>
      </c>
      <c r="W997" s="1" t="str">
        <f t="array" ref="W997">IFERROR(INDEX('Исходник'!$1:$626,MATCH($A997,'Исходник'!$T:$T,0),MATCH(W$1,'Исходник'!$1:$1,0)))</f>
        <v/>
      </c>
      <c r="X997" s="28">
        <f t="shared" si="10"/>
        <v>0</v>
      </c>
      <c r="Y997" s="1" t="str">
        <f t="array" ref="Y997">IFERROR(INDEX('Исходник'!$1:$626,MATCH($A997,'Исходник'!$T:$T,0),MATCH(Y$1,'Исходник'!$1:$1,0)))</f>
        <v/>
      </c>
      <c r="Z997" s="27">
        <f t="shared" si="11"/>
        <v>0</v>
      </c>
      <c r="AA997" s="27" t="str">
        <f t="shared" si="12"/>
        <v/>
      </c>
      <c r="AB997" s="1" t="str">
        <f t="array" ref="AB997">IFERROR(INDEX('Исходник'!$1:$626,MATCH($A997,'Исходник'!$T:$T,0),MATCH(AB$1,'Исходник'!$1:$1,0)))</f>
        <v/>
      </c>
      <c r="AC997" s="1" t="str">
        <f t="array" ref="AC997">IFERROR(INDEX('Исходник'!$1:$626,MATCH($A997,'Исходник'!$T:$T,0),MATCH(AC$1,'Исходник'!$1:$1,0)))</f>
        <v/>
      </c>
      <c r="AD997" s="27" t="str">
        <f t="shared" si="13"/>
        <v/>
      </c>
      <c r="AE997" s="1" t="str">
        <f t="array" ref="AE997">IFERROR(INDEX('Исходник'!$1:$626,MATCH($A997,'Исходник'!$T:$T,0),MATCH(AE$1,'Исходник'!$1:$1,0)))</f>
        <v/>
      </c>
      <c r="AF997" s="1" t="str">
        <f t="array" ref="AF997">IFERROR(INDEX('Исходник'!$1:$626,MATCH($A997,'Исходник'!$T:$T,0),MATCH(AF$1,'Исходник'!$1:$1,0)))</f>
        <v/>
      </c>
      <c r="AG997" s="27" t="str">
        <f t="shared" si="14"/>
        <v/>
      </c>
      <c r="AH997" s="1" t="str">
        <f t="array" ref="AH997">IFERROR(INDEX('Исходник'!$1:$626,MATCH($A997,'Исходник'!$T:$T,0),MATCH(AH$1,'Исходник'!$1:$1,0)))</f>
        <v/>
      </c>
      <c r="AI997" s="1" t="str">
        <f t="array" ref="AI997">IFERROR(INDEX('Исходник'!$1:$626,MATCH($A997,'Исходник'!$T:$T,0),MATCH(AI$1,'Исходник'!$1:$1,0)))</f>
        <v/>
      </c>
      <c r="AJ997" s="18">
        <f t="shared" si="15"/>
        <v>0</v>
      </c>
    </row>
    <row r="998" ht="15.75" customHeight="1">
      <c r="A998" s="27"/>
      <c r="B998" s="1" t="str">
        <f t="array" ref="B998">IFERROR(INDEX('Исходник'!$1:$626,MATCH($A998,'Исходник'!$T:$T,0),MATCH(B$1,'Исходник'!$1:$1,0)))</f>
        <v/>
      </c>
      <c r="C998" s="1" t="str">
        <f t="array" ref="C998">IFERROR(INDEX('Исходник'!$1:$626,MATCH($A998,'Исходник'!$T:$T,0),MATCH(C$1,'Исходник'!$1:$1,0)))</f>
        <v/>
      </c>
      <c r="D998" s="1" t="str">
        <f t="array" ref="D998">IFERROR(INDEX('Исходник'!$1:$626,MATCH($A998,'Исходник'!$T:$T,0),MATCH(D$1,'Исходник'!$1:$1,0)))</f>
        <v/>
      </c>
      <c r="E998" s="1" t="str">
        <f t="array" ref="E998">IFERROR(INDEX('Исходник'!$1:$626,MATCH($A998,'Исходник'!$T:$T,0),MATCH(E$1,'Исходник'!$1:$1,0)))</f>
        <v/>
      </c>
      <c r="F998" s="1" t="str">
        <f t="array" ref="F998">IFERROR(INDEX('Исходник'!$1:$626,MATCH($A998,'Исходник'!$T:$T,0),MATCH(F$1,'Исходник'!$1:$1,0)))</f>
        <v/>
      </c>
      <c r="G998" s="1" t="str">
        <f t="array" ref="G998">IFERROR(INDEX('Исходник'!$1:$626,MATCH($A998,'Исходник'!$T:$T,0),MATCH(G$1,'Исходник'!$1:$1,0)))</f>
        <v/>
      </c>
      <c r="H998" s="27">
        <f t="shared" si="1"/>
        <v>0</v>
      </c>
      <c r="I998" s="27" t="str">
        <f t="shared" si="2"/>
        <v/>
      </c>
      <c r="J998" s="1" t="str">
        <f t="array" ref="J998">IFERROR(INDEX('Исходник'!$1:$626,MATCH($A998,'Исходник'!$T:$T,0),MATCH(J$1,'Исходник'!$1:$1,0)))</f>
        <v/>
      </c>
      <c r="K998" s="27" t="str">
        <f t="shared" si="3"/>
        <v/>
      </c>
      <c r="L998" s="1" t="str">
        <f t="array" ref="L998">IFERROR(INDEX('Исходник'!$1:$626,MATCH($A998,'Исходник'!$T:$T,0),MATCH(L$1,'Исходник'!$1:$1,0)))</f>
        <v/>
      </c>
      <c r="M998" s="28">
        <f t="shared" si="4"/>
        <v>0</v>
      </c>
      <c r="N998" s="1" t="str">
        <f t="array" ref="N998">IFERROR(INDEX('Исходник'!$1:$626,MATCH($A998,'Исходник'!$T:$T,0),MATCH(N$1,'Исходник'!$1:$1,0)))</f>
        <v/>
      </c>
      <c r="O998" s="27">
        <f t="shared" si="5"/>
        <v>0</v>
      </c>
      <c r="P998" s="27" t="str">
        <f t="shared" si="6"/>
        <v/>
      </c>
      <c r="Q998" s="1" t="str">
        <f t="array" ref="Q998">IFERROR(INDEX('Исходник'!$1:$626,MATCH($A998,'Исходник'!$T:$T,0),MATCH(Q$1,'Исходник'!$1:$1,0)))</f>
        <v/>
      </c>
      <c r="R998" s="1" t="str">
        <f t="array" ref="R998">IFERROR(INDEX('Исходник'!$1:$626,MATCH($A998,'Исходник'!$T:$T,0),MATCH(R$1,'Исходник'!$1:$1,0)))</f>
        <v/>
      </c>
      <c r="S998" s="27">
        <f t="shared" si="7"/>
        <v>0</v>
      </c>
      <c r="T998" s="27" t="str">
        <f t="shared" si="8"/>
        <v/>
      </c>
      <c r="U998" s="1" t="str">
        <f t="array" ref="U998">IFERROR(INDEX('Исходник'!$1:$626,MATCH($A998,'Исходник'!$T:$T,0),MATCH(U$1,'Исходник'!$1:$1,0)))</f>
        <v/>
      </c>
      <c r="V998" s="27" t="str">
        <f t="shared" si="9"/>
        <v/>
      </c>
      <c r="W998" s="1" t="str">
        <f t="array" ref="W998">IFERROR(INDEX('Исходник'!$1:$626,MATCH($A998,'Исходник'!$T:$T,0),MATCH(W$1,'Исходник'!$1:$1,0)))</f>
        <v/>
      </c>
      <c r="X998" s="28">
        <f t="shared" si="10"/>
        <v>0</v>
      </c>
      <c r="Y998" s="1" t="str">
        <f t="array" ref="Y998">IFERROR(INDEX('Исходник'!$1:$626,MATCH($A998,'Исходник'!$T:$T,0),MATCH(Y$1,'Исходник'!$1:$1,0)))</f>
        <v/>
      </c>
      <c r="Z998" s="27">
        <f t="shared" si="11"/>
        <v>0</v>
      </c>
      <c r="AA998" s="27" t="str">
        <f t="shared" si="12"/>
        <v/>
      </c>
      <c r="AB998" s="1" t="str">
        <f t="array" ref="AB998">IFERROR(INDEX('Исходник'!$1:$626,MATCH($A998,'Исходник'!$T:$T,0),MATCH(AB$1,'Исходник'!$1:$1,0)))</f>
        <v/>
      </c>
      <c r="AC998" s="1" t="str">
        <f t="array" ref="AC998">IFERROR(INDEX('Исходник'!$1:$626,MATCH($A998,'Исходник'!$T:$T,0),MATCH(AC$1,'Исходник'!$1:$1,0)))</f>
        <v/>
      </c>
      <c r="AD998" s="27" t="str">
        <f t="shared" si="13"/>
        <v/>
      </c>
      <c r="AE998" s="1" t="str">
        <f t="array" ref="AE998">IFERROR(INDEX('Исходник'!$1:$626,MATCH($A998,'Исходник'!$T:$T,0),MATCH(AE$1,'Исходник'!$1:$1,0)))</f>
        <v/>
      </c>
      <c r="AF998" s="1" t="str">
        <f t="array" ref="AF998">IFERROR(INDEX('Исходник'!$1:$626,MATCH($A998,'Исходник'!$T:$T,0),MATCH(AF$1,'Исходник'!$1:$1,0)))</f>
        <v/>
      </c>
      <c r="AG998" s="27" t="str">
        <f t="shared" si="14"/>
        <v/>
      </c>
      <c r="AH998" s="1" t="str">
        <f t="array" ref="AH998">IFERROR(INDEX('Исходник'!$1:$626,MATCH($A998,'Исходник'!$T:$T,0),MATCH(AH$1,'Исходник'!$1:$1,0)))</f>
        <v/>
      </c>
      <c r="AI998" s="1" t="str">
        <f t="array" ref="AI998">IFERROR(INDEX('Исходник'!$1:$626,MATCH($A998,'Исходник'!$T:$T,0),MATCH(AI$1,'Исходник'!$1:$1,0)))</f>
        <v/>
      </c>
      <c r="AJ998" s="18">
        <f t="shared" si="15"/>
        <v>0</v>
      </c>
    </row>
    <row r="999" ht="15.75" customHeight="1">
      <c r="A999" s="27"/>
      <c r="B999" s="1" t="str">
        <f t="array" ref="B999">IFERROR(INDEX('Исходник'!$1:$626,MATCH($A999,'Исходник'!$T:$T,0),MATCH(B$1,'Исходник'!$1:$1,0)))</f>
        <v/>
      </c>
      <c r="C999" s="1" t="str">
        <f t="array" ref="C999">IFERROR(INDEX('Исходник'!$1:$626,MATCH($A999,'Исходник'!$T:$T,0),MATCH(C$1,'Исходник'!$1:$1,0)))</f>
        <v/>
      </c>
      <c r="D999" s="1" t="str">
        <f t="array" ref="D999">IFERROR(INDEX('Исходник'!$1:$626,MATCH($A999,'Исходник'!$T:$T,0),MATCH(D$1,'Исходник'!$1:$1,0)))</f>
        <v/>
      </c>
      <c r="E999" s="1" t="str">
        <f t="array" ref="E999">IFERROR(INDEX('Исходник'!$1:$626,MATCH($A999,'Исходник'!$T:$T,0),MATCH(E$1,'Исходник'!$1:$1,0)))</f>
        <v/>
      </c>
      <c r="F999" s="1" t="str">
        <f t="array" ref="F999">IFERROR(INDEX('Исходник'!$1:$626,MATCH($A999,'Исходник'!$T:$T,0),MATCH(F$1,'Исходник'!$1:$1,0)))</f>
        <v/>
      </c>
      <c r="G999" s="1" t="str">
        <f t="array" ref="G999">IFERROR(INDEX('Исходник'!$1:$626,MATCH($A999,'Исходник'!$T:$T,0),MATCH(G$1,'Исходник'!$1:$1,0)))</f>
        <v/>
      </c>
      <c r="H999" s="27">
        <f t="shared" si="1"/>
        <v>0</v>
      </c>
      <c r="I999" s="27" t="str">
        <f t="shared" si="2"/>
        <v/>
      </c>
      <c r="J999" s="1" t="str">
        <f t="array" ref="J999">IFERROR(INDEX('Исходник'!$1:$626,MATCH($A999,'Исходник'!$T:$T,0),MATCH(J$1,'Исходник'!$1:$1,0)))</f>
        <v/>
      </c>
      <c r="K999" s="27" t="str">
        <f t="shared" si="3"/>
        <v/>
      </c>
      <c r="L999" s="1" t="str">
        <f t="array" ref="L999">IFERROR(INDEX('Исходник'!$1:$626,MATCH($A999,'Исходник'!$T:$T,0),MATCH(L$1,'Исходник'!$1:$1,0)))</f>
        <v/>
      </c>
      <c r="M999" s="28">
        <f t="shared" si="4"/>
        <v>0</v>
      </c>
      <c r="N999" s="1" t="str">
        <f t="array" ref="N999">IFERROR(INDEX('Исходник'!$1:$626,MATCH($A999,'Исходник'!$T:$T,0),MATCH(N$1,'Исходник'!$1:$1,0)))</f>
        <v/>
      </c>
      <c r="O999" s="27">
        <f t="shared" si="5"/>
        <v>0</v>
      </c>
      <c r="P999" s="27" t="str">
        <f t="shared" si="6"/>
        <v/>
      </c>
      <c r="Q999" s="1" t="str">
        <f t="array" ref="Q999">IFERROR(INDEX('Исходник'!$1:$626,MATCH($A999,'Исходник'!$T:$T,0),MATCH(Q$1,'Исходник'!$1:$1,0)))</f>
        <v/>
      </c>
      <c r="R999" s="1" t="str">
        <f t="array" ref="R999">IFERROR(INDEX('Исходник'!$1:$626,MATCH($A999,'Исходник'!$T:$T,0),MATCH(R$1,'Исходник'!$1:$1,0)))</f>
        <v/>
      </c>
      <c r="S999" s="27">
        <f t="shared" si="7"/>
        <v>0</v>
      </c>
      <c r="T999" s="27" t="str">
        <f t="shared" si="8"/>
        <v/>
      </c>
      <c r="U999" s="1" t="str">
        <f t="array" ref="U999">IFERROR(INDEX('Исходник'!$1:$626,MATCH($A999,'Исходник'!$T:$T,0),MATCH(U$1,'Исходник'!$1:$1,0)))</f>
        <v/>
      </c>
      <c r="V999" s="27" t="str">
        <f t="shared" si="9"/>
        <v/>
      </c>
      <c r="W999" s="1" t="str">
        <f t="array" ref="W999">IFERROR(INDEX('Исходник'!$1:$626,MATCH($A999,'Исходник'!$T:$T,0),MATCH(W$1,'Исходник'!$1:$1,0)))</f>
        <v/>
      </c>
      <c r="X999" s="28">
        <f t="shared" si="10"/>
        <v>0</v>
      </c>
      <c r="Y999" s="1" t="str">
        <f t="array" ref="Y999">IFERROR(INDEX('Исходник'!$1:$626,MATCH($A999,'Исходник'!$T:$T,0),MATCH(Y$1,'Исходник'!$1:$1,0)))</f>
        <v/>
      </c>
      <c r="Z999" s="27">
        <f t="shared" si="11"/>
        <v>0</v>
      </c>
      <c r="AA999" s="27" t="str">
        <f t="shared" si="12"/>
        <v/>
      </c>
      <c r="AB999" s="1" t="str">
        <f t="array" ref="AB999">IFERROR(INDEX('Исходник'!$1:$626,MATCH($A999,'Исходник'!$T:$T,0),MATCH(AB$1,'Исходник'!$1:$1,0)))</f>
        <v/>
      </c>
      <c r="AC999" s="1" t="str">
        <f t="array" ref="AC999">IFERROR(INDEX('Исходник'!$1:$626,MATCH($A999,'Исходник'!$T:$T,0),MATCH(AC$1,'Исходник'!$1:$1,0)))</f>
        <v/>
      </c>
      <c r="AD999" s="27" t="str">
        <f t="shared" si="13"/>
        <v/>
      </c>
      <c r="AE999" s="1" t="str">
        <f t="array" ref="AE999">IFERROR(INDEX('Исходник'!$1:$626,MATCH($A999,'Исходник'!$T:$T,0),MATCH(AE$1,'Исходник'!$1:$1,0)))</f>
        <v/>
      </c>
      <c r="AF999" s="1" t="str">
        <f t="array" ref="AF999">IFERROR(INDEX('Исходник'!$1:$626,MATCH($A999,'Исходник'!$T:$T,0),MATCH(AF$1,'Исходник'!$1:$1,0)))</f>
        <v/>
      </c>
      <c r="AG999" s="27" t="str">
        <f t="shared" si="14"/>
        <v/>
      </c>
      <c r="AH999" s="1" t="str">
        <f t="array" ref="AH999">IFERROR(INDEX('Исходник'!$1:$626,MATCH($A999,'Исходник'!$T:$T,0),MATCH(AH$1,'Исходник'!$1:$1,0)))</f>
        <v/>
      </c>
      <c r="AI999" s="1" t="str">
        <f t="array" ref="AI999">IFERROR(INDEX('Исходник'!$1:$626,MATCH($A999,'Исходник'!$T:$T,0),MATCH(AI$1,'Исходник'!$1:$1,0)))</f>
        <v/>
      </c>
      <c r="AJ999" s="18">
        <f t="shared" si="15"/>
        <v>0</v>
      </c>
    </row>
    <row r="1000" ht="15.75" customHeight="1">
      <c r="A1000" s="27"/>
      <c r="B1000" s="1" t="str">
        <f t="array" ref="B1000">IFERROR(INDEX('Исходник'!$1:$626,MATCH($A1000,'Исходник'!$T:$T,0),MATCH(B$1,'Исходник'!$1:$1,0)))</f>
        <v/>
      </c>
      <c r="C1000" s="1" t="str">
        <f t="array" ref="C1000">IFERROR(INDEX('Исходник'!$1:$626,MATCH($A1000,'Исходник'!$T:$T,0),MATCH(C$1,'Исходник'!$1:$1,0)))</f>
        <v/>
      </c>
      <c r="D1000" s="1" t="str">
        <f t="array" ref="D1000">IFERROR(INDEX('Исходник'!$1:$626,MATCH($A1000,'Исходник'!$T:$T,0),MATCH(D$1,'Исходник'!$1:$1,0)))</f>
        <v/>
      </c>
      <c r="E1000" s="1" t="str">
        <f t="array" ref="E1000">IFERROR(INDEX('Исходник'!$1:$626,MATCH($A1000,'Исходник'!$T:$T,0),MATCH(E$1,'Исходник'!$1:$1,0)))</f>
        <v/>
      </c>
      <c r="F1000" s="1" t="str">
        <f t="array" ref="F1000">IFERROR(INDEX('Исходник'!$1:$626,MATCH($A1000,'Исходник'!$T:$T,0),MATCH(F$1,'Исходник'!$1:$1,0)))</f>
        <v/>
      </c>
      <c r="G1000" s="1" t="str">
        <f t="array" ref="G1000">IFERROR(INDEX('Исходник'!$1:$626,MATCH($A1000,'Исходник'!$T:$T,0),MATCH(G$1,'Исходник'!$1:$1,0)))</f>
        <v/>
      </c>
      <c r="H1000" s="27">
        <f t="shared" si="1"/>
        <v>0</v>
      </c>
      <c r="I1000" s="27" t="str">
        <f t="shared" si="2"/>
        <v/>
      </c>
      <c r="J1000" s="1" t="str">
        <f t="array" ref="J1000">IFERROR(INDEX('Исходник'!$1:$626,MATCH($A1000,'Исходник'!$T:$T,0),MATCH(J$1,'Исходник'!$1:$1,0)))</f>
        <v/>
      </c>
      <c r="K1000" s="27" t="str">
        <f t="shared" si="3"/>
        <v/>
      </c>
      <c r="L1000" s="1" t="str">
        <f t="array" ref="L1000">IFERROR(INDEX('Исходник'!$1:$626,MATCH($A1000,'Исходник'!$T:$T,0),MATCH(L$1,'Исходник'!$1:$1,0)))</f>
        <v/>
      </c>
      <c r="M1000" s="28">
        <f t="shared" si="4"/>
        <v>0</v>
      </c>
      <c r="N1000" s="1" t="str">
        <f t="array" ref="N1000">IFERROR(INDEX('Исходник'!$1:$626,MATCH($A1000,'Исходник'!$T:$T,0),MATCH(N$1,'Исходник'!$1:$1,0)))</f>
        <v/>
      </c>
      <c r="O1000" s="27">
        <f t="shared" si="5"/>
        <v>0</v>
      </c>
      <c r="P1000" s="27" t="str">
        <f t="shared" si="6"/>
        <v/>
      </c>
      <c r="Q1000" s="1" t="str">
        <f t="array" ref="Q1000">IFERROR(INDEX('Исходник'!$1:$626,MATCH($A1000,'Исходник'!$T:$T,0),MATCH(Q$1,'Исходник'!$1:$1,0)))</f>
        <v/>
      </c>
      <c r="R1000" s="1" t="str">
        <f t="array" ref="R1000">IFERROR(INDEX('Исходник'!$1:$626,MATCH($A1000,'Исходник'!$T:$T,0),MATCH(R$1,'Исходник'!$1:$1,0)))</f>
        <v/>
      </c>
      <c r="S1000" s="27">
        <f t="shared" si="7"/>
        <v>0</v>
      </c>
      <c r="T1000" s="27" t="str">
        <f t="shared" si="8"/>
        <v/>
      </c>
      <c r="U1000" s="1" t="str">
        <f t="array" ref="U1000">IFERROR(INDEX('Исходник'!$1:$626,MATCH($A1000,'Исходник'!$T:$T,0),MATCH(U$1,'Исходник'!$1:$1,0)))</f>
        <v/>
      </c>
      <c r="V1000" s="27" t="str">
        <f t="shared" si="9"/>
        <v/>
      </c>
      <c r="W1000" s="1" t="str">
        <f t="array" ref="W1000">IFERROR(INDEX('Исходник'!$1:$626,MATCH($A1000,'Исходник'!$T:$T,0),MATCH(W$1,'Исходник'!$1:$1,0)))</f>
        <v/>
      </c>
      <c r="X1000" s="28">
        <f t="shared" si="10"/>
        <v>0</v>
      </c>
      <c r="Y1000" s="1" t="str">
        <f t="array" ref="Y1000">IFERROR(INDEX('Исходник'!$1:$626,MATCH($A1000,'Исходник'!$T:$T,0),MATCH(Y$1,'Исходник'!$1:$1,0)))</f>
        <v/>
      </c>
      <c r="Z1000" s="27">
        <f t="shared" si="11"/>
        <v>0</v>
      </c>
      <c r="AA1000" s="27" t="str">
        <f t="shared" si="12"/>
        <v/>
      </c>
      <c r="AB1000" s="1" t="str">
        <f t="array" ref="AB1000">IFERROR(INDEX('Исходник'!$1:$626,MATCH($A1000,'Исходник'!$T:$T,0),MATCH(AB$1,'Исходник'!$1:$1,0)))</f>
        <v/>
      </c>
      <c r="AC1000" s="1" t="str">
        <f t="array" ref="AC1000">IFERROR(INDEX('Исходник'!$1:$626,MATCH($A1000,'Исходник'!$T:$T,0),MATCH(AC$1,'Исходник'!$1:$1,0)))</f>
        <v/>
      </c>
      <c r="AD1000" s="27" t="str">
        <f t="shared" si="13"/>
        <v/>
      </c>
      <c r="AE1000" s="1" t="str">
        <f t="array" ref="AE1000">IFERROR(INDEX('Исходник'!$1:$626,MATCH($A1000,'Исходник'!$T:$T,0),MATCH(AE$1,'Исходник'!$1:$1,0)))</f>
        <v/>
      </c>
      <c r="AF1000" s="1" t="str">
        <f t="array" ref="AF1000">IFERROR(INDEX('Исходник'!$1:$626,MATCH($A1000,'Исходник'!$T:$T,0),MATCH(AF$1,'Исходник'!$1:$1,0)))</f>
        <v/>
      </c>
      <c r="AG1000" s="27" t="str">
        <f t="shared" si="14"/>
        <v/>
      </c>
      <c r="AH1000" s="1" t="str">
        <f t="array" ref="AH1000">IFERROR(INDEX('Исходник'!$1:$626,MATCH($A1000,'Исходник'!$T:$T,0),MATCH(AH$1,'Исходник'!$1:$1,0)))</f>
        <v/>
      </c>
      <c r="AI1000" s="1" t="str">
        <f t="array" ref="AI1000">IFERROR(INDEX('Исходник'!$1:$626,MATCH($A1000,'Исходник'!$T:$T,0),MATCH(AI$1,'Исходник'!$1:$1,0)))</f>
        <v/>
      </c>
      <c r="AJ1000" s="18">
        <f t="shared" si="15"/>
        <v>0</v>
      </c>
    </row>
  </sheetData>
  <autoFilter ref="$A$1:$AL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63</v>
      </c>
      <c r="H1" s="1" t="s">
        <v>65</v>
      </c>
      <c r="I1" s="1" t="s">
        <v>67</v>
      </c>
      <c r="J1" s="1" t="s">
        <v>70</v>
      </c>
      <c r="K1" s="1" t="s">
        <v>71</v>
      </c>
      <c r="L1" s="1" t="s">
        <v>74</v>
      </c>
      <c r="M1" s="1" t="s">
        <v>76</v>
      </c>
      <c r="N1" s="1" t="s">
        <v>78</v>
      </c>
      <c r="O1" s="1" t="s">
        <v>81</v>
      </c>
      <c r="P1" s="1" t="s">
        <v>82</v>
      </c>
      <c r="Q1" s="1" t="s">
        <v>84</v>
      </c>
      <c r="R1" s="1" t="s">
        <v>85</v>
      </c>
      <c r="S1" s="1" t="s">
        <v>87</v>
      </c>
      <c r="T1" s="1" t="s">
        <v>88</v>
      </c>
      <c r="U1" s="1" t="s">
        <v>89</v>
      </c>
      <c r="V1" s="1" t="s">
        <v>34</v>
      </c>
      <c r="W1" s="1" t="s">
        <v>90</v>
      </c>
      <c r="X1" s="1" t="s">
        <v>91</v>
      </c>
    </row>
    <row r="2" ht="15.75" customHeight="1">
      <c r="A2" s="1"/>
      <c r="B2" s="3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3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3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3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3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3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3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3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3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3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3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3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3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3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3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3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3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3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3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3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3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3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3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3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3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3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3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3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3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3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3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3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31"/>
      <c r="C36" s="1"/>
      <c r="D36" s="1"/>
      <c r="E36" s="1"/>
      <c r="F36" s="3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3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29"/>
      <c r="B38" s="3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3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3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3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3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3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3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3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3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3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3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3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3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3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3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3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3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3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3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3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3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3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3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3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3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3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3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3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3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3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3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3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3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3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3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3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3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3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3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3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3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3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3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3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3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3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30"/>
      <c r="B90" s="3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30"/>
      <c r="B91" s="3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30"/>
      <c r="B92" s="3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30"/>
      <c r="B93" s="3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30"/>
      <c r="B94" s="3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30"/>
      <c r="B95" s="3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30"/>
      <c r="B96" s="3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30"/>
      <c r="B97" s="3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30"/>
      <c r="B98" s="3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3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3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3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30"/>
      <c r="B102" s="3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30"/>
      <c r="B103" s="3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30"/>
      <c r="B104" s="3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30"/>
      <c r="B105" s="31"/>
      <c r="C105" s="1"/>
      <c r="D105" s="1"/>
      <c r="E105" s="1"/>
      <c r="F105" s="1"/>
      <c r="G105" s="1"/>
      <c r="H105" s="1"/>
      <c r="I105" s="1"/>
      <c r="J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30"/>
      <c r="B106" s="31"/>
      <c r="C106" s="1"/>
      <c r="D106" s="1"/>
      <c r="E106" s="1"/>
      <c r="F106" s="1"/>
      <c r="G106" s="1"/>
      <c r="H106" s="1"/>
      <c r="I106" s="1"/>
      <c r="J106" s="1"/>
      <c r="T106" s="1"/>
      <c r="U106" s="1"/>
      <c r="V106" s="1"/>
      <c r="W106" s="1"/>
      <c r="X106" s="1"/>
    </row>
    <row r="107" ht="15.75" customHeight="1">
      <c r="A107" s="30"/>
      <c r="B107" s="3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30"/>
      <c r="B108" s="3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30"/>
      <c r="B109" s="3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30"/>
      <c r="B110" s="3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30"/>
      <c r="B111" s="3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30"/>
      <c r="B112" s="3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30"/>
      <c r="B113" s="3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30"/>
      <c r="B114" s="3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30"/>
      <c r="B115" s="3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30"/>
      <c r="B116" s="3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30"/>
      <c r="B117" s="3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30"/>
      <c r="B118" s="3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30"/>
      <c r="B119" s="3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30"/>
      <c r="B120" s="3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3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31"/>
      <c r="C122" s="1"/>
      <c r="D122" s="1"/>
      <c r="E122" s="1"/>
      <c r="F122" s="1"/>
      <c r="G122" s="1"/>
      <c r="H122" s="1"/>
      <c r="I122" s="1"/>
      <c r="J122" s="1"/>
      <c r="K122" s="3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3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3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3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3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3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3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3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3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3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3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31"/>
      <c r="C133" s="1"/>
      <c r="D133" s="1"/>
      <c r="E133" s="1"/>
      <c r="F133" s="1"/>
      <c r="G133" s="1"/>
      <c r="H133" s="1"/>
      <c r="I133" s="1"/>
      <c r="J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3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3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3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3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3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3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3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3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3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3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3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3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3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3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3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3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3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3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3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3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3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30"/>
      <c r="B155" s="3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30"/>
      <c r="B156" s="3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30"/>
      <c r="B157" s="3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30"/>
      <c r="B158" s="3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30"/>
      <c r="B159" s="3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30"/>
      <c r="B160" s="3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3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3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3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3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3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3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3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31"/>
      <c r="C168" s="1"/>
      <c r="D168" s="1"/>
      <c r="E168" s="1"/>
      <c r="F168" s="1"/>
      <c r="G168" s="1"/>
      <c r="H168" s="1"/>
      <c r="I168" s="1"/>
      <c r="J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3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3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3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31"/>
      <c r="C172" s="1"/>
      <c r="D172" s="1"/>
      <c r="E172" s="1"/>
      <c r="F172" s="1"/>
      <c r="G172" s="1"/>
      <c r="H172" s="1"/>
      <c r="I172" s="1"/>
      <c r="J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3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31"/>
      <c r="C174" s="1"/>
      <c r="D174" s="1"/>
      <c r="E174" s="1"/>
      <c r="F174" s="1"/>
      <c r="G174" s="1"/>
      <c r="H174" s="1"/>
      <c r="I174" s="1"/>
      <c r="J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3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3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3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3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3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3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3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3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3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3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3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3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3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3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3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3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3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3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3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3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31"/>
      <c r="C195" s="1"/>
      <c r="D195" s="1"/>
      <c r="E195" s="1"/>
      <c r="F195" s="1"/>
      <c r="G195" s="1"/>
      <c r="H195" s="1"/>
      <c r="I195" s="1"/>
      <c r="J195" s="1"/>
      <c r="T195" s="1"/>
      <c r="U195" s="1"/>
      <c r="V195" s="1"/>
      <c r="W195" s="1"/>
      <c r="X195" s="1"/>
    </row>
    <row r="196" ht="15.75" customHeight="1">
      <c r="A196" s="1"/>
      <c r="B196" s="3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3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3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3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3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3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</sheetData>
  <drawing r:id="rId1"/>
</worksheet>
</file>